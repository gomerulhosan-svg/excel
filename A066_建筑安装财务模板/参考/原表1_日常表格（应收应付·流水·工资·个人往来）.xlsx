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9200" windowHeight="7140" activeTab="6"/>
  </bookViews>
  <sheets>
    <sheet name="应收账款" sheetId="1" r:id="rId1"/>
    <sheet name="应付账款" sheetId="2" r:id="rId2"/>
    <sheet name="分包商" sheetId="3" r:id="rId3"/>
    <sheet name="机械费" sheetId="4" r:id="rId4"/>
    <sheet name="流水登记" sheetId="5" r:id="rId5"/>
    <sheet name="工资表月分表" sheetId="6" r:id="rId6"/>
    <sheet name="用工成本表" sheetId="7" r:id="rId7"/>
    <sheet name="工资汇总表" sheetId="8" r:id="rId8"/>
    <sheet name="老板个人往来" sheetId="9" r:id="rId9"/>
    <sheet name="老板2个人明细" sheetId="10" r:id="rId10"/>
    <sheet name="项目部负责人个人明细" sheetId="11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<sst xmlns="http://schemas.openxmlformats.org/spreadsheetml/2006/main" count="869" uniqueCount="345">
  <si>
    <t>项目名称</t>
  </si>
  <si>
    <t>客户名称</t>
  </si>
  <si>
    <t>应收金额(元）</t>
  </si>
  <si>
    <t>已收金额（元）</t>
  </si>
  <si>
    <t>回款比例</t>
  </si>
  <si>
    <t>未收金额（元）</t>
  </si>
  <si>
    <t>已开票金额</t>
  </si>
  <si>
    <t>税率</t>
  </si>
  <si>
    <t>未开票金额</t>
  </si>
  <si>
    <t>备注</t>
  </si>
  <si>
    <t/>
  </si>
  <si>
    <t>博河科创</t>
  </si>
  <si>
    <t>德安县博河产业控股集团有限公司</t>
  </si>
  <si>
    <t>德安养老中心</t>
  </si>
  <si>
    <t>九江浔辉建筑工程有限公司</t>
  </si>
  <si>
    <t>江西揽之建设工程有限公司</t>
  </si>
  <si>
    <t>德安县市政工程公司</t>
  </si>
  <si>
    <t>德安县水利水电建筑工程公司</t>
  </si>
  <si>
    <t>应付账款总表</t>
  </si>
  <si>
    <t>开始日期</t>
  </si>
  <si>
    <t>结束日期</t>
  </si>
  <si>
    <t>序号</t>
  </si>
  <si>
    <t>供应商名称</t>
  </si>
  <si>
    <t>链接</t>
  </si>
  <si>
    <t>应付总额</t>
  </si>
  <si>
    <t>已付总额</t>
  </si>
  <si>
    <t>剩余未付总额</t>
  </si>
  <si>
    <t>科创中心</t>
  </si>
  <si>
    <t>九安架空层</t>
  </si>
  <si>
    <t>数字产业园</t>
  </si>
  <si>
    <t>德安农商行总部</t>
  </si>
  <si>
    <t>抚州1号楼</t>
  </si>
  <si>
    <t>抚州8号楼</t>
  </si>
  <si>
    <t>筑强</t>
  </si>
  <si>
    <t>点击跳转</t>
  </si>
  <si>
    <t>九江安洋钢材熊总</t>
  </si>
  <si>
    <t>鑫城五金庄总</t>
  </si>
  <si>
    <t>浔阳楼电缆</t>
  </si>
  <si>
    <t>启航五金</t>
  </si>
  <si>
    <t>杭州行消物资贸易</t>
  </si>
  <si>
    <t>南昌盈厚建材</t>
  </si>
  <si>
    <t>浙缆元通电缆</t>
  </si>
  <si>
    <t>江西允诺消防</t>
  </si>
  <si>
    <t>江西沐丰水箱</t>
  </si>
  <si>
    <t>上海诚果泵阀</t>
  </si>
  <si>
    <t>应付分包商账款</t>
  </si>
  <si>
    <t>分包商</t>
  </si>
  <si>
    <t>恩旗老叶</t>
  </si>
  <si>
    <t>吴群</t>
  </si>
  <si>
    <t>吴聪</t>
  </si>
  <si>
    <t>九江朱总</t>
  </si>
  <si>
    <t>共安门业</t>
  </si>
  <si>
    <t>图揽成善</t>
  </si>
  <si>
    <t>祝冬冬</t>
  </si>
  <si>
    <t>张小朋</t>
  </si>
  <si>
    <t>徐怀生</t>
  </si>
  <si>
    <t>机械费汇总表</t>
  </si>
  <si>
    <t>机械+运输费用汇总表</t>
  </si>
  <si>
    <t>未付金额</t>
  </si>
  <si>
    <t>日期</t>
  </si>
  <si>
    <t>挖机班组/（运输）名称</t>
  </si>
  <si>
    <t>应付金额</t>
  </si>
  <si>
    <t>已付金额</t>
  </si>
  <si>
    <t>付款日期</t>
  </si>
  <si>
    <t>付款账户</t>
  </si>
  <si>
    <t>收款账户</t>
  </si>
  <si>
    <t>开票日期</t>
  </si>
  <si>
    <t>税额</t>
  </si>
  <si>
    <t>备注2</t>
  </si>
  <si>
    <t>25/11-26/1</t>
  </si>
  <si>
    <t>杨工</t>
  </si>
  <si>
    <t>王伟垫付</t>
  </si>
  <si>
    <t>徐工</t>
  </si>
  <si>
    <t>九江银行</t>
  </si>
  <si>
    <t>九江翌年行建筑工程劳务有限公司</t>
  </si>
  <si>
    <t>德安县恒建工程部</t>
  </si>
  <si>
    <t>舒文龙</t>
  </si>
  <si>
    <t>航帆增辉</t>
  </si>
  <si>
    <t>邹桥派出所</t>
  </si>
  <si>
    <t>章德吉货运</t>
  </si>
  <si>
    <t>流水账登记总表</t>
  </si>
  <si>
    <t>期初余额:</t>
  </si>
  <si>
    <t>收入合计：</t>
  </si>
  <si>
    <t>农业银行</t>
  </si>
  <si>
    <t>工商银行</t>
  </si>
  <si>
    <t>账户余额：</t>
  </si>
  <si>
    <t>支出合计：</t>
  </si>
  <si>
    <t>聂辉微信</t>
  </si>
  <si>
    <t>王伟微信</t>
  </si>
  <si>
    <t>张滨微信</t>
  </si>
  <si>
    <t>账户</t>
  </si>
  <si>
    <t>摘要</t>
  </si>
  <si>
    <t>收入</t>
  </si>
  <si>
    <t>支出</t>
  </si>
  <si>
    <t>结存</t>
  </si>
  <si>
    <t>代吴群付向勇工资</t>
  </si>
  <si>
    <t>付邓泽贵工资</t>
  </si>
  <si>
    <t>付吴志刚工资</t>
  </si>
  <si>
    <t>付金南水工资</t>
  </si>
  <si>
    <t>付张亮亮工资</t>
  </si>
  <si>
    <t>付共安门业材料款</t>
  </si>
  <si>
    <t>收到股东借款-聂辉</t>
  </si>
  <si>
    <t>支付酒款</t>
  </si>
  <si>
    <t>支付异地预缴税</t>
  </si>
  <si>
    <t>代扣个税</t>
  </si>
  <si>
    <t>付佩力通风材料款（德养）</t>
  </si>
  <si>
    <t>代老叶付佩力通风材料款（德养）</t>
  </si>
  <si>
    <t>付沐丰水箱款(邹桥派出所）</t>
  </si>
  <si>
    <t>支付食品厂投标保证金</t>
  </si>
  <si>
    <t>收江西赣粤高速公路工程款</t>
  </si>
  <si>
    <t>食品厂投标保证金退回</t>
  </si>
  <si>
    <t>归还股东个人借款-聂辉</t>
  </si>
  <si>
    <t>支付社保费</t>
  </si>
  <si>
    <t>付代账公司费用</t>
  </si>
  <si>
    <t>支付顺丰快递费</t>
  </si>
  <si>
    <t>付老叶分包劳务费</t>
  </si>
  <si>
    <t>支付快餐费</t>
  </si>
  <si>
    <t>皮卡车加油</t>
  </si>
  <si>
    <t>付养老中心期间费</t>
  </si>
  <si>
    <t>公司日用品</t>
  </si>
  <si>
    <t>买酒水</t>
  </si>
  <si>
    <t>公司食堂买菜</t>
  </si>
  <si>
    <t>118酒店客人住宿费</t>
  </si>
  <si>
    <t>买水果</t>
  </si>
  <si>
    <t>外叫海鲜菜</t>
  </si>
  <si>
    <t>江南宴饭店餐费</t>
  </si>
  <si>
    <t>买抽纸</t>
  </si>
  <si>
    <t>买大米</t>
  </si>
  <si>
    <t>架空层工人餐费</t>
  </si>
  <si>
    <t>转张滨付平台注册费</t>
  </si>
  <si>
    <t>买洗洁精</t>
  </si>
  <si>
    <t>买煤气</t>
  </si>
  <si>
    <t>农商行草皮</t>
  </si>
  <si>
    <t>农商行树苗</t>
  </si>
  <si>
    <t>农商行临时工工资</t>
  </si>
  <si>
    <t>邹桥派出所设备运输费</t>
  </si>
  <si>
    <t>邹桥派出所挖机费</t>
  </si>
  <si>
    <t>公司工作餐</t>
  </si>
  <si>
    <t>支付贷款利息</t>
  </si>
  <si>
    <t>云链平台转入</t>
  </si>
  <si>
    <t>对公贷款</t>
  </si>
  <si>
    <t>付筑强货款</t>
  </si>
  <si>
    <t>跨行汇款手续费</t>
  </si>
  <si>
    <t>利息收入</t>
  </si>
  <si>
    <t>贷款</t>
  </si>
  <si>
    <t>支付共安门业材料款</t>
  </si>
  <si>
    <t>支付上海诚果-邹桥派出所消防水泵款</t>
  </si>
  <si>
    <t>扣手续费</t>
  </si>
  <si>
    <t>支付杭州行消-抚州8号楼材料款</t>
  </si>
  <si>
    <t>转竣辉九江银行</t>
  </si>
  <si>
    <t>汇款退回</t>
  </si>
  <si>
    <t>支付拓齐-老叶-德养材料款</t>
  </si>
  <si>
    <t>转九江银行</t>
  </si>
  <si>
    <t>支付华翔桥架-德养材料款</t>
  </si>
  <si>
    <t>支付张滨报销款</t>
  </si>
  <si>
    <t>欠费补缴</t>
  </si>
  <si>
    <t>扣企业网银年服务费</t>
  </si>
  <si>
    <t>扣对公结算账户维护费</t>
  </si>
  <si>
    <t>收到张滨个人借款</t>
  </si>
  <si>
    <t>闵清林工资</t>
  </si>
  <si>
    <t>梅秀刚工资</t>
  </si>
  <si>
    <t>汽车空调压缩机维修费</t>
  </si>
  <si>
    <t>朱博文4月份工资</t>
  </si>
  <si>
    <t>朱博文5月份工资</t>
  </si>
  <si>
    <t>邹桥派出所桥架款</t>
  </si>
  <si>
    <t>员工聚餐</t>
  </si>
  <si>
    <t>邹桥派出所检测报告</t>
  </si>
  <si>
    <t>聂辉个人借款</t>
  </si>
  <si>
    <t>室外消防阀门井盖</t>
  </si>
  <si>
    <t>隆世光伏检测报告</t>
  </si>
  <si>
    <t>平安保险费退回</t>
  </si>
  <si>
    <t>入息</t>
  </si>
  <si>
    <t>德养工程款-承兑汇票</t>
  </si>
  <si>
    <t>支付承兑汇票利息</t>
  </si>
  <si>
    <t>（朱博文，姚俊强）社保费</t>
  </si>
  <si>
    <t>支付启航材料费</t>
  </si>
  <si>
    <t>张滨工资</t>
  </si>
  <si>
    <t>公司门头装修费</t>
  </si>
  <si>
    <t>江西图揽金属科技-抗震支架</t>
  </si>
  <si>
    <t>浔阳楼电线款</t>
  </si>
  <si>
    <t>四川久远智能消防-设备款</t>
  </si>
  <si>
    <t>皮卡车维修费</t>
  </si>
  <si>
    <t>袁斌财工资</t>
  </si>
  <si>
    <t>叶炳南工资</t>
  </si>
  <si>
    <t>叶焰平工资</t>
  </si>
  <si>
    <t>金李平工资</t>
  </si>
  <si>
    <t>胡家新工资</t>
  </si>
  <si>
    <t>万焕和工资</t>
  </si>
  <si>
    <t>徐从国工资</t>
  </si>
  <si>
    <t>杨明定工资</t>
  </si>
  <si>
    <t>张亮亮工资</t>
  </si>
  <si>
    <t>程章赐工资</t>
  </si>
  <si>
    <t>程章材工资</t>
  </si>
  <si>
    <t>成峰工资</t>
  </si>
  <si>
    <t>金南水工资</t>
  </si>
  <si>
    <t>还聂辉个人借款</t>
  </si>
  <si>
    <t>邹桥工程款-承兑汇票</t>
  </si>
  <si>
    <t>九江财小保代账服务费</t>
  </si>
  <si>
    <t>刘海工资</t>
  </si>
  <si>
    <t>高征坤工资</t>
  </si>
  <si>
    <t>王兴姣工资</t>
  </si>
  <si>
    <t>油漆费</t>
  </si>
  <si>
    <t>德安农商行挖机费</t>
  </si>
  <si>
    <t>王兴蛟工资</t>
  </si>
  <si>
    <t>代缴员工个税6月（闵清林，邓泽贵）</t>
  </si>
  <si>
    <t>缴税款</t>
  </si>
  <si>
    <t>江西佩力通风-消防设备款</t>
  </si>
  <si>
    <t>隆世光伏/共青办公楼/德祥工地工程款</t>
  </si>
  <si>
    <t>还王伟2025年11月9日借款</t>
  </si>
  <si>
    <t>还聂辉2025年1月28日6万
还聂辉2025年11月2日1万</t>
  </si>
  <si>
    <t>吴山政府项目材料费</t>
  </si>
  <si>
    <t>抚州8号楼工程款</t>
  </si>
  <si>
    <t>德养消防检测报告</t>
  </si>
  <si>
    <t>科创中心挖机费</t>
  </si>
  <si>
    <t>邹桥派出所屋面保温棉搬运费
张洪林（已扣80个税）</t>
  </si>
  <si>
    <t>茶叶款（陈先琴）</t>
  </si>
  <si>
    <t>雷友才工资</t>
  </si>
  <si>
    <t>九江恒讯消防-设备款</t>
  </si>
  <si>
    <t>还贷款利息</t>
  </si>
  <si>
    <t>陈德银工资</t>
  </si>
  <si>
    <t>王伟个人借款</t>
  </si>
  <si>
    <t>抚州8号楼购买售后产品</t>
  </si>
  <si>
    <t>姚俊强社保费</t>
  </si>
  <si>
    <t>朱博文社保费</t>
  </si>
  <si>
    <t>中国联项目工程款</t>
  </si>
  <si>
    <t>抚州2号楼工程款</t>
  </si>
  <si>
    <t>吴长友工资</t>
  </si>
  <si>
    <t>邓付贞工资</t>
  </si>
  <si>
    <t>抚州2号楼预缴企业所得税</t>
  </si>
  <si>
    <t>抚州2号楼预缴增值税939.45
城市维护建设税23.48</t>
  </si>
  <si>
    <t>抚州8号楼祝冬冬分包-劳务费</t>
  </si>
  <si>
    <t>王伟工资</t>
  </si>
  <si>
    <t>聂峰工资</t>
  </si>
  <si>
    <t>占善庆工资</t>
  </si>
  <si>
    <t>筑强材料款</t>
  </si>
  <si>
    <t>张滨个人借款（支付贷款利息）</t>
  </si>
  <si>
    <t>26年4月工资表</t>
  </si>
  <si>
    <t>26年4月工资明细</t>
  </si>
  <si>
    <t>姓名</t>
  </si>
  <si>
    <t>身份证号</t>
  </si>
  <si>
    <t>手机号</t>
  </si>
  <si>
    <t>账号</t>
  </si>
  <si>
    <t>开户行</t>
  </si>
  <si>
    <t>德养</t>
  </si>
  <si>
    <t>示范园</t>
  </si>
  <si>
    <t>邹桥</t>
  </si>
  <si>
    <t>架空层</t>
  </si>
  <si>
    <t>未知</t>
  </si>
  <si>
    <t>合计天数</t>
  </si>
  <si>
    <t>日工资
(月工资）</t>
  </si>
  <si>
    <t>德养小计</t>
  </si>
  <si>
    <t>科创中心小计</t>
  </si>
  <si>
    <t>示范园小计</t>
  </si>
  <si>
    <t>邹桥小计</t>
  </si>
  <si>
    <t>架空层小计</t>
  </si>
  <si>
    <t>应发工资</t>
  </si>
  <si>
    <t>本月发工资</t>
  </si>
  <si>
    <t>补贴</t>
  </si>
  <si>
    <t>代扣社保</t>
  </si>
  <si>
    <t>已退回</t>
  </si>
  <si>
    <t>剩余工资</t>
  </si>
  <si>
    <t>聂峰</t>
  </si>
  <si>
    <t>袁斌财</t>
  </si>
  <si>
    <t>胡家新</t>
  </si>
  <si>
    <t>刘海</t>
  </si>
  <si>
    <t>程章赐</t>
  </si>
  <si>
    <t>程章材</t>
  </si>
  <si>
    <t>叶炳南</t>
  </si>
  <si>
    <t>万焕和</t>
  </si>
  <si>
    <t>邓泽贵</t>
  </si>
  <si>
    <t>吴长友</t>
  </si>
  <si>
    <t>闵清林</t>
  </si>
  <si>
    <t>徐从国</t>
  </si>
  <si>
    <t>梅秀刚</t>
  </si>
  <si>
    <t>金南水</t>
  </si>
  <si>
    <t>金李平</t>
  </si>
  <si>
    <t>杨明定</t>
  </si>
  <si>
    <t>王兴蛟</t>
  </si>
  <si>
    <t>高征坤</t>
  </si>
  <si>
    <t>张亮亮</t>
  </si>
  <si>
    <t>成峰</t>
  </si>
  <si>
    <t>何正新</t>
  </si>
  <si>
    <t>吴志刚</t>
  </si>
  <si>
    <t>张小友</t>
  </si>
  <si>
    <t>曹买生</t>
  </si>
  <si>
    <t>刘桂水</t>
  </si>
  <si>
    <t>叶焰平</t>
  </si>
  <si>
    <t>张滨</t>
  </si>
  <si>
    <t>张淑平</t>
  </si>
  <si>
    <t>聂辉</t>
  </si>
  <si>
    <t>王伟</t>
  </si>
  <si>
    <t>姚俊强</t>
  </si>
  <si>
    <t>合计：</t>
  </si>
  <si>
    <t>后期项目还有增加</t>
  </si>
  <si>
    <t>2026年各项目用工成本合计(不含分包）</t>
  </si>
  <si>
    <t xml:space="preserve">       项目名称
月份</t>
  </si>
  <si>
    <t>农商行（德安总部）</t>
  </si>
  <si>
    <t>恒科华府</t>
  </si>
  <si>
    <t>博河科创中心</t>
  </si>
  <si>
    <t>总计</t>
  </si>
  <si>
    <t>25年-26年二月合计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</si>
  <si>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</si>
  <si>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</si>
  <si>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</si>
  <si>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</si>
  <si>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</si>
  <si>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</si>
  <si>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</si>
  <si>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</si>
  <si>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</si>
  <si>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</si>
  <si>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26年小计：</t>
  </si>
  <si>
    <t>25年-26年合计：</t>
  </si>
  <si>
    <t>农商行360是临时工</t>
  </si>
  <si>
    <t>14050是临时工王金山</t>
  </si>
  <si>
    <t>工资年度汇总</t>
  </si>
  <si>
    <t>日工资/
月工资</t>
  </si>
  <si>
    <t>实际发放</t>
  </si>
  <si>
    <t>陈德银</t>
  </si>
  <si>
    <t>邓付贞</t>
  </si>
  <si>
    <t>桂木生</t>
  </si>
  <si>
    <t>王总个人收支明细</t>
  </si>
  <si>
    <t>交易时间</t>
  </si>
  <si>
    <t>其他收入</t>
  </si>
  <si>
    <t>个人借款支出</t>
  </si>
  <si>
    <t>其他支出</t>
  </si>
  <si>
    <t>支付账户</t>
  </si>
  <si>
    <t>支付方式</t>
  </si>
  <si>
    <t>工资款</t>
  </si>
  <si>
    <t>转账</t>
  </si>
  <si>
    <t>王伟报销款</t>
  </si>
  <si>
    <t>聂总个人收支明细</t>
  </si>
  <si>
    <t>工资收入</t>
  </si>
  <si>
    <t>个人借款</t>
  </si>
  <si>
    <t>聂辉支付项目保证金</t>
  </si>
  <si>
    <t>公司退聂辉个人借款</t>
  </si>
  <si>
    <t>张总个人收支明细表</t>
  </si>
  <si>
    <t>退款</t>
  </si>
  <si>
    <t>垫付款</t>
  </si>
  <si>
    <t>代付款</t>
  </si>
  <si>
    <t>工程款</t>
  </si>
  <si>
    <t>星辰宾馆老板</t>
  </si>
  <si>
    <t>微信转账</t>
  </si>
  <si>
    <t>星辰宾馆工程款</t>
  </si>
  <si>
    <t>备用金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</si>
</sst>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2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 diagonalDown="1"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 style="thin">
        <color theme="0"/>
      </diagonal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0" fillId="11" borderId="9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0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5" fillId="0" borderId="0">
      <alignment vertical="center"/>
    </xf>
    <xf numFmtId="0" fontId="16" fillId="12" borderId="12">
      <alignment vertical="center"/>
    </xf>
    <xf numFmtId="0" fontId="17" fillId="13" borderId="13">
      <alignment vertical="center"/>
    </xf>
    <xf numFmtId="0" fontId="18" fillId="13" borderId="12">
      <alignment vertical="center"/>
    </xf>
    <xf numFmtId="0" fontId="19" fillId="14" borderId="14">
      <alignment vertical="center"/>
    </xf>
    <xf numFmtId="0" fontId="20" fillId="0" borderId="15">
      <alignment vertical="center"/>
    </xf>
    <xf numFmtId="0" fontId="21" fillId="0" borderId="16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5" fillId="10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7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6" fillId="37" borderId="0">
      <alignment vertical="center"/>
    </xf>
    <xf numFmtId="0" fontId="26" fillId="38" borderId="0">
      <alignment vertical="center"/>
    </xf>
    <xf numFmtId="0" fontId="25" fillId="39" borderId="0">
      <alignment vertical="center"/>
    </xf>
  </cellStyleXfs>
  <cellXfs count="7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176" fontId="1" fillId="0" borderId="3" xfId="0" applyNumberFormat="1" applyFont="1" applyBorder="1" applyAlignment="1">
      <alignment horizontal="centerContinuous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wrapText="1"/>
    </xf>
    <xf numFmtId="176" fontId="2" fillId="2" borderId="6" xfId="0" applyNumberFormat="1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5" borderId="3" xfId="0" applyNumberForma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176" fontId="0" fillId="0" borderId="0" xfId="0" applyNumberFormat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vertical="center"/>
    </xf>
    <xf numFmtId="0" fontId="2" fillId="6" borderId="6" xfId="0" applyFont="1" applyFill="1" applyBorder="1" applyAlignment="1">
      <alignment horizontal="center" vertical="center" wrapText="1"/>
    </xf>
    <xf numFmtId="176" fontId="2" fillId="6" borderId="6" xfId="0" applyNumberFormat="1" applyFont="1" applyFill="1" applyBorder="1" applyAlignment="1">
      <alignment horizontal="center" vertical="center"/>
    </xf>
    <xf numFmtId="176" fontId="2" fillId="6" borderId="7" xfId="0" applyNumberFormat="1" applyFont="1" applyFill="1" applyBorder="1" applyAlignment="1">
      <alignment horizontal="center" vertical="center"/>
    </xf>
    <xf numFmtId="176" fontId="2" fillId="7" borderId="3" xfId="0" applyNumberFormat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9" borderId="0" xfId="0" applyNumberFormat="1" applyFont="1" applyFill="1" applyAlignment="1">
      <alignment horizontal="centerContinuous" vertical="center"/>
    </xf>
    <xf numFmtId="0" fontId="4" fillId="9" borderId="0" xfId="0" applyNumberFormat="1" applyFont="1" applyFill="1" applyAlignment="1">
      <alignment horizontal="centerContinuous" vertical="center"/>
    </xf>
    <xf numFmtId="0" fontId="4" fillId="9" borderId="0" xfId="0" applyFont="1" applyFill="1" applyAlignment="1">
      <alignment horizontal="centerContinuous" vertical="center"/>
    </xf>
    <xf numFmtId="176" fontId="4" fillId="9" borderId="0" xfId="0" applyNumberFormat="1" applyFont="1" applyFill="1" applyAlignment="1">
      <alignment horizontal="centerContinuous" vertical="center"/>
    </xf>
    <xf numFmtId="0" fontId="4" fillId="9" borderId="0" xfId="0" applyFont="1" applyFill="1" applyAlignment="1">
      <alignment horizontal="center" vertical="center"/>
    </xf>
    <xf numFmtId="177" fontId="4" fillId="0" borderId="0" xfId="0" applyNumberFormat="1" applyFont="1" applyAlignment="1">
      <alignment horizontal="centerContinuous" vertical="center"/>
    </xf>
    <xf numFmtId="0" fontId="4" fillId="0" borderId="0" xfId="0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176" fontId="4" fillId="0" borderId="0" xfId="0" applyNumberFormat="1" applyFont="1" applyAlignment="1">
      <alignment horizontal="centerContinuous" vertical="center"/>
    </xf>
    <xf numFmtId="177" fontId="0" fillId="9" borderId="0" xfId="0" applyNumberFormat="1" applyFill="1" applyAlignment="1">
      <alignment horizontal="center" vertical="center"/>
    </xf>
    <xf numFmtId="0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77" fontId="1" fillId="0" borderId="0" xfId="0" applyNumberFormat="1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76" fontId="0" fillId="0" borderId="0" xfId="0" applyNumberFormat="1" applyAlignment="1">
      <alignment horizontal="centerContinuous" vertical="center"/>
    </xf>
    <xf numFmtId="177" fontId="0" fillId="0" borderId="0" xfId="0" applyNumberFormat="1" applyAlignment="1">
      <alignment horizontal="centerContinuous" vertical="center"/>
    </xf>
    <xf numFmtId="9" fontId="0" fillId="0" borderId="0" xfId="0" applyNumberFormat="1" applyAlignment="1">
      <alignment horizontal="centerContinuous" vertical="center"/>
    </xf>
    <xf numFmtId="0" fontId="7" fillId="0" borderId="0" xfId="6" applyFont="1">
      <alignment vertical="center"/>
    </xf>
    <xf numFmtId="0" fontId="3" fillId="9" borderId="3" xfId="0" applyFont="1" applyFill="1" applyBorder="1" applyAlignment="1">
      <alignment horizontal="center" vertical="center"/>
    </xf>
    <xf numFmtId="177" fontId="2" fillId="10" borderId="3" xfId="0" applyNumberFormat="1" applyFont="1" applyFill="1" applyBorder="1" applyAlignment="1">
      <alignment horizontal="centerContinuous" vertical="center"/>
    </xf>
    <xf numFmtId="0" fontId="2" fillId="10" borderId="3" xfId="0" applyFont="1" applyFill="1" applyBorder="1" applyAlignment="1">
      <alignment horizontal="centerContinuous" vertical="center"/>
    </xf>
    <xf numFmtId="176" fontId="2" fillId="10" borderId="3" xfId="0" applyNumberFormat="1" applyFont="1" applyFill="1" applyBorder="1" applyAlignment="1">
      <alignment horizontal="centerContinuous" vertical="center"/>
    </xf>
    <xf numFmtId="9" fontId="2" fillId="10" borderId="3" xfId="0" applyNumberFormat="1" applyFont="1" applyFill="1" applyBorder="1" applyAlignment="1">
      <alignment horizontal="centerContinuous" vertical="center"/>
    </xf>
    <xf numFmtId="177" fontId="0" fillId="0" borderId="3" xfId="0" applyNumberForma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numFmt numFmtId="178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31459;&#36745;&#20844;&#21496;\&#20892;&#27665;&#24037;&#24037;&#36164;\26&#24180;&#24037;&#36164;&#21457;&#25918;&#26126;&#32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信息表"/>
      <sheetName val="项目用工成本汇总"/>
      <sheetName val="工资汇总表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1月"/>
      <sheetName val="2月"/>
      <sheetName val="Sheet1"/>
      <sheetName val="Sheet2"/>
    </sheetNames>
    <sheetDataSet>
      <sheetData sheetId="0">
        <row r="1">
          <cell r="A1" t="str">
            <v>姓名</v>
          </cell>
          <cell r="B1" t="str">
            <v>身份证号</v>
          </cell>
          <cell r="C1" t="str">
            <v>手机号</v>
          </cell>
          <cell r="D1" t="str">
            <v>账号</v>
          </cell>
          <cell r="E1" t="str">
            <v>开户行</v>
          </cell>
          <cell r="F1" t="str">
            <v>日工资</v>
          </cell>
        </row>
        <row r="2">
          <cell r="A2" t="str">
            <v>梅秀刚</v>
          </cell>
          <cell r="B2" t="str">
            <v>360101198304205014</v>
          </cell>
          <cell r="C2">
            <v>19165069992</v>
          </cell>
          <cell r="D2" t="str">
            <v>6217002020078348232</v>
          </cell>
          <cell r="E2" t="str">
            <v>建行</v>
          </cell>
          <cell r="F2">
            <v>340</v>
          </cell>
        </row>
        <row r="3">
          <cell r="A3" t="str">
            <v>梅冰原</v>
          </cell>
          <cell r="B3" t="str">
            <v>360401198112163012</v>
          </cell>
          <cell r="C3">
            <v>15270599712</v>
          </cell>
          <cell r="D3" t="str">
            <v>6217002020078348216</v>
          </cell>
          <cell r="E3" t="str">
            <v>建行</v>
          </cell>
          <cell r="F3">
            <v>340</v>
          </cell>
        </row>
        <row r="4">
          <cell r="A4" t="str">
            <v>闵清林</v>
          </cell>
          <cell r="B4" t="str">
            <v>360426199704243018</v>
          </cell>
          <cell r="C4">
            <v>13970219774</v>
          </cell>
          <cell r="D4" t="str">
            <v>6236682030001337407</v>
          </cell>
          <cell r="E4" t="str">
            <v>建行</v>
          </cell>
          <cell r="F4">
            <v>300</v>
          </cell>
        </row>
        <row r="5">
          <cell r="A5" t="str">
            <v>袁斌财</v>
          </cell>
          <cell r="B5" t="str">
            <v>36042619860616301X</v>
          </cell>
          <cell r="C5">
            <v>18870262187</v>
          </cell>
          <cell r="D5" t="str">
            <v>6215340300307825837</v>
          </cell>
          <cell r="E5" t="str">
            <v>建行</v>
          </cell>
          <cell r="F5">
            <v>330</v>
          </cell>
        </row>
        <row r="6">
          <cell r="A6" t="str">
            <v>叶炳南</v>
          </cell>
          <cell r="B6" t="str">
            <v>360426198012133016</v>
          </cell>
          <cell r="C6">
            <v>18879210658</v>
          </cell>
          <cell r="D6" t="str">
            <v>6215340300307379298</v>
          </cell>
          <cell r="E6" t="str">
            <v>建行</v>
          </cell>
          <cell r="F6">
            <v>330</v>
          </cell>
        </row>
        <row r="7">
          <cell r="A7" t="str">
            <v>金南水</v>
          </cell>
          <cell r="B7" t="str">
            <v>360426197911192816</v>
          </cell>
          <cell r="C7">
            <v>15170916916</v>
          </cell>
          <cell r="D7" t="str">
            <v>6215340300309160183</v>
          </cell>
          <cell r="E7" t="str">
            <v>建行</v>
          </cell>
          <cell r="F7">
            <v>290</v>
          </cell>
        </row>
        <row r="8">
          <cell r="A8" t="str">
            <v>赵大学</v>
          </cell>
          <cell r="B8" t="str">
            <v>360426197205144219</v>
          </cell>
          <cell r="C8">
            <v>15297927595</v>
          </cell>
          <cell r="D8" t="str">
            <v>6212261507002363334</v>
          </cell>
          <cell r="E8" t="str">
            <v>工行</v>
          </cell>
          <cell r="F8">
            <v>240</v>
          </cell>
        </row>
        <row r="9">
          <cell r="A9" t="str">
            <v>梅卉</v>
          </cell>
          <cell r="B9" t="str">
            <v>36042619830415322X</v>
          </cell>
          <cell r="C9">
            <v>18279247998</v>
          </cell>
          <cell r="D9" t="str">
            <v>6228480937104337574</v>
          </cell>
          <cell r="E9" t="str">
            <v>农行</v>
          </cell>
          <cell r="F9">
            <v>190</v>
          </cell>
        </row>
        <row r="10">
          <cell r="A10" t="str">
            <v>刘海</v>
          </cell>
          <cell r="B10" t="str">
            <v>360426198704123011</v>
          </cell>
          <cell r="C10">
            <v>13776179707</v>
          </cell>
          <cell r="D10" t="str">
            <v>6217002000061314664</v>
          </cell>
          <cell r="E10" t="str">
            <v>建行</v>
          </cell>
          <cell r="F10">
            <v>250</v>
          </cell>
        </row>
        <row r="11">
          <cell r="A11" t="str">
            <v>郑通文</v>
          </cell>
          <cell r="B11" t="str">
            <v>360426197502244435</v>
          </cell>
          <cell r="C11">
            <v>19079268081</v>
          </cell>
          <cell r="D11" t="str">
            <v>6217002030013103022</v>
          </cell>
          <cell r="E11" t="str">
            <v>建行</v>
          </cell>
          <cell r="F11">
            <v>280</v>
          </cell>
        </row>
        <row r="12">
          <cell r="A12" t="str">
            <v>王克松</v>
          </cell>
          <cell r="B12" t="str">
            <v>360426197801132812</v>
          </cell>
          <cell r="C12">
            <v>13576215104</v>
          </cell>
          <cell r="D12" t="str">
            <v>6213360939901040879</v>
          </cell>
          <cell r="E12" t="str">
            <v>农行</v>
          </cell>
          <cell r="F12">
            <v>240</v>
          </cell>
        </row>
        <row r="13">
          <cell r="A13" t="str">
            <v>闵杨孝</v>
          </cell>
          <cell r="B13" t="str">
            <v>36042619710129321X</v>
          </cell>
          <cell r="C13">
            <v>13879299375</v>
          </cell>
          <cell r="D13" t="str">
            <v>6226822011000471852</v>
          </cell>
          <cell r="E13" t="str">
            <v>江西农商</v>
          </cell>
          <cell r="F13">
            <v>240</v>
          </cell>
        </row>
        <row r="14">
          <cell r="A14" t="str">
            <v>陈嘉陵</v>
          </cell>
          <cell r="B14" t="str">
            <v>360426198410263211</v>
          </cell>
          <cell r="C14">
            <v>13576235505</v>
          </cell>
          <cell r="D14" t="str">
            <v>6217002089992651468</v>
          </cell>
          <cell r="E14" t="str">
            <v>建行</v>
          </cell>
          <cell r="F14">
            <v>340</v>
          </cell>
        </row>
        <row r="15">
          <cell r="A15" t="str">
            <v>邓付贞</v>
          </cell>
          <cell r="B15" t="str">
            <v>452329198009200318</v>
          </cell>
          <cell r="C15">
            <v>18778938719</v>
          </cell>
          <cell r="D15" t="str">
            <v>6236681420013851555</v>
          </cell>
          <cell r="E15" t="str">
            <v>建行</v>
          </cell>
          <cell r="F15">
            <v>400</v>
          </cell>
        </row>
        <row r="16">
          <cell r="A16" t="str">
            <v>邓石平</v>
          </cell>
          <cell r="B16" t="str">
            <v>450329200410180315</v>
          </cell>
          <cell r="C16">
            <v>19321449101</v>
          </cell>
          <cell r="D16" t="str">
            <v>6236681420030066633</v>
          </cell>
          <cell r="E16" t="str">
            <v>建行</v>
          </cell>
          <cell r="F16">
            <v>260</v>
          </cell>
        </row>
        <row r="17">
          <cell r="A17" t="str">
            <v>梅时金</v>
          </cell>
          <cell r="B17" t="str">
            <v>360426197807133015</v>
          </cell>
          <cell r="C17">
            <v>13479257690</v>
          </cell>
          <cell r="D17" t="str">
            <v>6217994240007740719</v>
          </cell>
          <cell r="E17" t="str">
            <v>邮政储蓄</v>
          </cell>
          <cell r="F17">
            <v>320</v>
          </cell>
        </row>
        <row r="18">
          <cell r="A18" t="str">
            <v>舒本荣</v>
          </cell>
          <cell r="B18" t="str">
            <v>360426198711204012</v>
          </cell>
          <cell r="C18">
            <v>18370114626</v>
          </cell>
          <cell r="D18" t="str">
            <v>6227002037000271489</v>
          </cell>
          <cell r="E18" t="str">
            <v>建行</v>
          </cell>
          <cell r="F18">
            <v>350</v>
          </cell>
        </row>
        <row r="19">
          <cell r="A19" t="str">
            <v>邓德成</v>
          </cell>
          <cell r="B19" t="str">
            <v>452329197706130314</v>
          </cell>
          <cell r="C19">
            <v>13768702591</v>
          </cell>
          <cell r="D19" t="str">
            <v>6228410140106434417</v>
          </cell>
          <cell r="E19" t="str">
            <v>农行</v>
          </cell>
          <cell r="F19">
            <v>350</v>
          </cell>
        </row>
        <row r="20">
          <cell r="A20" t="str">
            <v>雷友才</v>
          </cell>
          <cell r="B20" t="str">
            <v>360426197401243011</v>
          </cell>
          <cell r="C20">
            <v>18370209655</v>
          </cell>
          <cell r="D20" t="str">
            <v>6215340300307665993</v>
          </cell>
          <cell r="E20" t="str">
            <v>建行</v>
          </cell>
          <cell r="F20">
            <v>300</v>
          </cell>
        </row>
        <row r="21">
          <cell r="A21" t="str">
            <v>叶焰平</v>
          </cell>
          <cell r="B21" t="str">
            <v>360426197006143010</v>
          </cell>
          <cell r="C21">
            <v>15720981617</v>
          </cell>
          <cell r="D21" t="str">
            <v>6215340300307825829</v>
          </cell>
          <cell r="E21" t="str">
            <v>建行</v>
          </cell>
          <cell r="F21">
            <v>500</v>
          </cell>
        </row>
        <row r="22">
          <cell r="A22" t="str">
            <v>吴志刚</v>
          </cell>
          <cell r="B22" t="str">
            <v>360430197209110053</v>
          </cell>
          <cell r="C22">
            <v>17770210257</v>
          </cell>
          <cell r="D22" t="str">
            <v>6215340300307665134</v>
          </cell>
          <cell r="E22" t="str">
            <v>建行</v>
          </cell>
          <cell r="F22">
            <v>350</v>
          </cell>
        </row>
        <row r="23">
          <cell r="A23" t="str">
            <v>吴璇</v>
          </cell>
          <cell r="B23" t="str">
            <v>36043019950809251X</v>
          </cell>
          <cell r="C23">
            <v>18779286783</v>
          </cell>
          <cell r="D23" t="str">
            <v>6215340300307825779</v>
          </cell>
          <cell r="E23" t="str">
            <v>建行</v>
          </cell>
          <cell r="F23">
            <v>260</v>
          </cell>
        </row>
        <row r="24">
          <cell r="A24" t="str">
            <v>徐从国</v>
          </cell>
          <cell r="B24" t="str">
            <v>360426196905203019</v>
          </cell>
          <cell r="C24">
            <v>13133920055</v>
          </cell>
          <cell r="D24" t="str">
            <v>6217002030011035994</v>
          </cell>
          <cell r="E24" t="str">
            <v>建行</v>
          </cell>
          <cell r="F24">
            <v>280</v>
          </cell>
        </row>
        <row r="25">
          <cell r="A25" t="str">
            <v>何正拥</v>
          </cell>
          <cell r="B25" t="str">
            <v>422101197809097657</v>
          </cell>
          <cell r="C25">
            <v>13409937166</v>
          </cell>
          <cell r="D25" t="str">
            <v>6217002730010294803</v>
          </cell>
          <cell r="E25" t="str">
            <v>建行</v>
          </cell>
          <cell r="F25">
            <v>300</v>
          </cell>
        </row>
        <row r="26">
          <cell r="A26" t="str">
            <v>李银华</v>
          </cell>
          <cell r="B26" t="str">
            <v>421122198806037312</v>
          </cell>
          <cell r="C26">
            <v>15271602391</v>
          </cell>
          <cell r="D26" t="str">
            <v>6228481629552753878</v>
          </cell>
          <cell r="E26" t="str">
            <v>农行</v>
          </cell>
          <cell r="F26">
            <v>360</v>
          </cell>
        </row>
        <row r="27">
          <cell r="A27" t="str">
            <v>胡子穹</v>
          </cell>
          <cell r="B27" t="str">
            <v>360426199002233018</v>
          </cell>
          <cell r="C27">
            <v>18779253364</v>
          </cell>
          <cell r="D27" t="str">
            <v>6228480936080999662</v>
          </cell>
          <cell r="E27" t="str">
            <v>农行</v>
          </cell>
          <cell r="F27">
            <v>350</v>
          </cell>
        </row>
        <row r="28">
          <cell r="A28" t="str">
            <v>万焕和</v>
          </cell>
          <cell r="B28" t="str">
            <v>360425196908134614</v>
          </cell>
          <cell r="C28">
            <v>13670343986</v>
          </cell>
          <cell r="D28" t="str">
            <v>6217002030017347195</v>
          </cell>
          <cell r="E28" t="str">
            <v>建行</v>
          </cell>
          <cell r="F28">
            <v>320</v>
          </cell>
        </row>
        <row r="29">
          <cell r="A29" t="str">
            <v>王贤锦</v>
          </cell>
          <cell r="B29" t="str">
            <v>360426197702012014</v>
          </cell>
          <cell r="C29">
            <v>15079277218</v>
          </cell>
          <cell r="D29" t="str">
            <v>6215340300306387615</v>
          </cell>
          <cell r="E29" t="str">
            <v>建行</v>
          </cell>
          <cell r="F29">
            <v>320</v>
          </cell>
        </row>
        <row r="30">
          <cell r="A30" t="str">
            <v>成峰</v>
          </cell>
          <cell r="B30" t="str">
            <v>422101198207047016</v>
          </cell>
          <cell r="C30">
            <v>15629431786</v>
          </cell>
          <cell r="D30" t="str">
            <v>6236682730006715180</v>
          </cell>
          <cell r="E30" t="str">
            <v>建行</v>
          </cell>
          <cell r="F30">
            <v>370</v>
          </cell>
        </row>
        <row r="31">
          <cell r="A31" t="str">
            <v>何正新</v>
          </cell>
          <cell r="B31" t="str">
            <v>421181197501267630</v>
          </cell>
          <cell r="C31">
            <v>17689868278</v>
          </cell>
          <cell r="D31" t="str">
            <v>6217857600060500639</v>
          </cell>
          <cell r="E31" t="str">
            <v>中国银行</v>
          </cell>
          <cell r="F31">
            <v>320</v>
          </cell>
        </row>
        <row r="32">
          <cell r="A32" t="str">
            <v>吴长友</v>
          </cell>
          <cell r="B32" t="str">
            <v>360430197009204311</v>
          </cell>
          <cell r="C32">
            <v>15979916297</v>
          </cell>
          <cell r="D32" t="str">
            <v>6230520930037448277</v>
          </cell>
          <cell r="E32" t="str">
            <v>农行</v>
          </cell>
          <cell r="F32">
            <v>330</v>
          </cell>
        </row>
        <row r="33">
          <cell r="A33" t="str">
            <v>金李平</v>
          </cell>
          <cell r="B33" t="str">
            <v>360430199108120630</v>
          </cell>
          <cell r="C33">
            <v>15979950332</v>
          </cell>
          <cell r="D33" t="str">
            <v>6231120106008781556</v>
          </cell>
          <cell r="E33" t="str">
            <v>温州银行</v>
          </cell>
          <cell r="F33">
            <v>270</v>
          </cell>
        </row>
        <row r="34">
          <cell r="A34" t="str">
            <v>梅宝华</v>
          </cell>
          <cell r="B34" t="str">
            <v>360426197405232918</v>
          </cell>
          <cell r="C34">
            <v>18296276702</v>
          </cell>
          <cell r="D34" t="str">
            <v>6231460000007393430</v>
          </cell>
          <cell r="E34" t="str">
            <v>九江银行</v>
          </cell>
          <cell r="F34">
            <v>230</v>
          </cell>
        </row>
        <row r="35">
          <cell r="A35" t="str">
            <v>杨泽友</v>
          </cell>
          <cell r="B35" t="str">
            <v>413029196503293810</v>
          </cell>
          <cell r="C35">
            <v>17379200025</v>
          </cell>
          <cell r="D35" t="str">
            <v>6226822011000842433</v>
          </cell>
          <cell r="E35" t="str">
            <v>江西农商银行</v>
          </cell>
          <cell r="F35">
            <v>230</v>
          </cell>
        </row>
        <row r="36">
          <cell r="A36" t="str">
            <v>闵期忠</v>
          </cell>
          <cell r="B36" t="str">
            <v>360426196203063218</v>
          </cell>
          <cell r="C36">
            <v>15779222398</v>
          </cell>
          <cell r="D36" t="str">
            <v>6231461800000484840</v>
          </cell>
          <cell r="E36" t="str">
            <v>九江银行</v>
          </cell>
          <cell r="F36">
            <v>230</v>
          </cell>
        </row>
        <row r="37">
          <cell r="A37" t="str">
            <v>聂峰</v>
          </cell>
          <cell r="B37" t="str">
            <v>360426197810043010</v>
          </cell>
          <cell r="C37">
            <v>15387757821</v>
          </cell>
          <cell r="D37" t="str">
            <v>6226822011000551869</v>
          </cell>
          <cell r="E37" t="str">
            <v>共青农商行</v>
          </cell>
          <cell r="F37">
            <v>500</v>
          </cell>
        </row>
        <row r="38">
          <cell r="A38" t="str">
            <v>胡家新</v>
          </cell>
          <cell r="B38" t="str">
            <v>360401198601233018</v>
          </cell>
          <cell r="C38">
            <v>15717021522</v>
          </cell>
          <cell r="D38" t="str">
            <v>6215340300306731374</v>
          </cell>
          <cell r="E38" t="str">
            <v>建行</v>
          </cell>
          <cell r="F38">
            <v>270</v>
          </cell>
        </row>
        <row r="39">
          <cell r="A39" t="str">
            <v>舒诗远</v>
          </cell>
          <cell r="B39" t="str">
            <v>433130198108011717</v>
          </cell>
          <cell r="C39">
            <v>18557702265</v>
          </cell>
          <cell r="D39" t="str">
            <v>6236681420011983319</v>
          </cell>
          <cell r="E39" t="str">
            <v>建行</v>
          </cell>
          <cell r="F39">
            <v>350</v>
          </cell>
        </row>
        <row r="40">
          <cell r="A40" t="str">
            <v>邓泽贵</v>
          </cell>
          <cell r="B40" t="str">
            <v>36042619831022301X</v>
          </cell>
          <cell r="C40">
            <v>15374329686</v>
          </cell>
          <cell r="D40" t="str">
            <v>6214672030004767252</v>
          </cell>
          <cell r="E40" t="str">
            <v>建行</v>
          </cell>
          <cell r="F40">
            <v>350</v>
          </cell>
        </row>
        <row r="41">
          <cell r="A41" t="str">
            <v>杨新星</v>
          </cell>
          <cell r="B41" t="str">
            <v>362526197304164132</v>
          </cell>
          <cell r="C41">
            <v>18957718057</v>
          </cell>
          <cell r="D41" t="str">
            <v>6213360339980863376</v>
          </cell>
          <cell r="E41" t="str">
            <v>农行</v>
          </cell>
          <cell r="F41">
            <v>270</v>
          </cell>
        </row>
        <row r="42">
          <cell r="A42" t="str">
            <v>陈恭能</v>
          </cell>
          <cell r="B42" t="str">
            <v>362202198702273817</v>
          </cell>
          <cell r="C42">
            <v>13627050813</v>
          </cell>
          <cell r="D42" t="str">
            <v>6228480395836090278</v>
          </cell>
          <cell r="E42" t="str">
            <v>农行</v>
          </cell>
          <cell r="F42">
            <v>350</v>
          </cell>
        </row>
        <row r="43">
          <cell r="A43" t="str">
            <v>李强</v>
          </cell>
          <cell r="B43" t="str">
            <v>362202198812143810</v>
          </cell>
          <cell r="C43">
            <v>15879106510</v>
          </cell>
          <cell r="D43" t="str">
            <v>6228482328767330270</v>
          </cell>
          <cell r="E43" t="str">
            <v>农行</v>
          </cell>
          <cell r="F43">
            <v>350</v>
          </cell>
        </row>
        <row r="44">
          <cell r="A44" t="str">
            <v>程章赐</v>
          </cell>
          <cell r="B44" t="str">
            <v>360426199411123012</v>
          </cell>
          <cell r="C44">
            <v>18179222391</v>
          </cell>
          <cell r="D44" t="str">
            <v>6212263901017141082</v>
          </cell>
          <cell r="E44" t="str">
            <v>工行宁波奉化大桥支行</v>
          </cell>
          <cell r="F44">
            <v>350</v>
          </cell>
        </row>
        <row r="45">
          <cell r="A45" t="str">
            <v>程章材</v>
          </cell>
          <cell r="B45" t="str">
            <v>360426200711062915</v>
          </cell>
          <cell r="C45">
            <v>18170422504</v>
          </cell>
          <cell r="D45" t="str">
            <v>6222031507004973955</v>
          </cell>
          <cell r="E45" t="str">
            <v>工行德安支行营业室</v>
          </cell>
          <cell r="F45">
            <v>200</v>
          </cell>
        </row>
        <row r="46">
          <cell r="A46" t="str">
            <v>张亮亮</v>
          </cell>
          <cell r="B46" t="str">
            <v>360428198910131234</v>
          </cell>
          <cell r="C46">
            <v>18815111265</v>
          </cell>
          <cell r="D46" t="str">
            <v>6231120106007980472</v>
          </cell>
          <cell r="E46" t="str">
            <v>温州银行</v>
          </cell>
          <cell r="F46">
            <v>390</v>
          </cell>
        </row>
        <row r="47">
          <cell r="A47" t="str">
            <v>张小友</v>
          </cell>
          <cell r="B47" t="str">
            <v>360428196710101234</v>
          </cell>
          <cell r="C47">
            <v>18579227918</v>
          </cell>
          <cell r="D47" t="str">
            <v>6226822011201258074</v>
          </cell>
          <cell r="E47" t="str">
            <v>江西农村信用社</v>
          </cell>
          <cell r="F47">
            <v>370</v>
          </cell>
        </row>
        <row r="48">
          <cell r="A48" t="str">
            <v>曹买生</v>
          </cell>
          <cell r="B48" t="str">
            <v>360428197409250833</v>
          </cell>
          <cell r="C48">
            <v>15579227610</v>
          </cell>
          <cell r="D48" t="str">
            <v>6215581507011107553</v>
          </cell>
          <cell r="E48" t="str">
            <v>中国工商银行</v>
          </cell>
          <cell r="F48">
            <v>360</v>
          </cell>
        </row>
        <row r="49">
          <cell r="A49" t="str">
            <v>刘桂水</v>
          </cell>
          <cell r="B49" t="str">
            <v>360428197201291214</v>
          </cell>
          <cell r="C49">
            <v>18379610279</v>
          </cell>
          <cell r="D49" t="str">
            <v>6214671420004841408</v>
          </cell>
          <cell r="E49" t="str">
            <v>建行</v>
          </cell>
          <cell r="F49">
            <v>270</v>
          </cell>
        </row>
        <row r="50">
          <cell r="A50" t="str">
            <v>张小朋</v>
          </cell>
          <cell r="B50" t="str">
            <v>360428196312121213</v>
          </cell>
          <cell r="C50">
            <v>13587969376</v>
          </cell>
          <cell r="D50" t="str">
            <v>6231120106007980498</v>
          </cell>
          <cell r="E50" t="str">
            <v>温州银行</v>
          </cell>
          <cell r="F50">
            <v>400</v>
          </cell>
        </row>
        <row r="51">
          <cell r="A51" t="str">
            <v>王先礼</v>
          </cell>
          <cell r="B51" t="str">
            <v>360426196503023015</v>
          </cell>
          <cell r="C51">
            <v>13870225097</v>
          </cell>
          <cell r="D51" t="str">
            <v>6226822200169310338</v>
          </cell>
          <cell r="E51" t="str">
            <v>江西信用社</v>
          </cell>
          <cell r="F51">
            <v>210</v>
          </cell>
        </row>
        <row r="52">
          <cell r="A52" t="str">
            <v>杨明定</v>
          </cell>
          <cell r="B52" t="str">
            <v>360426196712103214</v>
          </cell>
          <cell r="C52">
            <v>15007923929</v>
          </cell>
          <cell r="D52" t="str">
            <v>6217002020080616352</v>
          </cell>
          <cell r="E52" t="str">
            <v>建行</v>
          </cell>
          <cell r="F52">
            <v>310</v>
          </cell>
        </row>
        <row r="53">
          <cell r="A53" t="str">
            <v>王兴蛟</v>
          </cell>
          <cell r="B53" t="str">
            <v>360426199509142019</v>
          </cell>
          <cell r="C53">
            <v>13697026388</v>
          </cell>
          <cell r="D53" t="str">
            <v>6230520930023987379</v>
          </cell>
          <cell r="E53" t="str">
            <v>农行</v>
          </cell>
          <cell r="F53">
            <v>320</v>
          </cell>
        </row>
        <row r="54">
          <cell r="A54" t="str">
            <v>徐平</v>
          </cell>
          <cell r="B54" t="str">
            <v>360428197702195810</v>
          </cell>
          <cell r="C54">
            <v>13507024968</v>
          </cell>
          <cell r="D54" t="str">
            <v>6228480339482806579</v>
          </cell>
          <cell r="E54" t="str">
            <v>农行</v>
          </cell>
          <cell r="F54">
            <v>350</v>
          </cell>
        </row>
        <row r="55">
          <cell r="A55" t="str">
            <v>朱俊英</v>
          </cell>
          <cell r="B55" t="str">
            <v>360430197501211126</v>
          </cell>
          <cell r="C55">
            <v>18779260595</v>
          </cell>
          <cell r="D55" t="str">
            <v>6217994240008636221</v>
          </cell>
          <cell r="E55" t="str">
            <v>邮政储蓄</v>
          </cell>
          <cell r="F55">
            <v>240</v>
          </cell>
        </row>
        <row r="56">
          <cell r="A56" t="str">
            <v>彭海飞</v>
          </cell>
          <cell r="B56" t="str">
            <v>360502199009016416</v>
          </cell>
          <cell r="C56">
            <v>13587712746</v>
          </cell>
          <cell r="D56" t="str">
            <v>6215824260000028391</v>
          </cell>
          <cell r="E56" t="str">
            <v>邮政储蓄</v>
          </cell>
          <cell r="F56">
            <v>350</v>
          </cell>
        </row>
        <row r="57">
          <cell r="A57" t="str">
            <v>钟磊</v>
          </cell>
          <cell r="B57" t="str">
            <v>360502198507056096</v>
          </cell>
          <cell r="C57">
            <v>13426671223</v>
          </cell>
          <cell r="D57" t="str">
            <v>6222 7595 1309 8467</v>
          </cell>
          <cell r="E57" t="str">
            <v>江西银行</v>
          </cell>
          <cell r="F57">
            <v>300</v>
          </cell>
        </row>
        <row r="58">
          <cell r="A58" t="str">
            <v>王平元</v>
          </cell>
          <cell r="B58" t="str">
            <v>360403196211212418</v>
          </cell>
          <cell r="C58">
            <v>13133655967</v>
          </cell>
          <cell r="D58" t="str">
            <v>6228480938756391778</v>
          </cell>
          <cell r="E58" t="str">
            <v>农行温州苍南县分行</v>
          </cell>
          <cell r="F58">
            <v>350</v>
          </cell>
        </row>
        <row r="59">
          <cell r="A59" t="str">
            <v>魏加军</v>
          </cell>
          <cell r="B59" t="str">
            <v>360426197404105212</v>
          </cell>
          <cell r="C59">
            <v>18172932339</v>
          </cell>
          <cell r="D59" t="str">
            <v>6217906500057294728</v>
          </cell>
          <cell r="E59" t="str">
            <v>中国银行德安支行营业部</v>
          </cell>
          <cell r="F59">
            <v>400</v>
          </cell>
        </row>
        <row r="60">
          <cell r="A60" t="str">
            <v>姚俊强</v>
          </cell>
          <cell r="B60" t="str">
            <v>360426199702140015</v>
          </cell>
          <cell r="C60">
            <v>18170271567</v>
          </cell>
          <cell r="D60" t="str">
            <v>6231465200000537653</v>
          </cell>
          <cell r="E60" t="str">
            <v>九江银行</v>
          </cell>
          <cell r="F60">
            <v>4500</v>
          </cell>
        </row>
        <row r="61">
          <cell r="A61" t="str">
            <v>赵晶晶</v>
          </cell>
          <cell r="B61" t="str">
            <v>360428199105120617</v>
          </cell>
          <cell r="C61">
            <v>18720232145</v>
          </cell>
          <cell r="D61" t="str">
            <v>6216696200002781160</v>
          </cell>
          <cell r="E61" t="str">
            <v>中国银行</v>
          </cell>
          <cell r="F61">
            <v>360</v>
          </cell>
        </row>
        <row r="62">
          <cell r="A62" t="str">
            <v>陈德银</v>
          </cell>
          <cell r="B62" t="str">
            <v>360426196611043013</v>
          </cell>
          <cell r="C62">
            <v>18279295838</v>
          </cell>
          <cell r="D62" t="str">
            <v>6217994240009175609</v>
          </cell>
          <cell r="E62" t="str">
            <v>邮政储蓄</v>
          </cell>
          <cell r="F62">
            <v>260</v>
          </cell>
        </row>
        <row r="63">
          <cell r="A63" t="str">
            <v>占善庆</v>
          </cell>
          <cell r="B63" t="str">
            <v>360428198308291411</v>
          </cell>
          <cell r="C63">
            <v>13434198199</v>
          </cell>
          <cell r="D63" t="str">
            <v>6231460000012364137</v>
          </cell>
          <cell r="E63" t="str">
            <v>九江银行</v>
          </cell>
          <cell r="F63">
            <v>400</v>
          </cell>
        </row>
        <row r="64">
          <cell r="A64" t="str">
            <v>刘俊国</v>
          </cell>
          <cell r="B64" t="str">
            <v>360426196807303016</v>
          </cell>
          <cell r="C64">
            <v>18170220269</v>
          </cell>
          <cell r="D64" t="str">
            <v>6226822011001463296</v>
          </cell>
          <cell r="E64" t="str">
            <v>江西农商银行</v>
          </cell>
          <cell r="F64">
            <v>320</v>
          </cell>
        </row>
        <row r="65">
          <cell r="A65" t="str">
            <v>桂木生</v>
          </cell>
          <cell r="B65" t="str">
            <v>360426196305054419</v>
          </cell>
          <cell r="C65">
            <v>15180662955</v>
          </cell>
          <cell r="D65" t="str">
            <v>6231460000005785512</v>
          </cell>
          <cell r="E65" t="str">
            <v>九江银行</v>
          </cell>
          <cell r="F65">
            <v>300</v>
          </cell>
        </row>
        <row r="66">
          <cell r="A66" t="str">
            <v>宋增广</v>
          </cell>
          <cell r="B66" t="str">
            <v>360426196809234018</v>
          </cell>
          <cell r="C66">
            <v>13657023398</v>
          </cell>
          <cell r="D66" t="str">
            <v>6217002030015020455</v>
          </cell>
          <cell r="E66" t="str">
            <v>建行</v>
          </cell>
          <cell r="F66">
            <v>300</v>
          </cell>
        </row>
        <row r="68">
          <cell r="A68" t="str">
            <v>钱超</v>
          </cell>
          <cell r="B68" t="str">
            <v>422130199005090012</v>
          </cell>
          <cell r="C68">
            <v>13870277349</v>
          </cell>
          <cell r="D68" t="str">
            <v>6217994240009179676</v>
          </cell>
          <cell r="E68" t="str">
            <v>邮政储蓄</v>
          </cell>
        </row>
        <row r="69">
          <cell r="A69" t="str">
            <v>洪杰</v>
          </cell>
          <cell r="B69" t="str">
            <v>360401198007192014</v>
          </cell>
          <cell r="C69">
            <v>18979272248</v>
          </cell>
          <cell r="D69" t="str">
            <v>6228230935314792169</v>
          </cell>
          <cell r="E69" t="str">
            <v>农行</v>
          </cell>
        </row>
        <row r="70">
          <cell r="A70" t="str">
            <v>张滨</v>
          </cell>
          <cell r="B70" t="str">
            <v>360426197702212614</v>
          </cell>
          <cell r="C70">
            <v>13860193039</v>
          </cell>
          <cell r="D70" t="str">
            <v>6217001930028314178</v>
          </cell>
          <cell r="E70" t="str">
            <v>建行</v>
          </cell>
          <cell r="F70">
            <v>8000</v>
          </cell>
        </row>
        <row r="71">
          <cell r="A71" t="str">
            <v>张淑平</v>
          </cell>
          <cell r="B71" t="str">
            <v>421122198209066887</v>
          </cell>
          <cell r="C71">
            <v>15972869091</v>
          </cell>
          <cell r="D71" t="str">
            <v>6228480339482550672</v>
          </cell>
          <cell r="E71" t="str">
            <v>农行</v>
          </cell>
          <cell r="F71">
            <v>5000</v>
          </cell>
        </row>
        <row r="72">
          <cell r="A72" t="str">
            <v>聂辉</v>
          </cell>
          <cell r="B72" t="str">
            <v>360426197609133014</v>
          </cell>
          <cell r="C72">
            <v>19979211119</v>
          </cell>
          <cell r="D72" t="str">
            <v>6226822011000694982</v>
          </cell>
          <cell r="E72" t="str">
            <v>德安</v>
          </cell>
          <cell r="F72">
            <v>10000</v>
          </cell>
        </row>
        <row r="73">
          <cell r="A73" t="str">
            <v>王伟</v>
          </cell>
          <cell r="B73" t="str">
            <v>360426197708273012</v>
          </cell>
          <cell r="C73">
            <v>13879272186</v>
          </cell>
          <cell r="D73" t="str">
            <v>6226825811020011290</v>
          </cell>
          <cell r="E73" t="str">
            <v>共青农商行</v>
          </cell>
          <cell r="F73">
            <v>10000</v>
          </cell>
        </row>
        <row r="74">
          <cell r="A74" t="str">
            <v>朱金里</v>
          </cell>
          <cell r="B74" t="str">
            <v>360426196611022618</v>
          </cell>
          <cell r="C74">
            <v>13879290362</v>
          </cell>
          <cell r="D74" t="str">
            <v>6228480938604287871</v>
          </cell>
          <cell r="E74" t="str">
            <v>农行</v>
          </cell>
        </row>
        <row r="75">
          <cell r="A75" t="str">
            <v>梅景枝</v>
          </cell>
          <cell r="B75" t="str">
            <v>360426197705050817</v>
          </cell>
          <cell r="C75">
            <v>19101579806</v>
          </cell>
          <cell r="D75" t="str">
            <v>6213326500009349290</v>
          </cell>
        </row>
        <row r="76">
          <cell r="A76" t="str">
            <v>徐文元</v>
          </cell>
          <cell r="B76" t="str">
            <v>360426196611200816</v>
          </cell>
          <cell r="C76">
            <v>15949559938</v>
          </cell>
          <cell r="D76" t="str">
            <v>6221804240001316948</v>
          </cell>
          <cell r="E76" t="str">
            <v>邮政储蓄</v>
          </cell>
        </row>
        <row r="77">
          <cell r="A77" t="str">
            <v>张友论</v>
          </cell>
          <cell r="B77" t="str">
            <v>360426197107302615</v>
          </cell>
          <cell r="C77">
            <v>18897924077</v>
          </cell>
          <cell r="D77" t="str">
            <v>6228410934525574179</v>
          </cell>
          <cell r="E77" t="str">
            <v>农行</v>
          </cell>
        </row>
        <row r="80">
          <cell r="A80" t="str">
            <v>龚文坚</v>
          </cell>
          <cell r="B80" t="str">
            <v>362202198311263857</v>
          </cell>
          <cell r="C80">
            <v>18070020223</v>
          </cell>
          <cell r="D80" t="str">
            <v>6236682020001129797</v>
          </cell>
          <cell r="E80" t="str">
            <v>建行</v>
          </cell>
        </row>
        <row r="81">
          <cell r="A81" t="str">
            <v>陈长江</v>
          </cell>
          <cell r="B81" t="str">
            <v>36220219660205401X</v>
          </cell>
          <cell r="C81">
            <v>15970264318</v>
          </cell>
          <cell r="D81" t="str">
            <v>6212261508005277281</v>
          </cell>
          <cell r="E81" t="str">
            <v>工行</v>
          </cell>
        </row>
        <row r="82">
          <cell r="A82" t="str">
            <v>付春平</v>
          </cell>
          <cell r="B82" t="str">
            <v>362529196503104014</v>
          </cell>
          <cell r="C82">
            <v>18079452676</v>
          </cell>
          <cell r="D82" t="str">
            <v>6217906500030663841</v>
          </cell>
          <cell r="E82" t="str">
            <v>中国银行</v>
          </cell>
        </row>
        <row r="83">
          <cell r="A83" t="str">
            <v>刘志华</v>
          </cell>
          <cell r="B83" t="str">
            <v>362529197812060013</v>
          </cell>
          <cell r="C83">
            <v>15727599198</v>
          </cell>
          <cell r="D83" t="str">
            <v>6217856500011182928</v>
          </cell>
          <cell r="E83" t="str">
            <v>中国银行</v>
          </cell>
        </row>
        <row r="84">
          <cell r="A84" t="str">
            <v>胡志鹏</v>
          </cell>
          <cell r="B84" t="str">
            <v>362202200102072317</v>
          </cell>
          <cell r="C84">
            <v>15879151965</v>
          </cell>
          <cell r="D84" t="str">
            <v>6217002120018653475</v>
          </cell>
          <cell r="E84" t="str">
            <v>建行</v>
          </cell>
        </row>
        <row r="85">
          <cell r="A85" t="str">
            <v>金芳雷</v>
          </cell>
          <cell r="B85" t="str">
            <v>36220219971007381X</v>
          </cell>
          <cell r="C85">
            <v>18720537582</v>
          </cell>
          <cell r="D85" t="str">
            <v>6217001590030847563</v>
          </cell>
          <cell r="E85" t="str">
            <v>建行</v>
          </cell>
        </row>
        <row r="86">
          <cell r="A86" t="str">
            <v>邹满清</v>
          </cell>
          <cell r="B86" t="str">
            <v>362202197502254211</v>
          </cell>
          <cell r="C86">
            <v>13768313145</v>
          </cell>
          <cell r="D86" t="str">
            <v>6217002020079300414</v>
          </cell>
          <cell r="E86" t="str">
            <v>建行</v>
          </cell>
        </row>
        <row r="87">
          <cell r="A87" t="str">
            <v>罗峰</v>
          </cell>
          <cell r="B87" t="str">
            <v>362202198608013816</v>
          </cell>
          <cell r="C87">
            <v>13691836353</v>
          </cell>
          <cell r="D87" t="str">
            <v>6216616504001826893</v>
          </cell>
          <cell r="E87" t="str">
            <v>中国银行</v>
          </cell>
        </row>
        <row r="88">
          <cell r="A88" t="str">
            <v>金善洪</v>
          </cell>
          <cell r="B88" t="str">
            <v>362202199110063837</v>
          </cell>
          <cell r="C88">
            <v>18379578699</v>
          </cell>
          <cell r="D88" t="str">
            <v>6217856500011182910</v>
          </cell>
          <cell r="E88" t="str">
            <v>中国银行</v>
          </cell>
        </row>
        <row r="89">
          <cell r="A89" t="str">
            <v>张彭生</v>
          </cell>
          <cell r="B89" t="str">
            <v>362221196602063812</v>
          </cell>
          <cell r="C89">
            <v>18720514624</v>
          </cell>
          <cell r="D89" t="str">
            <v>6217856500011182902</v>
          </cell>
          <cell r="E89" t="str">
            <v>中国银行</v>
          </cell>
        </row>
        <row r="90">
          <cell r="A90" t="str">
            <v>龚长英</v>
          </cell>
          <cell r="B90" t="str">
            <v>362202196612043824</v>
          </cell>
          <cell r="C90">
            <v>19179564268</v>
          </cell>
          <cell r="D90" t="str">
            <v>6217856500011182894</v>
          </cell>
          <cell r="E90" t="str">
            <v>中国银行</v>
          </cell>
        </row>
        <row r="91">
          <cell r="A91" t="str">
            <v>张先峰</v>
          </cell>
          <cell r="B91" t="str">
            <v>362202199411253837</v>
          </cell>
          <cell r="C91">
            <v>18370548715</v>
          </cell>
          <cell r="D91" t="str">
            <v>6235736200012837772</v>
          </cell>
          <cell r="E91" t="str">
            <v>中国银行</v>
          </cell>
        </row>
        <row r="92">
          <cell r="A92" t="str">
            <v>金胜华</v>
          </cell>
          <cell r="B92" t="str">
            <v>362222197808296559</v>
          </cell>
          <cell r="C92">
            <v>13979582577</v>
          </cell>
          <cell r="D92" t="str">
            <v>6230942100000456224</v>
          </cell>
          <cell r="E92" t="str">
            <v>建行</v>
          </cell>
        </row>
        <row r="93">
          <cell r="A93" t="str">
            <v>陈亚平</v>
          </cell>
          <cell r="B93" t="str">
            <v>362529196806222034</v>
          </cell>
          <cell r="C93">
            <v>13859731510</v>
          </cell>
          <cell r="D93" t="str">
            <v>6217856500011182878</v>
          </cell>
          <cell r="E93" t="str">
            <v>中国银行</v>
          </cell>
        </row>
        <row r="94">
          <cell r="A94" t="str">
            <v>王长财</v>
          </cell>
          <cell r="B94" t="str">
            <v>362529197411252014</v>
          </cell>
          <cell r="C94">
            <v>13870437208</v>
          </cell>
          <cell r="D94" t="str">
            <v>6217856500011182886</v>
          </cell>
          <cell r="E94" t="str">
            <v>中国银行</v>
          </cell>
        </row>
        <row r="95">
          <cell r="A95" t="str">
            <v>毛伟</v>
          </cell>
          <cell r="B95" t="str">
            <v>362529196907022015</v>
          </cell>
          <cell r="C95">
            <v>13698041518</v>
          </cell>
          <cell r="D95" t="str">
            <v>6217906500034562007</v>
          </cell>
          <cell r="E95" t="str">
            <v>中国银行</v>
          </cell>
        </row>
        <row r="96">
          <cell r="A96" t="str">
            <v>罗腾</v>
          </cell>
          <cell r="B96" t="str">
            <v>362202198311263830</v>
          </cell>
          <cell r="C96">
            <v>18279588728</v>
          </cell>
          <cell r="D96" t="str">
            <v>6217906500026762706</v>
          </cell>
          <cell r="E96" t="str">
            <v>中国银行</v>
          </cell>
        </row>
        <row r="97">
          <cell r="A97" t="str">
            <v>罗来彬</v>
          </cell>
          <cell r="B97" t="str">
            <v>362221196801043814</v>
          </cell>
          <cell r="C97">
            <v>18720537298</v>
          </cell>
          <cell r="D97" t="str">
            <v>6217896200000372984</v>
          </cell>
          <cell r="E97" t="str">
            <v>中国银行</v>
          </cell>
        </row>
        <row r="98">
          <cell r="A98" t="str">
            <v>周玉兴</v>
          </cell>
          <cell r="B98" t="str">
            <v>360421196208155232</v>
          </cell>
          <cell r="C98">
            <v>15179268258</v>
          </cell>
          <cell r="D98" t="str">
            <v>6217002030014457930</v>
          </cell>
          <cell r="E98" t="str">
            <v>建行</v>
          </cell>
        </row>
        <row r="99">
          <cell r="A99" t="str">
            <v>李年付</v>
          </cell>
          <cell r="B99" t="str">
            <v>360421197001055255</v>
          </cell>
          <cell r="C99">
            <v>15270571107</v>
          </cell>
          <cell r="D99" t="str">
            <v>6217002030000802073</v>
          </cell>
          <cell r="E99" t="str">
            <v>建行</v>
          </cell>
        </row>
        <row r="100">
          <cell r="A100" t="str">
            <v>桑昌勇</v>
          </cell>
          <cell r="B100" t="str">
            <v>360421196808195211</v>
          </cell>
          <cell r="C100">
            <v>13479223138</v>
          </cell>
          <cell r="D100" t="str">
            <v>6217002030015995607</v>
          </cell>
          <cell r="E100" t="str">
            <v>建行</v>
          </cell>
        </row>
        <row r="101">
          <cell r="A101" t="str">
            <v>曹桂兰</v>
          </cell>
          <cell r="B101" t="str">
            <v>360403197809210382</v>
          </cell>
          <cell r="C101">
            <v>18970232077</v>
          </cell>
          <cell r="D101" t="str">
            <v>6217002030007368730</v>
          </cell>
          <cell r="E101" t="str">
            <v>建行</v>
          </cell>
        </row>
        <row r="102">
          <cell r="A102" t="str">
            <v>刘元龙</v>
          </cell>
          <cell r="B102" t="str">
            <v>360421197908264493</v>
          </cell>
          <cell r="C102">
            <v>13426581426</v>
          </cell>
          <cell r="D102" t="str">
            <v>6217002030015202558</v>
          </cell>
          <cell r="E102" t="str">
            <v>建行</v>
          </cell>
        </row>
        <row r="103">
          <cell r="A103" t="str">
            <v>余乃年</v>
          </cell>
          <cell r="B103" t="str">
            <v>360421196312295219</v>
          </cell>
          <cell r="C103">
            <v>13979270426</v>
          </cell>
          <cell r="D103" t="str">
            <v>6236682030000539854</v>
          </cell>
          <cell r="E103" t="str">
            <v>建行</v>
          </cell>
        </row>
        <row r="104">
          <cell r="A104" t="str">
            <v>朱模明</v>
          </cell>
          <cell r="B104" t="str">
            <v>360421197605245236</v>
          </cell>
          <cell r="C104">
            <v>18979226781</v>
          </cell>
          <cell r="D104" t="str">
            <v>6227002033000330268</v>
          </cell>
          <cell r="E104" t="str">
            <v>建行</v>
          </cell>
        </row>
        <row r="105">
          <cell r="A105" t="str">
            <v>高征坤</v>
          </cell>
          <cell r="B105" t="str">
            <v>36042719680925041X</v>
          </cell>
          <cell r="C105">
            <v>173792729391</v>
          </cell>
          <cell r="D105" t="str">
            <v>6215340300308917674</v>
          </cell>
          <cell r="E105" t="str">
            <v>建行</v>
          </cell>
          <cell r="F105">
            <v>290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D12" sqref="D12"/>
    </sheetView>
  </sheetViews>
  <sheetFormatPr defaultColWidth="9" defaultRowHeight="14"/>
  <cols>
    <col min="2" max="2" width="30.4545454545455" customWidth="1"/>
    <col min="3" max="3" width="15.0909090909091" customWidth="1"/>
    <col min="4" max="4" width="13.3636363636364" customWidth="1"/>
    <col min="5" max="5" width="16.2727272727273" customWidth="1"/>
    <col min="6" max="6" width="13.5454545454545" customWidth="1"/>
    <col min="7" max="7" width="15.181818181818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C2">
        <v>0</v>
      </c>
      <c r="D2">
        <v>0</v>
      </c>
      <c r="E2" t="s">
        <v>10</v>
      </c>
      <c r="F2">
        <v>0</v>
      </c>
      <c r="G2">
        <v>0</v>
      </c>
      <c r="I2">
        <v>0</v>
      </c>
    </row>
    <row r="3" spans="1:10">
      <c r="A3" t="s">
        <v>11</v>
      </c>
      <c r="B3" t="s">
        <v>12</v>
      </c>
      <c r="C3">
        <v>510758.96</v>
      </c>
      <c r="D3">
        <v>0</v>
      </c>
      <c r="E3">
        <v>0</v>
      </c>
      <c r="F3">
        <v>510758.96</v>
      </c>
      <c r="G3">
        <v>102151.79</v>
      </c>
      <c r="I3">
        <v>408607.17</v>
      </c>
    </row>
    <row r="4" spans="1:10">
      <c r="A4" t="s">
        <v>13</v>
      </c>
      <c r="B4" t="s">
        <v>14</v>
      </c>
      <c r="C4">
        <v>4362576.49</v>
      </c>
      <c r="D4">
        <v>2658453.36</v>
      </c>
      <c r="E4">
        <v>0.609376905160006</v>
      </c>
      <c r="F4">
        <v>1704123.13</v>
      </c>
      <c r="G4">
        <v>2658453.36</v>
      </c>
      <c r="I4">
        <v>1704123.13</v>
      </c>
    </row>
    <row r="5" spans="1:10">
      <c r="B5" t="s">
        <v>15</v>
      </c>
      <c r="C5">
        <v>695372.72</v>
      </c>
      <c r="D5">
        <v>562296</v>
      </c>
      <c r="E5">
        <v>0.808625336927224</v>
      </c>
      <c r="F5">
        <v>133076.72</v>
      </c>
      <c r="G5">
        <v>562296</v>
      </c>
      <c r="I5">
        <v>133076.72</v>
      </c>
    </row>
    <row r="6" spans="1:10">
      <c r="B6" t="s">
        <v>15</v>
      </c>
      <c r="C6">
        <v>960000</v>
      </c>
      <c r="D6">
        <v>670593.83</v>
      </c>
      <c r="E6">
        <v>0.698535239583333</v>
      </c>
      <c r="F6">
        <v>289406.17</v>
      </c>
      <c r="G6">
        <v>670593.83</v>
      </c>
      <c r="I6">
        <v>289406.17</v>
      </c>
    </row>
    <row r="7" spans="1:10">
      <c r="B7" t="s">
        <v>15</v>
      </c>
      <c r="C7">
        <v>64000</v>
      </c>
      <c r="D7">
        <v>51200</v>
      </c>
      <c r="E7">
        <v>0.8</v>
      </c>
      <c r="F7">
        <v>12800</v>
      </c>
      <c r="G7">
        <v>51200</v>
      </c>
      <c r="I7">
        <v>12800</v>
      </c>
    </row>
    <row r="8" spans="1:10">
      <c r="B8" t="s">
        <v>16</v>
      </c>
      <c r="C8">
        <v>1641809</v>
      </c>
      <c r="D8">
        <v>1148361.8</v>
      </c>
      <c r="E8">
        <v>0.699449083297753</v>
      </c>
      <c r="F8">
        <v>493447.2</v>
      </c>
      <c r="G8">
        <v>1148361.8</v>
      </c>
      <c r="I8">
        <v>493447.2</v>
      </c>
    </row>
    <row r="9" spans="1:10">
      <c r="B9" t="s">
        <v>17</v>
      </c>
      <c r="C9">
        <v>95560.56</v>
      </c>
      <c r="D9">
        <v>63746.59</v>
      </c>
      <c r="E9">
        <v>0.667080540340073</v>
      </c>
      <c r="F9">
        <v>31813.97</v>
      </c>
      <c r="G9">
        <v>88334.56</v>
      </c>
      <c r="I9">
        <v>2672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E20" sqref="E20"/>
    </sheetView>
  </sheetViews>
  <sheetFormatPr defaultColWidth="9" defaultRowHeight="14"/>
  <cols>
    <col min="3" max="3" width="13" customWidth="1"/>
    <col min="5" max="5" width="11.7272727272727" customWidth="1"/>
    <col min="6" max="6" width="13.7272727272727" customWidth="1"/>
    <col min="7" max="7" width="13.1818181818182" customWidth="1"/>
  </cols>
  <sheetData>
    <row r="1" spans="1:13">
      <c r="A1" t="s">
        <v>18</v>
      </c>
      <c r="F1" t="s">
        <v>19</v>
      </c>
      <c r="G1">
        <v>45292</v>
      </c>
      <c r="H1" t="s">
        <v>20</v>
      </c>
      <c r="I1">
        <v>28</v>
      </c>
    </row>
    <row r="3" spans="1:1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13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 spans="1:13">
      <c r="A4">
        <v>1</v>
      </c>
      <c r="B4" t="s">
        <v>33</v>
      </c>
      <c r="C4" t="s">
        <v>34</v>
      </c>
      <c r="D4">
        <v>1532992.03</v>
      </c>
      <c r="E4">
        <v>1308939.18</v>
      </c>
      <c r="F4">
        <v>224052.85</v>
      </c>
      <c r="G4">
        <v>604482.11</v>
      </c>
      <c r="H4">
        <v>446419.88</v>
      </c>
      <c r="I4">
        <v>44610.37</v>
      </c>
      <c r="J4">
        <v>33897.01</v>
      </c>
      <c r="K4">
        <v>546.94</v>
      </c>
      <c r="L4">
        <v>196807.17</v>
      </c>
      <c r="M4">
        <v>165801.94</v>
      </c>
    </row>
    <row r="5" spans="1:13">
      <c r="A5">
        <v>2</v>
      </c>
      <c r="B5" t="s">
        <v>35</v>
      </c>
      <c r="C5" t="s">
        <v>34</v>
      </c>
      <c r="D5">
        <v>331446.38</v>
      </c>
      <c r="E5">
        <v>331446.38</v>
      </c>
      <c r="F5">
        <v>0</v>
      </c>
      <c r="G5">
        <v>331446.38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>
        <v>3</v>
      </c>
      <c r="B6" t="s">
        <v>36</v>
      </c>
      <c r="C6" t="s">
        <v>34</v>
      </c>
      <c r="D6">
        <v>256240</v>
      </c>
      <c r="E6">
        <v>256240</v>
      </c>
      <c r="F6">
        <v>0</v>
      </c>
      <c r="G6">
        <v>64938.4</v>
      </c>
      <c r="H6">
        <v>0</v>
      </c>
      <c r="I6">
        <v>172061.6</v>
      </c>
      <c r="J6">
        <v>0</v>
      </c>
      <c r="K6">
        <v>0</v>
      </c>
      <c r="L6">
        <v>0</v>
      </c>
      <c r="M6">
        <v>0</v>
      </c>
    </row>
    <row r="7" spans="1:13">
      <c r="A7">
        <v>4</v>
      </c>
      <c r="B7" t="s">
        <v>37</v>
      </c>
      <c r="C7" t="s">
        <v>34</v>
      </c>
      <c r="D7">
        <v>222007</v>
      </c>
      <c r="E7">
        <v>187470</v>
      </c>
      <c r="F7">
        <v>34537</v>
      </c>
      <c r="G7">
        <v>128958</v>
      </c>
      <c r="H7">
        <v>11971</v>
      </c>
      <c r="I7">
        <v>0</v>
      </c>
      <c r="J7">
        <v>0</v>
      </c>
      <c r="K7">
        <v>0</v>
      </c>
      <c r="L7">
        <v>5808</v>
      </c>
      <c r="M7">
        <v>59858</v>
      </c>
    </row>
    <row r="8" spans="1:13">
      <c r="A8">
        <v>5</v>
      </c>
      <c r="B8" t="s">
        <v>38</v>
      </c>
      <c r="C8" t="s">
        <v>34</v>
      </c>
      <c r="D8">
        <v>30949</v>
      </c>
      <c r="E8">
        <v>22490</v>
      </c>
      <c r="F8">
        <v>8459</v>
      </c>
      <c r="G8">
        <v>19835</v>
      </c>
      <c r="H8">
        <v>8112</v>
      </c>
      <c r="I8">
        <v>327</v>
      </c>
      <c r="J8">
        <v>978</v>
      </c>
      <c r="K8">
        <v>0</v>
      </c>
      <c r="L8">
        <v>0</v>
      </c>
      <c r="M8">
        <v>0</v>
      </c>
    </row>
    <row r="9" spans="1:13">
      <c r="A9">
        <v>6</v>
      </c>
      <c r="B9" t="s">
        <v>39</v>
      </c>
      <c r="C9" t="s">
        <v>34</v>
      </c>
      <c r="D9">
        <v>36511</v>
      </c>
      <c r="E9">
        <v>36511</v>
      </c>
      <c r="F9">
        <v>0</v>
      </c>
      <c r="G9">
        <v>10338</v>
      </c>
      <c r="H9">
        <v>10121</v>
      </c>
      <c r="I9">
        <v>0</v>
      </c>
      <c r="J9">
        <v>0</v>
      </c>
      <c r="K9">
        <v>0</v>
      </c>
      <c r="L9">
        <v>10068</v>
      </c>
      <c r="M9">
        <v>5984</v>
      </c>
    </row>
    <row r="10" spans="1:13">
      <c r="A10">
        <v>7</v>
      </c>
      <c r="B10" t="s">
        <v>40</v>
      </c>
      <c r="C10" t="s">
        <v>34</v>
      </c>
      <c r="D10">
        <v>34674</v>
      </c>
      <c r="E10">
        <v>34674</v>
      </c>
      <c r="F10">
        <v>0</v>
      </c>
      <c r="G10">
        <v>24954</v>
      </c>
      <c r="H10">
        <v>0</v>
      </c>
      <c r="I10">
        <v>0</v>
      </c>
      <c r="J10">
        <v>0</v>
      </c>
      <c r="K10">
        <v>0</v>
      </c>
      <c r="L10">
        <v>9720</v>
      </c>
      <c r="M10">
        <v>0</v>
      </c>
    </row>
    <row r="11" spans="1:13">
      <c r="A11">
        <v>8</v>
      </c>
      <c r="B11" t="s">
        <v>41</v>
      </c>
      <c r="C11" t="s">
        <v>34</v>
      </c>
      <c r="D11">
        <v>74807.4</v>
      </c>
      <c r="E11">
        <v>74807.4</v>
      </c>
      <c r="F11">
        <v>0</v>
      </c>
      <c r="G11">
        <v>38175.4</v>
      </c>
      <c r="H11">
        <v>0</v>
      </c>
      <c r="I11">
        <v>0</v>
      </c>
      <c r="J11">
        <v>0</v>
      </c>
      <c r="K11">
        <v>0</v>
      </c>
      <c r="L11">
        <v>36632</v>
      </c>
      <c r="M11">
        <v>0</v>
      </c>
    </row>
    <row r="12" spans="1:13">
      <c r="A12">
        <v>9</v>
      </c>
      <c r="B12" t="s">
        <v>42</v>
      </c>
      <c r="C12" t="s">
        <v>34</v>
      </c>
      <c r="D12">
        <v>45881</v>
      </c>
      <c r="E12">
        <v>45881</v>
      </c>
      <c r="F12">
        <v>0</v>
      </c>
      <c r="G12">
        <v>45881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>
        <v>10</v>
      </c>
      <c r="B13" t="s">
        <v>43</v>
      </c>
      <c r="C13" t="s">
        <v>34</v>
      </c>
      <c r="D13">
        <v>55000</v>
      </c>
      <c r="E13">
        <v>53500</v>
      </c>
      <c r="F13">
        <v>1500</v>
      </c>
      <c r="G13">
        <v>0</v>
      </c>
      <c r="H13">
        <v>31500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>
        <v>11</v>
      </c>
      <c r="B14" t="s">
        <v>44</v>
      </c>
      <c r="C14" t="s">
        <v>34</v>
      </c>
      <c r="D14">
        <v>90744</v>
      </c>
      <c r="E14">
        <v>90744</v>
      </c>
      <c r="F14">
        <v>0</v>
      </c>
      <c r="G14">
        <v>63800</v>
      </c>
      <c r="H14">
        <v>15144</v>
      </c>
      <c r="I14">
        <v>0</v>
      </c>
      <c r="J14">
        <v>0</v>
      </c>
      <c r="K14">
        <v>0</v>
      </c>
      <c r="L14">
        <v>0</v>
      </c>
      <c r="M14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F19" sqref="F19"/>
    </sheetView>
  </sheetViews>
  <sheetFormatPr defaultColWidth="9" defaultRowHeight="14"/>
  <sheetData>
    <row r="1" spans="1:12">
      <c r="A1" t="s">
        <v>45</v>
      </c>
      <c r="E1" t="s">
        <v>19</v>
      </c>
      <c r="F1">
        <v>25</v>
      </c>
      <c r="G1" t="s">
        <v>20</v>
      </c>
      <c r="H1">
        <v>25</v>
      </c>
    </row>
    <row r="3" spans="1:12">
      <c r="A3" t="s">
        <v>46</v>
      </c>
      <c r="B3" t="s">
        <v>23</v>
      </c>
      <c r="C3" t="s">
        <v>24</v>
      </c>
      <c r="D3" t="s">
        <v>25</v>
      </c>
      <c r="E3" t="s">
        <v>26</v>
      </c>
      <c r="F3" t="s">
        <v>13</v>
      </c>
      <c r="G3" t="s">
        <v>27</v>
      </c>
      <c r="H3" t="s">
        <v>28</v>
      </c>
      <c r="I3" t="s">
        <v>29</v>
      </c>
      <c r="K3" t="s">
        <v>31</v>
      </c>
      <c r="L3" t="s">
        <v>32</v>
      </c>
    </row>
    <row r="4" spans="1:12">
      <c r="A4" t="s">
        <v>47</v>
      </c>
      <c r="B4" t="s">
        <v>34</v>
      </c>
      <c r="C4">
        <v>558437.5</v>
      </c>
      <c r="D4">
        <v>558437.5</v>
      </c>
      <c r="E4">
        <v>0</v>
      </c>
      <c r="F4">
        <v>520437.5</v>
      </c>
      <c r="G4">
        <v>0</v>
      </c>
      <c r="H4">
        <v>0</v>
      </c>
      <c r="I4">
        <v>0</v>
      </c>
      <c r="J4">
        <v>0</v>
      </c>
      <c r="K4">
        <v>38000</v>
      </c>
      <c r="L4">
        <v>0</v>
      </c>
    </row>
    <row r="5" spans="1:12">
      <c r="A5" t="s">
        <v>48</v>
      </c>
      <c r="B5" t="s">
        <v>34</v>
      </c>
      <c r="C5">
        <v>78100</v>
      </c>
      <c r="D5">
        <v>78100</v>
      </c>
      <c r="E5">
        <v>0</v>
      </c>
      <c r="F5">
        <v>78100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49</v>
      </c>
      <c r="B6" t="s">
        <v>34</v>
      </c>
      <c r="C6">
        <v>28000</v>
      </c>
      <c r="D6">
        <v>28000</v>
      </c>
      <c r="E6">
        <v>0</v>
      </c>
      <c r="F6">
        <v>28000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50</v>
      </c>
      <c r="B7" t="s">
        <v>34</v>
      </c>
      <c r="C7">
        <v>55000</v>
      </c>
      <c r="D7">
        <v>55400</v>
      </c>
      <c r="E7">
        <v>-400</v>
      </c>
      <c r="F7">
        <v>55000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51</v>
      </c>
      <c r="B8" t="s">
        <v>34</v>
      </c>
      <c r="C8">
        <v>128922.53</v>
      </c>
      <c r="D8">
        <v>128922</v>
      </c>
      <c r="E8">
        <v>0.529999999998836</v>
      </c>
      <c r="F8">
        <v>101842.53</v>
      </c>
      <c r="G8">
        <v>0</v>
      </c>
      <c r="H8">
        <v>0</v>
      </c>
      <c r="I8">
        <v>0</v>
      </c>
      <c r="J8">
        <v>0</v>
      </c>
      <c r="K8">
        <v>14680</v>
      </c>
      <c r="L8">
        <v>12400</v>
      </c>
    </row>
    <row r="9" spans="1:12">
      <c r="A9" t="s">
        <v>52</v>
      </c>
      <c r="B9" t="s">
        <v>34</v>
      </c>
      <c r="C9">
        <v>155462</v>
      </c>
      <c r="D9">
        <v>101245</v>
      </c>
      <c r="E9">
        <v>54217</v>
      </c>
      <c r="F9">
        <v>120527</v>
      </c>
      <c r="G9">
        <v>0</v>
      </c>
      <c r="H9">
        <v>0</v>
      </c>
      <c r="I9">
        <v>0</v>
      </c>
      <c r="J9">
        <v>0</v>
      </c>
      <c r="K9">
        <v>22812</v>
      </c>
      <c r="L9">
        <v>10855</v>
      </c>
    </row>
    <row r="10" spans="1:12">
      <c r="A10" t="s">
        <v>53</v>
      </c>
      <c r="B10" t="s">
        <v>34</v>
      </c>
      <c r="C10">
        <v>140000</v>
      </c>
      <c r="D10">
        <v>132000</v>
      </c>
      <c r="E10">
        <v>8000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140000</v>
      </c>
    </row>
    <row r="11" spans="1:12">
      <c r="A11" t="s">
        <v>54</v>
      </c>
      <c r="B11" t="s">
        <v>34</v>
      </c>
      <c r="C11">
        <v>52410</v>
      </c>
      <c r="D11">
        <v>50260</v>
      </c>
      <c r="E11">
        <v>2150</v>
      </c>
      <c r="F11">
        <v>0</v>
      </c>
      <c r="G11">
        <v>0</v>
      </c>
      <c r="H11">
        <v>0</v>
      </c>
      <c r="I11">
        <v>52410</v>
      </c>
      <c r="J11">
        <v>0</v>
      </c>
      <c r="K11">
        <v>0</v>
      </c>
      <c r="L11">
        <v>0</v>
      </c>
    </row>
    <row r="12" spans="1:12">
      <c r="A12" t="s">
        <v>55</v>
      </c>
      <c r="B12" t="s">
        <v>34</v>
      </c>
      <c r="C12">
        <v>35960</v>
      </c>
      <c r="D12">
        <v>35960</v>
      </c>
      <c r="E12">
        <v>0</v>
      </c>
      <c r="F12">
        <v>0</v>
      </c>
      <c r="G12">
        <v>0</v>
      </c>
      <c r="H12">
        <v>35960</v>
      </c>
      <c r="I12">
        <v>0</v>
      </c>
      <c r="J12">
        <v>0</v>
      </c>
      <c r="K12">
        <v>0</v>
      </c>
      <c r="L12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2"/>
  <sheetViews>
    <sheetView workbookViewId="0">
      <selection activeCell="E11" sqref="E11"/>
    </sheetView>
  </sheetViews>
  <sheetFormatPr defaultColWidth="9" defaultRowHeight="22" customHeight="1"/>
  <cols>
    <col min="1" max="1" width="12.7545454545455" style="40" customWidth="1"/>
    <col min="2" max="2" width="24" style="40" customWidth="1"/>
    <col min="3" max="3" width="15" style="1" customWidth="1"/>
    <col min="4" max="4" width="13" style="2" customWidth="1"/>
    <col min="5" max="5" width="11.5" style="2"/>
    <col min="6" max="6" width="11.8181818181818" style="40"/>
    <col min="7" max="7" width="17.3636363636364" style="2" customWidth="1"/>
    <col min="8" max="8" width="21.2545454545455" style="2" customWidth="1"/>
    <col min="9" max="9" width="11.1272727272727" style="2" customWidth="1"/>
    <col min="10" max="10" width="14.0909090909091" style="2" customWidth="1"/>
    <col min="11" max="11" width="10.3727272727273" style="57" customWidth="1"/>
    <col min="12" max="12" width="10.8727272727273" style="2" customWidth="1"/>
    <col min="13" max="13" width="9" style="1"/>
    <col min="14" max="14" width="4.87272727272727" style="1" customWidth="1"/>
    <col min="15" max="15" width="18.3727272727273" style="1" customWidth="1"/>
    <col min="16" max="16" width="13" style="1" customWidth="1"/>
    <col min="17" max="18" width="10.3727272727273" style="1"/>
    <col min="19" max="16384" width="9" style="1"/>
  </cols>
  <sheetData>
    <row r="1" s="1" customFormat="1" ht="31" customHeight="1" spans="1:18">
      <c r="A1" s="58" t="s">
        <v>56</v>
      </c>
      <c r="B1" s="58" t="s">
        <v>57</v>
      </c>
      <c r="C1" s="59"/>
      <c r="D1" s="60"/>
      <c r="E1" s="60"/>
      <c r="F1" s="61"/>
      <c r="G1" s="60"/>
      <c r="H1" s="60"/>
      <c r="I1" s="60"/>
      <c r="J1" s="60"/>
      <c r="K1" s="62"/>
      <c r="L1" s="63"/>
      <c r="M1" s="59"/>
      <c r="O1" s="64" t="str" cm="1">
        <f t="array" ref="O1:Q5">_xlfn.PIVOTBY(_xlfn._TRO_TRAILING(C2:C999),,_xlfn._TRO_TRAILING(D2:E999),_xleta.SUM,3)</f>
        <v>项目名称</v>
      </c>
      <c r="P1" s="64" t="str">
        <v>应付金额</v>
      </c>
      <c r="Q1" s="64" t="str">
        <v>已付金额</v>
      </c>
      <c r="R1" s="64" t="s">
        <v>58</v>
      </c>
    </row>
    <row r="2" s="1" customFormat="1" customHeight="1" spans="1:18">
      <c r="A2" s="65" t="s">
        <v>59</v>
      </c>
      <c r="B2" s="65" t="s">
        <v>60</v>
      </c>
      <c r="C2" s="66" t="s">
        <v>0</v>
      </c>
      <c r="D2" s="67" t="s">
        <v>61</v>
      </c>
      <c r="E2" s="67" t="s">
        <v>62</v>
      </c>
      <c r="F2" s="65" t="s">
        <v>63</v>
      </c>
      <c r="G2" s="67" t="s">
        <v>64</v>
      </c>
      <c r="H2" s="67" t="s">
        <v>65</v>
      </c>
      <c r="I2" s="67" t="s">
        <v>6</v>
      </c>
      <c r="J2" s="67" t="s">
        <v>66</v>
      </c>
      <c r="K2" s="68" t="s">
        <v>7</v>
      </c>
      <c r="L2" s="67" t="s">
        <v>67</v>
      </c>
      <c r="M2" s="66" t="s">
        <v>68</v>
      </c>
      <c r="O2" s="10" t="str">
        <v>德安农商行总部</v>
      </c>
      <c r="P2" s="10">
        <v>800</v>
      </c>
      <c r="Q2" s="10">
        <v>800</v>
      </c>
      <c r="R2" s="10">
        <f>P2-Q2</f>
        <v>0</v>
      </c>
    </row>
    <row r="3" s="1" customFormat="1" customHeight="1" spans="1:18">
      <c r="A3" s="69" t="s">
        <v>69</v>
      </c>
      <c r="B3" s="69" t="s">
        <v>70</v>
      </c>
      <c r="C3" s="10" t="s">
        <v>27</v>
      </c>
      <c r="D3" s="12">
        <v>98875</v>
      </c>
      <c r="E3" s="12">
        <v>30000</v>
      </c>
      <c r="G3" s="12" t="s">
        <v>71</v>
      </c>
      <c r="H3" s="70"/>
      <c r="I3" s="12"/>
      <c r="J3" s="12"/>
      <c r="K3" s="71"/>
      <c r="L3" s="12"/>
      <c r="M3" s="10"/>
      <c r="O3" s="10" t="str">
        <v>科创中心</v>
      </c>
      <c r="P3" s="10">
        <v>105775</v>
      </c>
      <c r="Q3" s="10">
        <v>35000</v>
      </c>
      <c r="R3" s="10">
        <f>P3-Q3</f>
        <v>70775</v>
      </c>
    </row>
    <row r="4" s="1" customFormat="1" customHeight="1" spans="1:18">
      <c r="A4" s="69" t="s">
        <v>69</v>
      </c>
      <c r="B4" s="69" t="s">
        <v>72</v>
      </c>
      <c r="C4" s="10" t="s">
        <v>27</v>
      </c>
      <c r="D4" s="12">
        <v>6900</v>
      </c>
      <c r="E4" s="2">
        <v>5000</v>
      </c>
      <c r="F4" s="69">
        <v>45971</v>
      </c>
      <c r="G4" s="1" t="s">
        <v>73</v>
      </c>
      <c r="H4" s="70" t="s">
        <v>74</v>
      </c>
      <c r="I4" s="12">
        <v>5000</v>
      </c>
      <c r="J4" s="12"/>
      <c r="K4" s="71">
        <v>0.01</v>
      </c>
      <c r="L4" s="12"/>
      <c r="M4" s="10"/>
      <c r="O4" s="72" t="str">
        <v>邹桥派出所</v>
      </c>
      <c r="P4" s="72">
        <v>1280</v>
      </c>
      <c r="Q4" s="72">
        <v>1280</v>
      </c>
      <c r="R4" s="72">
        <f>P4-Q4</f>
        <v>0</v>
      </c>
    </row>
    <row r="5" s="1" customFormat="1" customHeight="1" spans="1:18">
      <c r="A5" s="69">
        <v>46174</v>
      </c>
      <c r="B5" s="69" t="s">
        <v>75</v>
      </c>
      <c r="C5" s="10" t="s">
        <v>30</v>
      </c>
      <c r="D5" s="12">
        <v>800</v>
      </c>
      <c r="E5" s="12">
        <v>800</v>
      </c>
      <c r="F5" s="69">
        <v>46205</v>
      </c>
      <c r="G5" s="1" t="s">
        <v>73</v>
      </c>
      <c r="H5" s="70" t="s">
        <v>76</v>
      </c>
      <c r="I5" s="12">
        <v>800</v>
      </c>
      <c r="J5" s="12"/>
      <c r="K5" s="71">
        <v>0.01</v>
      </c>
      <c r="L5" s="12"/>
      <c r="M5" s="10"/>
      <c r="O5" s="10" t="str">
        <v>总计</v>
      </c>
      <c r="P5" s="10">
        <v>107855</v>
      </c>
      <c r="Q5" s="10">
        <v>37080</v>
      </c>
      <c r="R5" s="10"/>
    </row>
    <row r="6" s="1" customFormat="1" customHeight="1" spans="1:18">
      <c r="A6" s="69">
        <v>46173</v>
      </c>
      <c r="B6" s="69" t="s">
        <v>77</v>
      </c>
      <c r="C6" s="10" t="s">
        <v>78</v>
      </c>
      <c r="D6" s="12">
        <v>1000</v>
      </c>
      <c r="E6" s="12">
        <v>1000</v>
      </c>
      <c r="F6" s="69">
        <v>46173</v>
      </c>
      <c r="G6" s="12" t="s">
        <v>71</v>
      </c>
      <c r="H6" s="70" t="s">
        <v>77</v>
      </c>
      <c r="I6" s="12"/>
      <c r="J6" s="12"/>
      <c r="K6" s="71"/>
      <c r="L6" s="12"/>
      <c r="M6" s="10"/>
      <c r="O6" s="10"/>
      <c r="P6" s="10"/>
      <c r="Q6" s="10"/>
      <c r="R6" s="10"/>
    </row>
    <row r="7" s="1" customFormat="1" customHeight="1" spans="1:18">
      <c r="A7" s="69">
        <v>46172</v>
      </c>
      <c r="B7" s="69" t="s">
        <v>79</v>
      </c>
      <c r="C7" s="10" t="s">
        <v>78</v>
      </c>
      <c r="D7" s="12">
        <v>280</v>
      </c>
      <c r="E7" s="12">
        <v>280</v>
      </c>
      <c r="F7" s="69">
        <v>46172</v>
      </c>
      <c r="G7" s="12" t="s">
        <v>71</v>
      </c>
      <c r="H7" s="70" t="s">
        <v>79</v>
      </c>
      <c r="I7" s="12"/>
      <c r="J7" s="12"/>
      <c r="K7" s="71"/>
      <c r="L7" s="12"/>
      <c r="M7" s="10"/>
    </row>
    <row r="8" s="1" customFormat="1" customHeight="1" spans="1:18">
      <c r="A8" s="69"/>
      <c r="B8" s="69"/>
      <c r="C8" s="10"/>
      <c r="D8" s="12"/>
      <c r="E8" s="12"/>
      <c r="F8" s="69"/>
      <c r="G8" s="12"/>
      <c r="H8" s="70"/>
      <c r="I8" s="12"/>
      <c r="J8" s="12"/>
      <c r="K8" s="71"/>
      <c r="L8" s="12"/>
      <c r="M8" s="10"/>
    </row>
    <row r="9" s="1" customFormat="1" customHeight="1" spans="1:18">
      <c r="A9" s="69"/>
      <c r="B9" s="69"/>
      <c r="C9" s="10"/>
      <c r="D9" s="12"/>
      <c r="E9" s="12"/>
      <c r="F9" s="69"/>
      <c r="G9" s="12"/>
      <c r="H9" s="70"/>
      <c r="I9" s="12"/>
      <c r="J9" s="12"/>
      <c r="K9" s="71"/>
      <c r="L9" s="12"/>
      <c r="M9" s="10"/>
    </row>
    <row r="10" s="1" customFormat="1" customHeight="1" spans="1:18">
      <c r="A10" s="69"/>
      <c r="B10" s="69"/>
      <c r="C10" s="10"/>
      <c r="D10" s="12"/>
      <c r="E10" s="12"/>
      <c r="F10" s="69"/>
      <c r="G10" s="12"/>
      <c r="H10" s="70"/>
      <c r="I10" s="12"/>
      <c r="J10" s="12"/>
      <c r="K10" s="71"/>
      <c r="L10" s="12"/>
      <c r="M10" s="10"/>
    </row>
    <row r="11" s="1" customFormat="1" customHeight="1" spans="1:18">
      <c r="A11" s="69"/>
      <c r="B11" s="69"/>
      <c r="C11" s="10"/>
      <c r="D11" s="12"/>
      <c r="E11" s="12"/>
      <c r="F11" s="69"/>
      <c r="G11" s="12"/>
      <c r="H11" s="70"/>
      <c r="I11" s="12"/>
      <c r="J11" s="12"/>
      <c r="K11" s="71"/>
      <c r="L11" s="12"/>
      <c r="M11" s="10"/>
    </row>
    <row r="12" s="1" customFormat="1" customHeight="1" spans="1:18">
      <c r="A12" s="69"/>
      <c r="B12" s="69"/>
      <c r="C12" s="10"/>
      <c r="D12" s="12"/>
      <c r="E12" s="12"/>
      <c r="F12" s="69"/>
      <c r="G12" s="12"/>
      <c r="H12" s="70"/>
      <c r="I12" s="12"/>
      <c r="J12" s="12"/>
      <c r="K12" s="71"/>
      <c r="L12" s="12"/>
      <c r="M12" s="10"/>
    </row>
    <row r="13" s="1" customFormat="1" customHeight="1" spans="1:18">
      <c r="A13" s="69"/>
      <c r="B13" s="69"/>
      <c r="C13" s="10"/>
      <c r="D13" s="12"/>
      <c r="E13" s="12"/>
      <c r="F13" s="69"/>
      <c r="G13" s="12"/>
      <c r="H13" s="70"/>
      <c r="I13" s="12"/>
      <c r="J13" s="12"/>
      <c r="K13" s="71"/>
      <c r="L13" s="12"/>
      <c r="M13" s="10"/>
    </row>
    <row r="14" s="1" customFormat="1" customHeight="1" spans="1:18">
      <c r="A14" s="69"/>
      <c r="B14" s="69"/>
      <c r="C14" s="10"/>
      <c r="D14" s="12"/>
      <c r="E14" s="12"/>
      <c r="F14" s="69"/>
      <c r="G14" s="12"/>
      <c r="H14" s="70"/>
      <c r="I14" s="12"/>
      <c r="J14" s="12"/>
      <c r="K14" s="71"/>
      <c r="L14" s="12"/>
      <c r="M14" s="10"/>
    </row>
    <row r="15" s="1" customFormat="1" customHeight="1" spans="1:18">
      <c r="A15" s="69"/>
      <c r="B15" s="69"/>
      <c r="C15" s="10"/>
      <c r="D15" s="12"/>
      <c r="E15" s="12"/>
      <c r="F15" s="69"/>
      <c r="G15" s="12"/>
      <c r="H15" s="70"/>
      <c r="I15" s="12"/>
      <c r="J15" s="12"/>
      <c r="K15" s="71"/>
      <c r="L15" s="12"/>
      <c r="M15" s="10"/>
    </row>
    <row r="16" s="1" customFormat="1" customHeight="1" spans="1:18">
      <c r="A16" s="69"/>
      <c r="B16" s="69"/>
      <c r="C16" s="10"/>
      <c r="D16" s="12"/>
      <c r="E16" s="12"/>
      <c r="F16" s="69"/>
      <c r="G16" s="12"/>
      <c r="H16" s="70"/>
      <c r="I16" s="12"/>
      <c r="J16" s="12"/>
      <c r="K16" s="71"/>
      <c r="L16" s="12"/>
      <c r="M16" s="10"/>
    </row>
    <row r="17" s="1" customFormat="1" customHeight="1" spans="1:13">
      <c r="A17" s="69"/>
      <c r="B17" s="69"/>
      <c r="C17" s="10"/>
      <c r="D17" s="12"/>
      <c r="E17" s="12"/>
      <c r="F17" s="69"/>
      <c r="G17" s="12"/>
      <c r="H17" s="70"/>
      <c r="I17" s="12"/>
      <c r="J17" s="12"/>
      <c r="K17" s="71"/>
      <c r="L17" s="12"/>
      <c r="M17" s="10"/>
    </row>
    <row r="18" s="1" customFormat="1" customHeight="1" spans="1:13">
      <c r="A18" s="69"/>
      <c r="B18" s="69"/>
      <c r="C18" s="10"/>
      <c r="D18" s="12"/>
      <c r="E18" s="12"/>
      <c r="F18" s="69"/>
      <c r="G18" s="12"/>
      <c r="H18" s="70"/>
      <c r="I18" s="12"/>
      <c r="J18" s="12"/>
      <c r="K18" s="71"/>
      <c r="L18" s="12"/>
      <c r="M18" s="10"/>
    </row>
    <row r="19" s="1" customFormat="1" customHeight="1" spans="1:13">
      <c r="A19" s="69"/>
      <c r="B19" s="69"/>
      <c r="C19" s="10"/>
      <c r="D19" s="12"/>
      <c r="E19" s="12"/>
      <c r="F19" s="69"/>
      <c r="G19" s="12"/>
      <c r="H19" s="70"/>
      <c r="I19" s="12"/>
      <c r="J19" s="12"/>
      <c r="K19" s="71"/>
      <c r="L19" s="12"/>
      <c r="M19" s="10"/>
    </row>
    <row r="20" s="1" customFormat="1" customHeight="1" spans="1:13">
      <c r="A20" s="69"/>
      <c r="B20" s="69"/>
      <c r="C20" s="10"/>
      <c r="D20" s="12"/>
      <c r="E20" s="12"/>
      <c r="F20" s="69"/>
      <c r="G20" s="12"/>
      <c r="H20" s="70"/>
      <c r="I20" s="12"/>
      <c r="J20" s="12"/>
      <c r="K20" s="71"/>
      <c r="L20" s="12"/>
      <c r="M20" s="10"/>
    </row>
    <row r="21" s="1" customFormat="1" customHeight="1" spans="1:13">
      <c r="A21" s="69"/>
      <c r="B21" s="69"/>
      <c r="C21" s="10"/>
      <c r="D21" s="12"/>
      <c r="E21" s="12"/>
      <c r="F21" s="69"/>
      <c r="G21" s="12"/>
      <c r="H21" s="70"/>
      <c r="I21" s="12"/>
      <c r="J21" s="12"/>
      <c r="K21" s="71"/>
      <c r="L21" s="12"/>
      <c r="M21" s="10"/>
    </row>
    <row r="22" s="1" customFormat="1" customHeight="1" spans="1:13">
      <c r="A22" s="69"/>
      <c r="B22" s="69"/>
      <c r="C22" s="10"/>
      <c r="D22" s="12"/>
      <c r="E22" s="12"/>
      <c r="F22" s="69"/>
      <c r="G22" s="12"/>
      <c r="H22" s="70"/>
      <c r="I22" s="12"/>
      <c r="J22" s="12"/>
      <c r="K22" s="71"/>
      <c r="L22" s="12"/>
      <c r="M22" s="10"/>
    </row>
    <row r="23" s="1" customFormat="1" customHeight="1" spans="1:13">
      <c r="A23" s="69"/>
      <c r="B23" s="69"/>
      <c r="C23" s="10"/>
      <c r="D23" s="12"/>
      <c r="E23" s="12"/>
      <c r="F23" s="69"/>
      <c r="G23" s="12"/>
      <c r="H23" s="70"/>
      <c r="I23" s="12"/>
      <c r="J23" s="12"/>
      <c r="K23" s="71"/>
      <c r="L23" s="12"/>
      <c r="M23" s="10"/>
    </row>
    <row r="24" s="1" customFormat="1" customHeight="1" spans="1:13">
      <c r="A24" s="69"/>
      <c r="B24" s="69"/>
      <c r="C24" s="10"/>
      <c r="D24" s="12"/>
      <c r="E24" s="12"/>
      <c r="F24" s="69"/>
      <c r="G24" s="12"/>
      <c r="H24" s="70"/>
      <c r="I24" s="12"/>
      <c r="J24" s="12"/>
      <c r="K24" s="71"/>
      <c r="L24" s="12"/>
      <c r="M24" s="10"/>
    </row>
    <row r="25" s="1" customFormat="1" customHeight="1" spans="1:13">
      <c r="A25" s="69"/>
      <c r="B25" s="69"/>
      <c r="C25" s="10"/>
      <c r="D25" s="12"/>
      <c r="E25" s="12"/>
      <c r="F25" s="69"/>
      <c r="G25" s="12"/>
      <c r="H25" s="70"/>
      <c r="I25" s="12"/>
      <c r="J25" s="12"/>
      <c r="K25" s="71"/>
      <c r="L25" s="12"/>
      <c r="M25" s="10"/>
    </row>
    <row r="26" s="1" customFormat="1" customHeight="1" spans="1:13">
      <c r="A26" s="69"/>
      <c r="B26" s="69"/>
      <c r="C26" s="10"/>
      <c r="D26" s="12"/>
      <c r="E26" s="12"/>
      <c r="F26" s="69"/>
      <c r="G26" s="12"/>
      <c r="H26" s="70"/>
      <c r="I26" s="12"/>
      <c r="J26" s="12"/>
      <c r="K26" s="71"/>
      <c r="L26" s="12"/>
      <c r="M26" s="10"/>
    </row>
    <row r="27" s="1" customFormat="1" customHeight="1" spans="1:13">
      <c r="A27" s="69"/>
      <c r="B27" s="69"/>
      <c r="C27" s="10"/>
      <c r="D27" s="12"/>
      <c r="E27" s="12"/>
      <c r="F27" s="69"/>
      <c r="G27" s="12"/>
      <c r="H27" s="70"/>
      <c r="I27" s="12"/>
      <c r="J27" s="12"/>
      <c r="K27" s="71"/>
      <c r="L27" s="12"/>
      <c r="M27" s="10"/>
    </row>
    <row r="28" s="1" customFormat="1" customHeight="1" spans="1:13">
      <c r="A28" s="69"/>
      <c r="B28" s="69"/>
      <c r="C28" s="10"/>
      <c r="D28" s="12"/>
      <c r="E28" s="12"/>
      <c r="F28" s="69"/>
      <c r="G28" s="12"/>
      <c r="H28" s="70"/>
      <c r="I28" s="12"/>
      <c r="J28" s="12"/>
      <c r="K28" s="71"/>
      <c r="L28" s="12"/>
      <c r="M28" s="10"/>
    </row>
    <row r="29" s="1" customFormat="1" customHeight="1" spans="1:13">
      <c r="A29" s="40"/>
      <c r="B29" s="40"/>
      <c r="D29" s="2"/>
      <c r="E29" s="2"/>
      <c r="F29" s="40"/>
      <c r="G29" s="2"/>
      <c r="H29" s="73"/>
      <c r="I29" s="2"/>
      <c r="J29" s="2"/>
      <c r="K29" s="57"/>
      <c r="L29" s="2"/>
    </row>
    <row r="30" s="1" customFormat="1" customHeight="1" spans="1:13">
      <c r="A30" s="40"/>
      <c r="B30" s="40"/>
      <c r="D30" s="2"/>
      <c r="E30" s="2"/>
      <c r="F30" s="40"/>
      <c r="G30" s="2"/>
      <c r="H30" s="73"/>
      <c r="I30" s="2"/>
      <c r="J30" s="2"/>
      <c r="K30" s="57"/>
      <c r="L30" s="2"/>
    </row>
    <row r="31" s="1" customFormat="1" customHeight="1" spans="1:13">
      <c r="A31" s="40"/>
      <c r="B31" s="40"/>
      <c r="D31" s="2"/>
      <c r="E31" s="2"/>
      <c r="F31" s="40"/>
      <c r="G31" s="2"/>
      <c r="H31" s="73"/>
      <c r="I31" s="2"/>
      <c r="J31" s="2"/>
      <c r="K31" s="57"/>
      <c r="L31" s="2"/>
    </row>
    <row r="32" s="1" customFormat="1" customHeight="1" spans="1:13">
      <c r="A32" s="40"/>
      <c r="B32" s="40"/>
      <c r="D32" s="2"/>
      <c r="E32" s="2"/>
      <c r="F32" s="40"/>
      <c r="G32" s="2"/>
      <c r="H32" s="73"/>
      <c r="I32" s="2"/>
      <c r="J32" s="2"/>
      <c r="K32" s="57"/>
      <c r="L32" s="2"/>
    </row>
    <row r="33" s="1" customFormat="1" customHeight="1" spans="1:12">
      <c r="A33" s="40"/>
      <c r="B33" s="40"/>
      <c r="D33" s="2"/>
      <c r="E33" s="2"/>
      <c r="F33" s="40"/>
      <c r="G33" s="2"/>
      <c r="H33" s="73"/>
      <c r="I33" s="2"/>
      <c r="J33" s="2"/>
      <c r="K33" s="57"/>
      <c r="L33" s="2"/>
    </row>
    <row r="34" s="1" customFormat="1" customHeight="1" spans="1:12">
      <c r="A34" s="40"/>
      <c r="B34" s="40"/>
      <c r="D34" s="2"/>
      <c r="E34" s="2"/>
      <c r="F34" s="40"/>
      <c r="G34" s="2"/>
      <c r="H34" s="73"/>
      <c r="I34" s="2"/>
      <c r="J34" s="2"/>
      <c r="K34" s="57"/>
      <c r="L34" s="2"/>
    </row>
    <row r="35" s="1" customFormat="1" customHeight="1" spans="1:12">
      <c r="A35" s="40"/>
      <c r="B35" s="40"/>
      <c r="D35" s="2"/>
      <c r="E35" s="2"/>
      <c r="F35" s="40"/>
      <c r="G35" s="2"/>
      <c r="H35" s="73"/>
      <c r="I35" s="2"/>
      <c r="J35" s="2"/>
      <c r="K35" s="57"/>
      <c r="L35" s="2"/>
    </row>
    <row r="36" s="1" customFormat="1" customHeight="1" spans="1:12">
      <c r="A36" s="40"/>
      <c r="B36" s="40"/>
      <c r="D36" s="2"/>
      <c r="E36" s="2"/>
      <c r="F36" s="40"/>
      <c r="G36" s="2"/>
      <c r="H36" s="73"/>
      <c r="I36" s="2"/>
      <c r="J36" s="2"/>
      <c r="K36" s="57"/>
      <c r="L36" s="2"/>
    </row>
    <row r="37" s="1" customFormat="1" customHeight="1" spans="1:12">
      <c r="A37" s="40"/>
      <c r="B37" s="40"/>
      <c r="D37" s="2"/>
      <c r="E37" s="2"/>
      <c r="F37" s="40"/>
      <c r="G37" s="2"/>
      <c r="H37" s="73"/>
      <c r="I37" s="2"/>
      <c r="J37" s="2"/>
      <c r="K37" s="57"/>
      <c r="L37" s="2"/>
    </row>
    <row r="38" s="1" customFormat="1" customHeight="1" spans="1:12">
      <c r="A38" s="40"/>
      <c r="B38" s="40"/>
      <c r="D38" s="2"/>
      <c r="E38" s="2"/>
      <c r="F38" s="40"/>
      <c r="G38" s="2"/>
      <c r="H38" s="73"/>
      <c r="I38" s="2"/>
      <c r="J38" s="2"/>
      <c r="K38" s="57"/>
      <c r="L38" s="2"/>
    </row>
    <row r="39" s="1" customFormat="1" customHeight="1" spans="1:12">
      <c r="A39" s="40"/>
      <c r="B39" s="40"/>
      <c r="D39" s="2"/>
      <c r="E39" s="2"/>
      <c r="F39" s="40"/>
      <c r="G39" s="2"/>
      <c r="H39" s="73"/>
      <c r="I39" s="2"/>
      <c r="J39" s="2"/>
      <c r="K39" s="57"/>
      <c r="L39" s="2"/>
    </row>
    <row r="40" s="1" customFormat="1" customHeight="1" spans="1:12">
      <c r="A40" s="40"/>
      <c r="B40" s="40"/>
      <c r="D40" s="2"/>
      <c r="E40" s="2"/>
      <c r="F40" s="40"/>
      <c r="G40" s="2"/>
      <c r="H40" s="73"/>
      <c r="I40" s="2"/>
      <c r="J40" s="2"/>
      <c r="K40" s="57"/>
      <c r="L40" s="2"/>
    </row>
    <row r="41" s="1" customFormat="1" customHeight="1" spans="1:12">
      <c r="A41" s="40"/>
      <c r="B41" s="40"/>
      <c r="D41" s="2"/>
      <c r="E41" s="2"/>
      <c r="F41" s="40"/>
      <c r="G41" s="2"/>
      <c r="H41" s="73"/>
      <c r="I41" s="2"/>
      <c r="J41" s="2"/>
      <c r="K41" s="57"/>
      <c r="L41" s="2"/>
    </row>
    <row r="42" s="1" customFormat="1" customHeight="1" spans="1:12">
      <c r="A42" s="40"/>
      <c r="B42" s="40"/>
      <c r="D42" s="2"/>
      <c r="E42" s="2"/>
      <c r="F42" s="40"/>
      <c r="G42" s="2"/>
      <c r="H42" s="73"/>
      <c r="I42" s="2"/>
      <c r="J42" s="2"/>
      <c r="K42" s="57"/>
      <c r="L42" s="2"/>
    </row>
    <row r="43" s="1" customFormat="1" customHeight="1" spans="1:12">
      <c r="A43" s="40"/>
      <c r="B43" s="40"/>
      <c r="D43" s="2"/>
      <c r="E43" s="2"/>
      <c r="F43" s="40"/>
      <c r="G43" s="2"/>
      <c r="H43" s="73"/>
      <c r="I43" s="2"/>
      <c r="J43" s="2"/>
      <c r="K43" s="57"/>
      <c r="L43" s="2"/>
    </row>
    <row r="44" s="1" customFormat="1" customHeight="1" spans="1:12">
      <c r="A44" s="40"/>
      <c r="B44" s="40"/>
      <c r="D44" s="2"/>
      <c r="E44" s="2"/>
      <c r="F44" s="40"/>
      <c r="G44" s="2"/>
      <c r="H44" s="73"/>
      <c r="I44" s="2"/>
      <c r="J44" s="2"/>
      <c r="K44" s="57"/>
      <c r="L44" s="2"/>
    </row>
    <row r="45" s="1" customFormat="1" customHeight="1" spans="1:12">
      <c r="A45" s="40"/>
      <c r="B45" s="40"/>
      <c r="D45" s="2"/>
      <c r="E45" s="2"/>
      <c r="F45" s="40"/>
      <c r="G45" s="2"/>
      <c r="H45" s="73"/>
      <c r="I45" s="2"/>
      <c r="J45" s="2"/>
      <c r="K45" s="57"/>
      <c r="L45" s="2"/>
    </row>
    <row r="46" s="1" customFormat="1" customHeight="1" spans="1:12">
      <c r="A46" s="40"/>
      <c r="B46" s="40"/>
      <c r="D46" s="2"/>
      <c r="E46" s="2"/>
      <c r="F46" s="40"/>
      <c r="G46" s="2"/>
      <c r="H46" s="73"/>
      <c r="I46" s="2"/>
      <c r="J46" s="2"/>
      <c r="K46" s="57"/>
      <c r="L46" s="2"/>
    </row>
    <row r="47" s="1" customFormat="1" customHeight="1" spans="1:12">
      <c r="A47" s="40"/>
      <c r="B47" s="40"/>
      <c r="D47" s="2"/>
      <c r="E47" s="2"/>
      <c r="F47" s="40"/>
      <c r="G47" s="2"/>
      <c r="H47" s="73"/>
      <c r="I47" s="2"/>
      <c r="J47" s="2"/>
      <c r="K47" s="57"/>
      <c r="L47" s="2"/>
    </row>
    <row r="48" s="1" customFormat="1" customHeight="1" spans="1:12">
      <c r="A48" s="40"/>
      <c r="B48" s="40"/>
      <c r="D48" s="2"/>
      <c r="E48" s="2"/>
      <c r="F48" s="40"/>
      <c r="G48" s="2"/>
      <c r="H48" s="73"/>
      <c r="I48" s="2"/>
      <c r="J48" s="2"/>
      <c r="K48" s="57"/>
      <c r="L48" s="2"/>
    </row>
    <row r="49" s="1" customFormat="1" customHeight="1" spans="1:12">
      <c r="A49" s="40"/>
      <c r="B49" s="40"/>
      <c r="D49" s="2"/>
      <c r="E49" s="2"/>
      <c r="F49" s="40"/>
      <c r="G49" s="2"/>
      <c r="H49" s="73"/>
      <c r="I49" s="2"/>
      <c r="J49" s="2"/>
      <c r="K49" s="57"/>
      <c r="L49" s="2"/>
    </row>
    <row r="50" s="1" customFormat="1" customHeight="1" spans="1:12">
      <c r="A50" s="40"/>
      <c r="B50" s="40"/>
      <c r="D50" s="2"/>
      <c r="E50" s="2"/>
      <c r="F50" s="40"/>
      <c r="G50" s="2"/>
      <c r="H50" s="73"/>
      <c r="I50" s="2"/>
      <c r="J50" s="2"/>
      <c r="K50" s="57"/>
      <c r="L50" s="2"/>
    </row>
    <row r="51" s="1" customFormat="1" customHeight="1" spans="1:12">
      <c r="A51" s="40"/>
      <c r="B51" s="40"/>
      <c r="D51" s="2"/>
      <c r="E51" s="2"/>
      <c r="F51" s="40"/>
      <c r="G51" s="2"/>
      <c r="H51" s="73"/>
      <c r="I51" s="2"/>
      <c r="J51" s="2"/>
      <c r="K51" s="57"/>
      <c r="L51" s="2"/>
    </row>
    <row r="52" s="1" customFormat="1" customHeight="1" spans="1:12">
      <c r="A52" s="40"/>
      <c r="B52" s="40"/>
      <c r="D52" s="2"/>
      <c r="E52" s="2"/>
      <c r="F52" s="40"/>
      <c r="G52" s="2"/>
      <c r="H52" s="73"/>
      <c r="I52" s="2"/>
      <c r="J52" s="2"/>
      <c r="K52" s="57"/>
      <c r="L52" s="2"/>
    </row>
    <row r="53" s="1" customFormat="1" customHeight="1" spans="1:12">
      <c r="A53" s="40"/>
      <c r="B53" s="40"/>
      <c r="D53" s="2"/>
      <c r="E53" s="2"/>
      <c r="F53" s="40"/>
      <c r="G53" s="2"/>
      <c r="H53" s="73"/>
      <c r="I53" s="2"/>
      <c r="J53" s="2"/>
      <c r="K53" s="57"/>
      <c r="L53" s="2"/>
    </row>
    <row r="54" s="1" customFormat="1" customHeight="1" spans="1:12">
      <c r="A54" s="40"/>
      <c r="B54" s="40"/>
      <c r="D54" s="2"/>
      <c r="E54" s="2"/>
      <c r="F54" s="40"/>
      <c r="G54" s="2"/>
      <c r="H54" s="73"/>
      <c r="I54" s="2"/>
      <c r="J54" s="2"/>
      <c r="K54" s="57"/>
      <c r="L54" s="2"/>
    </row>
    <row r="55" s="1" customFormat="1" customHeight="1" spans="1:12">
      <c r="A55" s="40"/>
      <c r="B55" s="40"/>
      <c r="D55" s="2"/>
      <c r="E55" s="2"/>
      <c r="F55" s="40"/>
      <c r="G55" s="2"/>
      <c r="H55" s="73"/>
      <c r="I55" s="2"/>
      <c r="J55" s="2"/>
      <c r="K55" s="57"/>
      <c r="L55" s="2"/>
    </row>
    <row r="56" s="1" customFormat="1" customHeight="1" spans="1:12">
      <c r="A56" s="40"/>
      <c r="B56" s="40"/>
      <c r="D56" s="2"/>
      <c r="E56" s="2"/>
      <c r="F56" s="40"/>
      <c r="G56" s="2"/>
      <c r="H56" s="73"/>
      <c r="I56" s="2"/>
      <c r="J56" s="2"/>
      <c r="K56" s="57"/>
      <c r="L56" s="2"/>
    </row>
    <row r="57" s="1" customFormat="1" customHeight="1" spans="1:12">
      <c r="A57" s="40"/>
      <c r="B57" s="40"/>
      <c r="D57" s="2"/>
      <c r="E57" s="2"/>
      <c r="F57" s="40"/>
      <c r="G57" s="2"/>
      <c r="H57" s="73"/>
      <c r="I57" s="2"/>
      <c r="J57" s="2"/>
      <c r="K57" s="57"/>
      <c r="L57" s="2"/>
    </row>
    <row r="58" s="1" customFormat="1" customHeight="1" spans="1:12">
      <c r="A58" s="40"/>
      <c r="B58" s="40"/>
      <c r="D58" s="2"/>
      <c r="E58" s="2"/>
      <c r="F58" s="40"/>
      <c r="G58" s="2"/>
      <c r="H58" s="73"/>
      <c r="I58" s="2"/>
      <c r="J58" s="2"/>
      <c r="K58" s="57"/>
      <c r="L58" s="2"/>
    </row>
    <row r="59" s="1" customFormat="1" customHeight="1" spans="1:12">
      <c r="A59" s="40"/>
      <c r="B59" s="40"/>
      <c r="D59" s="2"/>
      <c r="E59" s="2"/>
      <c r="F59" s="40"/>
      <c r="G59" s="2"/>
      <c r="H59" s="73"/>
      <c r="I59" s="2"/>
      <c r="J59" s="2"/>
      <c r="K59" s="57"/>
      <c r="L59" s="2"/>
    </row>
    <row r="60" s="1" customFormat="1" customHeight="1" spans="1:12">
      <c r="A60" s="40"/>
      <c r="B60" s="40"/>
      <c r="D60" s="2"/>
      <c r="E60" s="2"/>
      <c r="F60" s="40"/>
      <c r="G60" s="2"/>
      <c r="H60" s="73"/>
      <c r="I60" s="2"/>
      <c r="J60" s="2"/>
      <c r="K60" s="57"/>
      <c r="L60" s="2"/>
    </row>
    <row r="61" s="1" customFormat="1" customHeight="1" spans="1:12">
      <c r="A61" s="40"/>
      <c r="B61" s="40"/>
      <c r="D61" s="2"/>
      <c r="E61" s="2"/>
      <c r="F61" s="40"/>
      <c r="G61" s="2"/>
      <c r="H61" s="73"/>
      <c r="I61" s="2"/>
      <c r="J61" s="2"/>
      <c r="K61" s="57"/>
      <c r="L61" s="2"/>
    </row>
    <row r="62" s="1" customFormat="1" customHeight="1" spans="1:12">
      <c r="A62" s="40"/>
      <c r="B62" s="40"/>
      <c r="D62" s="2"/>
      <c r="E62" s="2"/>
      <c r="F62" s="40"/>
      <c r="G62" s="2"/>
      <c r="H62" s="73"/>
      <c r="I62" s="2"/>
      <c r="J62" s="2"/>
      <c r="K62" s="57"/>
      <c r="L62" s="2"/>
    </row>
    <row r="63" s="1" customFormat="1" customHeight="1" spans="1:12">
      <c r="A63" s="40"/>
      <c r="B63" s="40"/>
      <c r="D63" s="2"/>
      <c r="E63" s="2"/>
      <c r="F63" s="40"/>
      <c r="G63" s="2"/>
      <c r="H63" s="73"/>
      <c r="I63" s="2"/>
      <c r="J63" s="2"/>
      <c r="K63" s="57"/>
      <c r="L63" s="2"/>
    </row>
    <row r="64" s="1" customFormat="1" customHeight="1" spans="1:12">
      <c r="A64" s="40"/>
      <c r="B64" s="40"/>
      <c r="D64" s="2"/>
      <c r="E64" s="2"/>
      <c r="F64" s="40"/>
      <c r="G64" s="2"/>
      <c r="H64" s="73"/>
      <c r="I64" s="2"/>
      <c r="J64" s="2"/>
      <c r="K64" s="57"/>
      <c r="L64" s="2"/>
    </row>
    <row r="65" s="1" customFormat="1" customHeight="1" spans="1:12">
      <c r="A65" s="40"/>
      <c r="B65" s="40"/>
      <c r="D65" s="2"/>
      <c r="E65" s="2"/>
      <c r="F65" s="40"/>
      <c r="G65" s="2"/>
      <c r="H65" s="73"/>
      <c r="I65" s="2"/>
      <c r="J65" s="2"/>
      <c r="K65" s="57"/>
      <c r="L65" s="2"/>
    </row>
    <row r="66" s="1" customFormat="1" customHeight="1" spans="1:12">
      <c r="A66" s="40"/>
      <c r="B66" s="40"/>
      <c r="D66" s="2"/>
      <c r="E66" s="2"/>
      <c r="F66" s="40"/>
      <c r="G66" s="2"/>
      <c r="H66" s="73"/>
      <c r="I66" s="2"/>
      <c r="J66" s="2"/>
      <c r="K66" s="57"/>
      <c r="L66" s="2"/>
    </row>
    <row r="67" s="1" customFormat="1" customHeight="1" spans="1:12">
      <c r="A67" s="40"/>
      <c r="B67" s="40"/>
      <c r="D67" s="2"/>
      <c r="E67" s="2"/>
      <c r="F67" s="40"/>
      <c r="G67" s="2"/>
      <c r="H67" s="73"/>
      <c r="I67" s="2"/>
      <c r="J67" s="2"/>
      <c r="K67" s="57"/>
      <c r="L67" s="2"/>
    </row>
    <row r="68" s="1" customFormat="1" customHeight="1" spans="1:12">
      <c r="A68" s="40"/>
      <c r="B68" s="40"/>
      <c r="D68" s="2"/>
      <c r="E68" s="2"/>
      <c r="F68" s="40"/>
      <c r="G68" s="2"/>
      <c r="H68" s="73"/>
      <c r="I68" s="2"/>
      <c r="J68" s="2"/>
      <c r="K68" s="57"/>
      <c r="L68" s="2"/>
    </row>
    <row r="69" s="1" customFormat="1" customHeight="1" spans="1:12">
      <c r="A69" s="40"/>
      <c r="B69" s="40"/>
      <c r="D69" s="2"/>
      <c r="E69" s="2"/>
      <c r="F69" s="40"/>
      <c r="G69" s="2"/>
      <c r="H69" s="73"/>
      <c r="I69" s="2"/>
      <c r="J69" s="2"/>
      <c r="K69" s="57"/>
      <c r="L69" s="2"/>
    </row>
    <row r="70" s="1" customFormat="1" customHeight="1" spans="1:12">
      <c r="A70" s="40"/>
      <c r="B70" s="40"/>
      <c r="D70" s="2"/>
      <c r="E70" s="2"/>
      <c r="F70" s="40"/>
      <c r="G70" s="2"/>
      <c r="H70" s="73"/>
      <c r="I70" s="2"/>
      <c r="J70" s="2"/>
      <c r="K70" s="57"/>
      <c r="L70" s="2"/>
    </row>
    <row r="71" s="1" customFormat="1" customHeight="1" spans="1:12">
      <c r="A71" s="40"/>
      <c r="B71" s="40"/>
      <c r="D71" s="2"/>
      <c r="E71" s="2"/>
      <c r="F71" s="40"/>
      <c r="G71" s="2"/>
      <c r="H71" s="73"/>
      <c r="I71" s="2"/>
      <c r="J71" s="2"/>
      <c r="K71" s="57"/>
      <c r="L71" s="2"/>
    </row>
    <row r="72" s="1" customFormat="1" customHeight="1" spans="1:12">
      <c r="A72" s="40"/>
      <c r="B72" s="40"/>
      <c r="D72" s="2"/>
      <c r="E72" s="2"/>
      <c r="F72" s="40"/>
      <c r="G72" s="2"/>
      <c r="H72" s="73"/>
      <c r="I72" s="2"/>
      <c r="J72" s="2"/>
      <c r="K72" s="57"/>
      <c r="L72" s="2"/>
    </row>
    <row r="73" s="1" customFormat="1" customHeight="1" spans="1:12">
      <c r="A73" s="40"/>
      <c r="B73" s="40"/>
      <c r="D73" s="2"/>
      <c r="E73" s="2"/>
      <c r="F73" s="40"/>
      <c r="G73" s="2"/>
      <c r="H73" s="73"/>
      <c r="I73" s="2"/>
      <c r="J73" s="2"/>
      <c r="K73" s="57"/>
      <c r="L73" s="2"/>
    </row>
    <row r="74" s="1" customFormat="1" customHeight="1" spans="1:12">
      <c r="A74" s="40"/>
      <c r="B74" s="40"/>
      <c r="D74" s="2"/>
      <c r="E74" s="2"/>
      <c r="F74" s="40"/>
      <c r="G74" s="2"/>
      <c r="H74" s="73"/>
      <c r="I74" s="2"/>
      <c r="J74" s="2"/>
      <c r="K74" s="57"/>
      <c r="L74" s="2"/>
    </row>
    <row r="75" s="1" customFormat="1" customHeight="1" spans="1:12">
      <c r="A75" s="40"/>
      <c r="B75" s="40"/>
      <c r="D75" s="2"/>
      <c r="E75" s="2"/>
      <c r="F75" s="40"/>
      <c r="G75" s="2"/>
      <c r="H75" s="73"/>
      <c r="I75" s="2"/>
      <c r="J75" s="2"/>
      <c r="K75" s="57"/>
      <c r="L75" s="2"/>
    </row>
    <row r="76" s="1" customFormat="1" customHeight="1" spans="1:12">
      <c r="A76" s="40"/>
      <c r="B76" s="40"/>
      <c r="D76" s="2"/>
      <c r="E76" s="2"/>
      <c r="F76" s="40"/>
      <c r="G76" s="2"/>
      <c r="H76" s="73"/>
      <c r="I76" s="2"/>
      <c r="J76" s="2"/>
      <c r="K76" s="57"/>
      <c r="L76" s="2"/>
    </row>
    <row r="77" s="1" customFormat="1" customHeight="1" spans="1:12">
      <c r="A77" s="40"/>
      <c r="B77" s="40"/>
      <c r="D77" s="2"/>
      <c r="E77" s="2"/>
      <c r="F77" s="40"/>
      <c r="G77" s="2"/>
      <c r="H77" s="73"/>
      <c r="I77" s="2"/>
      <c r="J77" s="2"/>
      <c r="K77" s="57"/>
      <c r="L77" s="2"/>
    </row>
    <row r="78" s="1" customFormat="1" customHeight="1" spans="1:12">
      <c r="A78" s="40"/>
      <c r="B78" s="40"/>
      <c r="D78" s="2"/>
      <c r="E78" s="2"/>
      <c r="F78" s="40"/>
      <c r="G78" s="2"/>
      <c r="H78" s="73"/>
      <c r="I78" s="2"/>
      <c r="J78" s="2"/>
      <c r="K78" s="57"/>
      <c r="L78" s="2"/>
    </row>
    <row r="79" s="1" customFormat="1" customHeight="1" spans="1:12">
      <c r="A79" s="40"/>
      <c r="B79" s="40"/>
      <c r="D79" s="2"/>
      <c r="E79" s="2"/>
      <c r="F79" s="40"/>
      <c r="G79" s="2"/>
      <c r="H79" s="73"/>
      <c r="I79" s="2"/>
      <c r="J79" s="2"/>
      <c r="K79" s="57"/>
      <c r="L79" s="2"/>
    </row>
    <row r="80" s="1" customFormat="1" customHeight="1" spans="1:12">
      <c r="A80" s="40"/>
      <c r="B80" s="40"/>
      <c r="D80" s="2"/>
      <c r="E80" s="2"/>
      <c r="F80" s="40"/>
      <c r="G80" s="2"/>
      <c r="H80" s="73"/>
      <c r="I80" s="2"/>
      <c r="J80" s="2"/>
      <c r="K80" s="57"/>
      <c r="L80" s="2"/>
    </row>
    <row r="81" s="1" customFormat="1" customHeight="1" spans="1:12">
      <c r="A81" s="40"/>
      <c r="B81" s="40"/>
      <c r="D81" s="2"/>
      <c r="E81" s="2"/>
      <c r="F81" s="40"/>
      <c r="G81" s="2"/>
      <c r="H81" s="73"/>
      <c r="I81" s="2"/>
      <c r="J81" s="2"/>
      <c r="K81" s="57"/>
      <c r="L81" s="2"/>
    </row>
    <row r="82" s="1" customFormat="1" customHeight="1" spans="1:12">
      <c r="A82" s="40"/>
      <c r="B82" s="40"/>
      <c r="D82" s="2"/>
      <c r="E82" s="2"/>
      <c r="F82" s="40"/>
      <c r="G82" s="2"/>
      <c r="H82" s="73"/>
      <c r="I82" s="2"/>
      <c r="J82" s="2"/>
      <c r="K82" s="57"/>
      <c r="L82" s="2"/>
    </row>
    <row r="83" s="1" customFormat="1" customHeight="1" spans="1:12">
      <c r="A83" s="40"/>
      <c r="B83" s="40"/>
      <c r="D83" s="2"/>
      <c r="E83" s="2"/>
      <c r="F83" s="40"/>
      <c r="G83" s="2"/>
      <c r="H83" s="73"/>
      <c r="I83" s="2"/>
      <c r="J83" s="2"/>
      <c r="K83" s="57"/>
      <c r="L83" s="2"/>
    </row>
    <row r="84" s="1" customFormat="1" customHeight="1" spans="1:12">
      <c r="A84" s="40"/>
      <c r="B84" s="40"/>
      <c r="D84" s="2"/>
      <c r="E84" s="2"/>
      <c r="F84" s="40"/>
      <c r="G84" s="2"/>
      <c r="H84" s="73"/>
      <c r="I84" s="2"/>
      <c r="J84" s="2"/>
      <c r="K84" s="57"/>
      <c r="L84" s="2"/>
    </row>
    <row r="85" s="1" customFormat="1" customHeight="1" spans="1:12">
      <c r="A85" s="40"/>
      <c r="B85" s="40"/>
      <c r="D85" s="2"/>
      <c r="E85" s="2"/>
      <c r="F85" s="40"/>
      <c r="G85" s="2"/>
      <c r="H85" s="73"/>
      <c r="I85" s="2"/>
      <c r="J85" s="2"/>
      <c r="K85" s="57"/>
      <c r="L85" s="2"/>
    </row>
    <row r="86" s="1" customFormat="1" customHeight="1" spans="1:12">
      <c r="A86" s="40"/>
      <c r="B86" s="40"/>
      <c r="D86" s="2"/>
      <c r="E86" s="2"/>
      <c r="F86" s="40"/>
      <c r="G86" s="2"/>
      <c r="H86" s="73"/>
      <c r="I86" s="2"/>
      <c r="J86" s="2"/>
      <c r="K86" s="57"/>
      <c r="L86" s="2"/>
    </row>
    <row r="87" s="1" customFormat="1" customHeight="1" spans="1:12">
      <c r="A87" s="40"/>
      <c r="B87" s="40"/>
      <c r="D87" s="2"/>
      <c r="E87" s="2"/>
      <c r="F87" s="40"/>
      <c r="G87" s="2"/>
      <c r="H87" s="73"/>
      <c r="I87" s="2"/>
      <c r="J87" s="2"/>
      <c r="K87" s="57"/>
      <c r="L87" s="2"/>
    </row>
    <row r="88" s="1" customFormat="1" customHeight="1" spans="1:12">
      <c r="A88" s="40"/>
      <c r="B88" s="40"/>
      <c r="D88" s="2"/>
      <c r="E88" s="2"/>
      <c r="F88" s="40"/>
      <c r="G88" s="2"/>
      <c r="H88" s="73"/>
      <c r="I88" s="2"/>
      <c r="J88" s="2"/>
      <c r="K88" s="57"/>
      <c r="L88" s="2"/>
    </row>
    <row r="89" s="1" customFormat="1" customHeight="1" spans="1:12">
      <c r="A89" s="40"/>
      <c r="B89" s="40"/>
      <c r="D89" s="2"/>
      <c r="E89" s="2"/>
      <c r="F89" s="40"/>
      <c r="G89" s="2"/>
      <c r="H89" s="73"/>
      <c r="I89" s="2"/>
      <c r="J89" s="2"/>
      <c r="K89" s="57"/>
      <c r="L89" s="2"/>
    </row>
    <row r="90" s="1" customFormat="1" customHeight="1" spans="1:12">
      <c r="A90" s="40"/>
      <c r="B90" s="40"/>
      <c r="D90" s="2"/>
      <c r="E90" s="2"/>
      <c r="F90" s="40"/>
      <c r="G90" s="2"/>
      <c r="H90" s="73"/>
      <c r="I90" s="2"/>
      <c r="J90" s="2"/>
      <c r="K90" s="57"/>
      <c r="L90" s="2"/>
    </row>
    <row r="91" s="1" customFormat="1" customHeight="1" spans="1:12">
      <c r="A91" s="40"/>
      <c r="B91" s="40"/>
      <c r="D91" s="2"/>
      <c r="E91" s="2"/>
      <c r="F91" s="40"/>
      <c r="G91" s="2"/>
      <c r="H91" s="73"/>
      <c r="I91" s="2"/>
      <c r="J91" s="2"/>
      <c r="K91" s="57"/>
      <c r="L91" s="2"/>
    </row>
    <row r="92" s="1" customFormat="1" customHeight="1" spans="1:12">
      <c r="A92" s="40"/>
      <c r="B92" s="40"/>
      <c r="D92" s="2"/>
      <c r="E92" s="2"/>
      <c r="F92" s="40"/>
      <c r="G92" s="2"/>
      <c r="H92" s="73"/>
      <c r="I92" s="2"/>
      <c r="J92" s="2"/>
      <c r="K92" s="57"/>
      <c r="L92" s="2"/>
    </row>
    <row r="93" s="1" customFormat="1" customHeight="1" spans="1:12">
      <c r="A93" s="40"/>
      <c r="B93" s="40"/>
      <c r="D93" s="2"/>
      <c r="E93" s="2"/>
      <c r="F93" s="40"/>
      <c r="G93" s="2"/>
      <c r="H93" s="73"/>
      <c r="I93" s="2"/>
      <c r="J93" s="2"/>
      <c r="K93" s="57"/>
      <c r="L93" s="2"/>
    </row>
    <row r="94" s="1" customFormat="1" customHeight="1" spans="1:12">
      <c r="A94" s="40"/>
      <c r="B94" s="40"/>
      <c r="D94" s="2"/>
      <c r="E94" s="2"/>
      <c r="F94" s="40"/>
      <c r="G94" s="2"/>
      <c r="H94" s="73"/>
      <c r="I94" s="2"/>
      <c r="J94" s="2"/>
      <c r="K94" s="57"/>
      <c r="L94" s="2"/>
    </row>
    <row r="95" s="1" customFormat="1" customHeight="1" spans="1:12">
      <c r="A95" s="40"/>
      <c r="B95" s="40"/>
      <c r="D95" s="2"/>
      <c r="E95" s="2"/>
      <c r="F95" s="40"/>
      <c r="G95" s="2"/>
      <c r="H95" s="73"/>
      <c r="I95" s="2"/>
      <c r="J95" s="2"/>
      <c r="K95" s="57"/>
      <c r="L95" s="2"/>
    </row>
    <row r="96" s="1" customFormat="1" customHeight="1" spans="1:12">
      <c r="A96" s="40"/>
      <c r="B96" s="40"/>
      <c r="D96" s="2"/>
      <c r="E96" s="2"/>
      <c r="F96" s="40"/>
      <c r="G96" s="2"/>
      <c r="H96" s="73"/>
      <c r="I96" s="2"/>
      <c r="J96" s="2"/>
      <c r="K96" s="57"/>
      <c r="L96" s="2"/>
    </row>
    <row r="97" s="1" customFormat="1" customHeight="1" spans="1:12">
      <c r="A97" s="40"/>
      <c r="B97" s="40"/>
      <c r="D97" s="2"/>
      <c r="E97" s="2"/>
      <c r="F97" s="40"/>
      <c r="G97" s="2"/>
      <c r="H97" s="73"/>
      <c r="I97" s="2"/>
      <c r="J97" s="2"/>
      <c r="K97" s="57"/>
      <c r="L97" s="2"/>
    </row>
    <row r="98" s="1" customFormat="1" customHeight="1" spans="1:12">
      <c r="A98" s="40"/>
      <c r="B98" s="40"/>
      <c r="D98" s="2"/>
      <c r="E98" s="2"/>
      <c r="F98" s="40"/>
      <c r="G98" s="2"/>
      <c r="H98" s="73"/>
      <c r="I98" s="2"/>
      <c r="J98" s="2"/>
      <c r="K98" s="57"/>
      <c r="L98" s="2"/>
    </row>
    <row r="99" s="1" customFormat="1" customHeight="1" spans="1:12">
      <c r="A99" s="40"/>
      <c r="B99" s="40"/>
      <c r="D99" s="2"/>
      <c r="E99" s="2"/>
      <c r="F99" s="40"/>
      <c r="G99" s="2"/>
      <c r="H99" s="73"/>
      <c r="I99" s="2"/>
      <c r="J99" s="2"/>
      <c r="K99" s="57"/>
      <c r="L99" s="2"/>
    </row>
    <row r="100" s="1" customFormat="1" customHeight="1" spans="1:12">
      <c r="A100" s="40"/>
      <c r="B100" s="40"/>
      <c r="D100" s="2"/>
      <c r="E100" s="2"/>
      <c r="F100" s="40"/>
      <c r="G100" s="2"/>
      <c r="H100" s="2"/>
      <c r="I100" s="2"/>
      <c r="J100" s="2"/>
      <c r="K100" s="57"/>
      <c r="L100" s="2"/>
    </row>
    <row r="101" s="1" customFormat="1" customHeight="1" spans="1:12">
      <c r="A101" s="40"/>
      <c r="B101" s="40"/>
      <c r="D101" s="2"/>
      <c r="E101" s="2"/>
      <c r="F101" s="40"/>
      <c r="G101" s="2"/>
      <c r="H101" s="2"/>
      <c r="I101" s="2"/>
      <c r="J101" s="2"/>
      <c r="K101" s="57"/>
      <c r="L101" s="2"/>
    </row>
    <row r="102" s="1" customFormat="1" customHeight="1" spans="1:12">
      <c r="A102" s="40"/>
      <c r="B102" s="40"/>
      <c r="D102" s="2"/>
      <c r="E102" s="2"/>
      <c r="F102" s="40"/>
      <c r="G102" s="2"/>
      <c r="H102" s="2"/>
      <c r="I102" s="2"/>
      <c r="J102" s="2"/>
      <c r="K102" s="57"/>
      <c r="L102" s="2"/>
    </row>
    <row r="103" s="1" customFormat="1" customHeight="1" spans="1:12">
      <c r="A103" s="40"/>
      <c r="B103" s="40"/>
      <c r="D103" s="2"/>
      <c r="E103" s="2"/>
      <c r="F103" s="40"/>
      <c r="G103" s="2"/>
      <c r="H103" s="2"/>
      <c r="I103" s="2"/>
      <c r="J103" s="2"/>
      <c r="K103" s="57"/>
      <c r="L103" s="2"/>
    </row>
    <row r="104" s="1" customFormat="1" customHeight="1" spans="1:12">
      <c r="A104" s="40"/>
      <c r="B104" s="40"/>
      <c r="D104" s="2"/>
      <c r="E104" s="2"/>
      <c r="F104" s="40"/>
      <c r="G104" s="2"/>
      <c r="H104" s="2"/>
      <c r="I104" s="2"/>
      <c r="J104" s="2"/>
      <c r="K104" s="57"/>
      <c r="L104" s="2"/>
    </row>
    <row r="105" s="1" customFormat="1" customHeight="1" spans="1:12">
      <c r="A105" s="40"/>
      <c r="B105" s="40"/>
      <c r="D105" s="2"/>
      <c r="E105" s="2"/>
      <c r="F105" s="40"/>
      <c r="G105" s="2"/>
      <c r="H105" s="2"/>
      <c r="I105" s="2"/>
      <c r="J105" s="2"/>
      <c r="K105" s="57"/>
      <c r="L105" s="2"/>
    </row>
    <row r="106" s="1" customFormat="1" customHeight="1" spans="1:12">
      <c r="A106" s="40"/>
      <c r="B106" s="40"/>
      <c r="D106" s="2"/>
      <c r="E106" s="2"/>
      <c r="F106" s="40"/>
      <c r="G106" s="2"/>
      <c r="H106" s="2"/>
      <c r="I106" s="2"/>
      <c r="J106" s="2"/>
      <c r="K106" s="57"/>
      <c r="L106" s="2"/>
    </row>
    <row r="107" s="1" customFormat="1" customHeight="1" spans="1:12">
      <c r="A107" s="40"/>
      <c r="B107" s="40"/>
      <c r="D107" s="2"/>
      <c r="E107" s="2"/>
      <c r="F107" s="40"/>
      <c r="G107" s="2"/>
      <c r="H107" s="2"/>
      <c r="I107" s="2"/>
      <c r="J107" s="2"/>
      <c r="K107" s="57"/>
      <c r="L107" s="2"/>
    </row>
    <row r="108" s="1" customFormat="1" customHeight="1" spans="1:12">
      <c r="A108" s="40"/>
      <c r="B108" s="40"/>
      <c r="D108" s="2"/>
      <c r="E108" s="2"/>
      <c r="F108" s="40"/>
      <c r="G108" s="2"/>
      <c r="H108" s="2"/>
      <c r="I108" s="2"/>
      <c r="J108" s="2"/>
      <c r="K108" s="57"/>
      <c r="L108" s="2"/>
    </row>
    <row r="109" s="1" customFormat="1" customHeight="1" spans="1:12">
      <c r="A109" s="40"/>
      <c r="B109" s="40"/>
      <c r="D109" s="2"/>
      <c r="E109" s="2"/>
      <c r="F109" s="40"/>
      <c r="G109" s="2"/>
      <c r="H109" s="2"/>
      <c r="I109" s="2"/>
      <c r="J109" s="2"/>
      <c r="K109" s="57"/>
      <c r="L109" s="2"/>
    </row>
    <row r="110" s="1" customFormat="1" customHeight="1" spans="1:12">
      <c r="A110" s="40"/>
      <c r="B110" s="40"/>
      <c r="D110" s="2"/>
      <c r="E110" s="2"/>
      <c r="F110" s="40"/>
      <c r="G110" s="2"/>
      <c r="H110" s="2"/>
      <c r="I110" s="2"/>
      <c r="J110" s="2"/>
      <c r="K110" s="57"/>
      <c r="L110" s="2"/>
    </row>
    <row r="111" s="1" customFormat="1" customHeight="1" spans="1:12">
      <c r="A111" s="40"/>
      <c r="B111" s="40"/>
      <c r="D111" s="2"/>
      <c r="E111" s="2"/>
      <c r="F111" s="40"/>
      <c r="G111" s="2"/>
      <c r="H111" s="2"/>
      <c r="I111" s="2"/>
      <c r="J111" s="2"/>
      <c r="K111" s="57"/>
      <c r="L111" s="2"/>
    </row>
    <row r="112" s="1" customFormat="1" customHeight="1" spans="1:12">
      <c r="A112" s="40"/>
      <c r="B112" s="40"/>
      <c r="D112" s="2"/>
      <c r="E112" s="2"/>
      <c r="F112" s="40"/>
      <c r="G112" s="2"/>
      <c r="H112" s="2"/>
      <c r="I112" s="2"/>
      <c r="J112" s="2"/>
      <c r="K112" s="57"/>
      <c r="L112" s="2"/>
    </row>
    <row r="113" s="1" customFormat="1" customHeight="1" spans="1:12">
      <c r="A113" s="40"/>
      <c r="B113" s="40"/>
      <c r="D113" s="2"/>
      <c r="E113" s="2"/>
      <c r="F113" s="40"/>
      <c r="G113" s="2"/>
      <c r="H113" s="2"/>
      <c r="I113" s="2"/>
      <c r="J113" s="2"/>
      <c r="K113" s="57"/>
      <c r="L113" s="2"/>
    </row>
    <row r="114" s="1" customFormat="1" customHeight="1" spans="1:12">
      <c r="A114" s="40"/>
      <c r="B114" s="40"/>
      <c r="D114" s="2"/>
      <c r="E114" s="2"/>
      <c r="F114" s="40"/>
      <c r="G114" s="2"/>
      <c r="H114" s="2"/>
      <c r="I114" s="2"/>
      <c r="J114" s="2"/>
      <c r="K114" s="57"/>
      <c r="L114" s="2"/>
    </row>
    <row r="115" s="1" customFormat="1" customHeight="1" spans="1:12">
      <c r="A115" s="40"/>
      <c r="B115" s="40"/>
      <c r="D115" s="2"/>
      <c r="E115" s="2"/>
      <c r="F115" s="40"/>
      <c r="G115" s="2"/>
      <c r="H115" s="2"/>
      <c r="I115" s="2"/>
      <c r="J115" s="2"/>
      <c r="K115" s="57"/>
      <c r="L115" s="2"/>
    </row>
    <row r="116" s="1" customFormat="1" customHeight="1" spans="1:12">
      <c r="A116" s="40"/>
      <c r="B116" s="40"/>
      <c r="D116" s="2"/>
      <c r="E116" s="2"/>
      <c r="F116" s="40"/>
      <c r="G116" s="2"/>
      <c r="H116" s="2"/>
      <c r="I116" s="2"/>
      <c r="J116" s="2"/>
      <c r="K116" s="57"/>
      <c r="L116" s="2"/>
    </row>
    <row r="117" s="1" customFormat="1" customHeight="1" spans="1:12">
      <c r="A117" s="40"/>
      <c r="B117" s="40"/>
      <c r="D117" s="2"/>
      <c r="E117" s="2"/>
      <c r="F117" s="40"/>
      <c r="G117" s="2"/>
      <c r="H117" s="2"/>
      <c r="I117" s="2"/>
      <c r="J117" s="2"/>
      <c r="K117" s="57"/>
      <c r="L117" s="2"/>
    </row>
    <row r="118" s="1" customFormat="1" customHeight="1" spans="1:12">
      <c r="A118" s="40"/>
      <c r="B118" s="40"/>
      <c r="D118" s="2"/>
      <c r="E118" s="2"/>
      <c r="F118" s="40"/>
      <c r="G118" s="2"/>
      <c r="H118" s="2"/>
      <c r="I118" s="2"/>
      <c r="J118" s="2"/>
      <c r="K118" s="57"/>
      <c r="L118" s="2"/>
    </row>
    <row r="119" s="1" customFormat="1" customHeight="1" spans="1:12">
      <c r="A119" s="40"/>
      <c r="B119" s="40"/>
      <c r="D119" s="2"/>
      <c r="E119" s="2"/>
      <c r="F119" s="40"/>
      <c r="G119" s="2"/>
      <c r="H119" s="2"/>
      <c r="I119" s="2"/>
      <c r="J119" s="2"/>
      <c r="K119" s="57"/>
      <c r="L119" s="2"/>
    </row>
    <row r="120" s="1" customFormat="1" customHeight="1" spans="1:12">
      <c r="A120" s="40"/>
      <c r="B120" s="40"/>
      <c r="D120" s="2"/>
      <c r="E120" s="2"/>
      <c r="F120" s="40"/>
      <c r="G120" s="2"/>
      <c r="H120" s="2"/>
      <c r="I120" s="2"/>
      <c r="J120" s="2"/>
      <c r="K120" s="57"/>
      <c r="L120" s="2"/>
    </row>
    <row r="121" s="1" customFormat="1" customHeight="1" spans="1:12">
      <c r="A121" s="40"/>
      <c r="B121" s="40"/>
      <c r="D121" s="2"/>
      <c r="E121" s="2"/>
      <c r="F121" s="40"/>
      <c r="G121" s="2"/>
      <c r="H121" s="2"/>
      <c r="I121" s="2"/>
      <c r="J121" s="2"/>
      <c r="K121" s="57"/>
      <c r="L121" s="2"/>
    </row>
    <row r="122" s="1" customFormat="1" customHeight="1" spans="1:12">
      <c r="A122" s="40"/>
      <c r="B122" s="40"/>
      <c r="D122" s="2"/>
      <c r="E122" s="2"/>
      <c r="F122" s="40"/>
      <c r="G122" s="2"/>
      <c r="H122" s="2"/>
      <c r="I122" s="2"/>
      <c r="J122" s="2"/>
      <c r="K122" s="57"/>
      <c r="L122" s="2"/>
    </row>
    <row r="123" s="1" customFormat="1" customHeight="1" spans="1:12">
      <c r="A123" s="40"/>
      <c r="B123" s="40"/>
      <c r="D123" s="2"/>
      <c r="E123" s="2"/>
      <c r="F123" s="40"/>
      <c r="G123" s="2"/>
      <c r="H123" s="2"/>
      <c r="I123" s="2"/>
      <c r="J123" s="2"/>
      <c r="K123" s="57"/>
      <c r="L123" s="2"/>
    </row>
    <row r="124" s="1" customFormat="1" customHeight="1" spans="1:12">
      <c r="A124" s="40"/>
      <c r="B124" s="40"/>
      <c r="D124" s="2"/>
      <c r="E124" s="2"/>
      <c r="F124" s="40"/>
      <c r="G124" s="2"/>
      <c r="H124" s="2"/>
      <c r="I124" s="2"/>
      <c r="J124" s="2"/>
      <c r="K124" s="57"/>
      <c r="L124" s="2"/>
    </row>
    <row r="125" s="1" customFormat="1" customHeight="1" spans="1:12">
      <c r="A125" s="40"/>
      <c r="B125" s="40"/>
      <c r="D125" s="2"/>
      <c r="E125" s="2"/>
      <c r="F125" s="40"/>
      <c r="G125" s="2"/>
      <c r="H125" s="2"/>
      <c r="I125" s="2"/>
      <c r="J125" s="2"/>
      <c r="K125" s="57"/>
      <c r="L125" s="2"/>
    </row>
    <row r="126" s="1" customFormat="1" customHeight="1" spans="1:12">
      <c r="A126" s="40"/>
      <c r="B126" s="40"/>
      <c r="D126" s="2"/>
      <c r="E126" s="2"/>
      <c r="F126" s="40"/>
      <c r="G126" s="2"/>
      <c r="H126" s="2"/>
      <c r="I126" s="2"/>
      <c r="J126" s="2"/>
      <c r="K126" s="57"/>
      <c r="L126" s="2"/>
    </row>
    <row r="127" s="1" customFormat="1" customHeight="1" spans="1:12">
      <c r="A127" s="40"/>
      <c r="B127" s="40"/>
      <c r="D127" s="2"/>
      <c r="E127" s="2"/>
      <c r="F127" s="40"/>
      <c r="G127" s="2"/>
      <c r="H127" s="2"/>
      <c r="I127" s="2"/>
      <c r="J127" s="2"/>
      <c r="K127" s="57"/>
      <c r="L127" s="2"/>
    </row>
    <row r="128" s="1" customFormat="1" customHeight="1" spans="1:12">
      <c r="A128" s="40"/>
      <c r="B128" s="40"/>
      <c r="D128" s="2"/>
      <c r="E128" s="2"/>
      <c r="F128" s="40"/>
      <c r="G128" s="2"/>
      <c r="H128" s="2"/>
      <c r="I128" s="2"/>
      <c r="J128" s="2"/>
      <c r="K128" s="57"/>
      <c r="L128" s="2"/>
    </row>
    <row r="129" s="1" customFormat="1" customHeight="1" spans="1:12">
      <c r="A129" s="40"/>
      <c r="B129" s="40"/>
      <c r="D129" s="2"/>
      <c r="E129" s="2"/>
      <c r="F129" s="40"/>
      <c r="G129" s="2"/>
      <c r="H129" s="2"/>
      <c r="I129" s="2"/>
      <c r="J129" s="2"/>
      <c r="K129" s="57"/>
      <c r="L129" s="2"/>
    </row>
    <row r="130" s="1" customFormat="1" customHeight="1" spans="1:12">
      <c r="A130" s="40"/>
      <c r="B130" s="40"/>
      <c r="D130" s="2"/>
      <c r="E130" s="2"/>
      <c r="F130" s="40"/>
      <c r="G130" s="2"/>
      <c r="H130" s="2"/>
      <c r="I130" s="2"/>
      <c r="J130" s="2"/>
      <c r="K130" s="57"/>
      <c r="L130" s="2"/>
    </row>
    <row r="131" s="1" customFormat="1" customHeight="1" spans="1:12">
      <c r="A131" s="40"/>
      <c r="B131" s="40"/>
      <c r="D131" s="2"/>
      <c r="E131" s="2"/>
      <c r="F131" s="40"/>
      <c r="G131" s="2"/>
      <c r="H131" s="2"/>
      <c r="I131" s="2"/>
      <c r="J131" s="2"/>
      <c r="K131" s="57"/>
      <c r="L131" s="2"/>
    </row>
    <row r="132" s="1" customFormat="1" customHeight="1" spans="1:12">
      <c r="A132" s="40"/>
      <c r="B132" s="40"/>
      <c r="D132" s="2"/>
      <c r="E132" s="2"/>
      <c r="F132" s="40"/>
      <c r="G132" s="2"/>
      <c r="H132" s="2"/>
      <c r="I132" s="2"/>
      <c r="J132" s="2"/>
      <c r="K132" s="57"/>
      <c r="L132" s="2"/>
    </row>
    <row r="133" s="1" customFormat="1" customHeight="1" spans="1:12">
      <c r="A133" s="40"/>
      <c r="B133" s="40"/>
      <c r="D133" s="2"/>
      <c r="E133" s="2"/>
      <c r="F133" s="40"/>
      <c r="G133" s="2"/>
      <c r="H133" s="2"/>
      <c r="I133" s="2"/>
      <c r="J133" s="2"/>
      <c r="K133" s="57"/>
      <c r="L133" s="2"/>
    </row>
    <row r="134" s="1" customFormat="1" customHeight="1" spans="1:12">
      <c r="A134" s="40"/>
      <c r="B134" s="40"/>
      <c r="D134" s="2"/>
      <c r="E134" s="2"/>
      <c r="F134" s="40"/>
      <c r="G134" s="2"/>
      <c r="H134" s="2"/>
      <c r="I134" s="2"/>
      <c r="J134" s="2"/>
      <c r="K134" s="57"/>
      <c r="L134" s="2"/>
    </row>
    <row r="135" s="1" customFormat="1" customHeight="1" spans="1:12">
      <c r="A135" s="40"/>
      <c r="B135" s="40"/>
      <c r="D135" s="2"/>
      <c r="E135" s="2"/>
      <c r="F135" s="40"/>
      <c r="G135" s="2"/>
      <c r="H135" s="2"/>
      <c r="I135" s="2"/>
      <c r="J135" s="2"/>
      <c r="K135" s="57"/>
      <c r="L135" s="2"/>
    </row>
    <row r="136" s="1" customFormat="1" customHeight="1" spans="1:12">
      <c r="A136" s="40"/>
      <c r="B136" s="40"/>
      <c r="D136" s="2"/>
      <c r="E136" s="2"/>
      <c r="F136" s="40"/>
      <c r="G136" s="2"/>
      <c r="H136" s="2"/>
      <c r="I136" s="2"/>
      <c r="J136" s="2"/>
      <c r="K136" s="57"/>
      <c r="L136" s="2"/>
    </row>
    <row r="137" s="1" customFormat="1" customHeight="1" spans="1:12">
      <c r="A137" s="40"/>
      <c r="B137" s="40"/>
      <c r="D137" s="2"/>
      <c r="E137" s="2"/>
      <c r="F137" s="40"/>
      <c r="G137" s="2"/>
      <c r="H137" s="2"/>
      <c r="I137" s="2"/>
      <c r="J137" s="2"/>
      <c r="K137" s="57"/>
      <c r="L137" s="2"/>
    </row>
    <row r="138" s="1" customFormat="1" customHeight="1" spans="1:12">
      <c r="A138" s="40"/>
      <c r="B138" s="40"/>
      <c r="D138" s="2"/>
      <c r="E138" s="2"/>
      <c r="F138" s="40"/>
      <c r="G138" s="2"/>
      <c r="H138" s="2"/>
      <c r="I138" s="2"/>
      <c r="J138" s="2"/>
      <c r="K138" s="57"/>
      <c r="L138" s="2"/>
    </row>
    <row r="139" s="1" customFormat="1" customHeight="1" spans="1:12">
      <c r="A139" s="40"/>
      <c r="B139" s="40"/>
      <c r="D139" s="2"/>
      <c r="E139" s="2"/>
      <c r="F139" s="40"/>
      <c r="G139" s="2"/>
      <c r="H139" s="2"/>
      <c r="I139" s="2"/>
      <c r="J139" s="2"/>
      <c r="K139" s="57"/>
      <c r="L139" s="2"/>
    </row>
    <row r="140" s="1" customFormat="1" customHeight="1" spans="1:12">
      <c r="A140" s="40"/>
      <c r="B140" s="40"/>
      <c r="D140" s="2"/>
      <c r="E140" s="2"/>
      <c r="F140" s="40"/>
      <c r="G140" s="2"/>
      <c r="H140" s="2"/>
      <c r="I140" s="2"/>
      <c r="J140" s="2"/>
      <c r="K140" s="57"/>
      <c r="L140" s="2"/>
    </row>
    <row r="141" s="1" customFormat="1" customHeight="1" spans="1:12">
      <c r="A141" s="40"/>
      <c r="B141" s="40"/>
      <c r="D141" s="2"/>
      <c r="E141" s="2"/>
      <c r="F141" s="40"/>
      <c r="G141" s="2"/>
      <c r="H141" s="2"/>
      <c r="I141" s="2"/>
      <c r="J141" s="2"/>
      <c r="K141" s="57"/>
      <c r="L141" s="2"/>
    </row>
    <row r="142" s="1" customFormat="1" customHeight="1" spans="1:12">
      <c r="A142" s="40"/>
      <c r="B142" s="40"/>
      <c r="D142" s="2"/>
      <c r="E142" s="2"/>
      <c r="F142" s="40"/>
      <c r="G142" s="2"/>
      <c r="H142" s="2"/>
      <c r="I142" s="2"/>
      <c r="J142" s="2"/>
      <c r="K142" s="57"/>
      <c r="L142" s="2"/>
    </row>
    <row r="143" s="1" customFormat="1" customHeight="1" spans="1:12">
      <c r="A143" s="40"/>
      <c r="B143" s="40"/>
      <c r="D143" s="2"/>
      <c r="E143" s="2"/>
      <c r="F143" s="40"/>
      <c r="G143" s="2"/>
      <c r="H143" s="2"/>
      <c r="I143" s="2"/>
      <c r="J143" s="2"/>
      <c r="K143" s="57"/>
      <c r="L143" s="2"/>
    </row>
    <row r="144" s="1" customFormat="1" customHeight="1" spans="1:12">
      <c r="A144" s="40"/>
      <c r="B144" s="40"/>
      <c r="D144" s="2"/>
      <c r="E144" s="2"/>
      <c r="F144" s="40"/>
      <c r="G144" s="2"/>
      <c r="H144" s="2"/>
      <c r="I144" s="2"/>
      <c r="J144" s="2"/>
      <c r="K144" s="57"/>
      <c r="L144" s="2"/>
    </row>
    <row r="145" s="1" customFormat="1" customHeight="1" spans="1:12">
      <c r="A145" s="40"/>
      <c r="B145" s="40"/>
      <c r="D145" s="2"/>
      <c r="E145" s="2"/>
      <c r="F145" s="40"/>
      <c r="G145" s="2"/>
      <c r="H145" s="2"/>
      <c r="I145" s="2"/>
      <c r="J145" s="2"/>
      <c r="K145" s="57"/>
      <c r="L145" s="2"/>
    </row>
    <row r="146" s="1" customFormat="1" customHeight="1" spans="1:12">
      <c r="A146" s="40"/>
      <c r="B146" s="40"/>
      <c r="D146" s="2"/>
      <c r="E146" s="2"/>
      <c r="F146" s="40"/>
      <c r="G146" s="2"/>
      <c r="H146" s="2"/>
      <c r="I146" s="2"/>
      <c r="J146" s="2"/>
      <c r="K146" s="57"/>
      <c r="L146" s="2"/>
    </row>
    <row r="147" s="1" customFormat="1" customHeight="1" spans="1:12">
      <c r="A147" s="40"/>
      <c r="B147" s="40"/>
      <c r="D147" s="2"/>
      <c r="E147" s="2"/>
      <c r="F147" s="40"/>
      <c r="G147" s="2"/>
      <c r="H147" s="2"/>
      <c r="I147" s="2"/>
      <c r="J147" s="2"/>
      <c r="K147" s="57"/>
      <c r="L147" s="2"/>
    </row>
    <row r="148" s="1" customFormat="1" customHeight="1" spans="1:12">
      <c r="A148" s="40"/>
      <c r="B148" s="40"/>
      <c r="D148" s="2"/>
      <c r="E148" s="2"/>
      <c r="F148" s="40"/>
      <c r="G148" s="2"/>
      <c r="H148" s="2"/>
      <c r="I148" s="2"/>
      <c r="J148" s="2"/>
      <c r="K148" s="57"/>
      <c r="L148" s="2"/>
    </row>
    <row r="149" s="1" customFormat="1" customHeight="1" spans="1:12">
      <c r="A149" s="40"/>
      <c r="B149" s="40"/>
      <c r="D149" s="2"/>
      <c r="E149" s="2"/>
      <c r="F149" s="40"/>
      <c r="G149" s="2"/>
      <c r="H149" s="2"/>
      <c r="I149" s="2"/>
      <c r="J149" s="2"/>
      <c r="K149" s="57"/>
      <c r="L149" s="2"/>
    </row>
    <row r="150" s="1" customFormat="1" customHeight="1" spans="1:12">
      <c r="A150" s="40"/>
      <c r="B150" s="40"/>
      <c r="D150" s="2"/>
      <c r="E150" s="2"/>
      <c r="F150" s="40"/>
      <c r="G150" s="2"/>
      <c r="H150" s="2"/>
      <c r="I150" s="2"/>
      <c r="J150" s="2"/>
      <c r="K150" s="57"/>
      <c r="L150" s="2"/>
    </row>
    <row r="151" s="1" customFormat="1" customHeight="1" spans="1:12">
      <c r="A151" s="40"/>
      <c r="B151" s="40"/>
      <c r="D151" s="2"/>
      <c r="E151" s="2"/>
      <c r="F151" s="40"/>
      <c r="G151" s="2"/>
      <c r="H151" s="2"/>
      <c r="I151" s="2"/>
      <c r="J151" s="2"/>
      <c r="K151" s="57"/>
      <c r="L151" s="2"/>
    </row>
    <row r="152" s="1" customFormat="1" customHeight="1" spans="1:12">
      <c r="A152" s="40"/>
      <c r="B152" s="40"/>
      <c r="D152" s="2"/>
      <c r="E152" s="2"/>
      <c r="F152" s="40"/>
      <c r="G152" s="2"/>
      <c r="H152" s="2"/>
      <c r="I152" s="2"/>
      <c r="J152" s="2"/>
      <c r="K152" s="57"/>
      <c r="L152" s="2"/>
    </row>
    <row r="153" s="1" customFormat="1" customHeight="1" spans="1:12">
      <c r="A153" s="40"/>
      <c r="B153" s="40"/>
      <c r="D153" s="2"/>
      <c r="E153" s="2"/>
      <c r="F153" s="40"/>
      <c r="G153" s="2"/>
      <c r="H153" s="2"/>
      <c r="I153" s="2"/>
      <c r="J153" s="2"/>
      <c r="K153" s="57"/>
      <c r="L153" s="2"/>
    </row>
    <row r="154" s="1" customFormat="1" customHeight="1" spans="1:12">
      <c r="A154" s="40"/>
      <c r="B154" s="40"/>
      <c r="D154" s="2"/>
      <c r="E154" s="2"/>
      <c r="F154" s="40"/>
      <c r="G154" s="2"/>
      <c r="H154" s="2"/>
      <c r="I154" s="2"/>
      <c r="J154" s="2"/>
      <c r="K154" s="57"/>
      <c r="L154" s="2"/>
    </row>
    <row r="155" s="1" customFormat="1" customHeight="1" spans="1:12">
      <c r="A155" s="40"/>
      <c r="B155" s="40"/>
      <c r="D155" s="2"/>
      <c r="E155" s="2"/>
      <c r="F155" s="40"/>
      <c r="G155" s="2"/>
      <c r="H155" s="2"/>
      <c r="I155" s="2"/>
      <c r="J155" s="2"/>
      <c r="K155" s="57"/>
      <c r="L155" s="2"/>
    </row>
    <row r="156" s="1" customFormat="1" customHeight="1" spans="1:12">
      <c r="A156" s="40"/>
      <c r="B156" s="40"/>
      <c r="D156" s="2"/>
      <c r="E156" s="2"/>
      <c r="F156" s="40"/>
      <c r="G156" s="2"/>
      <c r="H156" s="2"/>
      <c r="I156" s="2"/>
      <c r="J156" s="2"/>
      <c r="K156" s="57"/>
      <c r="L156" s="2"/>
    </row>
    <row r="157" s="1" customFormat="1" customHeight="1" spans="1:12">
      <c r="A157" s="40"/>
      <c r="B157" s="40"/>
      <c r="D157" s="2"/>
      <c r="E157" s="2"/>
      <c r="F157" s="40"/>
      <c r="G157" s="2"/>
      <c r="H157" s="2"/>
      <c r="I157" s="2"/>
      <c r="J157" s="2"/>
      <c r="K157" s="57"/>
      <c r="L157" s="2"/>
    </row>
    <row r="158" s="1" customFormat="1" customHeight="1" spans="1:12">
      <c r="A158" s="40"/>
      <c r="B158" s="40"/>
      <c r="D158" s="2"/>
      <c r="E158" s="2"/>
      <c r="F158" s="40"/>
      <c r="G158" s="2"/>
      <c r="H158" s="2"/>
      <c r="I158" s="2"/>
      <c r="J158" s="2"/>
      <c r="K158" s="57"/>
      <c r="L158" s="2"/>
    </row>
    <row r="159" s="1" customFormat="1" customHeight="1" spans="1:12">
      <c r="A159" s="40"/>
      <c r="B159" s="40"/>
      <c r="D159" s="2"/>
      <c r="E159" s="2"/>
      <c r="F159" s="40"/>
      <c r="G159" s="2"/>
      <c r="H159" s="2"/>
      <c r="I159" s="2"/>
      <c r="J159" s="2"/>
      <c r="K159" s="57"/>
      <c r="L159" s="2"/>
    </row>
    <row r="160" s="1" customFormat="1" customHeight="1" spans="1:12">
      <c r="A160" s="40"/>
      <c r="B160" s="40"/>
      <c r="D160" s="2"/>
      <c r="E160" s="2"/>
      <c r="F160" s="40"/>
      <c r="G160" s="2"/>
      <c r="H160" s="2"/>
      <c r="I160" s="2"/>
      <c r="J160" s="2"/>
      <c r="K160" s="57"/>
      <c r="L160" s="2"/>
    </row>
    <row r="161" s="1" customFormat="1" customHeight="1" spans="1:12">
      <c r="A161" s="40"/>
      <c r="B161" s="40"/>
      <c r="D161" s="2"/>
      <c r="E161" s="2"/>
      <c r="F161" s="40"/>
      <c r="G161" s="2"/>
      <c r="H161" s="2"/>
      <c r="I161" s="2"/>
      <c r="J161" s="2"/>
      <c r="K161" s="57"/>
      <c r="L161" s="2"/>
    </row>
    <row r="162" s="1" customFormat="1" customHeight="1" spans="1:12">
      <c r="A162" s="40"/>
      <c r="B162" s="40"/>
      <c r="D162" s="2"/>
      <c r="E162" s="2"/>
      <c r="F162" s="40"/>
      <c r="G162" s="2"/>
      <c r="H162" s="2"/>
      <c r="I162" s="2"/>
      <c r="J162" s="2"/>
      <c r="K162" s="57"/>
      <c r="L162" s="2"/>
    </row>
    <row r="163" s="1" customFormat="1" customHeight="1" spans="1:12">
      <c r="A163" s="40"/>
      <c r="B163" s="40"/>
      <c r="D163" s="2"/>
      <c r="E163" s="2"/>
      <c r="F163" s="40"/>
      <c r="G163" s="2"/>
      <c r="H163" s="2"/>
      <c r="I163" s="2"/>
      <c r="J163" s="2"/>
      <c r="K163" s="57"/>
      <c r="L163" s="2"/>
    </row>
    <row r="164" s="1" customFormat="1" customHeight="1" spans="1:12">
      <c r="A164" s="40"/>
      <c r="B164" s="40"/>
      <c r="D164" s="2"/>
      <c r="E164" s="2"/>
      <c r="F164" s="40"/>
      <c r="G164" s="2"/>
      <c r="H164" s="2"/>
      <c r="I164" s="2"/>
      <c r="J164" s="2"/>
      <c r="K164" s="57"/>
      <c r="L164" s="2"/>
    </row>
    <row r="165" s="1" customFormat="1" customHeight="1" spans="1:12">
      <c r="A165" s="40"/>
      <c r="B165" s="40"/>
      <c r="D165" s="2"/>
      <c r="E165" s="2"/>
      <c r="F165" s="40"/>
      <c r="G165" s="2"/>
      <c r="H165" s="2"/>
      <c r="I165" s="2"/>
      <c r="J165" s="2"/>
      <c r="K165" s="57"/>
      <c r="L165" s="2"/>
    </row>
    <row r="166" s="1" customFormat="1" customHeight="1" spans="1:12">
      <c r="A166" s="40"/>
      <c r="B166" s="40"/>
      <c r="D166" s="2"/>
      <c r="E166" s="2"/>
      <c r="F166" s="40"/>
      <c r="G166" s="2"/>
      <c r="H166" s="2"/>
      <c r="I166" s="2"/>
      <c r="J166" s="2"/>
      <c r="K166" s="57"/>
      <c r="L166" s="2"/>
    </row>
    <row r="167" s="1" customFormat="1" customHeight="1" spans="1:12">
      <c r="A167" s="40"/>
      <c r="B167" s="40"/>
      <c r="D167" s="2"/>
      <c r="E167" s="2"/>
      <c r="F167" s="40"/>
      <c r="G167" s="2"/>
      <c r="H167" s="2"/>
      <c r="I167" s="2"/>
      <c r="J167" s="2"/>
      <c r="K167" s="57"/>
      <c r="L167" s="2"/>
    </row>
    <row r="168" s="1" customFormat="1" customHeight="1" spans="1:12">
      <c r="A168" s="40"/>
      <c r="B168" s="40"/>
      <c r="D168" s="2"/>
      <c r="E168" s="2"/>
      <c r="F168" s="40"/>
      <c r="G168" s="2"/>
      <c r="H168" s="2"/>
      <c r="I168" s="2"/>
      <c r="J168" s="2"/>
      <c r="K168" s="57"/>
      <c r="L168" s="2"/>
    </row>
    <row r="169" s="1" customFormat="1" customHeight="1" spans="1:12">
      <c r="A169" s="40"/>
      <c r="B169" s="40"/>
      <c r="D169" s="2"/>
      <c r="E169" s="2"/>
      <c r="F169" s="40"/>
      <c r="G169" s="2"/>
      <c r="H169" s="2"/>
      <c r="I169" s="2"/>
      <c r="J169" s="2"/>
      <c r="K169" s="57"/>
      <c r="L169" s="2"/>
    </row>
    <row r="170" s="1" customFormat="1" customHeight="1" spans="1:12">
      <c r="A170" s="40"/>
      <c r="B170" s="40"/>
      <c r="D170" s="2"/>
      <c r="E170" s="2"/>
      <c r="F170" s="40"/>
      <c r="G170" s="2"/>
      <c r="H170" s="2"/>
      <c r="I170" s="2"/>
      <c r="J170" s="2"/>
      <c r="K170" s="57"/>
      <c r="L170" s="2"/>
    </row>
    <row r="171" s="1" customFormat="1" customHeight="1" spans="1:12">
      <c r="A171" s="40"/>
      <c r="B171" s="40"/>
      <c r="D171" s="2"/>
      <c r="E171" s="2"/>
      <c r="F171" s="40"/>
      <c r="G171" s="2"/>
      <c r="H171" s="2"/>
      <c r="I171" s="2"/>
      <c r="J171" s="2"/>
      <c r="K171" s="57"/>
      <c r="L171" s="2"/>
    </row>
    <row r="172" s="1" customFormat="1" customHeight="1" spans="1:12">
      <c r="A172" s="40"/>
      <c r="B172" s="40"/>
      <c r="D172" s="2"/>
      <c r="E172" s="2"/>
      <c r="F172" s="40"/>
      <c r="G172" s="2"/>
      <c r="H172" s="2"/>
      <c r="I172" s="2"/>
      <c r="J172" s="2"/>
      <c r="K172" s="57"/>
      <c r="L172" s="2"/>
    </row>
    <row r="173" s="1" customFormat="1" customHeight="1" spans="1:12">
      <c r="A173" s="40"/>
      <c r="B173" s="40"/>
      <c r="D173" s="2"/>
      <c r="E173" s="2"/>
      <c r="F173" s="40"/>
      <c r="G173" s="2"/>
      <c r="H173" s="2"/>
      <c r="I173" s="2"/>
      <c r="J173" s="2"/>
      <c r="K173" s="57"/>
      <c r="L173" s="2"/>
    </row>
    <row r="174" s="1" customFormat="1" customHeight="1" spans="1:12">
      <c r="A174" s="40"/>
      <c r="B174" s="40"/>
      <c r="D174" s="2"/>
      <c r="E174" s="2"/>
      <c r="F174" s="40"/>
      <c r="G174" s="2"/>
      <c r="H174" s="2"/>
      <c r="I174" s="2"/>
      <c r="J174" s="2"/>
      <c r="K174" s="57"/>
      <c r="L174" s="2"/>
    </row>
    <row r="175" s="1" customFormat="1" customHeight="1" spans="1:12">
      <c r="A175" s="40"/>
      <c r="B175" s="40"/>
      <c r="D175" s="2"/>
      <c r="E175" s="2"/>
      <c r="F175" s="40"/>
      <c r="G175" s="2"/>
      <c r="H175" s="2"/>
      <c r="I175" s="2"/>
      <c r="J175" s="2"/>
      <c r="K175" s="57"/>
      <c r="L175" s="2"/>
    </row>
    <row r="176" s="1" customFormat="1" customHeight="1" spans="1:12">
      <c r="A176" s="40"/>
      <c r="B176" s="40"/>
      <c r="D176" s="2"/>
      <c r="E176" s="2"/>
      <c r="F176" s="40"/>
      <c r="G176" s="2"/>
      <c r="H176" s="2"/>
      <c r="I176" s="2"/>
      <c r="J176" s="2"/>
      <c r="K176" s="57"/>
      <c r="L176" s="2"/>
    </row>
    <row r="177" s="1" customFormat="1" customHeight="1" spans="1:12">
      <c r="A177" s="40"/>
      <c r="B177" s="40"/>
      <c r="D177" s="2"/>
      <c r="E177" s="2"/>
      <c r="F177" s="40"/>
      <c r="G177" s="2"/>
      <c r="H177" s="2"/>
      <c r="I177" s="2"/>
      <c r="J177" s="2"/>
      <c r="K177" s="57"/>
      <c r="L177" s="2"/>
    </row>
    <row r="178" s="1" customFormat="1" customHeight="1" spans="1:12">
      <c r="A178" s="40"/>
      <c r="B178" s="40"/>
      <c r="D178" s="2"/>
      <c r="E178" s="2"/>
      <c r="F178" s="40"/>
      <c r="G178" s="2"/>
      <c r="H178" s="2"/>
      <c r="I178" s="2"/>
      <c r="J178" s="2"/>
      <c r="K178" s="57"/>
      <c r="L178" s="2"/>
    </row>
    <row r="179" s="1" customFormat="1" customHeight="1" spans="1:12">
      <c r="A179" s="40"/>
      <c r="B179" s="40"/>
      <c r="D179" s="2"/>
      <c r="E179" s="2"/>
      <c r="F179" s="40"/>
      <c r="G179" s="2"/>
      <c r="H179" s="2"/>
      <c r="I179" s="2"/>
      <c r="J179" s="2"/>
      <c r="K179" s="57"/>
      <c r="L179" s="2"/>
    </row>
    <row r="180" s="1" customFormat="1" customHeight="1" spans="1:12">
      <c r="A180" s="40"/>
      <c r="B180" s="40"/>
      <c r="D180" s="2"/>
      <c r="E180" s="2"/>
      <c r="F180" s="40"/>
      <c r="G180" s="2"/>
      <c r="H180" s="2"/>
      <c r="I180" s="2"/>
      <c r="J180" s="2"/>
      <c r="K180" s="57"/>
      <c r="L180" s="2"/>
    </row>
    <row r="181" s="1" customFormat="1" customHeight="1" spans="1:12">
      <c r="A181" s="40"/>
      <c r="B181" s="40"/>
      <c r="D181" s="2"/>
      <c r="E181" s="2"/>
      <c r="F181" s="40"/>
      <c r="G181" s="2"/>
      <c r="H181" s="2"/>
      <c r="I181" s="2"/>
      <c r="J181" s="2"/>
      <c r="K181" s="57"/>
      <c r="L181" s="2"/>
    </row>
    <row r="182" s="1" customFormat="1" customHeight="1" spans="1:12">
      <c r="A182" s="40"/>
      <c r="B182" s="40"/>
      <c r="D182" s="2"/>
      <c r="E182" s="2"/>
      <c r="F182" s="40"/>
      <c r="G182" s="2"/>
      <c r="H182" s="2"/>
      <c r="I182" s="2"/>
      <c r="J182" s="2"/>
      <c r="K182" s="57"/>
      <c r="L182" s="2"/>
    </row>
  </sheetData>
  <conditionalFormatting sqref="E3">
    <cfRule type="expression" dxfId="0" priority="7">
      <formula>#REF!&lt;&gt;""</formula>
    </cfRule>
    <cfRule type="expression" dxfId="0" priority="6">
      <formula>$A4&lt;&gt;""</formula>
    </cfRule>
  </conditionalFormatting>
  <conditionalFormatting sqref="G3">
    <cfRule type="expression" dxfId="0" priority="11">
      <formula>#REF!&lt;&gt;""</formula>
    </cfRule>
    <cfRule type="expression" dxfId="0" priority="10">
      <formula>$A4&lt;&gt;""</formula>
    </cfRule>
  </conditionalFormatting>
  <conditionalFormatting sqref="F4">
    <cfRule type="expression" dxfId="0" priority="9">
      <formula>$A4&lt;&gt;""</formula>
    </cfRule>
    <cfRule type="expression" dxfId="0" priority="8">
      <formula>$A3&lt;&gt;""</formula>
    </cfRule>
  </conditionalFormatting>
  <conditionalFormatting sqref="O9">
    <cfRule type="expression" dxfId="0" priority="3">
      <formula>$A3&lt;&gt;""</formula>
    </cfRule>
  </conditionalFormatting>
  <conditionalFormatting sqref="A1:M2 A3:D3 H3:M3 A5:M1048574">
    <cfRule type="expression" dxfId="0" priority="2">
      <formula>$A2&lt;&gt;""</formula>
    </cfRule>
    <cfRule type="expression" dxfId="0" priority="1">
      <formula>$A1&lt;&gt;""</formula>
    </cfRule>
  </conditionalFormatting>
  <conditionalFormatting sqref="A4:D4 H4:M4">
    <cfRule type="expression" dxfId="0" priority="13">
      <formula>#REF!&lt;&gt;""</formula>
    </cfRule>
    <cfRule type="expression" dxfId="0" priority="12">
      <formula>$A4&lt;&gt;""</formula>
    </cfRule>
  </conditionalFormatting>
  <conditionalFormatting sqref="A1048575:M1048576">
    <cfRule type="expression" dxfId="0" priority="5">
      <formula>$A1&lt;&gt;""</formula>
    </cfRule>
    <cfRule type="expression" dxfId="0" priority="4">
      <formula>$A1048575&lt;&gt;""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6"/>
  <sheetViews>
    <sheetView topLeftCell="A70" workbookViewId="0">
      <selection activeCell="J12" sqref="J12"/>
    </sheetView>
  </sheetViews>
  <sheetFormatPr defaultColWidth="9" defaultRowHeight="14"/>
  <cols>
    <col min="1" max="1" width="13.2727272727273" style="40" customWidth="1"/>
    <col min="2" max="2" width="13.2727272727273" style="1" customWidth="1"/>
    <col min="3" max="3" width="30.7545454545455" style="1" customWidth="1"/>
    <col min="4" max="6" width="13.2727272727273" style="2" customWidth="1"/>
    <col min="7" max="7" width="13.2727272727273" style="1" customWidth="1"/>
    <col min="8" max="8" width="9" style="1"/>
    <col min="9" max="9" width="9" style="1" hidden="1" customWidth="1"/>
    <col min="10" max="16384" width="9" style="1"/>
  </cols>
  <sheetData>
    <row r="1" s="39" customFormat="1" ht="28" customHeight="1" spans="1:9">
      <c r="A1" s="41" t="s">
        <v>80</v>
      </c>
      <c r="B1" s="42"/>
      <c r="C1" s="43"/>
      <c r="D1" s="44"/>
      <c r="E1" s="44"/>
      <c r="F1" s="44"/>
      <c r="G1" s="45"/>
    </row>
    <row r="2" s="39" customFormat="1" ht="7" customHeight="1" spans="1:9">
      <c r="A2" s="46"/>
      <c r="B2" s="47"/>
      <c r="C2" s="48"/>
      <c r="D2" s="49"/>
      <c r="E2" s="49"/>
      <c r="F2" s="49"/>
    </row>
    <row r="3" s="1" customFormat="1" ht="8" customHeight="1" spans="1:9">
      <c r="A3" s="50"/>
      <c r="B3" s="51"/>
      <c r="C3" s="52"/>
      <c r="D3" s="53"/>
      <c r="E3" s="53"/>
      <c r="F3" s="53"/>
      <c r="G3" s="52"/>
      <c r="I3" s="1" t="s">
        <v>73</v>
      </c>
    </row>
    <row r="4" s="1" customFormat="1" ht="20" customHeight="1" spans="1:9">
      <c r="A4" s="50" t="s">
        <v>81</v>
      </c>
      <c r="B4" s="54">
        <v>0</v>
      </c>
      <c r="C4" s="52"/>
      <c r="D4" s="53"/>
      <c r="E4" s="53" t="s">
        <v>82</v>
      </c>
      <c r="F4" s="54">
        <f>SUBTOTAL(9,D10:D2006)</f>
        <v>1865048.45</v>
      </c>
      <c r="G4" s="52"/>
      <c r="I4" s="1" t="s">
        <v>83</v>
      </c>
    </row>
    <row r="5" s="1" customFormat="1" ht="11" customHeight="1" spans="1:9">
      <c r="A5" s="50"/>
      <c r="B5" s="53"/>
      <c r="C5" s="52"/>
      <c r="D5" s="53"/>
      <c r="E5" s="53"/>
      <c r="F5" s="53"/>
      <c r="G5" s="52"/>
      <c r="I5" s="1" t="s">
        <v>84</v>
      </c>
    </row>
    <row r="6" s="1" customFormat="1" ht="20" customHeight="1" spans="1:9">
      <c r="A6" s="50" t="s">
        <v>85</v>
      </c>
      <c r="B6" s="54">
        <v>0</v>
      </c>
      <c r="C6" s="52"/>
      <c r="D6" s="53"/>
      <c r="E6" s="53" t="s">
        <v>86</v>
      </c>
      <c r="F6" s="54">
        <f>SUBTOTAL(9,E10:E2006)</f>
        <v>1467663.59</v>
      </c>
      <c r="G6" s="52"/>
      <c r="I6" s="1" t="s">
        <v>87</v>
      </c>
    </row>
    <row r="7" s="1" customFormat="1" ht="8" customHeight="1" spans="1:9">
      <c r="A7" s="50"/>
      <c r="B7" s="51"/>
      <c r="C7" s="52"/>
      <c r="D7" s="53"/>
      <c r="E7" s="53"/>
      <c r="F7" s="53"/>
      <c r="G7" s="52"/>
      <c r="I7" s="1" t="s">
        <v>88</v>
      </c>
    </row>
    <row r="8" s="1" customFormat="1" ht="7" customHeight="1" spans="1:9">
      <c r="A8" s="40"/>
      <c r="B8" s="55"/>
      <c r="D8" s="2"/>
      <c r="E8" s="2"/>
      <c r="F8" s="2"/>
      <c r="I8" s="1" t="s">
        <v>89</v>
      </c>
    </row>
    <row r="9" s="1" customFormat="1" ht="17" customHeight="1" spans="1:9">
      <c r="A9" s="50" t="s">
        <v>59</v>
      </c>
      <c r="B9" s="52" t="s">
        <v>90</v>
      </c>
      <c r="C9" s="52" t="s">
        <v>91</v>
      </c>
      <c r="D9" s="53" t="s">
        <v>92</v>
      </c>
      <c r="E9" s="53" t="s">
        <v>93</v>
      </c>
      <c r="F9" s="53" t="s">
        <v>94</v>
      </c>
      <c r="G9" s="52" t="s">
        <v>9</v>
      </c>
    </row>
    <row r="10" s="1" customFormat="1" spans="1:9">
      <c r="A10" s="40">
        <v>46143</v>
      </c>
      <c r="B10" s="1" t="s">
        <v>73</v>
      </c>
      <c r="C10" s="1" t="s">
        <v>95</v>
      </c>
      <c r="D10" s="2"/>
      <c r="E10" s="2">
        <v>15000</v>
      </c>
      <c r="F10" s="1" cm="1">
        <f t="array" ref="F10:F2006">_xlfn.SCAN(B4,D10:D2006-E10:E2006,_xleta.SUM)</f>
        <v>-15000</v>
      </c>
    </row>
    <row r="11" s="1" customFormat="1" spans="1:9">
      <c r="A11" s="40">
        <v>46144</v>
      </c>
      <c r="B11" s="1" t="s">
        <v>73</v>
      </c>
      <c r="C11" s="1" t="s">
        <v>96</v>
      </c>
      <c r="D11" s="2"/>
      <c r="E11" s="2">
        <v>3000</v>
      </c>
      <c r="F11" s="2">
        <v>-18000</v>
      </c>
    </row>
    <row r="12" s="1" customFormat="1" spans="1:9">
      <c r="A12" s="40">
        <v>46144</v>
      </c>
      <c r="B12" s="1" t="s">
        <v>73</v>
      </c>
      <c r="C12" s="1" t="s">
        <v>97</v>
      </c>
      <c r="D12" s="2"/>
      <c r="E12" s="2">
        <v>3000</v>
      </c>
      <c r="F12" s="2">
        <v>-21000</v>
      </c>
    </row>
    <row r="13" s="1" customFormat="1" spans="1:9">
      <c r="A13" s="40">
        <v>46144</v>
      </c>
      <c r="B13" s="1" t="s">
        <v>73</v>
      </c>
      <c r="C13" s="1" t="s">
        <v>98</v>
      </c>
      <c r="D13" s="2"/>
      <c r="E13" s="2">
        <v>3000</v>
      </c>
      <c r="F13" s="2">
        <v>-24000</v>
      </c>
    </row>
    <row r="14" s="1" customFormat="1" spans="1:9">
      <c r="A14" s="40">
        <v>46145</v>
      </c>
      <c r="B14" s="1" t="s">
        <v>73</v>
      </c>
      <c r="C14" s="1" t="s">
        <v>99</v>
      </c>
      <c r="D14" s="2"/>
      <c r="E14" s="2">
        <v>4000</v>
      </c>
      <c r="F14" s="2">
        <v>-28000</v>
      </c>
    </row>
    <row r="15" s="1" customFormat="1" spans="1:9">
      <c r="A15" s="40">
        <v>46148</v>
      </c>
      <c r="B15" s="1" t="s">
        <v>73</v>
      </c>
      <c r="C15" s="1" t="s">
        <v>100</v>
      </c>
      <c r="D15" s="2"/>
      <c r="E15" s="2">
        <v>4940</v>
      </c>
      <c r="F15" s="2">
        <v>-32940</v>
      </c>
    </row>
    <row r="16" s="1" customFormat="1" spans="1:9">
      <c r="A16" s="40">
        <v>46150</v>
      </c>
      <c r="B16" s="1" t="s">
        <v>73</v>
      </c>
      <c r="C16" s="1" t="s">
        <v>101</v>
      </c>
      <c r="D16" s="2"/>
      <c r="E16" s="2">
        <v>-10000</v>
      </c>
      <c r="F16" s="2">
        <v>-22940</v>
      </c>
    </row>
    <row r="17" s="1" customFormat="1" spans="1:6">
      <c r="A17" s="40">
        <v>46150</v>
      </c>
      <c r="B17" s="1" t="s">
        <v>73</v>
      </c>
      <c r="C17" s="1" t="s">
        <v>101</v>
      </c>
      <c r="D17" s="2"/>
      <c r="E17" s="2">
        <v>-2000</v>
      </c>
      <c r="F17" s="2">
        <v>-20940</v>
      </c>
    </row>
    <row r="18" s="1" customFormat="1" spans="1:6">
      <c r="A18" s="40">
        <v>46150</v>
      </c>
      <c r="B18" s="1" t="s">
        <v>73</v>
      </c>
      <c r="C18" s="1" t="s">
        <v>102</v>
      </c>
      <c r="D18" s="2"/>
      <c r="E18" s="2">
        <v>20000</v>
      </c>
      <c r="F18" s="2">
        <v>-40940</v>
      </c>
    </row>
    <row r="19" s="1" customFormat="1" spans="1:6">
      <c r="A19" s="40">
        <v>46155</v>
      </c>
      <c r="B19" s="1" t="s">
        <v>73</v>
      </c>
      <c r="C19" s="1" t="s">
        <v>101</v>
      </c>
      <c r="D19" s="2"/>
      <c r="E19" s="2">
        <v>-10000</v>
      </c>
      <c r="F19" s="2">
        <v>-30940</v>
      </c>
    </row>
    <row r="20" s="1" customFormat="1" spans="1:6">
      <c r="A20" s="40">
        <v>46155</v>
      </c>
      <c r="B20" s="1" t="s">
        <v>73</v>
      </c>
      <c r="C20" s="1" t="s">
        <v>103</v>
      </c>
      <c r="D20" s="2"/>
      <c r="E20" s="2">
        <v>6467.49</v>
      </c>
      <c r="F20" s="2">
        <v>-37407.49</v>
      </c>
    </row>
    <row r="21" s="1" customFormat="1" spans="1:6">
      <c r="A21" s="40">
        <v>46155</v>
      </c>
      <c r="B21" s="1" t="s">
        <v>73</v>
      </c>
      <c r="C21" s="1" t="s">
        <v>103</v>
      </c>
      <c r="D21" s="2"/>
      <c r="E21" s="2">
        <v>410.63</v>
      </c>
      <c r="F21" s="2">
        <v>-37818.12</v>
      </c>
    </row>
    <row r="22" s="1" customFormat="1" spans="1:6">
      <c r="A22" s="40">
        <v>46155</v>
      </c>
      <c r="B22" s="1" t="s">
        <v>73</v>
      </c>
      <c r="C22" s="1" t="s">
        <v>104</v>
      </c>
      <c r="D22" s="2"/>
      <c r="E22" s="2">
        <v>1245.06</v>
      </c>
      <c r="F22" s="2">
        <v>-39063.18</v>
      </c>
    </row>
    <row r="23" s="1" customFormat="1" spans="1:6">
      <c r="A23" s="40">
        <v>46156</v>
      </c>
      <c r="B23" s="1" t="s">
        <v>73</v>
      </c>
      <c r="C23" s="1" t="s">
        <v>101</v>
      </c>
      <c r="D23" s="2"/>
      <c r="E23" s="2">
        <v>-40000</v>
      </c>
      <c r="F23" s="2">
        <v>936.820000000007</v>
      </c>
    </row>
    <row r="24" s="1" customFormat="1" spans="1:6">
      <c r="A24" s="40">
        <v>46156</v>
      </c>
      <c r="B24" s="1" t="s">
        <v>73</v>
      </c>
      <c r="C24" s="1" t="s">
        <v>105</v>
      </c>
      <c r="D24" s="2"/>
      <c r="E24" s="2">
        <v>7397</v>
      </c>
      <c r="F24" s="2">
        <v>-6460.17999999999</v>
      </c>
    </row>
    <row r="25" s="1" customFormat="1" spans="1:6">
      <c r="A25" s="40">
        <v>46157</v>
      </c>
      <c r="B25" s="1" t="s">
        <v>73</v>
      </c>
      <c r="C25" s="1" t="s">
        <v>106</v>
      </c>
      <c r="D25" s="2"/>
      <c r="E25" s="2">
        <v>10000</v>
      </c>
      <c r="F25" s="2">
        <v>-16460.18</v>
      </c>
    </row>
    <row r="26" s="1" customFormat="1" spans="1:6">
      <c r="A26" s="40">
        <v>46158</v>
      </c>
      <c r="B26" s="1" t="s">
        <v>73</v>
      </c>
      <c r="C26" s="1" t="s">
        <v>107</v>
      </c>
      <c r="D26" s="2"/>
      <c r="E26" s="2">
        <v>22000</v>
      </c>
      <c r="F26" s="2">
        <v>-38460.18</v>
      </c>
    </row>
    <row r="27" s="1" customFormat="1" spans="1:6">
      <c r="A27" s="40">
        <v>46161</v>
      </c>
      <c r="B27" s="1" t="s">
        <v>73</v>
      </c>
      <c r="C27" s="1" t="s">
        <v>101</v>
      </c>
      <c r="D27" s="2"/>
      <c r="E27" s="2">
        <v>-90000</v>
      </c>
      <c r="F27" s="2">
        <v>51539.82</v>
      </c>
    </row>
    <row r="28" s="1" customFormat="1" spans="1:6">
      <c r="A28" s="40">
        <v>46161</v>
      </c>
      <c r="B28" s="1" t="s">
        <v>73</v>
      </c>
      <c r="C28" s="1" t="s">
        <v>108</v>
      </c>
      <c r="D28" s="2"/>
      <c r="E28" s="2">
        <v>90000</v>
      </c>
      <c r="F28" s="2">
        <v>-38460.18</v>
      </c>
    </row>
    <row r="29" s="1" customFormat="1" spans="1:6">
      <c r="A29" s="40">
        <v>46163</v>
      </c>
      <c r="B29" s="1" t="s">
        <v>73</v>
      </c>
      <c r="C29" s="1" t="s">
        <v>109</v>
      </c>
      <c r="D29" s="2">
        <v>14502.87</v>
      </c>
      <c r="E29" s="2"/>
      <c r="F29" s="2">
        <v>-23957.31</v>
      </c>
    </row>
    <row r="30" s="1" customFormat="1" spans="1:6">
      <c r="A30" s="40">
        <v>46164</v>
      </c>
      <c r="B30" s="1" t="s">
        <v>73</v>
      </c>
      <c r="C30" s="1" t="s">
        <v>110</v>
      </c>
      <c r="D30" s="2"/>
      <c r="E30" s="2">
        <v>-90000</v>
      </c>
      <c r="F30" s="2">
        <v>66042.69</v>
      </c>
    </row>
    <row r="31" s="1" customFormat="1" spans="1:6">
      <c r="A31" s="40">
        <v>46165</v>
      </c>
      <c r="B31" s="1" t="s">
        <v>73</v>
      </c>
      <c r="C31" s="1" t="s">
        <v>111</v>
      </c>
      <c r="D31" s="2"/>
      <c r="E31" s="2">
        <v>10000</v>
      </c>
      <c r="F31" s="2">
        <v>56042.69</v>
      </c>
    </row>
    <row r="32" s="1" customFormat="1" spans="1:6">
      <c r="A32" s="40">
        <v>46165</v>
      </c>
      <c r="B32" s="1" t="s">
        <v>73</v>
      </c>
      <c r="C32" s="1" t="s">
        <v>111</v>
      </c>
      <c r="D32" s="2"/>
      <c r="E32" s="2">
        <v>80000</v>
      </c>
      <c r="F32" s="2">
        <v>-23957.31</v>
      </c>
    </row>
    <row r="33" s="1" customFormat="1" spans="1:6">
      <c r="A33" s="40">
        <v>46167</v>
      </c>
      <c r="B33" s="1" t="s">
        <v>73</v>
      </c>
      <c r="C33" s="1" t="s">
        <v>112</v>
      </c>
      <c r="D33" s="2"/>
      <c r="E33" s="2">
        <v>30.54</v>
      </c>
      <c r="F33" s="2">
        <v>-23987.85</v>
      </c>
    </row>
    <row r="34" s="1" customFormat="1" spans="1:6">
      <c r="A34" s="40">
        <v>46167</v>
      </c>
      <c r="B34" s="1" t="s">
        <v>73</v>
      </c>
      <c r="C34" s="1" t="s">
        <v>112</v>
      </c>
      <c r="D34" s="2"/>
      <c r="E34" s="2">
        <v>2008.42</v>
      </c>
      <c r="F34" s="2">
        <v>-25996.27</v>
      </c>
    </row>
    <row r="35" s="1" customFormat="1" spans="1:6">
      <c r="A35" s="40">
        <v>46170</v>
      </c>
      <c r="B35" s="1" t="s">
        <v>73</v>
      </c>
      <c r="C35" s="1" t="s">
        <v>113</v>
      </c>
      <c r="D35" s="2"/>
      <c r="E35" s="2">
        <v>1000</v>
      </c>
      <c r="F35" s="2">
        <v>-26996.27</v>
      </c>
    </row>
    <row r="36" s="1" customFormat="1" spans="1:6">
      <c r="A36" s="40">
        <v>46145</v>
      </c>
      <c r="B36" s="1" t="s">
        <v>88</v>
      </c>
      <c r="C36" s="1" t="s">
        <v>114</v>
      </c>
      <c r="D36" s="2"/>
      <c r="E36" s="2">
        <v>23</v>
      </c>
      <c r="F36" s="2">
        <v>-27019.27</v>
      </c>
    </row>
    <row r="37" s="1" customFormat="1" spans="1:6">
      <c r="A37" s="40">
        <v>46145</v>
      </c>
      <c r="B37" s="1" t="s">
        <v>88</v>
      </c>
      <c r="C37" s="1" t="s">
        <v>115</v>
      </c>
      <c r="D37" s="2"/>
      <c r="E37" s="2">
        <v>3000</v>
      </c>
      <c r="F37" s="2">
        <v>-30019.27</v>
      </c>
    </row>
    <row r="38" s="1" customFormat="1" spans="1:6">
      <c r="A38" s="40">
        <v>46146</v>
      </c>
      <c r="B38" s="1" t="s">
        <v>88</v>
      </c>
      <c r="C38" s="1" t="s">
        <v>116</v>
      </c>
      <c r="D38" s="2"/>
      <c r="E38" s="2">
        <v>68</v>
      </c>
      <c r="F38" s="2">
        <v>-30087.27</v>
      </c>
    </row>
    <row r="39" s="1" customFormat="1" spans="1:6">
      <c r="A39" s="40">
        <v>46154</v>
      </c>
      <c r="B39" s="1" t="s">
        <v>88</v>
      </c>
      <c r="C39" s="1" t="s">
        <v>117</v>
      </c>
      <c r="D39" s="2"/>
      <c r="E39" s="2">
        <v>200</v>
      </c>
      <c r="F39" s="2">
        <v>-30287.27</v>
      </c>
    </row>
    <row r="40" s="1" customFormat="1" spans="1:6">
      <c r="A40" s="40">
        <v>46156</v>
      </c>
      <c r="B40" s="1" t="s">
        <v>88</v>
      </c>
      <c r="C40" s="1" t="s">
        <v>118</v>
      </c>
      <c r="D40" s="2"/>
      <c r="E40" s="2">
        <v>4000</v>
      </c>
      <c r="F40" s="2">
        <v>-34287.27</v>
      </c>
    </row>
    <row r="41" s="1" customFormat="1" spans="1:6">
      <c r="A41" s="40">
        <v>46157</v>
      </c>
      <c r="B41" s="1" t="s">
        <v>88</v>
      </c>
      <c r="C41" s="1" t="s">
        <v>119</v>
      </c>
      <c r="D41" s="2"/>
      <c r="E41" s="2">
        <v>55</v>
      </c>
      <c r="F41" s="2">
        <v>-34342.27</v>
      </c>
    </row>
    <row r="42" s="1" customFormat="1" spans="1:6">
      <c r="A42" s="40">
        <v>46158</v>
      </c>
      <c r="B42" s="1" t="s">
        <v>88</v>
      </c>
      <c r="C42" s="1" t="s">
        <v>120</v>
      </c>
      <c r="D42" s="2"/>
      <c r="E42" s="2">
        <v>55</v>
      </c>
      <c r="F42" s="2">
        <v>-34397.27</v>
      </c>
    </row>
    <row r="43" s="1" customFormat="1" spans="1:6">
      <c r="A43" s="40">
        <v>46159</v>
      </c>
      <c r="B43" s="1" t="s">
        <v>88</v>
      </c>
      <c r="C43" s="1" t="s">
        <v>117</v>
      </c>
      <c r="D43" s="2"/>
      <c r="E43" s="2">
        <v>200</v>
      </c>
      <c r="F43" s="2">
        <v>-34597.27</v>
      </c>
    </row>
    <row r="44" s="1" customFormat="1" spans="1:6">
      <c r="A44" s="40">
        <v>46162</v>
      </c>
      <c r="B44" s="1" t="s">
        <v>88</v>
      </c>
      <c r="C44" s="1" t="s">
        <v>121</v>
      </c>
      <c r="D44" s="2"/>
      <c r="E44" s="2">
        <v>150.7</v>
      </c>
      <c r="F44" s="2">
        <v>-34747.97</v>
      </c>
    </row>
    <row r="45" s="1" customFormat="1" spans="1:6">
      <c r="A45" s="40">
        <v>46152</v>
      </c>
      <c r="B45" s="1" t="s">
        <v>88</v>
      </c>
      <c r="C45" s="1" t="s">
        <v>122</v>
      </c>
      <c r="D45" s="2"/>
      <c r="E45" s="2">
        <v>80</v>
      </c>
      <c r="F45" s="2">
        <v>-34827.97</v>
      </c>
    </row>
    <row r="46" s="1" customFormat="1" spans="1:6">
      <c r="A46" s="40">
        <v>46152</v>
      </c>
      <c r="B46" s="1" t="s">
        <v>88</v>
      </c>
      <c r="C46" s="1" t="s">
        <v>123</v>
      </c>
      <c r="D46" s="2"/>
      <c r="E46" s="2">
        <v>163</v>
      </c>
      <c r="F46" s="2">
        <v>-34990.97</v>
      </c>
    </row>
    <row r="47" s="1" customFormat="1" spans="1:6">
      <c r="A47" s="40">
        <v>46152</v>
      </c>
      <c r="B47" s="1" t="s">
        <v>88</v>
      </c>
      <c r="C47" s="1" t="s">
        <v>124</v>
      </c>
      <c r="D47" s="2"/>
      <c r="E47" s="2">
        <v>580</v>
      </c>
      <c r="F47" s="2">
        <v>-35570.97</v>
      </c>
    </row>
    <row r="48" s="1" customFormat="1" spans="1:6">
      <c r="A48" s="40">
        <v>46159</v>
      </c>
      <c r="B48" s="1" t="s">
        <v>88</v>
      </c>
      <c r="C48" s="1" t="s">
        <v>125</v>
      </c>
      <c r="D48" s="2"/>
      <c r="E48" s="2">
        <v>730</v>
      </c>
      <c r="F48" s="2">
        <v>-36300.97</v>
      </c>
    </row>
    <row r="49" s="1" customFormat="1" spans="1:6">
      <c r="A49" s="40">
        <v>46159</v>
      </c>
      <c r="B49" s="1" t="s">
        <v>88</v>
      </c>
      <c r="C49" s="1" t="s">
        <v>121</v>
      </c>
      <c r="D49" s="2"/>
      <c r="E49" s="2">
        <v>110.9</v>
      </c>
      <c r="F49" s="2">
        <v>-36411.87</v>
      </c>
    </row>
    <row r="50" s="1" customFormat="1" spans="1:6">
      <c r="A50" s="40">
        <v>46166</v>
      </c>
      <c r="B50" s="1" t="s">
        <v>88</v>
      </c>
      <c r="C50" s="1" t="s">
        <v>126</v>
      </c>
      <c r="D50" s="2"/>
      <c r="E50" s="2">
        <v>31</v>
      </c>
      <c r="F50" s="2">
        <v>-36442.87</v>
      </c>
    </row>
    <row r="51" s="1" customFormat="1" spans="1:6">
      <c r="A51" s="40">
        <v>46167</v>
      </c>
      <c r="B51" s="1" t="s">
        <v>88</v>
      </c>
      <c r="C51" s="1" t="s">
        <v>127</v>
      </c>
      <c r="D51" s="2"/>
      <c r="E51" s="2">
        <v>83</v>
      </c>
      <c r="F51" s="2">
        <v>-36525.87</v>
      </c>
    </row>
    <row r="52" s="1" customFormat="1" spans="1:6">
      <c r="A52" s="40">
        <v>46168</v>
      </c>
      <c r="B52" s="1" t="s">
        <v>88</v>
      </c>
      <c r="C52" s="1" t="s">
        <v>128</v>
      </c>
      <c r="D52" s="2"/>
      <c r="E52" s="2">
        <v>77</v>
      </c>
      <c r="F52" s="2">
        <v>-36602.87</v>
      </c>
    </row>
    <row r="53" s="1" customFormat="1" spans="1:6">
      <c r="A53" s="40">
        <v>46169</v>
      </c>
      <c r="B53" s="1" t="s">
        <v>88</v>
      </c>
      <c r="C53" s="1" t="s">
        <v>129</v>
      </c>
      <c r="D53" s="2"/>
      <c r="E53" s="2">
        <v>200</v>
      </c>
      <c r="F53" s="2">
        <v>-36802.87</v>
      </c>
    </row>
    <row r="54" s="1" customFormat="1" spans="1:6">
      <c r="A54" s="40">
        <v>46170</v>
      </c>
      <c r="B54" s="1" t="s">
        <v>88</v>
      </c>
      <c r="C54" s="1" t="s">
        <v>130</v>
      </c>
      <c r="D54" s="2"/>
      <c r="E54" s="2">
        <v>10</v>
      </c>
      <c r="F54" s="2">
        <v>-36812.87</v>
      </c>
    </row>
    <row r="55" s="1" customFormat="1" spans="1:6">
      <c r="A55" s="40">
        <v>46171</v>
      </c>
      <c r="B55" s="1" t="s">
        <v>88</v>
      </c>
      <c r="C55" s="1" t="s">
        <v>131</v>
      </c>
      <c r="D55" s="2"/>
      <c r="E55" s="2">
        <v>125</v>
      </c>
      <c r="F55" s="2">
        <v>-36937.87</v>
      </c>
    </row>
    <row r="56" s="1" customFormat="1" spans="1:6">
      <c r="A56" s="40">
        <v>46171</v>
      </c>
      <c r="B56" s="1" t="s">
        <v>88</v>
      </c>
      <c r="C56" s="1" t="s">
        <v>132</v>
      </c>
      <c r="D56" s="2"/>
      <c r="E56" s="2">
        <v>50</v>
      </c>
      <c r="F56" s="2">
        <v>-36987.87</v>
      </c>
    </row>
    <row r="57" s="1" customFormat="1" spans="1:6">
      <c r="A57" s="40">
        <v>46171</v>
      </c>
      <c r="B57" s="1" t="s">
        <v>88</v>
      </c>
      <c r="C57" s="1" t="s">
        <v>133</v>
      </c>
      <c r="D57" s="2"/>
      <c r="E57" s="2">
        <v>70</v>
      </c>
      <c r="F57" s="2">
        <v>-37057.87</v>
      </c>
    </row>
    <row r="58" s="1" customFormat="1" spans="1:6">
      <c r="A58" s="40">
        <v>46171</v>
      </c>
      <c r="B58" s="1" t="s">
        <v>88</v>
      </c>
      <c r="C58" s="1" t="s">
        <v>134</v>
      </c>
      <c r="D58" s="2"/>
      <c r="E58" s="2">
        <v>360</v>
      </c>
      <c r="F58" s="2">
        <v>-37417.87</v>
      </c>
    </row>
    <row r="59" s="1" customFormat="1" spans="1:6">
      <c r="A59" s="40">
        <v>46171</v>
      </c>
      <c r="B59" s="1" t="s">
        <v>88</v>
      </c>
      <c r="C59" s="1" t="s">
        <v>121</v>
      </c>
      <c r="D59" s="2"/>
      <c r="E59" s="2">
        <v>40</v>
      </c>
      <c r="F59" s="2">
        <v>-37457.87</v>
      </c>
    </row>
    <row r="60" s="1" customFormat="1" spans="1:6">
      <c r="A60" s="40">
        <v>46172</v>
      </c>
      <c r="B60" s="1" t="s">
        <v>88</v>
      </c>
      <c r="C60" s="1" t="s">
        <v>135</v>
      </c>
      <c r="D60" s="2"/>
      <c r="E60" s="2">
        <v>280</v>
      </c>
      <c r="F60" s="2">
        <v>-37737.87</v>
      </c>
    </row>
    <row r="61" s="1" customFormat="1" spans="1:6">
      <c r="A61" s="40">
        <v>46173</v>
      </c>
      <c r="B61" s="1" t="s">
        <v>88</v>
      </c>
      <c r="C61" s="1" t="s">
        <v>121</v>
      </c>
      <c r="D61" s="2"/>
      <c r="E61" s="2">
        <v>118</v>
      </c>
      <c r="F61" s="2">
        <v>-37855.87</v>
      </c>
    </row>
    <row r="62" s="1" customFormat="1" spans="1:6">
      <c r="A62" s="40">
        <v>46173</v>
      </c>
      <c r="B62" s="1" t="s">
        <v>88</v>
      </c>
      <c r="C62" s="1" t="s">
        <v>136</v>
      </c>
      <c r="D62" s="2"/>
      <c r="E62" s="2">
        <v>1000</v>
      </c>
      <c r="F62" s="2">
        <v>-38855.87</v>
      </c>
    </row>
    <row r="63" s="1" customFormat="1" spans="1:6">
      <c r="A63" s="40">
        <v>46146</v>
      </c>
      <c r="B63" s="1" t="s">
        <v>87</v>
      </c>
      <c r="C63" s="1" t="s">
        <v>137</v>
      </c>
      <c r="D63" s="2"/>
      <c r="E63" s="2">
        <v>590</v>
      </c>
      <c r="F63" s="2">
        <v>-39445.87</v>
      </c>
    </row>
    <row r="64" s="1" customFormat="1" spans="1:6">
      <c r="A64" s="40">
        <v>46148</v>
      </c>
      <c r="B64" s="1" t="s">
        <v>87</v>
      </c>
      <c r="C64" s="1" t="s">
        <v>137</v>
      </c>
      <c r="D64" s="2"/>
      <c r="E64" s="2">
        <v>320</v>
      </c>
      <c r="F64" s="2">
        <v>-39765.87</v>
      </c>
    </row>
    <row r="65" s="1" customFormat="1" spans="1:6">
      <c r="A65" s="40">
        <v>46151</v>
      </c>
      <c r="B65" s="1" t="s">
        <v>87</v>
      </c>
      <c r="C65" s="1" t="s">
        <v>137</v>
      </c>
      <c r="D65" s="2"/>
      <c r="E65" s="2">
        <v>290</v>
      </c>
      <c r="F65" s="2">
        <v>-40055.87</v>
      </c>
    </row>
    <row r="66" s="1" customFormat="1" spans="1:6">
      <c r="A66" s="40">
        <v>46163</v>
      </c>
      <c r="B66" s="1" t="s">
        <v>83</v>
      </c>
      <c r="C66" s="1" t="s">
        <v>138</v>
      </c>
      <c r="D66" s="2"/>
      <c r="E66" s="2">
        <v>1052.92</v>
      </c>
      <c r="F66" s="2">
        <v>-41108.79</v>
      </c>
    </row>
    <row r="67" s="1" customFormat="1" spans="1:6">
      <c r="A67" s="40">
        <v>46022</v>
      </c>
      <c r="B67" s="1" t="s">
        <v>84</v>
      </c>
      <c r="C67" s="1" t="s">
        <v>139</v>
      </c>
      <c r="D67" s="2">
        <v>0.01</v>
      </c>
      <c r="E67" s="2"/>
      <c r="F67" s="2">
        <v>-41108.78</v>
      </c>
    </row>
    <row r="68" s="1" customFormat="1" spans="1:6">
      <c r="A68" s="40">
        <v>46034</v>
      </c>
      <c r="B68" s="1" t="s">
        <v>84</v>
      </c>
      <c r="C68" s="1" t="s">
        <v>140</v>
      </c>
      <c r="D68" s="2">
        <v>281148</v>
      </c>
      <c r="E68" s="2"/>
      <c r="F68" s="2">
        <v>240039.22</v>
      </c>
    </row>
    <row r="69" s="1" customFormat="1" spans="1:6">
      <c r="A69" s="40">
        <v>46036</v>
      </c>
      <c r="B69" s="1" t="s">
        <v>84</v>
      </c>
      <c r="C69" s="1" t="s">
        <v>141</v>
      </c>
      <c r="D69" s="2"/>
      <c r="E69" s="2">
        <v>281000</v>
      </c>
      <c r="F69" s="2">
        <v>-40960.78</v>
      </c>
    </row>
    <row r="70" s="1" customFormat="1" spans="1:6">
      <c r="A70" s="40">
        <v>46036</v>
      </c>
      <c r="B70" s="1" t="s">
        <v>84</v>
      </c>
      <c r="C70" s="1" t="s">
        <v>142</v>
      </c>
      <c r="D70" s="2"/>
      <c r="E70" s="2">
        <v>0.01</v>
      </c>
      <c r="F70" s="2">
        <v>-40960.79</v>
      </c>
    </row>
    <row r="71" s="1" customFormat="1" spans="1:6">
      <c r="A71" s="40">
        <v>46102</v>
      </c>
      <c r="B71" s="1" t="s">
        <v>84</v>
      </c>
      <c r="C71" s="1" t="s">
        <v>143</v>
      </c>
      <c r="D71" s="2">
        <v>0.79</v>
      </c>
      <c r="E71" s="2"/>
      <c r="F71" s="2">
        <v>-40960</v>
      </c>
    </row>
    <row r="72" s="1" customFormat="1" spans="1:6">
      <c r="A72" s="40">
        <v>46102</v>
      </c>
      <c r="B72" s="1" t="s">
        <v>84</v>
      </c>
      <c r="C72" s="1" t="s">
        <v>142</v>
      </c>
      <c r="D72" s="2"/>
      <c r="E72" s="2">
        <v>0.79</v>
      </c>
      <c r="F72" s="2">
        <v>-40960.79</v>
      </c>
    </row>
    <row r="73" s="1" customFormat="1" spans="1:6">
      <c r="A73" s="40">
        <v>46091</v>
      </c>
      <c r="B73" s="1" t="s">
        <v>83</v>
      </c>
      <c r="C73" s="1" t="s">
        <v>144</v>
      </c>
      <c r="D73" s="2">
        <v>361000</v>
      </c>
      <c r="E73" s="2"/>
      <c r="F73" s="2">
        <v>320039.21</v>
      </c>
    </row>
    <row r="74" s="1" customFormat="1" spans="1:6">
      <c r="A74" s="40">
        <v>46091</v>
      </c>
      <c r="B74" s="1" t="s">
        <v>83</v>
      </c>
      <c r="C74" s="1" t="s">
        <v>145</v>
      </c>
      <c r="D74" s="2"/>
      <c r="E74" s="2">
        <v>7600</v>
      </c>
      <c r="F74" s="2">
        <v>312439.21</v>
      </c>
    </row>
    <row r="75" s="1" customFormat="1" spans="1:6">
      <c r="A75" s="40">
        <v>46091</v>
      </c>
      <c r="B75" s="1" t="s">
        <v>83</v>
      </c>
      <c r="C75" s="1" t="s">
        <v>146</v>
      </c>
      <c r="D75" s="2"/>
      <c r="E75" s="2">
        <v>11800</v>
      </c>
      <c r="F75" s="2">
        <v>300639.21</v>
      </c>
    </row>
    <row r="76" s="1" customFormat="1" spans="1:6">
      <c r="A76" s="40">
        <v>46091</v>
      </c>
      <c r="B76" s="1" t="s">
        <v>83</v>
      </c>
      <c r="C76" s="1" t="s">
        <v>147</v>
      </c>
      <c r="D76" s="2"/>
      <c r="E76" s="2">
        <v>9</v>
      </c>
      <c r="F76" s="2">
        <v>300630.21</v>
      </c>
    </row>
    <row r="77" s="1" customFormat="1" spans="1:6">
      <c r="A77" s="40">
        <v>46091</v>
      </c>
      <c r="B77" s="1" t="s">
        <v>83</v>
      </c>
      <c r="C77" s="1" t="s">
        <v>148</v>
      </c>
      <c r="D77" s="2"/>
      <c r="E77" s="2">
        <v>2992</v>
      </c>
      <c r="F77" s="2">
        <v>297638.21</v>
      </c>
    </row>
    <row r="78" s="1" customFormat="1" spans="1:6">
      <c r="A78" s="40">
        <v>46091</v>
      </c>
      <c r="B78" s="1" t="s">
        <v>83</v>
      </c>
      <c r="C78" s="1" t="s">
        <v>147</v>
      </c>
      <c r="D78" s="2"/>
      <c r="E78" s="2">
        <v>4.5</v>
      </c>
      <c r="F78" s="2">
        <v>297633.71</v>
      </c>
    </row>
    <row r="79" s="1" customFormat="1" spans="1:6">
      <c r="A79" s="40">
        <v>46091</v>
      </c>
      <c r="B79" s="1" t="s">
        <v>83</v>
      </c>
      <c r="C79" s="1" t="s">
        <v>149</v>
      </c>
      <c r="D79" s="2"/>
      <c r="E79" s="2">
        <v>50000</v>
      </c>
      <c r="F79" s="2">
        <v>247633.71</v>
      </c>
    </row>
    <row r="80" s="1" customFormat="1" spans="1:6">
      <c r="A80" s="40">
        <v>46091</v>
      </c>
      <c r="B80" s="1" t="s">
        <v>83</v>
      </c>
      <c r="C80" s="1" t="s">
        <v>149</v>
      </c>
      <c r="D80" s="2"/>
      <c r="E80" s="2">
        <v>100000</v>
      </c>
      <c r="F80" s="2">
        <v>147633.71</v>
      </c>
    </row>
    <row r="81" s="1" customFormat="1" spans="1:6">
      <c r="A81" s="40">
        <v>46092</v>
      </c>
      <c r="B81" s="1" t="s">
        <v>83</v>
      </c>
      <c r="C81" s="1" t="s">
        <v>150</v>
      </c>
      <c r="D81" s="2"/>
      <c r="E81" s="2">
        <v>-2992</v>
      </c>
      <c r="F81" s="2">
        <v>150625.71</v>
      </c>
    </row>
    <row r="82" s="1" customFormat="1" spans="1:6">
      <c r="A82" s="40">
        <v>46092</v>
      </c>
      <c r="B82" s="1" t="s">
        <v>83</v>
      </c>
      <c r="C82" s="1" t="s">
        <v>151</v>
      </c>
      <c r="D82" s="2"/>
      <c r="E82" s="2">
        <v>50000</v>
      </c>
      <c r="F82" s="2">
        <v>100625.71</v>
      </c>
    </row>
    <row r="83" s="1" customFormat="1" spans="1:6">
      <c r="A83" s="40">
        <v>46092</v>
      </c>
      <c r="B83" s="1" t="s">
        <v>83</v>
      </c>
      <c r="C83" s="1" t="s">
        <v>147</v>
      </c>
      <c r="D83" s="2"/>
      <c r="E83" s="2">
        <v>9</v>
      </c>
      <c r="F83" s="2">
        <v>100616.71</v>
      </c>
    </row>
    <row r="84" s="1" customFormat="1" spans="1:6">
      <c r="A84" s="40">
        <v>46093</v>
      </c>
      <c r="B84" s="1" t="s">
        <v>83</v>
      </c>
      <c r="C84" s="1" t="s">
        <v>152</v>
      </c>
      <c r="D84" s="2"/>
      <c r="E84" s="2">
        <v>30000</v>
      </c>
      <c r="F84" s="2">
        <v>70616.71</v>
      </c>
    </row>
    <row r="85" s="1" customFormat="1" spans="1:6">
      <c r="A85" s="40">
        <v>46095</v>
      </c>
      <c r="B85" s="1" t="s">
        <v>83</v>
      </c>
      <c r="C85" s="1" t="s">
        <v>153</v>
      </c>
      <c r="D85" s="2"/>
      <c r="E85" s="2">
        <v>3216</v>
      </c>
      <c r="F85" s="2">
        <v>67400.71</v>
      </c>
    </row>
    <row r="86" s="1" customFormat="1" spans="1:6">
      <c r="A86" s="40">
        <v>46100</v>
      </c>
      <c r="B86" s="1" t="s">
        <v>83</v>
      </c>
      <c r="C86" s="1" t="s">
        <v>152</v>
      </c>
      <c r="D86" s="2"/>
      <c r="E86" s="2">
        <v>100000</v>
      </c>
      <c r="F86" s="2">
        <v>-32599.29</v>
      </c>
    </row>
    <row r="87" s="1" customFormat="1" spans="1:6">
      <c r="A87" s="40">
        <v>46100</v>
      </c>
      <c r="B87" s="1" t="s">
        <v>83</v>
      </c>
      <c r="C87" s="1" t="s">
        <v>154</v>
      </c>
      <c r="D87" s="2"/>
      <c r="E87" s="2">
        <v>5000</v>
      </c>
      <c r="F87" s="2">
        <v>-37599.29</v>
      </c>
    </row>
    <row r="88" s="1" customFormat="1" spans="1:6">
      <c r="A88" s="40">
        <v>46100</v>
      </c>
      <c r="B88" s="1" t="s">
        <v>83</v>
      </c>
      <c r="C88" s="1" t="s">
        <v>147</v>
      </c>
      <c r="D88" s="2"/>
      <c r="E88" s="2">
        <v>4.5</v>
      </c>
      <c r="F88" s="2">
        <v>-37603.79</v>
      </c>
    </row>
    <row r="89" s="1" customFormat="1" spans="1:6">
      <c r="A89" s="40">
        <v>46102</v>
      </c>
      <c r="B89" s="1" t="s">
        <v>83</v>
      </c>
      <c r="C89" s="1" t="s">
        <v>143</v>
      </c>
      <c r="D89" s="2">
        <v>1.53</v>
      </c>
      <c r="E89" s="2"/>
      <c r="F89" s="2">
        <v>-37602.26</v>
      </c>
    </row>
    <row r="90" s="1" customFormat="1" spans="1:6">
      <c r="A90" s="40">
        <v>46105</v>
      </c>
      <c r="B90" s="1" t="s">
        <v>83</v>
      </c>
      <c r="C90" s="1" t="s">
        <v>155</v>
      </c>
      <c r="D90" s="2"/>
      <c r="E90" s="2">
        <v>22.8</v>
      </c>
      <c r="F90" s="2">
        <v>-37625.06</v>
      </c>
    </row>
    <row r="91" s="1" customFormat="1" spans="1:6">
      <c r="A91" s="40">
        <v>46133</v>
      </c>
      <c r="B91" s="1" t="s">
        <v>83</v>
      </c>
      <c r="C91" s="1" t="s">
        <v>138</v>
      </c>
      <c r="D91" s="2"/>
      <c r="E91" s="2">
        <v>1474.08</v>
      </c>
      <c r="F91" s="2">
        <v>-39099.14</v>
      </c>
    </row>
    <row r="92" s="1" customFormat="1" spans="1:6">
      <c r="A92" s="40">
        <v>46136</v>
      </c>
      <c r="B92" s="1" t="s">
        <v>83</v>
      </c>
      <c r="C92" s="1" t="s">
        <v>156</v>
      </c>
      <c r="D92" s="2"/>
      <c r="E92" s="2">
        <v>150</v>
      </c>
      <c r="F92" s="2">
        <v>-39249.14</v>
      </c>
    </row>
    <row r="93" s="1" customFormat="1" spans="1:6">
      <c r="A93" s="40">
        <v>46136</v>
      </c>
      <c r="B93" s="1" t="s">
        <v>83</v>
      </c>
      <c r="C93" s="1" t="s">
        <v>157</v>
      </c>
      <c r="D93" s="2"/>
      <c r="E93" s="2">
        <v>50</v>
      </c>
      <c r="F93" s="2">
        <v>-39299.14</v>
      </c>
    </row>
    <row r="94" s="1" customFormat="1" spans="1:6">
      <c r="A94" s="40">
        <v>46193</v>
      </c>
      <c r="B94" s="1" t="s">
        <v>83</v>
      </c>
      <c r="C94" s="1" t="s">
        <v>158</v>
      </c>
      <c r="D94" s="2"/>
      <c r="E94" s="2">
        <v>-500</v>
      </c>
      <c r="F94" s="2">
        <v>-38799.14</v>
      </c>
    </row>
    <row r="95" s="1" customFormat="1" spans="1:6">
      <c r="A95" s="40">
        <v>46194</v>
      </c>
      <c r="B95" s="1" t="s">
        <v>83</v>
      </c>
      <c r="C95" s="1" t="s">
        <v>138</v>
      </c>
      <c r="D95" s="2"/>
      <c r="E95" s="2">
        <v>1088.01</v>
      </c>
      <c r="F95" s="2">
        <v>-39887.15</v>
      </c>
    </row>
    <row r="96" s="1" customFormat="1" spans="1:6">
      <c r="A96" s="40">
        <v>46194</v>
      </c>
      <c r="B96" s="1" t="s">
        <v>83</v>
      </c>
      <c r="C96" s="1" t="s">
        <v>143</v>
      </c>
      <c r="D96" s="2">
        <v>0.24</v>
      </c>
      <c r="E96" s="2"/>
      <c r="F96" s="2">
        <v>-39886.91</v>
      </c>
    </row>
    <row r="97" s="1" customFormat="1" spans="1:6">
      <c r="A97" s="40">
        <v>46177</v>
      </c>
      <c r="B97" s="1" t="s">
        <v>73</v>
      </c>
      <c r="C97" s="1" t="s">
        <v>159</v>
      </c>
      <c r="D97" s="2">
        <v>0</v>
      </c>
      <c r="E97" s="2">
        <v>2000</v>
      </c>
      <c r="F97" s="2">
        <v>-41886.91</v>
      </c>
    </row>
    <row r="98" s="1" customFormat="1" spans="1:6">
      <c r="A98" s="40">
        <v>46177</v>
      </c>
      <c r="B98" s="1" t="s">
        <v>73</v>
      </c>
      <c r="C98" s="1" t="s">
        <v>160</v>
      </c>
      <c r="D98" s="2">
        <v>0</v>
      </c>
      <c r="E98" s="2">
        <v>2000</v>
      </c>
      <c r="F98" s="2">
        <v>-43886.91</v>
      </c>
    </row>
    <row r="99" s="1" customFormat="1" spans="1:6">
      <c r="A99" s="40">
        <v>46178</v>
      </c>
      <c r="B99" s="1" t="s">
        <v>73</v>
      </c>
      <c r="C99" s="1" t="s">
        <v>161</v>
      </c>
      <c r="D99" s="2"/>
      <c r="E99" s="2">
        <v>1100</v>
      </c>
      <c r="F99" s="2">
        <v>-44986.91</v>
      </c>
    </row>
    <row r="100" s="1" customFormat="1" spans="1:6">
      <c r="A100" s="40">
        <v>46178</v>
      </c>
      <c r="B100" s="1" t="s">
        <v>73</v>
      </c>
      <c r="C100" s="1" t="s">
        <v>162</v>
      </c>
      <c r="D100" s="2"/>
      <c r="E100" s="2">
        <v>2000</v>
      </c>
      <c r="F100" s="2">
        <v>-46986.91</v>
      </c>
    </row>
    <row r="101" s="1" customFormat="1" spans="1:6">
      <c r="A101" s="40">
        <v>46178</v>
      </c>
      <c r="B101" s="1" t="s">
        <v>73</v>
      </c>
      <c r="C101" s="1" t="s">
        <v>163</v>
      </c>
      <c r="D101" s="2"/>
      <c r="E101" s="2">
        <v>3500</v>
      </c>
      <c r="F101" s="2">
        <v>-50486.91</v>
      </c>
    </row>
    <row r="102" s="1" customFormat="1" spans="1:6">
      <c r="A102" s="40">
        <v>46181</v>
      </c>
      <c r="B102" s="1" t="s">
        <v>73</v>
      </c>
      <c r="C102" s="1" t="s">
        <v>164</v>
      </c>
      <c r="D102" s="2"/>
      <c r="E102" s="2">
        <v>303.2</v>
      </c>
      <c r="F102" s="2">
        <v>-50790.11</v>
      </c>
    </row>
    <row r="103" s="1" customFormat="1" spans="1:6">
      <c r="A103" s="40">
        <v>46181</v>
      </c>
      <c r="B103" s="1" t="s">
        <v>73</v>
      </c>
      <c r="C103" s="1" t="s">
        <v>164</v>
      </c>
      <c r="D103" s="2"/>
      <c r="E103" s="2">
        <v>-303.2</v>
      </c>
      <c r="F103" s="2">
        <v>-50486.91</v>
      </c>
    </row>
    <row r="104" s="1" customFormat="1" spans="1:6">
      <c r="A104" s="40">
        <v>46181</v>
      </c>
      <c r="B104" s="1" t="s">
        <v>73</v>
      </c>
      <c r="C104" s="1" t="s">
        <v>165</v>
      </c>
      <c r="D104" s="2"/>
      <c r="E104" s="2">
        <v>1098</v>
      </c>
      <c r="F104" s="2">
        <v>-51584.91</v>
      </c>
    </row>
    <row r="105" s="1" customFormat="1" spans="1:6">
      <c r="A105" s="40">
        <v>46181</v>
      </c>
      <c r="B105" s="1" t="s">
        <v>73</v>
      </c>
      <c r="C105" s="1" t="s">
        <v>165</v>
      </c>
      <c r="D105" s="2"/>
      <c r="E105" s="2">
        <v>-1098</v>
      </c>
      <c r="F105" s="2">
        <v>-50486.91</v>
      </c>
    </row>
    <row r="106" s="1" customFormat="1" spans="1:6">
      <c r="A106" s="40">
        <v>46181</v>
      </c>
      <c r="B106" s="1" t="s">
        <v>73</v>
      </c>
      <c r="C106" s="1" t="s">
        <v>165</v>
      </c>
      <c r="D106" s="2"/>
      <c r="E106" s="2">
        <v>1098</v>
      </c>
      <c r="F106" s="2">
        <v>-51584.91</v>
      </c>
    </row>
    <row r="107" s="1" customFormat="1" spans="1:6">
      <c r="A107" s="40">
        <v>46181</v>
      </c>
      <c r="B107" s="1" t="s">
        <v>73</v>
      </c>
      <c r="C107" s="1" t="s">
        <v>165</v>
      </c>
      <c r="D107" s="2"/>
      <c r="E107" s="2">
        <v>-1098</v>
      </c>
      <c r="F107" s="2">
        <v>-50486.91</v>
      </c>
    </row>
    <row r="108" s="1" customFormat="1" spans="1:6">
      <c r="A108" s="40">
        <v>46181</v>
      </c>
      <c r="B108" s="1" t="s">
        <v>73</v>
      </c>
      <c r="C108" s="1" t="s">
        <v>164</v>
      </c>
      <c r="D108" s="2"/>
      <c r="E108" s="2">
        <v>303.2</v>
      </c>
      <c r="F108" s="2">
        <v>-50790.11</v>
      </c>
    </row>
    <row r="109" s="1" customFormat="1" spans="1:6">
      <c r="A109" s="40">
        <v>46181</v>
      </c>
      <c r="B109" s="1" t="s">
        <v>73</v>
      </c>
      <c r="C109" s="1" t="s">
        <v>165</v>
      </c>
      <c r="D109" s="2"/>
      <c r="E109" s="2">
        <v>1098</v>
      </c>
      <c r="F109" s="2">
        <v>-51888.11</v>
      </c>
    </row>
    <row r="110" s="1" customFormat="1" spans="1:6">
      <c r="A110" s="40">
        <v>46181</v>
      </c>
      <c r="B110" s="1" t="s">
        <v>73</v>
      </c>
      <c r="C110" s="1" t="s">
        <v>165</v>
      </c>
      <c r="D110" s="2"/>
      <c r="E110" s="2">
        <v>-1098</v>
      </c>
      <c r="F110" s="2">
        <v>-50790.11</v>
      </c>
    </row>
    <row r="111" s="1" customFormat="1" spans="1:6">
      <c r="A111" s="40">
        <v>46183</v>
      </c>
      <c r="B111" s="1" t="s">
        <v>73</v>
      </c>
      <c r="C111" s="1" t="s">
        <v>166</v>
      </c>
      <c r="D111" s="2"/>
      <c r="E111" s="2">
        <v>2500</v>
      </c>
      <c r="F111" s="2">
        <v>-53290.11</v>
      </c>
    </row>
    <row r="112" s="1" customFormat="1" spans="1:6">
      <c r="A112" s="40">
        <v>46183</v>
      </c>
      <c r="B112" s="1" t="s">
        <v>73</v>
      </c>
      <c r="C112" s="1" t="s">
        <v>166</v>
      </c>
      <c r="D112" s="2"/>
      <c r="E112" s="2">
        <v>-2500</v>
      </c>
      <c r="F112" s="2">
        <v>-50790.11</v>
      </c>
    </row>
    <row r="113" s="1" customFormat="1" spans="1:6">
      <c r="A113" s="40">
        <v>46183</v>
      </c>
      <c r="B113" s="1" t="s">
        <v>73</v>
      </c>
      <c r="C113" s="1" t="s">
        <v>166</v>
      </c>
      <c r="D113" s="2"/>
      <c r="E113" s="2">
        <v>2500</v>
      </c>
      <c r="F113" s="2">
        <v>-53290.11</v>
      </c>
    </row>
    <row r="114" s="1" customFormat="1" spans="1:6">
      <c r="A114" s="40">
        <v>46184</v>
      </c>
      <c r="B114" s="1" t="s">
        <v>73</v>
      </c>
      <c r="C114" s="1" t="s">
        <v>167</v>
      </c>
      <c r="D114" s="2"/>
      <c r="E114" s="2">
        <v>-2000</v>
      </c>
      <c r="F114" s="2">
        <v>-51290.11</v>
      </c>
    </row>
    <row r="115" s="1" customFormat="1" spans="1:6">
      <c r="A115" s="40">
        <v>46184</v>
      </c>
      <c r="B115" s="1" t="s">
        <v>73</v>
      </c>
      <c r="C115" s="1" t="s">
        <v>168</v>
      </c>
      <c r="D115" s="2"/>
      <c r="E115" s="2">
        <v>1140</v>
      </c>
      <c r="F115" s="2">
        <v>-52430.11</v>
      </c>
    </row>
    <row r="116" s="1" customFormat="1" spans="1:6">
      <c r="A116" s="40">
        <v>46188</v>
      </c>
      <c r="B116" s="1" t="s">
        <v>73</v>
      </c>
      <c r="C116" s="1" t="s">
        <v>167</v>
      </c>
      <c r="D116" s="2"/>
      <c r="E116" s="2">
        <v>-2000</v>
      </c>
      <c r="F116" s="2">
        <v>-50430.11</v>
      </c>
    </row>
    <row r="117" s="1" customFormat="1" spans="1:6">
      <c r="A117" s="40">
        <v>46188</v>
      </c>
      <c r="B117" s="1" t="s">
        <v>73</v>
      </c>
      <c r="C117" s="1" t="s">
        <v>169</v>
      </c>
      <c r="D117" s="2"/>
      <c r="E117" s="2">
        <v>2500</v>
      </c>
      <c r="F117" s="2">
        <v>-52930.11</v>
      </c>
    </row>
    <row r="118" s="1" customFormat="1" spans="1:6">
      <c r="A118" s="40">
        <v>46188</v>
      </c>
      <c r="B118" s="1" t="s">
        <v>73</v>
      </c>
      <c r="C118" s="1" t="s">
        <v>169</v>
      </c>
      <c r="D118" s="2"/>
      <c r="E118" s="2">
        <v>-2500</v>
      </c>
      <c r="F118" s="2">
        <v>-50430.11</v>
      </c>
    </row>
    <row r="119" s="1" customFormat="1" spans="1:6">
      <c r="A119" s="40">
        <v>46188</v>
      </c>
      <c r="B119" s="1" t="s">
        <v>73</v>
      </c>
      <c r="C119" s="1" t="s">
        <v>169</v>
      </c>
      <c r="D119" s="2"/>
      <c r="E119" s="2">
        <v>2500</v>
      </c>
      <c r="F119" s="2">
        <v>-52930.11</v>
      </c>
    </row>
    <row r="120" s="1" customFormat="1" spans="1:6">
      <c r="A120" s="40">
        <v>46191</v>
      </c>
      <c r="B120" s="1" t="s">
        <v>73</v>
      </c>
      <c r="C120" s="1" t="s">
        <v>170</v>
      </c>
      <c r="D120" s="2"/>
      <c r="E120" s="2">
        <v>-703.2</v>
      </c>
      <c r="F120" s="2">
        <v>-52226.91</v>
      </c>
    </row>
    <row r="121" s="1" customFormat="1" spans="1:6">
      <c r="A121" s="40">
        <v>46191</v>
      </c>
      <c r="B121" s="1" t="s">
        <v>73</v>
      </c>
      <c r="C121" s="1" t="s">
        <v>167</v>
      </c>
      <c r="D121" s="2"/>
      <c r="E121" s="2">
        <v>-5000</v>
      </c>
      <c r="F121" s="2">
        <v>-47226.91</v>
      </c>
    </row>
    <row r="122" s="1" customFormat="1" spans="1:6">
      <c r="A122" s="40">
        <v>46191</v>
      </c>
      <c r="B122" s="1" t="s">
        <v>73</v>
      </c>
      <c r="C122" s="1" t="s">
        <v>96</v>
      </c>
      <c r="D122" s="2"/>
      <c r="E122" s="2">
        <v>3000</v>
      </c>
      <c r="F122" s="2">
        <v>-50226.91</v>
      </c>
    </row>
    <row r="123" s="1" customFormat="1" spans="1:6">
      <c r="A123" s="40">
        <v>46191</v>
      </c>
      <c r="B123" s="1" t="s">
        <v>73</v>
      </c>
      <c r="C123" s="1" t="s">
        <v>159</v>
      </c>
      <c r="D123" s="2"/>
      <c r="E123" s="2">
        <v>2000</v>
      </c>
      <c r="F123" s="2">
        <v>-52226.91</v>
      </c>
    </row>
    <row r="124" s="1" customFormat="1" spans="1:6">
      <c r="A124" s="40">
        <v>46191</v>
      </c>
      <c r="B124" s="1" t="s">
        <v>73</v>
      </c>
      <c r="C124" s="1" t="s">
        <v>159</v>
      </c>
      <c r="D124" s="2"/>
      <c r="E124" s="2">
        <v>700</v>
      </c>
      <c r="F124" s="2">
        <v>-52926.91</v>
      </c>
    </row>
    <row r="125" s="1" customFormat="1" spans="1:6">
      <c r="A125" s="40">
        <v>46193</v>
      </c>
      <c r="B125" s="1" t="s">
        <v>73</v>
      </c>
      <c r="C125" s="1" t="s">
        <v>138</v>
      </c>
      <c r="D125" s="2"/>
      <c r="E125" s="2">
        <v>588</v>
      </c>
      <c r="F125" s="2">
        <v>-53514.91</v>
      </c>
    </row>
    <row r="126" s="1" customFormat="1" spans="1:6">
      <c r="A126" s="40">
        <v>46193</v>
      </c>
      <c r="B126" s="1" t="s">
        <v>73</v>
      </c>
      <c r="C126" s="1" t="s">
        <v>138</v>
      </c>
      <c r="D126" s="2"/>
      <c r="E126" s="2">
        <v>-588</v>
      </c>
      <c r="F126" s="2">
        <v>-52926.91</v>
      </c>
    </row>
    <row r="127" s="1" customFormat="1" spans="1:6">
      <c r="A127" s="40">
        <v>46193</v>
      </c>
      <c r="B127" s="1" t="s">
        <v>73</v>
      </c>
      <c r="C127" s="1" t="s">
        <v>138</v>
      </c>
      <c r="D127" s="2"/>
      <c r="E127" s="2">
        <v>588</v>
      </c>
      <c r="F127" s="2">
        <v>-53514.91</v>
      </c>
    </row>
    <row r="128" s="1" customFormat="1" spans="1:6">
      <c r="A128" s="40">
        <v>46193</v>
      </c>
      <c r="B128" s="1" t="s">
        <v>73</v>
      </c>
      <c r="C128" s="1" t="s">
        <v>138</v>
      </c>
      <c r="D128" s="2"/>
      <c r="E128" s="2">
        <v>-588</v>
      </c>
      <c r="F128" s="2">
        <v>-52926.91</v>
      </c>
    </row>
    <row r="129" s="1" customFormat="1" spans="1:6">
      <c r="A129" s="40">
        <v>46194</v>
      </c>
      <c r="B129" s="1" t="s">
        <v>73</v>
      </c>
      <c r="C129" s="1" t="s">
        <v>171</v>
      </c>
      <c r="D129" s="2"/>
      <c r="E129" s="2">
        <v>-2.76</v>
      </c>
      <c r="F129" s="2">
        <v>-52924.15</v>
      </c>
    </row>
    <row r="130" s="1" customFormat="1" spans="1:6">
      <c r="A130" s="40">
        <v>46198</v>
      </c>
      <c r="B130" s="1" t="s">
        <v>73</v>
      </c>
      <c r="C130" s="1" t="s">
        <v>172</v>
      </c>
      <c r="D130" s="2">
        <v>280819.79</v>
      </c>
      <c r="E130" s="2"/>
      <c r="F130" s="2">
        <v>227895.64</v>
      </c>
    </row>
    <row r="131" s="1" customFormat="1" spans="1:6">
      <c r="A131" s="40">
        <v>46198</v>
      </c>
      <c r="B131" s="1" t="s">
        <v>73</v>
      </c>
      <c r="C131" s="1" t="s">
        <v>173</v>
      </c>
      <c r="D131" s="2"/>
      <c r="E131" s="2">
        <v>1359.64</v>
      </c>
      <c r="F131" s="2">
        <v>226536</v>
      </c>
    </row>
    <row r="132" s="1" customFormat="1" spans="1:6">
      <c r="A132" s="40">
        <v>46198</v>
      </c>
      <c r="B132" s="1" t="s">
        <v>73</v>
      </c>
      <c r="C132" s="1" t="s">
        <v>174</v>
      </c>
      <c r="D132" s="2"/>
      <c r="E132" s="2">
        <v>2008.42</v>
      </c>
      <c r="F132" s="2">
        <v>224527.58</v>
      </c>
    </row>
    <row r="133" s="1" customFormat="1" spans="1:6">
      <c r="A133" s="40">
        <v>46198</v>
      </c>
      <c r="B133" s="1" t="s">
        <v>73</v>
      </c>
      <c r="C133" s="1" t="s">
        <v>174</v>
      </c>
      <c r="D133" s="2"/>
      <c r="E133" s="2">
        <v>30.54</v>
      </c>
      <c r="F133" s="2">
        <v>224497.04</v>
      </c>
    </row>
    <row r="134" s="1" customFormat="1" spans="1:6">
      <c r="A134" s="40">
        <v>46198</v>
      </c>
      <c r="B134" s="1" t="s">
        <v>73</v>
      </c>
      <c r="C134" s="1" t="s">
        <v>96</v>
      </c>
      <c r="D134" s="2"/>
      <c r="E134" s="2">
        <v>19184.31</v>
      </c>
      <c r="F134" s="2">
        <v>205312.73</v>
      </c>
    </row>
    <row r="135" s="1" customFormat="1" spans="1:6">
      <c r="A135" s="40">
        <v>46198</v>
      </c>
      <c r="B135" s="1" t="s">
        <v>73</v>
      </c>
      <c r="C135" s="1" t="s">
        <v>159</v>
      </c>
      <c r="D135" s="2"/>
      <c r="E135" s="2">
        <v>8887</v>
      </c>
      <c r="F135" s="2">
        <v>196425.73</v>
      </c>
    </row>
    <row r="136" s="1" customFormat="1" spans="1:6">
      <c r="A136" s="40">
        <v>46198</v>
      </c>
      <c r="B136" s="1" t="s">
        <v>73</v>
      </c>
      <c r="C136" s="1" t="s">
        <v>175</v>
      </c>
      <c r="D136" s="2"/>
      <c r="E136" s="2">
        <v>10358</v>
      </c>
      <c r="F136" s="2">
        <v>186067.73</v>
      </c>
    </row>
    <row r="137" s="1" customFormat="1" spans="1:6">
      <c r="A137" s="40">
        <v>46198</v>
      </c>
      <c r="B137" s="1" t="s">
        <v>73</v>
      </c>
      <c r="C137" s="1" t="s">
        <v>176</v>
      </c>
      <c r="D137" s="2"/>
      <c r="E137" s="2">
        <v>10000</v>
      </c>
      <c r="F137" s="2">
        <v>176067.73</v>
      </c>
    </row>
    <row r="138" s="1" customFormat="1" spans="1:6">
      <c r="A138" s="40">
        <v>46198</v>
      </c>
      <c r="B138" s="1" t="s">
        <v>73</v>
      </c>
      <c r="C138" s="1" t="s">
        <v>177</v>
      </c>
      <c r="D138" s="2"/>
      <c r="E138" s="2">
        <v>1700</v>
      </c>
      <c r="F138" s="2">
        <v>174367.73</v>
      </c>
    </row>
    <row r="139" s="1" customFormat="1" spans="1:6">
      <c r="A139" s="40">
        <v>46198</v>
      </c>
      <c r="B139" s="1" t="s">
        <v>73</v>
      </c>
      <c r="C139" s="1" t="s">
        <v>178</v>
      </c>
      <c r="D139" s="2"/>
      <c r="E139" s="2">
        <v>20000</v>
      </c>
      <c r="F139" s="2">
        <v>154367.73</v>
      </c>
    </row>
    <row r="140" s="1" customFormat="1" spans="1:6">
      <c r="A140" s="40">
        <v>46198</v>
      </c>
      <c r="B140" s="1" t="s">
        <v>73</v>
      </c>
      <c r="C140" s="1" t="s">
        <v>179</v>
      </c>
      <c r="D140" s="2"/>
      <c r="E140" s="2">
        <v>9459</v>
      </c>
      <c r="F140" s="2">
        <v>144908.73</v>
      </c>
    </row>
    <row r="141" s="1" customFormat="1" spans="1:6">
      <c r="A141" s="40">
        <v>46198</v>
      </c>
      <c r="B141" s="1" t="s">
        <v>73</v>
      </c>
      <c r="C141" s="1" t="s">
        <v>179</v>
      </c>
      <c r="D141" s="2"/>
      <c r="E141" s="2">
        <v>34057</v>
      </c>
      <c r="F141" s="2">
        <v>110851.73</v>
      </c>
    </row>
    <row r="142" s="1" customFormat="1" spans="1:6">
      <c r="A142" s="40">
        <v>46198</v>
      </c>
      <c r="B142" s="1" t="s">
        <v>73</v>
      </c>
      <c r="C142" s="1" t="s">
        <v>180</v>
      </c>
      <c r="D142" s="2"/>
      <c r="E142" s="2">
        <v>30551.22</v>
      </c>
      <c r="F142" s="2">
        <v>80300.51</v>
      </c>
    </row>
    <row r="143" s="1" customFormat="1" spans="1:6">
      <c r="A143" s="40">
        <v>46198</v>
      </c>
      <c r="B143" s="1" t="s">
        <v>73</v>
      </c>
      <c r="C143" s="1" t="s">
        <v>165</v>
      </c>
      <c r="D143" s="2"/>
      <c r="E143" s="2">
        <v>1098</v>
      </c>
      <c r="F143" s="2">
        <v>79202.51</v>
      </c>
    </row>
    <row r="144" s="1" customFormat="1" spans="1:6">
      <c r="A144" s="40">
        <v>46198</v>
      </c>
      <c r="B144" s="1" t="s">
        <v>73</v>
      </c>
      <c r="C144" s="1" t="s">
        <v>181</v>
      </c>
      <c r="D144" s="2"/>
      <c r="E144" s="2">
        <v>1200</v>
      </c>
      <c r="F144" s="2">
        <v>78002.51</v>
      </c>
    </row>
    <row r="145" s="1" customFormat="1" spans="1:6">
      <c r="A145" s="40">
        <v>46199</v>
      </c>
      <c r="B145" s="1" t="s">
        <v>73</v>
      </c>
      <c r="C145" s="1" t="s">
        <v>97</v>
      </c>
      <c r="D145" s="2"/>
      <c r="E145" s="2">
        <v>10000</v>
      </c>
      <c r="F145" s="2">
        <v>68002.51</v>
      </c>
    </row>
    <row r="146" s="1" customFormat="1" spans="1:6">
      <c r="A146" s="40">
        <v>46199</v>
      </c>
      <c r="B146" s="1" t="s">
        <v>73</v>
      </c>
      <c r="C146" s="1" t="s">
        <v>182</v>
      </c>
      <c r="D146" s="2"/>
      <c r="E146" s="2">
        <v>4000</v>
      </c>
      <c r="F146" s="2">
        <v>64002.51</v>
      </c>
    </row>
    <row r="147" s="1" customFormat="1" spans="1:6">
      <c r="A147" s="40">
        <v>46199</v>
      </c>
      <c r="B147" s="1" t="s">
        <v>73</v>
      </c>
      <c r="C147" s="1" t="s">
        <v>183</v>
      </c>
      <c r="D147" s="2"/>
      <c r="E147" s="2">
        <v>4000</v>
      </c>
      <c r="F147" s="2">
        <v>60002.51</v>
      </c>
    </row>
    <row r="148" s="1" customFormat="1" spans="1:6">
      <c r="A148" s="40">
        <v>46199</v>
      </c>
      <c r="B148" s="1" t="s">
        <v>73</v>
      </c>
      <c r="C148" s="1" t="s">
        <v>184</v>
      </c>
      <c r="D148" s="2"/>
      <c r="E148" s="2">
        <v>5000</v>
      </c>
      <c r="F148" s="2">
        <v>55002.51</v>
      </c>
    </row>
    <row r="149" s="1" customFormat="1" spans="1:6">
      <c r="A149" s="40">
        <v>46199</v>
      </c>
      <c r="B149" s="1" t="s">
        <v>73</v>
      </c>
      <c r="C149" s="1" t="s">
        <v>160</v>
      </c>
      <c r="D149" s="2"/>
      <c r="E149" s="2">
        <v>4000</v>
      </c>
      <c r="F149" s="2">
        <v>51002.51</v>
      </c>
    </row>
    <row r="150" s="1" customFormat="1" spans="1:6">
      <c r="A150" s="40">
        <v>46199</v>
      </c>
      <c r="B150" s="1" t="s">
        <v>73</v>
      </c>
      <c r="C150" s="1" t="s">
        <v>185</v>
      </c>
      <c r="D150" s="2"/>
      <c r="E150" s="2">
        <v>4000</v>
      </c>
      <c r="F150" s="2">
        <v>47002.51</v>
      </c>
    </row>
    <row r="151" s="1" customFormat="1" spans="1:6">
      <c r="A151" s="40">
        <v>46199</v>
      </c>
      <c r="B151" s="1" t="s">
        <v>73</v>
      </c>
      <c r="C151" s="1" t="s">
        <v>186</v>
      </c>
      <c r="D151" s="2"/>
      <c r="E151" s="2">
        <v>4000</v>
      </c>
      <c r="F151" s="2">
        <v>43002.51</v>
      </c>
    </row>
    <row r="152" s="1" customFormat="1" spans="1:6">
      <c r="A152" s="40">
        <v>46199</v>
      </c>
      <c r="B152" s="1" t="s">
        <v>73</v>
      </c>
      <c r="C152" s="1" t="s">
        <v>187</v>
      </c>
      <c r="D152" s="2"/>
      <c r="E152" s="2">
        <v>4000</v>
      </c>
      <c r="F152" s="2">
        <v>39002.51</v>
      </c>
    </row>
    <row r="153" s="1" customFormat="1" spans="1:6">
      <c r="A153" s="40">
        <v>46199</v>
      </c>
      <c r="B153" s="1" t="s">
        <v>73</v>
      </c>
      <c r="C153" s="1" t="s">
        <v>188</v>
      </c>
      <c r="D153" s="2"/>
      <c r="E153" s="2">
        <v>4000</v>
      </c>
      <c r="F153" s="2">
        <v>35002.51</v>
      </c>
    </row>
    <row r="154" s="1" customFormat="1" spans="1:6">
      <c r="A154" s="40">
        <v>46199</v>
      </c>
      <c r="B154" s="1" t="s">
        <v>73</v>
      </c>
      <c r="C154" s="1" t="s">
        <v>189</v>
      </c>
      <c r="D154" s="2"/>
      <c r="E154" s="2">
        <v>4000</v>
      </c>
      <c r="F154" s="2">
        <v>31002.51</v>
      </c>
    </row>
    <row r="155" s="1" customFormat="1" spans="1:6">
      <c r="A155" s="40">
        <v>46199</v>
      </c>
      <c r="B155" s="1" t="s">
        <v>73</v>
      </c>
      <c r="C155" s="1" t="s">
        <v>190</v>
      </c>
      <c r="D155" s="2"/>
      <c r="E155" s="2">
        <v>5000</v>
      </c>
      <c r="F155" s="2">
        <v>26002.51</v>
      </c>
    </row>
    <row r="156" s="1" customFormat="1" spans="1:6">
      <c r="A156" s="40">
        <v>46199</v>
      </c>
      <c r="B156" s="1" t="s">
        <v>73</v>
      </c>
      <c r="C156" s="1" t="s">
        <v>191</v>
      </c>
      <c r="D156" s="2"/>
      <c r="E156" s="2">
        <v>4000</v>
      </c>
      <c r="F156" s="2">
        <v>22002.51</v>
      </c>
    </row>
    <row r="157" s="1" customFormat="1" spans="1:6">
      <c r="A157" s="40">
        <v>46199</v>
      </c>
      <c r="B157" s="1" t="s">
        <v>73</v>
      </c>
      <c r="C157" s="1" t="s">
        <v>192</v>
      </c>
      <c r="D157" s="2"/>
      <c r="E157" s="2">
        <v>4000</v>
      </c>
      <c r="F157" s="2">
        <v>18002.51</v>
      </c>
    </row>
    <row r="158" s="1" customFormat="1" spans="1:6">
      <c r="A158" s="40">
        <v>46199</v>
      </c>
      <c r="B158" s="1" t="s">
        <v>73</v>
      </c>
      <c r="C158" s="1" t="s">
        <v>193</v>
      </c>
      <c r="D158" s="2"/>
      <c r="E158" s="2">
        <v>4000</v>
      </c>
      <c r="F158" s="2">
        <v>14002.51</v>
      </c>
    </row>
    <row r="159" s="1" customFormat="1" spans="1:6">
      <c r="A159" s="40">
        <v>46199</v>
      </c>
      <c r="B159" s="1" t="s">
        <v>73</v>
      </c>
      <c r="C159" s="1" t="s">
        <v>194</v>
      </c>
      <c r="D159" s="2"/>
      <c r="E159" s="2">
        <v>10000</v>
      </c>
      <c r="F159" s="2">
        <v>4002.50999999995</v>
      </c>
    </row>
    <row r="160" s="1" customFormat="1" spans="1:6">
      <c r="A160" s="40">
        <v>46200</v>
      </c>
      <c r="B160" s="1" t="s">
        <v>73</v>
      </c>
      <c r="C160" s="1" t="s">
        <v>195</v>
      </c>
      <c r="D160" s="2"/>
      <c r="E160" s="2">
        <v>50000</v>
      </c>
      <c r="F160" s="2">
        <v>-45997.49</v>
      </c>
    </row>
    <row r="161" s="1" customFormat="1" spans="1:6">
      <c r="A161" s="40">
        <v>46202</v>
      </c>
      <c r="B161" s="1" t="s">
        <v>73</v>
      </c>
      <c r="C161" s="1" t="s">
        <v>196</v>
      </c>
      <c r="D161" s="2">
        <v>50996.59</v>
      </c>
      <c r="E161" s="2">
        <v>0</v>
      </c>
      <c r="F161" s="2">
        <v>4999.09999999995</v>
      </c>
    </row>
    <row r="162" s="1" customFormat="1" spans="1:6">
      <c r="A162" s="40">
        <v>46202</v>
      </c>
      <c r="B162" s="1" t="s">
        <v>73</v>
      </c>
      <c r="C162" s="1" t="s">
        <v>173</v>
      </c>
      <c r="D162" s="2"/>
      <c r="E162" s="2">
        <v>229.48</v>
      </c>
      <c r="F162" s="2">
        <v>4769.61999999995</v>
      </c>
    </row>
    <row r="163" s="1" customFormat="1" spans="1:6">
      <c r="A163" s="40">
        <v>46203</v>
      </c>
      <c r="B163" s="1" t="s">
        <v>73</v>
      </c>
      <c r="C163" s="1" t="s">
        <v>180</v>
      </c>
      <c r="D163" s="2"/>
      <c r="E163" s="2">
        <v>30000</v>
      </c>
      <c r="F163" s="2">
        <v>-25230.3800000001</v>
      </c>
    </row>
    <row r="164" s="1" customFormat="1" spans="1:6">
      <c r="A164" s="40">
        <v>46203</v>
      </c>
      <c r="B164" s="1" t="s">
        <v>73</v>
      </c>
      <c r="C164" s="1" t="s">
        <v>197</v>
      </c>
      <c r="D164" s="2"/>
      <c r="E164" s="2">
        <v>10000</v>
      </c>
      <c r="F164" s="2">
        <v>-35230.38</v>
      </c>
    </row>
    <row r="165" s="1" customFormat="1" spans="1:6">
      <c r="A165" s="40">
        <v>46205</v>
      </c>
      <c r="B165" s="1" t="s">
        <v>73</v>
      </c>
      <c r="C165" s="1" t="s">
        <v>198</v>
      </c>
      <c r="D165" s="2"/>
      <c r="E165" s="2">
        <v>3000</v>
      </c>
      <c r="F165" s="2">
        <v>-38230.38</v>
      </c>
    </row>
    <row r="166" s="1" customFormat="1" spans="1:6">
      <c r="A166" s="40">
        <v>46205</v>
      </c>
      <c r="B166" s="1" t="s">
        <v>73</v>
      </c>
      <c r="C166" s="1" t="s">
        <v>199</v>
      </c>
      <c r="D166" s="2"/>
      <c r="E166" s="2">
        <v>4000</v>
      </c>
      <c r="F166" s="2">
        <v>-42230.38</v>
      </c>
    </row>
    <row r="167" s="1" customFormat="1" spans="1:6">
      <c r="A167" s="40">
        <v>46205</v>
      </c>
      <c r="B167" s="1" t="s">
        <v>73</v>
      </c>
      <c r="C167" s="1" t="s">
        <v>200</v>
      </c>
      <c r="D167" s="2"/>
      <c r="E167" s="2">
        <v>5000</v>
      </c>
      <c r="F167" s="2">
        <v>-47230.38</v>
      </c>
    </row>
    <row r="168" s="1" customFormat="1" spans="1:6">
      <c r="A168" s="40">
        <v>46205</v>
      </c>
      <c r="B168" s="1" t="s">
        <v>73</v>
      </c>
      <c r="C168" s="1" t="s">
        <v>200</v>
      </c>
      <c r="D168" s="2"/>
      <c r="E168" s="2">
        <v>-5000</v>
      </c>
      <c r="F168" s="2">
        <v>-42230.38</v>
      </c>
    </row>
    <row r="169" s="1" customFormat="1" spans="1:6">
      <c r="A169" s="40">
        <v>46205</v>
      </c>
      <c r="B169" s="1" t="s">
        <v>73</v>
      </c>
      <c r="C169" s="1" t="s">
        <v>201</v>
      </c>
      <c r="D169" s="2"/>
      <c r="E169" s="2">
        <v>574</v>
      </c>
      <c r="F169" s="2">
        <v>-42804.38</v>
      </c>
    </row>
    <row r="170" s="1" customFormat="1" spans="1:6">
      <c r="A170" s="40">
        <v>46205</v>
      </c>
      <c r="B170" s="1" t="s">
        <v>73</v>
      </c>
      <c r="C170" s="1" t="s">
        <v>202</v>
      </c>
      <c r="D170" s="2"/>
      <c r="E170" s="2">
        <v>800</v>
      </c>
      <c r="F170" s="2">
        <v>-43604.38</v>
      </c>
    </row>
    <row r="171" s="1" customFormat="1" spans="1:6">
      <c r="A171" s="40">
        <v>46205</v>
      </c>
      <c r="B171" s="1" t="s">
        <v>73</v>
      </c>
      <c r="C171" s="1" t="s">
        <v>203</v>
      </c>
      <c r="D171" s="2"/>
      <c r="E171" s="2">
        <v>5000</v>
      </c>
      <c r="F171" s="2">
        <v>-48604.38</v>
      </c>
    </row>
    <row r="172" s="1" customFormat="1" spans="1:6">
      <c r="A172" s="40">
        <v>46207</v>
      </c>
      <c r="B172" s="1" t="s">
        <v>73</v>
      </c>
      <c r="C172" s="1" t="s">
        <v>204</v>
      </c>
      <c r="D172" s="2"/>
      <c r="E172" s="2">
        <v>996.75</v>
      </c>
      <c r="F172" s="2">
        <v>-49601.13</v>
      </c>
    </row>
    <row r="173" s="1" customFormat="1" spans="1:6">
      <c r="A173" s="40">
        <v>46207</v>
      </c>
      <c r="B173" s="1" t="s">
        <v>73</v>
      </c>
      <c r="C173" s="1" t="s">
        <v>205</v>
      </c>
      <c r="D173" s="2"/>
      <c r="E173" s="2">
        <v>2653.94</v>
      </c>
      <c r="F173" s="2">
        <v>-52255.0700000001</v>
      </c>
    </row>
    <row r="174" s="1" customFormat="1" spans="1:6">
      <c r="A174" s="40">
        <v>46217</v>
      </c>
      <c r="B174" s="1" t="s">
        <v>73</v>
      </c>
      <c r="C174" s="1" t="s">
        <v>206</v>
      </c>
      <c r="D174" s="2"/>
      <c r="E174" s="2">
        <v>1673</v>
      </c>
      <c r="F174" s="2">
        <v>-53928.0700000001</v>
      </c>
    </row>
    <row r="175" s="1" customFormat="1" spans="1:6">
      <c r="A175" s="40">
        <v>46226</v>
      </c>
      <c r="B175" s="1" t="s">
        <v>73</v>
      </c>
      <c r="C175" s="1" t="s">
        <v>207</v>
      </c>
      <c r="D175" s="2">
        <v>120000</v>
      </c>
      <c r="E175" s="2"/>
      <c r="F175" s="2">
        <v>66071.9299999999</v>
      </c>
    </row>
    <row r="176" s="1" customFormat="1" spans="1:6">
      <c r="A176" s="40">
        <v>46226</v>
      </c>
      <c r="B176" s="1" t="s">
        <v>73</v>
      </c>
      <c r="C176" s="1" t="s">
        <v>184</v>
      </c>
      <c r="D176" s="2"/>
      <c r="E176" s="2">
        <v>10000</v>
      </c>
      <c r="F176" s="2">
        <v>56071.9299999999</v>
      </c>
    </row>
    <row r="177" s="1" customFormat="1" spans="1:6">
      <c r="A177" s="40">
        <v>46227</v>
      </c>
      <c r="B177" s="1" t="s">
        <v>73</v>
      </c>
      <c r="C177" s="1" t="s">
        <v>174</v>
      </c>
      <c r="D177" s="2"/>
      <c r="E177" s="2">
        <v>2008.42</v>
      </c>
      <c r="F177" s="2">
        <v>54063.51</v>
      </c>
    </row>
    <row r="178" s="1" customFormat="1" spans="1:6">
      <c r="A178" s="40">
        <v>46227</v>
      </c>
      <c r="B178" s="1" t="s">
        <v>73</v>
      </c>
      <c r="C178" s="1" t="s">
        <v>174</v>
      </c>
      <c r="D178" s="2"/>
      <c r="E178" s="2">
        <v>30.54</v>
      </c>
      <c r="F178" s="2">
        <v>54032.97</v>
      </c>
    </row>
    <row r="179" s="1" customFormat="1" spans="1:6">
      <c r="A179" s="40">
        <v>46227</v>
      </c>
      <c r="B179" s="1" t="s">
        <v>73</v>
      </c>
      <c r="C179" s="1" t="s">
        <v>208</v>
      </c>
      <c r="D179" s="2"/>
      <c r="E179" s="2">
        <v>30000</v>
      </c>
      <c r="F179" s="2">
        <v>24032.97</v>
      </c>
    </row>
    <row r="180" s="1" customFormat="1" spans="1:6">
      <c r="A180" s="40">
        <v>46227</v>
      </c>
      <c r="B180" s="1" t="s">
        <v>73</v>
      </c>
      <c r="C180" s="1" t="s">
        <v>176</v>
      </c>
      <c r="D180" s="2"/>
      <c r="E180" s="2">
        <v>5000</v>
      </c>
      <c r="F180" s="2">
        <v>19032.97</v>
      </c>
    </row>
    <row r="181" s="1" customFormat="1" ht="28" spans="1:6">
      <c r="A181" s="40">
        <v>46229</v>
      </c>
      <c r="B181" s="1" t="s">
        <v>73</v>
      </c>
      <c r="C181" s="56" t="s">
        <v>209</v>
      </c>
      <c r="D181" s="2"/>
      <c r="E181" s="2">
        <v>70000</v>
      </c>
      <c r="F181" s="2">
        <v>-50967.03</v>
      </c>
    </row>
    <row r="182" s="1" customFormat="1" spans="1:6">
      <c r="A182" s="40">
        <v>46231</v>
      </c>
      <c r="B182" s="1" t="s">
        <v>73</v>
      </c>
      <c r="C182" s="1" t="s">
        <v>167</v>
      </c>
      <c r="D182" s="2"/>
      <c r="E182" s="2">
        <v>-60000</v>
      </c>
      <c r="F182" s="2">
        <v>9032.96999999995</v>
      </c>
    </row>
    <row r="183" s="1" customFormat="1" spans="1:6">
      <c r="A183" s="40">
        <v>46231</v>
      </c>
      <c r="B183" s="1" t="s">
        <v>73</v>
      </c>
      <c r="C183" s="1" t="s">
        <v>210</v>
      </c>
      <c r="D183" s="2"/>
      <c r="E183" s="2">
        <v>29040</v>
      </c>
      <c r="F183" s="2">
        <v>-20007.03</v>
      </c>
    </row>
    <row r="184" s="1" customFormat="1" spans="1:6">
      <c r="A184" s="40">
        <v>46231</v>
      </c>
      <c r="B184" s="1" t="s">
        <v>73</v>
      </c>
      <c r="C184" s="1" t="s">
        <v>210</v>
      </c>
      <c r="D184" s="2"/>
      <c r="E184" s="2">
        <v>27607.98</v>
      </c>
      <c r="F184" s="2">
        <v>-47615.0100000001</v>
      </c>
    </row>
    <row r="185" s="1" customFormat="1" spans="1:6">
      <c r="A185" s="40">
        <v>46232</v>
      </c>
      <c r="B185" s="1" t="s">
        <v>73</v>
      </c>
      <c r="C185" s="1" t="s">
        <v>211</v>
      </c>
      <c r="D185" s="2">
        <v>54516.23</v>
      </c>
      <c r="E185" s="2"/>
      <c r="F185" s="2">
        <v>6901.21999999995</v>
      </c>
    </row>
    <row r="186" s="1" customFormat="1" spans="1:6">
      <c r="A186" s="40">
        <v>46232</v>
      </c>
      <c r="B186" s="1" t="s">
        <v>73</v>
      </c>
      <c r="C186" s="1" t="s">
        <v>212</v>
      </c>
      <c r="D186" s="2"/>
      <c r="E186" s="2">
        <v>8000</v>
      </c>
      <c r="F186" s="2">
        <v>-1098.78000000005</v>
      </c>
    </row>
    <row r="187" s="1" customFormat="1" spans="1:6">
      <c r="A187" s="40">
        <v>46234</v>
      </c>
      <c r="B187" s="1" t="s">
        <v>73</v>
      </c>
      <c r="C187" s="1" t="s">
        <v>213</v>
      </c>
      <c r="D187" s="2"/>
      <c r="E187" s="2">
        <v>8000</v>
      </c>
      <c r="F187" s="2">
        <v>-9098.78000000005</v>
      </c>
    </row>
    <row r="188" s="1" customFormat="1" spans="1:6">
      <c r="A188" s="40">
        <v>46234</v>
      </c>
      <c r="B188" s="1" t="s">
        <v>73</v>
      </c>
      <c r="C188" s="1" t="s">
        <v>213</v>
      </c>
      <c r="D188" s="2"/>
      <c r="E188" s="2">
        <v>-8000</v>
      </c>
      <c r="F188" s="2">
        <v>-1098.78000000005</v>
      </c>
    </row>
    <row r="189" s="1" customFormat="1" spans="1:6">
      <c r="A189" s="40">
        <v>46234</v>
      </c>
      <c r="B189" s="1" t="s">
        <v>73</v>
      </c>
      <c r="C189" s="1" t="s">
        <v>213</v>
      </c>
      <c r="D189" s="2"/>
      <c r="E189" s="2">
        <v>8000</v>
      </c>
      <c r="F189" s="2">
        <v>-9098.78000000005</v>
      </c>
    </row>
    <row r="190" s="1" customFormat="1" spans="1:6">
      <c r="A190" s="40">
        <v>46234</v>
      </c>
      <c r="B190" s="1" t="s">
        <v>73</v>
      </c>
      <c r="C190" s="1" t="s">
        <v>214</v>
      </c>
      <c r="D190" s="2"/>
      <c r="E190" s="2">
        <v>1120</v>
      </c>
      <c r="F190" s="2">
        <v>-10218.78</v>
      </c>
    </row>
    <row r="191" s="1" customFormat="1" spans="1:6">
      <c r="A191" s="40">
        <v>46234</v>
      </c>
      <c r="B191" s="1" t="s">
        <v>73</v>
      </c>
      <c r="C191" s="1" t="s">
        <v>215</v>
      </c>
      <c r="D191" s="2"/>
      <c r="E191" s="2">
        <v>950</v>
      </c>
      <c r="F191" s="2">
        <v>-11168.78</v>
      </c>
    </row>
    <row r="192" s="1" customFormat="1" spans="1:6">
      <c r="A192" s="40">
        <v>46234</v>
      </c>
      <c r="B192" s="1" t="s">
        <v>73</v>
      </c>
      <c r="C192" s="1" t="s">
        <v>216</v>
      </c>
      <c r="D192" s="2"/>
      <c r="E192" s="2">
        <v>2000</v>
      </c>
      <c r="F192" s="2">
        <v>-13168.78</v>
      </c>
    </row>
    <row r="193" s="1" customFormat="1" spans="1:6">
      <c r="A193" s="40">
        <v>46234</v>
      </c>
      <c r="B193" s="1" t="s">
        <v>73</v>
      </c>
      <c r="C193" s="1" t="s">
        <v>195</v>
      </c>
      <c r="D193" s="2"/>
      <c r="E193" s="2">
        <v>40000</v>
      </c>
      <c r="F193" s="2">
        <v>-53168.78</v>
      </c>
    </row>
    <row r="194" s="1" customFormat="1" spans="1:6">
      <c r="A194" s="40">
        <v>46234</v>
      </c>
      <c r="B194" s="1" t="s">
        <v>73</v>
      </c>
      <c r="C194" s="1" t="s">
        <v>217</v>
      </c>
      <c r="D194" s="2"/>
      <c r="E194" s="2">
        <v>462</v>
      </c>
      <c r="F194" s="2">
        <v>-53630.78</v>
      </c>
    </row>
    <row r="195" s="1" customFormat="1" spans="1:6">
      <c r="A195" s="40">
        <v>46222</v>
      </c>
      <c r="B195" s="1" t="s">
        <v>83</v>
      </c>
      <c r="C195" s="1" t="s">
        <v>158</v>
      </c>
      <c r="D195" s="2"/>
      <c r="E195" s="2">
        <v>-1100</v>
      </c>
      <c r="F195" s="2">
        <v>-52530.78</v>
      </c>
    </row>
    <row r="196" s="1" customFormat="1" spans="1:6">
      <c r="A196" s="40">
        <v>46224</v>
      </c>
      <c r="B196" s="1" t="s">
        <v>83</v>
      </c>
      <c r="C196" s="1" t="s">
        <v>218</v>
      </c>
      <c r="D196" s="2"/>
      <c r="E196" s="2">
        <v>1052.92</v>
      </c>
      <c r="F196" s="2">
        <v>-53583.7</v>
      </c>
    </row>
    <row r="197" s="1" customFormat="1" spans="1:6">
      <c r="A197" s="40">
        <v>46242</v>
      </c>
      <c r="B197" s="1" t="s">
        <v>73</v>
      </c>
      <c r="C197" s="1" t="s">
        <v>167</v>
      </c>
      <c r="D197" s="2"/>
      <c r="E197" s="2">
        <v>-600</v>
      </c>
      <c r="F197" s="2">
        <v>-52983.7</v>
      </c>
    </row>
    <row r="198" s="1" customFormat="1" spans="1:6">
      <c r="A198" s="40">
        <v>46242</v>
      </c>
      <c r="B198" s="1" t="s">
        <v>73</v>
      </c>
      <c r="C198" s="1" t="s">
        <v>219</v>
      </c>
      <c r="D198" s="2"/>
      <c r="E198" s="2">
        <v>1040</v>
      </c>
      <c r="F198" s="2">
        <v>-54023.7</v>
      </c>
    </row>
    <row r="199" s="1" customFormat="1" spans="1:6">
      <c r="A199" s="40">
        <v>46254</v>
      </c>
      <c r="B199" s="1" t="s">
        <v>73</v>
      </c>
      <c r="C199" s="1" t="s">
        <v>220</v>
      </c>
      <c r="D199" s="2"/>
      <c r="E199" s="2">
        <v>-1500</v>
      </c>
      <c r="F199" s="2">
        <v>-52523.7</v>
      </c>
    </row>
    <row r="200" s="1" customFormat="1" spans="1:6">
      <c r="A200" s="40">
        <v>46255</v>
      </c>
      <c r="B200" s="1" t="s">
        <v>73</v>
      </c>
      <c r="C200" s="1" t="s">
        <v>221</v>
      </c>
      <c r="D200" s="2"/>
      <c r="E200" s="2">
        <v>1470</v>
      </c>
      <c r="F200" s="2">
        <v>-53993.7</v>
      </c>
    </row>
    <row r="201" s="1" customFormat="1" spans="1:6">
      <c r="A201" s="40">
        <v>46259</v>
      </c>
      <c r="B201" s="1" t="s">
        <v>73</v>
      </c>
      <c r="C201" s="1" t="s">
        <v>167</v>
      </c>
      <c r="D201" s="2"/>
      <c r="E201" s="2">
        <v>-2000</v>
      </c>
      <c r="F201" s="2">
        <v>-51993.7</v>
      </c>
    </row>
    <row r="202" s="1" customFormat="1" spans="1:6">
      <c r="A202" s="40">
        <v>46259</v>
      </c>
      <c r="B202" s="1" t="s">
        <v>73</v>
      </c>
      <c r="C202" s="1" t="s">
        <v>222</v>
      </c>
      <c r="D202" s="2"/>
      <c r="E202" s="2">
        <v>1019.48</v>
      </c>
      <c r="F202" s="2">
        <v>-53013.1800000001</v>
      </c>
    </row>
    <row r="203" s="1" customFormat="1" spans="1:6">
      <c r="A203" s="40">
        <v>46259</v>
      </c>
      <c r="B203" s="1" t="s">
        <v>73</v>
      </c>
      <c r="C203" s="1" t="s">
        <v>223</v>
      </c>
      <c r="D203" s="2"/>
      <c r="E203" s="2">
        <v>1019.48</v>
      </c>
      <c r="F203" s="2">
        <v>-54032.6600000001</v>
      </c>
    </row>
    <row r="204" s="1" customFormat="1" spans="1:6">
      <c r="A204" s="40">
        <v>46262</v>
      </c>
      <c r="B204" s="1" t="s">
        <v>73</v>
      </c>
      <c r="C204" s="1" t="s">
        <v>224</v>
      </c>
      <c r="D204" s="2">
        <v>650862.4</v>
      </c>
      <c r="E204" s="2"/>
      <c r="F204" s="2">
        <v>596829.74</v>
      </c>
    </row>
    <row r="205" s="1" customFormat="1" spans="1:6">
      <c r="A205" s="40">
        <v>46262</v>
      </c>
      <c r="B205" s="1" t="s">
        <v>73</v>
      </c>
      <c r="C205" s="1" t="s">
        <v>225</v>
      </c>
      <c r="D205" s="2">
        <v>51200</v>
      </c>
      <c r="E205" s="2"/>
      <c r="F205" s="2">
        <v>648029.74</v>
      </c>
    </row>
    <row r="206" s="1" customFormat="1" spans="1:6">
      <c r="A206" s="40">
        <v>46262</v>
      </c>
      <c r="B206" s="1" t="s">
        <v>73</v>
      </c>
      <c r="C206" s="1" t="s">
        <v>226</v>
      </c>
      <c r="D206" s="2"/>
      <c r="E206" s="2">
        <v>6000</v>
      </c>
      <c r="F206" s="2">
        <v>642029.74</v>
      </c>
    </row>
    <row r="207" s="1" customFormat="1" spans="1:6">
      <c r="A207" s="40">
        <v>46262</v>
      </c>
      <c r="B207" s="1" t="s">
        <v>73</v>
      </c>
      <c r="C207" s="1" t="s">
        <v>160</v>
      </c>
      <c r="D207" s="2"/>
      <c r="E207" s="2">
        <v>5000</v>
      </c>
      <c r="F207" s="2">
        <v>637029.74</v>
      </c>
    </row>
    <row r="208" s="1" customFormat="1" spans="1:6">
      <c r="A208" s="40">
        <v>46262</v>
      </c>
      <c r="B208" s="1" t="s">
        <v>73</v>
      </c>
      <c r="C208" s="1" t="s">
        <v>183</v>
      </c>
      <c r="D208" s="2"/>
      <c r="E208" s="2">
        <v>5000</v>
      </c>
      <c r="F208" s="2">
        <v>632029.74</v>
      </c>
    </row>
    <row r="209" s="1" customFormat="1" spans="1:6">
      <c r="A209" s="40">
        <v>46262</v>
      </c>
      <c r="B209" s="1" t="s">
        <v>73</v>
      </c>
      <c r="C209" s="1" t="s">
        <v>182</v>
      </c>
      <c r="D209" s="2"/>
      <c r="E209" s="2">
        <v>5000</v>
      </c>
      <c r="F209" s="2">
        <v>627029.74</v>
      </c>
    </row>
    <row r="210" s="1" customFormat="1" spans="1:6">
      <c r="A210" s="40">
        <v>46262</v>
      </c>
      <c r="B210" s="1" t="s">
        <v>73</v>
      </c>
      <c r="C210" s="1" t="s">
        <v>194</v>
      </c>
      <c r="D210" s="2"/>
      <c r="E210" s="2">
        <v>5000</v>
      </c>
      <c r="F210" s="2">
        <v>622029.74</v>
      </c>
    </row>
    <row r="211" s="1" customFormat="1" spans="1:6">
      <c r="A211" s="40">
        <v>46262</v>
      </c>
      <c r="B211" s="1" t="s">
        <v>73</v>
      </c>
      <c r="C211" s="1" t="s">
        <v>186</v>
      </c>
      <c r="D211" s="2"/>
      <c r="E211" s="2">
        <v>3000</v>
      </c>
      <c r="F211" s="2">
        <v>619029.74</v>
      </c>
    </row>
    <row r="212" s="1" customFormat="1" spans="1:6">
      <c r="A212" s="40">
        <v>46262</v>
      </c>
      <c r="B212" s="1" t="s">
        <v>73</v>
      </c>
      <c r="C212" s="1" t="s">
        <v>187</v>
      </c>
      <c r="D212" s="2"/>
      <c r="E212" s="2">
        <v>3000</v>
      </c>
      <c r="F212" s="2">
        <v>616029.74</v>
      </c>
    </row>
    <row r="213" s="1" customFormat="1" spans="1:6">
      <c r="A213" s="40">
        <v>46262</v>
      </c>
      <c r="B213" s="1" t="s">
        <v>73</v>
      </c>
      <c r="C213" s="1" t="s">
        <v>227</v>
      </c>
      <c r="D213" s="2"/>
      <c r="E213" s="2">
        <v>5000</v>
      </c>
      <c r="F213" s="2">
        <v>611029.74</v>
      </c>
    </row>
    <row r="214" s="1" customFormat="1" spans="1:6">
      <c r="A214" s="40">
        <v>46262</v>
      </c>
      <c r="B214" s="1" t="s">
        <v>73</v>
      </c>
      <c r="C214" s="1" t="s">
        <v>198</v>
      </c>
      <c r="D214" s="2"/>
      <c r="E214" s="2">
        <v>3000</v>
      </c>
      <c r="F214" s="2">
        <v>608029.74</v>
      </c>
    </row>
    <row r="215" s="1" customFormat="1" spans="1:6">
      <c r="A215" s="40">
        <v>46262</v>
      </c>
      <c r="B215" s="1" t="s">
        <v>73</v>
      </c>
      <c r="C215" s="1" t="s">
        <v>188</v>
      </c>
      <c r="D215" s="2"/>
      <c r="E215" s="2">
        <v>2000</v>
      </c>
      <c r="F215" s="2">
        <v>606029.74</v>
      </c>
    </row>
    <row r="216" s="1" customFormat="1" spans="1:6">
      <c r="A216" s="40">
        <v>46262</v>
      </c>
      <c r="B216" s="1" t="s">
        <v>73</v>
      </c>
      <c r="C216" s="1" t="s">
        <v>203</v>
      </c>
      <c r="D216" s="2"/>
      <c r="E216" s="2">
        <v>2000</v>
      </c>
      <c r="F216" s="2">
        <v>604029.74</v>
      </c>
    </row>
    <row r="217" s="1" customFormat="1" spans="1:6">
      <c r="A217" s="40">
        <v>46262</v>
      </c>
      <c r="B217" s="1" t="s">
        <v>73</v>
      </c>
      <c r="C217" s="1" t="s">
        <v>184</v>
      </c>
      <c r="D217" s="2"/>
      <c r="E217" s="2">
        <v>10000</v>
      </c>
      <c r="F217" s="2">
        <v>594029.74</v>
      </c>
    </row>
    <row r="218" s="1" customFormat="1" spans="1:6">
      <c r="A218" s="40">
        <v>46262</v>
      </c>
      <c r="B218" s="1" t="s">
        <v>73</v>
      </c>
      <c r="C218" s="1" t="s">
        <v>190</v>
      </c>
      <c r="D218" s="2"/>
      <c r="E218" s="2">
        <v>5000</v>
      </c>
      <c r="F218" s="2">
        <v>589029.74</v>
      </c>
    </row>
    <row r="219" s="1" customFormat="1" spans="1:6">
      <c r="A219" s="40">
        <v>46262</v>
      </c>
      <c r="B219" s="1" t="s">
        <v>73</v>
      </c>
      <c r="C219" s="1" t="s">
        <v>228</v>
      </c>
      <c r="D219" s="2"/>
      <c r="E219" s="2">
        <v>93.94</v>
      </c>
      <c r="F219" s="2">
        <v>588935.8</v>
      </c>
    </row>
    <row r="220" s="1" customFormat="1" spans="1:6">
      <c r="A220" s="40">
        <v>46262</v>
      </c>
      <c r="B220" s="1" t="s">
        <v>73</v>
      </c>
      <c r="C220" s="1" t="s">
        <v>229</v>
      </c>
      <c r="D220" s="2"/>
      <c r="E220" s="2">
        <v>962.93</v>
      </c>
      <c r="F220" s="2">
        <v>587972.87</v>
      </c>
    </row>
    <row r="221" s="1" customFormat="1" spans="1:6">
      <c r="A221" s="40">
        <v>46262</v>
      </c>
      <c r="B221" s="1" t="s">
        <v>73</v>
      </c>
      <c r="C221" s="1" t="s">
        <v>230</v>
      </c>
      <c r="D221" s="2"/>
      <c r="E221" s="2">
        <v>20000</v>
      </c>
      <c r="F221" s="2">
        <v>567972.87</v>
      </c>
    </row>
    <row r="222" s="1" customFormat="1" spans="1:6">
      <c r="A222" s="40">
        <v>46262</v>
      </c>
      <c r="B222" s="1" t="s">
        <v>73</v>
      </c>
      <c r="C222" s="1" t="s">
        <v>231</v>
      </c>
      <c r="D222" s="2"/>
      <c r="E222" s="2">
        <v>5000</v>
      </c>
      <c r="F222" s="2">
        <v>562972.87</v>
      </c>
    </row>
    <row r="223" s="1" customFormat="1" spans="1:6">
      <c r="A223" s="40">
        <v>46262</v>
      </c>
      <c r="B223" s="1" t="s">
        <v>73</v>
      </c>
      <c r="C223" s="1" t="s">
        <v>195</v>
      </c>
      <c r="D223" s="2"/>
      <c r="E223" s="2">
        <v>100000</v>
      </c>
      <c r="F223" s="2">
        <v>462972.87</v>
      </c>
    </row>
    <row r="224" s="1" customFormat="1" spans="1:6">
      <c r="A224" s="40">
        <v>46262</v>
      </c>
      <c r="B224" s="1" t="s">
        <v>73</v>
      </c>
      <c r="C224" s="1" t="s">
        <v>232</v>
      </c>
      <c r="D224" s="2"/>
      <c r="E224" s="2">
        <v>6000</v>
      </c>
      <c r="F224" s="2">
        <v>456972.87</v>
      </c>
    </row>
    <row r="225" s="1" customFormat="1" spans="1:6">
      <c r="A225" s="40">
        <v>46262</v>
      </c>
      <c r="B225" s="1" t="s">
        <v>73</v>
      </c>
      <c r="C225" s="1" t="s">
        <v>194</v>
      </c>
      <c r="D225" s="2"/>
      <c r="E225" s="2">
        <v>3000</v>
      </c>
      <c r="F225" s="2">
        <v>453972.87</v>
      </c>
    </row>
    <row r="226" s="1" customFormat="1" spans="1:6">
      <c r="A226" s="40">
        <v>46262</v>
      </c>
      <c r="B226" s="1" t="s">
        <v>73</v>
      </c>
      <c r="C226" s="1" t="s">
        <v>176</v>
      </c>
      <c r="D226" s="2"/>
      <c r="E226" s="2">
        <v>5000</v>
      </c>
      <c r="F226" s="2">
        <v>448972.87</v>
      </c>
    </row>
    <row r="227" s="1" customFormat="1" spans="1:6">
      <c r="A227" s="40">
        <v>46262</v>
      </c>
      <c r="B227" s="1" t="s">
        <v>73</v>
      </c>
      <c r="C227" s="1" t="s">
        <v>233</v>
      </c>
      <c r="D227" s="2"/>
      <c r="E227" s="2">
        <v>1600</v>
      </c>
      <c r="F227" s="2">
        <v>447372.87</v>
      </c>
    </row>
    <row r="228" s="1" customFormat="1" spans="1:6">
      <c r="A228" s="40">
        <v>46262</v>
      </c>
      <c r="B228" s="1" t="s">
        <v>73</v>
      </c>
      <c r="C228" s="1" t="s">
        <v>234</v>
      </c>
      <c r="D228" s="2"/>
      <c r="E228" s="2">
        <v>50000</v>
      </c>
      <c r="F228" s="2">
        <v>397372.87</v>
      </c>
    </row>
    <row r="229" s="1" customFormat="1" spans="1:6">
      <c r="A229" s="40">
        <v>46253</v>
      </c>
      <c r="B229" s="1" t="s">
        <v>83</v>
      </c>
      <c r="C229" s="1" t="s">
        <v>235</v>
      </c>
      <c r="D229" s="2"/>
      <c r="E229" s="2">
        <v>-1100</v>
      </c>
      <c r="F229" s="2">
        <v>398472.87</v>
      </c>
    </row>
    <row r="230" s="1" customFormat="1" spans="1:6">
      <c r="A230" s="40">
        <v>46255</v>
      </c>
      <c r="B230" s="1" t="s">
        <v>83</v>
      </c>
      <c r="C230" s="1" t="s">
        <v>218</v>
      </c>
      <c r="D230" s="2"/>
      <c r="E230" s="2">
        <v>1088.01</v>
      </c>
      <c r="F230" s="2">
        <v>397384.86</v>
      </c>
    </row>
    <row r="231" s="1" customFormat="1" spans="1:6">
      <c r="A231" s="40"/>
      <c r="D231" s="2"/>
      <c r="E231" s="2"/>
      <c r="F231" s="2">
        <v>397384.86</v>
      </c>
    </row>
    <row r="232" s="1" customFormat="1" spans="1:6">
      <c r="A232" s="40"/>
      <c r="D232" s="2"/>
      <c r="E232" s="2"/>
      <c r="F232" s="2">
        <v>397384.86</v>
      </c>
    </row>
    <row r="233" s="1" customFormat="1" spans="1:6">
      <c r="A233" s="40"/>
      <c r="D233" s="2"/>
      <c r="E233" s="2"/>
      <c r="F233" s="2">
        <v>397384.86</v>
      </c>
    </row>
    <row r="234" s="1" customFormat="1" spans="1:6">
      <c r="A234" s="40"/>
      <c r="D234" s="2"/>
      <c r="E234" s="2"/>
      <c r="F234" s="2">
        <v>397384.86</v>
      </c>
    </row>
    <row r="235" s="1" customFormat="1" spans="1:6">
      <c r="A235" s="40"/>
      <c r="D235" s="2"/>
      <c r="E235" s="2"/>
      <c r="F235" s="2">
        <v>397384.86</v>
      </c>
    </row>
    <row r="236" s="1" customFormat="1" spans="1:6">
      <c r="A236" s="40"/>
      <c r="D236" s="2"/>
      <c r="E236" s="2"/>
      <c r="F236" s="2">
        <v>397384.86</v>
      </c>
    </row>
    <row r="237" s="1" customFormat="1" spans="1:6">
      <c r="A237" s="40"/>
      <c r="D237" s="2"/>
      <c r="E237" s="2"/>
      <c r="F237" s="2">
        <v>397384.86</v>
      </c>
    </row>
    <row r="238" s="1" customFormat="1" spans="1:6">
      <c r="A238" s="40"/>
      <c r="D238" s="2"/>
      <c r="E238" s="2"/>
      <c r="F238" s="2">
        <v>397384.86</v>
      </c>
    </row>
    <row r="239" s="1" customFormat="1" spans="1:6">
      <c r="A239" s="40"/>
      <c r="D239" s="2"/>
      <c r="E239" s="2"/>
      <c r="F239" s="2">
        <v>397384.86</v>
      </c>
    </row>
    <row r="240" s="1" customFormat="1" spans="1:6">
      <c r="A240" s="40"/>
      <c r="D240" s="2"/>
      <c r="E240" s="2"/>
      <c r="F240" s="2">
        <v>397384.86</v>
      </c>
    </row>
    <row r="241" s="1" customFormat="1" spans="1:6">
      <c r="A241" s="40"/>
      <c r="D241" s="2"/>
      <c r="E241" s="2"/>
      <c r="F241" s="2">
        <v>397384.86</v>
      </c>
    </row>
    <row r="242" s="1" customFormat="1" spans="1:6">
      <c r="A242" s="40"/>
      <c r="D242" s="2"/>
      <c r="E242" s="2"/>
      <c r="F242" s="2">
        <v>397384.86</v>
      </c>
    </row>
    <row r="243" s="1" customFormat="1" spans="1:6">
      <c r="A243" s="40"/>
      <c r="D243" s="2"/>
      <c r="E243" s="2"/>
      <c r="F243" s="2">
        <v>397384.86</v>
      </c>
    </row>
    <row r="244" s="1" customFormat="1" spans="1:6">
      <c r="A244" s="40"/>
      <c r="D244" s="2"/>
      <c r="E244" s="2"/>
      <c r="F244" s="2">
        <v>397384.86</v>
      </c>
    </row>
    <row r="245" s="1" customFormat="1" spans="1:6">
      <c r="A245" s="40"/>
      <c r="D245" s="2"/>
      <c r="E245" s="2"/>
      <c r="F245" s="2">
        <v>397384.86</v>
      </c>
    </row>
    <row r="246" s="1" customFormat="1" spans="1:6">
      <c r="A246" s="40"/>
      <c r="D246" s="2"/>
      <c r="E246" s="2"/>
      <c r="F246" s="2">
        <v>397384.86</v>
      </c>
    </row>
    <row r="247" s="1" customFormat="1" spans="1:6">
      <c r="A247" s="40"/>
      <c r="D247" s="2"/>
      <c r="E247" s="2"/>
      <c r="F247" s="2">
        <v>397384.86</v>
      </c>
    </row>
    <row r="248" s="1" customFormat="1" spans="1:6">
      <c r="A248" s="40"/>
      <c r="D248" s="2"/>
      <c r="E248" s="2"/>
      <c r="F248" s="2">
        <v>397384.86</v>
      </c>
    </row>
    <row r="249" s="1" customFormat="1" spans="1:6">
      <c r="A249" s="40"/>
      <c r="D249" s="2"/>
      <c r="E249" s="2"/>
      <c r="F249" s="2">
        <v>397384.86</v>
      </c>
    </row>
    <row r="250" s="1" customFormat="1" spans="1:6">
      <c r="A250" s="40"/>
      <c r="D250" s="2"/>
      <c r="E250" s="2"/>
      <c r="F250" s="2">
        <v>397384.86</v>
      </c>
    </row>
    <row r="251" s="1" customFormat="1" spans="1:6">
      <c r="A251" s="40"/>
      <c r="D251" s="2"/>
      <c r="E251" s="2"/>
      <c r="F251" s="2">
        <v>397384.86</v>
      </c>
    </row>
    <row r="252" s="1" customFormat="1" spans="1:6">
      <c r="A252" s="40"/>
      <c r="D252" s="2"/>
      <c r="E252" s="2"/>
      <c r="F252" s="2">
        <v>397384.86</v>
      </c>
    </row>
    <row r="253" s="1" customFormat="1" spans="1:6">
      <c r="A253" s="40"/>
      <c r="D253" s="2"/>
      <c r="E253" s="2"/>
      <c r="F253" s="2">
        <v>397384.86</v>
      </c>
    </row>
    <row r="254" s="1" customFormat="1" spans="1:6">
      <c r="A254" s="40"/>
      <c r="D254" s="2"/>
      <c r="E254" s="2"/>
      <c r="F254" s="2">
        <v>397384.86</v>
      </c>
    </row>
    <row r="255" s="1" customFormat="1" spans="1:6">
      <c r="A255" s="40"/>
      <c r="D255" s="2"/>
      <c r="E255" s="2"/>
      <c r="F255" s="2">
        <v>397384.86</v>
      </c>
    </row>
    <row r="256" s="1" customFormat="1" spans="1:6">
      <c r="A256" s="40"/>
      <c r="D256" s="2"/>
      <c r="E256" s="2"/>
      <c r="F256" s="2">
        <v>397384.86</v>
      </c>
    </row>
    <row r="257" s="1" customFormat="1" spans="1:6">
      <c r="A257" s="40"/>
      <c r="D257" s="2"/>
      <c r="E257" s="2"/>
      <c r="F257" s="2">
        <v>397384.86</v>
      </c>
    </row>
    <row r="258" s="1" customFormat="1" spans="1:6">
      <c r="A258" s="40"/>
      <c r="D258" s="2"/>
      <c r="E258" s="2"/>
      <c r="F258" s="2">
        <v>397384.86</v>
      </c>
    </row>
    <row r="259" s="1" customFormat="1" spans="1:6">
      <c r="A259" s="40"/>
      <c r="D259" s="2"/>
      <c r="E259" s="2"/>
      <c r="F259" s="2">
        <v>397384.86</v>
      </c>
    </row>
    <row r="260" s="1" customFormat="1" spans="1:6">
      <c r="A260" s="40"/>
      <c r="D260" s="2"/>
      <c r="E260" s="2"/>
      <c r="F260" s="2">
        <v>397384.86</v>
      </c>
    </row>
    <row r="261" s="1" customFormat="1" spans="1:6">
      <c r="A261" s="40"/>
      <c r="D261" s="2"/>
      <c r="E261" s="2"/>
      <c r="F261" s="2">
        <v>397384.86</v>
      </c>
    </row>
    <row r="262" s="1" customFormat="1" spans="1:6">
      <c r="A262" s="40"/>
      <c r="D262" s="2"/>
      <c r="E262" s="2"/>
      <c r="F262" s="2">
        <v>397384.86</v>
      </c>
    </row>
    <row r="263" s="1" customFormat="1" spans="1:6">
      <c r="A263" s="40"/>
      <c r="D263" s="2"/>
      <c r="E263" s="2"/>
      <c r="F263" s="2">
        <v>397384.86</v>
      </c>
    </row>
    <row r="264" s="1" customFormat="1" spans="1:6">
      <c r="A264" s="40"/>
      <c r="D264" s="2"/>
      <c r="E264" s="2"/>
      <c r="F264" s="2">
        <v>397384.86</v>
      </c>
    </row>
    <row r="265" s="1" customFormat="1" spans="1:6">
      <c r="A265" s="40"/>
      <c r="D265" s="2"/>
      <c r="E265" s="2"/>
      <c r="F265" s="2">
        <v>397384.86</v>
      </c>
    </row>
    <row r="266" s="1" customFormat="1" spans="1:6">
      <c r="A266" s="40"/>
      <c r="D266" s="2"/>
      <c r="E266" s="2"/>
      <c r="F266" s="2">
        <v>397384.86</v>
      </c>
    </row>
    <row r="267" s="1" customFormat="1" spans="1:6">
      <c r="A267" s="40"/>
      <c r="D267" s="2"/>
      <c r="E267" s="2"/>
      <c r="F267" s="2">
        <v>397384.86</v>
      </c>
    </row>
    <row r="268" s="1" customFormat="1" spans="1:6">
      <c r="A268" s="40"/>
      <c r="D268" s="2"/>
      <c r="E268" s="2"/>
      <c r="F268" s="2">
        <v>397384.86</v>
      </c>
    </row>
    <row r="269" s="1" customFormat="1" spans="1:6">
      <c r="A269" s="40"/>
      <c r="D269" s="2"/>
      <c r="E269" s="2"/>
      <c r="F269" s="2">
        <v>397384.86</v>
      </c>
    </row>
    <row r="270" s="1" customFormat="1" spans="1:6">
      <c r="A270" s="40"/>
      <c r="D270" s="2"/>
      <c r="E270" s="2"/>
      <c r="F270" s="2">
        <v>397384.86</v>
      </c>
    </row>
    <row r="271" s="1" customFormat="1" spans="1:6">
      <c r="A271" s="40"/>
      <c r="D271" s="2"/>
      <c r="E271" s="2"/>
      <c r="F271" s="2">
        <v>397384.86</v>
      </c>
    </row>
    <row r="272" s="1" customFormat="1" spans="1:6">
      <c r="A272" s="40"/>
      <c r="D272" s="2"/>
      <c r="E272" s="2"/>
      <c r="F272" s="2">
        <v>397384.86</v>
      </c>
    </row>
    <row r="273" s="1" customFormat="1" spans="1:6">
      <c r="A273" s="40"/>
      <c r="D273" s="2"/>
      <c r="E273" s="2"/>
      <c r="F273" s="2">
        <v>397384.86</v>
      </c>
    </row>
    <row r="274" s="1" customFormat="1" spans="1:6">
      <c r="A274" s="40"/>
      <c r="D274" s="2"/>
      <c r="E274" s="2"/>
      <c r="F274" s="2">
        <v>397384.86</v>
      </c>
    </row>
    <row r="275" s="1" customFormat="1" spans="1:6">
      <c r="A275" s="40"/>
      <c r="D275" s="2"/>
      <c r="E275" s="2"/>
      <c r="F275" s="2">
        <v>397384.86</v>
      </c>
    </row>
    <row r="276" s="1" customFormat="1" spans="1:6">
      <c r="A276" s="40"/>
      <c r="D276" s="2"/>
      <c r="E276" s="2"/>
      <c r="F276" s="2">
        <v>397384.86</v>
      </c>
    </row>
    <row r="277" s="1" customFormat="1" spans="1:6">
      <c r="A277" s="40"/>
      <c r="D277" s="2"/>
      <c r="E277" s="2"/>
      <c r="F277" s="2">
        <v>397384.86</v>
      </c>
    </row>
    <row r="278" s="1" customFormat="1" spans="1:6">
      <c r="A278" s="40"/>
      <c r="D278" s="2"/>
      <c r="E278" s="2"/>
      <c r="F278" s="2">
        <v>397384.86</v>
      </c>
    </row>
    <row r="279" s="1" customFormat="1" spans="1:6">
      <c r="A279" s="40"/>
      <c r="D279" s="2"/>
      <c r="E279" s="2"/>
      <c r="F279" s="2">
        <v>397384.86</v>
      </c>
    </row>
    <row r="280" s="1" customFormat="1" spans="1:6">
      <c r="A280" s="40"/>
      <c r="D280" s="2"/>
      <c r="E280" s="2"/>
      <c r="F280" s="2">
        <v>397384.86</v>
      </c>
    </row>
    <row r="281" s="1" customFormat="1" spans="1:6">
      <c r="A281" s="40"/>
      <c r="D281" s="2"/>
      <c r="E281" s="2"/>
      <c r="F281" s="2">
        <v>397384.86</v>
      </c>
    </row>
    <row r="282" s="1" customFormat="1" spans="1:6">
      <c r="A282" s="40"/>
      <c r="D282" s="2"/>
      <c r="E282" s="2"/>
      <c r="F282" s="2">
        <v>397384.86</v>
      </c>
    </row>
    <row r="283" s="1" customFormat="1" spans="1:6">
      <c r="A283" s="40"/>
      <c r="D283" s="2"/>
      <c r="E283" s="2"/>
      <c r="F283" s="2">
        <v>397384.86</v>
      </c>
    </row>
    <row r="284" s="1" customFormat="1" spans="1:6">
      <c r="A284" s="40"/>
      <c r="D284" s="2"/>
      <c r="E284" s="2"/>
      <c r="F284" s="2">
        <v>397384.86</v>
      </c>
    </row>
    <row r="285" s="1" customFormat="1" spans="1:6">
      <c r="A285" s="40"/>
      <c r="D285" s="2"/>
      <c r="E285" s="2"/>
      <c r="F285" s="2">
        <v>397384.86</v>
      </c>
    </row>
    <row r="286" s="1" customFormat="1" spans="1:6">
      <c r="A286" s="40"/>
      <c r="D286" s="2"/>
      <c r="E286" s="2"/>
      <c r="F286" s="2">
        <v>397384.86</v>
      </c>
    </row>
    <row r="287" s="1" customFormat="1" spans="1:6">
      <c r="A287" s="40"/>
      <c r="D287" s="2"/>
      <c r="E287" s="2"/>
      <c r="F287" s="2">
        <v>397384.86</v>
      </c>
    </row>
    <row r="288" s="1" customFormat="1" spans="1:6">
      <c r="A288" s="40"/>
      <c r="D288" s="2"/>
      <c r="E288" s="2"/>
      <c r="F288" s="2">
        <v>397384.86</v>
      </c>
    </row>
    <row r="289" s="1" customFormat="1" spans="1:6">
      <c r="A289" s="40"/>
      <c r="D289" s="2"/>
      <c r="E289" s="2"/>
      <c r="F289" s="2">
        <v>397384.86</v>
      </c>
    </row>
    <row r="290" s="1" customFormat="1" spans="1:6">
      <c r="A290" s="40"/>
      <c r="D290" s="2"/>
      <c r="E290" s="2"/>
      <c r="F290" s="2">
        <v>397384.86</v>
      </c>
    </row>
    <row r="291" s="1" customFormat="1" spans="1:6">
      <c r="A291" s="40"/>
      <c r="D291" s="2"/>
      <c r="E291" s="2"/>
      <c r="F291" s="2">
        <v>397384.86</v>
      </c>
    </row>
    <row r="292" s="1" customFormat="1" spans="1:6">
      <c r="A292" s="40"/>
      <c r="D292" s="2"/>
      <c r="E292" s="2"/>
      <c r="F292" s="2">
        <v>397384.86</v>
      </c>
    </row>
    <row r="293" s="1" customFormat="1" spans="1:6">
      <c r="A293" s="40"/>
      <c r="D293" s="2"/>
      <c r="E293" s="2"/>
      <c r="F293" s="2">
        <v>397384.86</v>
      </c>
    </row>
    <row r="294" s="1" customFormat="1" spans="1:6">
      <c r="A294" s="40"/>
      <c r="D294" s="2"/>
      <c r="E294" s="2"/>
      <c r="F294" s="2">
        <v>397384.86</v>
      </c>
    </row>
    <row r="295" s="1" customFormat="1" spans="1:6">
      <c r="A295" s="40"/>
      <c r="D295" s="2"/>
      <c r="E295" s="2"/>
      <c r="F295" s="2">
        <v>397384.86</v>
      </c>
    </row>
    <row r="296" s="1" customFormat="1" spans="1:6">
      <c r="A296" s="40"/>
      <c r="D296" s="2"/>
      <c r="E296" s="2"/>
      <c r="F296" s="2">
        <v>397384.86</v>
      </c>
    </row>
    <row r="297" s="1" customFormat="1" spans="1:6">
      <c r="A297" s="40"/>
      <c r="D297" s="2"/>
      <c r="E297" s="2"/>
      <c r="F297" s="2">
        <v>397384.86</v>
      </c>
    </row>
    <row r="298" s="1" customFormat="1" spans="1:6">
      <c r="A298" s="40"/>
      <c r="D298" s="2"/>
      <c r="E298" s="2"/>
      <c r="F298" s="2">
        <v>397384.86</v>
      </c>
    </row>
    <row r="299" s="1" customFormat="1" spans="1:6">
      <c r="A299" s="40"/>
      <c r="D299" s="2"/>
      <c r="E299" s="2"/>
      <c r="F299" s="2">
        <v>397384.86</v>
      </c>
    </row>
    <row r="300" s="1" customFormat="1" spans="1:6">
      <c r="A300" s="40"/>
      <c r="D300" s="2"/>
      <c r="E300" s="2"/>
      <c r="F300" s="2">
        <v>397384.86</v>
      </c>
    </row>
    <row r="301" s="1" customFormat="1" spans="1:6">
      <c r="A301" s="40"/>
      <c r="D301" s="2"/>
      <c r="E301" s="2"/>
      <c r="F301" s="2">
        <v>397384.86</v>
      </c>
    </row>
    <row r="302" s="1" customFormat="1" spans="1:6">
      <c r="A302" s="40"/>
      <c r="D302" s="2"/>
      <c r="E302" s="2"/>
      <c r="F302" s="2">
        <v>397384.86</v>
      </c>
    </row>
    <row r="303" s="1" customFormat="1" spans="1:6">
      <c r="A303" s="40"/>
      <c r="D303" s="2"/>
      <c r="E303" s="2"/>
      <c r="F303" s="2">
        <v>397384.86</v>
      </c>
    </row>
    <row r="304" s="1" customFormat="1" spans="1:6">
      <c r="A304" s="40"/>
      <c r="D304" s="2"/>
      <c r="E304" s="2"/>
      <c r="F304" s="2">
        <v>397384.86</v>
      </c>
    </row>
    <row r="305" s="1" customFormat="1" spans="1:6">
      <c r="A305" s="40"/>
      <c r="D305" s="2"/>
      <c r="E305" s="2"/>
      <c r="F305" s="2">
        <v>397384.86</v>
      </c>
    </row>
    <row r="306" s="1" customFormat="1" spans="1:6">
      <c r="A306" s="40"/>
      <c r="D306" s="2"/>
      <c r="E306" s="2"/>
      <c r="F306" s="2">
        <v>397384.86</v>
      </c>
    </row>
    <row r="307" s="1" customFormat="1" spans="1:6">
      <c r="A307" s="40"/>
      <c r="D307" s="2"/>
      <c r="E307" s="2"/>
      <c r="F307" s="2">
        <v>397384.86</v>
      </c>
    </row>
    <row r="308" s="1" customFormat="1" spans="1:6">
      <c r="A308" s="40"/>
      <c r="D308" s="2"/>
      <c r="E308" s="2"/>
      <c r="F308" s="2">
        <v>397384.86</v>
      </c>
    </row>
    <row r="309" s="1" customFormat="1" spans="1:6">
      <c r="A309" s="40"/>
      <c r="D309" s="2"/>
      <c r="E309" s="2"/>
      <c r="F309" s="2">
        <v>397384.86</v>
      </c>
    </row>
    <row r="310" s="1" customFormat="1" spans="1:6">
      <c r="A310" s="40"/>
      <c r="D310" s="2"/>
      <c r="E310" s="2"/>
      <c r="F310" s="2">
        <v>397384.86</v>
      </c>
    </row>
    <row r="311" s="1" customFormat="1" spans="1:6">
      <c r="A311" s="40"/>
      <c r="D311" s="2"/>
      <c r="E311" s="2"/>
      <c r="F311" s="2">
        <v>397384.86</v>
      </c>
    </row>
    <row r="312" s="1" customFormat="1" spans="1:6">
      <c r="A312" s="40"/>
      <c r="D312" s="2"/>
      <c r="E312" s="2"/>
      <c r="F312" s="2">
        <v>397384.86</v>
      </c>
    </row>
    <row r="313" s="1" customFormat="1" spans="1:6">
      <c r="A313" s="40"/>
      <c r="D313" s="2"/>
      <c r="E313" s="2"/>
      <c r="F313" s="2">
        <v>397384.86</v>
      </c>
    </row>
    <row r="314" s="1" customFormat="1" spans="1:6">
      <c r="A314" s="40"/>
      <c r="D314" s="2"/>
      <c r="E314" s="2"/>
      <c r="F314" s="2">
        <v>397384.86</v>
      </c>
    </row>
    <row r="315" s="1" customFormat="1" spans="1:6">
      <c r="A315" s="40"/>
      <c r="D315" s="2"/>
      <c r="E315" s="2"/>
      <c r="F315" s="2">
        <v>397384.86</v>
      </c>
    </row>
    <row r="316" s="1" customFormat="1" spans="1:6">
      <c r="A316" s="40"/>
      <c r="D316" s="2"/>
      <c r="E316" s="2"/>
      <c r="F316" s="2">
        <v>397384.86</v>
      </c>
    </row>
    <row r="317" s="1" customFormat="1" spans="1:6">
      <c r="A317" s="40"/>
      <c r="D317" s="2"/>
      <c r="E317" s="2"/>
      <c r="F317" s="2">
        <v>397384.86</v>
      </c>
    </row>
    <row r="318" s="1" customFormat="1" spans="1:6">
      <c r="A318" s="40"/>
      <c r="D318" s="2"/>
      <c r="E318" s="2"/>
      <c r="F318" s="2">
        <v>397384.86</v>
      </c>
    </row>
    <row r="319" s="1" customFormat="1" spans="1:6">
      <c r="A319" s="40"/>
      <c r="D319" s="2"/>
      <c r="E319" s="2"/>
      <c r="F319" s="2">
        <v>397384.86</v>
      </c>
    </row>
    <row r="320" s="1" customFormat="1" spans="1:6">
      <c r="A320" s="40"/>
      <c r="D320" s="2"/>
      <c r="E320" s="2"/>
      <c r="F320" s="2">
        <v>397384.86</v>
      </c>
    </row>
    <row r="321" s="1" customFormat="1" spans="1:6">
      <c r="A321" s="40"/>
      <c r="D321" s="2"/>
      <c r="E321" s="2"/>
      <c r="F321" s="2">
        <v>397384.86</v>
      </c>
    </row>
    <row r="322" s="1" customFormat="1" spans="1:6">
      <c r="A322" s="40"/>
      <c r="D322" s="2"/>
      <c r="E322" s="2"/>
      <c r="F322" s="2">
        <v>397384.86</v>
      </c>
    </row>
    <row r="323" s="1" customFormat="1" spans="1:6">
      <c r="A323" s="40"/>
      <c r="D323" s="2"/>
      <c r="E323" s="2"/>
      <c r="F323" s="2">
        <v>397384.86</v>
      </c>
    </row>
    <row r="324" s="1" customFormat="1" spans="1:6">
      <c r="A324" s="40"/>
      <c r="D324" s="2"/>
      <c r="E324" s="2"/>
      <c r="F324" s="2">
        <v>397384.86</v>
      </c>
    </row>
    <row r="325" s="1" customFormat="1" spans="1:6">
      <c r="A325" s="40"/>
      <c r="D325" s="2"/>
      <c r="E325" s="2"/>
      <c r="F325" s="2">
        <v>397384.86</v>
      </c>
    </row>
    <row r="326" s="1" customFormat="1" spans="1:6">
      <c r="A326" s="40"/>
      <c r="D326" s="2"/>
      <c r="E326" s="2"/>
      <c r="F326" s="2">
        <v>397384.86</v>
      </c>
    </row>
    <row r="327" s="1" customFormat="1" spans="1:6">
      <c r="A327" s="40"/>
      <c r="D327" s="2"/>
      <c r="E327" s="2"/>
      <c r="F327" s="2">
        <v>397384.86</v>
      </c>
    </row>
    <row r="328" s="1" customFormat="1" spans="1:6">
      <c r="A328" s="40"/>
      <c r="D328" s="2"/>
      <c r="E328" s="2"/>
      <c r="F328" s="2">
        <v>397384.86</v>
      </c>
    </row>
    <row r="329" s="1" customFormat="1" spans="1:6">
      <c r="A329" s="40"/>
      <c r="D329" s="2"/>
      <c r="E329" s="2"/>
      <c r="F329" s="2">
        <v>397384.86</v>
      </c>
    </row>
    <row r="330" s="1" customFormat="1" spans="1:6">
      <c r="A330" s="40"/>
      <c r="D330" s="2"/>
      <c r="E330" s="2"/>
      <c r="F330" s="2">
        <v>397384.86</v>
      </c>
    </row>
    <row r="331" s="1" customFormat="1" spans="1:6">
      <c r="A331" s="40"/>
      <c r="D331" s="2"/>
      <c r="E331" s="2"/>
      <c r="F331" s="2">
        <v>397384.86</v>
      </c>
    </row>
    <row r="332" s="1" customFormat="1" spans="1:6">
      <c r="A332" s="40"/>
      <c r="D332" s="2"/>
      <c r="E332" s="2"/>
      <c r="F332" s="2">
        <v>397384.86</v>
      </c>
    </row>
    <row r="333" s="1" customFormat="1" spans="1:6">
      <c r="A333" s="40"/>
      <c r="D333" s="2"/>
      <c r="E333" s="2"/>
      <c r="F333" s="2">
        <v>397384.86</v>
      </c>
    </row>
    <row r="334" s="1" customFormat="1" spans="1:6">
      <c r="A334" s="40"/>
      <c r="D334" s="2"/>
      <c r="E334" s="2"/>
      <c r="F334" s="2">
        <v>397384.86</v>
      </c>
    </row>
    <row r="335" s="1" customFormat="1" spans="1:6">
      <c r="A335" s="40"/>
      <c r="D335" s="2"/>
      <c r="E335" s="2"/>
      <c r="F335" s="2">
        <v>397384.86</v>
      </c>
    </row>
    <row r="336" s="1" customFormat="1" spans="1:6">
      <c r="A336" s="40"/>
      <c r="D336" s="2"/>
      <c r="E336" s="2"/>
      <c r="F336" s="2">
        <v>397384.86</v>
      </c>
    </row>
    <row r="337" s="1" customFormat="1" spans="1:6">
      <c r="A337" s="40"/>
      <c r="D337" s="2"/>
      <c r="E337" s="2"/>
      <c r="F337" s="2">
        <v>397384.86</v>
      </c>
    </row>
    <row r="338" s="1" customFormat="1" spans="1:6">
      <c r="A338" s="40"/>
      <c r="D338" s="2"/>
      <c r="E338" s="2"/>
      <c r="F338" s="2">
        <v>397384.86</v>
      </c>
    </row>
    <row r="339" s="1" customFormat="1" spans="1:6">
      <c r="A339" s="40"/>
      <c r="D339" s="2"/>
      <c r="E339" s="2"/>
      <c r="F339" s="2">
        <v>397384.86</v>
      </c>
    </row>
    <row r="340" s="1" customFormat="1" spans="1:6">
      <c r="A340" s="40"/>
      <c r="D340" s="2"/>
      <c r="E340" s="2"/>
      <c r="F340" s="2">
        <v>397384.86</v>
      </c>
    </row>
    <row r="341" s="1" customFormat="1" spans="1:6">
      <c r="A341" s="40"/>
      <c r="D341" s="2"/>
      <c r="E341" s="2"/>
      <c r="F341" s="2">
        <v>397384.86</v>
      </c>
    </row>
    <row r="342" s="1" customFormat="1" spans="1:6">
      <c r="A342" s="40"/>
      <c r="D342" s="2"/>
      <c r="E342" s="2"/>
      <c r="F342" s="2">
        <v>397384.86</v>
      </c>
    </row>
    <row r="343" s="1" customFormat="1" spans="1:6">
      <c r="A343" s="40"/>
      <c r="D343" s="2"/>
      <c r="E343" s="2"/>
      <c r="F343" s="2">
        <v>397384.86</v>
      </c>
    </row>
    <row r="344" s="1" customFormat="1" spans="1:6">
      <c r="A344" s="40"/>
      <c r="D344" s="2"/>
      <c r="E344" s="2"/>
      <c r="F344" s="2">
        <v>397384.86</v>
      </c>
    </row>
    <row r="345" s="1" customFormat="1" spans="1:6">
      <c r="A345" s="40"/>
      <c r="D345" s="2"/>
      <c r="E345" s="2"/>
      <c r="F345" s="2">
        <v>397384.86</v>
      </c>
    </row>
    <row r="346" s="1" customFormat="1" spans="1:6">
      <c r="A346" s="40"/>
      <c r="D346" s="2"/>
      <c r="E346" s="2"/>
      <c r="F346" s="2">
        <v>397384.86</v>
      </c>
    </row>
    <row r="347" s="1" customFormat="1" spans="1:6">
      <c r="A347" s="40"/>
      <c r="D347" s="2"/>
      <c r="E347" s="2"/>
      <c r="F347" s="2">
        <v>397384.86</v>
      </c>
    </row>
    <row r="348" s="1" customFormat="1" spans="1:6">
      <c r="A348" s="40"/>
      <c r="D348" s="2"/>
      <c r="E348" s="2"/>
      <c r="F348" s="2">
        <v>397384.86</v>
      </c>
    </row>
    <row r="349" s="1" customFormat="1" spans="1:6">
      <c r="A349" s="40"/>
      <c r="D349" s="2"/>
      <c r="E349" s="2"/>
      <c r="F349" s="2">
        <v>397384.86</v>
      </c>
    </row>
    <row r="350" s="1" customFormat="1" spans="1:6">
      <c r="A350" s="40"/>
      <c r="D350" s="2"/>
      <c r="E350" s="2"/>
      <c r="F350" s="2">
        <v>397384.86</v>
      </c>
    </row>
    <row r="351" s="1" customFormat="1" spans="1:6">
      <c r="A351" s="40"/>
      <c r="D351" s="2"/>
      <c r="E351" s="2"/>
      <c r="F351" s="2">
        <v>397384.86</v>
      </c>
    </row>
    <row r="352" s="1" customFormat="1" spans="1:6">
      <c r="A352" s="40"/>
      <c r="D352" s="2"/>
      <c r="E352" s="2"/>
      <c r="F352" s="2">
        <v>397384.86</v>
      </c>
    </row>
    <row r="353" s="1" customFormat="1" spans="1:6">
      <c r="A353" s="40"/>
      <c r="D353" s="2"/>
      <c r="E353" s="2"/>
      <c r="F353" s="2">
        <v>397384.86</v>
      </c>
    </row>
    <row r="354" s="1" customFormat="1" spans="1:6">
      <c r="A354" s="40"/>
      <c r="D354" s="2"/>
      <c r="E354" s="2"/>
      <c r="F354" s="2">
        <v>397384.86</v>
      </c>
    </row>
    <row r="355" s="1" customFormat="1" spans="1:6">
      <c r="A355" s="40"/>
      <c r="D355" s="2"/>
      <c r="E355" s="2"/>
      <c r="F355" s="2">
        <v>397384.86</v>
      </c>
    </row>
    <row r="356" s="1" customFormat="1" spans="1:6">
      <c r="A356" s="40"/>
      <c r="D356" s="2"/>
      <c r="E356" s="2"/>
      <c r="F356" s="2">
        <v>397384.86</v>
      </c>
    </row>
    <row r="357" s="1" customFormat="1" spans="1:6">
      <c r="A357" s="40"/>
      <c r="D357" s="2"/>
      <c r="E357" s="2"/>
      <c r="F357" s="2">
        <v>397384.86</v>
      </c>
    </row>
    <row r="358" s="1" customFormat="1" spans="1:6">
      <c r="A358" s="40"/>
      <c r="D358" s="2"/>
      <c r="E358" s="2"/>
      <c r="F358" s="2">
        <v>397384.86</v>
      </c>
    </row>
    <row r="359" s="1" customFormat="1" spans="1:6">
      <c r="A359" s="40"/>
      <c r="D359" s="2"/>
      <c r="E359" s="2"/>
      <c r="F359" s="2">
        <v>397384.86</v>
      </c>
    </row>
    <row r="360" s="1" customFormat="1" spans="1:6">
      <c r="A360" s="40"/>
      <c r="D360" s="2"/>
      <c r="E360" s="2"/>
      <c r="F360" s="2">
        <v>397384.86</v>
      </c>
    </row>
    <row r="361" s="1" customFormat="1" spans="1:6">
      <c r="A361" s="40"/>
      <c r="D361" s="2"/>
      <c r="E361" s="2"/>
      <c r="F361" s="2">
        <v>397384.86</v>
      </c>
    </row>
    <row r="362" s="1" customFormat="1" spans="1:6">
      <c r="A362" s="40"/>
      <c r="D362" s="2"/>
      <c r="E362" s="2"/>
      <c r="F362" s="2">
        <v>397384.86</v>
      </c>
    </row>
    <row r="363" s="1" customFormat="1" spans="1:6">
      <c r="A363" s="40"/>
      <c r="D363" s="2"/>
      <c r="E363" s="2"/>
      <c r="F363" s="2">
        <v>397384.86</v>
      </c>
    </row>
    <row r="364" s="1" customFormat="1" spans="1:6">
      <c r="A364" s="40"/>
      <c r="D364" s="2"/>
      <c r="E364" s="2"/>
      <c r="F364" s="2">
        <v>397384.86</v>
      </c>
    </row>
    <row r="365" s="1" customFormat="1" spans="1:6">
      <c r="A365" s="40"/>
      <c r="D365" s="2"/>
      <c r="E365" s="2"/>
      <c r="F365" s="2">
        <v>397384.86</v>
      </c>
    </row>
    <row r="366" s="1" customFormat="1" spans="1:6">
      <c r="A366" s="40"/>
      <c r="D366" s="2"/>
      <c r="E366" s="2"/>
      <c r="F366" s="2">
        <v>397384.86</v>
      </c>
    </row>
    <row r="367" s="1" customFormat="1" spans="1:6">
      <c r="A367" s="40"/>
      <c r="D367" s="2"/>
      <c r="E367" s="2"/>
      <c r="F367" s="2">
        <v>397384.86</v>
      </c>
    </row>
    <row r="368" s="1" customFormat="1" spans="1:6">
      <c r="A368" s="40"/>
      <c r="D368" s="2"/>
      <c r="E368" s="2"/>
      <c r="F368" s="2">
        <v>397384.86</v>
      </c>
    </row>
    <row r="369" s="1" customFormat="1" spans="1:6">
      <c r="A369" s="40"/>
      <c r="D369" s="2"/>
      <c r="E369" s="2"/>
      <c r="F369" s="2">
        <v>397384.86</v>
      </c>
    </row>
    <row r="370" s="1" customFormat="1" spans="1:6">
      <c r="A370" s="40"/>
      <c r="D370" s="2"/>
      <c r="E370" s="2"/>
      <c r="F370" s="2">
        <v>397384.86</v>
      </c>
    </row>
    <row r="371" s="1" customFormat="1" spans="1:6">
      <c r="A371" s="40"/>
      <c r="D371" s="2"/>
      <c r="E371" s="2"/>
      <c r="F371" s="2">
        <v>397384.86</v>
      </c>
    </row>
    <row r="372" s="1" customFormat="1" spans="1:6">
      <c r="A372" s="40"/>
      <c r="D372" s="2"/>
      <c r="E372" s="2"/>
      <c r="F372" s="2">
        <v>397384.86</v>
      </c>
    </row>
    <row r="373" s="1" customFormat="1" spans="1:6">
      <c r="A373" s="40"/>
      <c r="D373" s="2"/>
      <c r="E373" s="2"/>
      <c r="F373" s="2">
        <v>397384.86</v>
      </c>
    </row>
    <row r="374" s="1" customFormat="1" spans="1:6">
      <c r="A374" s="40"/>
      <c r="D374" s="2"/>
      <c r="E374" s="2"/>
      <c r="F374" s="2">
        <v>397384.86</v>
      </c>
    </row>
    <row r="375" s="1" customFormat="1" spans="1:6">
      <c r="A375" s="40"/>
      <c r="D375" s="2"/>
      <c r="E375" s="2"/>
      <c r="F375" s="2">
        <v>397384.86</v>
      </c>
    </row>
    <row r="376" s="1" customFormat="1" spans="1:6">
      <c r="A376" s="40"/>
      <c r="D376" s="2"/>
      <c r="E376" s="2"/>
      <c r="F376" s="2">
        <v>397384.86</v>
      </c>
    </row>
    <row r="377" s="1" customFormat="1" spans="1:6">
      <c r="A377" s="40"/>
      <c r="D377" s="2"/>
      <c r="E377" s="2"/>
      <c r="F377" s="2">
        <v>397384.86</v>
      </c>
    </row>
    <row r="378" s="1" customFormat="1" spans="1:6">
      <c r="A378" s="40"/>
      <c r="D378" s="2"/>
      <c r="E378" s="2"/>
      <c r="F378" s="2">
        <v>397384.86</v>
      </c>
    </row>
    <row r="379" s="1" customFormat="1" spans="1:6">
      <c r="A379" s="40"/>
      <c r="D379" s="2"/>
      <c r="E379" s="2"/>
      <c r="F379" s="2">
        <v>397384.86</v>
      </c>
    </row>
    <row r="380" s="1" customFormat="1" spans="1:6">
      <c r="A380" s="40"/>
      <c r="D380" s="2"/>
      <c r="E380" s="2"/>
      <c r="F380" s="2">
        <v>397384.86</v>
      </c>
    </row>
    <row r="381" s="1" customFormat="1" spans="1:6">
      <c r="A381" s="40"/>
      <c r="D381" s="2"/>
      <c r="E381" s="2"/>
      <c r="F381" s="2">
        <v>397384.86</v>
      </c>
    </row>
    <row r="382" s="1" customFormat="1" spans="1:6">
      <c r="A382" s="40"/>
      <c r="D382" s="2"/>
      <c r="E382" s="2"/>
      <c r="F382" s="2">
        <v>397384.86</v>
      </c>
    </row>
    <row r="383" s="1" customFormat="1" spans="1:6">
      <c r="A383" s="40"/>
      <c r="D383" s="2"/>
      <c r="E383" s="2"/>
      <c r="F383" s="2">
        <v>397384.86</v>
      </c>
    </row>
    <row r="384" s="1" customFormat="1" spans="1:6">
      <c r="A384" s="40"/>
      <c r="D384" s="2"/>
      <c r="E384" s="2"/>
      <c r="F384" s="2">
        <v>397384.86</v>
      </c>
    </row>
    <row r="385" s="1" customFormat="1" spans="1:6">
      <c r="A385" s="40"/>
      <c r="D385" s="2"/>
      <c r="E385" s="2"/>
      <c r="F385" s="2">
        <v>397384.86</v>
      </c>
    </row>
    <row r="386" s="1" customFormat="1" spans="1:6">
      <c r="A386" s="40"/>
      <c r="D386" s="2"/>
      <c r="E386" s="2"/>
      <c r="F386" s="2">
        <v>397384.86</v>
      </c>
    </row>
    <row r="387" s="1" customFormat="1" spans="1:6">
      <c r="A387" s="40"/>
      <c r="D387" s="2"/>
      <c r="E387" s="2"/>
      <c r="F387" s="2">
        <v>397384.86</v>
      </c>
    </row>
    <row r="388" s="1" customFormat="1" spans="1:6">
      <c r="A388" s="40"/>
      <c r="D388" s="2"/>
      <c r="E388" s="2"/>
      <c r="F388" s="2">
        <v>397384.86</v>
      </c>
    </row>
    <row r="389" s="1" customFormat="1" spans="1:6">
      <c r="A389" s="40"/>
      <c r="D389" s="2"/>
      <c r="E389" s="2"/>
      <c r="F389" s="2">
        <v>397384.86</v>
      </c>
    </row>
    <row r="390" s="1" customFormat="1" spans="1:6">
      <c r="A390" s="40"/>
      <c r="D390" s="2"/>
      <c r="E390" s="2"/>
      <c r="F390" s="2">
        <v>397384.86</v>
      </c>
    </row>
    <row r="391" s="1" customFormat="1" spans="1:6">
      <c r="A391" s="40"/>
      <c r="D391" s="2"/>
      <c r="E391" s="2"/>
      <c r="F391" s="2">
        <v>397384.86</v>
      </c>
    </row>
    <row r="392" s="1" customFormat="1" spans="1:6">
      <c r="A392" s="40"/>
      <c r="D392" s="2"/>
      <c r="E392" s="2"/>
      <c r="F392" s="2">
        <v>397384.86</v>
      </c>
    </row>
    <row r="393" s="1" customFormat="1" spans="1:6">
      <c r="A393" s="40"/>
      <c r="D393" s="2"/>
      <c r="E393" s="2"/>
      <c r="F393" s="2">
        <v>397384.86</v>
      </c>
    </row>
    <row r="394" s="1" customFormat="1" spans="1:6">
      <c r="A394" s="40"/>
      <c r="D394" s="2"/>
      <c r="E394" s="2"/>
      <c r="F394" s="2">
        <v>397384.86</v>
      </c>
    </row>
    <row r="395" s="1" customFormat="1" spans="1:6">
      <c r="A395" s="40"/>
      <c r="D395" s="2"/>
      <c r="E395" s="2"/>
      <c r="F395" s="2">
        <v>397384.86</v>
      </c>
    </row>
    <row r="396" s="1" customFormat="1" spans="1:6">
      <c r="A396" s="40"/>
      <c r="D396" s="2"/>
      <c r="E396" s="2"/>
      <c r="F396" s="2">
        <v>397384.86</v>
      </c>
    </row>
    <row r="397" s="1" customFormat="1" spans="1:6">
      <c r="A397" s="40"/>
      <c r="D397" s="2"/>
      <c r="E397" s="2"/>
      <c r="F397" s="2">
        <v>397384.86</v>
      </c>
    </row>
    <row r="398" s="1" customFormat="1" spans="1:6">
      <c r="A398" s="40"/>
      <c r="D398" s="2"/>
      <c r="E398" s="2"/>
      <c r="F398" s="2">
        <v>397384.86</v>
      </c>
    </row>
    <row r="399" s="1" customFormat="1" spans="1:6">
      <c r="A399" s="40"/>
      <c r="D399" s="2"/>
      <c r="E399" s="2"/>
      <c r="F399" s="2">
        <v>397384.86</v>
      </c>
    </row>
    <row r="400" s="1" customFormat="1" spans="1:6">
      <c r="A400" s="40"/>
      <c r="D400" s="2"/>
      <c r="E400" s="2"/>
      <c r="F400" s="2">
        <v>397384.86</v>
      </c>
    </row>
    <row r="401" s="1" customFormat="1" spans="1:6">
      <c r="A401" s="40"/>
      <c r="D401" s="2"/>
      <c r="E401" s="2"/>
      <c r="F401" s="2">
        <v>397384.86</v>
      </c>
    </row>
    <row r="402" s="1" customFormat="1" spans="1:6">
      <c r="A402" s="40"/>
      <c r="D402" s="2"/>
      <c r="E402" s="2"/>
      <c r="F402" s="2">
        <v>397384.86</v>
      </c>
    </row>
    <row r="403" s="1" customFormat="1" spans="1:6">
      <c r="A403" s="40"/>
      <c r="D403" s="2"/>
      <c r="E403" s="2"/>
      <c r="F403" s="2">
        <v>397384.86</v>
      </c>
    </row>
    <row r="404" s="1" customFormat="1" spans="1:6">
      <c r="A404" s="40"/>
      <c r="D404" s="2"/>
      <c r="E404" s="2"/>
      <c r="F404" s="2">
        <v>397384.86</v>
      </c>
    </row>
    <row r="405" s="1" customFormat="1" spans="1:6">
      <c r="A405" s="40"/>
      <c r="D405" s="2"/>
      <c r="E405" s="2"/>
      <c r="F405" s="2">
        <v>397384.86</v>
      </c>
    </row>
    <row r="406" s="1" customFormat="1" spans="1:6">
      <c r="A406" s="40"/>
      <c r="D406" s="2"/>
      <c r="E406" s="2"/>
      <c r="F406" s="2">
        <v>397384.86</v>
      </c>
    </row>
    <row r="407" s="1" customFormat="1" spans="1:6">
      <c r="A407" s="40"/>
      <c r="D407" s="2"/>
      <c r="E407" s="2"/>
      <c r="F407" s="2">
        <v>397384.86</v>
      </c>
    </row>
    <row r="408" s="1" customFormat="1" spans="1:6">
      <c r="A408" s="40"/>
      <c r="D408" s="2"/>
      <c r="E408" s="2"/>
      <c r="F408" s="2">
        <v>397384.86</v>
      </c>
    </row>
    <row r="409" s="1" customFormat="1" spans="1:6">
      <c r="A409" s="40"/>
      <c r="D409" s="2"/>
      <c r="E409" s="2"/>
      <c r="F409" s="2">
        <v>397384.86</v>
      </c>
    </row>
    <row r="410" s="1" customFormat="1" spans="1:6">
      <c r="A410" s="40"/>
      <c r="D410" s="2"/>
      <c r="E410" s="2"/>
      <c r="F410" s="2">
        <v>397384.86</v>
      </c>
    </row>
    <row r="411" s="1" customFormat="1" spans="1:6">
      <c r="A411" s="40"/>
      <c r="D411" s="2"/>
      <c r="E411" s="2"/>
      <c r="F411" s="2">
        <v>397384.86</v>
      </c>
    </row>
    <row r="412" s="1" customFormat="1" spans="1:6">
      <c r="A412" s="40"/>
      <c r="D412" s="2"/>
      <c r="E412" s="2"/>
      <c r="F412" s="2">
        <v>397384.86</v>
      </c>
    </row>
    <row r="413" s="1" customFormat="1" spans="1:6">
      <c r="A413" s="40"/>
      <c r="D413" s="2"/>
      <c r="E413" s="2"/>
      <c r="F413" s="2">
        <v>397384.86</v>
      </c>
    </row>
    <row r="414" s="1" customFormat="1" spans="1:6">
      <c r="A414" s="40"/>
      <c r="D414" s="2"/>
      <c r="E414" s="2"/>
      <c r="F414" s="2">
        <v>397384.86</v>
      </c>
    </row>
    <row r="415" s="1" customFormat="1" spans="1:6">
      <c r="A415" s="40"/>
      <c r="D415" s="2"/>
      <c r="E415" s="2"/>
      <c r="F415" s="2">
        <v>397384.86</v>
      </c>
    </row>
    <row r="416" s="1" customFormat="1" spans="1:6">
      <c r="A416" s="40"/>
      <c r="D416" s="2"/>
      <c r="E416" s="2"/>
      <c r="F416" s="2">
        <v>397384.86</v>
      </c>
    </row>
    <row r="417" s="1" customFormat="1" spans="1:6">
      <c r="A417" s="40"/>
      <c r="D417" s="2"/>
      <c r="E417" s="2"/>
      <c r="F417" s="2">
        <v>397384.86</v>
      </c>
    </row>
    <row r="418" s="1" customFormat="1" spans="1:6">
      <c r="A418" s="40"/>
      <c r="D418" s="2"/>
      <c r="E418" s="2"/>
      <c r="F418" s="2">
        <v>397384.86</v>
      </c>
    </row>
    <row r="419" s="1" customFormat="1" spans="1:6">
      <c r="A419" s="40"/>
      <c r="D419" s="2"/>
      <c r="E419" s="2"/>
      <c r="F419" s="2">
        <v>397384.86</v>
      </c>
    </row>
    <row r="420" s="1" customFormat="1" spans="1:6">
      <c r="A420" s="40"/>
      <c r="D420" s="2"/>
      <c r="E420" s="2"/>
      <c r="F420" s="2">
        <v>397384.86</v>
      </c>
    </row>
    <row r="421" s="1" customFormat="1" spans="1:6">
      <c r="A421" s="40"/>
      <c r="D421" s="2"/>
      <c r="E421" s="2"/>
      <c r="F421" s="2">
        <v>397384.86</v>
      </c>
    </row>
    <row r="422" s="1" customFormat="1" spans="1:6">
      <c r="A422" s="40"/>
      <c r="D422" s="2"/>
      <c r="E422" s="2"/>
      <c r="F422" s="2">
        <v>397384.86</v>
      </c>
    </row>
    <row r="423" s="1" customFormat="1" spans="1:6">
      <c r="A423" s="40"/>
      <c r="D423" s="2"/>
      <c r="E423" s="2"/>
      <c r="F423" s="2">
        <v>397384.86</v>
      </c>
    </row>
    <row r="424" s="1" customFormat="1" spans="1:6">
      <c r="A424" s="40"/>
      <c r="D424" s="2"/>
      <c r="E424" s="2"/>
      <c r="F424" s="2">
        <v>397384.86</v>
      </c>
    </row>
    <row r="425" s="1" customFormat="1" spans="1:6">
      <c r="A425" s="40"/>
      <c r="D425" s="2"/>
      <c r="E425" s="2"/>
      <c r="F425" s="2">
        <v>397384.86</v>
      </c>
    </row>
    <row r="426" s="1" customFormat="1" spans="1:6">
      <c r="A426" s="40"/>
      <c r="D426" s="2"/>
      <c r="E426" s="2"/>
      <c r="F426" s="2">
        <v>397384.86</v>
      </c>
    </row>
    <row r="427" s="1" customFormat="1" spans="1:6">
      <c r="A427" s="40"/>
      <c r="D427" s="2"/>
      <c r="E427" s="2"/>
      <c r="F427" s="2">
        <v>397384.86</v>
      </c>
    </row>
    <row r="428" s="1" customFormat="1" spans="1:6">
      <c r="A428" s="40"/>
      <c r="D428" s="2"/>
      <c r="E428" s="2"/>
      <c r="F428" s="2">
        <v>397384.86</v>
      </c>
    </row>
    <row r="429" s="1" customFormat="1" spans="1:6">
      <c r="A429" s="40"/>
      <c r="D429" s="2"/>
      <c r="E429" s="2"/>
      <c r="F429" s="2">
        <v>397384.86</v>
      </c>
    </row>
    <row r="430" s="1" customFormat="1" spans="1:6">
      <c r="A430" s="40"/>
      <c r="D430" s="2"/>
      <c r="E430" s="2"/>
      <c r="F430" s="2">
        <v>397384.86</v>
      </c>
    </row>
    <row r="431" s="1" customFormat="1" spans="1:6">
      <c r="A431" s="40"/>
      <c r="D431" s="2"/>
      <c r="E431" s="2"/>
      <c r="F431" s="2">
        <v>397384.86</v>
      </c>
    </row>
    <row r="432" s="1" customFormat="1" spans="1:6">
      <c r="A432" s="40"/>
      <c r="D432" s="2"/>
      <c r="E432" s="2"/>
      <c r="F432" s="2">
        <v>397384.86</v>
      </c>
    </row>
    <row r="433" s="1" customFormat="1" spans="1:6">
      <c r="A433" s="40"/>
      <c r="D433" s="2"/>
      <c r="E433" s="2"/>
      <c r="F433" s="2">
        <v>397384.86</v>
      </c>
    </row>
    <row r="434" s="1" customFormat="1" spans="1:6">
      <c r="A434" s="40"/>
      <c r="D434" s="2"/>
      <c r="E434" s="2"/>
      <c r="F434" s="2">
        <v>397384.86</v>
      </c>
    </row>
    <row r="435" s="1" customFormat="1" spans="1:6">
      <c r="A435" s="40"/>
      <c r="D435" s="2"/>
      <c r="E435" s="2"/>
      <c r="F435" s="2">
        <v>397384.86</v>
      </c>
    </row>
    <row r="436" s="1" customFormat="1" spans="1:6">
      <c r="A436" s="40"/>
      <c r="D436" s="2"/>
      <c r="E436" s="2"/>
      <c r="F436" s="2">
        <v>397384.86</v>
      </c>
    </row>
    <row r="437" s="1" customFormat="1" spans="1:6">
      <c r="A437" s="40"/>
      <c r="D437" s="2"/>
      <c r="E437" s="2"/>
      <c r="F437" s="2">
        <v>397384.86</v>
      </c>
    </row>
    <row r="438" s="1" customFormat="1" spans="1:6">
      <c r="A438" s="40"/>
      <c r="D438" s="2"/>
      <c r="E438" s="2"/>
      <c r="F438" s="2">
        <v>397384.86</v>
      </c>
    </row>
    <row r="439" s="1" customFormat="1" spans="1:6">
      <c r="A439" s="40"/>
      <c r="D439" s="2"/>
      <c r="E439" s="2"/>
      <c r="F439" s="2">
        <v>397384.86</v>
      </c>
    </row>
    <row r="440" s="1" customFormat="1" spans="1:6">
      <c r="A440" s="40"/>
      <c r="D440" s="2"/>
      <c r="E440" s="2"/>
      <c r="F440" s="2">
        <v>397384.86</v>
      </c>
    </row>
    <row r="441" s="1" customFormat="1" spans="1:6">
      <c r="A441" s="40"/>
      <c r="D441" s="2"/>
      <c r="E441" s="2"/>
      <c r="F441" s="2">
        <v>397384.86</v>
      </c>
    </row>
    <row r="442" s="1" customFormat="1" spans="1:6">
      <c r="A442" s="40"/>
      <c r="D442" s="2"/>
      <c r="E442" s="2"/>
      <c r="F442" s="2">
        <v>397384.86</v>
      </c>
    </row>
    <row r="443" s="1" customFormat="1" spans="1:6">
      <c r="A443" s="40"/>
      <c r="D443" s="2"/>
      <c r="E443" s="2"/>
      <c r="F443" s="2">
        <v>397384.86</v>
      </c>
    </row>
    <row r="444" s="1" customFormat="1" spans="1:6">
      <c r="A444" s="40"/>
      <c r="D444" s="2"/>
      <c r="E444" s="2"/>
      <c r="F444" s="2">
        <v>397384.86</v>
      </c>
    </row>
    <row r="445" s="1" customFormat="1" spans="1:6">
      <c r="A445" s="40"/>
      <c r="D445" s="2"/>
      <c r="E445" s="2"/>
      <c r="F445" s="2">
        <v>397384.86</v>
      </c>
    </row>
    <row r="446" s="1" customFormat="1" spans="1:6">
      <c r="A446" s="40"/>
      <c r="D446" s="2"/>
      <c r="E446" s="2"/>
      <c r="F446" s="2">
        <v>397384.86</v>
      </c>
    </row>
    <row r="447" s="1" customFormat="1" spans="1:6">
      <c r="A447" s="40"/>
      <c r="D447" s="2"/>
      <c r="E447" s="2"/>
      <c r="F447" s="2">
        <v>397384.86</v>
      </c>
    </row>
    <row r="448" s="1" customFormat="1" spans="1:6">
      <c r="A448" s="40"/>
      <c r="D448" s="2"/>
      <c r="E448" s="2"/>
      <c r="F448" s="2">
        <v>397384.86</v>
      </c>
    </row>
    <row r="449" s="1" customFormat="1" spans="1:6">
      <c r="A449" s="40"/>
      <c r="D449" s="2"/>
      <c r="E449" s="2"/>
      <c r="F449" s="2">
        <v>397384.86</v>
      </c>
    </row>
    <row r="450" s="1" customFormat="1" spans="1:6">
      <c r="A450" s="40"/>
      <c r="D450" s="2"/>
      <c r="E450" s="2"/>
      <c r="F450" s="2">
        <v>397384.86</v>
      </c>
    </row>
    <row r="451" s="1" customFormat="1" spans="1:6">
      <c r="A451" s="40"/>
      <c r="D451" s="2"/>
      <c r="E451" s="2"/>
      <c r="F451" s="2">
        <v>397384.86</v>
      </c>
    </row>
    <row r="452" s="1" customFormat="1" spans="1:6">
      <c r="A452" s="40"/>
      <c r="D452" s="2"/>
      <c r="E452" s="2"/>
      <c r="F452" s="2">
        <v>397384.86</v>
      </c>
    </row>
    <row r="453" s="1" customFormat="1" spans="1:6">
      <c r="A453" s="40"/>
      <c r="D453" s="2"/>
      <c r="E453" s="2"/>
      <c r="F453" s="2">
        <v>397384.86</v>
      </c>
    </row>
    <row r="454" s="1" customFormat="1" spans="1:6">
      <c r="A454" s="40"/>
      <c r="D454" s="2"/>
      <c r="E454" s="2"/>
      <c r="F454" s="2">
        <v>397384.86</v>
      </c>
    </row>
    <row r="455" s="1" customFormat="1" spans="1:6">
      <c r="A455" s="40"/>
      <c r="D455" s="2"/>
      <c r="E455" s="2"/>
      <c r="F455" s="2">
        <v>397384.86</v>
      </c>
    </row>
    <row r="456" s="1" customFormat="1" spans="1:6">
      <c r="A456" s="40"/>
      <c r="D456" s="2"/>
      <c r="E456" s="2"/>
      <c r="F456" s="2">
        <v>397384.86</v>
      </c>
    </row>
    <row r="457" s="1" customFormat="1" spans="1:6">
      <c r="A457" s="40"/>
      <c r="D457" s="2"/>
      <c r="E457" s="2"/>
      <c r="F457" s="2">
        <v>397384.86</v>
      </c>
    </row>
    <row r="458" s="1" customFormat="1" spans="1:6">
      <c r="A458" s="40"/>
      <c r="D458" s="2"/>
      <c r="E458" s="2"/>
      <c r="F458" s="2">
        <v>397384.86</v>
      </c>
    </row>
    <row r="459" s="1" customFormat="1" spans="1:6">
      <c r="A459" s="40"/>
      <c r="D459" s="2"/>
      <c r="E459" s="2"/>
      <c r="F459" s="2">
        <v>397384.86</v>
      </c>
    </row>
    <row r="460" s="1" customFormat="1" spans="1:6">
      <c r="A460" s="40"/>
      <c r="D460" s="2"/>
      <c r="E460" s="2"/>
      <c r="F460" s="2">
        <v>397384.86</v>
      </c>
    </row>
    <row r="461" s="1" customFormat="1" spans="1:6">
      <c r="A461" s="40"/>
      <c r="D461" s="2"/>
      <c r="E461" s="2"/>
      <c r="F461" s="2">
        <v>397384.86</v>
      </c>
    </row>
    <row r="462" s="1" customFormat="1" spans="1:6">
      <c r="A462" s="40"/>
      <c r="D462" s="2"/>
      <c r="E462" s="2"/>
      <c r="F462" s="2">
        <v>397384.86</v>
      </c>
    </row>
    <row r="463" s="1" customFormat="1" spans="1:6">
      <c r="A463" s="40"/>
      <c r="D463" s="2"/>
      <c r="E463" s="2"/>
      <c r="F463" s="2">
        <v>397384.86</v>
      </c>
    </row>
    <row r="464" s="1" customFormat="1" spans="1:6">
      <c r="A464" s="40"/>
      <c r="D464" s="2"/>
      <c r="E464" s="2"/>
      <c r="F464" s="2">
        <v>397384.86</v>
      </c>
    </row>
    <row r="465" s="1" customFormat="1" spans="1:6">
      <c r="A465" s="40"/>
      <c r="D465" s="2"/>
      <c r="E465" s="2"/>
      <c r="F465" s="2">
        <v>397384.86</v>
      </c>
    </row>
    <row r="466" s="1" customFormat="1" spans="1:6">
      <c r="A466" s="40"/>
      <c r="D466" s="2"/>
      <c r="E466" s="2"/>
      <c r="F466" s="2">
        <v>397384.86</v>
      </c>
    </row>
    <row r="467" s="1" customFormat="1" spans="1:6">
      <c r="A467" s="40"/>
      <c r="D467" s="2"/>
      <c r="E467" s="2"/>
      <c r="F467" s="2">
        <v>397384.86</v>
      </c>
    </row>
    <row r="468" s="1" customFormat="1" spans="1:6">
      <c r="A468" s="40"/>
      <c r="D468" s="2"/>
      <c r="E468" s="2"/>
      <c r="F468" s="2">
        <v>397384.86</v>
      </c>
    </row>
    <row r="469" s="1" customFormat="1" spans="1:6">
      <c r="A469" s="40"/>
      <c r="D469" s="2"/>
      <c r="E469" s="2"/>
      <c r="F469" s="2">
        <v>397384.86</v>
      </c>
    </row>
    <row r="470" s="1" customFormat="1" spans="1:6">
      <c r="A470" s="40"/>
      <c r="D470" s="2"/>
      <c r="E470" s="2"/>
      <c r="F470" s="2">
        <v>397384.86</v>
      </c>
    </row>
    <row r="471" s="1" customFormat="1" spans="1:6">
      <c r="A471" s="40"/>
      <c r="D471" s="2"/>
      <c r="E471" s="2"/>
      <c r="F471" s="2">
        <v>397384.86</v>
      </c>
    </row>
    <row r="472" s="1" customFormat="1" spans="1:6">
      <c r="A472" s="40"/>
      <c r="D472" s="2"/>
      <c r="E472" s="2"/>
      <c r="F472" s="2">
        <v>397384.86</v>
      </c>
    </row>
    <row r="473" s="1" customFormat="1" spans="1:6">
      <c r="A473" s="40"/>
      <c r="D473" s="2"/>
      <c r="E473" s="2"/>
      <c r="F473" s="2">
        <v>397384.86</v>
      </c>
    </row>
    <row r="474" s="1" customFormat="1" spans="1:6">
      <c r="A474" s="40"/>
      <c r="D474" s="2"/>
      <c r="E474" s="2"/>
      <c r="F474" s="2">
        <v>397384.86</v>
      </c>
    </row>
    <row r="475" s="1" customFormat="1" spans="1:6">
      <c r="A475" s="40"/>
      <c r="D475" s="2"/>
      <c r="E475" s="2"/>
      <c r="F475" s="2">
        <v>397384.86</v>
      </c>
    </row>
    <row r="476" s="1" customFormat="1" spans="1:6">
      <c r="A476" s="40"/>
      <c r="D476" s="2"/>
      <c r="E476" s="2"/>
      <c r="F476" s="2">
        <v>397384.86</v>
      </c>
    </row>
    <row r="477" s="1" customFormat="1" spans="1:6">
      <c r="A477" s="40"/>
      <c r="D477" s="2"/>
      <c r="E477" s="2"/>
      <c r="F477" s="2">
        <v>397384.86</v>
      </c>
    </row>
    <row r="478" s="1" customFormat="1" spans="1:6">
      <c r="A478" s="40"/>
      <c r="D478" s="2"/>
      <c r="E478" s="2"/>
      <c r="F478" s="2">
        <v>397384.86</v>
      </c>
    </row>
    <row r="479" s="1" customFormat="1" spans="1:6">
      <c r="A479" s="40"/>
      <c r="D479" s="2"/>
      <c r="E479" s="2"/>
      <c r="F479" s="2">
        <v>397384.86</v>
      </c>
    </row>
    <row r="480" s="1" customFormat="1" spans="1:6">
      <c r="A480" s="40"/>
      <c r="D480" s="2"/>
      <c r="E480" s="2"/>
      <c r="F480" s="2">
        <v>397384.86</v>
      </c>
    </row>
    <row r="481" s="1" customFormat="1" spans="1:6">
      <c r="A481" s="40"/>
      <c r="D481" s="2"/>
      <c r="E481" s="2"/>
      <c r="F481" s="2">
        <v>397384.86</v>
      </c>
    </row>
    <row r="482" s="1" customFormat="1" spans="1:6">
      <c r="A482" s="40"/>
      <c r="D482" s="2"/>
      <c r="E482" s="2"/>
      <c r="F482" s="2">
        <v>397384.86</v>
      </c>
    </row>
    <row r="483" s="1" customFormat="1" spans="1:6">
      <c r="A483" s="40"/>
      <c r="D483" s="2"/>
      <c r="E483" s="2"/>
      <c r="F483" s="2">
        <v>397384.86</v>
      </c>
    </row>
    <row r="484" s="1" customFormat="1" spans="1:6">
      <c r="A484" s="40"/>
      <c r="D484" s="2"/>
      <c r="E484" s="2"/>
      <c r="F484" s="2">
        <v>397384.86</v>
      </c>
    </row>
    <row r="485" s="1" customFormat="1" spans="1:6">
      <c r="A485" s="40"/>
      <c r="D485" s="2"/>
      <c r="E485" s="2"/>
      <c r="F485" s="2">
        <v>397384.86</v>
      </c>
    </row>
    <row r="486" s="1" customFormat="1" spans="1:6">
      <c r="A486" s="40"/>
      <c r="D486" s="2"/>
      <c r="E486" s="2"/>
      <c r="F486" s="2">
        <v>397384.86</v>
      </c>
    </row>
    <row r="487" s="1" customFormat="1" spans="1:6">
      <c r="A487" s="40"/>
      <c r="D487" s="2"/>
      <c r="E487" s="2"/>
      <c r="F487" s="2">
        <v>397384.86</v>
      </c>
    </row>
    <row r="488" s="1" customFormat="1" spans="1:6">
      <c r="A488" s="40"/>
      <c r="D488" s="2"/>
      <c r="E488" s="2"/>
      <c r="F488" s="2">
        <v>397384.86</v>
      </c>
    </row>
    <row r="489" s="1" customFormat="1" spans="1:6">
      <c r="A489" s="40"/>
      <c r="D489" s="2"/>
      <c r="E489" s="2"/>
      <c r="F489" s="2">
        <v>397384.86</v>
      </c>
    </row>
    <row r="490" s="1" customFormat="1" spans="1:6">
      <c r="A490" s="40"/>
      <c r="D490" s="2"/>
      <c r="E490" s="2"/>
      <c r="F490" s="2">
        <v>397384.86</v>
      </c>
    </row>
    <row r="491" s="1" customFormat="1" spans="1:6">
      <c r="A491" s="40"/>
      <c r="D491" s="2"/>
      <c r="E491" s="2"/>
      <c r="F491" s="2">
        <v>397384.86</v>
      </c>
    </row>
    <row r="492" s="1" customFormat="1" spans="1:6">
      <c r="A492" s="40"/>
      <c r="D492" s="2"/>
      <c r="E492" s="2"/>
      <c r="F492" s="2">
        <v>397384.86</v>
      </c>
    </row>
    <row r="493" s="1" customFormat="1" spans="1:6">
      <c r="A493" s="40"/>
      <c r="D493" s="2"/>
      <c r="E493" s="2"/>
      <c r="F493" s="2">
        <v>397384.86</v>
      </c>
    </row>
    <row r="494" s="1" customFormat="1" spans="1:6">
      <c r="A494" s="40"/>
      <c r="D494" s="2"/>
      <c r="E494" s="2"/>
      <c r="F494" s="2">
        <v>397384.86</v>
      </c>
    </row>
    <row r="495" s="1" customFormat="1" spans="1:6">
      <c r="A495" s="40"/>
      <c r="D495" s="2"/>
      <c r="E495" s="2"/>
      <c r="F495" s="2">
        <v>397384.86</v>
      </c>
    </row>
    <row r="496" s="1" customFormat="1" spans="1:6">
      <c r="A496" s="40"/>
      <c r="D496" s="2"/>
      <c r="E496" s="2"/>
      <c r="F496" s="2">
        <v>397384.86</v>
      </c>
    </row>
    <row r="497" s="1" customFormat="1" spans="1:6">
      <c r="A497" s="40"/>
      <c r="D497" s="2"/>
      <c r="E497" s="2"/>
      <c r="F497" s="2">
        <v>397384.86</v>
      </c>
    </row>
    <row r="498" s="1" customFormat="1" spans="1:6">
      <c r="A498" s="40"/>
      <c r="D498" s="2"/>
      <c r="E498" s="2"/>
      <c r="F498" s="2">
        <v>397384.86</v>
      </c>
    </row>
    <row r="499" s="1" customFormat="1" spans="1:6">
      <c r="A499" s="40"/>
      <c r="D499" s="2"/>
      <c r="E499" s="2"/>
      <c r="F499" s="2">
        <v>397384.86</v>
      </c>
    </row>
    <row r="500" s="1" customFormat="1" spans="1:6">
      <c r="A500" s="40"/>
      <c r="D500" s="2"/>
      <c r="E500" s="2"/>
      <c r="F500" s="2">
        <v>397384.86</v>
      </c>
    </row>
    <row r="501" s="1" customFormat="1" spans="1:6">
      <c r="A501" s="40"/>
      <c r="D501" s="2"/>
      <c r="E501" s="2"/>
      <c r="F501" s="2">
        <v>397384.86</v>
      </c>
    </row>
    <row r="502" s="1" customFormat="1" spans="1:6">
      <c r="A502" s="40"/>
      <c r="D502" s="2"/>
      <c r="E502" s="2"/>
      <c r="F502" s="2">
        <v>397384.86</v>
      </c>
    </row>
    <row r="503" s="1" customFormat="1" spans="1:6">
      <c r="A503" s="40"/>
      <c r="D503" s="2"/>
      <c r="E503" s="2"/>
      <c r="F503" s="2">
        <v>397384.86</v>
      </c>
    </row>
    <row r="504" s="1" customFormat="1" spans="1:6">
      <c r="A504" s="40"/>
      <c r="D504" s="2"/>
      <c r="E504" s="2"/>
      <c r="F504" s="2">
        <v>397384.86</v>
      </c>
    </row>
    <row r="505" s="1" customFormat="1" spans="1:6">
      <c r="A505" s="40"/>
      <c r="D505" s="2"/>
      <c r="E505" s="2"/>
      <c r="F505" s="2">
        <v>397384.86</v>
      </c>
    </row>
    <row r="506" s="1" customFormat="1" spans="1:6">
      <c r="A506" s="40"/>
      <c r="D506" s="2"/>
      <c r="E506" s="2"/>
      <c r="F506" s="2">
        <v>397384.86</v>
      </c>
    </row>
    <row r="507" s="1" customFormat="1" spans="1:6">
      <c r="A507" s="40"/>
      <c r="D507" s="2"/>
      <c r="E507" s="2"/>
      <c r="F507" s="2">
        <v>397384.86</v>
      </c>
    </row>
    <row r="508" s="1" customFormat="1" spans="1:6">
      <c r="A508" s="40"/>
      <c r="D508" s="2"/>
      <c r="E508" s="2"/>
      <c r="F508" s="2">
        <v>397384.86</v>
      </c>
    </row>
    <row r="509" s="1" customFormat="1" spans="1:6">
      <c r="A509" s="40"/>
      <c r="D509" s="2"/>
      <c r="E509" s="2"/>
      <c r="F509" s="2">
        <v>397384.86</v>
      </c>
    </row>
    <row r="510" s="1" customFormat="1" spans="1:6">
      <c r="A510" s="40"/>
      <c r="D510" s="2"/>
      <c r="E510" s="2"/>
      <c r="F510" s="2">
        <v>397384.86</v>
      </c>
    </row>
    <row r="511" s="1" customFormat="1" spans="1:6">
      <c r="A511" s="40"/>
      <c r="D511" s="2"/>
      <c r="E511" s="2"/>
      <c r="F511" s="2">
        <v>397384.86</v>
      </c>
    </row>
    <row r="512" s="1" customFormat="1" spans="1:6">
      <c r="A512" s="40"/>
      <c r="D512" s="2"/>
      <c r="E512" s="2"/>
      <c r="F512" s="2">
        <v>397384.86</v>
      </c>
    </row>
    <row r="513" s="1" customFormat="1" spans="1:6">
      <c r="A513" s="40"/>
      <c r="D513" s="2"/>
      <c r="E513" s="2"/>
      <c r="F513" s="2">
        <v>397384.86</v>
      </c>
    </row>
    <row r="514" s="1" customFormat="1" spans="1:6">
      <c r="A514" s="40"/>
      <c r="D514" s="2"/>
      <c r="E514" s="2"/>
      <c r="F514" s="2">
        <v>397384.86</v>
      </c>
    </row>
    <row r="515" s="1" customFormat="1" spans="1:6">
      <c r="A515" s="40"/>
      <c r="D515" s="2"/>
      <c r="E515" s="2"/>
      <c r="F515" s="2">
        <v>397384.86</v>
      </c>
    </row>
    <row r="516" s="1" customFormat="1" spans="1:6">
      <c r="A516" s="40"/>
      <c r="D516" s="2"/>
      <c r="E516" s="2"/>
      <c r="F516" s="2">
        <v>397384.86</v>
      </c>
    </row>
    <row r="517" s="1" customFormat="1" spans="1:6">
      <c r="A517" s="40"/>
      <c r="D517" s="2"/>
      <c r="E517" s="2"/>
      <c r="F517" s="2">
        <v>397384.86</v>
      </c>
    </row>
    <row r="518" s="1" customFormat="1" spans="1:6">
      <c r="A518" s="40"/>
      <c r="D518" s="2"/>
      <c r="E518" s="2"/>
      <c r="F518" s="2">
        <v>397384.86</v>
      </c>
    </row>
    <row r="519" s="1" customFormat="1" spans="1:6">
      <c r="A519" s="40"/>
      <c r="D519" s="2"/>
      <c r="E519" s="2"/>
      <c r="F519" s="2">
        <v>397384.86</v>
      </c>
    </row>
    <row r="520" s="1" customFormat="1" spans="1:6">
      <c r="A520" s="40"/>
      <c r="D520" s="2"/>
      <c r="E520" s="2"/>
      <c r="F520" s="2">
        <v>397384.86</v>
      </c>
    </row>
    <row r="521" s="1" customFormat="1" spans="1:6">
      <c r="A521" s="40"/>
      <c r="D521" s="2"/>
      <c r="E521" s="2"/>
      <c r="F521" s="2">
        <v>397384.86</v>
      </c>
    </row>
    <row r="522" s="1" customFormat="1" spans="1:6">
      <c r="A522" s="40"/>
      <c r="D522" s="2"/>
      <c r="E522" s="2"/>
      <c r="F522" s="2">
        <v>397384.86</v>
      </c>
    </row>
    <row r="523" s="1" customFormat="1" spans="1:6">
      <c r="A523" s="40"/>
      <c r="D523" s="2"/>
      <c r="E523" s="2"/>
      <c r="F523" s="2">
        <v>397384.86</v>
      </c>
    </row>
    <row r="524" s="1" customFormat="1" spans="1:6">
      <c r="A524" s="40"/>
      <c r="D524" s="2"/>
      <c r="E524" s="2"/>
      <c r="F524" s="2">
        <v>397384.86</v>
      </c>
    </row>
    <row r="525" s="1" customFormat="1" spans="1:6">
      <c r="A525" s="40"/>
      <c r="D525" s="2"/>
      <c r="E525" s="2"/>
      <c r="F525" s="2">
        <v>397384.86</v>
      </c>
    </row>
    <row r="526" s="1" customFormat="1" spans="1:6">
      <c r="A526" s="40"/>
      <c r="D526" s="2"/>
      <c r="E526" s="2"/>
      <c r="F526" s="2">
        <v>397384.86</v>
      </c>
    </row>
    <row r="527" s="1" customFormat="1" spans="1:6">
      <c r="A527" s="40"/>
      <c r="D527" s="2"/>
      <c r="E527" s="2"/>
      <c r="F527" s="2">
        <v>397384.86</v>
      </c>
    </row>
    <row r="528" s="1" customFormat="1" spans="1:6">
      <c r="A528" s="40"/>
      <c r="D528" s="2"/>
      <c r="E528" s="2"/>
      <c r="F528" s="2">
        <v>397384.86</v>
      </c>
    </row>
    <row r="529" s="1" customFormat="1" spans="1:6">
      <c r="A529" s="40"/>
      <c r="D529" s="2"/>
      <c r="E529" s="2"/>
      <c r="F529" s="2">
        <v>397384.86</v>
      </c>
    </row>
    <row r="530" s="1" customFormat="1" spans="1:6">
      <c r="A530" s="40"/>
      <c r="D530" s="2"/>
      <c r="E530" s="2"/>
      <c r="F530" s="2">
        <v>397384.86</v>
      </c>
    </row>
    <row r="531" s="1" customFormat="1" spans="1:6">
      <c r="A531" s="40"/>
      <c r="D531" s="2"/>
      <c r="E531" s="2"/>
      <c r="F531" s="2">
        <v>397384.86</v>
      </c>
    </row>
    <row r="532" s="1" customFormat="1" spans="1:6">
      <c r="A532" s="40"/>
      <c r="D532" s="2"/>
      <c r="E532" s="2"/>
      <c r="F532" s="2">
        <v>397384.86</v>
      </c>
    </row>
    <row r="533" s="1" customFormat="1" spans="1:6">
      <c r="A533" s="40"/>
      <c r="D533" s="2"/>
      <c r="E533" s="2"/>
      <c r="F533" s="2">
        <v>397384.86</v>
      </c>
    </row>
    <row r="534" s="1" customFormat="1" spans="1:6">
      <c r="A534" s="40"/>
      <c r="D534" s="2"/>
      <c r="E534" s="2"/>
      <c r="F534" s="2">
        <v>397384.86</v>
      </c>
    </row>
    <row r="535" s="1" customFormat="1" spans="1:6">
      <c r="A535" s="40"/>
      <c r="D535" s="2"/>
      <c r="E535" s="2"/>
      <c r="F535" s="2">
        <v>397384.86</v>
      </c>
    </row>
    <row r="536" s="1" customFormat="1" spans="1:6">
      <c r="A536" s="40"/>
      <c r="D536" s="2"/>
      <c r="E536" s="2"/>
      <c r="F536" s="2">
        <v>397384.86</v>
      </c>
    </row>
    <row r="537" s="1" customFormat="1" spans="1:6">
      <c r="A537" s="40"/>
      <c r="D537" s="2"/>
      <c r="E537" s="2"/>
      <c r="F537" s="2">
        <v>397384.86</v>
      </c>
    </row>
    <row r="538" s="1" customFormat="1" spans="1:6">
      <c r="A538" s="40"/>
      <c r="D538" s="2"/>
      <c r="E538" s="2"/>
      <c r="F538" s="2">
        <v>397384.86</v>
      </c>
    </row>
    <row r="539" s="1" customFormat="1" spans="1:6">
      <c r="A539" s="40"/>
      <c r="D539" s="2"/>
      <c r="E539" s="2"/>
      <c r="F539" s="2">
        <v>397384.86</v>
      </c>
    </row>
    <row r="540" s="1" customFormat="1" spans="1:6">
      <c r="A540" s="40"/>
      <c r="D540" s="2"/>
      <c r="E540" s="2"/>
      <c r="F540" s="2">
        <v>397384.86</v>
      </c>
    </row>
    <row r="541" s="1" customFormat="1" spans="1:6">
      <c r="A541" s="40"/>
      <c r="D541" s="2"/>
      <c r="E541" s="2"/>
      <c r="F541" s="2">
        <v>397384.86</v>
      </c>
    </row>
    <row r="542" s="1" customFormat="1" spans="1:6">
      <c r="A542" s="40"/>
      <c r="D542" s="2"/>
      <c r="E542" s="2"/>
      <c r="F542" s="2">
        <v>397384.86</v>
      </c>
    </row>
    <row r="543" s="1" customFormat="1" spans="1:6">
      <c r="A543" s="40"/>
      <c r="D543" s="2"/>
      <c r="E543" s="2"/>
      <c r="F543" s="2">
        <v>397384.86</v>
      </c>
    </row>
    <row r="544" s="1" customFormat="1" spans="1:6">
      <c r="A544" s="40"/>
      <c r="D544" s="2"/>
      <c r="E544" s="2"/>
      <c r="F544" s="2">
        <v>397384.86</v>
      </c>
    </row>
    <row r="545" s="1" customFormat="1" spans="1:6">
      <c r="A545" s="40"/>
      <c r="D545" s="2"/>
      <c r="E545" s="2"/>
      <c r="F545" s="2">
        <v>397384.86</v>
      </c>
    </row>
    <row r="546" s="1" customFormat="1" spans="1:6">
      <c r="A546" s="40"/>
      <c r="D546" s="2"/>
      <c r="E546" s="2"/>
      <c r="F546" s="2">
        <v>397384.86</v>
      </c>
    </row>
    <row r="547" s="1" customFormat="1" spans="1:6">
      <c r="A547" s="40"/>
      <c r="D547" s="2"/>
      <c r="E547" s="2"/>
      <c r="F547" s="2">
        <v>397384.86</v>
      </c>
    </row>
    <row r="548" s="1" customFormat="1" spans="1:6">
      <c r="A548" s="40"/>
      <c r="D548" s="2"/>
      <c r="E548" s="2"/>
      <c r="F548" s="2">
        <v>397384.86</v>
      </c>
    </row>
    <row r="549" s="1" customFormat="1" spans="1:6">
      <c r="A549" s="40"/>
      <c r="D549" s="2"/>
      <c r="E549" s="2"/>
      <c r="F549" s="2">
        <v>397384.86</v>
      </c>
    </row>
    <row r="550" s="1" customFormat="1" spans="1:6">
      <c r="A550" s="40"/>
      <c r="D550" s="2"/>
      <c r="E550" s="2"/>
      <c r="F550" s="2">
        <v>397384.86</v>
      </c>
    </row>
    <row r="551" s="1" customFormat="1" spans="1:6">
      <c r="A551" s="40"/>
      <c r="D551" s="2"/>
      <c r="E551" s="2"/>
      <c r="F551" s="2">
        <v>397384.86</v>
      </c>
    </row>
    <row r="552" s="1" customFormat="1" spans="1:6">
      <c r="A552" s="40"/>
      <c r="D552" s="2"/>
      <c r="E552" s="2"/>
      <c r="F552" s="2">
        <v>397384.86</v>
      </c>
    </row>
    <row r="553" s="1" customFormat="1" spans="1:6">
      <c r="A553" s="40"/>
      <c r="D553" s="2"/>
      <c r="E553" s="2"/>
      <c r="F553" s="2">
        <v>397384.86</v>
      </c>
    </row>
    <row r="554" s="1" customFormat="1" spans="1:6">
      <c r="A554" s="40"/>
      <c r="D554" s="2"/>
      <c r="E554" s="2"/>
      <c r="F554" s="2">
        <v>397384.86</v>
      </c>
    </row>
    <row r="555" s="1" customFormat="1" spans="1:6">
      <c r="A555" s="40"/>
      <c r="D555" s="2"/>
      <c r="E555" s="2"/>
      <c r="F555" s="2">
        <v>397384.86</v>
      </c>
    </row>
    <row r="556" s="1" customFormat="1" spans="1:6">
      <c r="A556" s="40"/>
      <c r="D556" s="2"/>
      <c r="E556" s="2"/>
      <c r="F556" s="2">
        <v>397384.86</v>
      </c>
    </row>
    <row r="557" s="1" customFormat="1" spans="1:6">
      <c r="A557" s="40"/>
      <c r="D557" s="2"/>
      <c r="E557" s="2"/>
      <c r="F557" s="2">
        <v>397384.86</v>
      </c>
    </row>
    <row r="558" s="1" customFormat="1" spans="1:6">
      <c r="A558" s="40"/>
      <c r="D558" s="2"/>
      <c r="E558" s="2"/>
      <c r="F558" s="2">
        <v>397384.86</v>
      </c>
    </row>
    <row r="559" s="1" customFormat="1" spans="1:6">
      <c r="A559" s="40"/>
      <c r="D559" s="2"/>
      <c r="E559" s="2"/>
      <c r="F559" s="2">
        <v>397384.86</v>
      </c>
    </row>
    <row r="560" s="1" customFormat="1" spans="1:6">
      <c r="A560" s="40"/>
      <c r="D560" s="2"/>
      <c r="E560" s="2"/>
      <c r="F560" s="2">
        <v>397384.86</v>
      </c>
    </row>
    <row r="561" s="1" customFormat="1" spans="1:6">
      <c r="A561" s="40"/>
      <c r="D561" s="2"/>
      <c r="E561" s="2"/>
      <c r="F561" s="2">
        <v>397384.86</v>
      </c>
    </row>
    <row r="562" s="1" customFormat="1" spans="1:6">
      <c r="A562" s="40"/>
      <c r="D562" s="2"/>
      <c r="E562" s="2"/>
      <c r="F562" s="2">
        <v>397384.86</v>
      </c>
    </row>
    <row r="563" s="1" customFormat="1" spans="1:6">
      <c r="A563" s="40"/>
      <c r="D563" s="2"/>
      <c r="E563" s="2"/>
      <c r="F563" s="2">
        <v>397384.86</v>
      </c>
    </row>
    <row r="564" s="1" customFormat="1" spans="1:6">
      <c r="A564" s="40"/>
      <c r="D564" s="2"/>
      <c r="E564" s="2"/>
      <c r="F564" s="2">
        <v>397384.86</v>
      </c>
    </row>
    <row r="565" s="1" customFormat="1" spans="1:6">
      <c r="A565" s="40"/>
      <c r="D565" s="2"/>
      <c r="E565" s="2"/>
      <c r="F565" s="2">
        <v>397384.86</v>
      </c>
    </row>
    <row r="566" s="1" customFormat="1" spans="1:6">
      <c r="A566" s="40"/>
      <c r="D566" s="2"/>
      <c r="E566" s="2"/>
      <c r="F566" s="2">
        <v>397384.86</v>
      </c>
    </row>
    <row r="567" s="1" customFormat="1" spans="1:6">
      <c r="A567" s="40"/>
      <c r="D567" s="2"/>
      <c r="E567" s="2"/>
      <c r="F567" s="2">
        <v>397384.86</v>
      </c>
    </row>
    <row r="568" s="1" customFormat="1" spans="1:6">
      <c r="A568" s="40"/>
      <c r="D568" s="2"/>
      <c r="E568" s="2"/>
      <c r="F568" s="2">
        <v>397384.86</v>
      </c>
    </row>
    <row r="569" s="1" customFormat="1" spans="1:6">
      <c r="A569" s="40"/>
      <c r="D569" s="2"/>
      <c r="E569" s="2"/>
      <c r="F569" s="2">
        <v>397384.86</v>
      </c>
    </row>
    <row r="570" s="1" customFormat="1" spans="1:6">
      <c r="A570" s="40"/>
      <c r="D570" s="2"/>
      <c r="E570" s="2"/>
      <c r="F570" s="2">
        <v>397384.86</v>
      </c>
    </row>
    <row r="571" s="1" customFormat="1" spans="1:6">
      <c r="A571" s="40"/>
      <c r="D571" s="2"/>
      <c r="E571" s="2"/>
      <c r="F571" s="2">
        <v>397384.86</v>
      </c>
    </row>
    <row r="572" s="1" customFormat="1" spans="1:6">
      <c r="A572" s="40"/>
      <c r="D572" s="2"/>
      <c r="E572" s="2"/>
      <c r="F572" s="2">
        <v>397384.86</v>
      </c>
    </row>
    <row r="573" s="1" customFormat="1" spans="1:6">
      <c r="A573" s="40"/>
      <c r="D573" s="2"/>
      <c r="E573" s="2"/>
      <c r="F573" s="2">
        <v>397384.86</v>
      </c>
    </row>
    <row r="574" s="1" customFormat="1" spans="1:6">
      <c r="A574" s="40"/>
      <c r="D574" s="2"/>
      <c r="E574" s="2"/>
      <c r="F574" s="2">
        <v>397384.86</v>
      </c>
    </row>
    <row r="575" s="1" customFormat="1" spans="1:6">
      <c r="A575" s="40"/>
      <c r="D575" s="2"/>
      <c r="E575" s="2"/>
      <c r="F575" s="2">
        <v>397384.86</v>
      </c>
    </row>
    <row r="576" s="1" customFormat="1" spans="1:6">
      <c r="A576" s="40"/>
      <c r="D576" s="2"/>
      <c r="E576" s="2"/>
      <c r="F576" s="2">
        <v>397384.86</v>
      </c>
    </row>
    <row r="577" s="1" customFormat="1" spans="1:6">
      <c r="A577" s="40"/>
      <c r="D577" s="2"/>
      <c r="E577" s="2"/>
      <c r="F577" s="2">
        <v>397384.86</v>
      </c>
    </row>
    <row r="578" s="1" customFormat="1" spans="1:6">
      <c r="A578" s="40"/>
      <c r="D578" s="2"/>
      <c r="E578" s="2"/>
      <c r="F578" s="2">
        <v>397384.86</v>
      </c>
    </row>
    <row r="579" s="1" customFormat="1" spans="1:6">
      <c r="A579" s="40"/>
      <c r="D579" s="2"/>
      <c r="E579" s="2"/>
      <c r="F579" s="2">
        <v>397384.86</v>
      </c>
    </row>
    <row r="580" s="1" customFormat="1" spans="1:6">
      <c r="A580" s="40"/>
      <c r="D580" s="2"/>
      <c r="E580" s="2"/>
      <c r="F580" s="2">
        <v>397384.86</v>
      </c>
    </row>
    <row r="581" s="1" customFormat="1" spans="1:6">
      <c r="A581" s="40"/>
      <c r="D581" s="2"/>
      <c r="E581" s="2"/>
      <c r="F581" s="2">
        <v>397384.86</v>
      </c>
    </row>
    <row r="582" s="1" customFormat="1" spans="1:6">
      <c r="A582" s="40"/>
      <c r="D582" s="2"/>
      <c r="E582" s="2"/>
      <c r="F582" s="2">
        <v>397384.86</v>
      </c>
    </row>
    <row r="583" s="1" customFormat="1" spans="1:6">
      <c r="A583" s="40"/>
      <c r="D583" s="2"/>
      <c r="E583" s="2"/>
      <c r="F583" s="2">
        <v>397384.86</v>
      </c>
    </row>
    <row r="584" s="1" customFormat="1" spans="1:6">
      <c r="A584" s="40"/>
      <c r="D584" s="2"/>
      <c r="E584" s="2"/>
      <c r="F584" s="2">
        <v>397384.86</v>
      </c>
    </row>
    <row r="585" s="1" customFormat="1" spans="1:6">
      <c r="A585" s="40"/>
      <c r="D585" s="2"/>
      <c r="E585" s="2"/>
      <c r="F585" s="2">
        <v>397384.86</v>
      </c>
    </row>
    <row r="586" s="1" customFormat="1" spans="1:6">
      <c r="A586" s="40"/>
      <c r="D586" s="2"/>
      <c r="E586" s="2"/>
      <c r="F586" s="2">
        <v>397384.86</v>
      </c>
    </row>
    <row r="587" s="1" customFormat="1" spans="1:6">
      <c r="A587" s="40"/>
      <c r="D587" s="2"/>
      <c r="E587" s="2"/>
      <c r="F587" s="2">
        <v>397384.86</v>
      </c>
    </row>
    <row r="588" s="1" customFormat="1" spans="1:6">
      <c r="A588" s="40"/>
      <c r="D588" s="2"/>
      <c r="E588" s="2"/>
      <c r="F588" s="2">
        <v>397384.86</v>
      </c>
    </row>
    <row r="589" s="1" customFormat="1" spans="1:6">
      <c r="A589" s="40"/>
      <c r="D589" s="2"/>
      <c r="E589" s="2"/>
      <c r="F589" s="2">
        <v>397384.86</v>
      </c>
    </row>
    <row r="590" s="1" customFormat="1" spans="1:6">
      <c r="A590" s="40"/>
      <c r="D590" s="2"/>
      <c r="E590" s="2"/>
      <c r="F590" s="2">
        <v>397384.86</v>
      </c>
    </row>
    <row r="591" s="1" customFormat="1" spans="1:6">
      <c r="A591" s="40"/>
      <c r="D591" s="2"/>
      <c r="E591" s="2"/>
      <c r="F591" s="2">
        <v>397384.86</v>
      </c>
    </row>
    <row r="592" s="1" customFormat="1" spans="1:6">
      <c r="A592" s="40"/>
      <c r="D592" s="2"/>
      <c r="E592" s="2"/>
      <c r="F592" s="2">
        <v>397384.86</v>
      </c>
    </row>
    <row r="593" s="1" customFormat="1" spans="1:6">
      <c r="A593" s="40"/>
      <c r="D593" s="2"/>
      <c r="E593" s="2"/>
      <c r="F593" s="2">
        <v>397384.86</v>
      </c>
    </row>
    <row r="594" s="1" customFormat="1" spans="1:6">
      <c r="A594" s="40"/>
      <c r="D594" s="2"/>
      <c r="E594" s="2"/>
      <c r="F594" s="2">
        <v>397384.86</v>
      </c>
    </row>
    <row r="595" s="1" customFormat="1" spans="1:6">
      <c r="A595" s="40"/>
      <c r="D595" s="2"/>
      <c r="E595" s="2"/>
      <c r="F595" s="2">
        <v>397384.86</v>
      </c>
    </row>
    <row r="596" s="1" customFormat="1" spans="1:6">
      <c r="A596" s="40"/>
      <c r="D596" s="2"/>
      <c r="E596" s="2"/>
      <c r="F596" s="2">
        <v>397384.86</v>
      </c>
    </row>
    <row r="597" s="1" customFormat="1" spans="1:6">
      <c r="A597" s="40"/>
      <c r="D597" s="2"/>
      <c r="E597" s="2"/>
      <c r="F597" s="2">
        <v>397384.86</v>
      </c>
    </row>
    <row r="598" s="1" customFormat="1" spans="1:6">
      <c r="A598" s="40"/>
      <c r="D598" s="2"/>
      <c r="E598" s="2"/>
      <c r="F598" s="2">
        <v>397384.86</v>
      </c>
    </row>
    <row r="599" s="1" customFormat="1" spans="1:6">
      <c r="A599" s="40"/>
      <c r="D599" s="2"/>
      <c r="E599" s="2"/>
      <c r="F599" s="2">
        <v>397384.86</v>
      </c>
    </row>
    <row r="600" s="1" customFormat="1" spans="1:6">
      <c r="A600" s="40"/>
      <c r="D600" s="2"/>
      <c r="E600" s="2"/>
      <c r="F600" s="2">
        <v>397384.86</v>
      </c>
    </row>
    <row r="601" s="1" customFormat="1" spans="1:6">
      <c r="A601" s="40"/>
      <c r="D601" s="2"/>
      <c r="E601" s="2"/>
      <c r="F601" s="2">
        <v>397384.86</v>
      </c>
    </row>
    <row r="602" s="1" customFormat="1" spans="1:6">
      <c r="A602" s="40"/>
      <c r="D602" s="2"/>
      <c r="E602" s="2"/>
      <c r="F602" s="2">
        <v>397384.86</v>
      </c>
    </row>
    <row r="603" s="1" customFormat="1" spans="1:6">
      <c r="A603" s="40"/>
      <c r="D603" s="2"/>
      <c r="E603" s="2"/>
      <c r="F603" s="2">
        <v>397384.86</v>
      </c>
    </row>
    <row r="604" s="1" customFormat="1" spans="1:6">
      <c r="A604" s="40"/>
      <c r="D604" s="2"/>
      <c r="E604" s="2"/>
      <c r="F604" s="2">
        <v>397384.86</v>
      </c>
    </row>
    <row r="605" s="1" customFormat="1" spans="1:6">
      <c r="A605" s="40"/>
      <c r="D605" s="2"/>
      <c r="E605" s="2"/>
      <c r="F605" s="2">
        <v>397384.86</v>
      </c>
    </row>
    <row r="606" s="1" customFormat="1" spans="1:6">
      <c r="A606" s="40"/>
      <c r="D606" s="2"/>
      <c r="E606" s="2"/>
      <c r="F606" s="2">
        <v>397384.86</v>
      </c>
    </row>
    <row r="607" s="1" customFormat="1" spans="1:6">
      <c r="A607" s="40"/>
      <c r="D607" s="2"/>
      <c r="E607" s="2"/>
      <c r="F607" s="2">
        <v>397384.86</v>
      </c>
    </row>
    <row r="608" s="1" customFormat="1" spans="1:6">
      <c r="A608" s="40"/>
      <c r="D608" s="2"/>
      <c r="E608" s="2"/>
      <c r="F608" s="2">
        <v>397384.86</v>
      </c>
    </row>
    <row r="609" s="1" customFormat="1" spans="1:6">
      <c r="A609" s="40"/>
      <c r="D609" s="2"/>
      <c r="E609" s="2"/>
      <c r="F609" s="2">
        <v>397384.86</v>
      </c>
    </row>
    <row r="610" s="1" customFormat="1" spans="1:6">
      <c r="A610" s="40"/>
      <c r="D610" s="2"/>
      <c r="E610" s="2"/>
      <c r="F610" s="2">
        <v>397384.86</v>
      </c>
    </row>
    <row r="611" s="1" customFormat="1" spans="1:6">
      <c r="A611" s="40"/>
      <c r="D611" s="2"/>
      <c r="E611" s="2"/>
      <c r="F611" s="2">
        <v>397384.86</v>
      </c>
    </row>
    <row r="612" s="1" customFormat="1" spans="1:6">
      <c r="A612" s="40"/>
      <c r="D612" s="2"/>
      <c r="E612" s="2"/>
      <c r="F612" s="2">
        <v>397384.86</v>
      </c>
    </row>
    <row r="613" s="1" customFormat="1" spans="1:6">
      <c r="A613" s="40"/>
      <c r="D613" s="2"/>
      <c r="E613" s="2"/>
      <c r="F613" s="2">
        <v>397384.86</v>
      </c>
    </row>
    <row r="614" s="1" customFormat="1" spans="1:6">
      <c r="A614" s="40"/>
      <c r="D614" s="2"/>
      <c r="E614" s="2"/>
      <c r="F614" s="2">
        <v>397384.86</v>
      </c>
    </row>
    <row r="615" s="1" customFormat="1" spans="1:6">
      <c r="A615" s="40"/>
      <c r="D615" s="2"/>
      <c r="E615" s="2"/>
      <c r="F615" s="2">
        <v>397384.86</v>
      </c>
    </row>
    <row r="616" s="1" customFormat="1" spans="1:6">
      <c r="A616" s="40"/>
      <c r="D616" s="2"/>
      <c r="E616" s="2"/>
      <c r="F616" s="2">
        <v>397384.86</v>
      </c>
    </row>
    <row r="617" s="1" customFormat="1" spans="1:6">
      <c r="A617" s="40"/>
      <c r="D617" s="2"/>
      <c r="E617" s="2"/>
      <c r="F617" s="2">
        <v>397384.86</v>
      </c>
    </row>
    <row r="618" s="1" customFormat="1" spans="1:6">
      <c r="A618" s="40"/>
      <c r="D618" s="2"/>
      <c r="E618" s="2"/>
      <c r="F618" s="2">
        <v>397384.86</v>
      </c>
    </row>
    <row r="619" s="1" customFormat="1" spans="1:6">
      <c r="A619" s="40"/>
      <c r="D619" s="2"/>
      <c r="E619" s="2"/>
      <c r="F619" s="2">
        <v>397384.86</v>
      </c>
    </row>
    <row r="620" s="1" customFormat="1" spans="1:6">
      <c r="A620" s="40"/>
      <c r="D620" s="2"/>
      <c r="E620" s="2"/>
      <c r="F620" s="2">
        <v>397384.86</v>
      </c>
    </row>
    <row r="621" s="1" customFormat="1" spans="1:6">
      <c r="A621" s="40"/>
      <c r="D621" s="2"/>
      <c r="E621" s="2"/>
      <c r="F621" s="2">
        <v>397384.86</v>
      </c>
    </row>
    <row r="622" s="1" customFormat="1" spans="1:6">
      <c r="A622" s="40"/>
      <c r="D622" s="2"/>
      <c r="E622" s="2"/>
      <c r="F622" s="2">
        <v>397384.86</v>
      </c>
    </row>
    <row r="623" s="1" customFormat="1" spans="1:6">
      <c r="A623" s="40"/>
      <c r="D623" s="2"/>
      <c r="E623" s="2"/>
      <c r="F623" s="2">
        <v>397384.86</v>
      </c>
    </row>
    <row r="624" s="1" customFormat="1" spans="1:6">
      <c r="A624" s="40"/>
      <c r="D624" s="2"/>
      <c r="E624" s="2"/>
      <c r="F624" s="2">
        <v>397384.86</v>
      </c>
    </row>
    <row r="625" s="1" customFormat="1" spans="1:6">
      <c r="A625" s="40"/>
      <c r="D625" s="2"/>
      <c r="E625" s="2"/>
      <c r="F625" s="2">
        <v>397384.86</v>
      </c>
    </row>
    <row r="626" s="1" customFormat="1" spans="1:6">
      <c r="A626" s="40"/>
      <c r="D626" s="2"/>
      <c r="E626" s="2"/>
      <c r="F626" s="2">
        <v>397384.86</v>
      </c>
    </row>
    <row r="627" s="1" customFormat="1" spans="1:6">
      <c r="A627" s="40"/>
      <c r="D627" s="2"/>
      <c r="E627" s="2"/>
      <c r="F627" s="2">
        <v>397384.86</v>
      </c>
    </row>
    <row r="628" s="1" customFormat="1" spans="1:6">
      <c r="A628" s="40"/>
      <c r="D628" s="2"/>
      <c r="E628" s="2"/>
      <c r="F628" s="2">
        <v>397384.86</v>
      </c>
    </row>
    <row r="629" s="1" customFormat="1" spans="1:6">
      <c r="A629" s="40"/>
      <c r="D629" s="2"/>
      <c r="E629" s="2"/>
      <c r="F629" s="2">
        <v>397384.86</v>
      </c>
    </row>
    <row r="630" s="1" customFormat="1" spans="1:6">
      <c r="A630" s="40"/>
      <c r="D630" s="2"/>
      <c r="E630" s="2"/>
      <c r="F630" s="2">
        <v>397384.86</v>
      </c>
    </row>
    <row r="631" s="1" customFormat="1" spans="1:6">
      <c r="A631" s="40"/>
      <c r="D631" s="2"/>
      <c r="E631" s="2"/>
      <c r="F631" s="2">
        <v>397384.86</v>
      </c>
    </row>
    <row r="632" s="1" customFormat="1" spans="1:6">
      <c r="A632" s="40"/>
      <c r="D632" s="2"/>
      <c r="E632" s="2"/>
      <c r="F632" s="2">
        <v>397384.86</v>
      </c>
    </row>
    <row r="633" s="1" customFormat="1" spans="1:6">
      <c r="A633" s="40"/>
      <c r="D633" s="2"/>
      <c r="E633" s="2"/>
      <c r="F633" s="2">
        <v>397384.86</v>
      </c>
    </row>
    <row r="634" s="1" customFormat="1" spans="1:6">
      <c r="A634" s="40"/>
      <c r="D634" s="2"/>
      <c r="E634" s="2"/>
      <c r="F634" s="2">
        <v>397384.86</v>
      </c>
    </row>
    <row r="635" s="1" customFormat="1" spans="1:6">
      <c r="A635" s="40"/>
      <c r="D635" s="2"/>
      <c r="E635" s="2"/>
      <c r="F635" s="2">
        <v>397384.86</v>
      </c>
    </row>
    <row r="636" s="1" customFormat="1" spans="1:6">
      <c r="A636" s="40"/>
      <c r="D636" s="2"/>
      <c r="E636" s="2"/>
      <c r="F636" s="2">
        <v>397384.86</v>
      </c>
    </row>
    <row r="637" s="1" customFormat="1" spans="1:6">
      <c r="A637" s="40"/>
      <c r="D637" s="2"/>
      <c r="E637" s="2"/>
      <c r="F637" s="2">
        <v>397384.86</v>
      </c>
    </row>
    <row r="638" s="1" customFormat="1" spans="1:6">
      <c r="A638" s="40"/>
      <c r="D638" s="2"/>
      <c r="E638" s="2"/>
      <c r="F638" s="2">
        <v>397384.86</v>
      </c>
    </row>
    <row r="639" s="1" customFormat="1" spans="1:6">
      <c r="A639" s="40"/>
      <c r="D639" s="2"/>
      <c r="E639" s="2"/>
      <c r="F639" s="2">
        <v>397384.86</v>
      </c>
    </row>
    <row r="640" s="1" customFormat="1" spans="1:6">
      <c r="A640" s="40"/>
      <c r="D640" s="2"/>
      <c r="E640" s="2"/>
      <c r="F640" s="2">
        <v>397384.86</v>
      </c>
    </row>
    <row r="641" s="1" customFormat="1" spans="1:6">
      <c r="A641" s="40"/>
      <c r="D641" s="2"/>
      <c r="E641" s="2"/>
      <c r="F641" s="2">
        <v>397384.86</v>
      </c>
    </row>
    <row r="642" s="1" customFormat="1" spans="1:6">
      <c r="A642" s="40"/>
      <c r="D642" s="2"/>
      <c r="E642" s="2"/>
      <c r="F642" s="2">
        <v>397384.86</v>
      </c>
    </row>
    <row r="643" s="1" customFormat="1" spans="1:6">
      <c r="A643" s="40"/>
      <c r="D643" s="2"/>
      <c r="E643" s="2"/>
      <c r="F643" s="2">
        <v>397384.86</v>
      </c>
    </row>
    <row r="644" s="1" customFormat="1" spans="1:6">
      <c r="A644" s="40"/>
      <c r="D644" s="2"/>
      <c r="E644" s="2"/>
      <c r="F644" s="2">
        <v>397384.86</v>
      </c>
    </row>
    <row r="645" s="1" customFormat="1" spans="1:6">
      <c r="A645" s="40"/>
      <c r="D645" s="2"/>
      <c r="E645" s="2"/>
      <c r="F645" s="2">
        <v>397384.86</v>
      </c>
    </row>
    <row r="646" s="1" customFormat="1" spans="1:6">
      <c r="A646" s="40"/>
      <c r="D646" s="2"/>
      <c r="E646" s="2"/>
      <c r="F646" s="2">
        <v>397384.86</v>
      </c>
    </row>
    <row r="647" s="1" customFormat="1" spans="1:6">
      <c r="A647" s="40"/>
      <c r="D647" s="2"/>
      <c r="E647" s="2"/>
      <c r="F647" s="2">
        <v>397384.86</v>
      </c>
    </row>
    <row r="648" s="1" customFormat="1" spans="1:6">
      <c r="A648" s="40"/>
      <c r="D648" s="2"/>
      <c r="E648" s="2"/>
      <c r="F648" s="2">
        <v>397384.86</v>
      </c>
    </row>
    <row r="649" s="1" customFormat="1" spans="1:6">
      <c r="A649" s="40"/>
      <c r="D649" s="2"/>
      <c r="E649" s="2"/>
      <c r="F649" s="2">
        <v>397384.86</v>
      </c>
    </row>
    <row r="650" s="1" customFormat="1" spans="1:6">
      <c r="A650" s="40"/>
      <c r="D650" s="2"/>
      <c r="E650" s="2"/>
      <c r="F650" s="2">
        <v>397384.86</v>
      </c>
    </row>
    <row r="651" s="1" customFormat="1" spans="1:6">
      <c r="A651" s="40"/>
      <c r="D651" s="2"/>
      <c r="E651" s="2"/>
      <c r="F651" s="2">
        <v>397384.86</v>
      </c>
    </row>
    <row r="652" s="1" customFormat="1" spans="1:6">
      <c r="A652" s="40"/>
      <c r="D652" s="2"/>
      <c r="E652" s="2"/>
      <c r="F652" s="2">
        <v>397384.86</v>
      </c>
    </row>
    <row r="653" s="1" customFormat="1" spans="1:6">
      <c r="A653" s="40"/>
      <c r="D653" s="2"/>
      <c r="E653" s="2"/>
      <c r="F653" s="2">
        <v>397384.86</v>
      </c>
    </row>
    <row r="654" s="1" customFormat="1" spans="1:6">
      <c r="A654" s="40"/>
      <c r="D654" s="2"/>
      <c r="E654" s="2"/>
      <c r="F654" s="2">
        <v>397384.86</v>
      </c>
    </row>
    <row r="655" s="1" customFormat="1" spans="1:6">
      <c r="A655" s="40"/>
      <c r="D655" s="2"/>
      <c r="E655" s="2"/>
      <c r="F655" s="2">
        <v>397384.86</v>
      </c>
    </row>
    <row r="656" s="1" customFormat="1" spans="1:6">
      <c r="A656" s="40"/>
      <c r="D656" s="2"/>
      <c r="E656" s="2"/>
      <c r="F656" s="2">
        <v>397384.86</v>
      </c>
    </row>
    <row r="657" s="1" customFormat="1" spans="1:6">
      <c r="A657" s="40"/>
      <c r="D657" s="2"/>
      <c r="E657" s="2"/>
      <c r="F657" s="2">
        <v>397384.86</v>
      </c>
    </row>
    <row r="658" s="1" customFormat="1" spans="1:6">
      <c r="A658" s="40"/>
      <c r="D658" s="2"/>
      <c r="E658" s="2"/>
      <c r="F658" s="2">
        <v>397384.86</v>
      </c>
    </row>
    <row r="659" s="1" customFormat="1" spans="1:6">
      <c r="A659" s="40"/>
      <c r="D659" s="2"/>
      <c r="E659" s="2"/>
      <c r="F659" s="2">
        <v>397384.86</v>
      </c>
    </row>
    <row r="660" s="1" customFormat="1" spans="1:6">
      <c r="A660" s="40"/>
      <c r="D660" s="2"/>
      <c r="E660" s="2"/>
      <c r="F660" s="2">
        <v>397384.86</v>
      </c>
    </row>
    <row r="661" s="1" customFormat="1" spans="1:6">
      <c r="A661" s="40"/>
      <c r="D661" s="2"/>
      <c r="E661" s="2"/>
      <c r="F661" s="2">
        <v>397384.86</v>
      </c>
    </row>
    <row r="662" s="1" customFormat="1" spans="1:6">
      <c r="A662" s="40"/>
      <c r="D662" s="2"/>
      <c r="E662" s="2"/>
      <c r="F662" s="2">
        <v>397384.86</v>
      </c>
    </row>
    <row r="663" s="1" customFormat="1" spans="1:6">
      <c r="A663" s="40"/>
      <c r="D663" s="2"/>
      <c r="E663" s="2"/>
      <c r="F663" s="2">
        <v>397384.86</v>
      </c>
    </row>
    <row r="664" s="1" customFormat="1" spans="1:6">
      <c r="A664" s="40"/>
      <c r="D664" s="2"/>
      <c r="E664" s="2"/>
      <c r="F664" s="2">
        <v>397384.86</v>
      </c>
    </row>
    <row r="665" s="1" customFormat="1" spans="1:6">
      <c r="A665" s="40"/>
      <c r="D665" s="2"/>
      <c r="E665" s="2"/>
      <c r="F665" s="2">
        <v>397384.86</v>
      </c>
    </row>
    <row r="666" s="1" customFormat="1" spans="1:6">
      <c r="A666" s="40"/>
      <c r="D666" s="2"/>
      <c r="E666" s="2"/>
      <c r="F666" s="2">
        <v>397384.86</v>
      </c>
    </row>
    <row r="667" s="1" customFormat="1" spans="1:6">
      <c r="A667" s="40"/>
      <c r="D667" s="2"/>
      <c r="E667" s="2"/>
      <c r="F667" s="2">
        <v>397384.86</v>
      </c>
    </row>
    <row r="668" s="1" customFormat="1" spans="1:6">
      <c r="A668" s="40"/>
      <c r="D668" s="2"/>
      <c r="E668" s="2"/>
      <c r="F668" s="2">
        <v>397384.86</v>
      </c>
    </row>
    <row r="669" s="1" customFormat="1" spans="1:6">
      <c r="A669" s="40"/>
      <c r="D669" s="2"/>
      <c r="E669" s="2"/>
      <c r="F669" s="2">
        <v>397384.86</v>
      </c>
    </row>
    <row r="670" s="1" customFormat="1" spans="1:6">
      <c r="A670" s="40"/>
      <c r="D670" s="2"/>
      <c r="E670" s="2"/>
      <c r="F670" s="2">
        <v>397384.86</v>
      </c>
    </row>
    <row r="671" s="1" customFormat="1" spans="1:6">
      <c r="A671" s="40"/>
      <c r="D671" s="2"/>
      <c r="E671" s="2"/>
      <c r="F671" s="2">
        <v>397384.86</v>
      </c>
    </row>
    <row r="672" s="1" customFormat="1" spans="1:6">
      <c r="A672" s="40"/>
      <c r="D672" s="2"/>
      <c r="E672" s="2"/>
      <c r="F672" s="2">
        <v>397384.86</v>
      </c>
    </row>
    <row r="673" s="1" customFormat="1" spans="1:6">
      <c r="A673" s="40"/>
      <c r="D673" s="2"/>
      <c r="E673" s="2"/>
      <c r="F673" s="2">
        <v>397384.86</v>
      </c>
    </row>
    <row r="674" s="1" customFormat="1" spans="1:6">
      <c r="A674" s="40"/>
      <c r="D674" s="2"/>
      <c r="E674" s="2"/>
      <c r="F674" s="2">
        <v>397384.86</v>
      </c>
    </row>
    <row r="675" s="1" customFormat="1" spans="1:6">
      <c r="A675" s="40"/>
      <c r="D675" s="2"/>
      <c r="E675" s="2"/>
      <c r="F675" s="2">
        <v>397384.86</v>
      </c>
    </row>
    <row r="676" s="1" customFormat="1" spans="1:6">
      <c r="A676" s="40"/>
      <c r="D676" s="2"/>
      <c r="E676" s="2"/>
      <c r="F676" s="2">
        <v>397384.86</v>
      </c>
    </row>
    <row r="677" s="1" customFormat="1" spans="1:6">
      <c r="A677" s="40"/>
      <c r="D677" s="2"/>
      <c r="E677" s="2"/>
      <c r="F677" s="2">
        <v>397384.86</v>
      </c>
    </row>
    <row r="678" s="1" customFormat="1" spans="1:6">
      <c r="A678" s="40"/>
      <c r="D678" s="2"/>
      <c r="E678" s="2"/>
      <c r="F678" s="2">
        <v>397384.86</v>
      </c>
    </row>
    <row r="679" s="1" customFormat="1" spans="1:6">
      <c r="A679" s="40"/>
      <c r="D679" s="2"/>
      <c r="E679" s="2"/>
      <c r="F679" s="2">
        <v>397384.86</v>
      </c>
    </row>
    <row r="680" s="1" customFormat="1" spans="1:6">
      <c r="A680" s="40"/>
      <c r="D680" s="2"/>
      <c r="E680" s="2"/>
      <c r="F680" s="2">
        <v>397384.86</v>
      </c>
    </row>
    <row r="681" s="1" customFormat="1" spans="1:6">
      <c r="A681" s="40"/>
      <c r="D681" s="2"/>
      <c r="E681" s="2"/>
      <c r="F681" s="2">
        <v>397384.86</v>
      </c>
    </row>
    <row r="682" s="1" customFormat="1" spans="1:6">
      <c r="A682" s="40"/>
      <c r="D682" s="2"/>
      <c r="E682" s="2"/>
      <c r="F682" s="2">
        <v>397384.86</v>
      </c>
    </row>
    <row r="683" s="1" customFormat="1" spans="1:6">
      <c r="A683" s="40"/>
      <c r="D683" s="2"/>
      <c r="E683" s="2"/>
      <c r="F683" s="2">
        <v>397384.86</v>
      </c>
    </row>
    <row r="684" s="1" customFormat="1" spans="1:6">
      <c r="A684" s="40"/>
      <c r="D684" s="2"/>
      <c r="E684" s="2"/>
      <c r="F684" s="2">
        <v>397384.86</v>
      </c>
    </row>
    <row r="685" s="1" customFormat="1" spans="1:6">
      <c r="A685" s="40"/>
      <c r="D685" s="2"/>
      <c r="E685" s="2"/>
      <c r="F685" s="2">
        <v>397384.86</v>
      </c>
    </row>
    <row r="686" s="1" customFormat="1" spans="1:6">
      <c r="A686" s="40"/>
      <c r="D686" s="2"/>
      <c r="E686" s="2"/>
      <c r="F686" s="2">
        <v>397384.86</v>
      </c>
    </row>
    <row r="687" s="1" customFormat="1" spans="1:6">
      <c r="A687" s="40"/>
      <c r="D687" s="2"/>
      <c r="E687" s="2"/>
      <c r="F687" s="2">
        <v>397384.86</v>
      </c>
    </row>
    <row r="688" s="1" customFormat="1" spans="1:6">
      <c r="A688" s="40"/>
      <c r="D688" s="2"/>
      <c r="E688" s="2"/>
      <c r="F688" s="2">
        <v>397384.86</v>
      </c>
    </row>
    <row r="689" s="1" customFormat="1" spans="1:6">
      <c r="A689" s="40"/>
      <c r="D689" s="2"/>
      <c r="E689" s="2"/>
      <c r="F689" s="2">
        <v>397384.86</v>
      </c>
    </row>
    <row r="690" s="1" customFormat="1" spans="1:6">
      <c r="A690" s="40"/>
      <c r="D690" s="2"/>
      <c r="E690" s="2"/>
      <c r="F690" s="2">
        <v>397384.86</v>
      </c>
    </row>
    <row r="691" s="1" customFormat="1" spans="1:6">
      <c r="A691" s="40"/>
      <c r="D691" s="2"/>
      <c r="E691" s="2"/>
      <c r="F691" s="2">
        <v>397384.86</v>
      </c>
    </row>
    <row r="692" s="1" customFormat="1" spans="1:6">
      <c r="A692" s="40"/>
      <c r="D692" s="2"/>
      <c r="E692" s="2"/>
      <c r="F692" s="2">
        <v>397384.86</v>
      </c>
    </row>
    <row r="693" s="1" customFormat="1" spans="1:6">
      <c r="A693" s="40"/>
      <c r="D693" s="2"/>
      <c r="E693" s="2"/>
      <c r="F693" s="2">
        <v>397384.86</v>
      </c>
    </row>
    <row r="694" s="1" customFormat="1" spans="1:6">
      <c r="A694" s="40"/>
      <c r="D694" s="2"/>
      <c r="E694" s="2"/>
      <c r="F694" s="2">
        <v>397384.86</v>
      </c>
    </row>
    <row r="695" s="1" customFormat="1" spans="1:6">
      <c r="A695" s="40"/>
      <c r="D695" s="2"/>
      <c r="E695" s="2"/>
      <c r="F695" s="2">
        <v>397384.86</v>
      </c>
    </row>
    <row r="696" s="1" customFormat="1" spans="1:6">
      <c r="A696" s="40"/>
      <c r="D696" s="2"/>
      <c r="E696" s="2"/>
      <c r="F696" s="2">
        <v>397384.86</v>
      </c>
    </row>
    <row r="697" s="1" customFormat="1" spans="1:6">
      <c r="A697" s="40"/>
      <c r="D697" s="2"/>
      <c r="E697" s="2"/>
      <c r="F697" s="2">
        <v>397384.86</v>
      </c>
    </row>
    <row r="698" s="1" customFormat="1" spans="1:6">
      <c r="A698" s="40"/>
      <c r="D698" s="2"/>
      <c r="E698" s="2"/>
      <c r="F698" s="2">
        <v>397384.86</v>
      </c>
    </row>
    <row r="699" s="1" customFormat="1" spans="1:6">
      <c r="A699" s="40"/>
      <c r="D699" s="2"/>
      <c r="E699" s="2"/>
      <c r="F699" s="2">
        <v>397384.86</v>
      </c>
    </row>
    <row r="700" s="1" customFormat="1" spans="1:6">
      <c r="A700" s="40"/>
      <c r="D700" s="2"/>
      <c r="E700" s="2"/>
      <c r="F700" s="2">
        <v>397384.86</v>
      </c>
    </row>
    <row r="701" s="1" customFormat="1" spans="1:6">
      <c r="A701" s="40"/>
      <c r="D701" s="2"/>
      <c r="E701" s="2"/>
      <c r="F701" s="2">
        <v>397384.86</v>
      </c>
    </row>
    <row r="702" s="1" customFormat="1" spans="1:6">
      <c r="A702" s="40"/>
      <c r="D702" s="2"/>
      <c r="E702" s="2"/>
      <c r="F702" s="2">
        <v>397384.86</v>
      </c>
    </row>
    <row r="703" s="1" customFormat="1" spans="1:6">
      <c r="A703" s="40"/>
      <c r="D703" s="2"/>
      <c r="E703" s="2"/>
      <c r="F703" s="2">
        <v>397384.86</v>
      </c>
    </row>
    <row r="704" s="1" customFormat="1" spans="1:6">
      <c r="A704" s="40"/>
      <c r="D704" s="2"/>
      <c r="E704" s="2"/>
      <c r="F704" s="2">
        <v>397384.86</v>
      </c>
    </row>
    <row r="705" s="1" customFormat="1" spans="1:6">
      <c r="A705" s="40"/>
      <c r="D705" s="2"/>
      <c r="E705" s="2"/>
      <c r="F705" s="2">
        <v>397384.86</v>
      </c>
    </row>
    <row r="706" s="1" customFormat="1" spans="1:6">
      <c r="A706" s="40"/>
      <c r="D706" s="2"/>
      <c r="E706" s="2"/>
      <c r="F706" s="2">
        <v>397384.86</v>
      </c>
    </row>
    <row r="707" s="1" customFormat="1" spans="1:6">
      <c r="A707" s="40"/>
      <c r="D707" s="2"/>
      <c r="E707" s="2"/>
      <c r="F707" s="2">
        <v>397384.86</v>
      </c>
    </row>
    <row r="708" s="1" customFormat="1" spans="1:6">
      <c r="A708" s="40"/>
      <c r="D708" s="2"/>
      <c r="E708" s="2"/>
      <c r="F708" s="2">
        <v>397384.86</v>
      </c>
    </row>
    <row r="709" s="1" customFormat="1" spans="1:6">
      <c r="A709" s="40"/>
      <c r="D709" s="2"/>
      <c r="E709" s="2"/>
      <c r="F709" s="2">
        <v>397384.86</v>
      </c>
    </row>
    <row r="710" s="1" customFormat="1" spans="1:6">
      <c r="A710" s="40"/>
      <c r="D710" s="2"/>
      <c r="E710" s="2"/>
      <c r="F710" s="2">
        <v>397384.86</v>
      </c>
    </row>
    <row r="711" s="1" customFormat="1" spans="1:6">
      <c r="A711" s="40"/>
      <c r="D711" s="2"/>
      <c r="E711" s="2"/>
      <c r="F711" s="2">
        <v>397384.86</v>
      </c>
    </row>
    <row r="712" s="1" customFormat="1" spans="1:6">
      <c r="A712" s="40"/>
      <c r="D712" s="2"/>
      <c r="E712" s="2"/>
      <c r="F712" s="2">
        <v>397384.86</v>
      </c>
    </row>
    <row r="713" s="1" customFormat="1" spans="1:6">
      <c r="A713" s="40"/>
      <c r="D713" s="2"/>
      <c r="E713" s="2"/>
      <c r="F713" s="2">
        <v>397384.86</v>
      </c>
    </row>
    <row r="714" s="1" customFormat="1" spans="1:6">
      <c r="A714" s="40"/>
      <c r="D714" s="2"/>
      <c r="E714" s="2"/>
      <c r="F714" s="2">
        <v>397384.86</v>
      </c>
    </row>
    <row r="715" s="1" customFormat="1" spans="1:6">
      <c r="A715" s="40"/>
      <c r="D715" s="2"/>
      <c r="E715" s="2"/>
      <c r="F715" s="2">
        <v>397384.86</v>
      </c>
    </row>
    <row r="716" s="1" customFormat="1" spans="1:6">
      <c r="A716" s="40"/>
      <c r="D716" s="2"/>
      <c r="E716" s="2"/>
      <c r="F716" s="2">
        <v>397384.86</v>
      </c>
    </row>
    <row r="717" s="1" customFormat="1" spans="1:6">
      <c r="A717" s="40"/>
      <c r="D717" s="2"/>
      <c r="E717" s="2"/>
      <c r="F717" s="2">
        <v>397384.86</v>
      </c>
    </row>
    <row r="718" s="1" customFormat="1" spans="1:6">
      <c r="A718" s="40"/>
      <c r="D718" s="2"/>
      <c r="E718" s="2"/>
      <c r="F718" s="2">
        <v>397384.86</v>
      </c>
    </row>
    <row r="719" s="1" customFormat="1" spans="1:6">
      <c r="A719" s="40"/>
      <c r="D719" s="2"/>
      <c r="E719" s="2"/>
      <c r="F719" s="2">
        <v>397384.86</v>
      </c>
    </row>
    <row r="720" s="1" customFormat="1" spans="1:6">
      <c r="A720" s="40"/>
      <c r="D720" s="2"/>
      <c r="E720" s="2"/>
      <c r="F720" s="2">
        <v>397384.86</v>
      </c>
    </row>
    <row r="721" s="1" customFormat="1" spans="1:6">
      <c r="A721" s="40"/>
      <c r="D721" s="2"/>
      <c r="E721" s="2"/>
      <c r="F721" s="2">
        <v>397384.86</v>
      </c>
    </row>
    <row r="722" s="1" customFormat="1" spans="1:6">
      <c r="A722" s="40"/>
      <c r="D722" s="2"/>
      <c r="E722" s="2"/>
      <c r="F722" s="2">
        <v>397384.86</v>
      </c>
    </row>
    <row r="723" s="1" customFormat="1" spans="1:6">
      <c r="A723" s="40"/>
      <c r="D723" s="2"/>
      <c r="E723" s="2"/>
      <c r="F723" s="2">
        <v>397384.86</v>
      </c>
    </row>
    <row r="724" s="1" customFormat="1" spans="1:6">
      <c r="A724" s="40"/>
      <c r="D724" s="2"/>
      <c r="E724" s="2"/>
      <c r="F724" s="2">
        <v>397384.86</v>
      </c>
    </row>
    <row r="725" s="1" customFormat="1" spans="1:6">
      <c r="A725" s="40"/>
      <c r="D725" s="2"/>
      <c r="E725" s="2"/>
      <c r="F725" s="2">
        <v>397384.86</v>
      </c>
    </row>
    <row r="726" s="1" customFormat="1" spans="1:6">
      <c r="A726" s="40"/>
      <c r="D726" s="2"/>
      <c r="E726" s="2"/>
      <c r="F726" s="2">
        <v>397384.86</v>
      </c>
    </row>
    <row r="727" s="1" customFormat="1" spans="1:6">
      <c r="A727" s="40"/>
      <c r="D727" s="2"/>
      <c r="E727" s="2"/>
      <c r="F727" s="2">
        <v>397384.86</v>
      </c>
    </row>
    <row r="728" s="1" customFormat="1" spans="1:6">
      <c r="A728" s="40"/>
      <c r="D728" s="2"/>
      <c r="E728" s="2"/>
      <c r="F728" s="2">
        <v>397384.86</v>
      </c>
    </row>
    <row r="729" s="1" customFormat="1" spans="1:6">
      <c r="A729" s="40"/>
      <c r="D729" s="2"/>
      <c r="E729" s="2"/>
      <c r="F729" s="2">
        <v>397384.86</v>
      </c>
    </row>
    <row r="730" s="1" customFormat="1" spans="1:6">
      <c r="A730" s="40"/>
      <c r="D730" s="2"/>
      <c r="E730" s="2"/>
      <c r="F730" s="2">
        <v>397384.86</v>
      </c>
    </row>
    <row r="731" s="1" customFormat="1" spans="1:6">
      <c r="A731" s="40"/>
      <c r="D731" s="2"/>
      <c r="E731" s="2"/>
      <c r="F731" s="2">
        <v>397384.86</v>
      </c>
    </row>
    <row r="732" s="1" customFormat="1" spans="1:6">
      <c r="A732" s="40"/>
      <c r="D732" s="2"/>
      <c r="E732" s="2"/>
      <c r="F732" s="2">
        <v>397384.86</v>
      </c>
    </row>
    <row r="733" s="1" customFormat="1" spans="1:6">
      <c r="A733" s="40"/>
      <c r="D733" s="2"/>
      <c r="E733" s="2"/>
      <c r="F733" s="2">
        <v>397384.86</v>
      </c>
    </row>
    <row r="734" s="1" customFormat="1" spans="1:6">
      <c r="A734" s="40"/>
      <c r="D734" s="2"/>
      <c r="E734" s="2"/>
      <c r="F734" s="2">
        <v>397384.86</v>
      </c>
    </row>
    <row r="735" s="1" customFormat="1" spans="1:6">
      <c r="A735" s="40"/>
      <c r="D735" s="2"/>
      <c r="E735" s="2"/>
      <c r="F735" s="2">
        <v>397384.86</v>
      </c>
    </row>
    <row r="736" s="1" customFormat="1" spans="1:6">
      <c r="A736" s="40"/>
      <c r="D736" s="2"/>
      <c r="E736" s="2"/>
      <c r="F736" s="2">
        <v>397384.86</v>
      </c>
    </row>
    <row r="737" s="1" customFormat="1" spans="1:6">
      <c r="A737" s="40"/>
      <c r="D737" s="2"/>
      <c r="E737" s="2"/>
      <c r="F737" s="2">
        <v>397384.86</v>
      </c>
    </row>
    <row r="738" s="1" customFormat="1" spans="1:6">
      <c r="A738" s="40"/>
      <c r="D738" s="2"/>
      <c r="E738" s="2"/>
      <c r="F738" s="2">
        <v>397384.86</v>
      </c>
    </row>
    <row r="739" s="1" customFormat="1" spans="1:6">
      <c r="A739" s="40"/>
      <c r="D739" s="2"/>
      <c r="E739" s="2"/>
      <c r="F739" s="2">
        <v>397384.86</v>
      </c>
    </row>
    <row r="740" s="1" customFormat="1" spans="1:6">
      <c r="A740" s="40"/>
      <c r="D740" s="2"/>
      <c r="E740" s="2"/>
      <c r="F740" s="2">
        <v>397384.86</v>
      </c>
    </row>
    <row r="741" s="1" customFormat="1" spans="1:6">
      <c r="A741" s="40"/>
      <c r="D741" s="2"/>
      <c r="E741" s="2"/>
      <c r="F741" s="2">
        <v>397384.86</v>
      </c>
    </row>
    <row r="742" s="1" customFormat="1" spans="1:6">
      <c r="A742" s="40"/>
      <c r="D742" s="2"/>
      <c r="E742" s="2"/>
      <c r="F742" s="2">
        <v>397384.86</v>
      </c>
    </row>
    <row r="743" s="1" customFormat="1" spans="1:6">
      <c r="A743" s="40"/>
      <c r="D743" s="2"/>
      <c r="E743" s="2"/>
      <c r="F743" s="2">
        <v>397384.86</v>
      </c>
    </row>
    <row r="744" s="1" customFormat="1" spans="1:6">
      <c r="A744" s="40"/>
      <c r="D744" s="2"/>
      <c r="E744" s="2"/>
      <c r="F744" s="2">
        <v>397384.86</v>
      </c>
    </row>
    <row r="745" s="1" customFormat="1" spans="1:6">
      <c r="A745" s="40"/>
      <c r="D745" s="2"/>
      <c r="E745" s="2"/>
      <c r="F745" s="2">
        <v>397384.86</v>
      </c>
    </row>
    <row r="746" s="1" customFormat="1" spans="1:6">
      <c r="A746" s="40"/>
      <c r="D746" s="2"/>
      <c r="E746" s="2"/>
      <c r="F746" s="2">
        <v>397384.86</v>
      </c>
    </row>
    <row r="747" s="1" customFormat="1" spans="1:6">
      <c r="A747" s="40"/>
      <c r="D747" s="2"/>
      <c r="E747" s="2"/>
      <c r="F747" s="2">
        <v>397384.86</v>
      </c>
    </row>
    <row r="748" s="1" customFormat="1" spans="1:6">
      <c r="A748" s="40"/>
      <c r="D748" s="2"/>
      <c r="E748" s="2"/>
      <c r="F748" s="2">
        <v>397384.86</v>
      </c>
    </row>
    <row r="749" s="1" customFormat="1" spans="1:6">
      <c r="A749" s="40"/>
      <c r="D749" s="2"/>
      <c r="E749" s="2"/>
      <c r="F749" s="2">
        <v>397384.86</v>
      </c>
    </row>
    <row r="750" s="1" customFormat="1" spans="1:6">
      <c r="A750" s="40"/>
      <c r="D750" s="2"/>
      <c r="E750" s="2"/>
      <c r="F750" s="2">
        <v>397384.86</v>
      </c>
    </row>
    <row r="751" s="1" customFormat="1" spans="1:6">
      <c r="A751" s="40"/>
      <c r="D751" s="2"/>
      <c r="E751" s="2"/>
      <c r="F751" s="2">
        <v>397384.86</v>
      </c>
    </row>
    <row r="752" s="1" customFormat="1" spans="1:6">
      <c r="A752" s="40"/>
      <c r="D752" s="2"/>
      <c r="E752" s="2"/>
      <c r="F752" s="2">
        <v>397384.86</v>
      </c>
    </row>
    <row r="753" s="1" customFormat="1" spans="1:6">
      <c r="A753" s="40"/>
      <c r="D753" s="2"/>
      <c r="E753" s="2"/>
      <c r="F753" s="2">
        <v>397384.86</v>
      </c>
    </row>
    <row r="754" s="1" customFormat="1" spans="1:6">
      <c r="A754" s="40"/>
      <c r="D754" s="2"/>
      <c r="E754" s="2"/>
      <c r="F754" s="2">
        <v>397384.86</v>
      </c>
    </row>
    <row r="755" s="1" customFormat="1" spans="1:6">
      <c r="A755" s="40"/>
      <c r="D755" s="2"/>
      <c r="E755" s="2"/>
      <c r="F755" s="2">
        <v>397384.86</v>
      </c>
    </row>
    <row r="756" s="1" customFormat="1" spans="1:6">
      <c r="A756" s="40"/>
      <c r="D756" s="2"/>
      <c r="E756" s="2"/>
      <c r="F756" s="2">
        <v>397384.86</v>
      </c>
    </row>
    <row r="757" s="1" customFormat="1" spans="1:6">
      <c r="A757" s="40"/>
      <c r="D757" s="2"/>
      <c r="E757" s="2"/>
      <c r="F757" s="2">
        <v>397384.86</v>
      </c>
    </row>
    <row r="758" s="1" customFormat="1" spans="1:6">
      <c r="A758" s="40"/>
      <c r="D758" s="2"/>
      <c r="E758" s="2"/>
      <c r="F758" s="2">
        <v>397384.86</v>
      </c>
    </row>
    <row r="759" s="1" customFormat="1" spans="1:6">
      <c r="A759" s="40"/>
      <c r="D759" s="2"/>
      <c r="E759" s="2"/>
      <c r="F759" s="2">
        <v>397384.86</v>
      </c>
    </row>
    <row r="760" s="1" customFormat="1" spans="1:6">
      <c r="A760" s="40"/>
      <c r="D760" s="2"/>
      <c r="E760" s="2"/>
      <c r="F760" s="2">
        <v>397384.86</v>
      </c>
    </row>
    <row r="761" s="1" customFormat="1" spans="1:6">
      <c r="A761" s="40"/>
      <c r="D761" s="2"/>
      <c r="E761" s="2"/>
      <c r="F761" s="2">
        <v>397384.86</v>
      </c>
    </row>
    <row r="762" s="1" customFormat="1" spans="1:6">
      <c r="A762" s="40"/>
      <c r="D762" s="2"/>
      <c r="E762" s="2"/>
      <c r="F762" s="2">
        <v>397384.86</v>
      </c>
    </row>
    <row r="763" s="1" customFormat="1" spans="1:6">
      <c r="A763" s="40"/>
      <c r="D763" s="2"/>
      <c r="E763" s="2"/>
      <c r="F763" s="2">
        <v>397384.86</v>
      </c>
    </row>
    <row r="764" s="1" customFormat="1" spans="1:6">
      <c r="A764" s="40"/>
      <c r="D764" s="2"/>
      <c r="E764" s="2"/>
      <c r="F764" s="2">
        <v>397384.86</v>
      </c>
    </row>
    <row r="765" s="1" customFormat="1" spans="1:6">
      <c r="A765" s="40"/>
      <c r="D765" s="2"/>
      <c r="E765" s="2"/>
      <c r="F765" s="2">
        <v>397384.86</v>
      </c>
    </row>
    <row r="766" s="1" customFormat="1" spans="1:6">
      <c r="A766" s="40"/>
      <c r="D766" s="2"/>
      <c r="E766" s="2"/>
      <c r="F766" s="2">
        <v>397384.86</v>
      </c>
    </row>
    <row r="767" s="1" customFormat="1" spans="1:6">
      <c r="A767" s="40"/>
      <c r="D767" s="2"/>
      <c r="E767" s="2"/>
      <c r="F767" s="2">
        <v>397384.86</v>
      </c>
    </row>
    <row r="768" s="1" customFormat="1" spans="1:6">
      <c r="A768" s="40"/>
      <c r="D768" s="2"/>
      <c r="E768" s="2"/>
      <c r="F768" s="2">
        <v>397384.86</v>
      </c>
    </row>
    <row r="769" s="1" customFormat="1" spans="1:6">
      <c r="A769" s="40"/>
      <c r="D769" s="2"/>
      <c r="E769" s="2"/>
      <c r="F769" s="2">
        <v>397384.86</v>
      </c>
    </row>
    <row r="770" s="1" customFormat="1" spans="1:6">
      <c r="A770" s="40"/>
      <c r="D770" s="2"/>
      <c r="E770" s="2"/>
      <c r="F770" s="2">
        <v>397384.86</v>
      </c>
    </row>
    <row r="771" s="1" customFormat="1" spans="1:6">
      <c r="A771" s="40"/>
      <c r="D771" s="2"/>
      <c r="E771" s="2"/>
      <c r="F771" s="2">
        <v>397384.86</v>
      </c>
    </row>
    <row r="772" s="1" customFormat="1" spans="1:6">
      <c r="A772" s="40"/>
      <c r="D772" s="2"/>
      <c r="E772" s="2"/>
      <c r="F772" s="2">
        <v>397384.86</v>
      </c>
    </row>
    <row r="773" s="1" customFormat="1" spans="1:6">
      <c r="A773" s="40"/>
      <c r="D773" s="2"/>
      <c r="E773" s="2"/>
      <c r="F773" s="2">
        <v>397384.86</v>
      </c>
    </row>
    <row r="774" s="1" customFormat="1" spans="1:6">
      <c r="A774" s="40"/>
      <c r="D774" s="2"/>
      <c r="E774" s="2"/>
      <c r="F774" s="2">
        <v>397384.86</v>
      </c>
    </row>
    <row r="775" s="1" customFormat="1" spans="1:6">
      <c r="A775" s="40"/>
      <c r="D775" s="2"/>
      <c r="E775" s="2"/>
      <c r="F775" s="2">
        <v>397384.86</v>
      </c>
    </row>
    <row r="776" s="1" customFormat="1" spans="1:6">
      <c r="A776" s="40"/>
      <c r="D776" s="2"/>
      <c r="E776" s="2"/>
      <c r="F776" s="2">
        <v>397384.86</v>
      </c>
    </row>
    <row r="777" s="1" customFormat="1" spans="1:6">
      <c r="A777" s="40"/>
      <c r="D777" s="2"/>
      <c r="E777" s="2"/>
      <c r="F777" s="2">
        <v>397384.86</v>
      </c>
    </row>
    <row r="778" s="1" customFormat="1" spans="1:6">
      <c r="A778" s="40"/>
      <c r="D778" s="2"/>
      <c r="E778" s="2"/>
      <c r="F778" s="2">
        <v>397384.86</v>
      </c>
    </row>
    <row r="779" s="1" customFormat="1" spans="1:6">
      <c r="A779" s="40"/>
      <c r="D779" s="2"/>
      <c r="E779" s="2"/>
      <c r="F779" s="2">
        <v>397384.86</v>
      </c>
    </row>
    <row r="780" s="1" customFormat="1" spans="1:6">
      <c r="A780" s="40"/>
      <c r="D780" s="2"/>
      <c r="E780" s="2"/>
      <c r="F780" s="2">
        <v>397384.86</v>
      </c>
    </row>
    <row r="781" s="1" customFormat="1" spans="1:6">
      <c r="A781" s="40"/>
      <c r="D781" s="2"/>
      <c r="E781" s="2"/>
      <c r="F781" s="2">
        <v>397384.86</v>
      </c>
    </row>
    <row r="782" s="1" customFormat="1" spans="1:6">
      <c r="A782" s="40"/>
      <c r="D782" s="2"/>
      <c r="E782" s="2"/>
      <c r="F782" s="2">
        <v>397384.86</v>
      </c>
    </row>
    <row r="783" s="1" customFormat="1" spans="1:6">
      <c r="A783" s="40"/>
      <c r="D783" s="2"/>
      <c r="E783" s="2"/>
      <c r="F783" s="2">
        <v>397384.86</v>
      </c>
    </row>
    <row r="784" s="1" customFormat="1" spans="1:6">
      <c r="A784" s="40"/>
      <c r="D784" s="2"/>
      <c r="E784" s="2"/>
      <c r="F784" s="2">
        <v>397384.86</v>
      </c>
    </row>
    <row r="785" s="1" customFormat="1" spans="1:6">
      <c r="A785" s="40"/>
      <c r="D785" s="2"/>
      <c r="E785" s="2"/>
      <c r="F785" s="2">
        <v>397384.86</v>
      </c>
    </row>
    <row r="786" s="1" customFormat="1" spans="1:6">
      <c r="A786" s="40"/>
      <c r="D786" s="2"/>
      <c r="E786" s="2"/>
      <c r="F786" s="2">
        <v>397384.86</v>
      </c>
    </row>
    <row r="787" s="1" customFormat="1" spans="1:6">
      <c r="A787" s="40"/>
      <c r="D787" s="2"/>
      <c r="E787" s="2"/>
      <c r="F787" s="2">
        <v>397384.86</v>
      </c>
    </row>
    <row r="788" s="1" customFormat="1" spans="1:6">
      <c r="A788" s="40"/>
      <c r="D788" s="2"/>
      <c r="E788" s="2"/>
      <c r="F788" s="2">
        <v>397384.86</v>
      </c>
    </row>
    <row r="789" s="1" customFormat="1" spans="1:6">
      <c r="A789" s="40"/>
      <c r="D789" s="2"/>
      <c r="E789" s="2"/>
      <c r="F789" s="2">
        <v>397384.86</v>
      </c>
    </row>
    <row r="790" s="1" customFormat="1" spans="1:6">
      <c r="A790" s="40"/>
      <c r="D790" s="2"/>
      <c r="E790" s="2"/>
      <c r="F790" s="2">
        <v>397384.86</v>
      </c>
    </row>
    <row r="791" s="1" customFormat="1" spans="1:6">
      <c r="A791" s="40"/>
      <c r="D791" s="2"/>
      <c r="E791" s="2"/>
      <c r="F791" s="2">
        <v>397384.86</v>
      </c>
    </row>
    <row r="792" s="1" customFormat="1" spans="1:6">
      <c r="A792" s="40"/>
      <c r="D792" s="2"/>
      <c r="E792" s="2"/>
      <c r="F792" s="2">
        <v>397384.86</v>
      </c>
    </row>
    <row r="793" s="1" customFormat="1" spans="1:6">
      <c r="A793" s="40"/>
      <c r="D793" s="2"/>
      <c r="E793" s="2"/>
      <c r="F793" s="2">
        <v>397384.86</v>
      </c>
    </row>
    <row r="794" s="1" customFormat="1" spans="1:6">
      <c r="A794" s="40"/>
      <c r="D794" s="2"/>
      <c r="E794" s="2"/>
      <c r="F794" s="2">
        <v>397384.86</v>
      </c>
    </row>
    <row r="795" s="1" customFormat="1" spans="1:6">
      <c r="A795" s="40"/>
      <c r="D795" s="2"/>
      <c r="E795" s="2"/>
      <c r="F795" s="2">
        <v>397384.86</v>
      </c>
    </row>
    <row r="796" s="1" customFormat="1" spans="1:6">
      <c r="A796" s="40"/>
      <c r="D796" s="2"/>
      <c r="E796" s="2"/>
      <c r="F796" s="2">
        <v>397384.86</v>
      </c>
    </row>
    <row r="797" s="1" customFormat="1" spans="1:6">
      <c r="A797" s="40"/>
      <c r="D797" s="2"/>
      <c r="E797" s="2"/>
      <c r="F797" s="2">
        <v>397384.86</v>
      </c>
    </row>
    <row r="798" s="1" customFormat="1" spans="1:6">
      <c r="A798" s="40"/>
      <c r="D798" s="2"/>
      <c r="E798" s="2"/>
      <c r="F798" s="2">
        <v>397384.86</v>
      </c>
    </row>
    <row r="799" s="1" customFormat="1" spans="1:6">
      <c r="A799" s="40"/>
      <c r="D799" s="2"/>
      <c r="E799" s="2"/>
      <c r="F799" s="2">
        <v>397384.86</v>
      </c>
    </row>
    <row r="800" s="1" customFormat="1" spans="1:6">
      <c r="A800" s="40"/>
      <c r="D800" s="2"/>
      <c r="E800" s="2"/>
      <c r="F800" s="2">
        <v>397384.86</v>
      </c>
    </row>
    <row r="801" s="1" customFormat="1" spans="1:6">
      <c r="A801" s="40"/>
      <c r="D801" s="2"/>
      <c r="E801" s="2"/>
      <c r="F801" s="2">
        <v>397384.86</v>
      </c>
    </row>
    <row r="802" s="1" customFormat="1" spans="1:6">
      <c r="A802" s="40"/>
      <c r="D802" s="2"/>
      <c r="E802" s="2"/>
      <c r="F802" s="2">
        <v>397384.86</v>
      </c>
    </row>
    <row r="803" s="1" customFormat="1" spans="1:6">
      <c r="A803" s="40"/>
      <c r="D803" s="2"/>
      <c r="E803" s="2"/>
      <c r="F803" s="2">
        <v>397384.86</v>
      </c>
    </row>
    <row r="804" s="1" customFormat="1" spans="1:6">
      <c r="A804" s="40"/>
      <c r="D804" s="2"/>
      <c r="E804" s="2"/>
      <c r="F804" s="2">
        <v>397384.86</v>
      </c>
    </row>
    <row r="805" s="1" customFormat="1" spans="1:6">
      <c r="A805" s="40"/>
      <c r="D805" s="2"/>
      <c r="E805" s="2"/>
      <c r="F805" s="2">
        <v>397384.86</v>
      </c>
    </row>
    <row r="806" s="1" customFormat="1" spans="1:6">
      <c r="A806" s="40"/>
      <c r="D806" s="2"/>
      <c r="E806" s="2"/>
      <c r="F806" s="2">
        <v>397384.86</v>
      </c>
    </row>
    <row r="807" s="1" customFormat="1" spans="1:6">
      <c r="A807" s="40"/>
      <c r="D807" s="2"/>
      <c r="E807" s="2"/>
      <c r="F807" s="2">
        <v>397384.86</v>
      </c>
    </row>
    <row r="808" s="1" customFormat="1" spans="1:6">
      <c r="A808" s="40"/>
      <c r="D808" s="2"/>
      <c r="E808" s="2"/>
      <c r="F808" s="2">
        <v>397384.86</v>
      </c>
    </row>
    <row r="809" s="1" customFormat="1" spans="1:6">
      <c r="A809" s="40"/>
      <c r="D809" s="2"/>
      <c r="E809" s="2"/>
      <c r="F809" s="2">
        <v>397384.86</v>
      </c>
    </row>
    <row r="810" s="1" customFormat="1" spans="1:6">
      <c r="A810" s="40"/>
      <c r="D810" s="2"/>
      <c r="E810" s="2"/>
      <c r="F810" s="2">
        <v>397384.86</v>
      </c>
    </row>
    <row r="811" s="1" customFormat="1" spans="1:6">
      <c r="A811" s="40"/>
      <c r="D811" s="2"/>
      <c r="E811" s="2"/>
      <c r="F811" s="2">
        <v>397384.86</v>
      </c>
    </row>
    <row r="812" s="1" customFormat="1" spans="1:6">
      <c r="A812" s="40"/>
      <c r="D812" s="2"/>
      <c r="E812" s="2"/>
      <c r="F812" s="2">
        <v>397384.86</v>
      </c>
    </row>
    <row r="813" s="1" customFormat="1" spans="1:6">
      <c r="A813" s="40"/>
      <c r="D813" s="2"/>
      <c r="E813" s="2"/>
      <c r="F813" s="2">
        <v>397384.86</v>
      </c>
    </row>
    <row r="814" s="1" customFormat="1" spans="1:6">
      <c r="A814" s="40"/>
      <c r="D814" s="2"/>
      <c r="E814" s="2"/>
      <c r="F814" s="2">
        <v>397384.86</v>
      </c>
    </row>
    <row r="815" s="1" customFormat="1" spans="1:6">
      <c r="A815" s="40"/>
      <c r="D815" s="2"/>
      <c r="E815" s="2"/>
      <c r="F815" s="2">
        <v>397384.86</v>
      </c>
    </row>
    <row r="816" s="1" customFormat="1" spans="1:6">
      <c r="A816" s="40"/>
      <c r="D816" s="2"/>
      <c r="E816" s="2"/>
      <c r="F816" s="2">
        <v>397384.86</v>
      </c>
    </row>
    <row r="817" s="1" customFormat="1" spans="1:6">
      <c r="A817" s="40"/>
      <c r="D817" s="2"/>
      <c r="E817" s="2"/>
      <c r="F817" s="2">
        <v>397384.86</v>
      </c>
    </row>
    <row r="818" s="1" customFormat="1" spans="1:6">
      <c r="A818" s="40"/>
      <c r="D818" s="2"/>
      <c r="E818" s="2"/>
      <c r="F818" s="2">
        <v>397384.86</v>
      </c>
    </row>
    <row r="819" s="1" customFormat="1" spans="1:6">
      <c r="A819" s="40"/>
      <c r="D819" s="2"/>
      <c r="E819" s="2"/>
      <c r="F819" s="2">
        <v>397384.86</v>
      </c>
    </row>
    <row r="820" s="1" customFormat="1" spans="1:6">
      <c r="A820" s="40"/>
      <c r="D820" s="2"/>
      <c r="E820" s="2"/>
      <c r="F820" s="2">
        <v>397384.86</v>
      </c>
    </row>
    <row r="821" s="1" customFormat="1" spans="1:6">
      <c r="A821" s="40"/>
      <c r="D821" s="2"/>
      <c r="E821" s="2"/>
      <c r="F821" s="2">
        <v>397384.86</v>
      </c>
    </row>
    <row r="822" s="1" customFormat="1" spans="1:6">
      <c r="A822" s="40"/>
      <c r="D822" s="2"/>
      <c r="E822" s="2"/>
      <c r="F822" s="2">
        <v>397384.86</v>
      </c>
    </row>
    <row r="823" s="1" customFormat="1" spans="1:6">
      <c r="A823" s="40"/>
      <c r="D823" s="2"/>
      <c r="E823" s="2"/>
      <c r="F823" s="2">
        <v>397384.86</v>
      </c>
    </row>
    <row r="824" s="1" customFormat="1" spans="1:6">
      <c r="A824" s="40"/>
      <c r="D824" s="2"/>
      <c r="E824" s="2"/>
      <c r="F824" s="2">
        <v>397384.86</v>
      </c>
    </row>
    <row r="825" s="1" customFormat="1" spans="1:6">
      <c r="A825" s="40"/>
      <c r="D825" s="2"/>
      <c r="E825" s="2"/>
      <c r="F825" s="2">
        <v>397384.86</v>
      </c>
    </row>
    <row r="826" s="1" customFormat="1" spans="1:6">
      <c r="A826" s="40"/>
      <c r="D826" s="2"/>
      <c r="E826" s="2"/>
      <c r="F826" s="2">
        <v>397384.86</v>
      </c>
    </row>
    <row r="827" s="1" customFormat="1" spans="1:6">
      <c r="A827" s="40"/>
      <c r="D827" s="2"/>
      <c r="E827" s="2"/>
      <c r="F827" s="2">
        <v>397384.86</v>
      </c>
    </row>
    <row r="828" s="1" customFormat="1" spans="1:6">
      <c r="A828" s="40"/>
      <c r="D828" s="2"/>
      <c r="E828" s="2"/>
      <c r="F828" s="2">
        <v>397384.86</v>
      </c>
    </row>
    <row r="829" s="1" customFormat="1" spans="1:6">
      <c r="A829" s="40"/>
      <c r="D829" s="2"/>
      <c r="E829" s="2"/>
      <c r="F829" s="2">
        <v>397384.86</v>
      </c>
    </row>
    <row r="830" s="1" customFormat="1" spans="1:6">
      <c r="A830" s="40"/>
      <c r="D830" s="2"/>
      <c r="E830" s="2"/>
      <c r="F830" s="2">
        <v>397384.86</v>
      </c>
    </row>
    <row r="831" s="1" customFormat="1" spans="1:6">
      <c r="A831" s="40"/>
      <c r="D831" s="2"/>
      <c r="E831" s="2"/>
      <c r="F831" s="2">
        <v>397384.86</v>
      </c>
    </row>
    <row r="832" s="1" customFormat="1" spans="1:6">
      <c r="A832" s="40"/>
      <c r="D832" s="2"/>
      <c r="E832" s="2"/>
      <c r="F832" s="2">
        <v>397384.86</v>
      </c>
    </row>
    <row r="833" s="1" customFormat="1" spans="1:6">
      <c r="A833" s="40"/>
      <c r="D833" s="2"/>
      <c r="E833" s="2"/>
      <c r="F833" s="2">
        <v>397384.86</v>
      </c>
    </row>
    <row r="834" s="1" customFormat="1" spans="1:6">
      <c r="A834" s="40"/>
      <c r="D834" s="2"/>
      <c r="E834" s="2"/>
      <c r="F834" s="2">
        <v>397384.86</v>
      </c>
    </row>
    <row r="835" s="1" customFormat="1" spans="1:6">
      <c r="A835" s="40"/>
      <c r="D835" s="2"/>
      <c r="E835" s="2"/>
      <c r="F835" s="2">
        <v>397384.86</v>
      </c>
    </row>
    <row r="836" s="1" customFormat="1" spans="1:6">
      <c r="A836" s="40"/>
      <c r="D836" s="2"/>
      <c r="E836" s="2"/>
      <c r="F836" s="2">
        <v>397384.86</v>
      </c>
    </row>
    <row r="837" s="1" customFormat="1" spans="1:6">
      <c r="A837" s="40"/>
      <c r="D837" s="2"/>
      <c r="E837" s="2"/>
      <c r="F837" s="2">
        <v>397384.86</v>
      </c>
    </row>
    <row r="838" s="1" customFormat="1" spans="1:6">
      <c r="A838" s="40"/>
      <c r="D838" s="2"/>
      <c r="E838" s="2"/>
      <c r="F838" s="2">
        <v>397384.86</v>
      </c>
    </row>
    <row r="839" s="1" customFormat="1" spans="1:6">
      <c r="A839" s="40"/>
      <c r="D839" s="2"/>
      <c r="E839" s="2"/>
      <c r="F839" s="2">
        <v>397384.86</v>
      </c>
    </row>
    <row r="840" s="1" customFormat="1" spans="1:6">
      <c r="A840" s="40"/>
      <c r="D840" s="2"/>
      <c r="E840" s="2"/>
      <c r="F840" s="2">
        <v>397384.86</v>
      </c>
    </row>
    <row r="841" s="1" customFormat="1" spans="1:6">
      <c r="A841" s="40"/>
      <c r="D841" s="2"/>
      <c r="E841" s="2"/>
      <c r="F841" s="2">
        <v>397384.86</v>
      </c>
    </row>
    <row r="842" s="1" customFormat="1" spans="1:6">
      <c r="A842" s="40"/>
      <c r="D842" s="2"/>
      <c r="E842" s="2"/>
      <c r="F842" s="2">
        <v>397384.86</v>
      </c>
    </row>
    <row r="843" s="1" customFormat="1" spans="1:6">
      <c r="A843" s="40"/>
      <c r="D843" s="2"/>
      <c r="E843" s="2"/>
      <c r="F843" s="2">
        <v>397384.86</v>
      </c>
    </row>
    <row r="844" s="1" customFormat="1" spans="1:6">
      <c r="A844" s="40"/>
      <c r="D844" s="2"/>
      <c r="E844" s="2"/>
      <c r="F844" s="2">
        <v>397384.86</v>
      </c>
    </row>
    <row r="845" s="1" customFormat="1" spans="1:6">
      <c r="A845" s="40"/>
      <c r="D845" s="2"/>
      <c r="E845" s="2"/>
      <c r="F845" s="2">
        <v>397384.86</v>
      </c>
    </row>
    <row r="846" s="1" customFormat="1" spans="1:6">
      <c r="A846" s="40"/>
      <c r="D846" s="2"/>
      <c r="E846" s="2"/>
      <c r="F846" s="2">
        <v>397384.86</v>
      </c>
    </row>
    <row r="847" s="1" customFormat="1" spans="1:6">
      <c r="A847" s="40"/>
      <c r="D847" s="2"/>
      <c r="E847" s="2"/>
      <c r="F847" s="2">
        <v>397384.86</v>
      </c>
    </row>
    <row r="848" s="1" customFormat="1" spans="1:6">
      <c r="A848" s="40"/>
      <c r="D848" s="2"/>
      <c r="E848" s="2"/>
      <c r="F848" s="2">
        <v>397384.86</v>
      </c>
    </row>
    <row r="849" s="1" customFormat="1" spans="1:6">
      <c r="A849" s="40"/>
      <c r="D849" s="2"/>
      <c r="E849" s="2"/>
      <c r="F849" s="2">
        <v>397384.86</v>
      </c>
    </row>
    <row r="850" s="1" customFormat="1" spans="1:6">
      <c r="A850" s="40"/>
      <c r="D850" s="2"/>
      <c r="E850" s="2"/>
      <c r="F850" s="2">
        <v>397384.86</v>
      </c>
    </row>
    <row r="851" s="1" customFormat="1" spans="1:6">
      <c r="A851" s="40"/>
      <c r="D851" s="2"/>
      <c r="E851" s="2"/>
      <c r="F851" s="2">
        <v>397384.86</v>
      </c>
    </row>
    <row r="852" s="1" customFormat="1" spans="1:6">
      <c r="A852" s="40"/>
      <c r="D852" s="2"/>
      <c r="E852" s="2"/>
      <c r="F852" s="2">
        <v>397384.86</v>
      </c>
    </row>
    <row r="853" s="1" customFormat="1" spans="1:6">
      <c r="A853" s="40"/>
      <c r="D853" s="2"/>
      <c r="E853" s="2"/>
      <c r="F853" s="2">
        <v>397384.86</v>
      </c>
    </row>
    <row r="854" s="1" customFormat="1" spans="1:6">
      <c r="A854" s="40"/>
      <c r="D854" s="2"/>
      <c r="E854" s="2"/>
      <c r="F854" s="2">
        <v>397384.86</v>
      </c>
    </row>
    <row r="855" s="1" customFormat="1" spans="1:6">
      <c r="A855" s="40"/>
      <c r="D855" s="2"/>
      <c r="E855" s="2"/>
      <c r="F855" s="2">
        <v>397384.86</v>
      </c>
    </row>
    <row r="856" s="1" customFormat="1" spans="1:6">
      <c r="A856" s="40"/>
      <c r="D856" s="2"/>
      <c r="E856" s="2"/>
      <c r="F856" s="2">
        <v>397384.86</v>
      </c>
    </row>
    <row r="857" s="1" customFormat="1" spans="1:6">
      <c r="A857" s="40"/>
      <c r="D857" s="2"/>
      <c r="E857" s="2"/>
      <c r="F857" s="2">
        <v>397384.86</v>
      </c>
    </row>
    <row r="858" s="1" customFormat="1" spans="1:6">
      <c r="A858" s="40"/>
      <c r="D858" s="2"/>
      <c r="E858" s="2"/>
      <c r="F858" s="2">
        <v>397384.86</v>
      </c>
    </row>
    <row r="859" s="1" customFormat="1" spans="1:6">
      <c r="A859" s="40"/>
      <c r="D859" s="2"/>
      <c r="E859" s="2"/>
      <c r="F859" s="2">
        <v>397384.86</v>
      </c>
    </row>
    <row r="860" s="1" customFormat="1" spans="1:6">
      <c r="A860" s="40"/>
      <c r="D860" s="2"/>
      <c r="E860" s="2"/>
      <c r="F860" s="2">
        <v>397384.86</v>
      </c>
    </row>
    <row r="861" s="1" customFormat="1" spans="1:6">
      <c r="A861" s="40"/>
      <c r="D861" s="2"/>
      <c r="E861" s="2"/>
      <c r="F861" s="2">
        <v>397384.86</v>
      </c>
    </row>
    <row r="862" s="1" customFormat="1" spans="1:6">
      <c r="A862" s="40"/>
      <c r="D862" s="2"/>
      <c r="E862" s="2"/>
      <c r="F862" s="2">
        <v>397384.86</v>
      </c>
    </row>
    <row r="863" s="1" customFormat="1" spans="1:6">
      <c r="A863" s="40"/>
      <c r="D863" s="2"/>
      <c r="E863" s="2"/>
      <c r="F863" s="2">
        <v>397384.86</v>
      </c>
    </row>
    <row r="864" s="1" customFormat="1" spans="1:6">
      <c r="A864" s="40"/>
      <c r="D864" s="2"/>
      <c r="E864" s="2"/>
      <c r="F864" s="2">
        <v>397384.86</v>
      </c>
    </row>
    <row r="865" s="1" customFormat="1" spans="1:6">
      <c r="A865" s="40"/>
      <c r="D865" s="2"/>
      <c r="E865" s="2"/>
      <c r="F865" s="2">
        <v>397384.86</v>
      </c>
    </row>
    <row r="866" s="1" customFormat="1" spans="1:6">
      <c r="A866" s="40"/>
      <c r="D866" s="2"/>
      <c r="E866" s="2"/>
      <c r="F866" s="2">
        <v>397384.86</v>
      </c>
    </row>
    <row r="867" s="1" customFormat="1" spans="1:6">
      <c r="A867" s="40"/>
      <c r="D867" s="2"/>
      <c r="E867" s="2"/>
      <c r="F867" s="2">
        <v>397384.86</v>
      </c>
    </row>
    <row r="868" s="1" customFormat="1" spans="1:6">
      <c r="A868" s="40"/>
      <c r="D868" s="2"/>
      <c r="E868" s="2"/>
      <c r="F868" s="2">
        <v>397384.86</v>
      </c>
    </row>
    <row r="869" s="1" customFormat="1" spans="1:6">
      <c r="A869" s="40"/>
      <c r="D869" s="2"/>
      <c r="E869" s="2"/>
      <c r="F869" s="2">
        <v>397384.86</v>
      </c>
    </row>
    <row r="870" s="1" customFormat="1" spans="1:6">
      <c r="A870" s="40"/>
      <c r="D870" s="2"/>
      <c r="E870" s="2"/>
      <c r="F870" s="2">
        <v>397384.86</v>
      </c>
    </row>
    <row r="871" s="1" customFormat="1" spans="1:6">
      <c r="A871" s="40"/>
      <c r="D871" s="2"/>
      <c r="E871" s="2"/>
      <c r="F871" s="2">
        <v>397384.86</v>
      </c>
    </row>
    <row r="872" s="1" customFormat="1" spans="1:6">
      <c r="A872" s="40"/>
      <c r="D872" s="2"/>
      <c r="E872" s="2"/>
      <c r="F872" s="2">
        <v>397384.86</v>
      </c>
    </row>
    <row r="873" s="1" customFormat="1" spans="1:6">
      <c r="A873" s="40"/>
      <c r="D873" s="2"/>
      <c r="E873" s="2"/>
      <c r="F873" s="2">
        <v>397384.86</v>
      </c>
    </row>
    <row r="874" s="1" customFormat="1" spans="1:6">
      <c r="A874" s="40"/>
      <c r="D874" s="2"/>
      <c r="E874" s="2"/>
      <c r="F874" s="2">
        <v>397384.86</v>
      </c>
    </row>
    <row r="875" s="1" customFormat="1" spans="1:6">
      <c r="A875" s="40"/>
      <c r="D875" s="2"/>
      <c r="E875" s="2"/>
      <c r="F875" s="2">
        <v>397384.86</v>
      </c>
    </row>
    <row r="876" s="1" customFormat="1" spans="1:6">
      <c r="A876" s="40"/>
      <c r="D876" s="2"/>
      <c r="E876" s="2"/>
      <c r="F876" s="2">
        <v>397384.86</v>
      </c>
    </row>
    <row r="877" s="1" customFormat="1" spans="1:6">
      <c r="A877" s="40"/>
      <c r="D877" s="2"/>
      <c r="E877" s="2"/>
      <c r="F877" s="2">
        <v>397384.86</v>
      </c>
    </row>
    <row r="878" s="1" customFormat="1" spans="1:6">
      <c r="A878" s="40"/>
      <c r="D878" s="2"/>
      <c r="E878" s="2"/>
      <c r="F878" s="2">
        <v>397384.86</v>
      </c>
    </row>
    <row r="879" s="1" customFormat="1" spans="1:6">
      <c r="A879" s="40"/>
      <c r="D879" s="2"/>
      <c r="E879" s="2"/>
      <c r="F879" s="2">
        <v>397384.86</v>
      </c>
    </row>
    <row r="880" s="1" customFormat="1" spans="1:6">
      <c r="A880" s="40"/>
      <c r="D880" s="2"/>
      <c r="E880" s="2"/>
      <c r="F880" s="2">
        <v>397384.86</v>
      </c>
    </row>
    <row r="881" s="1" customFormat="1" spans="1:6">
      <c r="A881" s="40"/>
      <c r="D881" s="2"/>
      <c r="E881" s="2"/>
      <c r="F881" s="2">
        <v>397384.86</v>
      </c>
    </row>
    <row r="882" s="1" customFormat="1" spans="1:6">
      <c r="A882" s="40"/>
      <c r="D882" s="2"/>
      <c r="E882" s="2"/>
      <c r="F882" s="2">
        <v>397384.86</v>
      </c>
    </row>
    <row r="883" s="1" customFormat="1" spans="1:6">
      <c r="A883" s="40"/>
      <c r="D883" s="2"/>
      <c r="E883" s="2"/>
      <c r="F883" s="2">
        <v>397384.86</v>
      </c>
    </row>
    <row r="884" s="1" customFormat="1" spans="1:6">
      <c r="A884" s="40"/>
      <c r="D884" s="2"/>
      <c r="E884" s="2"/>
      <c r="F884" s="2">
        <v>397384.86</v>
      </c>
    </row>
    <row r="885" s="1" customFormat="1" spans="1:6">
      <c r="A885" s="40"/>
      <c r="D885" s="2"/>
      <c r="E885" s="2"/>
      <c r="F885" s="2">
        <v>397384.86</v>
      </c>
    </row>
    <row r="886" s="1" customFormat="1" spans="1:6">
      <c r="A886" s="40"/>
      <c r="D886" s="2"/>
      <c r="E886" s="2"/>
      <c r="F886" s="2">
        <v>397384.86</v>
      </c>
    </row>
    <row r="887" s="1" customFormat="1" spans="1:6">
      <c r="A887" s="40"/>
      <c r="D887" s="2"/>
      <c r="E887" s="2"/>
      <c r="F887" s="2">
        <v>397384.86</v>
      </c>
    </row>
    <row r="888" s="1" customFormat="1" spans="1:6">
      <c r="A888" s="40"/>
      <c r="D888" s="2"/>
      <c r="E888" s="2"/>
      <c r="F888" s="2">
        <v>397384.86</v>
      </c>
    </row>
    <row r="889" s="1" customFormat="1" spans="1:6">
      <c r="A889" s="40"/>
      <c r="D889" s="2"/>
      <c r="E889" s="2"/>
      <c r="F889" s="2">
        <v>397384.86</v>
      </c>
    </row>
    <row r="890" s="1" customFormat="1" spans="1:6">
      <c r="A890" s="40"/>
      <c r="D890" s="2"/>
      <c r="E890" s="2"/>
      <c r="F890" s="2">
        <v>397384.86</v>
      </c>
    </row>
    <row r="891" s="1" customFormat="1" spans="1:6">
      <c r="A891" s="40"/>
      <c r="D891" s="2"/>
      <c r="E891" s="2"/>
      <c r="F891" s="2">
        <v>397384.86</v>
      </c>
    </row>
    <row r="892" s="1" customFormat="1" spans="1:6">
      <c r="A892" s="40"/>
      <c r="D892" s="2"/>
      <c r="E892" s="2"/>
      <c r="F892" s="2">
        <v>397384.86</v>
      </c>
    </row>
    <row r="893" s="1" customFormat="1" spans="1:6">
      <c r="A893" s="40"/>
      <c r="D893" s="2"/>
      <c r="E893" s="2"/>
      <c r="F893" s="2">
        <v>397384.86</v>
      </c>
    </row>
    <row r="894" s="1" customFormat="1" spans="1:6">
      <c r="A894" s="40"/>
      <c r="D894" s="2"/>
      <c r="E894" s="2"/>
      <c r="F894" s="2">
        <v>397384.86</v>
      </c>
    </row>
    <row r="895" s="1" customFormat="1" spans="1:6">
      <c r="A895" s="40"/>
      <c r="D895" s="2"/>
      <c r="E895" s="2"/>
      <c r="F895" s="2">
        <v>397384.86</v>
      </c>
    </row>
    <row r="896" s="1" customFormat="1" spans="1:6">
      <c r="A896" s="40"/>
      <c r="D896" s="2"/>
      <c r="E896" s="2"/>
      <c r="F896" s="2">
        <v>397384.86</v>
      </c>
    </row>
    <row r="897" s="1" customFormat="1" spans="1:6">
      <c r="A897" s="40"/>
      <c r="D897" s="2"/>
      <c r="E897" s="2"/>
      <c r="F897" s="2">
        <v>397384.86</v>
      </c>
    </row>
    <row r="898" s="1" customFormat="1" spans="1:6">
      <c r="A898" s="40"/>
      <c r="D898" s="2"/>
      <c r="E898" s="2"/>
      <c r="F898" s="2">
        <v>397384.86</v>
      </c>
    </row>
    <row r="899" s="1" customFormat="1" spans="1:6">
      <c r="A899" s="40"/>
      <c r="D899" s="2"/>
      <c r="E899" s="2"/>
      <c r="F899" s="2">
        <v>397384.86</v>
      </c>
    </row>
    <row r="900" s="1" customFormat="1" spans="1:6">
      <c r="A900" s="40"/>
      <c r="D900" s="2"/>
      <c r="E900" s="2"/>
      <c r="F900" s="2">
        <v>397384.86</v>
      </c>
    </row>
    <row r="901" s="1" customFormat="1" spans="1:6">
      <c r="A901" s="40"/>
      <c r="D901" s="2"/>
      <c r="E901" s="2"/>
      <c r="F901" s="2">
        <v>397384.86</v>
      </c>
    </row>
    <row r="902" s="1" customFormat="1" spans="1:6">
      <c r="A902" s="40"/>
      <c r="D902" s="2"/>
      <c r="E902" s="2"/>
      <c r="F902" s="2">
        <v>397384.86</v>
      </c>
    </row>
    <row r="903" s="1" customFormat="1" spans="1:6">
      <c r="A903" s="40"/>
      <c r="D903" s="2"/>
      <c r="E903" s="2"/>
      <c r="F903" s="2">
        <v>397384.86</v>
      </c>
    </row>
    <row r="904" s="1" customFormat="1" spans="1:6">
      <c r="A904" s="40"/>
      <c r="D904" s="2"/>
      <c r="E904" s="2"/>
      <c r="F904" s="2">
        <v>397384.86</v>
      </c>
    </row>
    <row r="905" s="1" customFormat="1" spans="1:6">
      <c r="A905" s="40"/>
      <c r="D905" s="2"/>
      <c r="E905" s="2"/>
      <c r="F905" s="2">
        <v>397384.86</v>
      </c>
    </row>
    <row r="906" s="1" customFormat="1" spans="1:6">
      <c r="A906" s="40"/>
      <c r="D906" s="2"/>
      <c r="E906" s="2"/>
      <c r="F906" s="2">
        <v>397384.86</v>
      </c>
    </row>
    <row r="907" s="1" customFormat="1" spans="1:6">
      <c r="A907" s="40"/>
      <c r="D907" s="2"/>
      <c r="E907" s="2"/>
      <c r="F907" s="2">
        <v>397384.86</v>
      </c>
    </row>
    <row r="908" s="1" customFormat="1" spans="1:6">
      <c r="A908" s="40"/>
      <c r="D908" s="2"/>
      <c r="E908" s="2"/>
      <c r="F908" s="2">
        <v>397384.86</v>
      </c>
    </row>
    <row r="909" s="1" customFormat="1" spans="1:6">
      <c r="A909" s="40"/>
      <c r="D909" s="2"/>
      <c r="E909" s="2"/>
      <c r="F909" s="2">
        <v>397384.86</v>
      </c>
    </row>
    <row r="910" s="1" customFormat="1" spans="1:6">
      <c r="A910" s="40"/>
      <c r="D910" s="2"/>
      <c r="E910" s="2"/>
      <c r="F910" s="2">
        <v>397384.86</v>
      </c>
    </row>
    <row r="911" s="1" customFormat="1" spans="1:6">
      <c r="A911" s="40"/>
      <c r="D911" s="2"/>
      <c r="E911" s="2"/>
      <c r="F911" s="2">
        <v>397384.86</v>
      </c>
    </row>
    <row r="912" s="1" customFormat="1" spans="1:6">
      <c r="A912" s="40"/>
      <c r="D912" s="2"/>
      <c r="E912" s="2"/>
      <c r="F912" s="2">
        <v>397384.86</v>
      </c>
    </row>
    <row r="913" s="1" customFormat="1" spans="1:6">
      <c r="A913" s="40"/>
      <c r="D913" s="2"/>
      <c r="E913" s="2"/>
      <c r="F913" s="2">
        <v>397384.86</v>
      </c>
    </row>
    <row r="914" s="1" customFormat="1" spans="1:6">
      <c r="A914" s="40"/>
      <c r="D914" s="2"/>
      <c r="E914" s="2"/>
      <c r="F914" s="2">
        <v>397384.86</v>
      </c>
    </row>
    <row r="915" s="1" customFormat="1" spans="1:6">
      <c r="A915" s="40"/>
      <c r="D915" s="2"/>
      <c r="E915" s="2"/>
      <c r="F915" s="2">
        <v>397384.86</v>
      </c>
    </row>
    <row r="916" s="1" customFormat="1" spans="1:6">
      <c r="A916" s="40"/>
      <c r="D916" s="2"/>
      <c r="E916" s="2"/>
      <c r="F916" s="2">
        <v>397384.86</v>
      </c>
    </row>
    <row r="917" s="1" customFormat="1" spans="1:6">
      <c r="A917" s="40"/>
      <c r="D917" s="2"/>
      <c r="E917" s="2"/>
      <c r="F917" s="2">
        <v>397384.86</v>
      </c>
    </row>
    <row r="918" s="1" customFormat="1" spans="1:6">
      <c r="A918" s="40"/>
      <c r="D918" s="2"/>
      <c r="E918" s="2"/>
      <c r="F918" s="2">
        <v>397384.86</v>
      </c>
    </row>
    <row r="919" s="1" customFormat="1" spans="1:6">
      <c r="A919" s="40"/>
      <c r="D919" s="2"/>
      <c r="E919" s="2"/>
      <c r="F919" s="2">
        <v>397384.86</v>
      </c>
    </row>
    <row r="920" s="1" customFormat="1" spans="1:6">
      <c r="A920" s="40"/>
      <c r="D920" s="2"/>
      <c r="E920" s="2"/>
      <c r="F920" s="2">
        <v>397384.86</v>
      </c>
    </row>
    <row r="921" s="1" customFormat="1" spans="1:6">
      <c r="A921" s="40"/>
      <c r="D921" s="2"/>
      <c r="E921" s="2"/>
      <c r="F921" s="2">
        <v>397384.86</v>
      </c>
    </row>
    <row r="922" s="1" customFormat="1" spans="1:6">
      <c r="A922" s="40"/>
      <c r="D922" s="2"/>
      <c r="E922" s="2"/>
      <c r="F922" s="2">
        <v>397384.86</v>
      </c>
    </row>
    <row r="923" s="1" customFormat="1" spans="1:6">
      <c r="A923" s="40"/>
      <c r="D923" s="2"/>
      <c r="E923" s="2"/>
      <c r="F923" s="2">
        <v>397384.86</v>
      </c>
    </row>
    <row r="924" s="1" customFormat="1" spans="1:6">
      <c r="A924" s="40"/>
      <c r="D924" s="2"/>
      <c r="E924" s="2"/>
      <c r="F924" s="2">
        <v>397384.86</v>
      </c>
    </row>
    <row r="925" s="1" customFormat="1" spans="1:6">
      <c r="A925" s="40"/>
      <c r="D925" s="2"/>
      <c r="E925" s="2"/>
      <c r="F925" s="2">
        <v>397384.86</v>
      </c>
    </row>
    <row r="926" s="1" customFormat="1" spans="1:6">
      <c r="A926" s="40"/>
      <c r="D926" s="2"/>
      <c r="E926" s="2"/>
      <c r="F926" s="2">
        <v>397384.86</v>
      </c>
    </row>
    <row r="927" s="1" customFormat="1" spans="1:6">
      <c r="A927" s="40"/>
      <c r="D927" s="2"/>
      <c r="E927" s="2"/>
      <c r="F927" s="2">
        <v>397384.86</v>
      </c>
    </row>
    <row r="928" s="1" customFormat="1" spans="1:6">
      <c r="A928" s="40"/>
      <c r="D928" s="2"/>
      <c r="E928" s="2"/>
      <c r="F928" s="2">
        <v>397384.86</v>
      </c>
    </row>
    <row r="929" s="1" customFormat="1" spans="1:6">
      <c r="A929" s="40"/>
      <c r="D929" s="2"/>
      <c r="E929" s="2"/>
      <c r="F929" s="2">
        <v>397384.86</v>
      </c>
    </row>
    <row r="930" s="1" customFormat="1" spans="1:6">
      <c r="A930" s="40"/>
      <c r="D930" s="2"/>
      <c r="E930" s="2"/>
      <c r="F930" s="2">
        <v>397384.86</v>
      </c>
    </row>
    <row r="931" s="1" customFormat="1" spans="1:6">
      <c r="A931" s="40"/>
      <c r="D931" s="2"/>
      <c r="E931" s="2"/>
      <c r="F931" s="2">
        <v>397384.86</v>
      </c>
    </row>
    <row r="932" s="1" customFormat="1" spans="1:6">
      <c r="A932" s="40"/>
      <c r="D932" s="2"/>
      <c r="E932" s="2"/>
      <c r="F932" s="2">
        <v>397384.86</v>
      </c>
    </row>
    <row r="933" s="1" customFormat="1" spans="1:6">
      <c r="A933" s="40"/>
      <c r="D933" s="2"/>
      <c r="E933" s="2"/>
      <c r="F933" s="2">
        <v>397384.86</v>
      </c>
    </row>
    <row r="934" s="1" customFormat="1" spans="1:6">
      <c r="A934" s="40"/>
      <c r="D934" s="2"/>
      <c r="E934" s="2"/>
      <c r="F934" s="2">
        <v>397384.86</v>
      </c>
    </row>
    <row r="935" s="1" customFormat="1" spans="1:6">
      <c r="A935" s="40"/>
      <c r="D935" s="2"/>
      <c r="E935" s="2"/>
      <c r="F935" s="2">
        <v>397384.86</v>
      </c>
    </row>
    <row r="936" s="1" customFormat="1" spans="1:6">
      <c r="A936" s="40"/>
      <c r="D936" s="2"/>
      <c r="E936" s="2"/>
      <c r="F936" s="2">
        <v>397384.86</v>
      </c>
    </row>
    <row r="937" s="1" customFormat="1" spans="1:6">
      <c r="A937" s="40"/>
      <c r="D937" s="2"/>
      <c r="E937" s="2"/>
      <c r="F937" s="2">
        <v>397384.86</v>
      </c>
    </row>
    <row r="938" s="1" customFormat="1" spans="1:6">
      <c r="A938" s="40"/>
      <c r="D938" s="2"/>
      <c r="E938" s="2"/>
      <c r="F938" s="2">
        <v>397384.86</v>
      </c>
    </row>
    <row r="939" s="1" customFormat="1" spans="1:6">
      <c r="A939" s="40"/>
      <c r="D939" s="2"/>
      <c r="E939" s="2"/>
      <c r="F939" s="2">
        <v>397384.86</v>
      </c>
    </row>
    <row r="940" s="1" customFormat="1" spans="1:6">
      <c r="A940" s="40"/>
      <c r="D940" s="2"/>
      <c r="E940" s="2"/>
      <c r="F940" s="2">
        <v>397384.86</v>
      </c>
    </row>
    <row r="941" s="1" customFormat="1" spans="1:6">
      <c r="A941" s="40"/>
      <c r="D941" s="2"/>
      <c r="E941" s="2"/>
      <c r="F941" s="2">
        <v>397384.86</v>
      </c>
    </row>
    <row r="942" s="1" customFormat="1" spans="1:6">
      <c r="A942" s="40"/>
      <c r="D942" s="2"/>
      <c r="E942" s="2"/>
      <c r="F942" s="2">
        <v>397384.86</v>
      </c>
    </row>
    <row r="943" s="1" customFormat="1" spans="1:6">
      <c r="A943" s="40"/>
      <c r="D943" s="2"/>
      <c r="E943" s="2"/>
      <c r="F943" s="2">
        <v>397384.86</v>
      </c>
    </row>
    <row r="944" s="1" customFormat="1" spans="1:6">
      <c r="A944" s="40"/>
      <c r="D944" s="2"/>
      <c r="E944" s="2"/>
      <c r="F944" s="2">
        <v>397384.86</v>
      </c>
    </row>
    <row r="945" s="1" customFormat="1" spans="1:6">
      <c r="A945" s="40"/>
      <c r="D945" s="2"/>
      <c r="E945" s="2"/>
      <c r="F945" s="2">
        <v>397384.86</v>
      </c>
    </row>
    <row r="946" s="1" customFormat="1" spans="1:6">
      <c r="A946" s="40"/>
      <c r="D946" s="2"/>
      <c r="E946" s="2"/>
      <c r="F946" s="2">
        <v>397384.86</v>
      </c>
    </row>
    <row r="947" s="1" customFormat="1" spans="1:6">
      <c r="A947" s="40"/>
      <c r="D947" s="2"/>
      <c r="E947" s="2"/>
      <c r="F947" s="2">
        <v>397384.86</v>
      </c>
    </row>
    <row r="948" s="1" customFormat="1" spans="1:6">
      <c r="A948" s="40"/>
      <c r="D948" s="2"/>
      <c r="E948" s="2"/>
      <c r="F948" s="2">
        <v>397384.86</v>
      </c>
    </row>
    <row r="949" s="1" customFormat="1" spans="1:6">
      <c r="A949" s="40"/>
      <c r="D949" s="2"/>
      <c r="E949" s="2"/>
      <c r="F949" s="2">
        <v>397384.86</v>
      </c>
    </row>
    <row r="950" s="1" customFormat="1" spans="1:6">
      <c r="A950" s="40"/>
      <c r="D950" s="2"/>
      <c r="E950" s="2"/>
      <c r="F950" s="2">
        <v>397384.86</v>
      </c>
    </row>
    <row r="951" s="1" customFormat="1" spans="1:6">
      <c r="A951" s="40"/>
      <c r="D951" s="2"/>
      <c r="E951" s="2"/>
      <c r="F951" s="2">
        <v>397384.86</v>
      </c>
    </row>
    <row r="952" s="1" customFormat="1" spans="1:6">
      <c r="A952" s="40"/>
      <c r="D952" s="2"/>
      <c r="E952" s="2"/>
      <c r="F952" s="2">
        <v>397384.86</v>
      </c>
    </row>
    <row r="953" s="1" customFormat="1" spans="1:6">
      <c r="A953" s="40"/>
      <c r="D953" s="2"/>
      <c r="E953" s="2"/>
      <c r="F953" s="2">
        <v>397384.86</v>
      </c>
    </row>
    <row r="954" s="1" customFormat="1" spans="1:6">
      <c r="A954" s="40"/>
      <c r="D954" s="2"/>
      <c r="E954" s="2"/>
      <c r="F954" s="2">
        <v>397384.86</v>
      </c>
    </row>
    <row r="955" s="1" customFormat="1" spans="1:6">
      <c r="A955" s="40"/>
      <c r="D955" s="2"/>
      <c r="E955" s="2"/>
      <c r="F955" s="2">
        <v>397384.86</v>
      </c>
    </row>
    <row r="956" s="1" customFormat="1" spans="1:6">
      <c r="A956" s="40"/>
      <c r="D956" s="2"/>
      <c r="E956" s="2"/>
      <c r="F956" s="2">
        <v>397384.86</v>
      </c>
    </row>
    <row r="957" s="1" customFormat="1" spans="1:6">
      <c r="A957" s="40"/>
      <c r="D957" s="2"/>
      <c r="E957" s="2"/>
      <c r="F957" s="2">
        <v>397384.86</v>
      </c>
    </row>
    <row r="958" s="1" customFormat="1" spans="1:6">
      <c r="A958" s="40"/>
      <c r="D958" s="2"/>
      <c r="E958" s="2"/>
      <c r="F958" s="2">
        <v>397384.86</v>
      </c>
    </row>
    <row r="959" s="1" customFormat="1" spans="1:6">
      <c r="A959" s="40"/>
      <c r="D959" s="2"/>
      <c r="E959" s="2"/>
      <c r="F959" s="2">
        <v>397384.86</v>
      </c>
    </row>
    <row r="960" s="1" customFormat="1" spans="1:6">
      <c r="A960" s="40"/>
      <c r="D960" s="2"/>
      <c r="E960" s="2"/>
      <c r="F960" s="2">
        <v>397384.86</v>
      </c>
    </row>
    <row r="961" s="1" customFormat="1" spans="1:6">
      <c r="A961" s="40"/>
      <c r="D961" s="2"/>
      <c r="E961" s="2"/>
      <c r="F961" s="2">
        <v>397384.86</v>
      </c>
    </row>
    <row r="962" s="1" customFormat="1" spans="1:6">
      <c r="A962" s="40"/>
      <c r="D962" s="2"/>
      <c r="E962" s="2"/>
      <c r="F962" s="2">
        <v>397384.86</v>
      </c>
    </row>
    <row r="963" s="1" customFormat="1" spans="1:6">
      <c r="A963" s="40"/>
      <c r="D963" s="2"/>
      <c r="E963" s="2"/>
      <c r="F963" s="2">
        <v>397384.86</v>
      </c>
    </row>
    <row r="964" s="1" customFormat="1" spans="1:6">
      <c r="A964" s="40"/>
      <c r="D964" s="2"/>
      <c r="E964" s="2"/>
      <c r="F964" s="2">
        <v>397384.86</v>
      </c>
    </row>
    <row r="965" s="1" customFormat="1" spans="1:6">
      <c r="A965" s="40"/>
      <c r="D965" s="2"/>
      <c r="E965" s="2"/>
      <c r="F965" s="2">
        <v>397384.86</v>
      </c>
    </row>
    <row r="966" s="1" customFormat="1" spans="1:6">
      <c r="A966" s="40"/>
      <c r="D966" s="2"/>
      <c r="E966" s="2"/>
      <c r="F966" s="2">
        <v>397384.86</v>
      </c>
    </row>
    <row r="967" s="1" customFormat="1" spans="1:6">
      <c r="A967" s="40"/>
      <c r="D967" s="2"/>
      <c r="E967" s="2"/>
      <c r="F967" s="2">
        <v>397384.86</v>
      </c>
    </row>
    <row r="968" s="1" customFormat="1" spans="1:6">
      <c r="A968" s="40"/>
      <c r="D968" s="2"/>
      <c r="E968" s="2"/>
      <c r="F968" s="2">
        <v>397384.86</v>
      </c>
    </row>
    <row r="969" s="1" customFormat="1" spans="1:6">
      <c r="A969" s="40"/>
      <c r="D969" s="2"/>
      <c r="E969" s="2"/>
      <c r="F969" s="2">
        <v>397384.86</v>
      </c>
    </row>
    <row r="970" s="1" customFormat="1" spans="1:6">
      <c r="A970" s="40"/>
      <c r="D970" s="2"/>
      <c r="E970" s="2"/>
      <c r="F970" s="2">
        <v>397384.86</v>
      </c>
    </row>
    <row r="971" s="1" customFormat="1" spans="1:6">
      <c r="A971" s="40"/>
      <c r="D971" s="2"/>
      <c r="E971" s="2"/>
      <c r="F971" s="2">
        <v>397384.86</v>
      </c>
    </row>
    <row r="972" s="1" customFormat="1" spans="1:6">
      <c r="A972" s="40"/>
      <c r="D972" s="2"/>
      <c r="E972" s="2"/>
      <c r="F972" s="2">
        <v>397384.86</v>
      </c>
    </row>
    <row r="973" s="1" customFormat="1" spans="1:6">
      <c r="A973" s="40"/>
      <c r="D973" s="2"/>
      <c r="E973" s="2"/>
      <c r="F973" s="2">
        <v>397384.86</v>
      </c>
    </row>
    <row r="974" s="1" customFormat="1" spans="1:6">
      <c r="A974" s="40"/>
      <c r="D974" s="2"/>
      <c r="E974" s="2"/>
      <c r="F974" s="2">
        <v>397384.86</v>
      </c>
    </row>
    <row r="975" s="1" customFormat="1" spans="1:6">
      <c r="A975" s="40"/>
      <c r="D975" s="2"/>
      <c r="E975" s="2"/>
      <c r="F975" s="2">
        <v>397384.86</v>
      </c>
    </row>
    <row r="976" s="1" customFormat="1" spans="1:6">
      <c r="A976" s="40"/>
      <c r="D976" s="2"/>
      <c r="E976" s="2"/>
      <c r="F976" s="2">
        <v>397384.86</v>
      </c>
    </row>
    <row r="977" s="1" customFormat="1" spans="1:6">
      <c r="A977" s="40"/>
      <c r="D977" s="2"/>
      <c r="E977" s="2"/>
      <c r="F977" s="2">
        <v>397384.86</v>
      </c>
    </row>
    <row r="978" s="1" customFormat="1" spans="1:6">
      <c r="A978" s="40"/>
      <c r="D978" s="2"/>
      <c r="E978" s="2"/>
      <c r="F978" s="2">
        <v>397384.86</v>
      </c>
    </row>
    <row r="979" s="1" customFormat="1" spans="1:6">
      <c r="A979" s="40"/>
      <c r="D979" s="2"/>
      <c r="E979" s="2"/>
      <c r="F979" s="2">
        <v>397384.86</v>
      </c>
    </row>
    <row r="980" s="1" customFormat="1" spans="1:6">
      <c r="A980" s="40"/>
      <c r="D980" s="2"/>
      <c r="E980" s="2"/>
      <c r="F980" s="2">
        <v>397384.86</v>
      </c>
    </row>
    <row r="981" s="1" customFormat="1" spans="1:6">
      <c r="A981" s="40"/>
      <c r="D981" s="2"/>
      <c r="E981" s="2"/>
      <c r="F981" s="2">
        <v>397384.86</v>
      </c>
    </row>
    <row r="982" s="1" customFormat="1" spans="1:6">
      <c r="A982" s="40"/>
      <c r="D982" s="2"/>
      <c r="E982" s="2"/>
      <c r="F982" s="2">
        <v>397384.86</v>
      </c>
    </row>
    <row r="983" s="1" customFormat="1" spans="1:6">
      <c r="A983" s="40"/>
      <c r="D983" s="2"/>
      <c r="E983" s="2"/>
      <c r="F983" s="2">
        <v>397384.86</v>
      </c>
    </row>
    <row r="984" s="1" customFormat="1" spans="1:6">
      <c r="A984" s="40"/>
      <c r="D984" s="2"/>
      <c r="E984" s="2"/>
      <c r="F984" s="2">
        <v>397384.86</v>
      </c>
    </row>
    <row r="985" s="1" customFormat="1" spans="1:6">
      <c r="A985" s="40"/>
      <c r="D985" s="2"/>
      <c r="E985" s="2"/>
      <c r="F985" s="2">
        <v>397384.86</v>
      </c>
    </row>
    <row r="986" s="1" customFormat="1" spans="1:6">
      <c r="A986" s="40"/>
      <c r="D986" s="2"/>
      <c r="E986" s="2"/>
      <c r="F986" s="2">
        <v>397384.86</v>
      </c>
    </row>
    <row r="987" s="1" customFormat="1" spans="1:6">
      <c r="A987" s="40"/>
      <c r="D987" s="2"/>
      <c r="E987" s="2"/>
      <c r="F987" s="2">
        <v>397384.86</v>
      </c>
    </row>
    <row r="988" s="1" customFormat="1" spans="1:6">
      <c r="A988" s="40"/>
      <c r="D988" s="2"/>
      <c r="E988" s="2"/>
      <c r="F988" s="2">
        <v>397384.86</v>
      </c>
    </row>
    <row r="989" s="1" customFormat="1" spans="1:6">
      <c r="A989" s="40"/>
      <c r="D989" s="2"/>
      <c r="E989" s="2"/>
      <c r="F989" s="2">
        <v>397384.86</v>
      </c>
    </row>
    <row r="990" s="1" customFormat="1" spans="1:6">
      <c r="A990" s="40"/>
      <c r="D990" s="2"/>
      <c r="E990" s="2"/>
      <c r="F990" s="2">
        <v>397384.86</v>
      </c>
    </row>
    <row r="991" s="1" customFormat="1" spans="1:6">
      <c r="A991" s="40"/>
      <c r="D991" s="2"/>
      <c r="E991" s="2"/>
      <c r="F991" s="2">
        <v>397384.86</v>
      </c>
    </row>
    <row r="992" s="1" customFormat="1" spans="1:6">
      <c r="A992" s="40"/>
      <c r="D992" s="2"/>
      <c r="E992" s="2"/>
      <c r="F992" s="2">
        <v>397384.86</v>
      </c>
    </row>
    <row r="993" s="1" customFormat="1" spans="1:6">
      <c r="A993" s="40"/>
      <c r="D993" s="2"/>
      <c r="E993" s="2"/>
      <c r="F993" s="2">
        <v>397384.86</v>
      </c>
    </row>
    <row r="994" s="1" customFormat="1" spans="1:6">
      <c r="A994" s="40"/>
      <c r="D994" s="2"/>
      <c r="E994" s="2"/>
      <c r="F994" s="2">
        <v>397384.86</v>
      </c>
    </row>
    <row r="995" s="1" customFormat="1" spans="1:6">
      <c r="A995" s="40"/>
      <c r="D995" s="2"/>
      <c r="E995" s="2"/>
      <c r="F995" s="2">
        <v>397384.86</v>
      </c>
    </row>
    <row r="996" s="1" customFormat="1" spans="1:6">
      <c r="A996" s="40"/>
      <c r="D996" s="2"/>
      <c r="E996" s="2"/>
      <c r="F996" s="2">
        <v>397384.86</v>
      </c>
    </row>
    <row r="997" s="1" customFormat="1" spans="1:6">
      <c r="A997" s="40"/>
      <c r="D997" s="2"/>
      <c r="E997" s="2"/>
      <c r="F997" s="2">
        <v>397384.86</v>
      </c>
    </row>
    <row r="998" s="1" customFormat="1" spans="1:6">
      <c r="A998" s="40"/>
      <c r="D998" s="2"/>
      <c r="E998" s="2"/>
      <c r="F998" s="2">
        <v>397384.86</v>
      </c>
    </row>
    <row r="999" s="1" customFormat="1" spans="1:6">
      <c r="A999" s="40"/>
      <c r="D999" s="2"/>
      <c r="E999" s="2"/>
      <c r="F999" s="2">
        <v>397384.86</v>
      </c>
    </row>
    <row r="1000" s="1" customFormat="1" spans="1:6">
      <c r="A1000" s="40"/>
      <c r="D1000" s="2"/>
      <c r="E1000" s="2"/>
      <c r="F1000" s="2">
        <v>397384.86</v>
      </c>
    </row>
    <row r="1001" s="1" customFormat="1" spans="1:6">
      <c r="A1001" s="40"/>
      <c r="D1001" s="2"/>
      <c r="E1001" s="2"/>
      <c r="F1001" s="2">
        <v>397384.86</v>
      </c>
    </row>
    <row r="1002" s="1" customFormat="1" spans="1:6">
      <c r="A1002" s="40"/>
      <c r="D1002" s="2"/>
      <c r="E1002" s="2"/>
      <c r="F1002" s="2">
        <v>397384.86</v>
      </c>
    </row>
    <row r="1003" s="1" customFormat="1" spans="1:6">
      <c r="A1003" s="40"/>
      <c r="D1003" s="2"/>
      <c r="E1003" s="2"/>
      <c r="F1003" s="2">
        <v>397384.86</v>
      </c>
    </row>
    <row r="1004" s="1" customFormat="1" spans="1:6">
      <c r="A1004" s="40"/>
      <c r="D1004" s="2"/>
      <c r="E1004" s="2"/>
      <c r="F1004" s="2">
        <v>397384.86</v>
      </c>
    </row>
    <row r="1005" s="1" customFormat="1" spans="1:6">
      <c r="A1005" s="40"/>
      <c r="D1005" s="2"/>
      <c r="E1005" s="2"/>
      <c r="F1005" s="2">
        <v>397384.86</v>
      </c>
    </row>
    <row r="1006" s="1" customFormat="1" spans="1:6">
      <c r="A1006" s="40"/>
      <c r="D1006" s="2"/>
      <c r="E1006" s="2"/>
      <c r="F1006" s="2">
        <v>397384.86</v>
      </c>
    </row>
    <row r="1007" s="1" customFormat="1" spans="1:6">
      <c r="A1007" s="40"/>
      <c r="D1007" s="2"/>
      <c r="E1007" s="2"/>
      <c r="F1007" s="2">
        <v>397384.86</v>
      </c>
    </row>
    <row r="1008" s="1" customFormat="1" spans="1:6">
      <c r="A1008" s="40"/>
      <c r="D1008" s="2"/>
      <c r="E1008" s="2"/>
      <c r="F1008" s="2">
        <v>397384.86</v>
      </c>
    </row>
    <row r="1009" s="1" customFormat="1" spans="1:6">
      <c r="A1009" s="40"/>
      <c r="D1009" s="2"/>
      <c r="E1009" s="2"/>
      <c r="F1009" s="2">
        <v>397384.86</v>
      </c>
    </row>
    <row r="1010" s="1" customFormat="1" spans="1:6">
      <c r="A1010" s="40"/>
      <c r="D1010" s="2"/>
      <c r="E1010" s="2"/>
      <c r="F1010" s="2">
        <v>397384.86</v>
      </c>
    </row>
    <row r="1011" s="1" customFormat="1" spans="1:6">
      <c r="A1011" s="40"/>
      <c r="D1011" s="2"/>
      <c r="E1011" s="2"/>
      <c r="F1011" s="2">
        <v>397384.86</v>
      </c>
    </row>
    <row r="1012" s="1" customFormat="1" spans="1:6">
      <c r="A1012" s="40"/>
      <c r="D1012" s="2"/>
      <c r="E1012" s="2"/>
      <c r="F1012" s="2">
        <v>397384.86</v>
      </c>
    </row>
    <row r="1013" s="1" customFormat="1" spans="1:6">
      <c r="A1013" s="40"/>
      <c r="D1013" s="2"/>
      <c r="E1013" s="2"/>
      <c r="F1013" s="2">
        <v>397384.86</v>
      </c>
    </row>
    <row r="1014" s="1" customFormat="1" spans="1:6">
      <c r="A1014" s="40"/>
      <c r="D1014" s="2"/>
      <c r="E1014" s="2"/>
      <c r="F1014" s="2">
        <v>397384.86</v>
      </c>
    </row>
    <row r="1015" s="1" customFormat="1" spans="1:6">
      <c r="A1015" s="40"/>
      <c r="D1015" s="2"/>
      <c r="E1015" s="2"/>
      <c r="F1015" s="2">
        <v>397384.86</v>
      </c>
    </row>
    <row r="1016" s="1" customFormat="1" spans="1:6">
      <c r="A1016" s="40"/>
      <c r="D1016" s="2"/>
      <c r="E1016" s="2"/>
      <c r="F1016" s="2">
        <v>397384.86</v>
      </c>
    </row>
    <row r="1017" s="1" customFormat="1" spans="1:6">
      <c r="A1017" s="40"/>
      <c r="D1017" s="2"/>
      <c r="E1017" s="2"/>
      <c r="F1017" s="2">
        <v>397384.86</v>
      </c>
    </row>
    <row r="1018" s="1" customFormat="1" spans="1:6">
      <c r="A1018" s="40"/>
      <c r="D1018" s="2"/>
      <c r="E1018" s="2"/>
      <c r="F1018" s="2">
        <v>397384.86</v>
      </c>
    </row>
    <row r="1019" s="1" customFormat="1" spans="1:6">
      <c r="A1019" s="40"/>
      <c r="D1019" s="2"/>
      <c r="E1019" s="2"/>
      <c r="F1019" s="2">
        <v>397384.86</v>
      </c>
    </row>
    <row r="1020" s="1" customFormat="1" spans="1:6">
      <c r="A1020" s="40"/>
      <c r="D1020" s="2"/>
      <c r="E1020" s="2"/>
      <c r="F1020" s="2">
        <v>397384.86</v>
      </c>
    </row>
    <row r="1021" s="1" customFormat="1" spans="1:6">
      <c r="A1021" s="40"/>
      <c r="D1021" s="2"/>
      <c r="E1021" s="2"/>
      <c r="F1021" s="2">
        <v>397384.86</v>
      </c>
    </row>
    <row r="1022" s="1" customFormat="1" spans="1:6">
      <c r="A1022" s="40"/>
      <c r="D1022" s="2"/>
      <c r="E1022" s="2"/>
      <c r="F1022" s="2">
        <v>397384.86</v>
      </c>
    </row>
    <row r="1023" s="1" customFormat="1" spans="1:6">
      <c r="A1023" s="40"/>
      <c r="D1023" s="2"/>
      <c r="E1023" s="2"/>
      <c r="F1023" s="2">
        <v>397384.86</v>
      </c>
    </row>
    <row r="1024" s="1" customFormat="1" spans="1:6">
      <c r="A1024" s="40"/>
      <c r="D1024" s="2"/>
      <c r="E1024" s="2"/>
      <c r="F1024" s="2">
        <v>397384.86</v>
      </c>
    </row>
    <row r="1025" s="1" customFormat="1" spans="1:6">
      <c r="A1025" s="40"/>
      <c r="D1025" s="2"/>
      <c r="E1025" s="2"/>
      <c r="F1025" s="2">
        <v>397384.86</v>
      </c>
    </row>
    <row r="1026" s="1" customFormat="1" spans="1:6">
      <c r="A1026" s="40"/>
      <c r="D1026" s="2"/>
      <c r="E1026" s="2"/>
      <c r="F1026" s="2">
        <v>397384.86</v>
      </c>
    </row>
    <row r="1027" s="1" customFormat="1" spans="1:6">
      <c r="A1027" s="40"/>
      <c r="D1027" s="2"/>
      <c r="E1027" s="2"/>
      <c r="F1027" s="2">
        <v>397384.86</v>
      </c>
    </row>
    <row r="1028" s="1" customFormat="1" spans="1:6">
      <c r="A1028" s="40"/>
      <c r="D1028" s="2"/>
      <c r="E1028" s="2"/>
      <c r="F1028" s="2">
        <v>397384.86</v>
      </c>
    </row>
    <row r="1029" s="1" customFormat="1" spans="1:6">
      <c r="A1029" s="40"/>
      <c r="D1029" s="2"/>
      <c r="E1029" s="2"/>
      <c r="F1029" s="2">
        <v>397384.86</v>
      </c>
    </row>
    <row r="1030" s="1" customFormat="1" spans="1:6">
      <c r="A1030" s="40"/>
      <c r="D1030" s="2"/>
      <c r="E1030" s="2"/>
      <c r="F1030" s="2">
        <v>397384.86</v>
      </c>
    </row>
    <row r="1031" s="1" customFormat="1" spans="1:6">
      <c r="A1031" s="40"/>
      <c r="D1031" s="2"/>
      <c r="E1031" s="2"/>
      <c r="F1031" s="2">
        <v>397384.86</v>
      </c>
    </row>
    <row r="1032" s="1" customFormat="1" spans="1:6">
      <c r="A1032" s="40"/>
      <c r="D1032" s="2"/>
      <c r="E1032" s="2"/>
      <c r="F1032" s="2">
        <v>397384.86</v>
      </c>
    </row>
    <row r="1033" s="1" customFormat="1" spans="1:6">
      <c r="A1033" s="40"/>
      <c r="D1033" s="2"/>
      <c r="E1033" s="2"/>
      <c r="F1033" s="2">
        <v>397384.86</v>
      </c>
    </row>
    <row r="1034" s="1" customFormat="1" spans="1:6">
      <c r="A1034" s="40"/>
      <c r="D1034" s="2"/>
      <c r="E1034" s="2"/>
      <c r="F1034" s="2">
        <v>397384.86</v>
      </c>
    </row>
    <row r="1035" s="1" customFormat="1" spans="1:6">
      <c r="A1035" s="40"/>
      <c r="D1035" s="2"/>
      <c r="E1035" s="2"/>
      <c r="F1035" s="2">
        <v>397384.86</v>
      </c>
    </row>
    <row r="1036" s="1" customFormat="1" spans="1:6">
      <c r="A1036" s="40"/>
      <c r="D1036" s="2"/>
      <c r="E1036" s="2"/>
      <c r="F1036" s="2">
        <v>397384.86</v>
      </c>
    </row>
    <row r="1037" s="1" customFormat="1" spans="1:6">
      <c r="A1037" s="40"/>
      <c r="D1037" s="2"/>
      <c r="E1037" s="2"/>
      <c r="F1037" s="2">
        <v>397384.86</v>
      </c>
    </row>
    <row r="1038" s="1" customFormat="1" spans="1:6">
      <c r="A1038" s="40"/>
      <c r="D1038" s="2"/>
      <c r="E1038" s="2"/>
      <c r="F1038" s="2">
        <v>397384.86</v>
      </c>
    </row>
    <row r="1039" s="1" customFormat="1" spans="1:6">
      <c r="A1039" s="40"/>
      <c r="D1039" s="2"/>
      <c r="E1039" s="2"/>
      <c r="F1039" s="2">
        <v>397384.86</v>
      </c>
    </row>
    <row r="1040" s="1" customFormat="1" spans="1:6">
      <c r="A1040" s="40"/>
      <c r="D1040" s="2"/>
      <c r="E1040" s="2"/>
      <c r="F1040" s="2">
        <v>397384.86</v>
      </c>
    </row>
    <row r="1041" s="1" customFormat="1" spans="1:6">
      <c r="A1041" s="40"/>
      <c r="D1041" s="2"/>
      <c r="E1041" s="2"/>
      <c r="F1041" s="2">
        <v>397384.86</v>
      </c>
    </row>
    <row r="1042" s="1" customFormat="1" spans="1:6">
      <c r="A1042" s="40"/>
      <c r="D1042" s="2"/>
      <c r="E1042" s="2"/>
      <c r="F1042" s="2">
        <v>397384.86</v>
      </c>
    </row>
    <row r="1043" s="1" customFormat="1" spans="1:6">
      <c r="A1043" s="40"/>
      <c r="D1043" s="2"/>
      <c r="E1043" s="2"/>
      <c r="F1043" s="2">
        <v>397384.86</v>
      </c>
    </row>
    <row r="1044" s="1" customFormat="1" spans="1:6">
      <c r="A1044" s="40"/>
      <c r="D1044" s="2"/>
      <c r="E1044" s="2"/>
      <c r="F1044" s="2">
        <v>397384.86</v>
      </c>
    </row>
    <row r="1045" s="1" customFormat="1" spans="1:6">
      <c r="A1045" s="40"/>
      <c r="D1045" s="2"/>
      <c r="E1045" s="2"/>
      <c r="F1045" s="2">
        <v>397384.86</v>
      </c>
    </row>
    <row r="1046" s="1" customFormat="1" spans="1:6">
      <c r="A1046" s="40"/>
      <c r="D1046" s="2"/>
      <c r="E1046" s="2"/>
      <c r="F1046" s="2">
        <v>397384.86</v>
      </c>
    </row>
    <row r="1047" s="1" customFormat="1" spans="1:6">
      <c r="A1047" s="40"/>
      <c r="D1047" s="2"/>
      <c r="E1047" s="2"/>
      <c r="F1047" s="2">
        <v>397384.86</v>
      </c>
    </row>
    <row r="1048" s="1" customFormat="1" spans="1:6">
      <c r="A1048" s="40"/>
      <c r="D1048" s="2"/>
      <c r="E1048" s="2"/>
      <c r="F1048" s="2">
        <v>397384.86</v>
      </c>
    </row>
    <row r="1049" s="1" customFormat="1" spans="1:6">
      <c r="A1049" s="40"/>
      <c r="D1049" s="2"/>
      <c r="E1049" s="2"/>
      <c r="F1049" s="2">
        <v>397384.86</v>
      </c>
    </row>
    <row r="1050" s="1" customFormat="1" spans="1:6">
      <c r="A1050" s="40"/>
      <c r="D1050" s="2"/>
      <c r="E1050" s="2"/>
      <c r="F1050" s="2">
        <v>397384.86</v>
      </c>
    </row>
    <row r="1051" s="1" customFormat="1" spans="1:6">
      <c r="A1051" s="40"/>
      <c r="D1051" s="2"/>
      <c r="E1051" s="2"/>
      <c r="F1051" s="2">
        <v>397384.86</v>
      </c>
    </row>
    <row r="1052" s="1" customFormat="1" spans="1:6">
      <c r="A1052" s="40"/>
      <c r="D1052" s="2"/>
      <c r="E1052" s="2"/>
      <c r="F1052" s="2">
        <v>397384.86</v>
      </c>
    </row>
    <row r="1053" s="1" customFormat="1" spans="1:6">
      <c r="A1053" s="40"/>
      <c r="D1053" s="2"/>
      <c r="E1053" s="2"/>
      <c r="F1053" s="2">
        <v>397384.86</v>
      </c>
    </row>
    <row r="1054" s="1" customFormat="1" spans="1:6">
      <c r="A1054" s="40"/>
      <c r="D1054" s="2"/>
      <c r="E1054" s="2"/>
      <c r="F1054" s="2">
        <v>397384.86</v>
      </c>
    </row>
    <row r="1055" s="1" customFormat="1" spans="1:6">
      <c r="A1055" s="40"/>
      <c r="D1055" s="2"/>
      <c r="E1055" s="2"/>
      <c r="F1055" s="2">
        <v>397384.86</v>
      </c>
    </row>
    <row r="1056" s="1" customFormat="1" spans="1:6">
      <c r="A1056" s="40"/>
      <c r="D1056" s="2"/>
      <c r="E1056" s="2"/>
      <c r="F1056" s="2">
        <v>397384.86</v>
      </c>
    </row>
    <row r="1057" s="1" customFormat="1" spans="1:6">
      <c r="A1057" s="40"/>
      <c r="D1057" s="2"/>
      <c r="E1057" s="2"/>
      <c r="F1057" s="2">
        <v>397384.86</v>
      </c>
    </row>
    <row r="1058" s="1" customFormat="1" spans="1:6">
      <c r="A1058" s="40"/>
      <c r="D1058" s="2"/>
      <c r="E1058" s="2"/>
      <c r="F1058" s="2">
        <v>397384.86</v>
      </c>
    </row>
    <row r="1059" s="1" customFormat="1" spans="1:6">
      <c r="A1059" s="40"/>
      <c r="D1059" s="2"/>
      <c r="E1059" s="2"/>
      <c r="F1059" s="2">
        <v>397384.86</v>
      </c>
    </row>
    <row r="1060" s="1" customFormat="1" spans="1:6">
      <c r="A1060" s="40"/>
      <c r="D1060" s="2"/>
      <c r="E1060" s="2"/>
      <c r="F1060" s="2">
        <v>397384.86</v>
      </c>
    </row>
    <row r="1061" s="1" customFormat="1" spans="1:6">
      <c r="A1061" s="40"/>
      <c r="D1061" s="2"/>
      <c r="E1061" s="2"/>
      <c r="F1061" s="2">
        <v>397384.86</v>
      </c>
    </row>
    <row r="1062" s="1" customFormat="1" spans="1:6">
      <c r="A1062" s="40"/>
      <c r="D1062" s="2"/>
      <c r="E1062" s="2"/>
      <c r="F1062" s="2">
        <v>397384.86</v>
      </c>
    </row>
    <row r="1063" s="1" customFormat="1" spans="1:6">
      <c r="A1063" s="40"/>
      <c r="D1063" s="2"/>
      <c r="E1063" s="2"/>
      <c r="F1063" s="2">
        <v>397384.86</v>
      </c>
    </row>
    <row r="1064" s="1" customFormat="1" spans="1:6">
      <c r="A1064" s="40"/>
      <c r="D1064" s="2"/>
      <c r="E1064" s="2"/>
      <c r="F1064" s="2">
        <v>397384.86</v>
      </c>
    </row>
    <row r="1065" s="1" customFormat="1" spans="1:6">
      <c r="A1065" s="40"/>
      <c r="D1065" s="2"/>
      <c r="E1065" s="2"/>
      <c r="F1065" s="2">
        <v>397384.86</v>
      </c>
    </row>
    <row r="1066" s="1" customFormat="1" spans="1:6">
      <c r="A1066" s="40"/>
      <c r="D1066" s="2"/>
      <c r="E1066" s="2"/>
      <c r="F1066" s="2">
        <v>397384.86</v>
      </c>
    </row>
    <row r="1067" s="1" customFormat="1" spans="1:6">
      <c r="A1067" s="40"/>
      <c r="D1067" s="2"/>
      <c r="E1067" s="2"/>
      <c r="F1067" s="2">
        <v>397384.86</v>
      </c>
    </row>
    <row r="1068" s="1" customFormat="1" spans="1:6">
      <c r="A1068" s="40"/>
      <c r="D1068" s="2"/>
      <c r="E1068" s="2"/>
      <c r="F1068" s="2">
        <v>397384.86</v>
      </c>
    </row>
    <row r="1069" s="1" customFormat="1" spans="1:6">
      <c r="A1069" s="40"/>
      <c r="D1069" s="2"/>
      <c r="E1069" s="2"/>
      <c r="F1069" s="2">
        <v>397384.86</v>
      </c>
    </row>
    <row r="1070" s="1" customFormat="1" spans="1:6">
      <c r="A1070" s="40"/>
      <c r="D1070" s="2"/>
      <c r="E1070" s="2"/>
      <c r="F1070" s="2">
        <v>397384.86</v>
      </c>
    </row>
    <row r="1071" s="1" customFormat="1" spans="1:6">
      <c r="A1071" s="40"/>
      <c r="D1071" s="2"/>
      <c r="E1071" s="2"/>
      <c r="F1071" s="2">
        <v>397384.86</v>
      </c>
    </row>
    <row r="1072" s="1" customFormat="1" spans="1:6">
      <c r="A1072" s="40"/>
      <c r="D1072" s="2"/>
      <c r="E1072" s="2"/>
      <c r="F1072" s="2">
        <v>397384.86</v>
      </c>
    </row>
    <row r="1073" s="1" customFormat="1" spans="1:6">
      <c r="A1073" s="40"/>
      <c r="D1073" s="2"/>
      <c r="E1073" s="2"/>
      <c r="F1073" s="2">
        <v>397384.86</v>
      </c>
    </row>
    <row r="1074" s="1" customFormat="1" spans="1:6">
      <c r="A1074" s="40"/>
      <c r="D1074" s="2"/>
      <c r="E1074" s="2"/>
      <c r="F1074" s="2">
        <v>397384.86</v>
      </c>
    </row>
    <row r="1075" s="1" customFormat="1" spans="1:6">
      <c r="A1075" s="40"/>
      <c r="D1075" s="2"/>
      <c r="E1075" s="2"/>
      <c r="F1075" s="2">
        <v>397384.86</v>
      </c>
    </row>
    <row r="1076" s="1" customFormat="1" spans="1:6">
      <c r="A1076" s="40"/>
      <c r="D1076" s="2"/>
      <c r="E1076" s="2"/>
      <c r="F1076" s="2">
        <v>397384.86</v>
      </c>
    </row>
    <row r="1077" s="1" customFormat="1" spans="1:6">
      <c r="A1077" s="40"/>
      <c r="D1077" s="2"/>
      <c r="E1077" s="2"/>
      <c r="F1077" s="2">
        <v>397384.86</v>
      </c>
    </row>
    <row r="1078" s="1" customFormat="1" spans="1:6">
      <c r="A1078" s="40"/>
      <c r="D1078" s="2"/>
      <c r="E1078" s="2"/>
      <c r="F1078" s="2">
        <v>397384.86</v>
      </c>
    </row>
    <row r="1079" s="1" customFormat="1" spans="1:6">
      <c r="A1079" s="40"/>
      <c r="D1079" s="2"/>
      <c r="E1079" s="2"/>
      <c r="F1079" s="2">
        <v>397384.86</v>
      </c>
    </row>
    <row r="1080" s="1" customFormat="1" spans="1:6">
      <c r="A1080" s="40"/>
      <c r="D1080" s="2"/>
      <c r="E1080" s="2"/>
      <c r="F1080" s="2">
        <v>397384.86</v>
      </c>
    </row>
    <row r="1081" s="1" customFormat="1" spans="1:6">
      <c r="A1081" s="40"/>
      <c r="D1081" s="2"/>
      <c r="E1081" s="2"/>
      <c r="F1081" s="2">
        <v>397384.86</v>
      </c>
    </row>
    <row r="1082" s="1" customFormat="1" spans="1:6">
      <c r="A1082" s="40"/>
      <c r="D1082" s="2"/>
      <c r="E1082" s="2"/>
      <c r="F1082" s="2">
        <v>397384.86</v>
      </c>
    </row>
    <row r="1083" s="1" customFormat="1" spans="1:6">
      <c r="A1083" s="40"/>
      <c r="D1083" s="2"/>
      <c r="E1083" s="2"/>
      <c r="F1083" s="2">
        <v>397384.86</v>
      </c>
    </row>
    <row r="1084" s="1" customFormat="1" spans="1:6">
      <c r="A1084" s="40"/>
      <c r="D1084" s="2"/>
      <c r="E1084" s="2"/>
      <c r="F1084" s="2">
        <v>397384.86</v>
      </c>
    </row>
    <row r="1085" s="1" customFormat="1" spans="1:6">
      <c r="A1085" s="40"/>
      <c r="D1085" s="2"/>
      <c r="E1085" s="2"/>
      <c r="F1085" s="2">
        <v>397384.86</v>
      </c>
    </row>
    <row r="1086" s="1" customFormat="1" spans="1:6">
      <c r="A1086" s="40"/>
      <c r="D1086" s="2"/>
      <c r="E1086" s="2"/>
      <c r="F1086" s="2">
        <v>397384.86</v>
      </c>
    </row>
    <row r="1087" s="1" customFormat="1" spans="1:6">
      <c r="A1087" s="40"/>
      <c r="D1087" s="2"/>
      <c r="E1087" s="2"/>
      <c r="F1087" s="2">
        <v>397384.86</v>
      </c>
    </row>
    <row r="1088" s="1" customFormat="1" spans="1:6">
      <c r="A1088" s="40"/>
      <c r="D1088" s="2"/>
      <c r="E1088" s="2"/>
      <c r="F1088" s="2">
        <v>397384.86</v>
      </c>
    </row>
    <row r="1089" s="1" customFormat="1" spans="1:6">
      <c r="A1089" s="40"/>
      <c r="D1089" s="2"/>
      <c r="E1089" s="2"/>
      <c r="F1089" s="2">
        <v>397384.86</v>
      </c>
    </row>
    <row r="1090" s="1" customFormat="1" spans="1:6">
      <c r="A1090" s="40"/>
      <c r="D1090" s="2"/>
      <c r="E1090" s="2"/>
      <c r="F1090" s="2">
        <v>397384.86</v>
      </c>
    </row>
    <row r="1091" s="1" customFormat="1" spans="1:6">
      <c r="A1091" s="40"/>
      <c r="D1091" s="2"/>
      <c r="E1091" s="2"/>
      <c r="F1091" s="2">
        <v>397384.86</v>
      </c>
    </row>
    <row r="1092" s="1" customFormat="1" spans="1:6">
      <c r="A1092" s="40"/>
      <c r="D1092" s="2"/>
      <c r="E1092" s="2"/>
      <c r="F1092" s="2">
        <v>397384.86</v>
      </c>
    </row>
    <row r="1093" s="1" customFormat="1" spans="1:6">
      <c r="A1093" s="40"/>
      <c r="D1093" s="2"/>
      <c r="E1093" s="2"/>
      <c r="F1093" s="2">
        <v>397384.86</v>
      </c>
    </row>
    <row r="1094" s="1" customFormat="1" spans="1:6">
      <c r="A1094" s="40"/>
      <c r="D1094" s="2"/>
      <c r="E1094" s="2"/>
      <c r="F1094" s="2">
        <v>397384.86</v>
      </c>
    </row>
    <row r="1095" s="1" customFormat="1" spans="1:6">
      <c r="A1095" s="40"/>
      <c r="D1095" s="2"/>
      <c r="E1095" s="2"/>
      <c r="F1095" s="2">
        <v>397384.86</v>
      </c>
    </row>
    <row r="1096" s="1" customFormat="1" spans="1:6">
      <c r="A1096" s="40"/>
      <c r="D1096" s="2"/>
      <c r="E1096" s="2"/>
      <c r="F1096" s="2">
        <v>397384.86</v>
      </c>
    </row>
    <row r="1097" s="1" customFormat="1" spans="1:6">
      <c r="A1097" s="40"/>
      <c r="D1097" s="2"/>
      <c r="E1097" s="2"/>
      <c r="F1097" s="2">
        <v>397384.86</v>
      </c>
    </row>
    <row r="1098" s="1" customFormat="1" spans="1:6">
      <c r="A1098" s="40"/>
      <c r="D1098" s="2"/>
      <c r="E1098" s="2"/>
      <c r="F1098" s="2">
        <v>397384.86</v>
      </c>
    </row>
    <row r="1099" s="1" customFormat="1" spans="1:6">
      <c r="A1099" s="40"/>
      <c r="D1099" s="2"/>
      <c r="E1099" s="2"/>
      <c r="F1099" s="2">
        <v>397384.86</v>
      </c>
    </row>
    <row r="1100" s="1" customFormat="1" spans="1:6">
      <c r="A1100" s="40"/>
      <c r="D1100" s="2"/>
      <c r="E1100" s="2"/>
      <c r="F1100" s="2">
        <v>397384.86</v>
      </c>
    </row>
    <row r="1101" s="1" customFormat="1" spans="1:6">
      <c r="A1101" s="40"/>
      <c r="D1101" s="2"/>
      <c r="E1101" s="2"/>
      <c r="F1101" s="2">
        <v>397384.86</v>
      </c>
    </row>
    <row r="1102" s="1" customFormat="1" spans="1:6">
      <c r="A1102" s="40"/>
      <c r="D1102" s="2"/>
      <c r="E1102" s="2"/>
      <c r="F1102" s="2">
        <v>397384.86</v>
      </c>
    </row>
    <row r="1103" s="1" customFormat="1" spans="1:6">
      <c r="A1103" s="40"/>
      <c r="D1103" s="2"/>
      <c r="E1103" s="2"/>
      <c r="F1103" s="2">
        <v>397384.86</v>
      </c>
    </row>
    <row r="1104" s="1" customFormat="1" spans="1:6">
      <c r="A1104" s="40"/>
      <c r="D1104" s="2"/>
      <c r="E1104" s="2"/>
      <c r="F1104" s="2">
        <v>397384.86</v>
      </c>
    </row>
    <row r="1105" s="1" customFormat="1" spans="1:6">
      <c r="A1105" s="40"/>
      <c r="D1105" s="2"/>
      <c r="E1105" s="2"/>
      <c r="F1105" s="2">
        <v>397384.86</v>
      </c>
    </row>
    <row r="1106" s="1" customFormat="1" spans="1:6">
      <c r="A1106" s="40"/>
      <c r="D1106" s="2"/>
      <c r="E1106" s="2"/>
      <c r="F1106" s="2">
        <v>397384.86</v>
      </c>
    </row>
    <row r="1107" s="1" customFormat="1" spans="1:6">
      <c r="A1107" s="40"/>
      <c r="D1107" s="2"/>
      <c r="E1107" s="2"/>
      <c r="F1107" s="2">
        <v>397384.86</v>
      </c>
    </row>
    <row r="1108" s="1" customFormat="1" spans="1:6">
      <c r="A1108" s="40"/>
      <c r="D1108" s="2"/>
      <c r="E1108" s="2"/>
      <c r="F1108" s="2">
        <v>397384.86</v>
      </c>
    </row>
    <row r="1109" s="1" customFormat="1" spans="1:6">
      <c r="A1109" s="40"/>
      <c r="D1109" s="2"/>
      <c r="E1109" s="2"/>
      <c r="F1109" s="2">
        <v>397384.86</v>
      </c>
    </row>
    <row r="1110" s="1" customFormat="1" spans="1:6">
      <c r="A1110" s="40"/>
      <c r="D1110" s="2"/>
      <c r="E1110" s="2"/>
      <c r="F1110" s="2">
        <v>397384.86</v>
      </c>
    </row>
    <row r="1111" s="1" customFormat="1" spans="1:6">
      <c r="A1111" s="40"/>
      <c r="D1111" s="2"/>
      <c r="E1111" s="2"/>
      <c r="F1111" s="2">
        <v>397384.86</v>
      </c>
    </row>
    <row r="1112" s="1" customFormat="1" spans="1:6">
      <c r="A1112" s="40"/>
      <c r="D1112" s="2"/>
      <c r="E1112" s="2"/>
      <c r="F1112" s="2">
        <v>397384.86</v>
      </c>
    </row>
    <row r="1113" s="1" customFormat="1" spans="1:6">
      <c r="A1113" s="40"/>
      <c r="D1113" s="2"/>
      <c r="E1113" s="2"/>
      <c r="F1113" s="2">
        <v>397384.86</v>
      </c>
    </row>
    <row r="1114" s="1" customFormat="1" spans="1:6">
      <c r="A1114" s="40"/>
      <c r="D1114" s="2"/>
      <c r="E1114" s="2"/>
      <c r="F1114" s="2">
        <v>397384.86</v>
      </c>
    </row>
    <row r="1115" s="1" customFormat="1" spans="1:6">
      <c r="A1115" s="40"/>
      <c r="D1115" s="2"/>
      <c r="E1115" s="2"/>
      <c r="F1115" s="2">
        <v>397384.86</v>
      </c>
    </row>
    <row r="1116" s="1" customFormat="1" spans="1:6">
      <c r="A1116" s="40"/>
      <c r="D1116" s="2"/>
      <c r="E1116" s="2"/>
      <c r="F1116" s="2">
        <v>397384.86</v>
      </c>
    </row>
    <row r="1117" s="1" customFormat="1" spans="1:6">
      <c r="A1117" s="40"/>
      <c r="D1117" s="2"/>
      <c r="E1117" s="2"/>
      <c r="F1117" s="2">
        <v>397384.86</v>
      </c>
    </row>
    <row r="1118" s="1" customFormat="1" spans="1:6">
      <c r="A1118" s="40"/>
      <c r="D1118" s="2"/>
      <c r="E1118" s="2"/>
      <c r="F1118" s="2">
        <v>397384.86</v>
      </c>
    </row>
    <row r="1119" s="1" customFormat="1" spans="1:6">
      <c r="A1119" s="40"/>
      <c r="D1119" s="2"/>
      <c r="E1119" s="2"/>
      <c r="F1119" s="2">
        <v>397384.86</v>
      </c>
    </row>
    <row r="1120" s="1" customFormat="1" spans="1:6">
      <c r="A1120" s="40"/>
      <c r="D1120" s="2"/>
      <c r="E1120" s="2"/>
      <c r="F1120" s="2">
        <v>397384.86</v>
      </c>
    </row>
    <row r="1121" s="1" customFormat="1" spans="1:6">
      <c r="A1121" s="40"/>
      <c r="D1121" s="2"/>
      <c r="E1121" s="2"/>
      <c r="F1121" s="2">
        <v>397384.86</v>
      </c>
    </row>
    <row r="1122" s="1" customFormat="1" spans="1:6">
      <c r="A1122" s="40"/>
      <c r="D1122" s="2"/>
      <c r="E1122" s="2"/>
      <c r="F1122" s="2">
        <v>397384.86</v>
      </c>
    </row>
    <row r="1123" s="1" customFormat="1" spans="1:6">
      <c r="A1123" s="40"/>
      <c r="D1123" s="2"/>
      <c r="E1123" s="2"/>
      <c r="F1123" s="2">
        <v>397384.86</v>
      </c>
    </row>
    <row r="1124" s="1" customFormat="1" spans="1:6">
      <c r="A1124" s="40"/>
      <c r="D1124" s="2"/>
      <c r="E1124" s="2"/>
      <c r="F1124" s="2">
        <v>397384.86</v>
      </c>
    </row>
    <row r="1125" s="1" customFormat="1" spans="1:6">
      <c r="A1125" s="40"/>
      <c r="D1125" s="2"/>
      <c r="E1125" s="2"/>
      <c r="F1125" s="2">
        <v>397384.86</v>
      </c>
    </row>
    <row r="1126" s="1" customFormat="1" spans="1:6">
      <c r="A1126" s="40"/>
      <c r="D1126" s="2"/>
      <c r="E1126" s="2"/>
      <c r="F1126" s="2">
        <v>397384.86</v>
      </c>
    </row>
    <row r="1127" s="1" customFormat="1" spans="1:6">
      <c r="A1127" s="40"/>
      <c r="D1127" s="2"/>
      <c r="E1127" s="2"/>
      <c r="F1127" s="2">
        <v>397384.86</v>
      </c>
    </row>
    <row r="1128" s="1" customFormat="1" spans="1:6">
      <c r="A1128" s="40"/>
      <c r="D1128" s="2"/>
      <c r="E1128" s="2"/>
      <c r="F1128" s="2">
        <v>397384.86</v>
      </c>
    </row>
    <row r="1129" s="1" customFormat="1" spans="1:6">
      <c r="A1129" s="40"/>
      <c r="D1129" s="2"/>
      <c r="E1129" s="2"/>
      <c r="F1129" s="2">
        <v>397384.86</v>
      </c>
    </row>
    <row r="1130" s="1" customFormat="1" spans="1:6">
      <c r="A1130" s="40"/>
      <c r="D1130" s="2"/>
      <c r="E1130" s="2"/>
      <c r="F1130" s="2">
        <v>397384.86</v>
      </c>
    </row>
    <row r="1131" s="1" customFormat="1" spans="1:6">
      <c r="A1131" s="40"/>
      <c r="D1131" s="2"/>
      <c r="E1131" s="2"/>
      <c r="F1131" s="2">
        <v>397384.86</v>
      </c>
    </row>
    <row r="1132" s="1" customFormat="1" spans="1:6">
      <c r="A1132" s="40"/>
      <c r="D1132" s="2"/>
      <c r="E1132" s="2"/>
      <c r="F1132" s="2">
        <v>397384.86</v>
      </c>
    </row>
    <row r="1133" s="1" customFormat="1" spans="1:6">
      <c r="A1133" s="40"/>
      <c r="D1133" s="2"/>
      <c r="E1133" s="2"/>
      <c r="F1133" s="2">
        <v>397384.86</v>
      </c>
    </row>
    <row r="1134" s="1" customFormat="1" spans="1:6">
      <c r="A1134" s="40"/>
      <c r="D1134" s="2"/>
      <c r="E1134" s="2"/>
      <c r="F1134" s="2">
        <v>397384.86</v>
      </c>
    </row>
    <row r="1135" s="1" customFormat="1" spans="1:6">
      <c r="A1135" s="40"/>
      <c r="D1135" s="2"/>
      <c r="E1135" s="2"/>
      <c r="F1135" s="2">
        <v>397384.86</v>
      </c>
    </row>
    <row r="1136" s="1" customFormat="1" spans="1:6">
      <c r="A1136" s="40"/>
      <c r="D1136" s="2"/>
      <c r="E1136" s="2"/>
      <c r="F1136" s="2">
        <v>397384.86</v>
      </c>
    </row>
    <row r="1137" s="1" customFormat="1" spans="1:6">
      <c r="A1137" s="40"/>
      <c r="D1137" s="2"/>
      <c r="E1137" s="2"/>
      <c r="F1137" s="2">
        <v>397384.86</v>
      </c>
    </row>
    <row r="1138" s="1" customFormat="1" spans="1:6">
      <c r="A1138" s="40"/>
      <c r="D1138" s="2"/>
      <c r="E1138" s="2"/>
      <c r="F1138" s="2">
        <v>397384.86</v>
      </c>
    </row>
    <row r="1139" s="1" customFormat="1" spans="1:6">
      <c r="A1139" s="40"/>
      <c r="D1139" s="2"/>
      <c r="E1139" s="2"/>
      <c r="F1139" s="2">
        <v>397384.86</v>
      </c>
    </row>
    <row r="1140" s="1" customFormat="1" spans="1:6">
      <c r="A1140" s="40"/>
      <c r="D1140" s="2"/>
      <c r="E1140" s="2"/>
      <c r="F1140" s="2">
        <v>397384.86</v>
      </c>
    </row>
    <row r="1141" s="1" customFormat="1" spans="1:6">
      <c r="A1141" s="40"/>
      <c r="D1141" s="2"/>
      <c r="E1141" s="2"/>
      <c r="F1141" s="2">
        <v>397384.86</v>
      </c>
    </row>
    <row r="1142" s="1" customFormat="1" spans="1:6">
      <c r="A1142" s="40"/>
      <c r="D1142" s="2"/>
      <c r="E1142" s="2"/>
      <c r="F1142" s="2">
        <v>397384.86</v>
      </c>
    </row>
    <row r="1143" s="1" customFormat="1" spans="1:6">
      <c r="A1143" s="40"/>
      <c r="D1143" s="2"/>
      <c r="E1143" s="2"/>
      <c r="F1143" s="2">
        <v>397384.86</v>
      </c>
    </row>
    <row r="1144" s="1" customFormat="1" spans="1:6">
      <c r="A1144" s="40"/>
      <c r="D1144" s="2"/>
      <c r="E1144" s="2"/>
      <c r="F1144" s="2">
        <v>397384.86</v>
      </c>
    </row>
    <row r="1145" s="1" customFormat="1" spans="1:6">
      <c r="A1145" s="40"/>
      <c r="D1145" s="2"/>
      <c r="E1145" s="2"/>
      <c r="F1145" s="2">
        <v>397384.86</v>
      </c>
    </row>
    <row r="1146" s="1" customFormat="1" spans="1:6">
      <c r="A1146" s="40"/>
      <c r="D1146" s="2"/>
      <c r="E1146" s="2"/>
      <c r="F1146" s="2">
        <v>397384.86</v>
      </c>
    </row>
    <row r="1147" s="1" customFormat="1" spans="1:6">
      <c r="A1147" s="40"/>
      <c r="D1147" s="2"/>
      <c r="E1147" s="2"/>
      <c r="F1147" s="2">
        <v>397384.86</v>
      </c>
    </row>
    <row r="1148" s="1" customFormat="1" spans="1:6">
      <c r="A1148" s="40"/>
      <c r="D1148" s="2"/>
      <c r="E1148" s="2"/>
      <c r="F1148" s="2">
        <v>397384.86</v>
      </c>
    </row>
    <row r="1149" s="1" customFormat="1" spans="1:6">
      <c r="A1149" s="40"/>
      <c r="D1149" s="2"/>
      <c r="E1149" s="2"/>
      <c r="F1149" s="2">
        <v>397384.86</v>
      </c>
    </row>
    <row r="1150" s="1" customFormat="1" spans="1:6">
      <c r="A1150" s="40"/>
      <c r="D1150" s="2"/>
      <c r="E1150" s="2"/>
      <c r="F1150" s="2">
        <v>397384.86</v>
      </c>
    </row>
    <row r="1151" s="1" customFormat="1" spans="1:6">
      <c r="A1151" s="40"/>
      <c r="D1151" s="2"/>
      <c r="E1151" s="2"/>
      <c r="F1151" s="2">
        <v>397384.86</v>
      </c>
    </row>
    <row r="1152" s="1" customFormat="1" spans="1:6">
      <c r="A1152" s="40"/>
      <c r="D1152" s="2"/>
      <c r="E1152" s="2"/>
      <c r="F1152" s="2">
        <v>397384.86</v>
      </c>
    </row>
    <row r="1153" s="1" customFormat="1" spans="1:6">
      <c r="A1153" s="40"/>
      <c r="D1153" s="2"/>
      <c r="E1153" s="2"/>
      <c r="F1153" s="2">
        <v>397384.86</v>
      </c>
    </row>
    <row r="1154" s="1" customFormat="1" spans="1:6">
      <c r="A1154" s="40"/>
      <c r="D1154" s="2"/>
      <c r="E1154" s="2"/>
      <c r="F1154" s="2">
        <v>397384.86</v>
      </c>
    </row>
    <row r="1155" s="1" customFormat="1" spans="1:6">
      <c r="A1155" s="40"/>
      <c r="D1155" s="2"/>
      <c r="E1155" s="2"/>
      <c r="F1155" s="2">
        <v>397384.86</v>
      </c>
    </row>
    <row r="1156" s="1" customFormat="1" spans="1:6">
      <c r="A1156" s="40"/>
      <c r="D1156" s="2"/>
      <c r="E1156" s="2"/>
      <c r="F1156" s="2">
        <v>397384.86</v>
      </c>
    </row>
    <row r="1157" s="1" customFormat="1" spans="1:6">
      <c r="A1157" s="40"/>
      <c r="D1157" s="2"/>
      <c r="E1157" s="2"/>
      <c r="F1157" s="2">
        <v>397384.86</v>
      </c>
    </row>
    <row r="1158" s="1" customFormat="1" spans="1:6">
      <c r="A1158" s="40"/>
      <c r="D1158" s="2"/>
      <c r="E1158" s="2"/>
      <c r="F1158" s="2">
        <v>397384.86</v>
      </c>
    </row>
    <row r="1159" s="1" customFormat="1" spans="1:6">
      <c r="A1159" s="40"/>
      <c r="D1159" s="2"/>
      <c r="E1159" s="2"/>
      <c r="F1159" s="2">
        <v>397384.86</v>
      </c>
    </row>
    <row r="1160" s="1" customFormat="1" spans="1:6">
      <c r="A1160" s="40"/>
      <c r="D1160" s="2"/>
      <c r="E1160" s="2"/>
      <c r="F1160" s="2">
        <v>397384.86</v>
      </c>
    </row>
    <row r="1161" s="1" customFormat="1" spans="1:6">
      <c r="A1161" s="40"/>
      <c r="D1161" s="2"/>
      <c r="E1161" s="2"/>
      <c r="F1161" s="2">
        <v>397384.86</v>
      </c>
    </row>
    <row r="1162" s="1" customFormat="1" spans="1:6">
      <c r="A1162" s="40"/>
      <c r="D1162" s="2"/>
      <c r="E1162" s="2"/>
      <c r="F1162" s="2">
        <v>397384.86</v>
      </c>
    </row>
    <row r="1163" s="1" customFormat="1" spans="1:6">
      <c r="A1163" s="40"/>
      <c r="D1163" s="2"/>
      <c r="E1163" s="2"/>
      <c r="F1163" s="2">
        <v>397384.86</v>
      </c>
    </row>
    <row r="1164" s="1" customFormat="1" spans="1:6">
      <c r="A1164" s="40"/>
      <c r="D1164" s="2"/>
      <c r="E1164" s="2"/>
      <c r="F1164" s="2">
        <v>397384.86</v>
      </c>
    </row>
    <row r="1165" s="1" customFormat="1" spans="1:6">
      <c r="A1165" s="40"/>
      <c r="D1165" s="2"/>
      <c r="E1165" s="2"/>
      <c r="F1165" s="2">
        <v>397384.86</v>
      </c>
    </row>
    <row r="1166" s="1" customFormat="1" spans="1:6">
      <c r="A1166" s="40"/>
      <c r="D1166" s="2"/>
      <c r="E1166" s="2"/>
      <c r="F1166" s="2">
        <v>397384.86</v>
      </c>
    </row>
    <row r="1167" s="1" customFormat="1" spans="1:6">
      <c r="A1167" s="40"/>
      <c r="D1167" s="2"/>
      <c r="E1167" s="2"/>
      <c r="F1167" s="2">
        <v>397384.86</v>
      </c>
    </row>
    <row r="1168" s="1" customFormat="1" spans="1:6">
      <c r="A1168" s="40"/>
      <c r="D1168" s="2"/>
      <c r="E1168" s="2"/>
      <c r="F1168" s="2">
        <v>397384.86</v>
      </c>
    </row>
    <row r="1169" s="1" customFormat="1" spans="1:6">
      <c r="A1169" s="40"/>
      <c r="D1169" s="2"/>
      <c r="E1169" s="2"/>
      <c r="F1169" s="2">
        <v>397384.86</v>
      </c>
    </row>
    <row r="1170" s="1" customFormat="1" spans="1:6">
      <c r="A1170" s="40"/>
      <c r="D1170" s="2"/>
      <c r="E1170" s="2"/>
      <c r="F1170" s="2">
        <v>397384.86</v>
      </c>
    </row>
    <row r="1171" s="1" customFormat="1" spans="1:6">
      <c r="A1171" s="40"/>
      <c r="D1171" s="2"/>
      <c r="E1171" s="2"/>
      <c r="F1171" s="2">
        <v>397384.86</v>
      </c>
    </row>
    <row r="1172" s="1" customFormat="1" spans="1:6">
      <c r="A1172" s="40"/>
      <c r="D1172" s="2"/>
      <c r="E1172" s="2"/>
      <c r="F1172" s="2">
        <v>397384.86</v>
      </c>
    </row>
    <row r="1173" s="1" customFormat="1" spans="1:6">
      <c r="A1173" s="40"/>
      <c r="D1173" s="2"/>
      <c r="E1173" s="2"/>
      <c r="F1173" s="2">
        <v>397384.86</v>
      </c>
    </row>
    <row r="1174" s="1" customFormat="1" spans="1:6">
      <c r="A1174" s="40"/>
      <c r="D1174" s="2"/>
      <c r="E1174" s="2"/>
      <c r="F1174" s="2">
        <v>397384.86</v>
      </c>
    </row>
    <row r="1175" s="1" customFormat="1" spans="1:6">
      <c r="A1175" s="40"/>
      <c r="D1175" s="2"/>
      <c r="E1175" s="2"/>
      <c r="F1175" s="2">
        <v>397384.86</v>
      </c>
    </row>
    <row r="1176" s="1" customFormat="1" spans="1:6">
      <c r="A1176" s="40"/>
      <c r="D1176" s="2"/>
      <c r="E1176" s="2"/>
      <c r="F1176" s="2">
        <v>397384.86</v>
      </c>
    </row>
    <row r="1177" s="1" customFormat="1" spans="1:6">
      <c r="A1177" s="40"/>
      <c r="D1177" s="2"/>
      <c r="E1177" s="2"/>
      <c r="F1177" s="2">
        <v>397384.86</v>
      </c>
    </row>
    <row r="1178" s="1" customFormat="1" spans="1:6">
      <c r="A1178" s="40"/>
      <c r="D1178" s="2"/>
      <c r="E1178" s="2"/>
      <c r="F1178" s="2">
        <v>397384.86</v>
      </c>
    </row>
    <row r="1179" s="1" customFormat="1" spans="1:6">
      <c r="A1179" s="40"/>
      <c r="D1179" s="2"/>
      <c r="E1179" s="2"/>
      <c r="F1179" s="2">
        <v>397384.86</v>
      </c>
    </row>
    <row r="1180" s="1" customFormat="1" spans="1:6">
      <c r="A1180" s="40"/>
      <c r="D1180" s="2"/>
      <c r="E1180" s="2"/>
      <c r="F1180" s="2">
        <v>397384.86</v>
      </c>
    </row>
    <row r="1181" s="1" customFormat="1" spans="1:6">
      <c r="A1181" s="40"/>
      <c r="D1181" s="2"/>
      <c r="E1181" s="2"/>
      <c r="F1181" s="2">
        <v>397384.86</v>
      </c>
    </row>
    <row r="1182" s="1" customFormat="1" spans="1:6">
      <c r="A1182" s="40"/>
      <c r="D1182" s="2"/>
      <c r="E1182" s="2"/>
      <c r="F1182" s="2">
        <v>397384.86</v>
      </c>
    </row>
    <row r="1183" s="1" customFormat="1" spans="1:6">
      <c r="A1183" s="40"/>
      <c r="D1183" s="2"/>
      <c r="E1183" s="2"/>
      <c r="F1183" s="2">
        <v>397384.86</v>
      </c>
    </row>
    <row r="1184" s="1" customFormat="1" spans="1:6">
      <c r="A1184" s="40"/>
      <c r="D1184" s="2"/>
      <c r="E1184" s="2"/>
      <c r="F1184" s="2">
        <v>397384.86</v>
      </c>
    </row>
    <row r="1185" s="1" customFormat="1" spans="1:6">
      <c r="A1185" s="40"/>
      <c r="D1185" s="2"/>
      <c r="E1185" s="2"/>
      <c r="F1185" s="2">
        <v>397384.86</v>
      </c>
    </row>
    <row r="1186" s="1" customFormat="1" spans="1:6">
      <c r="A1186" s="40"/>
      <c r="D1186" s="2"/>
      <c r="E1186" s="2"/>
      <c r="F1186" s="2">
        <v>397384.86</v>
      </c>
    </row>
    <row r="1187" s="1" customFormat="1" spans="1:6">
      <c r="A1187" s="40"/>
      <c r="D1187" s="2"/>
      <c r="E1187" s="2"/>
      <c r="F1187" s="2">
        <v>397384.86</v>
      </c>
    </row>
    <row r="1188" s="1" customFormat="1" spans="1:6">
      <c r="A1188" s="40"/>
      <c r="D1188" s="2"/>
      <c r="E1188" s="2"/>
      <c r="F1188" s="2">
        <v>397384.86</v>
      </c>
    </row>
    <row r="1189" s="1" customFormat="1" spans="1:6">
      <c r="A1189" s="40"/>
      <c r="D1189" s="2"/>
      <c r="E1189" s="2"/>
      <c r="F1189" s="2">
        <v>397384.86</v>
      </c>
    </row>
    <row r="1190" s="1" customFormat="1" spans="1:6">
      <c r="A1190" s="40"/>
      <c r="D1190" s="2"/>
      <c r="E1190" s="2"/>
      <c r="F1190" s="2">
        <v>397384.86</v>
      </c>
    </row>
    <row r="1191" s="1" customFormat="1" spans="1:6">
      <c r="A1191" s="40"/>
      <c r="D1191" s="2"/>
      <c r="E1191" s="2"/>
      <c r="F1191" s="2">
        <v>397384.86</v>
      </c>
    </row>
    <row r="1192" s="1" customFormat="1" spans="1:6">
      <c r="A1192" s="40"/>
      <c r="D1192" s="2"/>
      <c r="E1192" s="2"/>
      <c r="F1192" s="2">
        <v>397384.86</v>
      </c>
    </row>
    <row r="1193" s="1" customFormat="1" spans="1:6">
      <c r="A1193" s="40"/>
      <c r="D1193" s="2"/>
      <c r="E1193" s="2"/>
      <c r="F1193" s="2">
        <v>397384.86</v>
      </c>
    </row>
    <row r="1194" s="1" customFormat="1" spans="1:6">
      <c r="A1194" s="40"/>
      <c r="D1194" s="2"/>
      <c r="E1194" s="2"/>
      <c r="F1194" s="2">
        <v>397384.86</v>
      </c>
    </row>
    <row r="1195" s="1" customFormat="1" spans="1:6">
      <c r="A1195" s="40"/>
      <c r="D1195" s="2"/>
      <c r="E1195" s="2"/>
      <c r="F1195" s="2">
        <v>397384.86</v>
      </c>
    </row>
    <row r="1196" s="1" customFormat="1" spans="1:6">
      <c r="A1196" s="40"/>
      <c r="D1196" s="2"/>
      <c r="E1196" s="2"/>
      <c r="F1196" s="2">
        <v>397384.86</v>
      </c>
    </row>
    <row r="1197" s="1" customFormat="1" spans="1:6">
      <c r="A1197" s="40"/>
      <c r="D1197" s="2"/>
      <c r="E1197" s="2"/>
      <c r="F1197" s="2">
        <v>397384.86</v>
      </c>
    </row>
    <row r="1198" s="1" customFormat="1" spans="1:6">
      <c r="A1198" s="40"/>
      <c r="D1198" s="2"/>
      <c r="E1198" s="2"/>
      <c r="F1198" s="2">
        <v>397384.86</v>
      </c>
    </row>
    <row r="1199" s="1" customFormat="1" spans="1:6">
      <c r="A1199" s="40"/>
      <c r="D1199" s="2"/>
      <c r="E1199" s="2"/>
      <c r="F1199" s="2">
        <v>397384.86</v>
      </c>
    </row>
    <row r="1200" s="1" customFormat="1" spans="1:6">
      <c r="A1200" s="40"/>
      <c r="D1200" s="2"/>
      <c r="E1200" s="2"/>
      <c r="F1200" s="2">
        <v>397384.86</v>
      </c>
    </row>
    <row r="1201" s="1" customFormat="1" spans="1:6">
      <c r="A1201" s="40"/>
      <c r="D1201" s="2"/>
      <c r="E1201" s="2"/>
      <c r="F1201" s="2">
        <v>397384.86</v>
      </c>
    </row>
    <row r="1202" s="1" customFormat="1" spans="1:6">
      <c r="A1202" s="40"/>
      <c r="D1202" s="2"/>
      <c r="E1202" s="2"/>
      <c r="F1202" s="2">
        <v>397384.86</v>
      </c>
    </row>
    <row r="1203" s="1" customFormat="1" spans="1:6">
      <c r="A1203" s="40"/>
      <c r="D1203" s="2"/>
      <c r="E1203" s="2"/>
      <c r="F1203" s="2">
        <v>397384.86</v>
      </c>
    </row>
    <row r="1204" s="1" customFormat="1" spans="1:6">
      <c r="A1204" s="40"/>
      <c r="D1204" s="2"/>
      <c r="E1204" s="2"/>
      <c r="F1204" s="2">
        <v>397384.86</v>
      </c>
    </row>
    <row r="1205" s="1" customFormat="1" spans="1:6">
      <c r="A1205" s="40"/>
      <c r="D1205" s="2"/>
      <c r="E1205" s="2"/>
      <c r="F1205" s="2">
        <v>397384.86</v>
      </c>
    </row>
    <row r="1206" s="1" customFormat="1" spans="1:6">
      <c r="A1206" s="40"/>
      <c r="D1206" s="2"/>
      <c r="E1206" s="2"/>
      <c r="F1206" s="2">
        <v>397384.86</v>
      </c>
    </row>
    <row r="1207" s="1" customFormat="1" spans="1:6">
      <c r="A1207" s="40"/>
      <c r="D1207" s="2"/>
      <c r="E1207" s="2"/>
      <c r="F1207" s="2">
        <v>397384.86</v>
      </c>
    </row>
    <row r="1208" s="1" customFormat="1" spans="1:6">
      <c r="A1208" s="40"/>
      <c r="D1208" s="2"/>
      <c r="E1208" s="2"/>
      <c r="F1208" s="2">
        <v>397384.86</v>
      </c>
    </row>
    <row r="1209" s="1" customFormat="1" spans="1:6">
      <c r="A1209" s="40"/>
      <c r="D1209" s="2"/>
      <c r="E1209" s="2"/>
      <c r="F1209" s="2">
        <v>397384.86</v>
      </c>
    </row>
    <row r="1210" s="1" customFormat="1" spans="1:6">
      <c r="A1210" s="40"/>
      <c r="D1210" s="2"/>
      <c r="E1210" s="2"/>
      <c r="F1210" s="2">
        <v>397384.86</v>
      </c>
    </row>
    <row r="1211" s="1" customFormat="1" spans="1:6">
      <c r="A1211" s="40"/>
      <c r="D1211" s="2"/>
      <c r="E1211" s="2"/>
      <c r="F1211" s="2">
        <v>397384.86</v>
      </c>
    </row>
    <row r="1212" s="1" customFormat="1" spans="1:6">
      <c r="A1212" s="40"/>
      <c r="D1212" s="2"/>
      <c r="E1212" s="2"/>
      <c r="F1212" s="2">
        <v>397384.86</v>
      </c>
    </row>
    <row r="1213" s="1" customFormat="1" spans="1:6">
      <c r="A1213" s="40"/>
      <c r="D1213" s="2"/>
      <c r="E1213" s="2"/>
      <c r="F1213" s="2">
        <v>397384.86</v>
      </c>
    </row>
    <row r="1214" s="1" customFormat="1" spans="1:6">
      <c r="A1214" s="40"/>
      <c r="D1214" s="2"/>
      <c r="E1214" s="2"/>
      <c r="F1214" s="2">
        <v>397384.86</v>
      </c>
    </row>
    <row r="1215" s="1" customFormat="1" spans="1:6">
      <c r="A1215" s="40"/>
      <c r="D1215" s="2"/>
      <c r="E1215" s="2"/>
      <c r="F1215" s="2">
        <v>397384.86</v>
      </c>
    </row>
    <row r="1216" s="1" customFormat="1" spans="1:6">
      <c r="A1216" s="40"/>
      <c r="D1216" s="2"/>
      <c r="E1216" s="2"/>
      <c r="F1216" s="2">
        <v>397384.86</v>
      </c>
    </row>
    <row r="1217" s="1" customFormat="1" spans="1:6">
      <c r="A1217" s="40"/>
      <c r="D1217" s="2"/>
      <c r="E1217" s="2"/>
      <c r="F1217" s="2">
        <v>397384.86</v>
      </c>
    </row>
    <row r="1218" s="1" customFormat="1" spans="1:6">
      <c r="A1218" s="40"/>
      <c r="D1218" s="2"/>
      <c r="E1218" s="2"/>
      <c r="F1218" s="2">
        <v>397384.86</v>
      </c>
    </row>
    <row r="1219" s="1" customFormat="1" spans="1:6">
      <c r="A1219" s="40"/>
      <c r="D1219" s="2"/>
      <c r="E1219" s="2"/>
      <c r="F1219" s="2">
        <v>397384.86</v>
      </c>
    </row>
    <row r="1220" s="1" customFormat="1" spans="1:6">
      <c r="A1220" s="40"/>
      <c r="D1220" s="2"/>
      <c r="E1220" s="2"/>
      <c r="F1220" s="2">
        <v>397384.86</v>
      </c>
    </row>
    <row r="1221" s="1" customFormat="1" spans="1:6">
      <c r="A1221" s="40"/>
      <c r="D1221" s="2"/>
      <c r="E1221" s="2"/>
      <c r="F1221" s="2">
        <v>397384.86</v>
      </c>
    </row>
    <row r="1222" s="1" customFormat="1" spans="1:6">
      <c r="A1222" s="40"/>
      <c r="D1222" s="2"/>
      <c r="E1222" s="2"/>
      <c r="F1222" s="2">
        <v>397384.86</v>
      </c>
    </row>
    <row r="1223" s="1" customFormat="1" spans="1:6">
      <c r="A1223" s="40"/>
      <c r="D1223" s="2"/>
      <c r="E1223" s="2"/>
      <c r="F1223" s="2">
        <v>397384.86</v>
      </c>
    </row>
    <row r="1224" s="1" customFormat="1" spans="1:6">
      <c r="A1224" s="40"/>
      <c r="D1224" s="2"/>
      <c r="E1224" s="2"/>
      <c r="F1224" s="2">
        <v>397384.86</v>
      </c>
    </row>
    <row r="1225" s="1" customFormat="1" spans="1:6">
      <c r="A1225" s="40"/>
      <c r="D1225" s="2"/>
      <c r="E1225" s="2"/>
      <c r="F1225" s="2">
        <v>397384.86</v>
      </c>
    </row>
    <row r="1226" s="1" customFormat="1" spans="1:6">
      <c r="A1226" s="40"/>
      <c r="D1226" s="2"/>
      <c r="E1226" s="2"/>
      <c r="F1226" s="2">
        <v>397384.86</v>
      </c>
    </row>
    <row r="1227" s="1" customFormat="1" spans="1:6">
      <c r="A1227" s="40"/>
      <c r="D1227" s="2"/>
      <c r="E1227" s="2"/>
      <c r="F1227" s="2">
        <v>397384.86</v>
      </c>
    </row>
    <row r="1228" s="1" customFormat="1" spans="1:6">
      <c r="A1228" s="40"/>
      <c r="D1228" s="2"/>
      <c r="E1228" s="2"/>
      <c r="F1228" s="2">
        <v>397384.86</v>
      </c>
    </row>
    <row r="1229" s="1" customFormat="1" spans="1:6">
      <c r="A1229" s="40"/>
      <c r="D1229" s="2"/>
      <c r="E1229" s="2"/>
      <c r="F1229" s="2">
        <v>397384.86</v>
      </c>
    </row>
    <row r="1230" s="1" customFormat="1" spans="1:6">
      <c r="A1230" s="40"/>
      <c r="D1230" s="2"/>
      <c r="E1230" s="2"/>
      <c r="F1230" s="2">
        <v>397384.86</v>
      </c>
    </row>
    <row r="1231" s="1" customFormat="1" spans="1:6">
      <c r="A1231" s="40"/>
      <c r="D1231" s="2"/>
      <c r="E1231" s="2"/>
      <c r="F1231" s="2">
        <v>397384.86</v>
      </c>
    </row>
    <row r="1232" s="1" customFormat="1" spans="1:6">
      <c r="A1232" s="40"/>
      <c r="D1232" s="2"/>
      <c r="E1232" s="2"/>
      <c r="F1232" s="2">
        <v>397384.86</v>
      </c>
    </row>
    <row r="1233" s="1" customFormat="1" spans="1:6">
      <c r="A1233" s="40"/>
      <c r="D1233" s="2"/>
      <c r="E1233" s="2"/>
      <c r="F1233" s="2">
        <v>397384.86</v>
      </c>
    </row>
    <row r="1234" s="1" customFormat="1" spans="1:6">
      <c r="A1234" s="40"/>
      <c r="D1234" s="2"/>
      <c r="E1234" s="2"/>
      <c r="F1234" s="2">
        <v>397384.86</v>
      </c>
    </row>
    <row r="1235" s="1" customFormat="1" spans="1:6">
      <c r="A1235" s="40"/>
      <c r="D1235" s="2"/>
      <c r="E1235" s="2"/>
      <c r="F1235" s="2">
        <v>397384.86</v>
      </c>
    </row>
    <row r="1236" s="1" customFormat="1" spans="1:6">
      <c r="A1236" s="40"/>
      <c r="D1236" s="2"/>
      <c r="E1236" s="2"/>
      <c r="F1236" s="2">
        <v>397384.86</v>
      </c>
    </row>
    <row r="1237" s="1" customFormat="1" spans="1:6">
      <c r="A1237" s="40"/>
      <c r="D1237" s="2"/>
      <c r="E1237" s="2"/>
      <c r="F1237" s="2">
        <v>397384.86</v>
      </c>
    </row>
    <row r="1238" s="1" customFormat="1" spans="1:6">
      <c r="A1238" s="40"/>
      <c r="D1238" s="2"/>
      <c r="E1238" s="2"/>
      <c r="F1238" s="2">
        <v>397384.86</v>
      </c>
    </row>
    <row r="1239" s="1" customFormat="1" spans="1:6">
      <c r="A1239" s="40"/>
      <c r="D1239" s="2"/>
      <c r="E1239" s="2"/>
      <c r="F1239" s="2">
        <v>397384.86</v>
      </c>
    </row>
    <row r="1240" s="1" customFormat="1" spans="1:6">
      <c r="A1240" s="40"/>
      <c r="D1240" s="2"/>
      <c r="E1240" s="2"/>
      <c r="F1240" s="2">
        <v>397384.86</v>
      </c>
    </row>
    <row r="1241" s="1" customFormat="1" spans="1:6">
      <c r="A1241" s="40"/>
      <c r="D1241" s="2"/>
      <c r="E1241" s="2"/>
      <c r="F1241" s="2">
        <v>397384.86</v>
      </c>
    </row>
    <row r="1242" s="1" customFormat="1" spans="1:6">
      <c r="A1242" s="40"/>
      <c r="D1242" s="2"/>
      <c r="E1242" s="2"/>
      <c r="F1242" s="2">
        <v>397384.86</v>
      </c>
    </row>
    <row r="1243" s="1" customFormat="1" spans="1:6">
      <c r="A1243" s="40"/>
      <c r="D1243" s="2"/>
      <c r="E1243" s="2"/>
      <c r="F1243" s="2">
        <v>397384.86</v>
      </c>
    </row>
    <row r="1244" s="1" customFormat="1" spans="1:6">
      <c r="A1244" s="40"/>
      <c r="D1244" s="2"/>
      <c r="E1244" s="2"/>
      <c r="F1244" s="2">
        <v>397384.86</v>
      </c>
    </row>
    <row r="1245" s="1" customFormat="1" spans="1:6">
      <c r="A1245" s="40"/>
      <c r="D1245" s="2"/>
      <c r="E1245" s="2"/>
      <c r="F1245" s="2">
        <v>397384.86</v>
      </c>
    </row>
    <row r="1246" s="1" customFormat="1" spans="1:6">
      <c r="A1246" s="40"/>
      <c r="D1246" s="2"/>
      <c r="E1246" s="2"/>
      <c r="F1246" s="2">
        <v>397384.86</v>
      </c>
    </row>
    <row r="1247" s="1" customFormat="1" spans="1:6">
      <c r="A1247" s="40"/>
      <c r="D1247" s="2"/>
      <c r="E1247" s="2"/>
      <c r="F1247" s="2">
        <v>397384.86</v>
      </c>
    </row>
    <row r="1248" s="1" customFormat="1" spans="1:6">
      <c r="A1248" s="40"/>
      <c r="D1248" s="2"/>
      <c r="E1248" s="2"/>
      <c r="F1248" s="2">
        <v>397384.86</v>
      </c>
    </row>
    <row r="1249" s="1" customFormat="1" spans="1:6">
      <c r="A1249" s="40"/>
      <c r="D1249" s="2"/>
      <c r="E1249" s="2"/>
      <c r="F1249" s="2">
        <v>397384.86</v>
      </c>
    </row>
    <row r="1250" s="1" customFormat="1" spans="1:6">
      <c r="A1250" s="40"/>
      <c r="D1250" s="2"/>
      <c r="E1250" s="2"/>
      <c r="F1250" s="2">
        <v>397384.86</v>
      </c>
    </row>
    <row r="1251" s="1" customFormat="1" spans="1:6">
      <c r="A1251" s="40"/>
      <c r="D1251" s="2"/>
      <c r="E1251" s="2"/>
      <c r="F1251" s="2">
        <v>397384.86</v>
      </c>
    </row>
    <row r="1252" s="1" customFormat="1" spans="1:6">
      <c r="A1252" s="40"/>
      <c r="D1252" s="2"/>
      <c r="E1252" s="2"/>
      <c r="F1252" s="2">
        <v>397384.86</v>
      </c>
    </row>
    <row r="1253" s="1" customFormat="1" spans="1:6">
      <c r="A1253" s="40"/>
      <c r="D1253" s="2"/>
      <c r="E1253" s="2"/>
      <c r="F1253" s="2">
        <v>397384.86</v>
      </c>
    </row>
    <row r="1254" s="1" customFormat="1" spans="1:6">
      <c r="A1254" s="40"/>
      <c r="D1254" s="2"/>
      <c r="E1254" s="2"/>
      <c r="F1254" s="2">
        <v>397384.86</v>
      </c>
    </row>
    <row r="1255" s="1" customFormat="1" spans="1:6">
      <c r="A1255" s="40"/>
      <c r="D1255" s="2"/>
      <c r="E1255" s="2"/>
      <c r="F1255" s="2">
        <v>397384.86</v>
      </c>
    </row>
    <row r="1256" s="1" customFormat="1" spans="1:6">
      <c r="A1256" s="40"/>
      <c r="D1256" s="2"/>
      <c r="E1256" s="2"/>
      <c r="F1256" s="2">
        <v>397384.86</v>
      </c>
    </row>
    <row r="1257" s="1" customFormat="1" spans="1:6">
      <c r="A1257" s="40"/>
      <c r="D1257" s="2"/>
      <c r="E1257" s="2"/>
      <c r="F1257" s="2">
        <v>397384.86</v>
      </c>
    </row>
    <row r="1258" s="1" customFormat="1" spans="1:6">
      <c r="A1258" s="40"/>
      <c r="D1258" s="2"/>
      <c r="E1258" s="2"/>
      <c r="F1258" s="2">
        <v>397384.86</v>
      </c>
    </row>
    <row r="1259" s="1" customFormat="1" spans="1:6">
      <c r="A1259" s="40"/>
      <c r="D1259" s="2"/>
      <c r="E1259" s="2"/>
      <c r="F1259" s="2">
        <v>397384.86</v>
      </c>
    </row>
    <row r="1260" s="1" customFormat="1" spans="1:6">
      <c r="A1260" s="40"/>
      <c r="D1260" s="2"/>
      <c r="E1260" s="2"/>
      <c r="F1260" s="2">
        <v>397384.86</v>
      </c>
    </row>
    <row r="1261" s="1" customFormat="1" spans="1:6">
      <c r="A1261" s="40"/>
      <c r="D1261" s="2"/>
      <c r="E1261" s="2"/>
      <c r="F1261" s="2">
        <v>397384.86</v>
      </c>
    </row>
    <row r="1262" s="1" customFormat="1" spans="1:6">
      <c r="A1262" s="40"/>
      <c r="D1262" s="2"/>
      <c r="E1262" s="2"/>
      <c r="F1262" s="2">
        <v>397384.86</v>
      </c>
    </row>
    <row r="1263" s="1" customFormat="1" spans="1:6">
      <c r="A1263" s="40"/>
      <c r="D1263" s="2"/>
      <c r="E1263" s="2"/>
      <c r="F1263" s="2">
        <v>397384.86</v>
      </c>
    </row>
    <row r="1264" s="1" customFormat="1" spans="1:6">
      <c r="A1264" s="40"/>
      <c r="D1264" s="2"/>
      <c r="E1264" s="2"/>
      <c r="F1264" s="2">
        <v>397384.86</v>
      </c>
    </row>
    <row r="1265" s="1" customFormat="1" spans="1:6">
      <c r="A1265" s="40"/>
      <c r="D1265" s="2"/>
      <c r="E1265" s="2"/>
      <c r="F1265" s="2">
        <v>397384.86</v>
      </c>
    </row>
    <row r="1266" s="1" customFormat="1" spans="1:6">
      <c r="A1266" s="40"/>
      <c r="D1266" s="2"/>
      <c r="E1266" s="2"/>
      <c r="F1266" s="2">
        <v>397384.86</v>
      </c>
    </row>
    <row r="1267" s="1" customFormat="1" spans="1:6">
      <c r="A1267" s="40"/>
      <c r="D1267" s="2"/>
      <c r="E1267" s="2"/>
      <c r="F1267" s="2">
        <v>397384.86</v>
      </c>
    </row>
    <row r="1268" s="1" customFormat="1" spans="1:6">
      <c r="A1268" s="40"/>
      <c r="D1268" s="2"/>
      <c r="E1268" s="2"/>
      <c r="F1268" s="2">
        <v>397384.86</v>
      </c>
    </row>
    <row r="1269" s="1" customFormat="1" spans="1:6">
      <c r="A1269" s="40"/>
      <c r="D1269" s="2"/>
      <c r="E1269" s="2"/>
      <c r="F1269" s="2">
        <v>397384.86</v>
      </c>
    </row>
    <row r="1270" s="1" customFormat="1" spans="1:6">
      <c r="A1270" s="40"/>
      <c r="D1270" s="2"/>
      <c r="E1270" s="2"/>
      <c r="F1270" s="2">
        <v>397384.86</v>
      </c>
    </row>
    <row r="1271" s="1" customFormat="1" spans="1:6">
      <c r="A1271" s="40"/>
      <c r="D1271" s="2"/>
      <c r="E1271" s="2"/>
      <c r="F1271" s="2">
        <v>397384.86</v>
      </c>
    </row>
    <row r="1272" s="1" customFormat="1" spans="1:6">
      <c r="A1272" s="40"/>
      <c r="D1272" s="2"/>
      <c r="E1272" s="2"/>
      <c r="F1272" s="2">
        <v>397384.86</v>
      </c>
    </row>
    <row r="1273" s="1" customFormat="1" spans="1:6">
      <c r="A1273" s="40"/>
      <c r="D1273" s="2"/>
      <c r="E1273" s="2"/>
      <c r="F1273" s="2">
        <v>397384.86</v>
      </c>
    </row>
    <row r="1274" s="1" customFormat="1" spans="1:6">
      <c r="A1274" s="40"/>
      <c r="D1274" s="2"/>
      <c r="E1274" s="2"/>
      <c r="F1274" s="2">
        <v>397384.86</v>
      </c>
    </row>
    <row r="1275" s="1" customFormat="1" spans="1:6">
      <c r="A1275" s="40"/>
      <c r="D1275" s="2"/>
      <c r="E1275" s="2"/>
      <c r="F1275" s="2">
        <v>397384.86</v>
      </c>
    </row>
    <row r="1276" s="1" customFormat="1" spans="1:6">
      <c r="A1276" s="40"/>
      <c r="D1276" s="2"/>
      <c r="E1276" s="2"/>
      <c r="F1276" s="2">
        <v>397384.86</v>
      </c>
    </row>
    <row r="1277" s="1" customFormat="1" spans="1:6">
      <c r="A1277" s="40"/>
      <c r="D1277" s="2"/>
      <c r="E1277" s="2"/>
      <c r="F1277" s="2">
        <v>397384.86</v>
      </c>
    </row>
    <row r="1278" s="1" customFormat="1" spans="1:6">
      <c r="A1278" s="40"/>
      <c r="D1278" s="2"/>
      <c r="E1278" s="2"/>
      <c r="F1278" s="2">
        <v>397384.86</v>
      </c>
    </row>
    <row r="1279" s="1" customFormat="1" spans="1:6">
      <c r="A1279" s="40"/>
      <c r="D1279" s="2"/>
      <c r="E1279" s="2"/>
      <c r="F1279" s="2">
        <v>397384.86</v>
      </c>
    </row>
    <row r="1280" s="1" customFormat="1" spans="1:6">
      <c r="A1280" s="40"/>
      <c r="D1280" s="2"/>
      <c r="E1280" s="2"/>
      <c r="F1280" s="2">
        <v>397384.86</v>
      </c>
    </row>
    <row r="1281" s="1" customFormat="1" spans="1:6">
      <c r="A1281" s="40"/>
      <c r="D1281" s="2"/>
      <c r="E1281" s="2"/>
      <c r="F1281" s="2">
        <v>397384.86</v>
      </c>
    </row>
    <row r="1282" s="1" customFormat="1" spans="1:6">
      <c r="A1282" s="40"/>
      <c r="D1282" s="2"/>
      <c r="E1282" s="2"/>
      <c r="F1282" s="2">
        <v>397384.86</v>
      </c>
    </row>
    <row r="1283" s="1" customFormat="1" spans="1:6">
      <c r="A1283" s="40"/>
      <c r="D1283" s="2"/>
      <c r="E1283" s="2"/>
      <c r="F1283" s="2">
        <v>397384.86</v>
      </c>
    </row>
    <row r="1284" s="1" customFormat="1" spans="1:6">
      <c r="A1284" s="40"/>
      <c r="D1284" s="2"/>
      <c r="E1284" s="2"/>
      <c r="F1284" s="2">
        <v>397384.86</v>
      </c>
    </row>
    <row r="1285" s="1" customFormat="1" spans="1:6">
      <c r="A1285" s="40"/>
      <c r="D1285" s="2"/>
      <c r="E1285" s="2"/>
      <c r="F1285" s="2">
        <v>397384.86</v>
      </c>
    </row>
    <row r="1286" s="1" customFormat="1" spans="1:6">
      <c r="A1286" s="40"/>
      <c r="D1286" s="2"/>
      <c r="E1286" s="2"/>
      <c r="F1286" s="2">
        <v>397384.86</v>
      </c>
    </row>
    <row r="1287" s="1" customFormat="1" spans="1:6">
      <c r="A1287" s="40"/>
      <c r="D1287" s="2"/>
      <c r="E1287" s="2"/>
      <c r="F1287" s="2">
        <v>397384.86</v>
      </c>
    </row>
    <row r="1288" s="1" customFormat="1" spans="1:6">
      <c r="A1288" s="40"/>
      <c r="D1288" s="2"/>
      <c r="E1288" s="2"/>
      <c r="F1288" s="2">
        <v>397384.86</v>
      </c>
    </row>
    <row r="1289" s="1" customFormat="1" spans="1:6">
      <c r="A1289" s="40"/>
      <c r="D1289" s="2"/>
      <c r="E1289" s="2"/>
      <c r="F1289" s="2">
        <v>397384.86</v>
      </c>
    </row>
    <row r="1290" s="1" customFormat="1" spans="1:6">
      <c r="A1290" s="40"/>
      <c r="D1290" s="2"/>
      <c r="E1290" s="2"/>
      <c r="F1290" s="2">
        <v>397384.86</v>
      </c>
    </row>
    <row r="1291" s="1" customFormat="1" spans="1:6">
      <c r="A1291" s="40"/>
      <c r="D1291" s="2"/>
      <c r="E1291" s="2"/>
      <c r="F1291" s="2">
        <v>397384.86</v>
      </c>
    </row>
    <row r="1292" s="1" customFormat="1" spans="1:6">
      <c r="A1292" s="40"/>
      <c r="D1292" s="2"/>
      <c r="E1292" s="2"/>
      <c r="F1292" s="2">
        <v>397384.86</v>
      </c>
    </row>
    <row r="1293" s="1" customFormat="1" spans="1:6">
      <c r="A1293" s="40"/>
      <c r="D1293" s="2"/>
      <c r="E1293" s="2"/>
      <c r="F1293" s="2">
        <v>397384.86</v>
      </c>
    </row>
    <row r="1294" s="1" customFormat="1" spans="1:6">
      <c r="A1294" s="40"/>
      <c r="D1294" s="2"/>
      <c r="E1294" s="2"/>
      <c r="F1294" s="2">
        <v>397384.86</v>
      </c>
    </row>
    <row r="1295" s="1" customFormat="1" spans="1:6">
      <c r="A1295" s="40"/>
      <c r="D1295" s="2"/>
      <c r="E1295" s="2"/>
      <c r="F1295" s="2">
        <v>397384.86</v>
      </c>
    </row>
    <row r="1296" s="1" customFormat="1" spans="1:6">
      <c r="A1296" s="40"/>
      <c r="D1296" s="2"/>
      <c r="E1296" s="2"/>
      <c r="F1296" s="2">
        <v>397384.86</v>
      </c>
    </row>
    <row r="1297" s="1" customFormat="1" spans="1:6">
      <c r="A1297" s="40"/>
      <c r="D1297" s="2"/>
      <c r="E1297" s="2"/>
      <c r="F1297" s="2">
        <v>397384.86</v>
      </c>
    </row>
    <row r="1298" s="1" customFormat="1" spans="1:6">
      <c r="A1298" s="40"/>
      <c r="D1298" s="2"/>
      <c r="E1298" s="2"/>
      <c r="F1298" s="2">
        <v>397384.86</v>
      </c>
    </row>
    <row r="1299" s="1" customFormat="1" spans="1:6">
      <c r="A1299" s="40"/>
      <c r="D1299" s="2"/>
      <c r="E1299" s="2"/>
      <c r="F1299" s="2">
        <v>397384.86</v>
      </c>
    </row>
    <row r="1300" s="1" customFormat="1" spans="1:6">
      <c r="A1300" s="40"/>
      <c r="D1300" s="2"/>
      <c r="E1300" s="2"/>
      <c r="F1300" s="2">
        <v>397384.86</v>
      </c>
    </row>
    <row r="1301" s="1" customFormat="1" spans="1:6">
      <c r="A1301" s="40"/>
      <c r="D1301" s="2"/>
      <c r="E1301" s="2"/>
      <c r="F1301" s="2">
        <v>397384.86</v>
      </c>
    </row>
    <row r="1302" s="1" customFormat="1" spans="1:6">
      <c r="A1302" s="40"/>
      <c r="D1302" s="2"/>
      <c r="E1302" s="2"/>
      <c r="F1302" s="2">
        <v>397384.86</v>
      </c>
    </row>
    <row r="1303" s="1" customFormat="1" spans="1:6">
      <c r="A1303" s="40"/>
      <c r="D1303" s="2"/>
      <c r="E1303" s="2"/>
      <c r="F1303" s="2">
        <v>397384.86</v>
      </c>
    </row>
    <row r="1304" s="1" customFormat="1" spans="1:6">
      <c r="A1304" s="40"/>
      <c r="D1304" s="2"/>
      <c r="E1304" s="2"/>
      <c r="F1304" s="2">
        <v>397384.86</v>
      </c>
    </row>
    <row r="1305" s="1" customFormat="1" spans="1:6">
      <c r="A1305" s="40"/>
      <c r="D1305" s="2"/>
      <c r="E1305" s="2"/>
      <c r="F1305" s="2">
        <v>397384.86</v>
      </c>
    </row>
    <row r="1306" s="1" customFormat="1" spans="1:6">
      <c r="A1306" s="40"/>
      <c r="D1306" s="2"/>
      <c r="E1306" s="2"/>
      <c r="F1306" s="2">
        <v>397384.86</v>
      </c>
    </row>
    <row r="1307" s="1" customFormat="1" spans="1:6">
      <c r="A1307" s="40"/>
      <c r="D1307" s="2"/>
      <c r="E1307" s="2"/>
      <c r="F1307" s="2">
        <v>397384.86</v>
      </c>
    </row>
    <row r="1308" s="1" customFormat="1" spans="1:6">
      <c r="A1308" s="40"/>
      <c r="D1308" s="2"/>
      <c r="E1308" s="2"/>
      <c r="F1308" s="2">
        <v>397384.86</v>
      </c>
    </row>
    <row r="1309" s="1" customFormat="1" spans="1:6">
      <c r="A1309" s="40"/>
      <c r="D1309" s="2"/>
      <c r="E1309" s="2"/>
      <c r="F1309" s="2">
        <v>397384.86</v>
      </c>
    </row>
    <row r="1310" s="1" customFormat="1" spans="1:6">
      <c r="A1310" s="40"/>
      <c r="D1310" s="2"/>
      <c r="E1310" s="2"/>
      <c r="F1310" s="2">
        <v>397384.86</v>
      </c>
    </row>
    <row r="1311" s="1" customFormat="1" spans="1:6">
      <c r="A1311" s="40"/>
      <c r="D1311" s="2"/>
      <c r="E1311" s="2"/>
      <c r="F1311" s="2">
        <v>397384.86</v>
      </c>
    </row>
    <row r="1312" s="1" customFormat="1" spans="1:6">
      <c r="A1312" s="40"/>
      <c r="D1312" s="2"/>
      <c r="E1312" s="2"/>
      <c r="F1312" s="2">
        <v>397384.86</v>
      </c>
    </row>
    <row r="1313" s="1" customFormat="1" spans="1:6">
      <c r="A1313" s="40"/>
      <c r="D1313" s="2"/>
      <c r="E1313" s="2"/>
      <c r="F1313" s="2">
        <v>397384.86</v>
      </c>
    </row>
    <row r="1314" s="1" customFormat="1" spans="1:6">
      <c r="A1314" s="40"/>
      <c r="D1314" s="2"/>
      <c r="E1314" s="2"/>
      <c r="F1314" s="2">
        <v>397384.86</v>
      </c>
    </row>
    <row r="1315" s="1" customFormat="1" spans="1:6">
      <c r="A1315" s="40"/>
      <c r="D1315" s="2"/>
      <c r="E1315" s="2"/>
      <c r="F1315" s="2">
        <v>397384.86</v>
      </c>
    </row>
    <row r="1316" s="1" customFormat="1" spans="1:6">
      <c r="A1316" s="40"/>
      <c r="D1316" s="2"/>
      <c r="E1316" s="2"/>
      <c r="F1316" s="2">
        <v>397384.86</v>
      </c>
    </row>
    <row r="1317" s="1" customFormat="1" spans="1:6">
      <c r="A1317" s="40"/>
      <c r="D1317" s="2"/>
      <c r="E1317" s="2"/>
      <c r="F1317" s="2">
        <v>397384.86</v>
      </c>
    </row>
    <row r="1318" s="1" customFormat="1" spans="1:6">
      <c r="A1318" s="40"/>
      <c r="D1318" s="2"/>
      <c r="E1318" s="2"/>
      <c r="F1318" s="2">
        <v>397384.86</v>
      </c>
    </row>
    <row r="1319" s="1" customFormat="1" spans="1:6">
      <c r="A1319" s="40"/>
      <c r="D1319" s="2"/>
      <c r="E1319" s="2"/>
      <c r="F1319" s="2">
        <v>397384.86</v>
      </c>
    </row>
    <row r="1320" s="1" customFormat="1" spans="1:6">
      <c r="A1320" s="40"/>
      <c r="D1320" s="2"/>
      <c r="E1320" s="2"/>
      <c r="F1320" s="2">
        <v>397384.86</v>
      </c>
    </row>
    <row r="1321" s="1" customFormat="1" spans="1:6">
      <c r="A1321" s="40"/>
      <c r="D1321" s="2"/>
      <c r="E1321" s="2"/>
      <c r="F1321" s="2">
        <v>397384.86</v>
      </c>
    </row>
    <row r="1322" s="1" customFormat="1" spans="1:6">
      <c r="A1322" s="40"/>
      <c r="D1322" s="2"/>
      <c r="E1322" s="2"/>
      <c r="F1322" s="2">
        <v>397384.86</v>
      </c>
    </row>
    <row r="1323" s="1" customFormat="1" spans="1:6">
      <c r="A1323" s="40"/>
      <c r="D1323" s="2"/>
      <c r="E1323" s="2"/>
      <c r="F1323" s="2">
        <v>397384.86</v>
      </c>
    </row>
    <row r="1324" s="1" customFormat="1" spans="1:6">
      <c r="A1324" s="40"/>
      <c r="D1324" s="2"/>
      <c r="E1324" s="2"/>
      <c r="F1324" s="2">
        <v>397384.86</v>
      </c>
    </row>
    <row r="1325" s="1" customFormat="1" spans="1:6">
      <c r="A1325" s="40"/>
      <c r="D1325" s="2"/>
      <c r="E1325" s="2"/>
      <c r="F1325" s="2">
        <v>397384.86</v>
      </c>
    </row>
    <row r="1326" s="1" customFormat="1" spans="1:6">
      <c r="A1326" s="40"/>
      <c r="D1326" s="2"/>
      <c r="E1326" s="2"/>
      <c r="F1326" s="2">
        <v>397384.86</v>
      </c>
    </row>
    <row r="1327" s="1" customFormat="1" spans="1:6">
      <c r="A1327" s="40"/>
      <c r="D1327" s="2"/>
      <c r="E1327" s="2"/>
      <c r="F1327" s="2">
        <v>397384.86</v>
      </c>
    </row>
    <row r="1328" s="1" customFormat="1" spans="1:6">
      <c r="A1328" s="40"/>
      <c r="D1328" s="2"/>
      <c r="E1328" s="2"/>
      <c r="F1328" s="2">
        <v>397384.86</v>
      </c>
    </row>
    <row r="1329" s="1" customFormat="1" spans="1:6">
      <c r="A1329" s="40"/>
      <c r="D1329" s="2"/>
      <c r="E1329" s="2"/>
      <c r="F1329" s="2">
        <v>397384.86</v>
      </c>
    </row>
    <row r="1330" s="1" customFormat="1" spans="1:6">
      <c r="A1330" s="40"/>
      <c r="D1330" s="2"/>
      <c r="E1330" s="2"/>
      <c r="F1330" s="2">
        <v>397384.86</v>
      </c>
    </row>
    <row r="1331" s="1" customFormat="1" spans="1:6">
      <c r="A1331" s="40"/>
      <c r="D1331" s="2"/>
      <c r="E1331" s="2"/>
      <c r="F1331" s="2">
        <v>397384.86</v>
      </c>
    </row>
    <row r="1332" s="1" customFormat="1" spans="1:6">
      <c r="A1332" s="40"/>
      <c r="D1332" s="2"/>
      <c r="E1332" s="2"/>
      <c r="F1332" s="2">
        <v>397384.86</v>
      </c>
    </row>
    <row r="1333" s="1" customFormat="1" spans="1:6">
      <c r="A1333" s="40"/>
      <c r="D1333" s="2"/>
      <c r="E1333" s="2"/>
      <c r="F1333" s="2">
        <v>397384.86</v>
      </c>
    </row>
    <row r="1334" s="1" customFormat="1" spans="1:6">
      <c r="A1334" s="40"/>
      <c r="D1334" s="2"/>
      <c r="E1334" s="2"/>
      <c r="F1334" s="2">
        <v>397384.86</v>
      </c>
    </row>
    <row r="1335" s="1" customFormat="1" spans="1:6">
      <c r="A1335" s="40"/>
      <c r="D1335" s="2"/>
      <c r="E1335" s="2"/>
      <c r="F1335" s="2">
        <v>397384.86</v>
      </c>
    </row>
    <row r="1336" s="1" customFormat="1" spans="1:6">
      <c r="A1336" s="40"/>
      <c r="D1336" s="2"/>
      <c r="E1336" s="2"/>
      <c r="F1336" s="2">
        <v>397384.86</v>
      </c>
    </row>
    <row r="1337" s="1" customFormat="1" spans="1:6">
      <c r="A1337" s="40"/>
      <c r="D1337" s="2"/>
      <c r="E1337" s="2"/>
      <c r="F1337" s="2">
        <v>397384.86</v>
      </c>
    </row>
    <row r="1338" s="1" customFormat="1" spans="1:6">
      <c r="A1338" s="40"/>
      <c r="D1338" s="2"/>
      <c r="E1338" s="2"/>
      <c r="F1338" s="2">
        <v>397384.86</v>
      </c>
    </row>
    <row r="1339" s="1" customFormat="1" spans="1:6">
      <c r="A1339" s="40"/>
      <c r="D1339" s="2"/>
      <c r="E1339" s="2"/>
      <c r="F1339" s="2">
        <v>397384.86</v>
      </c>
    </row>
    <row r="1340" s="1" customFormat="1" spans="1:6">
      <c r="A1340" s="40"/>
      <c r="D1340" s="2"/>
      <c r="E1340" s="2"/>
      <c r="F1340" s="2">
        <v>397384.86</v>
      </c>
    </row>
    <row r="1341" s="1" customFormat="1" spans="1:6">
      <c r="A1341" s="40"/>
      <c r="D1341" s="2"/>
      <c r="E1341" s="2"/>
      <c r="F1341" s="2">
        <v>397384.86</v>
      </c>
    </row>
    <row r="1342" s="1" customFormat="1" spans="1:6">
      <c r="A1342" s="40"/>
      <c r="D1342" s="2"/>
      <c r="E1342" s="2"/>
      <c r="F1342" s="2">
        <v>397384.86</v>
      </c>
    </row>
    <row r="1343" s="1" customFormat="1" spans="1:6">
      <c r="A1343" s="40"/>
      <c r="D1343" s="2"/>
      <c r="E1343" s="2"/>
      <c r="F1343" s="2">
        <v>397384.86</v>
      </c>
    </row>
    <row r="1344" s="1" customFormat="1" spans="1:6">
      <c r="A1344" s="40"/>
      <c r="D1344" s="2"/>
      <c r="E1344" s="2"/>
      <c r="F1344" s="2">
        <v>397384.86</v>
      </c>
    </row>
    <row r="1345" s="1" customFormat="1" spans="1:6">
      <c r="A1345" s="40"/>
      <c r="D1345" s="2"/>
      <c r="E1345" s="2"/>
      <c r="F1345" s="2">
        <v>397384.86</v>
      </c>
    </row>
    <row r="1346" s="1" customFormat="1" spans="1:6">
      <c r="A1346" s="40"/>
      <c r="D1346" s="2"/>
      <c r="E1346" s="2"/>
      <c r="F1346" s="2">
        <v>397384.86</v>
      </c>
    </row>
    <row r="1347" s="1" customFormat="1" spans="1:6">
      <c r="A1347" s="40"/>
      <c r="D1347" s="2"/>
      <c r="E1347" s="2"/>
      <c r="F1347" s="2">
        <v>397384.86</v>
      </c>
    </row>
    <row r="1348" s="1" customFormat="1" spans="1:6">
      <c r="A1348" s="40"/>
      <c r="D1348" s="2"/>
      <c r="E1348" s="2"/>
      <c r="F1348" s="2">
        <v>397384.86</v>
      </c>
    </row>
    <row r="1349" s="1" customFormat="1" spans="1:6">
      <c r="A1349" s="40"/>
      <c r="D1349" s="2"/>
      <c r="E1349" s="2"/>
      <c r="F1349" s="2">
        <v>397384.86</v>
      </c>
    </row>
    <row r="1350" s="1" customFormat="1" spans="1:6">
      <c r="A1350" s="40"/>
      <c r="D1350" s="2"/>
      <c r="E1350" s="2"/>
      <c r="F1350" s="2">
        <v>397384.86</v>
      </c>
    </row>
    <row r="1351" s="1" customFormat="1" spans="1:6">
      <c r="A1351" s="40"/>
      <c r="D1351" s="2"/>
      <c r="E1351" s="2"/>
      <c r="F1351" s="2">
        <v>397384.86</v>
      </c>
    </row>
    <row r="1352" s="1" customFormat="1" spans="1:6">
      <c r="A1352" s="40"/>
      <c r="D1352" s="2"/>
      <c r="E1352" s="2"/>
      <c r="F1352" s="2">
        <v>397384.86</v>
      </c>
    </row>
    <row r="1353" s="1" customFormat="1" spans="1:6">
      <c r="A1353" s="40"/>
      <c r="D1353" s="2"/>
      <c r="E1353" s="2"/>
      <c r="F1353" s="2">
        <v>397384.86</v>
      </c>
    </row>
    <row r="1354" s="1" customFormat="1" spans="1:6">
      <c r="A1354" s="40"/>
      <c r="D1354" s="2"/>
      <c r="E1354" s="2"/>
      <c r="F1354" s="2">
        <v>397384.86</v>
      </c>
    </row>
    <row r="1355" s="1" customFormat="1" spans="1:6">
      <c r="A1355" s="40"/>
      <c r="D1355" s="2"/>
      <c r="E1355" s="2"/>
      <c r="F1355" s="2">
        <v>397384.86</v>
      </c>
    </row>
    <row r="1356" s="1" customFormat="1" spans="1:6">
      <c r="A1356" s="40"/>
      <c r="D1356" s="2"/>
      <c r="E1356" s="2"/>
      <c r="F1356" s="2">
        <v>397384.86</v>
      </c>
    </row>
    <row r="1357" s="1" customFormat="1" spans="1:6">
      <c r="A1357" s="40"/>
      <c r="D1357" s="2"/>
      <c r="E1357" s="2"/>
      <c r="F1357" s="2">
        <v>397384.86</v>
      </c>
    </row>
    <row r="1358" s="1" customFormat="1" spans="1:6">
      <c r="A1358" s="40"/>
      <c r="D1358" s="2"/>
      <c r="E1358" s="2"/>
      <c r="F1358" s="2">
        <v>397384.86</v>
      </c>
    </row>
    <row r="1359" s="1" customFormat="1" spans="1:6">
      <c r="A1359" s="40"/>
      <c r="D1359" s="2"/>
      <c r="E1359" s="2"/>
      <c r="F1359" s="2">
        <v>397384.86</v>
      </c>
    </row>
    <row r="1360" s="1" customFormat="1" spans="1:6">
      <c r="A1360" s="40"/>
      <c r="D1360" s="2"/>
      <c r="E1360" s="2"/>
      <c r="F1360" s="2">
        <v>397384.86</v>
      </c>
    </row>
    <row r="1361" s="1" customFormat="1" spans="1:6">
      <c r="A1361" s="40"/>
      <c r="D1361" s="2"/>
      <c r="E1361" s="2"/>
      <c r="F1361" s="2">
        <v>397384.86</v>
      </c>
    </row>
    <row r="1362" s="1" customFormat="1" spans="1:6">
      <c r="A1362" s="40"/>
      <c r="D1362" s="2"/>
      <c r="E1362" s="2"/>
      <c r="F1362" s="2">
        <v>397384.86</v>
      </c>
    </row>
    <row r="1363" s="1" customFormat="1" spans="1:6">
      <c r="A1363" s="40"/>
      <c r="D1363" s="2"/>
      <c r="E1363" s="2"/>
      <c r="F1363" s="2">
        <v>397384.86</v>
      </c>
    </row>
    <row r="1364" s="1" customFormat="1" spans="1:6">
      <c r="A1364" s="40"/>
      <c r="D1364" s="2"/>
      <c r="E1364" s="2"/>
      <c r="F1364" s="2">
        <v>397384.86</v>
      </c>
    </row>
    <row r="1365" s="1" customFormat="1" spans="1:6">
      <c r="A1365" s="40"/>
      <c r="D1365" s="2"/>
      <c r="E1365" s="2"/>
      <c r="F1365" s="2">
        <v>397384.86</v>
      </c>
    </row>
    <row r="1366" s="1" customFormat="1" spans="1:6">
      <c r="A1366" s="40"/>
      <c r="D1366" s="2"/>
      <c r="E1366" s="2"/>
      <c r="F1366" s="2">
        <v>397384.86</v>
      </c>
    </row>
    <row r="1367" s="1" customFormat="1" spans="1:6">
      <c r="A1367" s="40"/>
      <c r="D1367" s="2"/>
      <c r="E1367" s="2"/>
      <c r="F1367" s="2">
        <v>397384.86</v>
      </c>
    </row>
    <row r="1368" s="1" customFormat="1" spans="1:6">
      <c r="A1368" s="40"/>
      <c r="D1368" s="2"/>
      <c r="E1368" s="2"/>
      <c r="F1368" s="2">
        <v>397384.86</v>
      </c>
    </row>
    <row r="1369" s="1" customFormat="1" spans="1:6">
      <c r="A1369" s="40"/>
      <c r="D1369" s="2"/>
      <c r="E1369" s="2"/>
      <c r="F1369" s="2">
        <v>397384.86</v>
      </c>
    </row>
    <row r="1370" s="1" customFormat="1" spans="1:6">
      <c r="A1370" s="40"/>
      <c r="D1370" s="2"/>
      <c r="E1370" s="2"/>
      <c r="F1370" s="2">
        <v>397384.86</v>
      </c>
    </row>
    <row r="1371" s="1" customFormat="1" spans="1:6">
      <c r="A1371" s="40"/>
      <c r="D1371" s="2"/>
      <c r="E1371" s="2"/>
      <c r="F1371" s="2">
        <v>397384.86</v>
      </c>
    </row>
    <row r="1372" s="1" customFormat="1" spans="1:6">
      <c r="A1372" s="40"/>
      <c r="D1372" s="2"/>
      <c r="E1372" s="2"/>
      <c r="F1372" s="2">
        <v>397384.86</v>
      </c>
    </row>
    <row r="1373" s="1" customFormat="1" spans="1:6">
      <c r="A1373" s="40"/>
      <c r="D1373" s="2"/>
      <c r="E1373" s="2"/>
      <c r="F1373" s="2">
        <v>397384.86</v>
      </c>
    </row>
    <row r="1374" s="1" customFormat="1" spans="1:6">
      <c r="A1374" s="40"/>
      <c r="D1374" s="2"/>
      <c r="E1374" s="2"/>
      <c r="F1374" s="2">
        <v>397384.86</v>
      </c>
    </row>
    <row r="1375" s="1" customFormat="1" spans="1:6">
      <c r="A1375" s="40"/>
      <c r="D1375" s="2"/>
      <c r="E1375" s="2"/>
      <c r="F1375" s="2">
        <v>397384.86</v>
      </c>
    </row>
    <row r="1376" s="1" customFormat="1" spans="1:6">
      <c r="A1376" s="40"/>
      <c r="D1376" s="2"/>
      <c r="E1376" s="2"/>
      <c r="F1376" s="2">
        <v>397384.86</v>
      </c>
    </row>
    <row r="1377" s="1" customFormat="1" spans="1:6">
      <c r="A1377" s="40"/>
      <c r="D1377" s="2"/>
      <c r="E1377" s="2"/>
      <c r="F1377" s="2">
        <v>397384.86</v>
      </c>
    </row>
    <row r="1378" s="1" customFormat="1" spans="1:6">
      <c r="A1378" s="40"/>
      <c r="D1378" s="2"/>
      <c r="E1378" s="2"/>
      <c r="F1378" s="2">
        <v>397384.86</v>
      </c>
    </row>
    <row r="1379" s="1" customFormat="1" spans="1:6">
      <c r="A1379" s="40"/>
      <c r="D1379" s="2"/>
      <c r="E1379" s="2"/>
      <c r="F1379" s="2">
        <v>397384.86</v>
      </c>
    </row>
    <row r="1380" s="1" customFormat="1" spans="1:6">
      <c r="A1380" s="40"/>
      <c r="D1380" s="2"/>
      <c r="E1380" s="2"/>
      <c r="F1380" s="2">
        <v>397384.86</v>
      </c>
    </row>
    <row r="1381" s="1" customFormat="1" spans="1:6">
      <c r="A1381" s="40"/>
      <c r="D1381" s="2"/>
      <c r="E1381" s="2"/>
      <c r="F1381" s="2">
        <v>397384.86</v>
      </c>
    </row>
    <row r="1382" s="1" customFormat="1" spans="1:6">
      <c r="A1382" s="40"/>
      <c r="D1382" s="2"/>
      <c r="E1382" s="2"/>
      <c r="F1382" s="2">
        <v>397384.86</v>
      </c>
    </row>
    <row r="1383" s="1" customFormat="1" spans="1:6">
      <c r="A1383" s="40"/>
      <c r="D1383" s="2"/>
      <c r="E1383" s="2"/>
      <c r="F1383" s="2">
        <v>397384.86</v>
      </c>
    </row>
    <row r="1384" s="1" customFormat="1" spans="1:6">
      <c r="A1384" s="40"/>
      <c r="D1384" s="2"/>
      <c r="E1384" s="2"/>
      <c r="F1384" s="2">
        <v>397384.86</v>
      </c>
    </row>
    <row r="1385" s="1" customFormat="1" spans="1:6">
      <c r="A1385" s="40"/>
      <c r="D1385" s="2"/>
      <c r="E1385" s="2"/>
      <c r="F1385" s="2">
        <v>397384.86</v>
      </c>
    </row>
    <row r="1386" s="1" customFormat="1" spans="1:6">
      <c r="A1386" s="40"/>
      <c r="D1386" s="2"/>
      <c r="E1386" s="2"/>
      <c r="F1386" s="2">
        <v>397384.86</v>
      </c>
    </row>
    <row r="1387" s="1" customFormat="1" spans="1:6">
      <c r="A1387" s="40"/>
      <c r="D1387" s="2"/>
      <c r="E1387" s="2"/>
      <c r="F1387" s="2">
        <v>397384.86</v>
      </c>
    </row>
    <row r="1388" s="1" customFormat="1" spans="1:6">
      <c r="A1388" s="40"/>
      <c r="D1388" s="2"/>
      <c r="E1388" s="2"/>
      <c r="F1388" s="2">
        <v>397384.86</v>
      </c>
    </row>
    <row r="1389" s="1" customFormat="1" spans="1:6">
      <c r="A1389" s="40"/>
      <c r="D1389" s="2"/>
      <c r="E1389" s="2"/>
      <c r="F1389" s="2">
        <v>397384.86</v>
      </c>
    </row>
    <row r="1390" s="1" customFormat="1" spans="1:6">
      <c r="A1390" s="40"/>
      <c r="D1390" s="2"/>
      <c r="E1390" s="2"/>
      <c r="F1390" s="2">
        <v>397384.86</v>
      </c>
    </row>
    <row r="1391" s="1" customFormat="1" spans="1:6">
      <c r="A1391" s="40"/>
      <c r="D1391" s="2"/>
      <c r="E1391" s="2"/>
      <c r="F1391" s="2">
        <v>397384.86</v>
      </c>
    </row>
    <row r="1392" s="1" customFormat="1" spans="1:6">
      <c r="A1392" s="40"/>
      <c r="D1392" s="2"/>
      <c r="E1392" s="2"/>
      <c r="F1392" s="2">
        <v>397384.86</v>
      </c>
    </row>
    <row r="1393" s="1" customFormat="1" spans="1:6">
      <c r="A1393" s="40"/>
      <c r="D1393" s="2"/>
      <c r="E1393" s="2"/>
      <c r="F1393" s="2">
        <v>397384.86</v>
      </c>
    </row>
    <row r="1394" s="1" customFormat="1" spans="1:6">
      <c r="A1394" s="40"/>
      <c r="D1394" s="2"/>
      <c r="E1394" s="2"/>
      <c r="F1394" s="2">
        <v>397384.86</v>
      </c>
    </row>
    <row r="1395" s="1" customFormat="1" spans="1:6">
      <c r="A1395" s="40"/>
      <c r="D1395" s="2"/>
      <c r="E1395" s="2"/>
      <c r="F1395" s="2">
        <v>397384.86</v>
      </c>
    </row>
    <row r="1396" s="1" customFormat="1" spans="1:6">
      <c r="A1396" s="40"/>
      <c r="D1396" s="2"/>
      <c r="E1396" s="2"/>
      <c r="F1396" s="2">
        <v>397384.86</v>
      </c>
    </row>
    <row r="1397" s="1" customFormat="1" spans="1:6">
      <c r="A1397" s="40"/>
      <c r="D1397" s="2"/>
      <c r="E1397" s="2"/>
      <c r="F1397" s="2">
        <v>397384.86</v>
      </c>
    </row>
    <row r="1398" s="1" customFormat="1" spans="1:6">
      <c r="A1398" s="40"/>
      <c r="D1398" s="2"/>
      <c r="E1398" s="2"/>
      <c r="F1398" s="2">
        <v>397384.86</v>
      </c>
    </row>
    <row r="1399" s="1" customFormat="1" spans="1:6">
      <c r="A1399" s="40"/>
      <c r="D1399" s="2"/>
      <c r="E1399" s="2"/>
      <c r="F1399" s="2">
        <v>397384.86</v>
      </c>
    </row>
    <row r="1400" s="1" customFormat="1" spans="1:6">
      <c r="A1400" s="40"/>
      <c r="D1400" s="2"/>
      <c r="E1400" s="2"/>
      <c r="F1400" s="2">
        <v>397384.86</v>
      </c>
    </row>
    <row r="1401" s="1" customFormat="1" spans="1:6">
      <c r="A1401" s="40"/>
      <c r="D1401" s="2"/>
      <c r="E1401" s="2"/>
      <c r="F1401" s="2">
        <v>397384.86</v>
      </c>
    </row>
    <row r="1402" s="1" customFormat="1" spans="1:6">
      <c r="A1402" s="40"/>
      <c r="D1402" s="2"/>
      <c r="E1402" s="2"/>
      <c r="F1402" s="2">
        <v>397384.86</v>
      </c>
    </row>
    <row r="1403" s="1" customFormat="1" spans="1:6">
      <c r="A1403" s="40"/>
      <c r="D1403" s="2"/>
      <c r="E1403" s="2"/>
      <c r="F1403" s="2">
        <v>397384.86</v>
      </c>
    </row>
    <row r="1404" s="1" customFormat="1" spans="1:6">
      <c r="A1404" s="40"/>
      <c r="D1404" s="2"/>
      <c r="E1404" s="2"/>
      <c r="F1404" s="2">
        <v>397384.86</v>
      </c>
    </row>
    <row r="1405" s="1" customFormat="1" spans="1:6">
      <c r="A1405" s="40"/>
      <c r="D1405" s="2"/>
      <c r="E1405" s="2"/>
      <c r="F1405" s="2">
        <v>397384.86</v>
      </c>
    </row>
    <row r="1406" s="1" customFormat="1" spans="1:6">
      <c r="A1406" s="40"/>
      <c r="D1406" s="2"/>
      <c r="E1406" s="2"/>
      <c r="F1406" s="2">
        <v>397384.86</v>
      </c>
    </row>
    <row r="1407" s="1" customFormat="1" spans="1:6">
      <c r="A1407" s="40"/>
      <c r="D1407" s="2"/>
      <c r="E1407" s="2"/>
      <c r="F1407" s="2">
        <v>397384.86</v>
      </c>
    </row>
    <row r="1408" s="1" customFormat="1" spans="1:6">
      <c r="A1408" s="40"/>
      <c r="D1408" s="2"/>
      <c r="E1408" s="2"/>
      <c r="F1408" s="2">
        <v>397384.86</v>
      </c>
    </row>
    <row r="1409" s="1" customFormat="1" spans="1:6">
      <c r="A1409" s="40"/>
      <c r="D1409" s="2"/>
      <c r="E1409" s="2"/>
      <c r="F1409" s="2">
        <v>397384.86</v>
      </c>
    </row>
    <row r="1410" s="1" customFormat="1" spans="1:6">
      <c r="A1410" s="40"/>
      <c r="D1410" s="2"/>
      <c r="E1410" s="2"/>
      <c r="F1410" s="2">
        <v>397384.86</v>
      </c>
    </row>
    <row r="1411" s="1" customFormat="1" spans="1:6">
      <c r="A1411" s="40"/>
      <c r="D1411" s="2"/>
      <c r="E1411" s="2"/>
      <c r="F1411" s="2">
        <v>397384.86</v>
      </c>
    </row>
    <row r="1412" s="1" customFormat="1" spans="1:6">
      <c r="A1412" s="40"/>
      <c r="D1412" s="2"/>
      <c r="E1412" s="2"/>
      <c r="F1412" s="2">
        <v>397384.86</v>
      </c>
    </row>
    <row r="1413" s="1" customFormat="1" spans="1:6">
      <c r="A1413" s="40"/>
      <c r="D1413" s="2"/>
      <c r="E1413" s="2"/>
      <c r="F1413" s="2">
        <v>397384.86</v>
      </c>
    </row>
    <row r="1414" s="1" customFormat="1" spans="1:6">
      <c r="A1414" s="40"/>
      <c r="D1414" s="2"/>
      <c r="E1414" s="2"/>
      <c r="F1414" s="2">
        <v>397384.86</v>
      </c>
    </row>
    <row r="1415" s="1" customFormat="1" spans="1:6">
      <c r="A1415" s="40"/>
      <c r="D1415" s="2"/>
      <c r="E1415" s="2"/>
      <c r="F1415" s="2">
        <v>397384.86</v>
      </c>
    </row>
    <row r="1416" s="1" customFormat="1" spans="1:6">
      <c r="A1416" s="40"/>
      <c r="D1416" s="2"/>
      <c r="E1416" s="2"/>
      <c r="F1416" s="2">
        <v>397384.86</v>
      </c>
    </row>
    <row r="1417" s="1" customFormat="1" spans="1:6">
      <c r="A1417" s="40"/>
      <c r="D1417" s="2"/>
      <c r="E1417" s="2"/>
      <c r="F1417" s="2">
        <v>397384.86</v>
      </c>
    </row>
    <row r="1418" s="1" customFormat="1" spans="1:6">
      <c r="A1418" s="40"/>
      <c r="D1418" s="2"/>
      <c r="E1418" s="2"/>
      <c r="F1418" s="2">
        <v>397384.86</v>
      </c>
    </row>
    <row r="1419" s="1" customFormat="1" spans="1:6">
      <c r="A1419" s="40"/>
      <c r="D1419" s="2"/>
      <c r="E1419" s="2"/>
      <c r="F1419" s="2">
        <v>397384.86</v>
      </c>
    </row>
    <row r="1420" s="1" customFormat="1" spans="1:6">
      <c r="A1420" s="40"/>
      <c r="D1420" s="2"/>
      <c r="E1420" s="2"/>
      <c r="F1420" s="2">
        <v>397384.86</v>
      </c>
    </row>
    <row r="1421" s="1" customFormat="1" spans="1:6">
      <c r="A1421" s="40"/>
      <c r="D1421" s="2"/>
      <c r="E1421" s="2"/>
      <c r="F1421" s="2">
        <v>397384.86</v>
      </c>
    </row>
    <row r="1422" s="1" customFormat="1" spans="1:6">
      <c r="A1422" s="40"/>
      <c r="D1422" s="2"/>
      <c r="E1422" s="2"/>
      <c r="F1422" s="2">
        <v>397384.86</v>
      </c>
    </row>
    <row r="1423" s="1" customFormat="1" spans="1:6">
      <c r="A1423" s="40"/>
      <c r="D1423" s="2"/>
      <c r="E1423" s="2"/>
      <c r="F1423" s="2">
        <v>397384.86</v>
      </c>
    </row>
    <row r="1424" s="1" customFormat="1" spans="1:6">
      <c r="A1424" s="40"/>
      <c r="D1424" s="2"/>
      <c r="E1424" s="2"/>
      <c r="F1424" s="2">
        <v>397384.86</v>
      </c>
    </row>
    <row r="1425" s="1" customFormat="1" spans="1:6">
      <c r="A1425" s="40"/>
      <c r="D1425" s="2"/>
      <c r="E1425" s="2"/>
      <c r="F1425" s="2">
        <v>397384.86</v>
      </c>
    </row>
    <row r="1426" s="1" customFormat="1" spans="1:6">
      <c r="A1426" s="40"/>
      <c r="D1426" s="2"/>
      <c r="E1426" s="2"/>
      <c r="F1426" s="2">
        <v>397384.86</v>
      </c>
    </row>
    <row r="1427" s="1" customFormat="1" spans="1:6">
      <c r="A1427" s="40"/>
      <c r="D1427" s="2"/>
      <c r="E1427" s="2"/>
      <c r="F1427" s="2">
        <v>397384.86</v>
      </c>
    </row>
    <row r="1428" s="1" customFormat="1" spans="1:6">
      <c r="A1428" s="40"/>
      <c r="D1428" s="2"/>
      <c r="E1428" s="2"/>
      <c r="F1428" s="2">
        <v>397384.86</v>
      </c>
    </row>
    <row r="1429" s="1" customFormat="1" spans="1:6">
      <c r="A1429" s="40"/>
      <c r="D1429" s="2"/>
      <c r="E1429" s="2"/>
      <c r="F1429" s="2">
        <v>397384.86</v>
      </c>
    </row>
    <row r="1430" s="1" customFormat="1" spans="1:6">
      <c r="A1430" s="40"/>
      <c r="D1430" s="2"/>
      <c r="E1430" s="2"/>
      <c r="F1430" s="2">
        <v>397384.86</v>
      </c>
    </row>
    <row r="1431" s="1" customFormat="1" spans="1:6">
      <c r="A1431" s="40"/>
      <c r="D1431" s="2"/>
      <c r="E1431" s="2"/>
      <c r="F1431" s="2">
        <v>397384.86</v>
      </c>
    </row>
    <row r="1432" s="1" customFormat="1" spans="1:6">
      <c r="A1432" s="40"/>
      <c r="D1432" s="2"/>
      <c r="E1432" s="2"/>
      <c r="F1432" s="2">
        <v>397384.86</v>
      </c>
    </row>
    <row r="1433" s="1" customFormat="1" spans="1:6">
      <c r="A1433" s="40"/>
      <c r="D1433" s="2"/>
      <c r="E1433" s="2"/>
      <c r="F1433" s="2">
        <v>397384.86</v>
      </c>
    </row>
    <row r="1434" s="1" customFormat="1" spans="1:6">
      <c r="A1434" s="40"/>
      <c r="D1434" s="2"/>
      <c r="E1434" s="2"/>
      <c r="F1434" s="2">
        <v>397384.86</v>
      </c>
    </row>
    <row r="1435" s="1" customFormat="1" spans="1:6">
      <c r="A1435" s="40"/>
      <c r="D1435" s="2"/>
      <c r="E1435" s="2"/>
      <c r="F1435" s="2">
        <v>397384.86</v>
      </c>
    </row>
    <row r="1436" s="1" customFormat="1" spans="1:6">
      <c r="A1436" s="40"/>
      <c r="D1436" s="2"/>
      <c r="E1436" s="2"/>
      <c r="F1436" s="2">
        <v>397384.86</v>
      </c>
    </row>
    <row r="1437" s="1" customFormat="1" spans="1:6">
      <c r="A1437" s="40"/>
      <c r="D1437" s="2"/>
      <c r="E1437" s="2"/>
      <c r="F1437" s="2">
        <v>397384.86</v>
      </c>
    </row>
    <row r="1438" s="1" customFormat="1" spans="1:6">
      <c r="A1438" s="40"/>
      <c r="D1438" s="2"/>
      <c r="E1438" s="2"/>
      <c r="F1438" s="2">
        <v>397384.86</v>
      </c>
    </row>
    <row r="1439" s="1" customFormat="1" spans="1:6">
      <c r="A1439" s="40"/>
      <c r="D1439" s="2"/>
      <c r="E1439" s="2"/>
      <c r="F1439" s="2">
        <v>397384.86</v>
      </c>
    </row>
    <row r="1440" s="1" customFormat="1" spans="1:6">
      <c r="A1440" s="40"/>
      <c r="D1440" s="2"/>
      <c r="E1440" s="2"/>
      <c r="F1440" s="2">
        <v>397384.86</v>
      </c>
    </row>
    <row r="1441" s="1" customFormat="1" spans="1:6">
      <c r="A1441" s="40"/>
      <c r="D1441" s="2"/>
      <c r="E1441" s="2"/>
      <c r="F1441" s="2">
        <v>397384.86</v>
      </c>
    </row>
    <row r="1442" s="1" customFormat="1" spans="1:6">
      <c r="A1442" s="40"/>
      <c r="D1442" s="2"/>
      <c r="E1442" s="2"/>
      <c r="F1442" s="2">
        <v>397384.86</v>
      </c>
    </row>
    <row r="1443" s="1" customFormat="1" spans="1:6">
      <c r="A1443" s="40"/>
      <c r="D1443" s="2"/>
      <c r="E1443" s="2"/>
      <c r="F1443" s="2">
        <v>397384.86</v>
      </c>
    </row>
    <row r="1444" s="1" customFormat="1" spans="1:6">
      <c r="A1444" s="40"/>
      <c r="D1444" s="2"/>
      <c r="E1444" s="2"/>
      <c r="F1444" s="2">
        <v>397384.86</v>
      </c>
    </row>
    <row r="1445" s="1" customFormat="1" spans="1:6">
      <c r="A1445" s="40"/>
      <c r="D1445" s="2"/>
      <c r="E1445" s="2"/>
      <c r="F1445" s="2">
        <v>397384.86</v>
      </c>
    </row>
    <row r="1446" s="1" customFormat="1" spans="1:6">
      <c r="A1446" s="40"/>
      <c r="D1446" s="2"/>
      <c r="E1446" s="2"/>
      <c r="F1446" s="2">
        <v>397384.86</v>
      </c>
    </row>
    <row r="1447" s="1" customFormat="1" spans="1:6">
      <c r="A1447" s="40"/>
      <c r="D1447" s="2"/>
      <c r="E1447" s="2"/>
      <c r="F1447" s="2">
        <v>397384.86</v>
      </c>
    </row>
    <row r="1448" s="1" customFormat="1" spans="1:6">
      <c r="A1448" s="40"/>
      <c r="D1448" s="2"/>
      <c r="E1448" s="2"/>
      <c r="F1448" s="2">
        <v>397384.86</v>
      </c>
    </row>
    <row r="1449" s="1" customFormat="1" spans="1:6">
      <c r="A1449" s="40"/>
      <c r="D1449" s="2"/>
      <c r="E1449" s="2"/>
      <c r="F1449" s="2">
        <v>397384.86</v>
      </c>
    </row>
    <row r="1450" s="1" customFormat="1" spans="1:6">
      <c r="A1450" s="40"/>
      <c r="D1450" s="2"/>
      <c r="E1450" s="2"/>
      <c r="F1450" s="2">
        <v>397384.86</v>
      </c>
    </row>
    <row r="1451" s="1" customFormat="1" spans="1:6">
      <c r="A1451" s="40"/>
      <c r="D1451" s="2"/>
      <c r="E1451" s="2"/>
      <c r="F1451" s="2">
        <v>397384.86</v>
      </c>
    </row>
    <row r="1452" s="1" customFormat="1" spans="1:6">
      <c r="A1452" s="40"/>
      <c r="D1452" s="2"/>
      <c r="E1452" s="2"/>
      <c r="F1452" s="2">
        <v>397384.86</v>
      </c>
    </row>
    <row r="1453" s="1" customFormat="1" spans="1:6">
      <c r="A1453" s="40"/>
      <c r="D1453" s="2"/>
      <c r="E1453" s="2"/>
      <c r="F1453" s="2">
        <v>397384.86</v>
      </c>
    </row>
    <row r="1454" s="1" customFormat="1" spans="1:6">
      <c r="A1454" s="40"/>
      <c r="D1454" s="2"/>
      <c r="E1454" s="2"/>
      <c r="F1454" s="2">
        <v>397384.86</v>
      </c>
    </row>
    <row r="1455" s="1" customFormat="1" spans="1:6">
      <c r="A1455" s="40"/>
      <c r="D1455" s="2"/>
      <c r="E1455" s="2"/>
      <c r="F1455" s="2">
        <v>397384.86</v>
      </c>
    </row>
    <row r="1456" s="1" customFormat="1" spans="1:6">
      <c r="A1456" s="40"/>
      <c r="D1456" s="2"/>
      <c r="E1456" s="2"/>
      <c r="F1456" s="2">
        <v>397384.86</v>
      </c>
    </row>
    <row r="1457" s="1" customFormat="1" spans="1:6">
      <c r="A1457" s="40"/>
      <c r="D1457" s="2"/>
      <c r="E1457" s="2"/>
      <c r="F1457" s="2">
        <v>397384.86</v>
      </c>
    </row>
    <row r="1458" s="1" customFormat="1" spans="1:6">
      <c r="A1458" s="40"/>
      <c r="D1458" s="2"/>
      <c r="E1458" s="2"/>
      <c r="F1458" s="2">
        <v>397384.86</v>
      </c>
    </row>
    <row r="1459" s="1" customFormat="1" spans="1:6">
      <c r="A1459" s="40"/>
      <c r="D1459" s="2"/>
      <c r="E1459" s="2"/>
      <c r="F1459" s="2">
        <v>397384.86</v>
      </c>
    </row>
    <row r="1460" s="1" customFormat="1" spans="1:6">
      <c r="A1460" s="40"/>
      <c r="D1460" s="2"/>
      <c r="E1460" s="2"/>
      <c r="F1460" s="2">
        <v>397384.86</v>
      </c>
    </row>
    <row r="1461" s="1" customFormat="1" spans="1:6">
      <c r="A1461" s="40"/>
      <c r="D1461" s="2"/>
      <c r="E1461" s="2"/>
      <c r="F1461" s="2">
        <v>397384.86</v>
      </c>
    </row>
    <row r="1462" s="1" customFormat="1" spans="1:6">
      <c r="A1462" s="40"/>
      <c r="D1462" s="2"/>
      <c r="E1462" s="2"/>
      <c r="F1462" s="2">
        <v>397384.86</v>
      </c>
    </row>
    <row r="1463" s="1" customFormat="1" spans="1:6">
      <c r="A1463" s="40"/>
      <c r="D1463" s="2"/>
      <c r="E1463" s="2"/>
      <c r="F1463" s="2">
        <v>397384.86</v>
      </c>
    </row>
    <row r="1464" s="1" customFormat="1" spans="1:6">
      <c r="A1464" s="40"/>
      <c r="D1464" s="2"/>
      <c r="E1464" s="2"/>
      <c r="F1464" s="2">
        <v>397384.86</v>
      </c>
    </row>
    <row r="1465" s="1" customFormat="1" spans="1:6">
      <c r="A1465" s="40"/>
      <c r="D1465" s="2"/>
      <c r="E1465" s="2"/>
      <c r="F1465" s="2">
        <v>397384.86</v>
      </c>
    </row>
    <row r="1466" s="1" customFormat="1" spans="1:6">
      <c r="A1466" s="40"/>
      <c r="D1466" s="2"/>
      <c r="E1466" s="2"/>
      <c r="F1466" s="2">
        <v>397384.86</v>
      </c>
    </row>
    <row r="1467" s="1" customFormat="1" spans="1:6">
      <c r="A1467" s="40"/>
      <c r="D1467" s="2"/>
      <c r="E1467" s="2"/>
      <c r="F1467" s="2">
        <v>397384.86</v>
      </c>
    </row>
    <row r="1468" s="1" customFormat="1" spans="1:6">
      <c r="A1468" s="40"/>
      <c r="D1468" s="2"/>
      <c r="E1468" s="2"/>
      <c r="F1468" s="2">
        <v>397384.86</v>
      </c>
    </row>
    <row r="1469" s="1" customFormat="1" spans="1:6">
      <c r="A1469" s="40"/>
      <c r="D1469" s="2"/>
      <c r="E1469" s="2"/>
      <c r="F1469" s="2">
        <v>397384.86</v>
      </c>
    </row>
    <row r="1470" s="1" customFormat="1" spans="1:6">
      <c r="A1470" s="40"/>
      <c r="D1470" s="2"/>
      <c r="E1470" s="2"/>
      <c r="F1470" s="2">
        <v>397384.86</v>
      </c>
    </row>
    <row r="1471" s="1" customFormat="1" spans="1:6">
      <c r="A1471" s="40"/>
      <c r="D1471" s="2"/>
      <c r="E1471" s="2"/>
      <c r="F1471" s="2">
        <v>397384.86</v>
      </c>
    </row>
    <row r="1472" s="1" customFormat="1" spans="1:6">
      <c r="A1472" s="40"/>
      <c r="D1472" s="2"/>
      <c r="E1472" s="2"/>
      <c r="F1472" s="2">
        <v>397384.86</v>
      </c>
    </row>
    <row r="1473" s="1" customFormat="1" spans="1:6">
      <c r="A1473" s="40"/>
      <c r="D1473" s="2"/>
      <c r="E1473" s="2"/>
      <c r="F1473" s="2">
        <v>397384.86</v>
      </c>
    </row>
    <row r="1474" s="1" customFormat="1" spans="1:6">
      <c r="A1474" s="40"/>
      <c r="D1474" s="2"/>
      <c r="E1474" s="2"/>
      <c r="F1474" s="2">
        <v>397384.86</v>
      </c>
    </row>
    <row r="1475" s="1" customFormat="1" spans="1:6">
      <c r="A1475" s="40"/>
      <c r="D1475" s="2"/>
      <c r="E1475" s="2"/>
      <c r="F1475" s="2">
        <v>397384.86</v>
      </c>
    </row>
    <row r="1476" s="1" customFormat="1" spans="1:6">
      <c r="A1476" s="40"/>
      <c r="D1476" s="2"/>
      <c r="E1476" s="2"/>
      <c r="F1476" s="2">
        <v>397384.86</v>
      </c>
    </row>
    <row r="1477" s="1" customFormat="1" spans="1:6">
      <c r="A1477" s="40"/>
      <c r="D1477" s="2"/>
      <c r="E1477" s="2"/>
      <c r="F1477" s="2">
        <v>397384.86</v>
      </c>
    </row>
    <row r="1478" s="1" customFormat="1" spans="1:6">
      <c r="A1478" s="40"/>
      <c r="D1478" s="2"/>
      <c r="E1478" s="2"/>
      <c r="F1478" s="2">
        <v>397384.86</v>
      </c>
    </row>
    <row r="1479" s="1" customFormat="1" spans="1:6">
      <c r="A1479" s="40"/>
      <c r="D1479" s="2"/>
      <c r="E1479" s="2"/>
      <c r="F1479" s="2">
        <v>397384.86</v>
      </c>
    </row>
    <row r="1480" s="1" customFormat="1" spans="1:6">
      <c r="A1480" s="40"/>
      <c r="D1480" s="2"/>
      <c r="E1480" s="2"/>
      <c r="F1480" s="2">
        <v>397384.86</v>
      </c>
    </row>
    <row r="1481" s="1" customFormat="1" spans="1:6">
      <c r="A1481" s="40"/>
      <c r="D1481" s="2"/>
      <c r="E1481" s="2"/>
      <c r="F1481" s="2">
        <v>397384.86</v>
      </c>
    </row>
    <row r="1482" s="1" customFormat="1" spans="1:6">
      <c r="A1482" s="40"/>
      <c r="D1482" s="2"/>
      <c r="E1482" s="2"/>
      <c r="F1482" s="2">
        <v>397384.86</v>
      </c>
    </row>
    <row r="1483" s="1" customFormat="1" spans="1:6">
      <c r="A1483" s="40"/>
      <c r="D1483" s="2"/>
      <c r="E1483" s="2"/>
      <c r="F1483" s="2">
        <v>397384.86</v>
      </c>
    </row>
    <row r="1484" s="1" customFormat="1" spans="1:6">
      <c r="A1484" s="40"/>
      <c r="D1484" s="2"/>
      <c r="E1484" s="2"/>
      <c r="F1484" s="2">
        <v>397384.86</v>
      </c>
    </row>
    <row r="1485" s="1" customFormat="1" spans="1:6">
      <c r="A1485" s="40"/>
      <c r="D1485" s="2"/>
      <c r="E1485" s="2"/>
      <c r="F1485" s="2">
        <v>397384.86</v>
      </c>
    </row>
    <row r="1486" s="1" customFormat="1" spans="1:6">
      <c r="A1486" s="40"/>
      <c r="D1486" s="2"/>
      <c r="E1486" s="2"/>
      <c r="F1486" s="2">
        <v>397384.86</v>
      </c>
    </row>
    <row r="1487" s="1" customFormat="1" spans="1:6">
      <c r="A1487" s="40"/>
      <c r="D1487" s="2"/>
      <c r="E1487" s="2"/>
      <c r="F1487" s="2">
        <v>397384.86</v>
      </c>
    </row>
    <row r="1488" s="1" customFormat="1" spans="1:6">
      <c r="A1488" s="40"/>
      <c r="D1488" s="2"/>
      <c r="E1488" s="2"/>
      <c r="F1488" s="2">
        <v>397384.86</v>
      </c>
    </row>
    <row r="1489" s="1" customFormat="1" spans="1:6">
      <c r="A1489" s="40"/>
      <c r="D1489" s="2"/>
      <c r="E1489" s="2"/>
      <c r="F1489" s="2">
        <v>397384.86</v>
      </c>
    </row>
    <row r="1490" s="1" customFormat="1" spans="1:6">
      <c r="A1490" s="40"/>
      <c r="D1490" s="2"/>
      <c r="E1490" s="2"/>
      <c r="F1490" s="2">
        <v>397384.86</v>
      </c>
    </row>
    <row r="1491" s="1" customFormat="1" spans="1:6">
      <c r="A1491" s="40"/>
      <c r="D1491" s="2"/>
      <c r="E1491" s="2"/>
      <c r="F1491" s="2">
        <v>397384.86</v>
      </c>
    </row>
    <row r="1492" s="1" customFormat="1" spans="1:6">
      <c r="A1492" s="40"/>
      <c r="D1492" s="2"/>
      <c r="E1492" s="2"/>
      <c r="F1492" s="2">
        <v>397384.86</v>
      </c>
    </row>
    <row r="1493" s="1" customFormat="1" spans="1:6">
      <c r="A1493" s="40"/>
      <c r="D1493" s="2"/>
      <c r="E1493" s="2"/>
      <c r="F1493" s="2">
        <v>397384.86</v>
      </c>
    </row>
    <row r="1494" s="1" customFormat="1" spans="1:6">
      <c r="A1494" s="40"/>
      <c r="D1494" s="2"/>
      <c r="E1494" s="2"/>
      <c r="F1494" s="2">
        <v>397384.86</v>
      </c>
    </row>
    <row r="1495" s="1" customFormat="1" spans="1:6">
      <c r="A1495" s="40"/>
      <c r="D1495" s="2"/>
      <c r="E1495" s="2"/>
      <c r="F1495" s="2">
        <v>397384.86</v>
      </c>
    </row>
    <row r="1496" s="1" customFormat="1" spans="1:6">
      <c r="A1496" s="40"/>
      <c r="D1496" s="2"/>
      <c r="E1496" s="2"/>
      <c r="F1496" s="2">
        <v>397384.86</v>
      </c>
    </row>
    <row r="1497" s="1" customFormat="1" spans="1:6">
      <c r="A1497" s="40"/>
      <c r="D1497" s="2"/>
      <c r="E1497" s="2"/>
      <c r="F1497" s="2">
        <v>397384.86</v>
      </c>
    </row>
    <row r="1498" s="1" customFormat="1" spans="1:6">
      <c r="A1498" s="40"/>
      <c r="D1498" s="2"/>
      <c r="E1498" s="2"/>
      <c r="F1498" s="2">
        <v>397384.86</v>
      </c>
    </row>
    <row r="1499" s="1" customFormat="1" spans="1:6">
      <c r="A1499" s="40"/>
      <c r="D1499" s="2"/>
      <c r="E1499" s="2"/>
      <c r="F1499" s="2">
        <v>397384.86</v>
      </c>
    </row>
    <row r="1500" s="1" customFormat="1" spans="1:6">
      <c r="A1500" s="40"/>
      <c r="D1500" s="2"/>
      <c r="E1500" s="2"/>
      <c r="F1500" s="2">
        <v>397384.86</v>
      </c>
    </row>
    <row r="1501" s="1" customFormat="1" spans="1:6">
      <c r="A1501" s="40"/>
      <c r="D1501" s="2"/>
      <c r="E1501" s="2"/>
      <c r="F1501" s="2">
        <v>397384.86</v>
      </c>
    </row>
    <row r="1502" s="1" customFormat="1" spans="1:6">
      <c r="A1502" s="40"/>
      <c r="D1502" s="2"/>
      <c r="E1502" s="2"/>
      <c r="F1502" s="2">
        <v>397384.86</v>
      </c>
    </row>
    <row r="1503" s="1" customFormat="1" spans="1:6">
      <c r="A1503" s="40"/>
      <c r="D1503" s="2"/>
      <c r="E1503" s="2"/>
      <c r="F1503" s="2">
        <v>397384.86</v>
      </c>
    </row>
    <row r="1504" s="1" customFormat="1" spans="1:6">
      <c r="A1504" s="40"/>
      <c r="D1504" s="2"/>
      <c r="E1504" s="2"/>
      <c r="F1504" s="2">
        <v>397384.86</v>
      </c>
    </row>
    <row r="1505" s="1" customFormat="1" spans="1:6">
      <c r="A1505" s="40"/>
      <c r="D1505" s="2"/>
      <c r="E1505" s="2"/>
      <c r="F1505" s="2">
        <v>397384.86</v>
      </c>
    </row>
    <row r="1506" s="1" customFormat="1" spans="1:6">
      <c r="A1506" s="40"/>
      <c r="D1506" s="2"/>
      <c r="E1506" s="2"/>
      <c r="F1506" s="2">
        <v>397384.86</v>
      </c>
    </row>
    <row r="1507" s="1" customFormat="1" spans="1:6">
      <c r="A1507" s="40"/>
      <c r="D1507" s="2"/>
      <c r="E1507" s="2"/>
      <c r="F1507" s="2">
        <v>397384.86</v>
      </c>
    </row>
    <row r="1508" s="1" customFormat="1" spans="1:6">
      <c r="A1508" s="40"/>
      <c r="D1508" s="2"/>
      <c r="E1508" s="2"/>
      <c r="F1508" s="2">
        <v>397384.86</v>
      </c>
    </row>
    <row r="1509" s="1" customFormat="1" spans="1:6">
      <c r="A1509" s="40"/>
      <c r="D1509" s="2"/>
      <c r="E1509" s="2"/>
      <c r="F1509" s="2">
        <v>397384.86</v>
      </c>
    </row>
    <row r="1510" s="1" customFormat="1" spans="1:6">
      <c r="A1510" s="40"/>
      <c r="D1510" s="2"/>
      <c r="E1510" s="2"/>
      <c r="F1510" s="2">
        <v>397384.86</v>
      </c>
    </row>
    <row r="1511" s="1" customFormat="1" spans="1:6">
      <c r="A1511" s="40"/>
      <c r="D1511" s="2"/>
      <c r="E1511" s="2"/>
      <c r="F1511" s="2">
        <v>397384.86</v>
      </c>
    </row>
    <row r="1512" s="1" customFormat="1" spans="1:6">
      <c r="A1512" s="40"/>
      <c r="D1512" s="2"/>
      <c r="E1512" s="2"/>
      <c r="F1512" s="2">
        <v>397384.86</v>
      </c>
    </row>
    <row r="1513" s="1" customFormat="1" spans="1:6">
      <c r="A1513" s="40"/>
      <c r="D1513" s="2"/>
      <c r="E1513" s="2"/>
      <c r="F1513" s="2">
        <v>397384.86</v>
      </c>
    </row>
    <row r="1514" s="1" customFormat="1" spans="1:6">
      <c r="A1514" s="40"/>
      <c r="D1514" s="2"/>
      <c r="E1514" s="2"/>
      <c r="F1514" s="2">
        <v>397384.86</v>
      </c>
    </row>
    <row r="1515" s="1" customFormat="1" spans="1:6">
      <c r="A1515" s="40"/>
      <c r="D1515" s="2"/>
      <c r="E1515" s="2"/>
      <c r="F1515" s="2">
        <v>397384.86</v>
      </c>
    </row>
    <row r="1516" s="1" customFormat="1" spans="1:6">
      <c r="A1516" s="40"/>
      <c r="D1516" s="2"/>
      <c r="E1516" s="2"/>
      <c r="F1516" s="2">
        <v>397384.86</v>
      </c>
    </row>
    <row r="1517" s="1" customFormat="1" spans="1:6">
      <c r="A1517" s="40"/>
      <c r="D1517" s="2"/>
      <c r="E1517" s="2"/>
      <c r="F1517" s="2">
        <v>397384.86</v>
      </c>
    </row>
    <row r="1518" s="1" customFormat="1" spans="1:6">
      <c r="A1518" s="40"/>
      <c r="D1518" s="2"/>
      <c r="E1518" s="2"/>
      <c r="F1518" s="2">
        <v>397384.86</v>
      </c>
    </row>
    <row r="1519" s="1" customFormat="1" spans="1:6">
      <c r="A1519" s="40"/>
      <c r="D1519" s="2"/>
      <c r="E1519" s="2"/>
      <c r="F1519" s="2">
        <v>397384.86</v>
      </c>
    </row>
    <row r="1520" s="1" customFormat="1" spans="1:6">
      <c r="A1520" s="40"/>
      <c r="D1520" s="2"/>
      <c r="E1520" s="2"/>
      <c r="F1520" s="2">
        <v>397384.86</v>
      </c>
    </row>
    <row r="1521" s="1" customFormat="1" spans="1:6">
      <c r="A1521" s="40"/>
      <c r="D1521" s="2"/>
      <c r="E1521" s="2"/>
      <c r="F1521" s="2">
        <v>397384.86</v>
      </c>
    </row>
    <row r="1522" s="1" customFormat="1" spans="1:6">
      <c r="A1522" s="40"/>
      <c r="D1522" s="2"/>
      <c r="E1522" s="2"/>
      <c r="F1522" s="2">
        <v>397384.86</v>
      </c>
    </row>
    <row r="1523" s="1" customFormat="1" spans="1:6">
      <c r="A1523" s="40"/>
      <c r="D1523" s="2"/>
      <c r="E1523" s="2"/>
      <c r="F1523" s="2">
        <v>397384.86</v>
      </c>
    </row>
    <row r="1524" s="1" customFormat="1" spans="1:6">
      <c r="A1524" s="40"/>
      <c r="D1524" s="2"/>
      <c r="E1524" s="2"/>
      <c r="F1524" s="2">
        <v>397384.86</v>
      </c>
    </row>
    <row r="1525" s="1" customFormat="1" spans="1:6">
      <c r="A1525" s="40"/>
      <c r="D1525" s="2"/>
      <c r="E1525" s="2"/>
      <c r="F1525" s="2">
        <v>397384.86</v>
      </c>
    </row>
    <row r="1526" s="1" customFormat="1" spans="1:6">
      <c r="A1526" s="40"/>
      <c r="D1526" s="2"/>
      <c r="E1526" s="2"/>
      <c r="F1526" s="2">
        <v>397384.86</v>
      </c>
    </row>
    <row r="1527" s="1" customFormat="1" spans="1:6">
      <c r="A1527" s="40"/>
      <c r="D1527" s="2"/>
      <c r="E1527" s="2"/>
      <c r="F1527" s="2">
        <v>397384.86</v>
      </c>
    </row>
    <row r="1528" s="1" customFormat="1" spans="1:6">
      <c r="A1528" s="40"/>
      <c r="D1528" s="2"/>
      <c r="E1528" s="2"/>
      <c r="F1528" s="2">
        <v>397384.86</v>
      </c>
    </row>
    <row r="1529" s="1" customFormat="1" spans="1:6">
      <c r="A1529" s="40"/>
      <c r="D1529" s="2"/>
      <c r="E1529" s="2"/>
      <c r="F1529" s="2">
        <v>397384.86</v>
      </c>
    </row>
    <row r="1530" s="1" customFormat="1" spans="1:6">
      <c r="A1530" s="40"/>
      <c r="D1530" s="2"/>
      <c r="E1530" s="2"/>
      <c r="F1530" s="2">
        <v>397384.86</v>
      </c>
    </row>
    <row r="1531" s="1" customFormat="1" spans="1:6">
      <c r="A1531" s="40"/>
      <c r="D1531" s="2"/>
      <c r="E1531" s="2"/>
      <c r="F1531" s="2">
        <v>397384.86</v>
      </c>
    </row>
    <row r="1532" s="1" customFormat="1" spans="1:6">
      <c r="A1532" s="40"/>
      <c r="D1532" s="2"/>
      <c r="E1532" s="2"/>
      <c r="F1532" s="2">
        <v>397384.86</v>
      </c>
    </row>
    <row r="1533" s="1" customFormat="1" spans="1:6">
      <c r="A1533" s="40"/>
      <c r="D1533" s="2"/>
      <c r="E1533" s="2"/>
      <c r="F1533" s="2">
        <v>397384.86</v>
      </c>
    </row>
    <row r="1534" s="1" customFormat="1" spans="1:6">
      <c r="A1534" s="40"/>
      <c r="D1534" s="2"/>
      <c r="E1534" s="2"/>
      <c r="F1534" s="2">
        <v>397384.86</v>
      </c>
    </row>
    <row r="1535" s="1" customFormat="1" spans="1:6">
      <c r="A1535" s="40"/>
      <c r="D1535" s="2"/>
      <c r="E1535" s="2"/>
      <c r="F1535" s="2">
        <v>397384.86</v>
      </c>
    </row>
    <row r="1536" s="1" customFormat="1" spans="1:6">
      <c r="A1536" s="40"/>
      <c r="D1536" s="2"/>
      <c r="E1536" s="2"/>
      <c r="F1536" s="2">
        <v>397384.86</v>
      </c>
    </row>
    <row r="1537" s="1" customFormat="1" spans="1:6">
      <c r="A1537" s="40"/>
      <c r="D1537" s="2"/>
      <c r="E1537" s="2"/>
      <c r="F1537" s="2">
        <v>397384.86</v>
      </c>
    </row>
    <row r="1538" s="1" customFormat="1" spans="1:6">
      <c r="A1538" s="40"/>
      <c r="D1538" s="2"/>
      <c r="E1538" s="2"/>
      <c r="F1538" s="2">
        <v>397384.86</v>
      </c>
    </row>
    <row r="1539" s="1" customFormat="1" spans="1:6">
      <c r="A1539" s="40"/>
      <c r="D1539" s="2"/>
      <c r="E1539" s="2"/>
      <c r="F1539" s="2">
        <v>397384.86</v>
      </c>
    </row>
    <row r="1540" s="1" customFormat="1" spans="1:6">
      <c r="A1540" s="40"/>
      <c r="D1540" s="2"/>
      <c r="E1540" s="2"/>
      <c r="F1540" s="2">
        <v>397384.86</v>
      </c>
    </row>
    <row r="1541" s="1" customFormat="1" spans="1:6">
      <c r="A1541" s="40"/>
      <c r="D1541" s="2"/>
      <c r="E1541" s="2"/>
      <c r="F1541" s="2">
        <v>397384.86</v>
      </c>
    </row>
    <row r="1542" s="1" customFormat="1" spans="1:6">
      <c r="A1542" s="40"/>
      <c r="D1542" s="2"/>
      <c r="E1542" s="2"/>
      <c r="F1542" s="2">
        <v>397384.86</v>
      </c>
    </row>
    <row r="1543" s="1" customFormat="1" spans="1:6">
      <c r="A1543" s="40"/>
      <c r="D1543" s="2"/>
      <c r="E1543" s="2"/>
      <c r="F1543" s="2">
        <v>397384.86</v>
      </c>
    </row>
    <row r="1544" s="1" customFormat="1" spans="1:6">
      <c r="A1544" s="40"/>
      <c r="D1544" s="2"/>
      <c r="E1544" s="2"/>
      <c r="F1544" s="2">
        <v>397384.86</v>
      </c>
    </row>
    <row r="1545" s="1" customFormat="1" spans="1:6">
      <c r="A1545" s="40"/>
      <c r="D1545" s="2"/>
      <c r="E1545" s="2"/>
      <c r="F1545" s="2">
        <v>397384.86</v>
      </c>
    </row>
    <row r="1546" s="1" customFormat="1" spans="1:6">
      <c r="A1546" s="40"/>
      <c r="D1546" s="2"/>
      <c r="E1546" s="2"/>
      <c r="F1546" s="2">
        <v>397384.86</v>
      </c>
    </row>
    <row r="1547" s="1" customFormat="1" spans="1:6">
      <c r="A1547" s="40"/>
      <c r="D1547" s="2"/>
      <c r="E1547" s="2"/>
      <c r="F1547" s="2">
        <v>397384.86</v>
      </c>
    </row>
    <row r="1548" s="1" customFormat="1" spans="1:6">
      <c r="A1548" s="40"/>
      <c r="D1548" s="2"/>
      <c r="E1548" s="2"/>
      <c r="F1548" s="2">
        <v>397384.86</v>
      </c>
    </row>
    <row r="1549" s="1" customFormat="1" spans="1:6">
      <c r="A1549" s="40"/>
      <c r="D1549" s="2"/>
      <c r="E1549" s="2"/>
      <c r="F1549" s="2">
        <v>397384.86</v>
      </c>
    </row>
    <row r="1550" s="1" customFormat="1" spans="1:6">
      <c r="A1550" s="40"/>
      <c r="D1550" s="2"/>
      <c r="E1550" s="2"/>
      <c r="F1550" s="2">
        <v>397384.86</v>
      </c>
    </row>
    <row r="1551" s="1" customFormat="1" spans="1:6">
      <c r="A1551" s="40"/>
      <c r="D1551" s="2"/>
      <c r="E1551" s="2"/>
      <c r="F1551" s="2">
        <v>397384.86</v>
      </c>
    </row>
    <row r="1552" s="1" customFormat="1" spans="1:6">
      <c r="A1552" s="40"/>
      <c r="D1552" s="2"/>
      <c r="E1552" s="2"/>
      <c r="F1552" s="2">
        <v>397384.86</v>
      </c>
    </row>
    <row r="1553" s="1" customFormat="1" spans="1:6">
      <c r="A1553" s="40"/>
      <c r="D1553" s="2"/>
      <c r="E1553" s="2"/>
      <c r="F1553" s="2">
        <v>397384.86</v>
      </c>
    </row>
    <row r="1554" s="1" customFormat="1" spans="1:6">
      <c r="A1554" s="40"/>
      <c r="D1554" s="2"/>
      <c r="E1554" s="2"/>
      <c r="F1554" s="2">
        <v>397384.86</v>
      </c>
    </row>
    <row r="1555" s="1" customFormat="1" spans="1:6">
      <c r="A1555" s="40"/>
      <c r="D1555" s="2"/>
      <c r="E1555" s="2"/>
      <c r="F1555" s="2">
        <v>397384.86</v>
      </c>
    </row>
    <row r="1556" s="1" customFormat="1" spans="1:6">
      <c r="A1556" s="40"/>
      <c r="D1556" s="2"/>
      <c r="E1556" s="2"/>
      <c r="F1556" s="2">
        <v>397384.86</v>
      </c>
    </row>
    <row r="1557" s="1" customFormat="1" spans="1:6">
      <c r="A1557" s="40"/>
      <c r="D1557" s="2"/>
      <c r="E1557" s="2"/>
      <c r="F1557" s="2">
        <v>397384.86</v>
      </c>
    </row>
    <row r="1558" s="1" customFormat="1" spans="1:6">
      <c r="A1558" s="40"/>
      <c r="D1558" s="2"/>
      <c r="E1558" s="2"/>
      <c r="F1558" s="2">
        <v>397384.86</v>
      </c>
    </row>
    <row r="1559" s="1" customFormat="1" spans="1:6">
      <c r="A1559" s="40"/>
      <c r="D1559" s="2"/>
      <c r="E1559" s="2"/>
      <c r="F1559" s="2">
        <v>397384.86</v>
      </c>
    </row>
    <row r="1560" s="1" customFormat="1" spans="1:6">
      <c r="A1560" s="40"/>
      <c r="D1560" s="2"/>
      <c r="E1560" s="2"/>
      <c r="F1560" s="2">
        <v>397384.86</v>
      </c>
    </row>
    <row r="1561" s="1" customFormat="1" spans="1:6">
      <c r="A1561" s="40"/>
      <c r="D1561" s="2"/>
      <c r="E1561" s="2"/>
      <c r="F1561" s="2">
        <v>397384.86</v>
      </c>
    </row>
    <row r="1562" s="1" customFormat="1" spans="1:6">
      <c r="A1562" s="40"/>
      <c r="D1562" s="2"/>
      <c r="E1562" s="2"/>
      <c r="F1562" s="2">
        <v>397384.86</v>
      </c>
    </row>
    <row r="1563" s="1" customFormat="1" spans="1:6">
      <c r="A1563" s="40"/>
      <c r="D1563" s="2"/>
      <c r="E1563" s="2"/>
      <c r="F1563" s="2">
        <v>397384.86</v>
      </c>
    </row>
    <row r="1564" s="1" customFormat="1" spans="1:6">
      <c r="A1564" s="40"/>
      <c r="D1564" s="2"/>
      <c r="E1564" s="2"/>
      <c r="F1564" s="2">
        <v>397384.86</v>
      </c>
    </row>
    <row r="1565" s="1" customFormat="1" spans="1:6">
      <c r="A1565" s="40"/>
      <c r="D1565" s="2"/>
      <c r="E1565" s="2"/>
      <c r="F1565" s="2">
        <v>397384.86</v>
      </c>
    </row>
    <row r="1566" s="1" customFormat="1" spans="1:6">
      <c r="A1566" s="40"/>
      <c r="D1566" s="2"/>
      <c r="E1566" s="2"/>
      <c r="F1566" s="2">
        <v>397384.86</v>
      </c>
    </row>
    <row r="1567" s="1" customFormat="1" spans="1:6">
      <c r="A1567" s="40"/>
      <c r="D1567" s="2"/>
      <c r="E1567" s="2"/>
      <c r="F1567" s="2">
        <v>397384.86</v>
      </c>
    </row>
    <row r="1568" s="1" customFormat="1" spans="1:6">
      <c r="A1568" s="40"/>
      <c r="D1568" s="2"/>
      <c r="E1568" s="2"/>
      <c r="F1568" s="2">
        <v>397384.86</v>
      </c>
    </row>
    <row r="1569" s="1" customFormat="1" spans="1:6">
      <c r="A1569" s="40"/>
      <c r="D1569" s="2"/>
      <c r="E1569" s="2"/>
      <c r="F1569" s="2">
        <v>397384.86</v>
      </c>
    </row>
    <row r="1570" s="1" customFormat="1" spans="1:6">
      <c r="A1570" s="40"/>
      <c r="D1570" s="2"/>
      <c r="E1570" s="2"/>
      <c r="F1570" s="2">
        <v>397384.86</v>
      </c>
    </row>
    <row r="1571" s="1" customFormat="1" spans="1:6">
      <c r="A1571" s="40"/>
      <c r="D1571" s="2"/>
      <c r="E1571" s="2"/>
      <c r="F1571" s="2">
        <v>397384.86</v>
      </c>
    </row>
    <row r="1572" s="1" customFormat="1" spans="1:6">
      <c r="A1572" s="40"/>
      <c r="D1572" s="2"/>
      <c r="E1572" s="2"/>
      <c r="F1572" s="2">
        <v>397384.86</v>
      </c>
    </row>
    <row r="1573" s="1" customFormat="1" spans="1:6">
      <c r="A1573" s="40"/>
      <c r="D1573" s="2"/>
      <c r="E1573" s="2"/>
      <c r="F1573" s="2">
        <v>397384.86</v>
      </c>
    </row>
    <row r="1574" s="1" customFormat="1" spans="1:6">
      <c r="A1574" s="40"/>
      <c r="D1574" s="2"/>
      <c r="E1574" s="2"/>
      <c r="F1574" s="2">
        <v>397384.86</v>
      </c>
    </row>
    <row r="1575" s="1" customFormat="1" spans="1:6">
      <c r="A1575" s="40"/>
      <c r="D1575" s="2"/>
      <c r="E1575" s="2"/>
      <c r="F1575" s="2">
        <v>397384.86</v>
      </c>
    </row>
    <row r="1576" s="1" customFormat="1" spans="1:6">
      <c r="A1576" s="40"/>
      <c r="D1576" s="2"/>
      <c r="E1576" s="2"/>
      <c r="F1576" s="2">
        <v>397384.86</v>
      </c>
    </row>
    <row r="1577" s="1" customFormat="1" spans="1:6">
      <c r="A1577" s="40"/>
      <c r="D1577" s="2"/>
      <c r="E1577" s="2"/>
      <c r="F1577" s="2">
        <v>397384.86</v>
      </c>
    </row>
    <row r="1578" s="1" customFormat="1" spans="1:6">
      <c r="A1578" s="40"/>
      <c r="D1578" s="2"/>
      <c r="E1578" s="2"/>
      <c r="F1578" s="2">
        <v>397384.86</v>
      </c>
    </row>
    <row r="1579" s="1" customFormat="1" spans="1:6">
      <c r="A1579" s="40"/>
      <c r="D1579" s="2"/>
      <c r="E1579" s="2"/>
      <c r="F1579" s="2">
        <v>397384.86</v>
      </c>
    </row>
    <row r="1580" s="1" customFormat="1" spans="1:6">
      <c r="A1580" s="40"/>
      <c r="D1580" s="2"/>
      <c r="E1580" s="2"/>
      <c r="F1580" s="2">
        <v>397384.86</v>
      </c>
    </row>
    <row r="1581" s="1" customFormat="1" spans="1:6">
      <c r="A1581" s="40"/>
      <c r="D1581" s="2"/>
      <c r="E1581" s="2"/>
      <c r="F1581" s="2">
        <v>397384.86</v>
      </c>
    </row>
    <row r="1582" s="1" customFormat="1" spans="1:6">
      <c r="A1582" s="40"/>
      <c r="D1582" s="2"/>
      <c r="E1582" s="2"/>
      <c r="F1582" s="2">
        <v>397384.86</v>
      </c>
    </row>
    <row r="1583" s="1" customFormat="1" spans="1:6">
      <c r="A1583" s="40"/>
      <c r="D1583" s="2"/>
      <c r="E1583" s="2"/>
      <c r="F1583" s="2">
        <v>397384.86</v>
      </c>
    </row>
    <row r="1584" s="1" customFormat="1" spans="1:6">
      <c r="A1584" s="40"/>
      <c r="D1584" s="2"/>
      <c r="E1584" s="2"/>
      <c r="F1584" s="2">
        <v>397384.86</v>
      </c>
    </row>
    <row r="1585" s="1" customFormat="1" spans="1:6">
      <c r="A1585" s="40"/>
      <c r="D1585" s="2"/>
      <c r="E1585" s="2"/>
      <c r="F1585" s="2">
        <v>397384.86</v>
      </c>
    </row>
    <row r="1586" s="1" customFormat="1" spans="1:6">
      <c r="A1586" s="40"/>
      <c r="D1586" s="2"/>
      <c r="E1586" s="2"/>
      <c r="F1586" s="2">
        <v>397384.86</v>
      </c>
    </row>
    <row r="1587" s="1" customFormat="1" spans="1:6">
      <c r="A1587" s="40"/>
      <c r="D1587" s="2"/>
      <c r="E1587" s="2"/>
      <c r="F1587" s="2">
        <v>397384.86</v>
      </c>
    </row>
    <row r="1588" s="1" customFormat="1" spans="1:6">
      <c r="A1588" s="40"/>
      <c r="D1588" s="2"/>
      <c r="E1588" s="2"/>
      <c r="F1588" s="2">
        <v>397384.86</v>
      </c>
    </row>
    <row r="1589" s="1" customFormat="1" spans="1:6">
      <c r="A1589" s="40"/>
      <c r="D1589" s="2"/>
      <c r="E1589" s="2"/>
      <c r="F1589" s="2">
        <v>397384.86</v>
      </c>
    </row>
    <row r="1590" s="1" customFormat="1" spans="1:6">
      <c r="A1590" s="40"/>
      <c r="D1590" s="2"/>
      <c r="E1590" s="2"/>
      <c r="F1590" s="2">
        <v>397384.86</v>
      </c>
    </row>
    <row r="1591" s="1" customFormat="1" spans="1:6">
      <c r="A1591" s="40"/>
      <c r="D1591" s="2"/>
      <c r="E1591" s="2"/>
      <c r="F1591" s="2">
        <v>397384.86</v>
      </c>
    </row>
    <row r="1592" s="1" customFormat="1" spans="1:6">
      <c r="A1592" s="40"/>
      <c r="D1592" s="2"/>
      <c r="E1592" s="2"/>
      <c r="F1592" s="2">
        <v>397384.86</v>
      </c>
    </row>
    <row r="1593" s="1" customFormat="1" spans="1:6">
      <c r="A1593" s="40"/>
      <c r="D1593" s="2"/>
      <c r="E1593" s="2"/>
      <c r="F1593" s="2">
        <v>397384.86</v>
      </c>
    </row>
    <row r="1594" s="1" customFormat="1" spans="1:6">
      <c r="A1594" s="40"/>
      <c r="D1594" s="2"/>
      <c r="E1594" s="2"/>
      <c r="F1594" s="2">
        <v>397384.86</v>
      </c>
    </row>
    <row r="1595" s="1" customFormat="1" spans="1:6">
      <c r="A1595" s="40"/>
      <c r="D1595" s="2"/>
      <c r="E1595" s="2"/>
      <c r="F1595" s="2">
        <v>397384.86</v>
      </c>
    </row>
    <row r="1596" s="1" customFormat="1" spans="1:6">
      <c r="A1596" s="40"/>
      <c r="D1596" s="2"/>
      <c r="E1596" s="2"/>
      <c r="F1596" s="2">
        <v>397384.86</v>
      </c>
    </row>
    <row r="1597" s="1" customFormat="1" spans="1:6">
      <c r="A1597" s="40"/>
      <c r="D1597" s="2"/>
      <c r="E1597" s="2"/>
      <c r="F1597" s="2">
        <v>397384.86</v>
      </c>
    </row>
    <row r="1598" s="1" customFormat="1" spans="1:6">
      <c r="A1598" s="40"/>
      <c r="D1598" s="2"/>
      <c r="E1598" s="2"/>
      <c r="F1598" s="2">
        <v>397384.86</v>
      </c>
    </row>
    <row r="1599" s="1" customFormat="1" spans="1:6">
      <c r="A1599" s="40"/>
      <c r="D1599" s="2"/>
      <c r="E1599" s="2"/>
      <c r="F1599" s="2">
        <v>397384.86</v>
      </c>
    </row>
    <row r="1600" s="1" customFormat="1" spans="1:6">
      <c r="A1600" s="40"/>
      <c r="D1600" s="2"/>
      <c r="E1600" s="2"/>
      <c r="F1600" s="2">
        <v>397384.86</v>
      </c>
    </row>
    <row r="1601" s="1" customFormat="1" spans="1:6">
      <c r="A1601" s="40"/>
      <c r="D1601" s="2"/>
      <c r="E1601" s="2"/>
      <c r="F1601" s="2">
        <v>397384.86</v>
      </c>
    </row>
    <row r="1602" s="1" customFormat="1" spans="1:6">
      <c r="A1602" s="40"/>
      <c r="D1602" s="2"/>
      <c r="E1602" s="2"/>
      <c r="F1602" s="2">
        <v>397384.86</v>
      </c>
    </row>
    <row r="1603" s="1" customFormat="1" spans="1:6">
      <c r="A1603" s="40"/>
      <c r="D1603" s="2"/>
      <c r="E1603" s="2"/>
      <c r="F1603" s="2">
        <v>397384.86</v>
      </c>
    </row>
    <row r="1604" s="1" customFormat="1" spans="1:6">
      <c r="A1604" s="40"/>
      <c r="D1604" s="2"/>
      <c r="E1604" s="2"/>
      <c r="F1604" s="2">
        <v>397384.86</v>
      </c>
    </row>
    <row r="1605" s="1" customFormat="1" spans="1:6">
      <c r="A1605" s="40"/>
      <c r="D1605" s="2"/>
      <c r="E1605" s="2"/>
      <c r="F1605" s="2">
        <v>397384.86</v>
      </c>
    </row>
    <row r="1606" s="1" customFormat="1" spans="1:6">
      <c r="A1606" s="40"/>
      <c r="D1606" s="2"/>
      <c r="E1606" s="2"/>
      <c r="F1606" s="2">
        <v>397384.86</v>
      </c>
    </row>
    <row r="1607" s="1" customFormat="1" spans="1:6">
      <c r="A1607" s="40"/>
      <c r="D1607" s="2"/>
      <c r="E1607" s="2"/>
      <c r="F1607" s="2">
        <v>397384.86</v>
      </c>
    </row>
    <row r="1608" s="1" customFormat="1" spans="1:6">
      <c r="A1608" s="40"/>
      <c r="D1608" s="2"/>
      <c r="E1608" s="2"/>
      <c r="F1608" s="2">
        <v>397384.86</v>
      </c>
    </row>
    <row r="1609" s="1" customFormat="1" spans="1:6">
      <c r="A1609" s="40"/>
      <c r="D1609" s="2"/>
      <c r="E1609" s="2"/>
      <c r="F1609" s="2">
        <v>397384.86</v>
      </c>
    </row>
    <row r="1610" s="1" customFormat="1" spans="1:6">
      <c r="A1610" s="40"/>
      <c r="D1610" s="2"/>
      <c r="E1610" s="2"/>
      <c r="F1610" s="2">
        <v>397384.86</v>
      </c>
    </row>
    <row r="1611" s="1" customFormat="1" spans="1:6">
      <c r="A1611" s="40"/>
      <c r="D1611" s="2"/>
      <c r="E1611" s="2"/>
      <c r="F1611" s="2">
        <v>397384.86</v>
      </c>
    </row>
    <row r="1612" s="1" customFormat="1" spans="1:6">
      <c r="A1612" s="40"/>
      <c r="D1612" s="2"/>
      <c r="E1612" s="2"/>
      <c r="F1612" s="2">
        <v>397384.86</v>
      </c>
    </row>
    <row r="1613" s="1" customFormat="1" spans="1:6">
      <c r="A1613" s="40"/>
      <c r="D1613" s="2"/>
      <c r="E1613" s="2"/>
      <c r="F1613" s="2">
        <v>397384.86</v>
      </c>
    </row>
    <row r="1614" s="1" customFormat="1" spans="1:6">
      <c r="A1614" s="40"/>
      <c r="D1614" s="2"/>
      <c r="E1614" s="2"/>
      <c r="F1614" s="2">
        <v>397384.86</v>
      </c>
    </row>
    <row r="1615" s="1" customFormat="1" spans="1:6">
      <c r="A1615" s="40"/>
      <c r="D1615" s="2"/>
      <c r="E1615" s="2"/>
      <c r="F1615" s="2">
        <v>397384.86</v>
      </c>
    </row>
    <row r="1616" s="1" customFormat="1" spans="1:6">
      <c r="A1616" s="40"/>
      <c r="D1616" s="2"/>
      <c r="E1616" s="2"/>
      <c r="F1616" s="2">
        <v>397384.86</v>
      </c>
    </row>
    <row r="1617" s="1" customFormat="1" spans="1:6">
      <c r="A1617" s="40"/>
      <c r="D1617" s="2"/>
      <c r="E1617" s="2"/>
      <c r="F1617" s="2">
        <v>397384.86</v>
      </c>
    </row>
    <row r="1618" s="1" customFormat="1" spans="1:6">
      <c r="A1618" s="40"/>
      <c r="D1618" s="2"/>
      <c r="E1618" s="2"/>
      <c r="F1618" s="2">
        <v>397384.86</v>
      </c>
    </row>
    <row r="1619" s="1" customFormat="1" spans="1:6">
      <c r="A1619" s="40"/>
      <c r="D1619" s="2"/>
      <c r="E1619" s="2"/>
      <c r="F1619" s="2">
        <v>397384.86</v>
      </c>
    </row>
    <row r="1620" s="1" customFormat="1" spans="1:6">
      <c r="A1620" s="40"/>
      <c r="D1620" s="2"/>
      <c r="E1620" s="2"/>
      <c r="F1620" s="2">
        <v>397384.86</v>
      </c>
    </row>
    <row r="1621" s="1" customFormat="1" spans="1:6">
      <c r="A1621" s="40"/>
      <c r="D1621" s="2"/>
      <c r="E1621" s="2"/>
      <c r="F1621" s="2">
        <v>397384.86</v>
      </c>
    </row>
    <row r="1622" s="1" customFormat="1" spans="1:6">
      <c r="A1622" s="40"/>
      <c r="D1622" s="2"/>
      <c r="E1622" s="2"/>
      <c r="F1622" s="2">
        <v>397384.86</v>
      </c>
    </row>
    <row r="1623" s="1" customFormat="1" spans="1:6">
      <c r="A1623" s="40"/>
      <c r="D1623" s="2"/>
      <c r="E1623" s="2"/>
      <c r="F1623" s="2">
        <v>397384.86</v>
      </c>
    </row>
    <row r="1624" s="1" customFormat="1" spans="1:6">
      <c r="A1624" s="40"/>
      <c r="D1624" s="2"/>
      <c r="E1624" s="2"/>
      <c r="F1624" s="2">
        <v>397384.86</v>
      </c>
    </row>
    <row r="1625" s="1" customFormat="1" spans="1:6">
      <c r="A1625" s="40"/>
      <c r="D1625" s="2"/>
      <c r="E1625" s="2"/>
      <c r="F1625" s="2">
        <v>397384.86</v>
      </c>
    </row>
    <row r="1626" s="1" customFormat="1" spans="1:6">
      <c r="A1626" s="40"/>
      <c r="D1626" s="2"/>
      <c r="E1626" s="2"/>
      <c r="F1626" s="2">
        <v>397384.86</v>
      </c>
    </row>
    <row r="1627" s="1" customFormat="1" spans="1:6">
      <c r="A1627" s="40"/>
      <c r="D1627" s="2"/>
      <c r="E1627" s="2"/>
      <c r="F1627" s="2">
        <v>397384.86</v>
      </c>
    </row>
    <row r="1628" s="1" customFormat="1" spans="1:6">
      <c r="A1628" s="40"/>
      <c r="D1628" s="2"/>
      <c r="E1628" s="2"/>
      <c r="F1628" s="2">
        <v>397384.86</v>
      </c>
    </row>
    <row r="1629" s="1" customFormat="1" spans="1:6">
      <c r="A1629" s="40"/>
      <c r="D1629" s="2"/>
      <c r="E1629" s="2"/>
      <c r="F1629" s="2">
        <v>397384.86</v>
      </c>
    </row>
    <row r="1630" s="1" customFormat="1" spans="1:6">
      <c r="A1630" s="40"/>
      <c r="D1630" s="2"/>
      <c r="E1630" s="2"/>
      <c r="F1630" s="2">
        <v>397384.86</v>
      </c>
    </row>
    <row r="1631" s="1" customFormat="1" spans="1:6">
      <c r="A1631" s="40"/>
      <c r="D1631" s="2"/>
      <c r="E1631" s="2"/>
      <c r="F1631" s="2">
        <v>397384.86</v>
      </c>
    </row>
    <row r="1632" s="1" customFormat="1" spans="1:6">
      <c r="A1632" s="40"/>
      <c r="D1632" s="2"/>
      <c r="E1632" s="2"/>
      <c r="F1632" s="2">
        <v>397384.86</v>
      </c>
    </row>
    <row r="1633" s="1" customFormat="1" spans="1:6">
      <c r="A1633" s="40"/>
      <c r="D1633" s="2"/>
      <c r="E1633" s="2"/>
      <c r="F1633" s="2">
        <v>397384.86</v>
      </c>
    </row>
    <row r="1634" s="1" customFormat="1" spans="1:6">
      <c r="A1634" s="40"/>
      <c r="D1634" s="2"/>
      <c r="E1634" s="2"/>
      <c r="F1634" s="2">
        <v>397384.86</v>
      </c>
    </row>
    <row r="1635" s="1" customFormat="1" spans="1:6">
      <c r="A1635" s="40"/>
      <c r="D1635" s="2"/>
      <c r="E1635" s="2"/>
      <c r="F1635" s="2">
        <v>397384.86</v>
      </c>
    </row>
    <row r="1636" s="1" customFormat="1" spans="1:6">
      <c r="A1636" s="40"/>
      <c r="D1636" s="2"/>
      <c r="E1636" s="2"/>
      <c r="F1636" s="2">
        <v>397384.86</v>
      </c>
    </row>
    <row r="1637" s="1" customFormat="1" spans="1:6">
      <c r="A1637" s="40"/>
      <c r="D1637" s="2"/>
      <c r="E1637" s="2"/>
      <c r="F1637" s="2">
        <v>397384.86</v>
      </c>
    </row>
    <row r="1638" s="1" customFormat="1" spans="1:6">
      <c r="A1638" s="40"/>
      <c r="D1638" s="2"/>
      <c r="E1638" s="2"/>
      <c r="F1638" s="2">
        <v>397384.86</v>
      </c>
    </row>
    <row r="1639" s="1" customFormat="1" spans="1:6">
      <c r="A1639" s="40"/>
      <c r="D1639" s="2"/>
      <c r="E1639" s="2"/>
      <c r="F1639" s="2">
        <v>397384.86</v>
      </c>
    </row>
    <row r="1640" s="1" customFormat="1" spans="1:6">
      <c r="A1640" s="40"/>
      <c r="D1640" s="2"/>
      <c r="E1640" s="2"/>
      <c r="F1640" s="2">
        <v>397384.86</v>
      </c>
    </row>
    <row r="1641" s="1" customFormat="1" spans="1:6">
      <c r="A1641" s="40"/>
      <c r="D1641" s="2"/>
      <c r="E1641" s="2"/>
      <c r="F1641" s="2">
        <v>397384.86</v>
      </c>
    </row>
    <row r="1642" s="1" customFormat="1" spans="1:6">
      <c r="A1642" s="40"/>
      <c r="D1642" s="2"/>
      <c r="E1642" s="2"/>
      <c r="F1642" s="2">
        <v>397384.86</v>
      </c>
    </row>
    <row r="1643" s="1" customFormat="1" spans="1:6">
      <c r="A1643" s="40"/>
      <c r="D1643" s="2"/>
      <c r="E1643" s="2"/>
      <c r="F1643" s="2">
        <v>397384.86</v>
      </c>
    </row>
    <row r="1644" s="1" customFormat="1" spans="1:6">
      <c r="A1644" s="40"/>
      <c r="D1644" s="2"/>
      <c r="E1644" s="2"/>
      <c r="F1644" s="2">
        <v>397384.86</v>
      </c>
    </row>
    <row r="1645" s="1" customFormat="1" spans="1:6">
      <c r="A1645" s="40"/>
      <c r="D1645" s="2"/>
      <c r="E1645" s="2"/>
      <c r="F1645" s="2">
        <v>397384.86</v>
      </c>
    </row>
    <row r="1646" s="1" customFormat="1" spans="1:6">
      <c r="A1646" s="40"/>
      <c r="D1646" s="2"/>
      <c r="E1646" s="2"/>
      <c r="F1646" s="2">
        <v>397384.86</v>
      </c>
    </row>
    <row r="1647" s="1" customFormat="1" spans="1:6">
      <c r="A1647" s="40"/>
      <c r="D1647" s="2"/>
      <c r="E1647" s="2"/>
      <c r="F1647" s="2">
        <v>397384.86</v>
      </c>
    </row>
    <row r="1648" s="1" customFormat="1" spans="1:6">
      <c r="A1648" s="40"/>
      <c r="D1648" s="2"/>
      <c r="E1648" s="2"/>
      <c r="F1648" s="2">
        <v>397384.86</v>
      </c>
    </row>
    <row r="1649" s="1" customFormat="1" spans="1:6">
      <c r="A1649" s="40"/>
      <c r="D1649" s="2"/>
      <c r="E1649" s="2"/>
      <c r="F1649" s="2">
        <v>397384.86</v>
      </c>
    </row>
    <row r="1650" s="1" customFormat="1" spans="1:6">
      <c r="A1650" s="40"/>
      <c r="D1650" s="2"/>
      <c r="E1650" s="2"/>
      <c r="F1650" s="2">
        <v>397384.86</v>
      </c>
    </row>
    <row r="1651" s="1" customFormat="1" spans="1:6">
      <c r="A1651" s="40"/>
      <c r="D1651" s="2"/>
      <c r="E1651" s="2"/>
      <c r="F1651" s="2">
        <v>397384.86</v>
      </c>
    </row>
    <row r="1652" s="1" customFormat="1" spans="1:6">
      <c r="A1652" s="40"/>
      <c r="D1652" s="2"/>
      <c r="E1652" s="2"/>
      <c r="F1652" s="2">
        <v>397384.86</v>
      </c>
    </row>
    <row r="1653" s="1" customFormat="1" spans="1:6">
      <c r="A1653" s="40"/>
      <c r="D1653" s="2"/>
      <c r="E1653" s="2"/>
      <c r="F1653" s="2">
        <v>397384.86</v>
      </c>
    </row>
    <row r="1654" s="1" customFormat="1" spans="1:6">
      <c r="A1654" s="40"/>
      <c r="D1654" s="2"/>
      <c r="E1654" s="2"/>
      <c r="F1654" s="2">
        <v>397384.86</v>
      </c>
    </row>
    <row r="1655" s="1" customFormat="1" spans="1:6">
      <c r="A1655" s="40"/>
      <c r="D1655" s="2"/>
      <c r="E1655" s="2"/>
      <c r="F1655" s="2">
        <v>397384.86</v>
      </c>
    </row>
    <row r="1656" s="1" customFormat="1" spans="1:6">
      <c r="A1656" s="40"/>
      <c r="D1656" s="2"/>
      <c r="E1656" s="2"/>
      <c r="F1656" s="2">
        <v>397384.86</v>
      </c>
    </row>
    <row r="1657" s="1" customFormat="1" spans="1:6">
      <c r="A1657" s="40"/>
      <c r="D1657" s="2"/>
      <c r="E1657" s="2"/>
      <c r="F1657" s="2">
        <v>397384.86</v>
      </c>
    </row>
    <row r="1658" s="1" customFormat="1" spans="1:6">
      <c r="A1658" s="40"/>
      <c r="D1658" s="2"/>
      <c r="E1658" s="2"/>
      <c r="F1658" s="2">
        <v>397384.86</v>
      </c>
    </row>
    <row r="1659" s="1" customFormat="1" spans="1:6">
      <c r="A1659" s="40"/>
      <c r="D1659" s="2"/>
      <c r="E1659" s="2"/>
      <c r="F1659" s="2">
        <v>397384.86</v>
      </c>
    </row>
    <row r="1660" s="1" customFormat="1" spans="1:6">
      <c r="A1660" s="40"/>
      <c r="D1660" s="2"/>
      <c r="E1660" s="2"/>
      <c r="F1660" s="2">
        <v>397384.86</v>
      </c>
    </row>
    <row r="1661" s="1" customFormat="1" spans="1:6">
      <c r="A1661" s="40"/>
      <c r="D1661" s="2"/>
      <c r="E1661" s="2"/>
      <c r="F1661" s="2">
        <v>397384.86</v>
      </c>
    </row>
    <row r="1662" s="1" customFormat="1" spans="1:6">
      <c r="A1662" s="40"/>
      <c r="D1662" s="2"/>
      <c r="E1662" s="2"/>
      <c r="F1662" s="2">
        <v>397384.86</v>
      </c>
    </row>
    <row r="1663" s="1" customFormat="1" spans="1:6">
      <c r="A1663" s="40"/>
      <c r="D1663" s="2"/>
      <c r="E1663" s="2"/>
      <c r="F1663" s="2">
        <v>397384.86</v>
      </c>
    </row>
    <row r="1664" s="1" customFormat="1" spans="1:6">
      <c r="A1664" s="40"/>
      <c r="D1664" s="2"/>
      <c r="E1664" s="2"/>
      <c r="F1664" s="2">
        <v>397384.86</v>
      </c>
    </row>
    <row r="1665" s="1" customFormat="1" spans="1:6">
      <c r="A1665" s="40"/>
      <c r="D1665" s="2"/>
      <c r="E1665" s="2"/>
      <c r="F1665" s="2">
        <v>397384.86</v>
      </c>
    </row>
    <row r="1666" s="1" customFormat="1" spans="1:6">
      <c r="A1666" s="40"/>
      <c r="D1666" s="2"/>
      <c r="E1666" s="2"/>
      <c r="F1666" s="2">
        <v>397384.86</v>
      </c>
    </row>
    <row r="1667" s="1" customFormat="1" spans="1:6">
      <c r="A1667" s="40"/>
      <c r="D1667" s="2"/>
      <c r="E1667" s="2"/>
      <c r="F1667" s="2">
        <v>397384.86</v>
      </c>
    </row>
    <row r="1668" s="1" customFormat="1" spans="1:6">
      <c r="A1668" s="40"/>
      <c r="D1668" s="2"/>
      <c r="E1668" s="2"/>
      <c r="F1668" s="2">
        <v>397384.86</v>
      </c>
    </row>
    <row r="1669" s="1" customFormat="1" spans="1:6">
      <c r="A1669" s="40"/>
      <c r="D1669" s="2"/>
      <c r="E1669" s="2"/>
      <c r="F1669" s="2">
        <v>397384.86</v>
      </c>
    </row>
    <row r="1670" s="1" customFormat="1" spans="1:6">
      <c r="A1670" s="40"/>
      <c r="D1670" s="2"/>
      <c r="E1670" s="2"/>
      <c r="F1670" s="2">
        <v>397384.86</v>
      </c>
    </row>
    <row r="1671" s="1" customFormat="1" spans="1:6">
      <c r="A1671" s="40"/>
      <c r="D1671" s="2"/>
      <c r="E1671" s="2"/>
      <c r="F1671" s="2">
        <v>397384.86</v>
      </c>
    </row>
    <row r="1672" s="1" customFormat="1" spans="1:6">
      <c r="A1672" s="40"/>
      <c r="D1672" s="2"/>
      <c r="E1672" s="2"/>
      <c r="F1672" s="2">
        <v>397384.86</v>
      </c>
    </row>
    <row r="1673" s="1" customFormat="1" spans="1:6">
      <c r="A1673" s="40"/>
      <c r="D1673" s="2"/>
      <c r="E1673" s="2"/>
      <c r="F1673" s="2">
        <v>397384.86</v>
      </c>
    </row>
    <row r="1674" s="1" customFormat="1" spans="1:6">
      <c r="A1674" s="40"/>
      <c r="D1674" s="2"/>
      <c r="E1674" s="2"/>
      <c r="F1674" s="2">
        <v>397384.86</v>
      </c>
    </row>
    <row r="1675" s="1" customFormat="1" spans="1:6">
      <c r="A1675" s="40"/>
      <c r="D1675" s="2"/>
      <c r="E1675" s="2"/>
      <c r="F1675" s="2">
        <v>397384.86</v>
      </c>
    </row>
    <row r="1676" s="1" customFormat="1" spans="1:6">
      <c r="A1676" s="40"/>
      <c r="D1676" s="2"/>
      <c r="E1676" s="2"/>
      <c r="F1676" s="2">
        <v>397384.86</v>
      </c>
    </row>
    <row r="1677" s="1" customFormat="1" spans="1:6">
      <c r="A1677" s="40"/>
      <c r="D1677" s="2"/>
      <c r="E1677" s="2"/>
      <c r="F1677" s="2">
        <v>397384.86</v>
      </c>
    </row>
    <row r="1678" s="1" customFormat="1" spans="1:6">
      <c r="A1678" s="40"/>
      <c r="D1678" s="2"/>
      <c r="E1678" s="2"/>
      <c r="F1678" s="2">
        <v>397384.86</v>
      </c>
    </row>
    <row r="1679" s="1" customFormat="1" spans="1:6">
      <c r="A1679" s="40"/>
      <c r="D1679" s="2"/>
      <c r="E1679" s="2"/>
      <c r="F1679" s="2">
        <v>397384.86</v>
      </c>
    </row>
    <row r="1680" s="1" customFormat="1" spans="1:6">
      <c r="A1680" s="40"/>
      <c r="D1680" s="2"/>
      <c r="E1680" s="2"/>
      <c r="F1680" s="2">
        <v>397384.86</v>
      </c>
    </row>
    <row r="1681" s="1" customFormat="1" spans="1:6">
      <c r="A1681" s="40"/>
      <c r="D1681" s="2"/>
      <c r="E1681" s="2"/>
      <c r="F1681" s="2">
        <v>397384.86</v>
      </c>
    </row>
    <row r="1682" s="1" customFormat="1" spans="1:6">
      <c r="A1682" s="40"/>
      <c r="D1682" s="2"/>
      <c r="E1682" s="2"/>
      <c r="F1682" s="2">
        <v>397384.86</v>
      </c>
    </row>
    <row r="1683" s="1" customFormat="1" spans="1:6">
      <c r="A1683" s="40"/>
      <c r="D1683" s="2"/>
      <c r="E1683" s="2"/>
      <c r="F1683" s="2">
        <v>397384.86</v>
      </c>
    </row>
    <row r="1684" s="1" customFormat="1" spans="1:6">
      <c r="A1684" s="40"/>
      <c r="D1684" s="2"/>
      <c r="E1684" s="2"/>
      <c r="F1684" s="2">
        <v>397384.86</v>
      </c>
    </row>
    <row r="1685" s="1" customFormat="1" spans="1:6">
      <c r="A1685" s="40"/>
      <c r="D1685" s="2"/>
      <c r="E1685" s="2"/>
      <c r="F1685" s="2">
        <v>397384.86</v>
      </c>
    </row>
    <row r="1686" s="1" customFormat="1" spans="1:6">
      <c r="A1686" s="40"/>
      <c r="D1686" s="2"/>
      <c r="E1686" s="2"/>
      <c r="F1686" s="2">
        <v>397384.86</v>
      </c>
    </row>
    <row r="1687" s="1" customFormat="1" spans="1:6">
      <c r="A1687" s="40"/>
      <c r="D1687" s="2"/>
      <c r="E1687" s="2"/>
      <c r="F1687" s="2">
        <v>397384.86</v>
      </c>
    </row>
    <row r="1688" s="1" customFormat="1" spans="1:6">
      <c r="A1688" s="40"/>
      <c r="D1688" s="2"/>
      <c r="E1688" s="2"/>
      <c r="F1688" s="2">
        <v>397384.86</v>
      </c>
    </row>
    <row r="1689" s="1" customFormat="1" spans="1:6">
      <c r="A1689" s="40"/>
      <c r="D1689" s="2"/>
      <c r="E1689" s="2"/>
      <c r="F1689" s="2">
        <v>397384.86</v>
      </c>
    </row>
    <row r="1690" s="1" customFormat="1" spans="1:6">
      <c r="A1690" s="40"/>
      <c r="D1690" s="2"/>
      <c r="E1690" s="2"/>
      <c r="F1690" s="2">
        <v>397384.86</v>
      </c>
    </row>
    <row r="1691" s="1" customFormat="1" spans="1:6">
      <c r="A1691" s="40"/>
      <c r="D1691" s="2"/>
      <c r="E1691" s="2"/>
      <c r="F1691" s="2">
        <v>397384.86</v>
      </c>
    </row>
    <row r="1692" s="1" customFormat="1" spans="1:6">
      <c r="A1692" s="40"/>
      <c r="D1692" s="2"/>
      <c r="E1692" s="2"/>
      <c r="F1692" s="2">
        <v>397384.86</v>
      </c>
    </row>
    <row r="1693" s="1" customFormat="1" spans="1:6">
      <c r="A1693" s="40"/>
      <c r="D1693" s="2"/>
      <c r="E1693" s="2"/>
      <c r="F1693" s="2">
        <v>397384.86</v>
      </c>
    </row>
    <row r="1694" s="1" customFormat="1" spans="1:6">
      <c r="A1694" s="40"/>
      <c r="D1694" s="2"/>
      <c r="E1694" s="2"/>
      <c r="F1694" s="2">
        <v>397384.86</v>
      </c>
    </row>
    <row r="1695" s="1" customFormat="1" spans="1:6">
      <c r="A1695" s="40"/>
      <c r="D1695" s="2"/>
      <c r="E1695" s="2"/>
      <c r="F1695" s="2">
        <v>397384.86</v>
      </c>
    </row>
    <row r="1696" s="1" customFormat="1" spans="1:6">
      <c r="A1696" s="40"/>
      <c r="D1696" s="2"/>
      <c r="E1696" s="2"/>
      <c r="F1696" s="2">
        <v>397384.86</v>
      </c>
    </row>
    <row r="1697" s="1" customFormat="1" spans="1:6">
      <c r="A1697" s="40"/>
      <c r="D1697" s="2"/>
      <c r="E1697" s="2"/>
      <c r="F1697" s="2">
        <v>397384.86</v>
      </c>
    </row>
    <row r="1698" s="1" customFormat="1" spans="1:6">
      <c r="A1698" s="40"/>
      <c r="D1698" s="2"/>
      <c r="E1698" s="2"/>
      <c r="F1698" s="2">
        <v>397384.86</v>
      </c>
    </row>
    <row r="1699" s="1" customFormat="1" spans="1:6">
      <c r="A1699" s="40"/>
      <c r="D1699" s="2"/>
      <c r="E1699" s="2"/>
      <c r="F1699" s="2">
        <v>397384.86</v>
      </c>
    </row>
    <row r="1700" s="1" customFormat="1" spans="1:6">
      <c r="A1700" s="40"/>
      <c r="D1700" s="2"/>
      <c r="E1700" s="2"/>
      <c r="F1700" s="2">
        <v>397384.86</v>
      </c>
    </row>
    <row r="1701" s="1" customFormat="1" spans="1:6">
      <c r="A1701" s="40"/>
      <c r="D1701" s="2"/>
      <c r="E1701" s="2"/>
      <c r="F1701" s="2">
        <v>397384.86</v>
      </c>
    </row>
    <row r="1702" s="1" customFormat="1" spans="1:6">
      <c r="A1702" s="40"/>
      <c r="D1702" s="2"/>
      <c r="E1702" s="2"/>
      <c r="F1702" s="2">
        <v>397384.86</v>
      </c>
    </row>
    <row r="1703" s="1" customFormat="1" spans="1:6">
      <c r="A1703" s="40"/>
      <c r="D1703" s="2"/>
      <c r="E1703" s="2"/>
      <c r="F1703" s="2">
        <v>397384.86</v>
      </c>
    </row>
    <row r="1704" s="1" customFormat="1" spans="1:6">
      <c r="A1704" s="40"/>
      <c r="D1704" s="2"/>
      <c r="E1704" s="2"/>
      <c r="F1704" s="2">
        <v>397384.86</v>
      </c>
    </row>
    <row r="1705" s="1" customFormat="1" spans="1:6">
      <c r="A1705" s="40"/>
      <c r="D1705" s="2"/>
      <c r="E1705" s="2"/>
      <c r="F1705" s="2">
        <v>397384.86</v>
      </c>
    </row>
    <row r="1706" s="1" customFormat="1" spans="1:6">
      <c r="A1706" s="40"/>
      <c r="D1706" s="2"/>
      <c r="E1706" s="2"/>
      <c r="F1706" s="2">
        <v>397384.86</v>
      </c>
    </row>
    <row r="1707" s="1" customFormat="1" spans="1:6">
      <c r="A1707" s="40"/>
      <c r="D1707" s="2"/>
      <c r="E1707" s="2"/>
      <c r="F1707" s="2">
        <v>397384.86</v>
      </c>
    </row>
    <row r="1708" s="1" customFormat="1" spans="1:6">
      <c r="A1708" s="40"/>
      <c r="D1708" s="2"/>
      <c r="E1708" s="2"/>
      <c r="F1708" s="2">
        <v>397384.86</v>
      </c>
    </row>
    <row r="1709" s="1" customFormat="1" spans="1:6">
      <c r="A1709" s="40"/>
      <c r="D1709" s="2"/>
      <c r="E1709" s="2"/>
      <c r="F1709" s="2">
        <v>397384.86</v>
      </c>
    </row>
    <row r="1710" s="1" customFormat="1" spans="1:6">
      <c r="A1710" s="40"/>
      <c r="D1710" s="2"/>
      <c r="E1710" s="2"/>
      <c r="F1710" s="2">
        <v>397384.86</v>
      </c>
    </row>
    <row r="1711" s="1" customFormat="1" spans="1:6">
      <c r="A1711" s="40"/>
      <c r="D1711" s="2"/>
      <c r="E1711" s="2"/>
      <c r="F1711" s="2">
        <v>397384.86</v>
      </c>
    </row>
    <row r="1712" s="1" customFormat="1" spans="1:6">
      <c r="A1712" s="40"/>
      <c r="D1712" s="2"/>
      <c r="E1712" s="2"/>
      <c r="F1712" s="2">
        <v>397384.86</v>
      </c>
    </row>
    <row r="1713" s="1" customFormat="1" spans="1:6">
      <c r="A1713" s="40"/>
      <c r="D1713" s="2"/>
      <c r="E1713" s="2"/>
      <c r="F1713" s="2">
        <v>397384.86</v>
      </c>
    </row>
    <row r="1714" s="1" customFormat="1" spans="1:6">
      <c r="A1714" s="40"/>
      <c r="D1714" s="2"/>
      <c r="E1714" s="2"/>
      <c r="F1714" s="2">
        <v>397384.86</v>
      </c>
    </row>
    <row r="1715" s="1" customFormat="1" spans="1:6">
      <c r="A1715" s="40"/>
      <c r="D1715" s="2"/>
      <c r="E1715" s="2"/>
      <c r="F1715" s="2">
        <v>397384.86</v>
      </c>
    </row>
    <row r="1716" s="1" customFormat="1" spans="1:6">
      <c r="A1716" s="40"/>
      <c r="D1716" s="2"/>
      <c r="E1716" s="2"/>
      <c r="F1716" s="2">
        <v>397384.86</v>
      </c>
    </row>
    <row r="1717" s="1" customFormat="1" spans="1:6">
      <c r="A1717" s="40"/>
      <c r="D1717" s="2"/>
      <c r="E1717" s="2"/>
      <c r="F1717" s="2">
        <v>397384.86</v>
      </c>
    </row>
    <row r="1718" s="1" customFormat="1" spans="1:6">
      <c r="A1718" s="40"/>
      <c r="D1718" s="2"/>
      <c r="E1718" s="2"/>
      <c r="F1718" s="2">
        <v>397384.86</v>
      </c>
    </row>
    <row r="1719" s="1" customFormat="1" spans="1:6">
      <c r="A1719" s="40"/>
      <c r="D1719" s="2"/>
      <c r="E1719" s="2"/>
      <c r="F1719" s="2">
        <v>397384.86</v>
      </c>
    </row>
    <row r="1720" s="1" customFormat="1" spans="1:6">
      <c r="A1720" s="40"/>
      <c r="D1720" s="2"/>
      <c r="E1720" s="2"/>
      <c r="F1720" s="2">
        <v>397384.86</v>
      </c>
    </row>
    <row r="1721" s="1" customFormat="1" spans="1:6">
      <c r="A1721" s="40"/>
      <c r="D1721" s="2"/>
      <c r="E1721" s="2"/>
      <c r="F1721" s="2">
        <v>397384.86</v>
      </c>
    </row>
    <row r="1722" s="1" customFormat="1" spans="1:6">
      <c r="A1722" s="40"/>
      <c r="D1722" s="2"/>
      <c r="E1722" s="2"/>
      <c r="F1722" s="2">
        <v>397384.86</v>
      </c>
    </row>
    <row r="1723" s="1" customFormat="1" spans="1:6">
      <c r="A1723" s="40"/>
      <c r="D1723" s="2"/>
      <c r="E1723" s="2"/>
      <c r="F1723" s="2">
        <v>397384.86</v>
      </c>
    </row>
    <row r="1724" s="1" customFormat="1" spans="1:6">
      <c r="A1724" s="40"/>
      <c r="D1724" s="2"/>
      <c r="E1724" s="2"/>
      <c r="F1724" s="2">
        <v>397384.86</v>
      </c>
    </row>
    <row r="1725" s="1" customFormat="1" spans="1:6">
      <c r="A1725" s="40"/>
      <c r="D1725" s="2"/>
      <c r="E1725" s="2"/>
      <c r="F1725" s="2">
        <v>397384.86</v>
      </c>
    </row>
    <row r="1726" s="1" customFormat="1" spans="1:6">
      <c r="A1726" s="40"/>
      <c r="D1726" s="2"/>
      <c r="E1726" s="2"/>
      <c r="F1726" s="2">
        <v>397384.86</v>
      </c>
    </row>
    <row r="1727" s="1" customFormat="1" spans="1:6">
      <c r="A1727" s="40"/>
      <c r="D1727" s="2"/>
      <c r="E1727" s="2"/>
      <c r="F1727" s="2">
        <v>397384.86</v>
      </c>
    </row>
    <row r="1728" s="1" customFormat="1" spans="1:6">
      <c r="A1728" s="40"/>
      <c r="D1728" s="2"/>
      <c r="E1728" s="2"/>
      <c r="F1728" s="2">
        <v>397384.86</v>
      </c>
    </row>
    <row r="1729" s="1" customFormat="1" spans="1:6">
      <c r="A1729" s="40"/>
      <c r="D1729" s="2"/>
      <c r="E1729" s="2"/>
      <c r="F1729" s="2">
        <v>397384.86</v>
      </c>
    </row>
    <row r="1730" s="1" customFormat="1" spans="1:6">
      <c r="A1730" s="40"/>
      <c r="D1730" s="2"/>
      <c r="E1730" s="2"/>
      <c r="F1730" s="2">
        <v>397384.86</v>
      </c>
    </row>
    <row r="1731" s="1" customFormat="1" spans="1:6">
      <c r="A1731" s="40"/>
      <c r="D1731" s="2"/>
      <c r="E1731" s="2"/>
      <c r="F1731" s="2">
        <v>397384.86</v>
      </c>
    </row>
    <row r="1732" s="1" customFormat="1" spans="1:6">
      <c r="A1732" s="40"/>
      <c r="D1732" s="2"/>
      <c r="E1732" s="2"/>
      <c r="F1732" s="2">
        <v>397384.86</v>
      </c>
    </row>
    <row r="1733" s="1" customFormat="1" spans="1:6">
      <c r="A1733" s="40"/>
      <c r="D1733" s="2"/>
      <c r="E1733" s="2"/>
      <c r="F1733" s="2">
        <v>397384.86</v>
      </c>
    </row>
    <row r="1734" s="1" customFormat="1" spans="1:6">
      <c r="A1734" s="40"/>
      <c r="D1734" s="2"/>
      <c r="E1734" s="2"/>
      <c r="F1734" s="2">
        <v>397384.86</v>
      </c>
    </row>
    <row r="1735" s="1" customFormat="1" spans="1:6">
      <c r="A1735" s="40"/>
      <c r="D1735" s="2"/>
      <c r="E1735" s="2"/>
      <c r="F1735" s="2">
        <v>397384.86</v>
      </c>
    </row>
    <row r="1736" s="1" customFormat="1" spans="1:6">
      <c r="A1736" s="40"/>
      <c r="D1736" s="2"/>
      <c r="E1736" s="2"/>
      <c r="F1736" s="2">
        <v>397384.86</v>
      </c>
    </row>
    <row r="1737" s="1" customFormat="1" spans="1:6">
      <c r="A1737" s="40"/>
      <c r="D1737" s="2"/>
      <c r="E1737" s="2"/>
      <c r="F1737" s="2">
        <v>397384.86</v>
      </c>
    </row>
    <row r="1738" s="1" customFormat="1" spans="1:6">
      <c r="A1738" s="40"/>
      <c r="D1738" s="2"/>
      <c r="E1738" s="2"/>
      <c r="F1738" s="2">
        <v>397384.86</v>
      </c>
    </row>
    <row r="1739" s="1" customFormat="1" spans="1:6">
      <c r="A1739" s="40"/>
      <c r="D1739" s="2"/>
      <c r="E1739" s="2"/>
      <c r="F1739" s="2">
        <v>397384.86</v>
      </c>
    </row>
    <row r="1740" s="1" customFormat="1" spans="1:6">
      <c r="A1740" s="40"/>
      <c r="D1740" s="2"/>
      <c r="E1740" s="2"/>
      <c r="F1740" s="2">
        <v>397384.86</v>
      </c>
    </row>
    <row r="1741" s="1" customFormat="1" spans="1:6">
      <c r="A1741" s="40"/>
      <c r="D1741" s="2"/>
      <c r="E1741" s="2"/>
      <c r="F1741" s="2">
        <v>397384.86</v>
      </c>
    </row>
    <row r="1742" s="1" customFormat="1" spans="1:6">
      <c r="A1742" s="40"/>
      <c r="D1742" s="2"/>
      <c r="E1742" s="2"/>
      <c r="F1742" s="2">
        <v>397384.86</v>
      </c>
    </row>
    <row r="1743" s="1" customFormat="1" spans="1:6">
      <c r="A1743" s="40"/>
      <c r="D1743" s="2"/>
      <c r="E1743" s="2"/>
      <c r="F1743" s="2">
        <v>397384.86</v>
      </c>
    </row>
    <row r="1744" s="1" customFormat="1" spans="1:6">
      <c r="A1744" s="40"/>
      <c r="D1744" s="2"/>
      <c r="E1744" s="2"/>
      <c r="F1744" s="2">
        <v>397384.86</v>
      </c>
    </row>
    <row r="1745" s="1" customFormat="1" spans="1:6">
      <c r="A1745" s="40"/>
      <c r="D1745" s="2"/>
      <c r="E1745" s="2"/>
      <c r="F1745" s="2">
        <v>397384.86</v>
      </c>
    </row>
    <row r="1746" s="1" customFormat="1" spans="1:6">
      <c r="A1746" s="40"/>
      <c r="D1746" s="2"/>
      <c r="E1746" s="2"/>
      <c r="F1746" s="2">
        <v>397384.86</v>
      </c>
    </row>
    <row r="1747" s="1" customFormat="1" spans="1:6">
      <c r="A1747" s="40"/>
      <c r="D1747" s="2"/>
      <c r="E1747" s="2"/>
      <c r="F1747" s="2">
        <v>397384.86</v>
      </c>
    </row>
    <row r="1748" s="1" customFormat="1" spans="1:6">
      <c r="A1748" s="40"/>
      <c r="D1748" s="2"/>
      <c r="E1748" s="2"/>
      <c r="F1748" s="2">
        <v>397384.86</v>
      </c>
    </row>
    <row r="1749" s="1" customFormat="1" spans="1:6">
      <c r="A1749" s="40"/>
      <c r="D1749" s="2"/>
      <c r="E1749" s="2"/>
      <c r="F1749" s="2">
        <v>397384.86</v>
      </c>
    </row>
    <row r="1750" s="1" customFormat="1" spans="1:6">
      <c r="A1750" s="40"/>
      <c r="D1750" s="2"/>
      <c r="E1750" s="2"/>
      <c r="F1750" s="2">
        <v>397384.86</v>
      </c>
    </row>
    <row r="1751" s="1" customFormat="1" spans="1:6">
      <c r="A1751" s="40"/>
      <c r="D1751" s="2"/>
      <c r="E1751" s="2"/>
      <c r="F1751" s="2">
        <v>397384.86</v>
      </c>
    </row>
    <row r="1752" s="1" customFormat="1" spans="1:6">
      <c r="A1752" s="40"/>
      <c r="D1752" s="2"/>
      <c r="E1752" s="2"/>
      <c r="F1752" s="2">
        <v>397384.86</v>
      </c>
    </row>
    <row r="1753" s="1" customFormat="1" spans="1:6">
      <c r="A1753" s="40"/>
      <c r="D1753" s="2"/>
      <c r="E1753" s="2"/>
      <c r="F1753" s="2">
        <v>397384.86</v>
      </c>
    </row>
    <row r="1754" s="1" customFormat="1" spans="1:6">
      <c r="A1754" s="40"/>
      <c r="D1754" s="2"/>
      <c r="E1754" s="2"/>
      <c r="F1754" s="2">
        <v>397384.86</v>
      </c>
    </row>
    <row r="1755" s="1" customFormat="1" spans="1:6">
      <c r="A1755" s="40"/>
      <c r="D1755" s="2"/>
      <c r="E1755" s="2"/>
      <c r="F1755" s="2">
        <v>397384.86</v>
      </c>
    </row>
    <row r="1756" s="1" customFormat="1" spans="1:6">
      <c r="A1756" s="40"/>
      <c r="D1756" s="2"/>
      <c r="E1756" s="2"/>
      <c r="F1756" s="2">
        <v>397384.86</v>
      </c>
    </row>
    <row r="1757" s="1" customFormat="1" spans="1:6">
      <c r="A1757" s="40"/>
      <c r="D1757" s="2"/>
      <c r="E1757" s="2"/>
      <c r="F1757" s="2">
        <v>397384.86</v>
      </c>
    </row>
    <row r="1758" s="1" customFormat="1" spans="1:6">
      <c r="A1758" s="40"/>
      <c r="D1758" s="2"/>
      <c r="E1758" s="2"/>
      <c r="F1758" s="2">
        <v>397384.86</v>
      </c>
    </row>
    <row r="1759" s="1" customFormat="1" spans="1:6">
      <c r="A1759" s="40"/>
      <c r="D1759" s="2"/>
      <c r="E1759" s="2"/>
      <c r="F1759" s="2">
        <v>397384.86</v>
      </c>
    </row>
    <row r="1760" s="1" customFormat="1" spans="1:6">
      <c r="A1760" s="40"/>
      <c r="D1760" s="2"/>
      <c r="E1760" s="2"/>
      <c r="F1760" s="2">
        <v>397384.86</v>
      </c>
    </row>
    <row r="1761" s="1" customFormat="1" spans="1:6">
      <c r="A1761" s="40"/>
      <c r="D1761" s="2"/>
      <c r="E1761" s="2"/>
      <c r="F1761" s="2">
        <v>397384.86</v>
      </c>
    </row>
    <row r="1762" s="1" customFormat="1" spans="1:6">
      <c r="A1762" s="40"/>
      <c r="D1762" s="2"/>
      <c r="E1762" s="2"/>
      <c r="F1762" s="2">
        <v>397384.86</v>
      </c>
    </row>
    <row r="1763" s="1" customFormat="1" spans="1:6">
      <c r="A1763" s="40"/>
      <c r="D1763" s="2"/>
      <c r="E1763" s="2"/>
      <c r="F1763" s="2">
        <v>397384.86</v>
      </c>
    </row>
    <row r="1764" s="1" customFormat="1" spans="1:6">
      <c r="A1764" s="40"/>
      <c r="D1764" s="2"/>
      <c r="E1764" s="2"/>
      <c r="F1764" s="2">
        <v>397384.86</v>
      </c>
    </row>
    <row r="1765" s="1" customFormat="1" spans="1:6">
      <c r="A1765" s="40"/>
      <c r="D1765" s="2"/>
      <c r="E1765" s="2"/>
      <c r="F1765" s="2">
        <v>397384.86</v>
      </c>
    </row>
    <row r="1766" s="1" customFormat="1" spans="1:6">
      <c r="A1766" s="40"/>
      <c r="D1766" s="2"/>
      <c r="E1766" s="2"/>
      <c r="F1766" s="2">
        <v>397384.86</v>
      </c>
    </row>
    <row r="1767" s="1" customFormat="1" spans="1:6">
      <c r="A1767" s="40"/>
      <c r="D1767" s="2"/>
      <c r="E1767" s="2"/>
      <c r="F1767" s="2">
        <v>397384.86</v>
      </c>
    </row>
    <row r="1768" s="1" customFormat="1" spans="1:6">
      <c r="A1768" s="40"/>
      <c r="D1768" s="2"/>
      <c r="E1768" s="2"/>
      <c r="F1768" s="2">
        <v>397384.86</v>
      </c>
    </row>
    <row r="1769" s="1" customFormat="1" spans="1:6">
      <c r="A1769" s="40"/>
      <c r="D1769" s="2"/>
      <c r="E1769" s="2"/>
      <c r="F1769" s="2">
        <v>397384.86</v>
      </c>
    </row>
    <row r="1770" s="1" customFormat="1" spans="1:6">
      <c r="A1770" s="40"/>
      <c r="D1770" s="2"/>
      <c r="E1770" s="2"/>
      <c r="F1770" s="2">
        <v>397384.86</v>
      </c>
    </row>
    <row r="1771" s="1" customFormat="1" spans="1:6">
      <c r="A1771" s="40"/>
      <c r="D1771" s="2"/>
      <c r="E1771" s="2"/>
      <c r="F1771" s="2">
        <v>397384.86</v>
      </c>
    </row>
    <row r="1772" s="1" customFormat="1" spans="1:6">
      <c r="A1772" s="40"/>
      <c r="D1772" s="2"/>
      <c r="E1772" s="2"/>
      <c r="F1772" s="2">
        <v>397384.86</v>
      </c>
    </row>
    <row r="1773" s="1" customFormat="1" spans="1:6">
      <c r="A1773" s="40"/>
      <c r="D1773" s="2"/>
      <c r="E1773" s="2"/>
      <c r="F1773" s="2">
        <v>397384.86</v>
      </c>
    </row>
    <row r="1774" s="1" customFormat="1" spans="1:6">
      <c r="A1774" s="40"/>
      <c r="D1774" s="2"/>
      <c r="E1774" s="2"/>
      <c r="F1774" s="2">
        <v>397384.86</v>
      </c>
    </row>
    <row r="1775" s="1" customFormat="1" spans="1:6">
      <c r="A1775" s="40"/>
      <c r="D1775" s="2"/>
      <c r="E1775" s="2"/>
      <c r="F1775" s="2">
        <v>397384.86</v>
      </c>
    </row>
    <row r="1776" s="1" customFormat="1" spans="1:6">
      <c r="A1776" s="40"/>
      <c r="D1776" s="2"/>
      <c r="E1776" s="2"/>
      <c r="F1776" s="2">
        <v>397384.86</v>
      </c>
    </row>
    <row r="1777" s="1" customFormat="1" spans="1:6">
      <c r="A1777" s="40"/>
      <c r="D1777" s="2"/>
      <c r="E1777" s="2"/>
      <c r="F1777" s="2">
        <v>397384.86</v>
      </c>
    </row>
    <row r="1778" s="1" customFormat="1" spans="1:6">
      <c r="A1778" s="40"/>
      <c r="D1778" s="2"/>
      <c r="E1778" s="2"/>
      <c r="F1778" s="2">
        <v>397384.86</v>
      </c>
    </row>
    <row r="1779" s="1" customFormat="1" spans="1:6">
      <c r="A1779" s="40"/>
      <c r="D1779" s="2"/>
      <c r="E1779" s="2"/>
      <c r="F1779" s="2">
        <v>397384.86</v>
      </c>
    </row>
    <row r="1780" s="1" customFormat="1" spans="1:6">
      <c r="A1780" s="40"/>
      <c r="D1780" s="2"/>
      <c r="E1780" s="2"/>
      <c r="F1780" s="2">
        <v>397384.86</v>
      </c>
    </row>
    <row r="1781" s="1" customFormat="1" spans="1:6">
      <c r="A1781" s="40"/>
      <c r="D1781" s="2"/>
      <c r="E1781" s="2"/>
      <c r="F1781" s="2">
        <v>397384.86</v>
      </c>
    </row>
    <row r="1782" s="1" customFormat="1" spans="1:6">
      <c r="A1782" s="40"/>
      <c r="D1782" s="2"/>
      <c r="E1782" s="2"/>
      <c r="F1782" s="2">
        <v>397384.86</v>
      </c>
    </row>
    <row r="1783" s="1" customFormat="1" spans="1:6">
      <c r="A1783" s="40"/>
      <c r="D1783" s="2"/>
      <c r="E1783" s="2"/>
      <c r="F1783" s="2">
        <v>397384.86</v>
      </c>
    </row>
    <row r="1784" s="1" customFormat="1" spans="1:6">
      <c r="A1784" s="40"/>
      <c r="D1784" s="2"/>
      <c r="E1784" s="2"/>
      <c r="F1784" s="2">
        <v>397384.86</v>
      </c>
    </row>
    <row r="1785" s="1" customFormat="1" spans="1:6">
      <c r="A1785" s="40"/>
      <c r="D1785" s="2"/>
      <c r="E1785" s="2"/>
      <c r="F1785" s="2">
        <v>397384.86</v>
      </c>
    </row>
    <row r="1786" s="1" customFormat="1" spans="1:6">
      <c r="A1786" s="40"/>
      <c r="D1786" s="2"/>
      <c r="E1786" s="2"/>
      <c r="F1786" s="2">
        <v>397384.86</v>
      </c>
    </row>
    <row r="1787" s="1" customFormat="1" spans="1:6">
      <c r="A1787" s="40"/>
      <c r="D1787" s="2"/>
      <c r="E1787" s="2"/>
      <c r="F1787" s="2">
        <v>397384.86</v>
      </c>
    </row>
    <row r="1788" s="1" customFormat="1" spans="1:6">
      <c r="A1788" s="40"/>
      <c r="D1788" s="2"/>
      <c r="E1788" s="2"/>
      <c r="F1788" s="2">
        <v>397384.86</v>
      </c>
    </row>
    <row r="1789" s="1" customFormat="1" spans="1:6">
      <c r="A1789" s="40"/>
      <c r="D1789" s="2"/>
      <c r="E1789" s="2"/>
      <c r="F1789" s="2">
        <v>397384.86</v>
      </c>
    </row>
    <row r="1790" s="1" customFormat="1" spans="1:6">
      <c r="A1790" s="40"/>
      <c r="D1790" s="2"/>
      <c r="E1790" s="2"/>
      <c r="F1790" s="2">
        <v>397384.86</v>
      </c>
    </row>
    <row r="1791" s="1" customFormat="1" spans="1:6">
      <c r="A1791" s="40"/>
      <c r="D1791" s="2"/>
      <c r="E1791" s="2"/>
      <c r="F1791" s="2">
        <v>397384.86</v>
      </c>
    </row>
    <row r="1792" s="1" customFormat="1" spans="1:6">
      <c r="A1792" s="40"/>
      <c r="D1792" s="2"/>
      <c r="E1792" s="2"/>
      <c r="F1792" s="2">
        <v>397384.86</v>
      </c>
    </row>
    <row r="1793" s="1" customFormat="1" spans="1:6">
      <c r="A1793" s="40"/>
      <c r="D1793" s="2"/>
      <c r="E1793" s="2"/>
      <c r="F1793" s="2">
        <v>397384.86</v>
      </c>
    </row>
    <row r="1794" s="1" customFormat="1" spans="1:6">
      <c r="A1794" s="40"/>
      <c r="D1794" s="2"/>
      <c r="E1794" s="2"/>
      <c r="F1794" s="2">
        <v>397384.86</v>
      </c>
    </row>
    <row r="1795" s="1" customFormat="1" spans="1:6">
      <c r="A1795" s="40"/>
      <c r="D1795" s="2"/>
      <c r="E1795" s="2"/>
      <c r="F1795" s="2">
        <v>397384.86</v>
      </c>
    </row>
    <row r="1796" s="1" customFormat="1" spans="1:6">
      <c r="A1796" s="40"/>
      <c r="D1796" s="2"/>
      <c r="E1796" s="2"/>
      <c r="F1796" s="2">
        <v>397384.86</v>
      </c>
    </row>
    <row r="1797" s="1" customFormat="1" spans="1:6">
      <c r="A1797" s="40"/>
      <c r="D1797" s="2"/>
      <c r="E1797" s="2"/>
      <c r="F1797" s="2">
        <v>397384.86</v>
      </c>
    </row>
    <row r="1798" s="1" customFormat="1" spans="1:6">
      <c r="A1798" s="40"/>
      <c r="D1798" s="2"/>
      <c r="E1798" s="2"/>
      <c r="F1798" s="2">
        <v>397384.86</v>
      </c>
    </row>
    <row r="1799" s="1" customFormat="1" spans="1:6">
      <c r="A1799" s="40"/>
      <c r="D1799" s="2"/>
      <c r="E1799" s="2"/>
      <c r="F1799" s="2">
        <v>397384.86</v>
      </c>
    </row>
    <row r="1800" s="1" customFormat="1" spans="1:6">
      <c r="A1800" s="40"/>
      <c r="D1800" s="2"/>
      <c r="E1800" s="2"/>
      <c r="F1800" s="2">
        <v>397384.86</v>
      </c>
    </row>
    <row r="1801" s="1" customFormat="1" spans="1:6">
      <c r="A1801" s="40"/>
      <c r="D1801" s="2"/>
      <c r="E1801" s="2"/>
      <c r="F1801" s="2">
        <v>397384.86</v>
      </c>
    </row>
    <row r="1802" s="1" customFormat="1" spans="1:6">
      <c r="A1802" s="40"/>
      <c r="D1802" s="2"/>
      <c r="E1802" s="2"/>
      <c r="F1802" s="2">
        <v>397384.86</v>
      </c>
    </row>
    <row r="1803" s="1" customFormat="1" spans="1:6">
      <c r="A1803" s="40"/>
      <c r="D1803" s="2"/>
      <c r="E1803" s="2"/>
      <c r="F1803" s="2">
        <v>397384.86</v>
      </c>
    </row>
    <row r="1804" s="1" customFormat="1" spans="1:6">
      <c r="A1804" s="40"/>
      <c r="D1804" s="2"/>
      <c r="E1804" s="2"/>
      <c r="F1804" s="2">
        <v>397384.86</v>
      </c>
    </row>
    <row r="1805" s="1" customFormat="1" spans="1:6">
      <c r="A1805" s="40"/>
      <c r="D1805" s="2"/>
      <c r="E1805" s="2"/>
      <c r="F1805" s="2">
        <v>397384.86</v>
      </c>
    </row>
    <row r="1806" s="1" customFormat="1" spans="1:6">
      <c r="A1806" s="40"/>
      <c r="D1806" s="2"/>
      <c r="E1806" s="2"/>
      <c r="F1806" s="2">
        <v>397384.86</v>
      </c>
    </row>
    <row r="1807" s="1" customFormat="1" spans="1:6">
      <c r="A1807" s="40"/>
      <c r="D1807" s="2"/>
      <c r="E1807" s="2"/>
      <c r="F1807" s="2">
        <v>397384.86</v>
      </c>
    </row>
    <row r="1808" s="1" customFormat="1" spans="1:6">
      <c r="A1808" s="40"/>
      <c r="D1808" s="2"/>
      <c r="E1808" s="2"/>
      <c r="F1808" s="2">
        <v>397384.86</v>
      </c>
    </row>
    <row r="1809" s="1" customFormat="1" spans="1:6">
      <c r="A1809" s="40"/>
      <c r="D1809" s="2"/>
      <c r="E1809" s="2"/>
      <c r="F1809" s="2">
        <v>397384.86</v>
      </c>
    </row>
    <row r="1810" s="1" customFormat="1" spans="1:6">
      <c r="A1810" s="40"/>
      <c r="D1810" s="2"/>
      <c r="E1810" s="2"/>
      <c r="F1810" s="2">
        <v>397384.86</v>
      </c>
    </row>
    <row r="1811" s="1" customFormat="1" spans="1:6">
      <c r="A1811" s="40"/>
      <c r="D1811" s="2"/>
      <c r="E1811" s="2"/>
      <c r="F1811" s="2">
        <v>397384.86</v>
      </c>
    </row>
    <row r="1812" s="1" customFormat="1" spans="1:6">
      <c r="A1812" s="40"/>
      <c r="D1812" s="2"/>
      <c r="E1812" s="2"/>
      <c r="F1812" s="2">
        <v>397384.86</v>
      </c>
    </row>
    <row r="1813" s="1" customFormat="1" spans="1:6">
      <c r="A1813" s="40"/>
      <c r="D1813" s="2"/>
      <c r="E1813" s="2"/>
      <c r="F1813" s="2">
        <v>397384.86</v>
      </c>
    </row>
    <row r="1814" s="1" customFormat="1" spans="1:6">
      <c r="A1814" s="40"/>
      <c r="D1814" s="2"/>
      <c r="E1814" s="2"/>
      <c r="F1814" s="2">
        <v>397384.86</v>
      </c>
    </row>
    <row r="1815" s="1" customFormat="1" spans="1:6">
      <c r="A1815" s="40"/>
      <c r="D1815" s="2"/>
      <c r="E1815" s="2"/>
      <c r="F1815" s="2">
        <v>397384.86</v>
      </c>
    </row>
    <row r="1816" s="1" customFormat="1" spans="1:6">
      <c r="A1816" s="40"/>
      <c r="D1816" s="2"/>
      <c r="E1816" s="2"/>
      <c r="F1816" s="2">
        <v>397384.86</v>
      </c>
    </row>
    <row r="1817" s="1" customFormat="1" spans="1:6">
      <c r="A1817" s="40"/>
      <c r="D1817" s="2"/>
      <c r="E1817" s="2"/>
      <c r="F1817" s="2">
        <v>397384.86</v>
      </c>
    </row>
    <row r="1818" s="1" customFormat="1" spans="1:6">
      <c r="A1818" s="40"/>
      <c r="D1818" s="2"/>
      <c r="E1818" s="2"/>
      <c r="F1818" s="2">
        <v>397384.86</v>
      </c>
    </row>
    <row r="1819" s="1" customFormat="1" spans="1:6">
      <c r="A1819" s="40"/>
      <c r="D1819" s="2"/>
      <c r="E1819" s="2"/>
      <c r="F1819" s="2">
        <v>397384.86</v>
      </c>
    </row>
    <row r="1820" s="1" customFormat="1" spans="1:6">
      <c r="A1820" s="40"/>
      <c r="D1820" s="2"/>
      <c r="E1820" s="2"/>
      <c r="F1820" s="2">
        <v>397384.86</v>
      </c>
    </row>
    <row r="1821" s="1" customFormat="1" spans="1:6">
      <c r="A1821" s="40"/>
      <c r="D1821" s="2"/>
      <c r="E1821" s="2"/>
      <c r="F1821" s="2">
        <v>397384.86</v>
      </c>
    </row>
    <row r="1822" s="1" customFormat="1" spans="1:6">
      <c r="A1822" s="40"/>
      <c r="D1822" s="2"/>
      <c r="E1822" s="2"/>
      <c r="F1822" s="2">
        <v>397384.86</v>
      </c>
    </row>
    <row r="1823" s="1" customFormat="1" spans="1:6">
      <c r="A1823" s="40"/>
      <c r="D1823" s="2"/>
      <c r="E1823" s="2"/>
      <c r="F1823" s="2">
        <v>397384.86</v>
      </c>
    </row>
    <row r="1824" s="1" customFormat="1" spans="1:6">
      <c r="A1824" s="40"/>
      <c r="D1824" s="2"/>
      <c r="E1824" s="2"/>
      <c r="F1824" s="2">
        <v>397384.86</v>
      </c>
    </row>
    <row r="1825" s="1" customFormat="1" spans="1:6">
      <c r="A1825" s="40"/>
      <c r="D1825" s="2"/>
      <c r="E1825" s="2"/>
      <c r="F1825" s="2">
        <v>397384.86</v>
      </c>
    </row>
    <row r="1826" s="1" customFormat="1" spans="1:6">
      <c r="A1826" s="40"/>
      <c r="D1826" s="2"/>
      <c r="E1826" s="2"/>
      <c r="F1826" s="2">
        <v>397384.86</v>
      </c>
    </row>
    <row r="1827" s="1" customFormat="1" spans="1:6">
      <c r="A1827" s="40"/>
      <c r="D1827" s="2"/>
      <c r="E1827" s="2"/>
      <c r="F1827" s="2">
        <v>397384.86</v>
      </c>
    </row>
    <row r="1828" s="1" customFormat="1" spans="1:6">
      <c r="A1828" s="40"/>
      <c r="D1828" s="2"/>
      <c r="E1828" s="2"/>
      <c r="F1828" s="2">
        <v>397384.86</v>
      </c>
    </row>
    <row r="1829" s="1" customFormat="1" spans="1:6">
      <c r="A1829" s="40"/>
      <c r="D1829" s="2"/>
      <c r="E1829" s="2"/>
      <c r="F1829" s="2">
        <v>397384.86</v>
      </c>
    </row>
    <row r="1830" s="1" customFormat="1" spans="1:6">
      <c r="A1830" s="40"/>
      <c r="D1830" s="2"/>
      <c r="E1830" s="2"/>
      <c r="F1830" s="2">
        <v>397384.86</v>
      </c>
    </row>
    <row r="1831" s="1" customFormat="1" spans="1:6">
      <c r="A1831" s="40"/>
      <c r="D1831" s="2"/>
      <c r="E1831" s="2"/>
      <c r="F1831" s="2">
        <v>397384.86</v>
      </c>
    </row>
    <row r="1832" s="1" customFormat="1" spans="1:6">
      <c r="A1832" s="40"/>
      <c r="D1832" s="2"/>
      <c r="E1832" s="2"/>
      <c r="F1832" s="2">
        <v>397384.86</v>
      </c>
    </row>
    <row r="1833" s="1" customFormat="1" spans="1:6">
      <c r="A1833" s="40"/>
      <c r="D1833" s="2"/>
      <c r="E1833" s="2"/>
      <c r="F1833" s="2">
        <v>397384.86</v>
      </c>
    </row>
    <row r="1834" s="1" customFormat="1" spans="1:6">
      <c r="A1834" s="40"/>
      <c r="D1834" s="2"/>
      <c r="E1834" s="2"/>
      <c r="F1834" s="2">
        <v>397384.86</v>
      </c>
    </row>
    <row r="1835" s="1" customFormat="1" spans="1:6">
      <c r="A1835" s="40"/>
      <c r="D1835" s="2"/>
      <c r="E1835" s="2"/>
      <c r="F1835" s="2">
        <v>397384.86</v>
      </c>
    </row>
    <row r="1836" s="1" customFormat="1" spans="1:6">
      <c r="A1836" s="40"/>
      <c r="D1836" s="2"/>
      <c r="E1836" s="2"/>
      <c r="F1836" s="2">
        <v>397384.86</v>
      </c>
    </row>
    <row r="1837" s="1" customFormat="1" spans="1:6">
      <c r="A1837" s="40"/>
      <c r="D1837" s="2"/>
      <c r="E1837" s="2"/>
      <c r="F1837" s="2">
        <v>397384.86</v>
      </c>
    </row>
    <row r="1838" s="1" customFormat="1" spans="1:6">
      <c r="A1838" s="40"/>
      <c r="D1838" s="2"/>
      <c r="E1838" s="2"/>
      <c r="F1838" s="2">
        <v>397384.86</v>
      </c>
    </row>
    <row r="1839" s="1" customFormat="1" spans="1:6">
      <c r="A1839" s="40"/>
      <c r="D1839" s="2"/>
      <c r="E1839" s="2"/>
      <c r="F1839" s="2">
        <v>397384.86</v>
      </c>
    </row>
    <row r="1840" s="1" customFormat="1" spans="1:6">
      <c r="A1840" s="40"/>
      <c r="D1840" s="2"/>
      <c r="E1840" s="2"/>
      <c r="F1840" s="2">
        <v>397384.86</v>
      </c>
    </row>
    <row r="1841" s="1" customFormat="1" spans="1:6">
      <c r="A1841" s="40"/>
      <c r="D1841" s="2"/>
      <c r="E1841" s="2"/>
      <c r="F1841" s="2">
        <v>397384.86</v>
      </c>
    </row>
    <row r="1842" s="1" customFormat="1" spans="1:6">
      <c r="A1842" s="40"/>
      <c r="D1842" s="2"/>
      <c r="E1842" s="2"/>
      <c r="F1842" s="2">
        <v>397384.86</v>
      </c>
    </row>
    <row r="1843" s="1" customFormat="1" spans="1:6">
      <c r="A1843" s="40"/>
      <c r="D1843" s="2"/>
      <c r="E1843" s="2"/>
      <c r="F1843" s="2">
        <v>397384.86</v>
      </c>
    </row>
    <row r="1844" s="1" customFormat="1" spans="1:6">
      <c r="A1844" s="40"/>
      <c r="D1844" s="2"/>
      <c r="E1844" s="2"/>
      <c r="F1844" s="2">
        <v>397384.86</v>
      </c>
    </row>
    <row r="1845" s="1" customFormat="1" spans="1:6">
      <c r="A1845" s="40"/>
      <c r="D1845" s="2"/>
      <c r="E1845" s="2"/>
      <c r="F1845" s="2">
        <v>397384.86</v>
      </c>
    </row>
    <row r="1846" s="1" customFormat="1" spans="1:6">
      <c r="A1846" s="40"/>
      <c r="D1846" s="2"/>
      <c r="E1846" s="2"/>
      <c r="F1846" s="2">
        <v>397384.86</v>
      </c>
    </row>
    <row r="1847" s="1" customFormat="1" spans="1:6">
      <c r="A1847" s="40"/>
      <c r="D1847" s="2"/>
      <c r="E1847" s="2"/>
      <c r="F1847" s="2">
        <v>397384.86</v>
      </c>
    </row>
    <row r="1848" s="1" customFormat="1" spans="1:6">
      <c r="A1848" s="40"/>
      <c r="D1848" s="2"/>
      <c r="E1848" s="2"/>
      <c r="F1848" s="2">
        <v>397384.86</v>
      </c>
    </row>
    <row r="1849" s="1" customFormat="1" spans="1:6">
      <c r="A1849" s="40"/>
      <c r="D1849" s="2"/>
      <c r="E1849" s="2"/>
      <c r="F1849" s="2">
        <v>397384.86</v>
      </c>
    </row>
    <row r="1850" s="1" customFormat="1" spans="1:6">
      <c r="A1850" s="40"/>
      <c r="D1850" s="2"/>
      <c r="E1850" s="2"/>
      <c r="F1850" s="2">
        <v>397384.86</v>
      </c>
    </row>
    <row r="1851" s="1" customFormat="1" spans="1:6">
      <c r="A1851" s="40"/>
      <c r="D1851" s="2"/>
      <c r="E1851" s="2"/>
      <c r="F1851" s="2">
        <v>397384.86</v>
      </c>
    </row>
    <row r="1852" s="1" customFormat="1" spans="1:6">
      <c r="A1852" s="40"/>
      <c r="D1852" s="2"/>
      <c r="E1852" s="2"/>
      <c r="F1852" s="2">
        <v>397384.86</v>
      </c>
    </row>
    <row r="1853" s="1" customFormat="1" spans="1:6">
      <c r="A1853" s="40"/>
      <c r="D1853" s="2"/>
      <c r="E1853" s="2"/>
      <c r="F1853" s="2">
        <v>397384.86</v>
      </c>
    </row>
    <row r="1854" s="1" customFormat="1" spans="1:6">
      <c r="A1854" s="40"/>
      <c r="D1854" s="2"/>
      <c r="E1854" s="2"/>
      <c r="F1854" s="2">
        <v>397384.86</v>
      </c>
    </row>
    <row r="1855" s="1" customFormat="1" spans="1:6">
      <c r="A1855" s="40"/>
      <c r="D1855" s="2"/>
      <c r="E1855" s="2"/>
      <c r="F1855" s="2">
        <v>397384.86</v>
      </c>
    </row>
    <row r="1856" s="1" customFormat="1" spans="1:6">
      <c r="A1856" s="40"/>
      <c r="D1856" s="2"/>
      <c r="E1856" s="2"/>
      <c r="F1856" s="2">
        <v>397384.86</v>
      </c>
    </row>
    <row r="1857" s="1" customFormat="1" spans="1:6">
      <c r="A1857" s="40"/>
      <c r="D1857" s="2"/>
      <c r="E1857" s="2"/>
      <c r="F1857" s="2">
        <v>397384.86</v>
      </c>
    </row>
    <row r="1858" s="1" customFormat="1" spans="1:6">
      <c r="A1858" s="40"/>
      <c r="D1858" s="2"/>
      <c r="E1858" s="2"/>
      <c r="F1858" s="2">
        <v>397384.86</v>
      </c>
    </row>
    <row r="1859" s="1" customFormat="1" spans="1:6">
      <c r="A1859" s="40"/>
      <c r="D1859" s="2"/>
      <c r="E1859" s="2"/>
      <c r="F1859" s="2">
        <v>397384.86</v>
      </c>
    </row>
    <row r="1860" s="1" customFormat="1" spans="1:6">
      <c r="A1860" s="40"/>
      <c r="D1860" s="2"/>
      <c r="E1860" s="2"/>
      <c r="F1860" s="2">
        <v>397384.86</v>
      </c>
    </row>
    <row r="1861" s="1" customFormat="1" spans="1:6">
      <c r="A1861" s="40"/>
      <c r="D1861" s="2"/>
      <c r="E1861" s="2"/>
      <c r="F1861" s="2">
        <v>397384.86</v>
      </c>
    </row>
    <row r="1862" s="1" customFormat="1" spans="1:6">
      <c r="A1862" s="40"/>
      <c r="D1862" s="2"/>
      <c r="E1862" s="2"/>
      <c r="F1862" s="2">
        <v>397384.86</v>
      </c>
    </row>
    <row r="1863" s="1" customFormat="1" spans="1:6">
      <c r="A1863" s="40"/>
      <c r="D1863" s="2"/>
      <c r="E1863" s="2"/>
      <c r="F1863" s="2">
        <v>397384.86</v>
      </c>
    </row>
    <row r="1864" s="1" customFormat="1" spans="1:6">
      <c r="A1864" s="40"/>
      <c r="D1864" s="2"/>
      <c r="E1864" s="2"/>
      <c r="F1864" s="2">
        <v>397384.86</v>
      </c>
    </row>
    <row r="1865" s="1" customFormat="1" spans="1:6">
      <c r="A1865" s="40"/>
      <c r="D1865" s="2"/>
      <c r="E1865" s="2"/>
      <c r="F1865" s="2">
        <v>397384.86</v>
      </c>
    </row>
    <row r="1866" s="1" customFormat="1" spans="1:6">
      <c r="A1866" s="40"/>
      <c r="D1866" s="2"/>
      <c r="E1866" s="2"/>
      <c r="F1866" s="2">
        <v>397384.86</v>
      </c>
    </row>
    <row r="1867" s="1" customFormat="1" spans="1:6">
      <c r="A1867" s="40"/>
      <c r="D1867" s="2"/>
      <c r="E1867" s="2"/>
      <c r="F1867" s="2">
        <v>397384.86</v>
      </c>
    </row>
    <row r="1868" s="1" customFormat="1" spans="1:6">
      <c r="A1868" s="40"/>
      <c r="D1868" s="2"/>
      <c r="E1868" s="2"/>
      <c r="F1868" s="2">
        <v>397384.86</v>
      </c>
    </row>
    <row r="1869" s="1" customFormat="1" spans="1:6">
      <c r="A1869" s="40"/>
      <c r="D1869" s="2"/>
      <c r="E1869" s="2"/>
      <c r="F1869" s="2">
        <v>397384.86</v>
      </c>
    </row>
    <row r="1870" s="1" customFormat="1" spans="1:6">
      <c r="A1870" s="40"/>
      <c r="D1870" s="2"/>
      <c r="E1870" s="2"/>
      <c r="F1870" s="2">
        <v>397384.86</v>
      </c>
    </row>
    <row r="1871" s="1" customFormat="1" spans="1:6">
      <c r="A1871" s="40"/>
      <c r="D1871" s="2"/>
      <c r="E1871" s="2"/>
      <c r="F1871" s="2">
        <v>397384.86</v>
      </c>
    </row>
    <row r="1872" s="1" customFormat="1" spans="1:6">
      <c r="A1872" s="40"/>
      <c r="D1872" s="2"/>
      <c r="E1872" s="2"/>
      <c r="F1872" s="2">
        <v>397384.86</v>
      </c>
    </row>
    <row r="1873" s="1" customFormat="1" spans="1:6">
      <c r="A1873" s="40"/>
      <c r="D1873" s="2"/>
      <c r="E1873" s="2"/>
      <c r="F1873" s="2">
        <v>397384.86</v>
      </c>
    </row>
    <row r="1874" s="1" customFormat="1" spans="1:6">
      <c r="A1874" s="40"/>
      <c r="D1874" s="2"/>
      <c r="E1874" s="2"/>
      <c r="F1874" s="2">
        <v>397384.86</v>
      </c>
    </row>
    <row r="1875" s="1" customFormat="1" spans="1:6">
      <c r="A1875" s="40"/>
      <c r="D1875" s="2"/>
      <c r="E1875" s="2"/>
      <c r="F1875" s="2">
        <v>397384.86</v>
      </c>
    </row>
    <row r="1876" s="1" customFormat="1" spans="1:6">
      <c r="A1876" s="40"/>
      <c r="D1876" s="2"/>
      <c r="E1876" s="2"/>
      <c r="F1876" s="2">
        <v>397384.86</v>
      </c>
    </row>
    <row r="1877" s="1" customFormat="1" spans="1:6">
      <c r="A1877" s="40"/>
      <c r="D1877" s="2"/>
      <c r="E1877" s="2"/>
      <c r="F1877" s="2">
        <v>397384.86</v>
      </c>
    </row>
    <row r="1878" s="1" customFormat="1" spans="1:6">
      <c r="A1878" s="40"/>
      <c r="D1878" s="2"/>
      <c r="E1878" s="2"/>
      <c r="F1878" s="2">
        <v>397384.86</v>
      </c>
    </row>
    <row r="1879" s="1" customFormat="1" spans="1:6">
      <c r="A1879" s="40"/>
      <c r="D1879" s="2"/>
      <c r="E1879" s="2"/>
      <c r="F1879" s="2">
        <v>397384.86</v>
      </c>
    </row>
    <row r="1880" s="1" customFormat="1" spans="1:6">
      <c r="A1880" s="40"/>
      <c r="D1880" s="2"/>
      <c r="E1880" s="2"/>
      <c r="F1880" s="2">
        <v>397384.86</v>
      </c>
    </row>
    <row r="1881" s="1" customFormat="1" spans="1:6">
      <c r="A1881" s="40"/>
      <c r="D1881" s="2"/>
      <c r="E1881" s="2"/>
      <c r="F1881" s="2">
        <v>397384.86</v>
      </c>
    </row>
    <row r="1882" s="1" customFormat="1" spans="1:6">
      <c r="A1882" s="40"/>
      <c r="D1882" s="2"/>
      <c r="E1882" s="2"/>
      <c r="F1882" s="2">
        <v>397384.86</v>
      </c>
    </row>
    <row r="1883" s="1" customFormat="1" spans="1:6">
      <c r="A1883" s="40"/>
      <c r="D1883" s="2"/>
      <c r="E1883" s="2"/>
      <c r="F1883" s="2">
        <v>397384.86</v>
      </c>
    </row>
    <row r="1884" s="1" customFormat="1" spans="1:6">
      <c r="A1884" s="40"/>
      <c r="D1884" s="2"/>
      <c r="E1884" s="2"/>
      <c r="F1884" s="2">
        <v>397384.86</v>
      </c>
    </row>
    <row r="1885" s="1" customFormat="1" spans="1:6">
      <c r="A1885" s="40"/>
      <c r="D1885" s="2"/>
      <c r="E1885" s="2"/>
      <c r="F1885" s="2">
        <v>397384.86</v>
      </c>
    </row>
    <row r="1886" s="1" customFormat="1" spans="1:6">
      <c r="A1886" s="40"/>
      <c r="D1886" s="2"/>
      <c r="E1886" s="2"/>
      <c r="F1886" s="2">
        <v>397384.86</v>
      </c>
    </row>
    <row r="1887" s="1" customFormat="1" spans="1:6">
      <c r="A1887" s="40"/>
      <c r="D1887" s="2"/>
      <c r="E1887" s="2"/>
      <c r="F1887" s="2">
        <v>397384.86</v>
      </c>
    </row>
    <row r="1888" s="1" customFormat="1" spans="1:6">
      <c r="A1888" s="40"/>
      <c r="D1888" s="2"/>
      <c r="E1888" s="2"/>
      <c r="F1888" s="2">
        <v>397384.86</v>
      </c>
    </row>
    <row r="1889" s="1" customFormat="1" spans="1:6">
      <c r="A1889" s="40"/>
      <c r="D1889" s="2"/>
      <c r="E1889" s="2"/>
      <c r="F1889" s="2">
        <v>397384.86</v>
      </c>
    </row>
    <row r="1890" s="1" customFormat="1" spans="1:6">
      <c r="A1890" s="40"/>
      <c r="D1890" s="2"/>
      <c r="E1890" s="2"/>
      <c r="F1890" s="2">
        <v>397384.86</v>
      </c>
    </row>
    <row r="1891" s="1" customFormat="1" spans="1:6">
      <c r="A1891" s="40"/>
      <c r="D1891" s="2"/>
      <c r="E1891" s="2"/>
      <c r="F1891" s="2">
        <v>397384.86</v>
      </c>
    </row>
    <row r="1892" s="1" customFormat="1" spans="1:6">
      <c r="A1892" s="40"/>
      <c r="D1892" s="2"/>
      <c r="E1892" s="2"/>
      <c r="F1892" s="2">
        <v>397384.86</v>
      </c>
    </row>
    <row r="1893" s="1" customFormat="1" spans="1:6">
      <c r="A1893" s="40"/>
      <c r="D1893" s="2"/>
      <c r="E1893" s="2"/>
      <c r="F1893" s="2">
        <v>397384.86</v>
      </c>
    </row>
    <row r="1894" s="1" customFormat="1" spans="1:6">
      <c r="A1894" s="40"/>
      <c r="D1894" s="2"/>
      <c r="E1894" s="2"/>
      <c r="F1894" s="2">
        <v>397384.86</v>
      </c>
    </row>
    <row r="1895" s="1" customFormat="1" spans="1:6">
      <c r="A1895" s="40"/>
      <c r="D1895" s="2"/>
      <c r="E1895" s="2"/>
      <c r="F1895" s="2">
        <v>397384.86</v>
      </c>
    </row>
    <row r="1896" s="1" customFormat="1" spans="1:6">
      <c r="A1896" s="40"/>
      <c r="D1896" s="2"/>
      <c r="E1896" s="2"/>
      <c r="F1896" s="2">
        <v>397384.86</v>
      </c>
    </row>
    <row r="1897" s="1" customFormat="1" spans="1:6">
      <c r="A1897" s="40"/>
      <c r="D1897" s="2"/>
      <c r="E1897" s="2"/>
      <c r="F1897" s="2">
        <v>397384.86</v>
      </c>
    </row>
    <row r="1898" s="1" customFormat="1" spans="1:6">
      <c r="A1898" s="40"/>
      <c r="D1898" s="2"/>
      <c r="E1898" s="2"/>
      <c r="F1898" s="2">
        <v>397384.86</v>
      </c>
    </row>
    <row r="1899" s="1" customFormat="1" spans="1:6">
      <c r="A1899" s="40"/>
      <c r="D1899" s="2"/>
      <c r="E1899" s="2"/>
      <c r="F1899" s="2">
        <v>397384.86</v>
      </c>
    </row>
    <row r="1900" s="1" customFormat="1" spans="1:6">
      <c r="A1900" s="40"/>
      <c r="D1900" s="2"/>
      <c r="E1900" s="2"/>
      <c r="F1900" s="2">
        <v>397384.86</v>
      </c>
    </row>
    <row r="1901" s="1" customFormat="1" spans="1:6">
      <c r="A1901" s="40"/>
      <c r="D1901" s="2"/>
      <c r="E1901" s="2"/>
      <c r="F1901" s="2">
        <v>397384.86</v>
      </c>
    </row>
    <row r="1902" s="1" customFormat="1" spans="1:6">
      <c r="A1902" s="40"/>
      <c r="D1902" s="2"/>
      <c r="E1902" s="2"/>
      <c r="F1902" s="2">
        <v>397384.86</v>
      </c>
    </row>
    <row r="1903" s="1" customFormat="1" spans="1:6">
      <c r="A1903" s="40"/>
      <c r="D1903" s="2"/>
      <c r="E1903" s="2"/>
      <c r="F1903" s="2">
        <v>397384.86</v>
      </c>
    </row>
    <row r="1904" s="1" customFormat="1" spans="1:6">
      <c r="A1904" s="40"/>
      <c r="D1904" s="2"/>
      <c r="E1904" s="2"/>
      <c r="F1904" s="2">
        <v>397384.86</v>
      </c>
    </row>
    <row r="1905" s="1" customFormat="1" spans="1:6">
      <c r="A1905" s="40"/>
      <c r="D1905" s="2"/>
      <c r="E1905" s="2"/>
      <c r="F1905" s="2">
        <v>397384.86</v>
      </c>
    </row>
    <row r="1906" s="1" customFormat="1" spans="1:6">
      <c r="A1906" s="40"/>
      <c r="D1906" s="2"/>
      <c r="E1906" s="2"/>
      <c r="F1906" s="2">
        <v>397384.86</v>
      </c>
    </row>
    <row r="1907" s="1" customFormat="1" spans="1:6">
      <c r="A1907" s="40"/>
      <c r="D1907" s="2"/>
      <c r="E1907" s="2"/>
      <c r="F1907" s="2">
        <v>397384.86</v>
      </c>
    </row>
    <row r="1908" s="1" customFormat="1" spans="1:6">
      <c r="A1908" s="40"/>
      <c r="D1908" s="2"/>
      <c r="E1908" s="2"/>
      <c r="F1908" s="2">
        <v>397384.86</v>
      </c>
    </row>
    <row r="1909" s="1" customFormat="1" spans="1:6">
      <c r="A1909" s="40"/>
      <c r="D1909" s="2"/>
      <c r="E1909" s="2"/>
      <c r="F1909" s="2">
        <v>397384.86</v>
      </c>
    </row>
    <row r="1910" s="1" customFormat="1" spans="1:6">
      <c r="A1910" s="40"/>
      <c r="D1910" s="2"/>
      <c r="E1910" s="2"/>
      <c r="F1910" s="2">
        <v>397384.86</v>
      </c>
    </row>
    <row r="1911" s="1" customFormat="1" spans="1:6">
      <c r="A1911" s="40"/>
      <c r="D1911" s="2"/>
      <c r="E1911" s="2"/>
      <c r="F1911" s="2">
        <v>397384.86</v>
      </c>
    </row>
    <row r="1912" s="1" customFormat="1" spans="1:6">
      <c r="A1912" s="40"/>
      <c r="D1912" s="2"/>
      <c r="E1912" s="2"/>
      <c r="F1912" s="2">
        <v>397384.86</v>
      </c>
    </row>
    <row r="1913" s="1" customFormat="1" spans="1:6">
      <c r="A1913" s="40"/>
      <c r="D1913" s="2"/>
      <c r="E1913" s="2"/>
      <c r="F1913" s="2">
        <v>397384.86</v>
      </c>
    </row>
    <row r="1914" s="1" customFormat="1" spans="1:6">
      <c r="A1914" s="40"/>
      <c r="D1914" s="2"/>
      <c r="E1914" s="2"/>
      <c r="F1914" s="2">
        <v>397384.86</v>
      </c>
    </row>
    <row r="1915" s="1" customFormat="1" spans="1:6">
      <c r="A1915" s="40"/>
      <c r="D1915" s="2"/>
      <c r="E1915" s="2"/>
      <c r="F1915" s="2">
        <v>397384.86</v>
      </c>
    </row>
    <row r="1916" s="1" customFormat="1" spans="1:6">
      <c r="A1916" s="40"/>
      <c r="D1916" s="2"/>
      <c r="E1916" s="2"/>
      <c r="F1916" s="2">
        <v>397384.86</v>
      </c>
    </row>
    <row r="1917" s="1" customFormat="1" spans="1:6">
      <c r="A1917" s="40"/>
      <c r="D1917" s="2"/>
      <c r="E1917" s="2"/>
      <c r="F1917" s="2">
        <v>397384.86</v>
      </c>
    </row>
    <row r="1918" s="1" customFormat="1" spans="1:6">
      <c r="A1918" s="40"/>
      <c r="D1918" s="2"/>
      <c r="E1918" s="2"/>
      <c r="F1918" s="2">
        <v>397384.86</v>
      </c>
    </row>
    <row r="1919" s="1" customFormat="1" spans="1:6">
      <c r="A1919" s="40"/>
      <c r="D1919" s="2"/>
      <c r="E1919" s="2"/>
      <c r="F1919" s="2">
        <v>397384.86</v>
      </c>
    </row>
    <row r="1920" s="1" customFormat="1" spans="1:6">
      <c r="A1920" s="40"/>
      <c r="D1920" s="2"/>
      <c r="E1920" s="2"/>
      <c r="F1920" s="2">
        <v>397384.86</v>
      </c>
    </row>
    <row r="1921" s="1" customFormat="1" spans="1:6">
      <c r="A1921" s="40"/>
      <c r="D1921" s="2"/>
      <c r="E1921" s="2"/>
      <c r="F1921" s="2">
        <v>397384.86</v>
      </c>
    </row>
    <row r="1922" s="1" customFormat="1" spans="1:6">
      <c r="A1922" s="40"/>
      <c r="D1922" s="2"/>
      <c r="E1922" s="2"/>
      <c r="F1922" s="2">
        <v>397384.86</v>
      </c>
    </row>
    <row r="1923" s="1" customFormat="1" spans="1:6">
      <c r="A1923" s="40"/>
      <c r="D1923" s="2"/>
      <c r="E1923" s="2"/>
      <c r="F1923" s="2">
        <v>397384.86</v>
      </c>
    </row>
    <row r="1924" s="1" customFormat="1" spans="1:6">
      <c r="A1924" s="40"/>
      <c r="D1924" s="2"/>
      <c r="E1924" s="2"/>
      <c r="F1924" s="2">
        <v>397384.86</v>
      </c>
    </row>
    <row r="1925" s="1" customFormat="1" spans="1:6">
      <c r="A1925" s="40"/>
      <c r="D1925" s="2"/>
      <c r="E1925" s="2"/>
      <c r="F1925" s="2">
        <v>397384.86</v>
      </c>
    </row>
    <row r="1926" s="1" customFormat="1" spans="1:6">
      <c r="A1926" s="40"/>
      <c r="D1926" s="2"/>
      <c r="E1926" s="2"/>
      <c r="F1926" s="2">
        <v>397384.86</v>
      </c>
    </row>
    <row r="1927" s="1" customFormat="1" spans="1:6">
      <c r="A1927" s="40"/>
      <c r="D1927" s="2"/>
      <c r="E1927" s="2"/>
      <c r="F1927" s="2">
        <v>397384.86</v>
      </c>
    </row>
    <row r="1928" s="1" customFormat="1" spans="1:6">
      <c r="A1928" s="40"/>
      <c r="D1928" s="2"/>
      <c r="E1928" s="2"/>
      <c r="F1928" s="2">
        <v>397384.86</v>
      </c>
    </row>
    <row r="1929" s="1" customFormat="1" spans="1:6">
      <c r="A1929" s="40"/>
      <c r="D1929" s="2"/>
      <c r="E1929" s="2"/>
      <c r="F1929" s="2">
        <v>397384.86</v>
      </c>
    </row>
    <row r="1930" s="1" customFormat="1" spans="1:6">
      <c r="A1930" s="40"/>
      <c r="D1930" s="2"/>
      <c r="E1930" s="2"/>
      <c r="F1930" s="2">
        <v>397384.86</v>
      </c>
    </row>
    <row r="1931" s="1" customFormat="1" spans="1:6">
      <c r="A1931" s="40"/>
      <c r="D1931" s="2"/>
      <c r="E1931" s="2"/>
      <c r="F1931" s="2">
        <v>397384.86</v>
      </c>
    </row>
    <row r="1932" s="1" customFormat="1" spans="1:6">
      <c r="A1932" s="40"/>
      <c r="D1932" s="2"/>
      <c r="E1932" s="2"/>
      <c r="F1932" s="2">
        <v>397384.86</v>
      </c>
    </row>
    <row r="1933" s="1" customFormat="1" spans="1:6">
      <c r="A1933" s="40"/>
      <c r="D1933" s="2"/>
      <c r="E1933" s="2"/>
      <c r="F1933" s="2">
        <v>397384.86</v>
      </c>
    </row>
    <row r="1934" s="1" customFormat="1" spans="1:6">
      <c r="A1934" s="40"/>
      <c r="D1934" s="2"/>
      <c r="E1934" s="2"/>
      <c r="F1934" s="2">
        <v>397384.86</v>
      </c>
    </row>
    <row r="1935" s="1" customFormat="1" spans="1:6">
      <c r="A1935" s="40"/>
      <c r="D1935" s="2"/>
      <c r="E1935" s="2"/>
      <c r="F1935" s="2">
        <v>397384.86</v>
      </c>
    </row>
    <row r="1936" s="1" customFormat="1" spans="1:6">
      <c r="A1936" s="40"/>
      <c r="D1936" s="2"/>
      <c r="E1936" s="2"/>
      <c r="F1936" s="2">
        <v>397384.86</v>
      </c>
    </row>
    <row r="1937" s="1" customFormat="1" spans="1:6">
      <c r="A1937" s="40"/>
      <c r="D1937" s="2"/>
      <c r="E1937" s="2"/>
      <c r="F1937" s="2">
        <v>397384.86</v>
      </c>
    </row>
    <row r="1938" s="1" customFormat="1" spans="1:6">
      <c r="A1938" s="40"/>
      <c r="D1938" s="2"/>
      <c r="E1938" s="2"/>
      <c r="F1938" s="2">
        <v>397384.86</v>
      </c>
    </row>
    <row r="1939" s="1" customFormat="1" spans="1:6">
      <c r="A1939" s="40"/>
      <c r="D1939" s="2"/>
      <c r="E1939" s="2"/>
      <c r="F1939" s="2">
        <v>397384.86</v>
      </c>
    </row>
    <row r="1940" s="1" customFormat="1" spans="1:6">
      <c r="A1940" s="40"/>
      <c r="D1940" s="2"/>
      <c r="E1940" s="2"/>
      <c r="F1940" s="2">
        <v>397384.86</v>
      </c>
    </row>
    <row r="1941" s="1" customFormat="1" spans="1:6">
      <c r="A1941" s="40"/>
      <c r="D1941" s="2"/>
      <c r="E1941" s="2"/>
      <c r="F1941" s="2">
        <v>397384.86</v>
      </c>
    </row>
    <row r="1942" s="1" customFormat="1" spans="1:6">
      <c r="A1942" s="40"/>
      <c r="D1942" s="2"/>
      <c r="E1942" s="2"/>
      <c r="F1942" s="2">
        <v>397384.86</v>
      </c>
    </row>
    <row r="1943" s="1" customFormat="1" spans="1:6">
      <c r="A1943" s="40"/>
      <c r="D1943" s="2"/>
      <c r="E1943" s="2"/>
      <c r="F1943" s="2">
        <v>397384.86</v>
      </c>
    </row>
    <row r="1944" s="1" customFormat="1" spans="1:6">
      <c r="A1944" s="40"/>
      <c r="D1944" s="2"/>
      <c r="E1944" s="2"/>
      <c r="F1944" s="2">
        <v>397384.86</v>
      </c>
    </row>
    <row r="1945" s="1" customFormat="1" spans="1:6">
      <c r="A1945" s="40"/>
      <c r="D1945" s="2"/>
      <c r="E1945" s="2"/>
      <c r="F1945" s="2">
        <v>397384.86</v>
      </c>
    </row>
    <row r="1946" s="1" customFormat="1" spans="1:6">
      <c r="A1946" s="40"/>
      <c r="D1946" s="2"/>
      <c r="E1946" s="2"/>
      <c r="F1946" s="2">
        <v>397384.86</v>
      </c>
    </row>
    <row r="1947" s="1" customFormat="1" spans="1:6">
      <c r="A1947" s="40"/>
      <c r="D1947" s="2"/>
      <c r="E1947" s="2"/>
      <c r="F1947" s="2">
        <v>397384.86</v>
      </c>
    </row>
    <row r="1948" s="1" customFormat="1" spans="1:6">
      <c r="A1948" s="40"/>
      <c r="D1948" s="2"/>
      <c r="E1948" s="2"/>
      <c r="F1948" s="2">
        <v>397384.86</v>
      </c>
    </row>
    <row r="1949" s="1" customFormat="1" spans="1:6">
      <c r="A1949" s="40"/>
      <c r="D1949" s="2"/>
      <c r="E1949" s="2"/>
      <c r="F1949" s="2">
        <v>397384.86</v>
      </c>
    </row>
    <row r="1950" s="1" customFormat="1" spans="1:6">
      <c r="A1950" s="40"/>
      <c r="D1950" s="2"/>
      <c r="E1950" s="2"/>
      <c r="F1950" s="2">
        <v>397384.86</v>
      </c>
    </row>
    <row r="1951" s="1" customFormat="1" spans="1:6">
      <c r="A1951" s="40"/>
      <c r="D1951" s="2"/>
      <c r="E1951" s="2"/>
      <c r="F1951" s="2">
        <v>397384.86</v>
      </c>
    </row>
    <row r="1952" s="1" customFormat="1" spans="1:6">
      <c r="A1952" s="40"/>
      <c r="D1952" s="2"/>
      <c r="E1952" s="2"/>
      <c r="F1952" s="2">
        <v>397384.86</v>
      </c>
    </row>
    <row r="1953" s="1" customFormat="1" spans="1:6">
      <c r="A1953" s="40"/>
      <c r="D1953" s="2"/>
      <c r="E1953" s="2"/>
      <c r="F1953" s="2">
        <v>397384.86</v>
      </c>
    </row>
    <row r="1954" s="1" customFormat="1" spans="1:6">
      <c r="A1954" s="40"/>
      <c r="D1954" s="2"/>
      <c r="E1954" s="2"/>
      <c r="F1954" s="2">
        <v>397384.86</v>
      </c>
    </row>
    <row r="1955" s="1" customFormat="1" spans="1:6">
      <c r="A1955" s="40"/>
      <c r="D1955" s="2"/>
      <c r="E1955" s="2"/>
      <c r="F1955" s="2">
        <v>397384.86</v>
      </c>
    </row>
    <row r="1956" s="1" customFormat="1" spans="1:6">
      <c r="A1956" s="40"/>
      <c r="D1956" s="2"/>
      <c r="E1956" s="2"/>
      <c r="F1956" s="2">
        <v>397384.86</v>
      </c>
    </row>
    <row r="1957" s="1" customFormat="1" spans="1:6">
      <c r="A1957" s="40"/>
      <c r="D1957" s="2"/>
      <c r="E1957" s="2"/>
      <c r="F1957" s="2">
        <v>397384.86</v>
      </c>
    </row>
    <row r="1958" s="1" customFormat="1" spans="1:6">
      <c r="A1958" s="40"/>
      <c r="D1958" s="2"/>
      <c r="E1958" s="2"/>
      <c r="F1958" s="2">
        <v>397384.86</v>
      </c>
    </row>
    <row r="1959" s="1" customFormat="1" spans="1:6">
      <c r="A1959" s="40"/>
      <c r="D1959" s="2"/>
      <c r="E1959" s="2"/>
      <c r="F1959" s="2">
        <v>397384.86</v>
      </c>
    </row>
    <row r="1960" s="1" customFormat="1" spans="1:6">
      <c r="A1960" s="40"/>
      <c r="D1960" s="2"/>
      <c r="E1960" s="2"/>
      <c r="F1960" s="2">
        <v>397384.86</v>
      </c>
    </row>
    <row r="1961" s="1" customFormat="1" spans="1:6">
      <c r="A1961" s="40"/>
      <c r="D1961" s="2"/>
      <c r="E1961" s="2"/>
      <c r="F1961" s="2">
        <v>397384.86</v>
      </c>
    </row>
    <row r="1962" s="1" customFormat="1" spans="1:6">
      <c r="A1962" s="40"/>
      <c r="D1962" s="2"/>
      <c r="E1962" s="2"/>
      <c r="F1962" s="2">
        <v>397384.86</v>
      </c>
    </row>
    <row r="1963" s="1" customFormat="1" spans="1:6">
      <c r="A1963" s="40"/>
      <c r="D1963" s="2"/>
      <c r="E1963" s="2"/>
      <c r="F1963" s="2">
        <v>397384.86</v>
      </c>
    </row>
    <row r="1964" s="1" customFormat="1" spans="1:6">
      <c r="A1964" s="40"/>
      <c r="D1964" s="2"/>
      <c r="E1964" s="2"/>
      <c r="F1964" s="2">
        <v>397384.86</v>
      </c>
    </row>
    <row r="1965" s="1" customFormat="1" spans="1:6">
      <c r="A1965" s="40"/>
      <c r="D1965" s="2"/>
      <c r="E1965" s="2"/>
      <c r="F1965" s="2">
        <v>397384.86</v>
      </c>
    </row>
    <row r="1966" s="1" customFormat="1" spans="1:6">
      <c r="A1966" s="40"/>
      <c r="D1966" s="2"/>
      <c r="E1966" s="2"/>
      <c r="F1966" s="2">
        <v>397384.86</v>
      </c>
    </row>
    <row r="1967" s="1" customFormat="1" spans="1:6">
      <c r="A1967" s="40"/>
      <c r="D1967" s="2"/>
      <c r="E1967" s="2"/>
      <c r="F1967" s="2">
        <v>397384.86</v>
      </c>
    </row>
    <row r="1968" s="1" customFormat="1" spans="1:6">
      <c r="A1968" s="40"/>
      <c r="D1968" s="2"/>
      <c r="E1968" s="2"/>
      <c r="F1968" s="2">
        <v>397384.86</v>
      </c>
    </row>
    <row r="1969" s="1" customFormat="1" spans="1:6">
      <c r="A1969" s="40"/>
      <c r="D1969" s="2"/>
      <c r="E1969" s="2"/>
      <c r="F1969" s="2">
        <v>397384.86</v>
      </c>
    </row>
    <row r="1970" s="1" customFormat="1" spans="1:6">
      <c r="A1970" s="40"/>
      <c r="D1970" s="2"/>
      <c r="E1970" s="2"/>
      <c r="F1970" s="2">
        <v>397384.86</v>
      </c>
    </row>
    <row r="1971" s="1" customFormat="1" spans="1:6">
      <c r="A1971" s="40"/>
      <c r="D1971" s="2"/>
      <c r="E1971" s="2"/>
      <c r="F1971" s="2">
        <v>397384.86</v>
      </c>
    </row>
    <row r="1972" s="1" customFormat="1" spans="1:6">
      <c r="A1972" s="40"/>
      <c r="D1972" s="2"/>
      <c r="E1972" s="2"/>
      <c r="F1972" s="2">
        <v>397384.86</v>
      </c>
    </row>
    <row r="1973" s="1" customFormat="1" spans="1:6">
      <c r="A1973" s="40"/>
      <c r="D1973" s="2"/>
      <c r="E1973" s="2"/>
      <c r="F1973" s="2">
        <v>397384.86</v>
      </c>
    </row>
    <row r="1974" s="1" customFormat="1" spans="1:6">
      <c r="A1974" s="40"/>
      <c r="D1974" s="2"/>
      <c r="E1974" s="2"/>
      <c r="F1974" s="2">
        <v>397384.86</v>
      </c>
    </row>
    <row r="1975" s="1" customFormat="1" spans="1:6">
      <c r="A1975" s="40"/>
      <c r="D1975" s="2"/>
      <c r="E1975" s="2"/>
      <c r="F1975" s="2">
        <v>397384.86</v>
      </c>
    </row>
    <row r="1976" s="1" customFormat="1" spans="1:6">
      <c r="A1976" s="40"/>
      <c r="D1976" s="2"/>
      <c r="E1976" s="2"/>
      <c r="F1976" s="2">
        <v>397384.86</v>
      </c>
    </row>
    <row r="1977" s="1" customFormat="1" spans="1:6">
      <c r="A1977" s="40"/>
      <c r="D1977" s="2"/>
      <c r="E1977" s="2"/>
      <c r="F1977" s="2">
        <v>397384.86</v>
      </c>
    </row>
    <row r="1978" s="1" customFormat="1" spans="1:6">
      <c r="A1978" s="40"/>
      <c r="D1978" s="2"/>
      <c r="E1978" s="2"/>
      <c r="F1978" s="2">
        <v>397384.86</v>
      </c>
    </row>
    <row r="1979" s="1" customFormat="1" spans="1:6">
      <c r="A1979" s="40"/>
      <c r="D1979" s="2"/>
      <c r="E1979" s="2"/>
      <c r="F1979" s="2">
        <v>397384.86</v>
      </c>
    </row>
    <row r="1980" s="1" customFormat="1" spans="1:6">
      <c r="A1980" s="40"/>
      <c r="D1980" s="2"/>
      <c r="E1980" s="2"/>
      <c r="F1980" s="2">
        <v>397384.86</v>
      </c>
    </row>
    <row r="1981" s="1" customFormat="1" spans="1:6">
      <c r="A1981" s="40"/>
      <c r="D1981" s="2"/>
      <c r="E1981" s="2"/>
      <c r="F1981" s="2">
        <v>397384.86</v>
      </c>
    </row>
    <row r="1982" s="1" customFormat="1" spans="1:6">
      <c r="A1982" s="40"/>
      <c r="D1982" s="2"/>
      <c r="E1982" s="2"/>
      <c r="F1982" s="2">
        <v>397384.86</v>
      </c>
    </row>
    <row r="1983" s="1" customFormat="1" spans="1:6">
      <c r="A1983" s="40"/>
      <c r="D1983" s="2"/>
      <c r="E1983" s="2"/>
      <c r="F1983" s="2">
        <v>397384.86</v>
      </c>
    </row>
    <row r="1984" s="1" customFormat="1" spans="1:6">
      <c r="A1984" s="40"/>
      <c r="D1984" s="2"/>
      <c r="E1984" s="2"/>
      <c r="F1984" s="2">
        <v>397384.86</v>
      </c>
    </row>
    <row r="1985" s="1" customFormat="1" spans="1:6">
      <c r="A1985" s="40"/>
      <c r="D1985" s="2"/>
      <c r="E1985" s="2"/>
      <c r="F1985" s="2">
        <v>397384.86</v>
      </c>
    </row>
    <row r="1986" s="1" customFormat="1" spans="1:6">
      <c r="A1986" s="40"/>
      <c r="D1986" s="2"/>
      <c r="E1986" s="2"/>
      <c r="F1986" s="2">
        <v>397384.86</v>
      </c>
    </row>
    <row r="1987" s="1" customFormat="1" spans="1:6">
      <c r="A1987" s="40"/>
      <c r="D1987" s="2"/>
      <c r="E1987" s="2"/>
      <c r="F1987" s="2">
        <v>397384.86</v>
      </c>
    </row>
    <row r="1988" s="1" customFormat="1" spans="1:6">
      <c r="A1988" s="40"/>
      <c r="D1988" s="2"/>
      <c r="E1988" s="2"/>
      <c r="F1988" s="2">
        <v>397384.86</v>
      </c>
    </row>
    <row r="1989" s="1" customFormat="1" spans="1:6">
      <c r="A1989" s="40"/>
      <c r="D1989" s="2"/>
      <c r="E1989" s="2"/>
      <c r="F1989" s="2">
        <v>397384.86</v>
      </c>
    </row>
    <row r="1990" s="1" customFormat="1" spans="1:6">
      <c r="A1990" s="40"/>
      <c r="D1990" s="2"/>
      <c r="E1990" s="2"/>
      <c r="F1990" s="2">
        <v>397384.86</v>
      </c>
    </row>
    <row r="1991" s="1" customFormat="1" spans="1:6">
      <c r="A1991" s="40"/>
      <c r="D1991" s="2"/>
      <c r="E1991" s="2"/>
      <c r="F1991" s="2">
        <v>397384.86</v>
      </c>
    </row>
    <row r="1992" s="1" customFormat="1" spans="1:6">
      <c r="A1992" s="40"/>
      <c r="D1992" s="2"/>
      <c r="E1992" s="2"/>
      <c r="F1992" s="2">
        <v>397384.86</v>
      </c>
    </row>
    <row r="1993" s="1" customFormat="1" spans="1:6">
      <c r="A1993" s="40"/>
      <c r="D1993" s="2"/>
      <c r="E1993" s="2"/>
      <c r="F1993" s="2">
        <v>397384.86</v>
      </c>
    </row>
    <row r="1994" s="1" customFormat="1" spans="1:6">
      <c r="A1994" s="40"/>
      <c r="D1994" s="2"/>
      <c r="E1994" s="2"/>
      <c r="F1994" s="2">
        <v>397384.86</v>
      </c>
    </row>
    <row r="1995" s="1" customFormat="1" spans="1:6">
      <c r="A1995" s="40"/>
      <c r="D1995" s="2"/>
      <c r="E1995" s="2"/>
      <c r="F1995" s="2">
        <v>397384.86</v>
      </c>
    </row>
    <row r="1996" s="1" customFormat="1" spans="1:6">
      <c r="A1996" s="40"/>
      <c r="D1996" s="2"/>
      <c r="E1996" s="2"/>
      <c r="F1996" s="2">
        <v>397384.86</v>
      </c>
    </row>
    <row r="1997" s="1" customFormat="1" spans="1:6">
      <c r="A1997" s="40"/>
      <c r="D1997" s="2"/>
      <c r="E1997" s="2"/>
      <c r="F1997" s="2">
        <v>397384.86</v>
      </c>
    </row>
    <row r="1998" s="1" customFormat="1" spans="1:6">
      <c r="A1998" s="40"/>
      <c r="D1998" s="2"/>
      <c r="E1998" s="2"/>
      <c r="F1998" s="2">
        <v>397384.86</v>
      </c>
    </row>
    <row r="1999" s="1" customFormat="1" spans="1:6">
      <c r="A1999" s="40"/>
      <c r="D1999" s="2"/>
      <c r="E1999" s="2"/>
      <c r="F1999" s="2">
        <v>397384.86</v>
      </c>
    </row>
    <row r="2000" s="1" customFormat="1" spans="1:6">
      <c r="A2000" s="40"/>
      <c r="D2000" s="2"/>
      <c r="E2000" s="2"/>
      <c r="F2000" s="2">
        <v>397384.86</v>
      </c>
    </row>
    <row r="2001" s="1" customFormat="1" spans="1:6">
      <c r="A2001" s="40"/>
      <c r="D2001" s="2"/>
      <c r="E2001" s="2"/>
      <c r="F2001" s="2">
        <v>397384.86</v>
      </c>
    </row>
    <row r="2002" s="1" customFormat="1" spans="1:6">
      <c r="A2002" s="40"/>
      <c r="D2002" s="2"/>
      <c r="E2002" s="2"/>
      <c r="F2002" s="2">
        <v>397384.86</v>
      </c>
    </row>
    <row r="2003" s="1" customFormat="1" spans="1:6">
      <c r="A2003" s="40"/>
      <c r="D2003" s="2"/>
      <c r="E2003" s="2"/>
      <c r="F2003" s="2">
        <v>397384.86</v>
      </c>
    </row>
    <row r="2004" s="1" customFormat="1" spans="1:6">
      <c r="A2004" s="40"/>
      <c r="D2004" s="2"/>
      <c r="E2004" s="2"/>
      <c r="F2004" s="2">
        <v>397384.86</v>
      </c>
    </row>
    <row r="2005" s="1" customFormat="1" spans="1:6">
      <c r="A2005" s="40"/>
      <c r="D2005" s="2"/>
      <c r="E2005" s="2"/>
      <c r="F2005" s="2">
        <v>397384.86</v>
      </c>
    </row>
    <row r="2006" s="1" customFormat="1" spans="1:6">
      <c r="A2006" s="40"/>
      <c r="D2006" s="2"/>
      <c r="E2006" s="2"/>
      <c r="F2006" s="2">
        <v>397384.86</v>
      </c>
    </row>
  </sheetData>
  <conditionalFormatting sqref="E$1:E$1048576">
    <cfRule type="cellIs" dxfId="1" priority="1" operator="lessThan">
      <formula>0</formula>
    </cfRule>
  </conditionalFormatting>
  <conditionalFormatting sqref="F10:F2006">
    <cfRule type="expression" dxfId="2" priority="3">
      <formula>$B10=""</formula>
    </cfRule>
  </conditionalFormatting>
  <conditionalFormatting sqref="A10:G2031">
    <cfRule type="expression" dxfId="0" priority="2">
      <formula>$A10&lt;&gt;""</formula>
    </cfRule>
  </conditionalFormatting>
  <dataValidations count="1">
    <dataValidation type="list" allowBlank="1" showInputMessage="1" showErrorMessage="1" sqref="B10:B1048576">
      <formula1>$I$3:$I$8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1"/>
  <sheetViews>
    <sheetView workbookViewId="0">
      <selection activeCell="G9" sqref="G9"/>
    </sheetView>
  </sheetViews>
  <sheetFormatPr defaultColWidth="9" defaultRowHeight="21" customHeight="1"/>
  <cols>
    <col min="1" max="1" width="4" style="1" customWidth="1"/>
    <col min="2" max="2" width="13.2545454545455" style="1" customWidth="1"/>
    <col min="3" max="3" width="11" style="1" customWidth="1"/>
    <col min="4" max="4" width="11" style="19" customWidth="1"/>
    <col min="5" max="6" width="11" customWidth="1"/>
    <col min="7" max="7" width="9" style="1" customWidth="1"/>
    <col min="8" max="8" width="9" style="1"/>
    <col min="9" max="11" width="9" style="1" customWidth="1"/>
    <col min="12" max="20" width="9" style="1" hidden="1" customWidth="1"/>
    <col min="21" max="21" width="9" style="1" customWidth="1"/>
    <col min="22" max="22" width="11.4545454545455" style="1" customWidth="1"/>
    <col min="23" max="23" width="11.5" style="2" customWidth="1"/>
    <col min="24" max="24" width="13.7272727272727" style="2" customWidth="1"/>
    <col min="25" max="25" width="9" style="2" customWidth="1"/>
    <col min="26" max="26" width="10.3727272727273" style="2" customWidth="1"/>
    <col min="27" max="27" width="9.54545454545454" style="2" customWidth="1"/>
    <col min="28" max="35" width="9.37272727272727" style="2" hidden="1" customWidth="1"/>
    <col min="36" max="36" width="9" style="2" hidden="1" customWidth="1"/>
    <col min="37" max="37" width="11.8181818181818" style="2" customWidth="1"/>
    <col min="38" max="38" width="13.1818181818182" style="1" customWidth="1"/>
    <col min="39" max="42" width="9" style="1"/>
    <col min="43" max="43" width="11.8181818181818" style="1"/>
    <col min="44" max="16377" width="9" style="1"/>
  </cols>
  <sheetData>
    <row r="1" s="1" customFormat="1" ht="30" customHeight="1" spans="1:43">
      <c r="A1" s="20"/>
      <c r="B1" t="s">
        <v>236</v>
      </c>
      <c r="C1"/>
      <c r="D1" s="19"/>
      <c r="E1"/>
      <c r="F1"/>
      <c r="G1"/>
      <c r="H1" s="21"/>
      <c r="I1"/>
      <c r="J1"/>
      <c r="K1"/>
      <c r="L1"/>
      <c r="M1"/>
      <c r="N1"/>
      <c r="O1"/>
      <c r="P1"/>
      <c r="Q1"/>
      <c r="R1"/>
      <c r="S1"/>
      <c r="T1"/>
      <c r="U1"/>
      <c r="V1"/>
      <c r="W1" s="22" t="s">
        <v>237</v>
      </c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="1" customFormat="1" ht="37" customHeight="1" spans="1:43">
      <c r="A2" s="24" t="s">
        <v>21</v>
      </c>
      <c r="B2" s="25" t="s">
        <v>238</v>
      </c>
      <c r="C2" s="25" t="s">
        <v>239</v>
      </c>
      <c r="D2" s="26" t="s">
        <v>240</v>
      </c>
      <c r="E2" s="27" t="s">
        <v>241</v>
      </c>
      <c r="F2" s="27" t="s">
        <v>242</v>
      </c>
      <c r="G2" s="25" t="s">
        <v>243</v>
      </c>
      <c r="H2" s="25" t="s">
        <v>27</v>
      </c>
      <c r="I2" s="25" t="s">
        <v>244</v>
      </c>
      <c r="J2" s="25" t="s">
        <v>245</v>
      </c>
      <c r="K2" s="25" t="s">
        <v>246</v>
      </c>
      <c r="L2" s="25" t="s">
        <v>247</v>
      </c>
      <c r="M2" s="25" t="s">
        <v>247</v>
      </c>
      <c r="N2" s="25" t="s">
        <v>247</v>
      </c>
      <c r="O2" s="25" t="s">
        <v>247</v>
      </c>
      <c r="P2" s="25" t="s">
        <v>247</v>
      </c>
      <c r="Q2" s="25" t="s">
        <v>247</v>
      </c>
      <c r="R2" s="25" t="s">
        <v>247</v>
      </c>
      <c r="S2" s="25" t="s">
        <v>247</v>
      </c>
      <c r="T2" s="25" t="s">
        <v>247</v>
      </c>
      <c r="U2" s="25" t="s">
        <v>248</v>
      </c>
      <c r="V2" s="28" t="s">
        <v>249</v>
      </c>
      <c r="W2" s="29" t="s">
        <v>250</v>
      </c>
      <c r="X2" s="29" t="s">
        <v>251</v>
      </c>
      <c r="Y2" s="29" t="s">
        <v>252</v>
      </c>
      <c r="Z2" s="29" t="s">
        <v>253</v>
      </c>
      <c r="AA2" s="29" t="s">
        <v>254</v>
      </c>
      <c r="AB2" s="29"/>
      <c r="AC2" s="29"/>
      <c r="AD2" s="29"/>
      <c r="AE2" s="29"/>
      <c r="AF2" s="29"/>
      <c r="AG2" s="29"/>
      <c r="AH2" s="29"/>
      <c r="AI2" s="29"/>
      <c r="AJ2" s="30"/>
      <c r="AK2" s="31" t="s">
        <v>255</v>
      </c>
      <c r="AL2" s="32" t="s">
        <v>256</v>
      </c>
      <c r="AM2" s="32" t="s">
        <v>257</v>
      </c>
      <c r="AN2" s="32" t="s">
        <v>104</v>
      </c>
      <c r="AO2" s="32" t="s">
        <v>258</v>
      </c>
      <c r="AP2" s="32" t="s">
        <v>259</v>
      </c>
      <c r="AQ2" s="32" t="s">
        <v>260</v>
      </c>
    </row>
    <row r="3" s="1" customFormat="1" customHeight="1" spans="1:43">
      <c r="A3" s="10">
        <f t="shared" ref="A3:A38" si="0">ROW()-2</f>
        <v>1</v>
      </c>
      <c r="B3" s="10" t="s">
        <v>261</v>
      </c>
      <c r="C3" s="10"/>
      <c r="D3" s="33"/>
      <c r="E3" s="34"/>
      <c r="F3" s="34" t="str">
        <f>IFERROR(VLOOKUP($B3,[1]基础信息表!$A:$F,5,FALSE),"")</f>
        <v>共青农商行</v>
      </c>
      <c r="G3" s="10"/>
      <c r="H3" s="10">
        <v>6</v>
      </c>
      <c r="I3" s="10"/>
      <c r="J3" s="10">
        <v>18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>
        <f t="shared" ref="U3:U29" si="1">SUM(G3:T3)</f>
        <v>24</v>
      </c>
      <c r="V3" s="16">
        <f>IFERROR(VLOOKUP($B3,[1]基础信息表!$A:$F,6,FALSE),"")</f>
        <v>500</v>
      </c>
      <c r="W3" s="12">
        <f t="shared" ref="W3:AJ3" si="2">IFERROR(G3*$V3,"")</f>
        <v>0</v>
      </c>
      <c r="X3" s="12">
        <f t="shared" si="2"/>
        <v>3000</v>
      </c>
      <c r="Y3" s="12">
        <f t="shared" si="2"/>
        <v>0</v>
      </c>
      <c r="Z3" s="12">
        <f t="shared" si="2"/>
        <v>9000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35">
        <f t="shared" si="2"/>
        <v>0</v>
      </c>
      <c r="AK3" s="12">
        <f t="shared" ref="AK3:AK39" si="3">IFERROR(V3*U3,"")</f>
        <v>12000</v>
      </c>
      <c r="AL3" s="36">
        <v>10000</v>
      </c>
      <c r="AM3" s="36"/>
      <c r="AN3" s="36">
        <v>50</v>
      </c>
      <c r="AO3" s="36"/>
      <c r="AP3" s="36">
        <v>2000</v>
      </c>
      <c r="AQ3" s="37">
        <f>AK3-AL3-AN3+AP3</f>
        <v>3950</v>
      </c>
    </row>
    <row r="4" s="1" customFormat="1" customHeight="1" spans="1:43">
      <c r="A4" s="10">
        <f t="shared" si="0"/>
        <v>2</v>
      </c>
      <c r="B4" s="10" t="s">
        <v>262</v>
      </c>
      <c r="C4" s="10"/>
      <c r="D4" s="33"/>
      <c r="E4" s="34"/>
      <c r="F4" s="34" t="str">
        <f>IFERROR(VLOOKUP($B4,[1]基础信息表!$A:$F,5,FALSE),"")</f>
        <v>建行</v>
      </c>
      <c r="G4" s="10">
        <v>7.67</v>
      </c>
      <c r="H4" s="10"/>
      <c r="I4" s="10"/>
      <c r="J4" s="10"/>
      <c r="K4" s="10">
        <v>17</v>
      </c>
      <c r="L4" s="10"/>
      <c r="M4" s="10"/>
      <c r="N4" s="10"/>
      <c r="O4" s="10"/>
      <c r="P4" s="10"/>
      <c r="Q4" s="10"/>
      <c r="R4" s="10"/>
      <c r="S4" s="10"/>
      <c r="T4" s="10"/>
      <c r="U4" s="10">
        <f t="shared" si="1"/>
        <v>24.67</v>
      </c>
      <c r="V4" s="16">
        <f>IFERROR(VLOOKUP($B4,[1]基础信息表!$A:$F,6,FALSE),"")</f>
        <v>330</v>
      </c>
      <c r="W4" s="12">
        <f t="shared" ref="W4:AJ4" si="4">IFERROR(G4*$V4,"")</f>
        <v>2531.1</v>
      </c>
      <c r="X4" s="12">
        <f t="shared" si="4"/>
        <v>0</v>
      </c>
      <c r="Y4" s="12">
        <f t="shared" si="4"/>
        <v>0</v>
      </c>
      <c r="Z4" s="12">
        <f t="shared" si="4"/>
        <v>0</v>
      </c>
      <c r="AA4" s="12">
        <f t="shared" si="4"/>
        <v>5610</v>
      </c>
      <c r="AB4" s="12">
        <f t="shared" si="4"/>
        <v>0</v>
      </c>
      <c r="AC4" s="12">
        <f t="shared" si="4"/>
        <v>0</v>
      </c>
      <c r="AD4" s="12">
        <f t="shared" si="4"/>
        <v>0</v>
      </c>
      <c r="AE4" s="12">
        <f t="shared" si="4"/>
        <v>0</v>
      </c>
      <c r="AF4" s="12">
        <f t="shared" si="4"/>
        <v>0</v>
      </c>
      <c r="AG4" s="12">
        <f t="shared" si="4"/>
        <v>0</v>
      </c>
      <c r="AH4" s="12">
        <f t="shared" si="4"/>
        <v>0</v>
      </c>
      <c r="AI4" s="12">
        <f t="shared" si="4"/>
        <v>0</v>
      </c>
      <c r="AJ4" s="35">
        <f t="shared" si="4"/>
        <v>0</v>
      </c>
      <c r="AK4" s="12">
        <f t="shared" si="3"/>
        <v>8141.1</v>
      </c>
      <c r="AL4" s="36">
        <v>10001</v>
      </c>
      <c r="AM4" s="36"/>
      <c r="AN4" s="36"/>
      <c r="AO4" s="36"/>
      <c r="AP4" s="36"/>
      <c r="AQ4" s="37">
        <f>AK4-AL7-AN4+AP4</f>
        <v>141.1</v>
      </c>
    </row>
    <row r="5" s="1" customFormat="1" customHeight="1" spans="1:43">
      <c r="A5" s="10">
        <f t="shared" si="0"/>
        <v>3</v>
      </c>
      <c r="B5" s="10" t="s">
        <v>263</v>
      </c>
      <c r="C5" s="10"/>
      <c r="D5" s="33"/>
      <c r="E5" s="34"/>
      <c r="F5" s="34" t="str">
        <f>IFERROR(VLOOKUP($B5,[1]基础信息表!$A:$F,5,FALSE),"")</f>
        <v>建行</v>
      </c>
      <c r="G5" s="10">
        <v>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>
        <f t="shared" si="1"/>
        <v>3</v>
      </c>
      <c r="V5" s="16">
        <f>IFERROR(VLOOKUP($B5,[1]基础信息表!$A:$F,6,FALSE),"")</f>
        <v>270</v>
      </c>
      <c r="W5" s="12">
        <f t="shared" ref="W5:AJ5" si="5">IFERROR(G5*$V5,"")</f>
        <v>810</v>
      </c>
      <c r="X5" s="12">
        <f t="shared" si="5"/>
        <v>0</v>
      </c>
      <c r="Y5" s="12">
        <f t="shared" si="5"/>
        <v>0</v>
      </c>
      <c r="Z5" s="12">
        <f t="shared" si="5"/>
        <v>0</v>
      </c>
      <c r="AA5" s="12">
        <f t="shared" si="5"/>
        <v>0</v>
      </c>
      <c r="AB5" s="12">
        <f t="shared" si="5"/>
        <v>0</v>
      </c>
      <c r="AC5" s="12">
        <f t="shared" si="5"/>
        <v>0</v>
      </c>
      <c r="AD5" s="12">
        <f t="shared" si="5"/>
        <v>0</v>
      </c>
      <c r="AE5" s="12">
        <f t="shared" si="5"/>
        <v>0</v>
      </c>
      <c r="AF5" s="12">
        <f t="shared" si="5"/>
        <v>0</v>
      </c>
      <c r="AG5" s="12">
        <f t="shared" si="5"/>
        <v>0</v>
      </c>
      <c r="AH5" s="12">
        <f t="shared" si="5"/>
        <v>0</v>
      </c>
      <c r="AI5" s="12">
        <f t="shared" si="5"/>
        <v>0</v>
      </c>
      <c r="AJ5" s="35">
        <f t="shared" si="5"/>
        <v>0</v>
      </c>
      <c r="AK5" s="12">
        <f t="shared" si="3"/>
        <v>810</v>
      </c>
      <c r="AL5" s="36">
        <v>10002</v>
      </c>
      <c r="AM5" s="36"/>
      <c r="AN5" s="36"/>
      <c r="AO5" s="36"/>
      <c r="AP5" s="36"/>
      <c r="AQ5" s="37">
        <f t="shared" ref="AQ4:AQ41" si="6">AK5-AL5-AN5+AP5</f>
        <v>-9192</v>
      </c>
    </row>
    <row r="6" s="1" customFormat="1" customHeight="1" spans="1:43">
      <c r="A6" s="10">
        <f t="shared" si="0"/>
        <v>4</v>
      </c>
      <c r="B6" s="10" t="s">
        <v>264</v>
      </c>
      <c r="C6" s="10"/>
      <c r="D6" s="33"/>
      <c r="E6" s="34"/>
      <c r="F6" s="34" t="str">
        <f>IFERROR(VLOOKUP($B6,[1]基础信息表!$A:$F,5,FALSE),"")</f>
        <v>建行</v>
      </c>
      <c r="G6" s="10">
        <v>3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>
        <f t="shared" si="1"/>
        <v>3</v>
      </c>
      <c r="V6" s="16">
        <f>IFERROR(VLOOKUP($B6,[1]基础信息表!$A:$F,6,FALSE),"")</f>
        <v>250</v>
      </c>
      <c r="W6" s="12">
        <f t="shared" ref="W6:AJ6" si="7">IFERROR(G6*$V6,"")</f>
        <v>750</v>
      </c>
      <c r="X6" s="12">
        <f t="shared" si="7"/>
        <v>0</v>
      </c>
      <c r="Y6" s="12">
        <f t="shared" si="7"/>
        <v>0</v>
      </c>
      <c r="Z6" s="12">
        <f t="shared" si="7"/>
        <v>0</v>
      </c>
      <c r="AA6" s="12">
        <f t="shared" si="7"/>
        <v>0</v>
      </c>
      <c r="AB6" s="12">
        <f t="shared" si="7"/>
        <v>0</v>
      </c>
      <c r="AC6" s="12">
        <f t="shared" si="7"/>
        <v>0</v>
      </c>
      <c r="AD6" s="12">
        <f t="shared" si="7"/>
        <v>0</v>
      </c>
      <c r="AE6" s="12">
        <f t="shared" si="7"/>
        <v>0</v>
      </c>
      <c r="AF6" s="12">
        <f t="shared" si="7"/>
        <v>0</v>
      </c>
      <c r="AG6" s="12">
        <f t="shared" si="7"/>
        <v>0</v>
      </c>
      <c r="AH6" s="12">
        <f t="shared" si="7"/>
        <v>0</v>
      </c>
      <c r="AI6" s="12">
        <f t="shared" si="7"/>
        <v>0</v>
      </c>
      <c r="AJ6" s="35">
        <f t="shared" si="7"/>
        <v>0</v>
      </c>
      <c r="AK6" s="12">
        <f t="shared" si="3"/>
        <v>750</v>
      </c>
      <c r="AL6" s="36"/>
      <c r="AM6" s="36"/>
      <c r="AN6" s="36"/>
      <c r="AO6" s="36"/>
      <c r="AP6" s="36">
        <v>1000</v>
      </c>
      <c r="AQ6" s="37">
        <f t="shared" si="6"/>
        <v>1750</v>
      </c>
    </row>
    <row r="7" s="1" customFormat="1" customHeight="1" spans="1:43">
      <c r="A7" s="10">
        <f t="shared" si="0"/>
        <v>5</v>
      </c>
      <c r="B7" s="10" t="s">
        <v>265</v>
      </c>
      <c r="C7" s="10"/>
      <c r="D7" s="33"/>
      <c r="E7" s="34"/>
      <c r="F7" s="34" t="str">
        <f>IFERROR(VLOOKUP($B7,[1]基础信息表!$A:$F,5,FALSE),"")</f>
        <v>工行宁波奉化大桥支行</v>
      </c>
      <c r="G7" s="10">
        <v>10</v>
      </c>
      <c r="H7" s="10">
        <v>0.5</v>
      </c>
      <c r="I7" s="10"/>
      <c r="J7" s="10">
        <v>4.5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>
        <f t="shared" si="1"/>
        <v>15</v>
      </c>
      <c r="V7" s="16">
        <f>IFERROR(VLOOKUP($B7,[1]基础信息表!$A:$F,6,FALSE),"")</f>
        <v>350</v>
      </c>
      <c r="W7" s="12">
        <f t="shared" ref="W7:AJ7" si="8">IFERROR(G7*$V7,"")</f>
        <v>3500</v>
      </c>
      <c r="X7" s="12">
        <f t="shared" si="8"/>
        <v>175</v>
      </c>
      <c r="Y7" s="12">
        <f t="shared" si="8"/>
        <v>0</v>
      </c>
      <c r="Z7" s="12">
        <f t="shared" si="8"/>
        <v>1575</v>
      </c>
      <c r="AA7" s="12">
        <f t="shared" si="8"/>
        <v>0</v>
      </c>
      <c r="AB7" s="12">
        <f t="shared" si="8"/>
        <v>0</v>
      </c>
      <c r="AC7" s="12">
        <f t="shared" si="8"/>
        <v>0</v>
      </c>
      <c r="AD7" s="12">
        <f t="shared" si="8"/>
        <v>0</v>
      </c>
      <c r="AE7" s="12">
        <f t="shared" si="8"/>
        <v>0</v>
      </c>
      <c r="AF7" s="12">
        <f t="shared" si="8"/>
        <v>0</v>
      </c>
      <c r="AG7" s="12">
        <f t="shared" si="8"/>
        <v>0</v>
      </c>
      <c r="AH7" s="12">
        <f t="shared" si="8"/>
        <v>0</v>
      </c>
      <c r="AI7" s="12">
        <f t="shared" si="8"/>
        <v>0</v>
      </c>
      <c r="AJ7" s="35">
        <f t="shared" si="8"/>
        <v>0</v>
      </c>
      <c r="AK7" s="12">
        <f t="shared" si="3"/>
        <v>5250</v>
      </c>
      <c r="AL7" s="36">
        <v>8000</v>
      </c>
      <c r="AM7" s="36"/>
      <c r="AN7" s="36"/>
      <c r="AO7" s="36"/>
      <c r="AP7" s="36"/>
      <c r="AQ7" s="37" t="e">
        <f>AK7-#REF!-AN7+AP7</f>
        <v>#REF!</v>
      </c>
    </row>
    <row r="8" s="1" customFormat="1" customHeight="1" spans="1:43">
      <c r="A8" s="10">
        <f t="shared" si="0"/>
        <v>6</v>
      </c>
      <c r="B8" s="10" t="s">
        <v>266</v>
      </c>
      <c r="C8" s="10"/>
      <c r="D8" s="33"/>
      <c r="E8" s="34"/>
      <c r="F8" s="34" t="str">
        <f>IFERROR(VLOOKUP($B8,[1]基础信息表!$A:$F,5,FALSE),"")</f>
        <v>工行德安支行营业室</v>
      </c>
      <c r="G8" s="10">
        <v>7</v>
      </c>
      <c r="H8" s="10">
        <v>0.5</v>
      </c>
      <c r="I8" s="10"/>
      <c r="J8" s="10">
        <v>4.5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>
        <f t="shared" si="1"/>
        <v>12</v>
      </c>
      <c r="V8" s="16">
        <f>IFERROR(VLOOKUP($B8,[1]基础信息表!$A:$F,6,FALSE),"")</f>
        <v>200</v>
      </c>
      <c r="W8" s="12">
        <f t="shared" ref="W8:AJ8" si="9">IFERROR(G8*$V8,"")</f>
        <v>1400</v>
      </c>
      <c r="X8" s="12">
        <f t="shared" si="9"/>
        <v>100</v>
      </c>
      <c r="Y8" s="12">
        <f t="shared" si="9"/>
        <v>0</v>
      </c>
      <c r="Z8" s="12">
        <f t="shared" si="9"/>
        <v>900</v>
      </c>
      <c r="AA8" s="12">
        <f t="shared" si="9"/>
        <v>0</v>
      </c>
      <c r="AB8" s="12">
        <f t="shared" si="9"/>
        <v>0</v>
      </c>
      <c r="AC8" s="12">
        <f t="shared" si="9"/>
        <v>0</v>
      </c>
      <c r="AD8" s="12">
        <f t="shared" si="9"/>
        <v>0</v>
      </c>
      <c r="AE8" s="12">
        <f t="shared" si="9"/>
        <v>0</v>
      </c>
      <c r="AF8" s="12">
        <f t="shared" si="9"/>
        <v>0</v>
      </c>
      <c r="AG8" s="12">
        <f t="shared" si="9"/>
        <v>0</v>
      </c>
      <c r="AH8" s="12">
        <f t="shared" si="9"/>
        <v>0</v>
      </c>
      <c r="AI8" s="12">
        <f t="shared" si="9"/>
        <v>0</v>
      </c>
      <c r="AJ8" s="35">
        <f t="shared" si="9"/>
        <v>0</v>
      </c>
      <c r="AK8" s="12">
        <f t="shared" si="3"/>
        <v>2400</v>
      </c>
      <c r="AL8" s="36">
        <v>8001</v>
      </c>
      <c r="AM8" s="36"/>
      <c r="AN8" s="36"/>
      <c r="AO8" s="36"/>
      <c r="AP8" s="36">
        <v>1000</v>
      </c>
      <c r="AQ8" s="37">
        <f t="shared" si="6"/>
        <v>-4601</v>
      </c>
    </row>
    <row r="9" s="1" customFormat="1" customHeight="1" spans="1:43">
      <c r="A9" s="10">
        <f t="shared" si="0"/>
        <v>7</v>
      </c>
      <c r="B9" s="10" t="s">
        <v>267</v>
      </c>
      <c r="C9" s="10"/>
      <c r="D9" s="33"/>
      <c r="E9" s="34"/>
      <c r="F9" s="34" t="str">
        <f>IFERROR(VLOOKUP($B9,[1]基础信息表!$A:$F,5,FALSE),"")</f>
        <v>建行</v>
      </c>
      <c r="G9" s="10">
        <v>25.78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>
        <f t="shared" si="1"/>
        <v>25.78</v>
      </c>
      <c r="V9" s="16">
        <f>IFERROR(VLOOKUP($B9,[1]基础信息表!$A:$F,6,FALSE),"")</f>
        <v>330</v>
      </c>
      <c r="W9" s="12">
        <f t="shared" ref="W9:AJ9" si="10">IFERROR(G9*$V9,"")</f>
        <v>8507.4</v>
      </c>
      <c r="X9" s="12">
        <f t="shared" si="10"/>
        <v>0</v>
      </c>
      <c r="Y9" s="12">
        <f t="shared" si="10"/>
        <v>0</v>
      </c>
      <c r="Z9" s="12">
        <f t="shared" si="10"/>
        <v>0</v>
      </c>
      <c r="AA9" s="12">
        <f t="shared" si="10"/>
        <v>0</v>
      </c>
      <c r="AB9" s="12">
        <f t="shared" si="10"/>
        <v>0</v>
      </c>
      <c r="AC9" s="12">
        <f t="shared" si="10"/>
        <v>0</v>
      </c>
      <c r="AD9" s="12">
        <f t="shared" si="10"/>
        <v>0</v>
      </c>
      <c r="AE9" s="12">
        <f t="shared" si="10"/>
        <v>0</v>
      </c>
      <c r="AF9" s="12">
        <f t="shared" si="10"/>
        <v>0</v>
      </c>
      <c r="AG9" s="12">
        <f t="shared" si="10"/>
        <v>0</v>
      </c>
      <c r="AH9" s="12">
        <f t="shared" si="10"/>
        <v>0</v>
      </c>
      <c r="AI9" s="12">
        <f t="shared" si="10"/>
        <v>0</v>
      </c>
      <c r="AJ9" s="35">
        <f t="shared" si="10"/>
        <v>0</v>
      </c>
      <c r="AK9" s="12">
        <f t="shared" si="3"/>
        <v>8507.4</v>
      </c>
      <c r="AL9" s="36">
        <v>8002</v>
      </c>
      <c r="AM9" s="36"/>
      <c r="AN9" s="36"/>
      <c r="AO9" s="36"/>
      <c r="AP9" s="36">
        <v>1001</v>
      </c>
      <c r="AQ9" s="37">
        <f t="shared" si="6"/>
        <v>1506.4</v>
      </c>
    </row>
    <row r="10" s="1" customFormat="1" customHeight="1" spans="1:43">
      <c r="A10" s="10">
        <f t="shared" si="0"/>
        <v>8</v>
      </c>
      <c r="B10" s="10" t="s">
        <v>268</v>
      </c>
      <c r="C10" s="10"/>
      <c r="D10" s="33"/>
      <c r="E10" s="34"/>
      <c r="F10" s="34" t="str">
        <f>IFERROR(VLOOKUP($B10,[1]基础信息表!$A:$F,5,FALSE),"")</f>
        <v>建行</v>
      </c>
      <c r="G10" s="10">
        <v>3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f t="shared" si="1"/>
        <v>3</v>
      </c>
      <c r="V10" s="16">
        <f>IFERROR(VLOOKUP($B10,[1]基础信息表!$A:$F,6,FALSE),"")</f>
        <v>320</v>
      </c>
      <c r="W10" s="12">
        <f t="shared" ref="W10:AJ10" si="11">IFERROR(G10*$V10,"")</f>
        <v>960</v>
      </c>
      <c r="X10" s="12">
        <f t="shared" si="11"/>
        <v>0</v>
      </c>
      <c r="Y10" s="12">
        <f t="shared" si="11"/>
        <v>0</v>
      </c>
      <c r="Z10" s="12">
        <f t="shared" si="11"/>
        <v>0</v>
      </c>
      <c r="AA10" s="12">
        <f t="shared" si="11"/>
        <v>0</v>
      </c>
      <c r="AB10" s="12">
        <f t="shared" si="11"/>
        <v>0</v>
      </c>
      <c r="AC10" s="12">
        <f t="shared" si="11"/>
        <v>0</v>
      </c>
      <c r="AD10" s="12">
        <f t="shared" si="11"/>
        <v>0</v>
      </c>
      <c r="AE10" s="12">
        <f t="shared" si="11"/>
        <v>0</v>
      </c>
      <c r="AF10" s="12">
        <f t="shared" si="11"/>
        <v>0</v>
      </c>
      <c r="AG10" s="12">
        <f t="shared" si="11"/>
        <v>0</v>
      </c>
      <c r="AH10" s="12">
        <f t="shared" si="11"/>
        <v>0</v>
      </c>
      <c r="AI10" s="12">
        <f t="shared" si="11"/>
        <v>0</v>
      </c>
      <c r="AJ10" s="35">
        <f t="shared" si="11"/>
        <v>0</v>
      </c>
      <c r="AK10" s="12">
        <f t="shared" si="3"/>
        <v>960</v>
      </c>
      <c r="AL10" s="36">
        <v>8003</v>
      </c>
      <c r="AM10" s="36"/>
      <c r="AN10" s="36"/>
      <c r="AO10" s="36"/>
      <c r="AP10" s="36">
        <v>1002</v>
      </c>
      <c r="AQ10" s="37">
        <f t="shared" si="6"/>
        <v>-6041</v>
      </c>
    </row>
    <row r="11" s="1" customFormat="1" customHeight="1" spans="1:43">
      <c r="A11" s="10">
        <f t="shared" si="0"/>
        <v>9</v>
      </c>
      <c r="B11" s="10" t="s">
        <v>269</v>
      </c>
      <c r="C11" s="10"/>
      <c r="D11" s="33"/>
      <c r="E11" s="34"/>
      <c r="F11" s="34" t="str">
        <f>IFERROR(VLOOKUP($B11,[1]基础信息表!$A:$F,5,FALSE),"")</f>
        <v>建行</v>
      </c>
      <c r="G11" s="10">
        <v>26.78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f t="shared" si="1"/>
        <v>26.78</v>
      </c>
      <c r="V11" s="16">
        <f>IFERROR(VLOOKUP($B11,[1]基础信息表!$A:$F,6,FALSE),"")</f>
        <v>350</v>
      </c>
      <c r="W11" s="12">
        <f t="shared" ref="W11:AJ11" si="12">IFERROR(G11*$V11,"")</f>
        <v>9373</v>
      </c>
      <c r="X11" s="12">
        <f t="shared" si="12"/>
        <v>0</v>
      </c>
      <c r="Y11" s="12">
        <f t="shared" si="12"/>
        <v>0</v>
      </c>
      <c r="Z11" s="12">
        <f t="shared" si="12"/>
        <v>0</v>
      </c>
      <c r="AA11" s="12">
        <f t="shared" si="12"/>
        <v>0</v>
      </c>
      <c r="AB11" s="12">
        <f t="shared" si="12"/>
        <v>0</v>
      </c>
      <c r="AC11" s="12">
        <f t="shared" si="12"/>
        <v>0</v>
      </c>
      <c r="AD11" s="12">
        <f t="shared" si="12"/>
        <v>0</v>
      </c>
      <c r="AE11" s="12">
        <f t="shared" si="12"/>
        <v>0</v>
      </c>
      <c r="AF11" s="12">
        <f t="shared" si="12"/>
        <v>0</v>
      </c>
      <c r="AG11" s="12">
        <f t="shared" si="12"/>
        <v>0</v>
      </c>
      <c r="AH11" s="12">
        <f t="shared" si="12"/>
        <v>0</v>
      </c>
      <c r="AI11" s="12">
        <f t="shared" si="12"/>
        <v>0</v>
      </c>
      <c r="AJ11" s="35">
        <f t="shared" si="12"/>
        <v>0</v>
      </c>
      <c r="AK11" s="12">
        <f t="shared" si="3"/>
        <v>9373</v>
      </c>
      <c r="AL11" s="36">
        <v>8004</v>
      </c>
      <c r="AM11" s="36"/>
      <c r="AN11" s="36"/>
      <c r="AO11" s="36"/>
      <c r="AP11" s="36">
        <v>1003</v>
      </c>
      <c r="AQ11" s="37">
        <f t="shared" si="6"/>
        <v>2372</v>
      </c>
    </row>
    <row r="12" s="1" customFormat="1" customHeight="1" spans="1:43">
      <c r="A12" s="10">
        <f t="shared" si="0"/>
        <v>10</v>
      </c>
      <c r="B12" s="10" t="s">
        <v>270</v>
      </c>
      <c r="C12" s="10"/>
      <c r="D12" s="33"/>
      <c r="E12" s="34"/>
      <c r="F12" s="34" t="str">
        <f>IFERROR(VLOOKUP($B12,[1]基础信息表!$A:$F,5,FALSE),"")</f>
        <v>农行</v>
      </c>
      <c r="G12" s="10">
        <v>14.28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f t="shared" si="1"/>
        <v>14.28</v>
      </c>
      <c r="V12" s="16">
        <f>IFERROR(VLOOKUP($B12,[1]基础信息表!$A:$F,6,FALSE),"")</f>
        <v>330</v>
      </c>
      <c r="W12" s="12">
        <f t="shared" ref="W12:AJ12" si="13">IFERROR(G12*$V12,"")</f>
        <v>4712.4</v>
      </c>
      <c r="X12" s="12">
        <f t="shared" si="13"/>
        <v>0</v>
      </c>
      <c r="Y12" s="12">
        <f t="shared" si="13"/>
        <v>0</v>
      </c>
      <c r="Z12" s="12">
        <f t="shared" si="13"/>
        <v>0</v>
      </c>
      <c r="AA12" s="12">
        <f t="shared" si="13"/>
        <v>0</v>
      </c>
      <c r="AB12" s="12">
        <f t="shared" si="13"/>
        <v>0</v>
      </c>
      <c r="AC12" s="12">
        <f t="shared" si="13"/>
        <v>0</v>
      </c>
      <c r="AD12" s="12">
        <f t="shared" si="13"/>
        <v>0</v>
      </c>
      <c r="AE12" s="12">
        <f t="shared" si="13"/>
        <v>0</v>
      </c>
      <c r="AF12" s="12">
        <f t="shared" si="13"/>
        <v>0</v>
      </c>
      <c r="AG12" s="12">
        <f t="shared" si="13"/>
        <v>0</v>
      </c>
      <c r="AH12" s="12">
        <f t="shared" si="13"/>
        <v>0</v>
      </c>
      <c r="AI12" s="12">
        <f t="shared" si="13"/>
        <v>0</v>
      </c>
      <c r="AJ12" s="35">
        <f t="shared" si="13"/>
        <v>0</v>
      </c>
      <c r="AK12" s="12">
        <f t="shared" si="3"/>
        <v>4712.4</v>
      </c>
      <c r="AL12" s="36">
        <v>8005</v>
      </c>
      <c r="AM12" s="36"/>
      <c r="AN12" s="36"/>
      <c r="AO12" s="36"/>
      <c r="AP12" s="36">
        <v>1004</v>
      </c>
      <c r="AQ12" s="37">
        <f t="shared" si="6"/>
        <v>-2288.6</v>
      </c>
    </row>
    <row r="13" s="1" customFormat="1" customHeight="1" spans="1:43">
      <c r="A13" s="10">
        <f t="shared" si="0"/>
        <v>11</v>
      </c>
      <c r="B13" s="10" t="s">
        <v>271</v>
      </c>
      <c r="C13" s="10"/>
      <c r="D13" s="33"/>
      <c r="E13" s="34"/>
      <c r="F13" s="34" t="str">
        <f>IFERROR(VLOOKUP($B13,[1]基础信息表!$A:$F,5,FALSE),"")</f>
        <v>建行</v>
      </c>
      <c r="G13" s="10">
        <v>13.5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>
        <f t="shared" si="1"/>
        <v>13.5</v>
      </c>
      <c r="V13" s="16">
        <f>IFERROR(VLOOKUP($B13,[1]基础信息表!$A:$F,6,FALSE),"")</f>
        <v>300</v>
      </c>
      <c r="W13" s="12">
        <f t="shared" ref="W13:AJ13" si="14">IFERROR(G13*$V13,"")</f>
        <v>4050</v>
      </c>
      <c r="X13" s="12">
        <f t="shared" si="14"/>
        <v>0</v>
      </c>
      <c r="Y13" s="12">
        <f t="shared" si="14"/>
        <v>0</v>
      </c>
      <c r="Z13" s="12">
        <f t="shared" si="14"/>
        <v>0</v>
      </c>
      <c r="AA13" s="12">
        <f t="shared" si="14"/>
        <v>0</v>
      </c>
      <c r="AB13" s="12">
        <f t="shared" si="14"/>
        <v>0</v>
      </c>
      <c r="AC13" s="12">
        <f t="shared" si="14"/>
        <v>0</v>
      </c>
      <c r="AD13" s="12">
        <f t="shared" si="14"/>
        <v>0</v>
      </c>
      <c r="AE13" s="12">
        <f t="shared" si="14"/>
        <v>0</v>
      </c>
      <c r="AF13" s="12">
        <f t="shared" si="14"/>
        <v>0</v>
      </c>
      <c r="AG13" s="12">
        <f t="shared" si="14"/>
        <v>0</v>
      </c>
      <c r="AH13" s="12">
        <f t="shared" si="14"/>
        <v>0</v>
      </c>
      <c r="AI13" s="12">
        <f t="shared" si="14"/>
        <v>0</v>
      </c>
      <c r="AJ13" s="35">
        <f t="shared" si="14"/>
        <v>0</v>
      </c>
      <c r="AK13" s="12">
        <f t="shared" si="3"/>
        <v>4050</v>
      </c>
      <c r="AL13" s="36">
        <v>8006</v>
      </c>
      <c r="AM13" s="36"/>
      <c r="AN13" s="36"/>
      <c r="AO13" s="36"/>
      <c r="AP13" s="36">
        <v>1005</v>
      </c>
      <c r="AQ13" s="37">
        <f t="shared" si="6"/>
        <v>-2951</v>
      </c>
    </row>
    <row r="14" s="1" customFormat="1" customHeight="1" spans="1:43">
      <c r="A14" s="10">
        <f t="shared" si="0"/>
        <v>12</v>
      </c>
      <c r="B14" s="10" t="s">
        <v>272</v>
      </c>
      <c r="C14" s="10"/>
      <c r="D14" s="33"/>
      <c r="E14" s="34"/>
      <c r="F14" s="34" t="str">
        <f>IFERROR(VLOOKUP($B14,[1]基础信息表!$A:$F,5,FALSE),"")</f>
        <v>建行</v>
      </c>
      <c r="G14" s="10">
        <v>24.5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f t="shared" si="1"/>
        <v>24.5</v>
      </c>
      <c r="V14" s="16">
        <f>IFERROR(VLOOKUP($B14,[1]基础信息表!$A:$F,6,FALSE),"")</f>
        <v>280</v>
      </c>
      <c r="W14" s="12">
        <f t="shared" ref="W14:AJ14" si="15">IFERROR(G14*$V14,"")</f>
        <v>6860</v>
      </c>
      <c r="X14" s="12">
        <f t="shared" si="15"/>
        <v>0</v>
      </c>
      <c r="Y14" s="12">
        <f t="shared" si="15"/>
        <v>0</v>
      </c>
      <c r="Z14" s="12">
        <f t="shared" si="15"/>
        <v>0</v>
      </c>
      <c r="AA14" s="12">
        <f t="shared" si="15"/>
        <v>0</v>
      </c>
      <c r="AB14" s="12">
        <f t="shared" si="15"/>
        <v>0</v>
      </c>
      <c r="AC14" s="12">
        <f t="shared" si="15"/>
        <v>0</v>
      </c>
      <c r="AD14" s="12">
        <f t="shared" si="15"/>
        <v>0</v>
      </c>
      <c r="AE14" s="12">
        <f t="shared" si="15"/>
        <v>0</v>
      </c>
      <c r="AF14" s="12">
        <f t="shared" si="15"/>
        <v>0</v>
      </c>
      <c r="AG14" s="12">
        <f t="shared" si="15"/>
        <v>0</v>
      </c>
      <c r="AH14" s="12">
        <f t="shared" si="15"/>
        <v>0</v>
      </c>
      <c r="AI14" s="12">
        <f t="shared" si="15"/>
        <v>0</v>
      </c>
      <c r="AJ14" s="35">
        <f t="shared" si="15"/>
        <v>0</v>
      </c>
      <c r="AK14" s="12">
        <f t="shared" si="3"/>
        <v>6860</v>
      </c>
      <c r="AL14" s="36"/>
      <c r="AM14" s="36"/>
      <c r="AN14" s="36"/>
      <c r="AO14" s="36"/>
      <c r="AP14" s="36">
        <v>1006</v>
      </c>
      <c r="AQ14" s="37">
        <f t="shared" si="6"/>
        <v>7866</v>
      </c>
    </row>
    <row r="15" s="1" customFormat="1" customHeight="1" spans="1:43">
      <c r="A15" s="10">
        <f t="shared" si="0"/>
        <v>13</v>
      </c>
      <c r="B15" s="10" t="s">
        <v>273</v>
      </c>
      <c r="C15" s="10"/>
      <c r="D15" s="33"/>
      <c r="E15" s="34"/>
      <c r="F15" s="34" t="str">
        <f>IFERROR(VLOOKUP($B15,[1]基础信息表!$A:$F,5,FALSE),"")</f>
        <v>建行</v>
      </c>
      <c r="G15" s="10">
        <v>11.5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f t="shared" si="1"/>
        <v>11.5</v>
      </c>
      <c r="V15" s="16">
        <f>IFERROR(VLOOKUP($B15,[1]基础信息表!$A:$F,6,FALSE),"")</f>
        <v>340</v>
      </c>
      <c r="W15" s="12">
        <f t="shared" ref="W15:AJ15" si="16">IFERROR(G15*$V15,"")</f>
        <v>3910</v>
      </c>
      <c r="X15" s="12">
        <f t="shared" si="16"/>
        <v>0</v>
      </c>
      <c r="Y15" s="12">
        <f t="shared" si="16"/>
        <v>0</v>
      </c>
      <c r="Z15" s="12">
        <f t="shared" si="16"/>
        <v>0</v>
      </c>
      <c r="AA15" s="12">
        <f t="shared" si="16"/>
        <v>0</v>
      </c>
      <c r="AB15" s="12">
        <f t="shared" si="16"/>
        <v>0</v>
      </c>
      <c r="AC15" s="12">
        <f t="shared" si="16"/>
        <v>0</v>
      </c>
      <c r="AD15" s="12">
        <f t="shared" si="16"/>
        <v>0</v>
      </c>
      <c r="AE15" s="12">
        <f t="shared" si="16"/>
        <v>0</v>
      </c>
      <c r="AF15" s="12">
        <f t="shared" si="16"/>
        <v>0</v>
      </c>
      <c r="AG15" s="12">
        <f t="shared" si="16"/>
        <v>0</v>
      </c>
      <c r="AH15" s="12">
        <f t="shared" si="16"/>
        <v>0</v>
      </c>
      <c r="AI15" s="12">
        <f t="shared" si="16"/>
        <v>0</v>
      </c>
      <c r="AJ15" s="12">
        <f t="shared" si="16"/>
        <v>0</v>
      </c>
      <c r="AK15" s="38">
        <f t="shared" si="3"/>
        <v>3910</v>
      </c>
      <c r="AL15" s="36"/>
      <c r="AM15" s="36"/>
      <c r="AN15" s="36"/>
      <c r="AO15" s="36"/>
      <c r="AP15" s="36"/>
      <c r="AQ15" s="37">
        <f t="shared" si="6"/>
        <v>3910</v>
      </c>
    </row>
    <row r="16" s="1" customFormat="1" customHeight="1" spans="1:43">
      <c r="A16" s="10">
        <f t="shared" si="0"/>
        <v>14</v>
      </c>
      <c r="B16" s="10" t="s">
        <v>274</v>
      </c>
      <c r="C16" s="10"/>
      <c r="D16" s="33"/>
      <c r="E16" s="34"/>
      <c r="F16" s="34" t="str">
        <f>IFERROR(VLOOKUP($B16,[1]基础信息表!$A:$F,5,FALSE),"")</f>
        <v>建行</v>
      </c>
      <c r="G16" s="10">
        <v>24.5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>
        <f t="shared" si="1"/>
        <v>24.5</v>
      </c>
      <c r="V16" s="16">
        <f>IFERROR(VLOOKUP($B16,[1]基础信息表!$A:$F,6,FALSE),"")</f>
        <v>290</v>
      </c>
      <c r="W16" s="12">
        <f t="shared" ref="W16:AJ16" si="17">IFERROR(G16*$V16,"")</f>
        <v>7105</v>
      </c>
      <c r="X16" s="12">
        <f t="shared" si="17"/>
        <v>0</v>
      </c>
      <c r="Y16" s="12">
        <f t="shared" si="17"/>
        <v>0</v>
      </c>
      <c r="Z16" s="12">
        <f t="shared" si="17"/>
        <v>0</v>
      </c>
      <c r="AA16" s="12">
        <f t="shared" si="17"/>
        <v>0</v>
      </c>
      <c r="AB16" s="12">
        <f t="shared" si="17"/>
        <v>0</v>
      </c>
      <c r="AC16" s="12">
        <f t="shared" si="17"/>
        <v>0</v>
      </c>
      <c r="AD16" s="12">
        <f t="shared" si="17"/>
        <v>0</v>
      </c>
      <c r="AE16" s="12">
        <f t="shared" si="17"/>
        <v>0</v>
      </c>
      <c r="AF16" s="12">
        <f t="shared" si="17"/>
        <v>0</v>
      </c>
      <c r="AG16" s="12">
        <f t="shared" si="17"/>
        <v>0</v>
      </c>
      <c r="AH16" s="12">
        <f t="shared" si="17"/>
        <v>0</v>
      </c>
      <c r="AI16" s="12">
        <f t="shared" si="17"/>
        <v>0</v>
      </c>
      <c r="AJ16" s="12">
        <f t="shared" si="17"/>
        <v>0</v>
      </c>
      <c r="AK16" s="12">
        <f t="shared" si="3"/>
        <v>7105</v>
      </c>
      <c r="AL16" s="36"/>
      <c r="AM16" s="36"/>
      <c r="AN16" s="36"/>
      <c r="AO16" s="36"/>
      <c r="AP16" s="36"/>
      <c r="AQ16" s="37">
        <f t="shared" si="6"/>
        <v>7105</v>
      </c>
    </row>
    <row r="17" s="1" customFormat="1" customHeight="1" spans="1:43">
      <c r="A17" s="10">
        <f t="shared" si="0"/>
        <v>15</v>
      </c>
      <c r="B17" s="10" t="s">
        <v>275</v>
      </c>
      <c r="C17" s="10"/>
      <c r="D17" s="33"/>
      <c r="E17" s="34"/>
      <c r="F17" s="34" t="str">
        <f>IFERROR(VLOOKUP($B17,[1]基础信息表!$A:$F,5,FALSE),"")</f>
        <v>温州银行</v>
      </c>
      <c r="G17" s="10">
        <v>14.28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>
        <f t="shared" si="1"/>
        <v>14.28</v>
      </c>
      <c r="V17" s="16">
        <f>IFERROR(VLOOKUP($B17,[1]基础信息表!$A:$F,6,FALSE),"")</f>
        <v>270</v>
      </c>
      <c r="W17" s="12">
        <f t="shared" ref="W17:AJ17" si="18">IFERROR(G17*$V17,"")</f>
        <v>3855.6</v>
      </c>
      <c r="X17" s="12">
        <f t="shared" si="18"/>
        <v>0</v>
      </c>
      <c r="Y17" s="12">
        <f t="shared" si="18"/>
        <v>0</v>
      </c>
      <c r="Z17" s="12">
        <f t="shared" si="18"/>
        <v>0</v>
      </c>
      <c r="AA17" s="12">
        <f t="shared" si="18"/>
        <v>0</v>
      </c>
      <c r="AB17" s="12">
        <f t="shared" si="18"/>
        <v>0</v>
      </c>
      <c r="AC17" s="12">
        <f t="shared" si="18"/>
        <v>0</v>
      </c>
      <c r="AD17" s="12">
        <f t="shared" si="18"/>
        <v>0</v>
      </c>
      <c r="AE17" s="12">
        <f t="shared" si="18"/>
        <v>0</v>
      </c>
      <c r="AF17" s="12">
        <f t="shared" si="18"/>
        <v>0</v>
      </c>
      <c r="AG17" s="12">
        <f t="shared" si="18"/>
        <v>0</v>
      </c>
      <c r="AH17" s="12">
        <f t="shared" si="18"/>
        <v>0</v>
      </c>
      <c r="AI17" s="12">
        <f t="shared" si="18"/>
        <v>0</v>
      </c>
      <c r="AJ17" s="12">
        <f t="shared" si="18"/>
        <v>0</v>
      </c>
      <c r="AK17" s="12">
        <f t="shared" si="3"/>
        <v>3855.6</v>
      </c>
      <c r="AL17" s="36"/>
      <c r="AM17" s="36"/>
      <c r="AN17" s="36"/>
      <c r="AO17" s="36"/>
      <c r="AP17" s="36"/>
      <c r="AQ17" s="37">
        <f t="shared" si="6"/>
        <v>3855.6</v>
      </c>
    </row>
    <row r="18" s="1" customFormat="1" customHeight="1" spans="1:43">
      <c r="A18" s="10">
        <f t="shared" si="0"/>
        <v>16</v>
      </c>
      <c r="B18" s="10" t="s">
        <v>276</v>
      </c>
      <c r="C18" s="10"/>
      <c r="D18" s="33"/>
      <c r="E18" s="34"/>
      <c r="F18" s="34" t="str">
        <f>IFERROR(VLOOKUP($B18,[1]基础信息表!$A:$F,5,FALSE),"")</f>
        <v>建行</v>
      </c>
      <c r="G18" s="10">
        <v>13.28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f t="shared" si="1"/>
        <v>13.28</v>
      </c>
      <c r="V18" s="16">
        <f>IFERROR(VLOOKUP($B18,[1]基础信息表!$A:$F,6,FALSE),"")</f>
        <v>310</v>
      </c>
      <c r="W18" s="12">
        <f t="shared" ref="W18:AJ18" si="19">IFERROR(G18*$V18,"")</f>
        <v>4116.8</v>
      </c>
      <c r="X18" s="12">
        <f t="shared" si="19"/>
        <v>0</v>
      </c>
      <c r="Y18" s="12">
        <f t="shared" si="19"/>
        <v>0</v>
      </c>
      <c r="Z18" s="12">
        <f t="shared" si="19"/>
        <v>0</v>
      </c>
      <c r="AA18" s="12">
        <f t="shared" si="19"/>
        <v>0</v>
      </c>
      <c r="AB18" s="12">
        <f t="shared" si="19"/>
        <v>0</v>
      </c>
      <c r="AC18" s="12">
        <f t="shared" si="19"/>
        <v>0</v>
      </c>
      <c r="AD18" s="12">
        <f t="shared" si="19"/>
        <v>0</v>
      </c>
      <c r="AE18" s="12">
        <f t="shared" si="19"/>
        <v>0</v>
      </c>
      <c r="AF18" s="12">
        <f t="shared" si="19"/>
        <v>0</v>
      </c>
      <c r="AG18" s="12">
        <f t="shared" si="19"/>
        <v>0</v>
      </c>
      <c r="AH18" s="12">
        <f t="shared" si="19"/>
        <v>0</v>
      </c>
      <c r="AI18" s="12">
        <f t="shared" si="19"/>
        <v>0</v>
      </c>
      <c r="AJ18" s="12">
        <f t="shared" si="19"/>
        <v>0</v>
      </c>
      <c r="AK18" s="12">
        <f t="shared" si="3"/>
        <v>4116.8</v>
      </c>
      <c r="AL18" s="36"/>
      <c r="AM18" s="36"/>
      <c r="AN18" s="36"/>
      <c r="AO18" s="36"/>
      <c r="AP18" s="36"/>
      <c r="AQ18" s="37">
        <f t="shared" si="6"/>
        <v>4116.8</v>
      </c>
    </row>
    <row r="19" s="1" customFormat="1" customHeight="1" spans="1:43">
      <c r="A19" s="10">
        <f t="shared" si="0"/>
        <v>17</v>
      </c>
      <c r="B19" s="10" t="s">
        <v>277</v>
      </c>
      <c r="C19" s="10"/>
      <c r="D19" s="33"/>
      <c r="E19" s="34"/>
      <c r="F19" s="34" t="str">
        <f>IFERROR(VLOOKUP($B19,[1]基础信息表!$A:$F,5,FALSE),"")</f>
        <v>农行</v>
      </c>
      <c r="G19" s="10">
        <v>22.78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>
        <f t="shared" si="1"/>
        <v>22.78</v>
      </c>
      <c r="V19" s="16">
        <f>IFERROR(VLOOKUP($B19,[1]基础信息表!$A:$F,6,FALSE),"")</f>
        <v>320</v>
      </c>
      <c r="W19" s="12">
        <f t="shared" ref="W19:AJ19" si="20">IFERROR(G19*$V19,"")</f>
        <v>7289.6</v>
      </c>
      <c r="X19" s="12">
        <f t="shared" si="20"/>
        <v>0</v>
      </c>
      <c r="Y19" s="12">
        <f t="shared" si="20"/>
        <v>0</v>
      </c>
      <c r="Z19" s="12">
        <f t="shared" si="20"/>
        <v>0</v>
      </c>
      <c r="AA19" s="12">
        <f t="shared" si="20"/>
        <v>0</v>
      </c>
      <c r="AB19" s="12">
        <f t="shared" si="20"/>
        <v>0</v>
      </c>
      <c r="AC19" s="12">
        <f t="shared" si="20"/>
        <v>0</v>
      </c>
      <c r="AD19" s="12">
        <f t="shared" si="20"/>
        <v>0</v>
      </c>
      <c r="AE19" s="12">
        <f t="shared" si="20"/>
        <v>0</v>
      </c>
      <c r="AF19" s="12">
        <f t="shared" si="20"/>
        <v>0</v>
      </c>
      <c r="AG19" s="12">
        <f t="shared" si="20"/>
        <v>0</v>
      </c>
      <c r="AH19" s="12">
        <f t="shared" si="20"/>
        <v>0</v>
      </c>
      <c r="AI19" s="12">
        <f t="shared" si="20"/>
        <v>0</v>
      </c>
      <c r="AJ19" s="12">
        <f t="shared" si="20"/>
        <v>0</v>
      </c>
      <c r="AK19" s="12">
        <f t="shared" si="3"/>
        <v>7289.6</v>
      </c>
      <c r="AL19" s="36"/>
      <c r="AM19" s="36"/>
      <c r="AN19" s="36"/>
      <c r="AO19" s="36"/>
      <c r="AP19" s="36"/>
      <c r="AQ19" s="37">
        <f t="shared" si="6"/>
        <v>7289.6</v>
      </c>
    </row>
    <row r="20" s="1" customFormat="1" customHeight="1" spans="1:43">
      <c r="A20" s="10">
        <f t="shared" si="0"/>
        <v>18</v>
      </c>
      <c r="B20" s="10" t="s">
        <v>278</v>
      </c>
      <c r="C20" s="10"/>
      <c r="D20" s="33"/>
      <c r="E20" s="34"/>
      <c r="F20" s="34" t="str">
        <f>IFERROR(VLOOKUP($B20,[1]基础信息表!$A:$F,5,FALSE),"")</f>
        <v>建行</v>
      </c>
      <c r="G20" s="10">
        <v>13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>
        <f t="shared" si="1"/>
        <v>13</v>
      </c>
      <c r="V20" s="16">
        <f>IFERROR(VLOOKUP($B20,[1]基础信息表!$A:$F,6,FALSE),"")</f>
        <v>290</v>
      </c>
      <c r="W20" s="12">
        <f t="shared" ref="W20:AJ20" si="21">IFERROR(G20*$V20,"")</f>
        <v>3770</v>
      </c>
      <c r="X20" s="12">
        <f t="shared" si="21"/>
        <v>0</v>
      </c>
      <c r="Y20" s="12">
        <f t="shared" si="21"/>
        <v>0</v>
      </c>
      <c r="Z20" s="12">
        <f t="shared" si="21"/>
        <v>0</v>
      </c>
      <c r="AA20" s="12">
        <f t="shared" si="21"/>
        <v>0</v>
      </c>
      <c r="AB20" s="12">
        <f t="shared" si="21"/>
        <v>0</v>
      </c>
      <c r="AC20" s="12">
        <f t="shared" si="21"/>
        <v>0</v>
      </c>
      <c r="AD20" s="12">
        <f t="shared" si="21"/>
        <v>0</v>
      </c>
      <c r="AE20" s="12">
        <f t="shared" si="21"/>
        <v>0</v>
      </c>
      <c r="AF20" s="12">
        <f t="shared" si="21"/>
        <v>0</v>
      </c>
      <c r="AG20" s="12">
        <f t="shared" si="21"/>
        <v>0</v>
      </c>
      <c r="AH20" s="12">
        <f t="shared" si="21"/>
        <v>0</v>
      </c>
      <c r="AI20" s="12">
        <f t="shared" si="21"/>
        <v>0</v>
      </c>
      <c r="AJ20" s="12">
        <f t="shared" si="21"/>
        <v>0</v>
      </c>
      <c r="AK20" s="12">
        <f t="shared" si="3"/>
        <v>3770</v>
      </c>
      <c r="AL20" s="36"/>
      <c r="AM20" s="36"/>
      <c r="AN20" s="36"/>
      <c r="AO20" s="36"/>
      <c r="AP20" s="36"/>
      <c r="AQ20" s="37">
        <f t="shared" si="6"/>
        <v>3770</v>
      </c>
    </row>
    <row r="21" s="1" customFormat="1" customHeight="1" spans="1:43">
      <c r="A21" s="10">
        <f t="shared" si="0"/>
        <v>19</v>
      </c>
      <c r="B21" s="10" t="s">
        <v>279</v>
      </c>
      <c r="C21" s="10"/>
      <c r="D21" s="33"/>
      <c r="E21" s="34"/>
      <c r="F21" s="34" t="str">
        <f>IFERROR(VLOOKUP($B21,[1]基础信息表!$A:$F,5,FALSE),"")</f>
        <v>温州银行</v>
      </c>
      <c r="G21" s="10">
        <v>3</v>
      </c>
      <c r="H21" s="10"/>
      <c r="I21" s="10"/>
      <c r="J21" s="10">
        <v>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>
        <f t="shared" si="1"/>
        <v>14</v>
      </c>
      <c r="V21" s="16">
        <f>IFERROR(VLOOKUP($B21,[1]基础信息表!$A:$F,6,FALSE),"")</f>
        <v>390</v>
      </c>
      <c r="W21" s="12">
        <f t="shared" ref="W21:AJ21" si="22">IFERROR(G21*$V21,"")</f>
        <v>1170</v>
      </c>
      <c r="X21" s="12">
        <f t="shared" si="22"/>
        <v>0</v>
      </c>
      <c r="Y21" s="12">
        <f t="shared" si="22"/>
        <v>0</v>
      </c>
      <c r="Z21" s="12">
        <f t="shared" si="22"/>
        <v>4290</v>
      </c>
      <c r="AA21" s="12">
        <f t="shared" si="22"/>
        <v>0</v>
      </c>
      <c r="AB21" s="12">
        <f t="shared" si="22"/>
        <v>0</v>
      </c>
      <c r="AC21" s="12">
        <f t="shared" si="22"/>
        <v>0</v>
      </c>
      <c r="AD21" s="12">
        <f t="shared" si="22"/>
        <v>0</v>
      </c>
      <c r="AE21" s="12">
        <f t="shared" si="22"/>
        <v>0</v>
      </c>
      <c r="AF21" s="12">
        <f t="shared" si="22"/>
        <v>0</v>
      </c>
      <c r="AG21" s="12">
        <f t="shared" si="22"/>
        <v>0</v>
      </c>
      <c r="AH21" s="12">
        <f t="shared" si="22"/>
        <v>0</v>
      </c>
      <c r="AI21" s="12">
        <f t="shared" si="22"/>
        <v>0</v>
      </c>
      <c r="AJ21" s="12">
        <f t="shared" si="22"/>
        <v>0</v>
      </c>
      <c r="AK21" s="12">
        <f t="shared" si="3"/>
        <v>5460</v>
      </c>
      <c r="AL21" s="36"/>
      <c r="AM21" s="36"/>
      <c r="AN21" s="36"/>
      <c r="AO21" s="36"/>
      <c r="AP21" s="36"/>
      <c r="AQ21" s="37">
        <f t="shared" si="6"/>
        <v>5460</v>
      </c>
    </row>
    <row r="22" s="1" customFormat="1" customHeight="1" spans="1:43">
      <c r="A22" s="10">
        <f t="shared" si="0"/>
        <v>20</v>
      </c>
      <c r="B22" s="10" t="s">
        <v>280</v>
      </c>
      <c r="C22" s="10"/>
      <c r="D22" s="33"/>
      <c r="E22" s="34"/>
      <c r="F22" s="34" t="str">
        <f>IFERROR(VLOOKUP($B22,[1]基础信息表!$A:$F,5,FALSE),"")</f>
        <v>建行</v>
      </c>
      <c r="G22" s="10">
        <v>3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>
        <f t="shared" si="1"/>
        <v>3</v>
      </c>
      <c r="V22" s="16">
        <f>IFERROR(VLOOKUP($B22,[1]基础信息表!$A:$F,6,FALSE),"")</f>
        <v>370</v>
      </c>
      <c r="W22" s="12">
        <f t="shared" ref="W22:AJ22" si="23">IFERROR(G22*$V22,"")</f>
        <v>1110</v>
      </c>
      <c r="X22" s="12">
        <f t="shared" si="23"/>
        <v>0</v>
      </c>
      <c r="Y22" s="12">
        <f t="shared" si="23"/>
        <v>0</v>
      </c>
      <c r="Z22" s="12">
        <f t="shared" si="23"/>
        <v>0</v>
      </c>
      <c r="AA22" s="12">
        <f t="shared" si="23"/>
        <v>0</v>
      </c>
      <c r="AB22" s="12">
        <f t="shared" si="23"/>
        <v>0</v>
      </c>
      <c r="AC22" s="12">
        <f t="shared" si="23"/>
        <v>0</v>
      </c>
      <c r="AD22" s="12">
        <f t="shared" si="23"/>
        <v>0</v>
      </c>
      <c r="AE22" s="12">
        <f t="shared" si="23"/>
        <v>0</v>
      </c>
      <c r="AF22" s="12">
        <f t="shared" si="23"/>
        <v>0</v>
      </c>
      <c r="AG22" s="12">
        <f t="shared" si="23"/>
        <v>0</v>
      </c>
      <c r="AH22" s="12">
        <f t="shared" si="23"/>
        <v>0</v>
      </c>
      <c r="AI22" s="12">
        <f t="shared" si="23"/>
        <v>0</v>
      </c>
      <c r="AJ22" s="12">
        <f t="shared" si="23"/>
        <v>0</v>
      </c>
      <c r="AK22" s="12">
        <f t="shared" si="3"/>
        <v>1110</v>
      </c>
      <c r="AL22" s="36"/>
      <c r="AM22" s="36"/>
      <c r="AN22" s="36"/>
      <c r="AO22" s="36"/>
      <c r="AP22" s="36"/>
      <c r="AQ22" s="37">
        <f t="shared" si="6"/>
        <v>1110</v>
      </c>
    </row>
    <row r="23" s="1" customFormat="1" customHeight="1" spans="1:43">
      <c r="A23" s="10">
        <f t="shared" si="0"/>
        <v>21</v>
      </c>
      <c r="B23" s="10" t="s">
        <v>281</v>
      </c>
      <c r="C23" s="10"/>
      <c r="D23" s="33"/>
      <c r="E23" s="34"/>
      <c r="F23" s="34" t="str">
        <f>IFERROR(VLOOKUP($B23,[1]基础信息表!$A:$F,5,FALSE),"")</f>
        <v>中国银行</v>
      </c>
      <c r="G23" s="10">
        <v>3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f t="shared" si="1"/>
        <v>3</v>
      </c>
      <c r="V23" s="16">
        <f>IFERROR(VLOOKUP($B23,[1]基础信息表!$A:$F,6,FALSE),"")</f>
        <v>320</v>
      </c>
      <c r="W23" s="12">
        <f t="shared" ref="W23:AJ23" si="24">IFERROR(G23*$V23,"")</f>
        <v>960</v>
      </c>
      <c r="X23" s="12">
        <f t="shared" si="24"/>
        <v>0</v>
      </c>
      <c r="Y23" s="12">
        <f t="shared" si="24"/>
        <v>0</v>
      </c>
      <c r="Z23" s="12">
        <f t="shared" si="24"/>
        <v>0</v>
      </c>
      <c r="AA23" s="12">
        <f t="shared" si="24"/>
        <v>0</v>
      </c>
      <c r="AB23" s="12">
        <f t="shared" si="24"/>
        <v>0</v>
      </c>
      <c r="AC23" s="12">
        <f t="shared" si="24"/>
        <v>0</v>
      </c>
      <c r="AD23" s="12">
        <f t="shared" si="24"/>
        <v>0</v>
      </c>
      <c r="AE23" s="12">
        <f t="shared" si="24"/>
        <v>0</v>
      </c>
      <c r="AF23" s="12">
        <f t="shared" si="24"/>
        <v>0</v>
      </c>
      <c r="AG23" s="12">
        <f t="shared" si="24"/>
        <v>0</v>
      </c>
      <c r="AH23" s="12">
        <f t="shared" si="24"/>
        <v>0</v>
      </c>
      <c r="AI23" s="12">
        <f t="shared" si="24"/>
        <v>0</v>
      </c>
      <c r="AJ23" s="12">
        <f t="shared" si="24"/>
        <v>0</v>
      </c>
      <c r="AK23" s="12">
        <f t="shared" si="3"/>
        <v>960</v>
      </c>
      <c r="AL23" s="36"/>
      <c r="AM23" s="36"/>
      <c r="AN23" s="36"/>
      <c r="AO23" s="36"/>
      <c r="AP23" s="36"/>
      <c r="AQ23" s="37">
        <f t="shared" si="6"/>
        <v>960</v>
      </c>
    </row>
    <row r="24" s="1" customFormat="1" customHeight="1" spans="1:43">
      <c r="A24" s="10">
        <f t="shared" si="0"/>
        <v>22</v>
      </c>
      <c r="B24" s="10" t="s">
        <v>282</v>
      </c>
      <c r="C24" s="10"/>
      <c r="D24" s="33"/>
      <c r="E24" s="34"/>
      <c r="F24" s="34" t="str">
        <f>IFERROR(VLOOKUP($B24,[1]基础信息表!$A:$F,5,FALSE),"")</f>
        <v>建行</v>
      </c>
      <c r="G24" s="10">
        <v>26.28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>
        <f t="shared" si="1"/>
        <v>26.28</v>
      </c>
      <c r="V24" s="16">
        <f>IFERROR(VLOOKUP($B24,[1]基础信息表!$A:$F,6,FALSE),"")</f>
        <v>350</v>
      </c>
      <c r="W24" s="12">
        <f t="shared" ref="W24:AJ24" si="25">IFERROR(G24*$V24,"")</f>
        <v>9198</v>
      </c>
      <c r="X24" s="12">
        <f t="shared" si="25"/>
        <v>0</v>
      </c>
      <c r="Y24" s="12">
        <f t="shared" si="25"/>
        <v>0</v>
      </c>
      <c r="Z24" s="12">
        <f t="shared" si="25"/>
        <v>0</v>
      </c>
      <c r="AA24" s="12">
        <f t="shared" si="25"/>
        <v>0</v>
      </c>
      <c r="AB24" s="12">
        <f t="shared" si="25"/>
        <v>0</v>
      </c>
      <c r="AC24" s="12">
        <f t="shared" si="25"/>
        <v>0</v>
      </c>
      <c r="AD24" s="12">
        <f t="shared" si="25"/>
        <v>0</v>
      </c>
      <c r="AE24" s="12">
        <f t="shared" si="25"/>
        <v>0</v>
      </c>
      <c r="AF24" s="12">
        <f t="shared" si="25"/>
        <v>0</v>
      </c>
      <c r="AG24" s="12">
        <f t="shared" si="25"/>
        <v>0</v>
      </c>
      <c r="AH24" s="12">
        <f t="shared" si="25"/>
        <v>0</v>
      </c>
      <c r="AI24" s="12">
        <f t="shared" si="25"/>
        <v>0</v>
      </c>
      <c r="AJ24" s="12">
        <f t="shared" si="25"/>
        <v>0</v>
      </c>
      <c r="AK24" s="12">
        <f t="shared" si="3"/>
        <v>9198</v>
      </c>
      <c r="AL24" s="36"/>
      <c r="AM24" s="36"/>
      <c r="AN24" s="36"/>
      <c r="AO24" s="36"/>
      <c r="AP24" s="36"/>
      <c r="AQ24" s="37">
        <f t="shared" si="6"/>
        <v>9198</v>
      </c>
    </row>
    <row r="25" s="1" customFormat="1" customHeight="1" spans="1:43">
      <c r="A25" s="10">
        <f t="shared" si="0"/>
        <v>23</v>
      </c>
      <c r="B25" s="10" t="s">
        <v>283</v>
      </c>
      <c r="C25" s="10"/>
      <c r="D25" s="33"/>
      <c r="E25" s="34"/>
      <c r="F25" s="34" t="str">
        <f>IFERROR(VLOOKUP($B25,[1]基础信息表!$A:$F,5,FALSE),"")</f>
        <v>江西农村信用社</v>
      </c>
      <c r="G25" s="10">
        <v>3</v>
      </c>
      <c r="H25" s="10"/>
      <c r="I25" s="10"/>
      <c r="J25" s="10">
        <v>11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f t="shared" si="1"/>
        <v>14</v>
      </c>
      <c r="V25" s="16">
        <f>IFERROR(VLOOKUP($B25,[1]基础信息表!$A:$F,6,FALSE),"")</f>
        <v>370</v>
      </c>
      <c r="W25" s="12">
        <f t="shared" ref="W25:AJ25" si="26">IFERROR(G25*$V25,"")</f>
        <v>1110</v>
      </c>
      <c r="X25" s="12">
        <f t="shared" si="26"/>
        <v>0</v>
      </c>
      <c r="Y25" s="12">
        <f t="shared" si="26"/>
        <v>0</v>
      </c>
      <c r="Z25" s="12">
        <f t="shared" si="26"/>
        <v>4070</v>
      </c>
      <c r="AA25" s="12">
        <f t="shared" si="26"/>
        <v>0</v>
      </c>
      <c r="AB25" s="12">
        <f t="shared" si="26"/>
        <v>0</v>
      </c>
      <c r="AC25" s="12">
        <f t="shared" si="26"/>
        <v>0</v>
      </c>
      <c r="AD25" s="12">
        <f t="shared" si="26"/>
        <v>0</v>
      </c>
      <c r="AE25" s="12">
        <f t="shared" si="26"/>
        <v>0</v>
      </c>
      <c r="AF25" s="12">
        <f t="shared" si="26"/>
        <v>0</v>
      </c>
      <c r="AG25" s="12">
        <f t="shared" si="26"/>
        <v>0</v>
      </c>
      <c r="AH25" s="12">
        <f t="shared" si="26"/>
        <v>0</v>
      </c>
      <c r="AI25" s="12">
        <f t="shared" si="26"/>
        <v>0</v>
      </c>
      <c r="AJ25" s="12">
        <f t="shared" si="26"/>
        <v>0</v>
      </c>
      <c r="AK25" s="12">
        <f t="shared" si="3"/>
        <v>5180</v>
      </c>
      <c r="AL25" s="36"/>
      <c r="AM25" s="36"/>
      <c r="AN25" s="36"/>
      <c r="AO25" s="36"/>
      <c r="AP25" s="36"/>
      <c r="AQ25" s="37">
        <f t="shared" si="6"/>
        <v>5180</v>
      </c>
    </row>
    <row r="26" s="1" customFormat="1" customHeight="1" spans="1:43">
      <c r="A26" s="10">
        <f t="shared" si="0"/>
        <v>24</v>
      </c>
      <c r="B26" s="10" t="s">
        <v>284</v>
      </c>
      <c r="C26" s="10"/>
      <c r="D26" s="33"/>
      <c r="E26" s="34"/>
      <c r="F26" s="34" t="str">
        <f>IFERROR(VLOOKUP($B26,[1]基础信息表!$A:$F,5,FALSE),"")</f>
        <v>中国工商银行</v>
      </c>
      <c r="G26" s="10">
        <v>3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>
        <f t="shared" si="1"/>
        <v>3</v>
      </c>
      <c r="V26" s="16">
        <f>IFERROR(VLOOKUP($B26,[1]基础信息表!$A:$F,6,FALSE),"")</f>
        <v>360</v>
      </c>
      <c r="W26" s="12">
        <f t="shared" ref="W26:AJ26" si="27">IFERROR(G26*$V26,"")</f>
        <v>1080</v>
      </c>
      <c r="X26" s="12">
        <f t="shared" si="27"/>
        <v>0</v>
      </c>
      <c r="Y26" s="12">
        <f t="shared" si="27"/>
        <v>0</v>
      </c>
      <c r="Z26" s="12">
        <f t="shared" si="27"/>
        <v>0</v>
      </c>
      <c r="AA26" s="12">
        <f t="shared" si="27"/>
        <v>0</v>
      </c>
      <c r="AB26" s="12">
        <f t="shared" si="27"/>
        <v>0</v>
      </c>
      <c r="AC26" s="12">
        <f t="shared" si="27"/>
        <v>0</v>
      </c>
      <c r="AD26" s="12">
        <f t="shared" si="27"/>
        <v>0</v>
      </c>
      <c r="AE26" s="12">
        <f t="shared" si="27"/>
        <v>0</v>
      </c>
      <c r="AF26" s="12">
        <f t="shared" si="27"/>
        <v>0</v>
      </c>
      <c r="AG26" s="12">
        <f t="shared" si="27"/>
        <v>0</v>
      </c>
      <c r="AH26" s="12">
        <f t="shared" si="27"/>
        <v>0</v>
      </c>
      <c r="AI26" s="12">
        <f t="shared" si="27"/>
        <v>0</v>
      </c>
      <c r="AJ26" s="12">
        <f t="shared" si="27"/>
        <v>0</v>
      </c>
      <c r="AK26" s="12">
        <f t="shared" si="3"/>
        <v>1080</v>
      </c>
      <c r="AL26" s="36"/>
      <c r="AM26" s="36"/>
      <c r="AN26" s="36"/>
      <c r="AO26" s="36"/>
      <c r="AP26" s="36"/>
      <c r="AQ26" s="37">
        <f t="shared" si="6"/>
        <v>1080</v>
      </c>
    </row>
    <row r="27" s="1" customFormat="1" customHeight="1" spans="1:43">
      <c r="A27" s="10">
        <f t="shared" si="0"/>
        <v>25</v>
      </c>
      <c r="B27" s="10" t="s">
        <v>285</v>
      </c>
      <c r="C27" s="10"/>
      <c r="D27" s="33"/>
      <c r="E27" s="34"/>
      <c r="F27" s="34" t="str">
        <f>IFERROR(VLOOKUP($B27,[1]基础信息表!$A:$F,5,FALSE),"")</f>
        <v>建行</v>
      </c>
      <c r="G27" s="10">
        <v>3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f t="shared" si="1"/>
        <v>3</v>
      </c>
      <c r="V27" s="16">
        <f>IFERROR(VLOOKUP($B27,[1]基础信息表!$A:$F,6,FALSE),"")</f>
        <v>270</v>
      </c>
      <c r="W27" s="12">
        <f t="shared" ref="W27:AJ27" si="28">IFERROR(G27*$V27,"")</f>
        <v>810</v>
      </c>
      <c r="X27" s="12">
        <f t="shared" si="28"/>
        <v>0</v>
      </c>
      <c r="Y27" s="12">
        <f t="shared" si="28"/>
        <v>0</v>
      </c>
      <c r="Z27" s="12">
        <f t="shared" si="28"/>
        <v>0</v>
      </c>
      <c r="AA27" s="12">
        <f t="shared" si="28"/>
        <v>0</v>
      </c>
      <c r="AB27" s="12">
        <f t="shared" si="28"/>
        <v>0</v>
      </c>
      <c r="AC27" s="12">
        <f t="shared" si="28"/>
        <v>0</v>
      </c>
      <c r="AD27" s="12">
        <f t="shared" si="28"/>
        <v>0</v>
      </c>
      <c r="AE27" s="12">
        <f t="shared" si="28"/>
        <v>0</v>
      </c>
      <c r="AF27" s="12">
        <f t="shared" si="28"/>
        <v>0</v>
      </c>
      <c r="AG27" s="12">
        <f t="shared" si="28"/>
        <v>0</v>
      </c>
      <c r="AH27" s="12">
        <f t="shared" si="28"/>
        <v>0</v>
      </c>
      <c r="AI27" s="12">
        <f t="shared" si="28"/>
        <v>0</v>
      </c>
      <c r="AJ27" s="12">
        <f t="shared" si="28"/>
        <v>0</v>
      </c>
      <c r="AK27" s="12">
        <f t="shared" si="3"/>
        <v>810</v>
      </c>
      <c r="AL27" s="36"/>
      <c r="AM27" s="36"/>
      <c r="AN27" s="36"/>
      <c r="AO27" s="36"/>
      <c r="AP27" s="36"/>
      <c r="AQ27" s="37">
        <f t="shared" si="6"/>
        <v>810</v>
      </c>
    </row>
    <row r="28" s="1" customFormat="1" customHeight="1" spans="1:43">
      <c r="A28" s="10">
        <f t="shared" si="0"/>
        <v>26</v>
      </c>
      <c r="B28" s="10" t="s">
        <v>54</v>
      </c>
      <c r="C28" s="10"/>
      <c r="D28" s="33"/>
      <c r="E28" s="34"/>
      <c r="F28" s="34" t="str">
        <f>IFERROR(VLOOKUP($B28,[1]基础信息表!$A:$F,5,FALSE),"")</f>
        <v>温州银行</v>
      </c>
      <c r="G28" s="10"/>
      <c r="H28" s="10"/>
      <c r="I28" s="10"/>
      <c r="J28" s="10">
        <v>11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f t="shared" si="1"/>
        <v>11</v>
      </c>
      <c r="V28" s="16">
        <f>IFERROR(VLOOKUP($B28,[1]基础信息表!$A:$F,6,FALSE),"")</f>
        <v>400</v>
      </c>
      <c r="W28" s="12">
        <f t="shared" ref="W28:AJ28" si="29">IFERROR(G28*$V28,"")</f>
        <v>0</v>
      </c>
      <c r="X28" s="12">
        <f t="shared" si="29"/>
        <v>0</v>
      </c>
      <c r="Y28" s="12">
        <f t="shared" si="29"/>
        <v>0</v>
      </c>
      <c r="Z28" s="12">
        <f t="shared" si="29"/>
        <v>4400</v>
      </c>
      <c r="AA28" s="12">
        <f t="shared" si="29"/>
        <v>0</v>
      </c>
      <c r="AB28" s="12">
        <f t="shared" si="29"/>
        <v>0</v>
      </c>
      <c r="AC28" s="12">
        <f t="shared" si="29"/>
        <v>0</v>
      </c>
      <c r="AD28" s="12">
        <f t="shared" si="29"/>
        <v>0</v>
      </c>
      <c r="AE28" s="12">
        <f t="shared" si="29"/>
        <v>0</v>
      </c>
      <c r="AF28" s="12">
        <f t="shared" si="29"/>
        <v>0</v>
      </c>
      <c r="AG28" s="12">
        <f t="shared" si="29"/>
        <v>0</v>
      </c>
      <c r="AH28" s="12">
        <f t="shared" si="29"/>
        <v>0</v>
      </c>
      <c r="AI28" s="12">
        <f t="shared" si="29"/>
        <v>0</v>
      </c>
      <c r="AJ28" s="12">
        <f t="shared" si="29"/>
        <v>0</v>
      </c>
      <c r="AK28" s="12">
        <f t="shared" si="3"/>
        <v>4400</v>
      </c>
      <c r="AL28" s="36"/>
      <c r="AM28" s="36"/>
      <c r="AN28" s="36"/>
      <c r="AO28" s="36"/>
      <c r="AP28" s="36"/>
      <c r="AQ28" s="37">
        <f t="shared" si="6"/>
        <v>4400</v>
      </c>
    </row>
    <row r="29" s="1" customFormat="1" customHeight="1" spans="1:43">
      <c r="A29" s="10">
        <f t="shared" si="0"/>
        <v>27</v>
      </c>
      <c r="B29" s="10" t="s">
        <v>286</v>
      </c>
      <c r="C29" s="10"/>
      <c r="D29" s="33"/>
      <c r="E29" s="34"/>
      <c r="F29" s="34" t="str">
        <f>IFERROR(VLOOKUP($B29,[1]基础信息表!$A:$F,5,FALSE),"")</f>
        <v>建行</v>
      </c>
      <c r="G29" s="10">
        <v>29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f t="shared" si="1"/>
        <v>29</v>
      </c>
      <c r="V29" s="16">
        <f>IFERROR(VLOOKUP($B29,[1]基础信息表!$A:$F,6,FALSE),"")</f>
        <v>500</v>
      </c>
      <c r="W29" s="12">
        <f t="shared" ref="W29:AJ29" si="30">IFERROR(G29*$V29,"")</f>
        <v>14500</v>
      </c>
      <c r="X29" s="12">
        <f t="shared" si="30"/>
        <v>0</v>
      </c>
      <c r="Y29" s="12">
        <f t="shared" si="30"/>
        <v>0</v>
      </c>
      <c r="Z29" s="12">
        <f t="shared" si="30"/>
        <v>0</v>
      </c>
      <c r="AA29" s="12">
        <f t="shared" si="30"/>
        <v>0</v>
      </c>
      <c r="AB29" s="12">
        <f t="shared" si="30"/>
        <v>0</v>
      </c>
      <c r="AC29" s="12">
        <f t="shared" si="30"/>
        <v>0</v>
      </c>
      <c r="AD29" s="12">
        <f t="shared" si="30"/>
        <v>0</v>
      </c>
      <c r="AE29" s="12">
        <f t="shared" si="30"/>
        <v>0</v>
      </c>
      <c r="AF29" s="12">
        <f t="shared" si="30"/>
        <v>0</v>
      </c>
      <c r="AG29" s="12">
        <f t="shared" si="30"/>
        <v>0</v>
      </c>
      <c r="AH29" s="12">
        <f t="shared" si="30"/>
        <v>0</v>
      </c>
      <c r="AI29" s="12">
        <f t="shared" si="30"/>
        <v>0</v>
      </c>
      <c r="AJ29" s="12">
        <f t="shared" si="30"/>
        <v>0</v>
      </c>
      <c r="AK29" s="12">
        <f t="shared" si="3"/>
        <v>14500</v>
      </c>
      <c r="AL29" s="36"/>
      <c r="AM29" s="36"/>
      <c r="AN29" s="36"/>
      <c r="AO29" s="36"/>
      <c r="AP29" s="36"/>
      <c r="AQ29" s="37">
        <f t="shared" si="6"/>
        <v>14500</v>
      </c>
    </row>
    <row r="30" s="1" customFormat="1" customHeight="1" spans="1:43">
      <c r="A30" s="10">
        <f t="shared" si="0"/>
        <v>28</v>
      </c>
      <c r="B30" s="10" t="s">
        <v>287</v>
      </c>
      <c r="C30" s="10"/>
      <c r="D30" s="33"/>
      <c r="E30" s="34"/>
      <c r="F30" s="34" t="str">
        <f>IFERROR(VLOOKUP($B30,[1]基础信息表!$A:$F,5,FALSE),"")</f>
        <v>建行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>
        <v>1</v>
      </c>
      <c r="V30" s="16">
        <f>IFERROR(VLOOKUP($B30,[1]基础信息表!$A:$F,6,FALSE),"")</f>
        <v>8000</v>
      </c>
      <c r="W30" s="12">
        <f t="shared" ref="W30:AJ30" si="31">IFERROR(G30*$V30,"")</f>
        <v>0</v>
      </c>
      <c r="X30" s="12">
        <f t="shared" si="31"/>
        <v>0</v>
      </c>
      <c r="Y30" s="12">
        <f t="shared" si="31"/>
        <v>0</v>
      </c>
      <c r="Z30" s="12">
        <f t="shared" si="31"/>
        <v>0</v>
      </c>
      <c r="AA30" s="12">
        <f t="shared" si="31"/>
        <v>0</v>
      </c>
      <c r="AB30" s="12">
        <f t="shared" si="31"/>
        <v>0</v>
      </c>
      <c r="AC30" s="12">
        <f t="shared" si="31"/>
        <v>0</v>
      </c>
      <c r="AD30" s="12">
        <f t="shared" si="31"/>
        <v>0</v>
      </c>
      <c r="AE30" s="12">
        <f t="shared" si="31"/>
        <v>0</v>
      </c>
      <c r="AF30" s="12">
        <f t="shared" si="31"/>
        <v>0</v>
      </c>
      <c r="AG30" s="12">
        <f t="shared" si="31"/>
        <v>0</v>
      </c>
      <c r="AH30" s="12">
        <f t="shared" si="31"/>
        <v>0</v>
      </c>
      <c r="AI30" s="12">
        <f t="shared" si="31"/>
        <v>0</v>
      </c>
      <c r="AJ30" s="12">
        <f t="shared" si="31"/>
        <v>0</v>
      </c>
      <c r="AK30" s="12">
        <f t="shared" si="3"/>
        <v>8000</v>
      </c>
      <c r="AL30" s="36"/>
      <c r="AM30" s="36"/>
      <c r="AN30" s="36"/>
      <c r="AO30" s="36"/>
      <c r="AP30" s="36"/>
      <c r="AQ30" s="37">
        <f t="shared" si="6"/>
        <v>8000</v>
      </c>
    </row>
    <row r="31" s="1" customFormat="1" customHeight="1" spans="1:43">
      <c r="A31" s="10">
        <f t="shared" si="0"/>
        <v>29</v>
      </c>
      <c r="B31" s="10" t="s">
        <v>288</v>
      </c>
      <c r="C31" s="10"/>
      <c r="D31" s="33"/>
      <c r="E31" s="34"/>
      <c r="F31" s="34" t="str">
        <f>IFERROR(VLOOKUP($B31,[1]基础信息表!$A:$F,5,FALSE),"")</f>
        <v>农行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</v>
      </c>
      <c r="V31" s="16">
        <f>IFERROR(VLOOKUP($B31,[1]基础信息表!$A:$F,6,FALSE),"")</f>
        <v>5000</v>
      </c>
      <c r="W31" s="12">
        <f t="shared" ref="W31:AJ31" si="32">IFERROR(G31*$V31,"")</f>
        <v>0</v>
      </c>
      <c r="X31" s="12">
        <f t="shared" si="32"/>
        <v>0</v>
      </c>
      <c r="Y31" s="12">
        <f t="shared" si="32"/>
        <v>0</v>
      </c>
      <c r="Z31" s="12">
        <f t="shared" si="32"/>
        <v>0</v>
      </c>
      <c r="AA31" s="12">
        <f t="shared" si="32"/>
        <v>0</v>
      </c>
      <c r="AB31" s="12">
        <f t="shared" si="32"/>
        <v>0</v>
      </c>
      <c r="AC31" s="12">
        <f t="shared" si="32"/>
        <v>0</v>
      </c>
      <c r="AD31" s="12">
        <f t="shared" si="32"/>
        <v>0</v>
      </c>
      <c r="AE31" s="12">
        <f t="shared" si="32"/>
        <v>0</v>
      </c>
      <c r="AF31" s="12">
        <f t="shared" si="32"/>
        <v>0</v>
      </c>
      <c r="AG31" s="12">
        <f t="shared" si="32"/>
        <v>0</v>
      </c>
      <c r="AH31" s="12">
        <f t="shared" si="32"/>
        <v>0</v>
      </c>
      <c r="AI31" s="12">
        <f t="shared" si="32"/>
        <v>0</v>
      </c>
      <c r="AJ31" s="12">
        <f t="shared" si="32"/>
        <v>0</v>
      </c>
      <c r="AK31" s="12">
        <f t="shared" si="3"/>
        <v>5000</v>
      </c>
      <c r="AL31" s="36"/>
      <c r="AM31" s="36"/>
      <c r="AN31" s="36"/>
      <c r="AO31" s="36"/>
      <c r="AP31" s="36"/>
      <c r="AQ31" s="37">
        <f t="shared" si="6"/>
        <v>5000</v>
      </c>
    </row>
    <row r="32" s="1" customFormat="1" customHeight="1" spans="1:43">
      <c r="A32" s="10">
        <f t="shared" si="0"/>
        <v>30</v>
      </c>
      <c r="B32" s="10" t="s">
        <v>289</v>
      </c>
      <c r="C32" s="10"/>
      <c r="D32" s="33"/>
      <c r="E32" s="34"/>
      <c r="F32" s="34" t="str">
        <f>IFERROR(VLOOKUP($B32,[1]基础信息表!$A:$F,5,FALSE),"")</f>
        <v>德安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>
        <v>1</v>
      </c>
      <c r="V32" s="16">
        <f>IFERROR(VLOOKUP($B32,[1]基础信息表!$A:$F,6,FALSE),"")</f>
        <v>10000</v>
      </c>
      <c r="W32" s="12">
        <f t="shared" ref="W32:AJ32" si="33">IFERROR(G32*$V32,"")</f>
        <v>0</v>
      </c>
      <c r="X32" s="12">
        <f t="shared" si="33"/>
        <v>0</v>
      </c>
      <c r="Y32" s="12">
        <f t="shared" si="33"/>
        <v>0</v>
      </c>
      <c r="Z32" s="12">
        <f t="shared" si="33"/>
        <v>0</v>
      </c>
      <c r="AA32" s="12">
        <f t="shared" si="33"/>
        <v>0</v>
      </c>
      <c r="AB32" s="12">
        <f t="shared" si="33"/>
        <v>0</v>
      </c>
      <c r="AC32" s="12">
        <f t="shared" si="33"/>
        <v>0</v>
      </c>
      <c r="AD32" s="12">
        <f t="shared" si="33"/>
        <v>0</v>
      </c>
      <c r="AE32" s="12">
        <f t="shared" si="33"/>
        <v>0</v>
      </c>
      <c r="AF32" s="12">
        <f t="shared" si="33"/>
        <v>0</v>
      </c>
      <c r="AG32" s="12">
        <f t="shared" si="33"/>
        <v>0</v>
      </c>
      <c r="AH32" s="12">
        <f t="shared" si="33"/>
        <v>0</v>
      </c>
      <c r="AI32" s="12">
        <f t="shared" si="33"/>
        <v>0</v>
      </c>
      <c r="AJ32" s="12">
        <f t="shared" si="33"/>
        <v>0</v>
      </c>
      <c r="AK32" s="12">
        <f t="shared" si="3"/>
        <v>10000</v>
      </c>
      <c r="AL32" s="36"/>
      <c r="AM32" s="36"/>
      <c r="AN32" s="36"/>
      <c r="AO32" s="36"/>
      <c r="AP32" s="36"/>
      <c r="AQ32" s="37">
        <f t="shared" si="6"/>
        <v>10000</v>
      </c>
    </row>
    <row r="33" s="1" customFormat="1" customHeight="1" spans="1:43">
      <c r="A33" s="10">
        <f t="shared" si="0"/>
        <v>31</v>
      </c>
      <c r="B33" s="10" t="s">
        <v>290</v>
      </c>
      <c r="C33" s="10"/>
      <c r="D33" s="33"/>
      <c r="E33" s="34"/>
      <c r="F33" s="34" t="str">
        <f>IFERROR(VLOOKUP($B33,[1]基础信息表!$A:$F,5,FALSE),"")</f>
        <v>共青农商行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</v>
      </c>
      <c r="V33" s="16">
        <f>IFERROR(VLOOKUP($B33,[1]基础信息表!$A:$F,6,FALSE),"")</f>
        <v>10000</v>
      </c>
      <c r="W33" s="12">
        <f t="shared" ref="W33:AJ33" si="34">IFERROR(G33*$V33,"")</f>
        <v>0</v>
      </c>
      <c r="X33" s="12">
        <f t="shared" si="34"/>
        <v>0</v>
      </c>
      <c r="Y33" s="12">
        <f t="shared" si="34"/>
        <v>0</v>
      </c>
      <c r="Z33" s="12">
        <f t="shared" si="34"/>
        <v>0</v>
      </c>
      <c r="AA33" s="12">
        <f t="shared" si="34"/>
        <v>0</v>
      </c>
      <c r="AB33" s="12">
        <f t="shared" si="34"/>
        <v>0</v>
      </c>
      <c r="AC33" s="12">
        <f t="shared" si="34"/>
        <v>0</v>
      </c>
      <c r="AD33" s="12">
        <f t="shared" si="34"/>
        <v>0</v>
      </c>
      <c r="AE33" s="12">
        <f t="shared" si="34"/>
        <v>0</v>
      </c>
      <c r="AF33" s="12">
        <f t="shared" si="34"/>
        <v>0</v>
      </c>
      <c r="AG33" s="12">
        <f t="shared" si="34"/>
        <v>0</v>
      </c>
      <c r="AH33" s="12">
        <f t="shared" si="34"/>
        <v>0</v>
      </c>
      <c r="AI33" s="12">
        <f t="shared" si="34"/>
        <v>0</v>
      </c>
      <c r="AJ33" s="12">
        <f t="shared" si="34"/>
        <v>0</v>
      </c>
      <c r="AK33" s="12">
        <f t="shared" si="3"/>
        <v>10000</v>
      </c>
      <c r="AL33" s="36"/>
      <c r="AM33" s="36"/>
      <c r="AN33" s="36"/>
      <c r="AO33" s="36"/>
      <c r="AP33" s="36"/>
      <c r="AQ33" s="37">
        <f t="shared" si="6"/>
        <v>10000</v>
      </c>
    </row>
    <row r="34" s="1" customFormat="1" customHeight="1" spans="1:43">
      <c r="A34" s="10">
        <f t="shared" si="0"/>
        <v>32</v>
      </c>
      <c r="B34" s="10" t="s">
        <v>291</v>
      </c>
      <c r="C34" s="10"/>
      <c r="D34" s="33"/>
      <c r="E34" s="34"/>
      <c r="F34" s="34" t="str">
        <f>IFERROR(VLOOKUP($B34,[1]基础信息表!$A:$F,5,FALSE),"")</f>
        <v>九江银行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>
        <v>1</v>
      </c>
      <c r="V34" s="16">
        <f>IFERROR(VLOOKUP($B34,[1]基础信息表!$A:$F,6,FALSE),"")</f>
        <v>4500</v>
      </c>
      <c r="W34" s="12">
        <f t="shared" ref="W34:AJ34" si="35">IFERROR(G34*$V34,"")</f>
        <v>0</v>
      </c>
      <c r="X34" s="12">
        <f t="shared" si="35"/>
        <v>0</v>
      </c>
      <c r="Y34" s="12">
        <f t="shared" si="35"/>
        <v>0</v>
      </c>
      <c r="Z34" s="12">
        <f t="shared" si="35"/>
        <v>0</v>
      </c>
      <c r="AA34" s="12">
        <f t="shared" si="35"/>
        <v>0</v>
      </c>
      <c r="AB34" s="12">
        <f t="shared" si="35"/>
        <v>0</v>
      </c>
      <c r="AC34" s="12">
        <f t="shared" si="35"/>
        <v>0</v>
      </c>
      <c r="AD34" s="12">
        <f t="shared" si="35"/>
        <v>0</v>
      </c>
      <c r="AE34" s="12">
        <f t="shared" si="35"/>
        <v>0</v>
      </c>
      <c r="AF34" s="12">
        <f t="shared" si="35"/>
        <v>0</v>
      </c>
      <c r="AG34" s="12">
        <f t="shared" si="35"/>
        <v>0</v>
      </c>
      <c r="AH34" s="12">
        <f t="shared" si="35"/>
        <v>0</v>
      </c>
      <c r="AI34" s="12">
        <f t="shared" si="35"/>
        <v>0</v>
      </c>
      <c r="AJ34" s="12">
        <f t="shared" si="35"/>
        <v>0</v>
      </c>
      <c r="AK34" s="12">
        <f t="shared" si="3"/>
        <v>4500</v>
      </c>
      <c r="AL34" s="36"/>
      <c r="AM34" s="36"/>
      <c r="AN34" s="36"/>
      <c r="AO34" s="36"/>
      <c r="AP34" s="36"/>
      <c r="AQ34" s="37">
        <f t="shared" si="6"/>
        <v>4500</v>
      </c>
    </row>
    <row r="35" s="1" customFormat="1" customHeight="1" spans="1:43">
      <c r="A35" s="10">
        <f t="shared" si="0"/>
        <v>33</v>
      </c>
      <c r="B35" s="10"/>
      <c r="C35" s="10"/>
      <c r="D35" s="33"/>
      <c r="E35" s="34"/>
      <c r="F35" s="34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f t="shared" ref="U35:U39" si="36">SUM(G35:T35)</f>
        <v>0</v>
      </c>
      <c r="V35" s="16" t="str">
        <f>IFERROR(VLOOKUP($B35,[1]基础信息表!$A:$F,6,FALSE),"")</f>
        <v/>
      </c>
      <c r="W35" s="12" t="str">
        <f t="shared" ref="W35:AJ35" si="37">IFERROR(G35*$V35,"")</f>
        <v/>
      </c>
      <c r="X35" s="12" t="str">
        <f t="shared" si="37"/>
        <v/>
      </c>
      <c r="Y35" s="12" t="str">
        <f t="shared" si="37"/>
        <v/>
      </c>
      <c r="Z35" s="12" t="str">
        <f t="shared" si="37"/>
        <v/>
      </c>
      <c r="AA35" s="12" t="str">
        <f t="shared" si="37"/>
        <v/>
      </c>
      <c r="AB35" s="12" t="str">
        <f t="shared" si="37"/>
        <v/>
      </c>
      <c r="AC35" s="12" t="str">
        <f t="shared" si="37"/>
        <v/>
      </c>
      <c r="AD35" s="12" t="str">
        <f t="shared" si="37"/>
        <v/>
      </c>
      <c r="AE35" s="12" t="str">
        <f t="shared" si="37"/>
        <v/>
      </c>
      <c r="AF35" s="12" t="str">
        <f t="shared" si="37"/>
        <v/>
      </c>
      <c r="AG35" s="12" t="str">
        <f t="shared" si="37"/>
        <v/>
      </c>
      <c r="AH35" s="12" t="str">
        <f t="shared" si="37"/>
        <v/>
      </c>
      <c r="AI35" s="12" t="str">
        <f t="shared" si="37"/>
        <v/>
      </c>
      <c r="AJ35" s="12" t="str">
        <f t="shared" si="37"/>
        <v/>
      </c>
      <c r="AK35" s="12" t="str">
        <f t="shared" si="3"/>
        <v/>
      </c>
      <c r="AL35" s="36"/>
      <c r="AM35" s="36"/>
      <c r="AN35" s="36"/>
      <c r="AO35" s="36"/>
      <c r="AP35" s="36"/>
      <c r="AQ35" s="37" t="e">
        <f t="shared" si="6"/>
        <v>#VALUE!</v>
      </c>
    </row>
    <row r="36" s="1" customFormat="1" customHeight="1" spans="1:43">
      <c r="A36" s="10">
        <f t="shared" si="0"/>
        <v>34</v>
      </c>
      <c r="B36" s="10"/>
      <c r="C36" s="10"/>
      <c r="D36" s="33"/>
      <c r="E36" s="34"/>
      <c r="F36" s="34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>
        <f t="shared" si="36"/>
        <v>0</v>
      </c>
      <c r="V36" s="10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>
        <f t="shared" si="3"/>
        <v>0</v>
      </c>
      <c r="AL36" s="36"/>
      <c r="AM36" s="36"/>
      <c r="AN36" s="36"/>
      <c r="AO36" s="36"/>
      <c r="AP36" s="36"/>
      <c r="AQ36" s="37">
        <f t="shared" si="6"/>
        <v>0</v>
      </c>
    </row>
    <row r="37" s="1" customFormat="1" customHeight="1" spans="1:43">
      <c r="A37" s="10">
        <f t="shared" si="0"/>
        <v>35</v>
      </c>
      <c r="B37" s="10"/>
      <c r="C37" s="10"/>
      <c r="D37" s="33"/>
      <c r="E37" s="34"/>
      <c r="F37" s="34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>
        <f t="shared" si="36"/>
        <v>0</v>
      </c>
      <c r="V37" s="10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>
        <f t="shared" si="3"/>
        <v>0</v>
      </c>
      <c r="AL37" s="36"/>
      <c r="AM37" s="36"/>
      <c r="AN37" s="36"/>
      <c r="AO37" s="36"/>
      <c r="AP37" s="36"/>
      <c r="AQ37" s="37">
        <f t="shared" si="6"/>
        <v>0</v>
      </c>
    </row>
    <row r="38" s="1" customFormat="1" customHeight="1" spans="1:43">
      <c r="A38" s="10">
        <f t="shared" si="0"/>
        <v>36</v>
      </c>
      <c r="B38" s="10"/>
      <c r="C38" s="10"/>
      <c r="D38" s="33"/>
      <c r="E38" s="34"/>
      <c r="F38" s="34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>
        <f t="shared" si="36"/>
        <v>0</v>
      </c>
      <c r="V38" s="10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>
        <f t="shared" si="3"/>
        <v>0</v>
      </c>
      <c r="AL38" s="36"/>
      <c r="AM38" s="36"/>
      <c r="AN38" s="36"/>
      <c r="AO38" s="36"/>
      <c r="AP38" s="36"/>
      <c r="AQ38" s="37">
        <f t="shared" si="6"/>
        <v>0</v>
      </c>
    </row>
    <row r="39" s="1" customFormat="1" customHeight="1" spans="1:43">
      <c r="A39" s="10"/>
      <c r="B39" s="10"/>
      <c r="C39" s="10"/>
      <c r="D39" s="33"/>
      <c r="E39" s="34"/>
      <c r="F39" s="34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>
        <f t="shared" si="36"/>
        <v>0</v>
      </c>
      <c r="V39" s="10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>
        <f t="shared" si="3"/>
        <v>0</v>
      </c>
      <c r="AL39" s="36"/>
      <c r="AM39" s="36"/>
      <c r="AN39" s="36"/>
      <c r="AO39" s="36"/>
      <c r="AP39" s="36"/>
      <c r="AQ39" s="37">
        <f t="shared" si="6"/>
        <v>0</v>
      </c>
    </row>
    <row r="40" s="1" customFormat="1" customHeight="1" spans="1:43">
      <c r="A40" s="10"/>
      <c r="B40" s="10"/>
      <c r="C40" s="10"/>
      <c r="D40" s="33"/>
      <c r="E40" s="34"/>
      <c r="F40" s="34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 t="s">
        <v>292</v>
      </c>
      <c r="W40" s="12">
        <f t="shared" ref="W40:AA40" si="38">SUM(W3:W39)</f>
        <v>103438.9</v>
      </c>
      <c r="X40" s="12">
        <f t="shared" si="38"/>
        <v>3275</v>
      </c>
      <c r="Y40" s="2">
        <f t="shared" si="38"/>
        <v>0</v>
      </c>
      <c r="Z40" s="2">
        <f t="shared" si="38"/>
        <v>24235</v>
      </c>
      <c r="AA40" s="2">
        <f t="shared" si="38"/>
        <v>5610</v>
      </c>
      <c r="AB40" s="2"/>
      <c r="AC40" s="2"/>
      <c r="AD40" s="2"/>
      <c r="AE40" s="2"/>
      <c r="AF40" s="2"/>
      <c r="AG40" s="2"/>
      <c r="AH40" s="2"/>
      <c r="AI40" s="2"/>
      <c r="AJ40" s="2">
        <f>SUM(AJ3:AJ39)</f>
        <v>0</v>
      </c>
      <c r="AK40" s="2">
        <f>SUM(AK3:AK39)</f>
        <v>174058.9</v>
      </c>
      <c r="AQ40" s="37">
        <f t="shared" si="6"/>
        <v>174058.9</v>
      </c>
    </row>
    <row r="41" customHeight="1" spans="1:43">
      <c r="B41" s="1" t="s">
        <v>293</v>
      </c>
      <c r="AQ41" s="37">
        <f t="shared" si="6"/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G10" sqref="G10"/>
    </sheetView>
  </sheetViews>
  <sheetFormatPr defaultColWidth="12.2545454545455" defaultRowHeight="14"/>
  <cols>
    <col min="1" max="1" width="6.25454545454545" style="1" customWidth="1"/>
    <col min="2" max="2" width="20.1272727272727" style="1" customWidth="1"/>
    <col min="3" max="6" width="12.2545454545455" style="2" customWidth="1"/>
    <col min="7" max="7" width="20.0909090909091" style="2" customWidth="1"/>
    <col min="8" max="8" width="12.2545454545455" style="2" customWidth="1"/>
    <col min="9" max="9" width="15.9090909090909" style="2" customWidth="1"/>
    <col min="10" max="14" width="12.2545454545455" style="2" hidden="1" customWidth="1"/>
    <col min="15" max="16" width="12.2545454545455" style="2" customWidth="1"/>
    <col min="17" max="16383" width="12.2545454545455" style="1" customWidth="1"/>
    <col min="16384" max="16384" width="12.2545454545455" style="1"/>
  </cols>
  <sheetData>
    <row r="1" s="1" customFormat="1" ht="43" customHeight="1" spans="1:16">
      <c r="A1" s="3"/>
      <c r="B1" s="4" t="s">
        <v>294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2"/>
      <c r="P1" s="2"/>
    </row>
    <row r="2" s="1" customFormat="1" ht="39" customHeight="1" spans="1:16">
      <c r="A2" s="6" t="s">
        <v>21</v>
      </c>
      <c r="B2" s="7" t="s">
        <v>295</v>
      </c>
      <c r="C2" s="8" t="s">
        <v>13</v>
      </c>
      <c r="D2" s="8" t="s">
        <v>27</v>
      </c>
      <c r="E2" s="8" t="s">
        <v>78</v>
      </c>
      <c r="F2" s="8" t="s">
        <v>246</v>
      </c>
      <c r="G2" s="8" t="s">
        <v>296</v>
      </c>
      <c r="H2" s="8" t="s">
        <v>297</v>
      </c>
      <c r="I2" s="8" t="s">
        <v>298</v>
      </c>
      <c r="J2" s="8"/>
      <c r="K2" s="8"/>
      <c r="L2" s="8"/>
      <c r="M2" s="8"/>
      <c r="N2" s="8"/>
      <c r="O2" s="9" t="s">
        <v>299</v>
      </c>
      <c r="P2" s="2"/>
    </row>
    <row r="3" s="1" customFormat="1" ht="30" customHeight="1" spans="1:16">
      <c r="A3" s="10">
        <v>1</v>
      </c>
      <c r="B3" s="11" t="s">
        <v>300</v>
      </c>
      <c r="C3" s="12">
        <v>1073656.4</v>
      </c>
      <c r="D3" s="12">
        <v>402775</v>
      </c>
      <c r="E3" s="12"/>
      <c r="F3" s="12">
        <v>96985</v>
      </c>
      <c r="G3" s="12"/>
      <c r="H3" s="12"/>
      <c r="I3" s="12"/>
      <c r="J3" s="12"/>
      <c r="K3" s="12"/>
      <c r="L3" s="12"/>
      <c r="M3" s="12"/>
      <c r="N3" s="12"/>
      <c r="O3" s="13">
        <f t="shared" ref="O3:O16" si="0">SUM(C3:N3)</f>
        <v>1573416.4</v>
      </c>
      <c r="P3" s="2"/>
    </row>
    <row r="4" s="1" customFormat="1" ht="30" customHeight="1" spans="1:16">
      <c r="A4" s="14">
        <v>2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3">
        <f t="shared" si="0"/>
        <v>0</v>
      </c>
      <c r="P4" s="2"/>
    </row>
    <row r="5" s="1" customFormat="1" ht="30" customHeight="1" spans="1:16">
      <c r="A5" s="10">
        <v>3</v>
      </c>
      <c r="B5" s="11" t="s">
        <v>301</v>
      </c>
      <c r="C5" s="12">
        <v>214880</v>
      </c>
      <c r="D5" s="12">
        <v>24950</v>
      </c>
      <c r="E5" s="12">
        <v>14295</v>
      </c>
      <c r="F5" s="12"/>
      <c r="G5" s="12"/>
      <c r="H5" s="12"/>
      <c r="I5" s="12"/>
      <c r="J5" s="12"/>
      <c r="K5" s="12"/>
      <c r="L5" s="12"/>
      <c r="M5" s="12"/>
      <c r="N5" s="12"/>
      <c r="O5" s="13">
        <f t="shared" si="0"/>
        <v>254125</v>
      </c>
      <c r="P5" s="2"/>
    </row>
    <row r="6" s="1" customFormat="1" ht="30" customHeight="1" spans="1:16">
      <c r="A6" s="14">
        <v>4</v>
      </c>
      <c r="B6" s="15" t="s">
        <v>302</v>
      </c>
      <c r="C6" s="16">
        <v>103438.9</v>
      </c>
      <c r="D6" s="16">
        <v>3275</v>
      </c>
      <c r="E6" s="16">
        <v>24235</v>
      </c>
      <c r="F6" s="16">
        <v>5610</v>
      </c>
      <c r="G6" s="17">
        <v>360</v>
      </c>
      <c r="H6" s="16"/>
      <c r="I6" s="16"/>
      <c r="J6" s="16"/>
      <c r="K6" s="16"/>
      <c r="L6" s="16"/>
      <c r="M6" s="16"/>
      <c r="N6" s="16"/>
      <c r="O6" s="13">
        <f t="shared" si="0"/>
        <v>136918.9</v>
      </c>
      <c r="P6" s="2"/>
    </row>
    <row r="7" s="1" customFormat="1" ht="30" customHeight="1" spans="1:16">
      <c r="A7" s="10">
        <v>5</v>
      </c>
      <c r="B7" s="11" t="s">
        <v>303</v>
      </c>
      <c r="C7" s="12">
        <v>32665</v>
      </c>
      <c r="D7" s="12"/>
      <c r="E7" s="12">
        <v>7240</v>
      </c>
      <c r="F7" s="12">
        <v>9070</v>
      </c>
      <c r="G7" s="12">
        <v>1820</v>
      </c>
      <c r="H7" s="12"/>
      <c r="I7" s="12"/>
      <c r="J7" s="12"/>
      <c r="K7" s="12"/>
      <c r="L7" s="12"/>
      <c r="M7" s="12"/>
      <c r="N7" s="12"/>
      <c r="O7" s="13">
        <f t="shared" si="0"/>
        <v>50795</v>
      </c>
      <c r="P7" s="2"/>
    </row>
    <row r="8" s="1" customFormat="1" ht="30" customHeight="1" spans="1:16">
      <c r="A8" s="14">
        <v>6</v>
      </c>
      <c r="B8" s="15" t="s">
        <v>304</v>
      </c>
      <c r="C8" s="16">
        <v>23600</v>
      </c>
      <c r="D8" s="16">
        <v>3915</v>
      </c>
      <c r="E8" s="16">
        <v>4310</v>
      </c>
      <c r="F8" s="16">
        <v>7670</v>
      </c>
      <c r="G8" s="16"/>
      <c r="H8" s="16"/>
      <c r="I8" s="16"/>
      <c r="J8" s="16"/>
      <c r="K8" s="16"/>
      <c r="L8" s="16"/>
      <c r="M8" s="16"/>
      <c r="N8" s="16"/>
      <c r="O8" s="13">
        <f t="shared" si="0"/>
        <v>39495</v>
      </c>
      <c r="P8" s="2"/>
    </row>
    <row r="9" s="1" customFormat="1" ht="30" customHeight="1" spans="1:16">
      <c r="A9" s="10">
        <v>7</v>
      </c>
      <c r="B9" s="11" t="s">
        <v>305</v>
      </c>
      <c r="C9" s="12">
        <v>43790</v>
      </c>
      <c r="D9" s="12"/>
      <c r="E9" s="12">
        <v>1300</v>
      </c>
      <c r="F9" s="12">
        <v>470</v>
      </c>
      <c r="G9" s="12"/>
      <c r="H9" s="12"/>
      <c r="I9" s="12"/>
      <c r="J9" s="12"/>
      <c r="K9" s="12"/>
      <c r="L9" s="12"/>
      <c r="M9" s="12"/>
      <c r="N9" s="12"/>
      <c r="O9" s="13">
        <f t="shared" si="0"/>
        <v>45560</v>
      </c>
      <c r="P9" s="2"/>
    </row>
    <row r="10" s="1" customFormat="1" ht="30" customHeight="1" spans="1:16">
      <c r="A10" s="14">
        <v>8</v>
      </c>
      <c r="B10" s="15" t="s">
        <v>306</v>
      </c>
      <c r="C10" s="16">
        <v>33940</v>
      </c>
      <c r="D10" s="16"/>
      <c r="E10" s="16"/>
      <c r="F10" s="16"/>
      <c r="G10" s="16"/>
      <c r="H10" s="16">
        <v>3405</v>
      </c>
      <c r="I10" s="16">
        <v>1300</v>
      </c>
      <c r="J10" s="16"/>
      <c r="K10" s="16"/>
      <c r="L10" s="16"/>
      <c r="M10" s="16"/>
      <c r="N10" s="16"/>
      <c r="O10" s="13">
        <f t="shared" si="0"/>
        <v>38645</v>
      </c>
      <c r="P10" s="2"/>
    </row>
    <row r="11" s="1" customFormat="1" ht="30" customHeight="1" spans="1:16">
      <c r="A11" s="10">
        <v>9</v>
      </c>
      <c r="B11" s="11" t="s">
        <v>307</v>
      </c>
      <c r="C11" s="12"/>
      <c r="D11" s="17">
        <v>14050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0"/>
        <v>14050</v>
      </c>
      <c r="P11" s="2"/>
    </row>
    <row r="12" s="1" customFormat="1" ht="30" customHeight="1" spans="1:16">
      <c r="A12" s="14">
        <v>10</v>
      </c>
      <c r="B12" s="15" t="s">
        <v>308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3">
        <f t="shared" si="0"/>
        <v>0</v>
      </c>
      <c r="P12" s="2"/>
    </row>
    <row r="13" s="1" customFormat="1" ht="30" customHeight="1" spans="1:16">
      <c r="A13" s="10">
        <v>11</v>
      </c>
      <c r="B13" s="11" t="s">
        <v>309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0"/>
        <v>0</v>
      </c>
      <c r="P13" s="2"/>
    </row>
    <row r="14" s="1" customFormat="1" ht="30" customHeight="1" spans="1:16">
      <c r="A14" s="14">
        <v>12</v>
      </c>
      <c r="B14" s="15" t="s">
        <v>310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3">
        <f t="shared" si="0"/>
        <v>0</v>
      </c>
      <c r="P14" s="2"/>
    </row>
    <row r="15" customFormat="1" ht="46" customHeight="1" spans="1:16">
      <c r="A15" s="18"/>
      <c r="B15" s="18" t="s">
        <v>311</v>
      </c>
      <c r="C15" s="12">
        <f t="shared" ref="C15:N15" si="1">SUM(C5:C14)</f>
        <v>452313.9</v>
      </c>
      <c r="D15" s="12">
        <f t="shared" si="1"/>
        <v>46190</v>
      </c>
      <c r="E15" s="12">
        <f t="shared" si="1"/>
        <v>51380</v>
      </c>
      <c r="F15" s="12">
        <f t="shared" si="1"/>
        <v>22820</v>
      </c>
      <c r="G15" s="12">
        <f t="shared" si="1"/>
        <v>2180</v>
      </c>
      <c r="H15" s="12">
        <f t="shared" si="1"/>
        <v>3405</v>
      </c>
      <c r="I15" s="12">
        <f t="shared" si="1"/>
        <v>1300</v>
      </c>
      <c r="J15" s="12">
        <f t="shared" si="1"/>
        <v>0</v>
      </c>
      <c r="K15" s="12">
        <f t="shared" si="1"/>
        <v>0</v>
      </c>
      <c r="L15" s="12">
        <f t="shared" si="1"/>
        <v>0</v>
      </c>
      <c r="M15" s="12">
        <f t="shared" si="1"/>
        <v>0</v>
      </c>
      <c r="N15" s="12">
        <f t="shared" si="1"/>
        <v>0</v>
      </c>
      <c r="O15" s="13">
        <f t="shared" si="0"/>
        <v>579588.9</v>
      </c>
      <c r="P15" s="2"/>
    </row>
    <row r="16" s="1" customFormat="1" ht="46" customHeight="1" spans="1:16">
      <c r="A16" s="18" t="s">
        <v>312</v>
      </c>
      <c r="B16" s="18"/>
      <c r="C16" s="12">
        <f t="shared" ref="C16:N16" si="2">SUM(C3:C14)</f>
        <v>1525970.3</v>
      </c>
      <c r="D16" s="12">
        <f t="shared" si="2"/>
        <v>448965</v>
      </c>
      <c r="E16" s="12">
        <f t="shared" si="2"/>
        <v>51380</v>
      </c>
      <c r="F16" s="12">
        <f t="shared" si="2"/>
        <v>119805</v>
      </c>
      <c r="G16" s="12">
        <f t="shared" si="2"/>
        <v>2180</v>
      </c>
      <c r="H16" s="12">
        <f t="shared" si="2"/>
        <v>3405</v>
      </c>
      <c r="I16" s="12">
        <f t="shared" si="2"/>
        <v>1300</v>
      </c>
      <c r="J16" s="12">
        <f t="shared" si="2"/>
        <v>0</v>
      </c>
      <c r="K16" s="12">
        <f t="shared" si="2"/>
        <v>0</v>
      </c>
      <c r="L16" s="12">
        <f t="shared" si="2"/>
        <v>0</v>
      </c>
      <c r="M16" s="12">
        <f t="shared" si="2"/>
        <v>0</v>
      </c>
      <c r="N16" s="12">
        <f t="shared" si="2"/>
        <v>0</v>
      </c>
      <c r="O16" s="13">
        <f t="shared" si="0"/>
        <v>2153005.3</v>
      </c>
      <c r="P16" s="2"/>
    </row>
    <row r="18" s="1" customFormat="1" spans="3:16">
      <c r="C18" s="2"/>
      <c r="D18" s="2"/>
      <c r="E18" s="2"/>
      <c r="F18" s="2"/>
      <c r="G18" s="2" t="s">
        <v>313</v>
      </c>
      <c r="H18" s="2"/>
      <c r="I18" s="2"/>
      <c r="J18" s="2"/>
      <c r="K18" s="2"/>
      <c r="L18" s="2"/>
      <c r="M18" s="2"/>
      <c r="N18" s="2"/>
      <c r="O18" s="2"/>
      <c r="P18" s="2"/>
    </row>
    <row r="19" s="1" customFormat="1" spans="3:16">
      <c r="C19" s="2"/>
      <c r="D19" s="2" t="s">
        <v>314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</sheetData>
  <mergeCells count="1">
    <mergeCell ref="A16:B1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M15" sqref="M15"/>
    </sheetView>
  </sheetViews>
  <sheetFormatPr defaultColWidth="8.72727272727273" defaultRowHeight="14"/>
  <sheetData>
    <row r="1" spans="1:10">
      <c r="E1" t="s">
        <v>315</v>
      </c>
    </row>
    <row r="2" spans="1:10">
      <c r="A2" t="s">
        <v>238</v>
      </c>
      <c r="B2" t="s">
        <v>316</v>
      </c>
      <c r="C2" t="s">
        <v>248</v>
      </c>
      <c r="D2" t="s">
        <v>255</v>
      </c>
      <c r="E2" t="s">
        <v>317</v>
      </c>
      <c r="F2" t="s">
        <v>258</v>
      </c>
      <c r="G2" t="s">
        <v>104</v>
      </c>
      <c r="H2" t="s">
        <v>259</v>
      </c>
      <c r="I2" t="s">
        <v>257</v>
      </c>
      <c r="J2" t="s">
        <v>260</v>
      </c>
    </row>
    <row r="3" spans="1:10">
      <c r="A3" t="s">
        <v>284</v>
      </c>
      <c r="B3">
        <v>360</v>
      </c>
      <c r="C3">
        <v>26</v>
      </c>
      <c r="D3">
        <v>9360</v>
      </c>
      <c r="E3">
        <v>0</v>
      </c>
      <c r="F3">
        <v>0</v>
      </c>
      <c r="G3">
        <v>0</v>
      </c>
      <c r="H3">
        <v>0</v>
      </c>
      <c r="I3">
        <v>0</v>
      </c>
      <c r="J3">
        <v>9360</v>
      </c>
    </row>
    <row r="4" spans="1:10">
      <c r="A4" t="s">
        <v>318</v>
      </c>
      <c r="B4">
        <v>260</v>
      </c>
      <c r="C4">
        <v>4</v>
      </c>
      <c r="D4">
        <v>1040</v>
      </c>
      <c r="E4">
        <v>1040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280</v>
      </c>
      <c r="B5">
        <v>370</v>
      </c>
      <c r="C5">
        <v>27</v>
      </c>
      <c r="D5">
        <v>9990</v>
      </c>
      <c r="E5">
        <v>4000</v>
      </c>
      <c r="F5">
        <v>0</v>
      </c>
      <c r="G5">
        <v>0</v>
      </c>
      <c r="H5">
        <v>0</v>
      </c>
      <c r="I5">
        <v>0</v>
      </c>
      <c r="J5">
        <v>5990</v>
      </c>
    </row>
    <row r="6" spans="1:10">
      <c r="A6" t="s">
        <v>266</v>
      </c>
      <c r="B6">
        <v>200</v>
      </c>
      <c r="C6">
        <v>32.5</v>
      </c>
      <c r="D6">
        <v>6500</v>
      </c>
      <c r="E6">
        <v>4000</v>
      </c>
      <c r="F6">
        <v>0</v>
      </c>
      <c r="G6">
        <v>0</v>
      </c>
      <c r="H6">
        <v>0</v>
      </c>
      <c r="I6">
        <v>0</v>
      </c>
      <c r="J6">
        <v>2500</v>
      </c>
    </row>
    <row r="7" spans="1:10">
      <c r="A7" t="s">
        <v>265</v>
      </c>
      <c r="B7">
        <v>350</v>
      </c>
      <c r="C7">
        <v>37</v>
      </c>
      <c r="D7">
        <v>12950</v>
      </c>
      <c r="E7">
        <v>4000</v>
      </c>
      <c r="F7">
        <v>0</v>
      </c>
      <c r="G7">
        <v>0</v>
      </c>
      <c r="H7">
        <v>0</v>
      </c>
      <c r="I7">
        <v>0</v>
      </c>
      <c r="J7">
        <v>8950</v>
      </c>
    </row>
    <row r="8" spans="1:10">
      <c r="A8" t="s">
        <v>319</v>
      </c>
      <c r="B8">
        <v>400</v>
      </c>
      <c r="C8">
        <v>0</v>
      </c>
      <c r="D8">
        <v>0</v>
      </c>
      <c r="E8">
        <v>5000</v>
      </c>
      <c r="F8">
        <v>0</v>
      </c>
      <c r="G8">
        <v>0</v>
      </c>
      <c r="H8">
        <v>0</v>
      </c>
      <c r="I8">
        <v>0</v>
      </c>
      <c r="J8">
        <v>-5000</v>
      </c>
    </row>
    <row r="9" spans="1:10">
      <c r="A9" t="s">
        <v>269</v>
      </c>
      <c r="B9">
        <v>350</v>
      </c>
      <c r="C9">
        <v>87.78</v>
      </c>
      <c r="D9">
        <v>30723</v>
      </c>
      <c r="E9">
        <v>25184.31</v>
      </c>
      <c r="F9">
        <v>0</v>
      </c>
      <c r="G9">
        <v>463.69</v>
      </c>
      <c r="H9">
        <v>0</v>
      </c>
      <c r="I9">
        <v>0</v>
      </c>
      <c r="J9">
        <v>5075</v>
      </c>
    </row>
    <row r="10" spans="1:10">
      <c r="A10" t="s">
        <v>278</v>
      </c>
      <c r="B10">
        <v>290</v>
      </c>
      <c r="C10">
        <v>35.5</v>
      </c>
      <c r="D10">
        <v>10295</v>
      </c>
      <c r="E10">
        <v>4000</v>
      </c>
      <c r="F10">
        <v>0</v>
      </c>
      <c r="G10">
        <v>0</v>
      </c>
      <c r="H10">
        <v>0</v>
      </c>
      <c r="I10">
        <v>0</v>
      </c>
      <c r="J10">
        <v>6295</v>
      </c>
    </row>
    <row r="11" spans="1:10">
      <c r="A11" t="s">
        <v>320</v>
      </c>
      <c r="B11">
        <v>300</v>
      </c>
      <c r="C11">
        <v>2.5</v>
      </c>
      <c r="D11">
        <v>750</v>
      </c>
      <c r="E11">
        <v>0</v>
      </c>
      <c r="F11">
        <v>0</v>
      </c>
      <c r="G11">
        <v>0</v>
      </c>
      <c r="H11">
        <v>0</v>
      </c>
      <c r="I11">
        <v>0</v>
      </c>
      <c r="J11">
        <v>750</v>
      </c>
    </row>
    <row r="12" spans="1:10">
      <c r="A12" t="s">
        <v>281</v>
      </c>
      <c r="B12">
        <v>320</v>
      </c>
      <c r="C12">
        <v>26</v>
      </c>
      <c r="D12">
        <v>8320</v>
      </c>
      <c r="E12">
        <v>0</v>
      </c>
      <c r="F12">
        <v>0</v>
      </c>
      <c r="G12">
        <v>0</v>
      </c>
      <c r="H12">
        <v>0</v>
      </c>
      <c r="I12">
        <v>0</v>
      </c>
      <c r="J12">
        <v>8320</v>
      </c>
    </row>
    <row r="13" spans="1:10">
      <c r="A13" t="s">
        <v>263</v>
      </c>
      <c r="B13">
        <v>270</v>
      </c>
      <c r="C13">
        <v>38</v>
      </c>
      <c r="D13">
        <v>10260</v>
      </c>
      <c r="E13">
        <v>7000</v>
      </c>
      <c r="F13">
        <v>0</v>
      </c>
      <c r="G13">
        <v>0</v>
      </c>
      <c r="H13">
        <v>0</v>
      </c>
      <c r="I13">
        <v>0</v>
      </c>
      <c r="J13">
        <v>3260</v>
      </c>
    </row>
    <row r="14" spans="1:10">
      <c r="A14" t="s">
        <v>275</v>
      </c>
      <c r="B14">
        <v>270</v>
      </c>
      <c r="C14">
        <v>45.78</v>
      </c>
      <c r="D14">
        <v>12360.6</v>
      </c>
      <c r="E14">
        <v>4000</v>
      </c>
      <c r="F14">
        <v>0</v>
      </c>
      <c r="G14">
        <v>0</v>
      </c>
      <c r="H14">
        <v>0</v>
      </c>
      <c r="I14">
        <v>0</v>
      </c>
      <c r="J14">
        <v>8360.6</v>
      </c>
    </row>
    <row r="15" spans="1:10">
      <c r="A15" t="s">
        <v>274</v>
      </c>
      <c r="B15">
        <v>290</v>
      </c>
      <c r="C15">
        <v>142.5</v>
      </c>
      <c r="D15">
        <v>41325</v>
      </c>
      <c r="E15">
        <v>36800</v>
      </c>
      <c r="F15">
        <v>0</v>
      </c>
      <c r="G15">
        <v>0</v>
      </c>
      <c r="H15">
        <v>15800</v>
      </c>
      <c r="I15">
        <v>0</v>
      </c>
      <c r="J15">
        <v>20325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I20" sqref="I20"/>
    </sheetView>
  </sheetViews>
  <sheetFormatPr defaultColWidth="8.72727272727273" defaultRowHeight="14"/>
  <sheetData>
    <row r="1" spans="1:10">
      <c r="A1" t="s">
        <v>321</v>
      </c>
    </row>
    <row r="2" spans="1:10">
      <c r="A2" t="s">
        <v>322</v>
      </c>
      <c r="B2" t="s">
        <v>92</v>
      </c>
      <c r="C2" t="s">
        <v>323</v>
      </c>
      <c r="D2" t="s">
        <v>324</v>
      </c>
      <c r="E2" t="s">
        <v>325</v>
      </c>
      <c r="F2" t="s">
        <v>91</v>
      </c>
      <c r="G2" t="s">
        <v>326</v>
      </c>
      <c r="H2" t="s">
        <v>65</v>
      </c>
      <c r="I2" t="s">
        <v>327</v>
      </c>
      <c r="J2" t="s">
        <v>9</v>
      </c>
    </row>
    <row r="3" spans="1:10">
      <c r="A3">
        <v>45531</v>
      </c>
      <c r="B3">
        <v>30000</v>
      </c>
      <c r="F3" t="s">
        <v>328</v>
      </c>
      <c r="G3" t="s">
        <v>73</v>
      </c>
      <c r="H3" t="s">
        <v>290</v>
      </c>
      <c r="I3" t="s">
        <v>329</v>
      </c>
    </row>
    <row r="4" spans="1:10">
      <c r="A4">
        <v>45803</v>
      </c>
      <c r="B4">
        <v>10000</v>
      </c>
      <c r="F4" t="s">
        <v>328</v>
      </c>
      <c r="G4" t="s">
        <v>73</v>
      </c>
      <c r="H4" t="s">
        <v>290</v>
      </c>
      <c r="I4" t="s">
        <v>329</v>
      </c>
    </row>
    <row r="5" spans="1:10">
      <c r="A5">
        <v>45929</v>
      </c>
      <c r="B5">
        <v>10000</v>
      </c>
      <c r="F5" t="s">
        <v>330</v>
      </c>
      <c r="G5" t="s">
        <v>73</v>
      </c>
      <c r="H5" t="s">
        <v>290</v>
      </c>
      <c r="I5" t="s">
        <v>329</v>
      </c>
    </row>
    <row r="6" spans="1:10">
      <c r="A6">
        <v>45957</v>
      </c>
      <c r="D6">
        <v>20000</v>
      </c>
      <c r="F6" t="s">
        <v>220</v>
      </c>
      <c r="G6" t="s">
        <v>290</v>
      </c>
      <c r="H6" t="s">
        <v>73</v>
      </c>
      <c r="I6" t="s">
        <v>329</v>
      </c>
    </row>
    <row r="7" spans="1:10">
      <c r="A7">
        <v>45972</v>
      </c>
      <c r="D7">
        <v>30000</v>
      </c>
      <c r="F7" t="s">
        <v>220</v>
      </c>
      <c r="G7" t="s">
        <v>290</v>
      </c>
      <c r="H7" t="s">
        <v>73</v>
      </c>
      <c r="I7" t="s">
        <v>329</v>
      </c>
    </row>
    <row r="8" spans="1:10">
      <c r="A8">
        <v>45974</v>
      </c>
      <c r="D8">
        <v>30000</v>
      </c>
      <c r="F8" t="s">
        <v>220</v>
      </c>
      <c r="G8" t="s">
        <v>290</v>
      </c>
      <c r="H8" t="s">
        <v>73</v>
      </c>
      <c r="I8" t="s">
        <v>329</v>
      </c>
    </row>
    <row r="9" spans="1:10">
      <c r="A9">
        <v>45975</v>
      </c>
      <c r="D9">
        <v>40000</v>
      </c>
      <c r="F9" t="s">
        <v>220</v>
      </c>
      <c r="G9" t="s">
        <v>290</v>
      </c>
      <c r="H9" t="s">
        <v>73</v>
      </c>
      <c r="I9" t="s">
        <v>329</v>
      </c>
    </row>
    <row r="10" spans="1:10">
      <c r="A10">
        <v>45980</v>
      </c>
      <c r="D10">
        <v>30000</v>
      </c>
      <c r="F10" t="s">
        <v>220</v>
      </c>
      <c r="G10" t="s">
        <v>290</v>
      </c>
      <c r="H10" t="s">
        <v>73</v>
      </c>
      <c r="I10" t="s">
        <v>329</v>
      </c>
    </row>
    <row r="11" spans="1:10">
      <c r="A11">
        <v>45984</v>
      </c>
      <c r="D11">
        <v>40000</v>
      </c>
      <c r="F11" t="s">
        <v>220</v>
      </c>
      <c r="G11" t="s">
        <v>290</v>
      </c>
      <c r="H11" t="s">
        <v>73</v>
      </c>
      <c r="I11" t="s">
        <v>329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J20" sqref="J20"/>
    </sheetView>
  </sheetViews>
  <sheetFormatPr defaultColWidth="8.72727272727273" defaultRowHeight="14"/>
  <sheetData>
    <row r="1" spans="1:10">
      <c r="A1" t="s">
        <v>331</v>
      </c>
    </row>
    <row r="2" spans="1:10">
      <c r="A2" t="s">
        <v>322</v>
      </c>
      <c r="B2" t="s">
        <v>332</v>
      </c>
      <c r="C2" t="s">
        <v>323</v>
      </c>
      <c r="D2" t="s">
        <v>324</v>
      </c>
      <c r="E2" t="s">
        <v>325</v>
      </c>
      <c r="F2" t="s">
        <v>91</v>
      </c>
      <c r="G2" t="s">
        <v>326</v>
      </c>
      <c r="H2" t="s">
        <v>65</v>
      </c>
      <c r="I2" t="s">
        <v>327</v>
      </c>
      <c r="J2" t="s">
        <v>9</v>
      </c>
    </row>
    <row r="3" spans="1:10">
      <c r="A3">
        <v>45271</v>
      </c>
      <c r="D3">
        <v>1668</v>
      </c>
      <c r="F3" t="s">
        <v>333</v>
      </c>
      <c r="G3" t="s">
        <v>289</v>
      </c>
      <c r="H3" t="s">
        <v>73</v>
      </c>
      <c r="I3" t="s">
        <v>329</v>
      </c>
    </row>
    <row r="4" spans="1:10">
      <c r="A4">
        <v>45308</v>
      </c>
      <c r="D4">
        <v>500000</v>
      </c>
      <c r="F4" t="s">
        <v>334</v>
      </c>
      <c r="G4" t="s">
        <v>289</v>
      </c>
      <c r="H4" t="s">
        <v>73</v>
      </c>
      <c r="I4" t="s">
        <v>329</v>
      </c>
    </row>
    <row r="5" spans="1:10">
      <c r="A5">
        <v>45310</v>
      </c>
      <c r="D5">
        <v>500000</v>
      </c>
      <c r="F5" t="s">
        <v>334</v>
      </c>
      <c r="G5" t="s">
        <v>289</v>
      </c>
      <c r="H5" t="s">
        <v>73</v>
      </c>
      <c r="I5" t="s">
        <v>329</v>
      </c>
    </row>
    <row r="6" spans="1:10">
      <c r="A6">
        <v>45329</v>
      </c>
      <c r="B6">
        <v>10000</v>
      </c>
      <c r="F6" t="s">
        <v>328</v>
      </c>
      <c r="G6" t="s">
        <v>73</v>
      </c>
      <c r="H6" t="s">
        <v>289</v>
      </c>
      <c r="I6" t="s">
        <v>329</v>
      </c>
    </row>
    <row r="7" spans="1:10">
      <c r="A7">
        <v>45509</v>
      </c>
      <c r="D7">
        <v>5000</v>
      </c>
      <c r="F7" t="s">
        <v>333</v>
      </c>
      <c r="G7" t="s">
        <v>289</v>
      </c>
      <c r="H7" t="s">
        <v>73</v>
      </c>
      <c r="I7" t="s">
        <v>329</v>
      </c>
    </row>
    <row r="8" spans="1:10">
      <c r="A8">
        <v>45523</v>
      </c>
      <c r="D8">
        <v>-200000</v>
      </c>
      <c r="F8" t="s">
        <v>335</v>
      </c>
      <c r="G8" t="s">
        <v>73</v>
      </c>
      <c r="H8" t="s">
        <v>289</v>
      </c>
      <c r="I8" t="s">
        <v>329</v>
      </c>
    </row>
    <row r="9" spans="1:10">
      <c r="A9">
        <v>45524</v>
      </c>
      <c r="D9">
        <v>-490000</v>
      </c>
      <c r="F9" t="s">
        <v>335</v>
      </c>
      <c r="G9" t="s">
        <v>73</v>
      </c>
      <c r="H9" t="s">
        <v>289</v>
      </c>
      <c r="I9" t="s">
        <v>329</v>
      </c>
    </row>
    <row r="10" spans="1:10">
      <c r="A10">
        <v>45530</v>
      </c>
      <c r="D10">
        <v>-95000</v>
      </c>
      <c r="F10" t="s">
        <v>335</v>
      </c>
      <c r="G10" t="s">
        <v>73</v>
      </c>
      <c r="H10" t="s">
        <v>289</v>
      </c>
      <c r="I10" t="s">
        <v>329</v>
      </c>
    </row>
    <row r="11" spans="1:10">
      <c r="A11">
        <v>45532</v>
      </c>
      <c r="B11">
        <v>20000</v>
      </c>
      <c r="F11" t="s">
        <v>328</v>
      </c>
      <c r="G11" t="s">
        <v>73</v>
      </c>
      <c r="H11" t="s">
        <v>289</v>
      </c>
      <c r="I11" t="s">
        <v>329</v>
      </c>
    </row>
    <row r="12" spans="1:10">
      <c r="A12">
        <v>45567</v>
      </c>
      <c r="D12">
        <v>10000</v>
      </c>
      <c r="F12" t="s">
        <v>333</v>
      </c>
      <c r="G12" t="s">
        <v>289</v>
      </c>
      <c r="H12" t="s">
        <v>73</v>
      </c>
      <c r="I12" t="s">
        <v>329</v>
      </c>
    </row>
    <row r="13" spans="1:10">
      <c r="A13">
        <v>45575</v>
      </c>
      <c r="D13">
        <v>1000</v>
      </c>
      <c r="F13" t="s">
        <v>333</v>
      </c>
      <c r="G13" t="s">
        <v>289</v>
      </c>
      <c r="H13" t="s">
        <v>73</v>
      </c>
      <c r="I13" t="s">
        <v>329</v>
      </c>
    </row>
    <row r="14" spans="1:10">
      <c r="A14">
        <v>45593</v>
      </c>
      <c r="D14">
        <v>5000</v>
      </c>
      <c r="F14" t="s">
        <v>333</v>
      </c>
      <c r="G14" t="s">
        <v>289</v>
      </c>
      <c r="H14" t="s">
        <v>73</v>
      </c>
      <c r="I14" t="s">
        <v>329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L18" sqref="L18"/>
    </sheetView>
  </sheetViews>
  <sheetFormatPr defaultColWidth="8.72727272727273" defaultRowHeight="14"/>
  <sheetData>
    <row r="1" spans="1:10">
      <c r="A1" t="s">
        <v>336</v>
      </c>
    </row>
    <row r="2" spans="1:10">
      <c r="A2" t="s">
        <v>322</v>
      </c>
      <c r="B2" t="s">
        <v>92</v>
      </c>
      <c r="C2" t="s">
        <v>337</v>
      </c>
      <c r="D2" t="s">
        <v>338</v>
      </c>
      <c r="E2" t="s">
        <v>339</v>
      </c>
      <c r="F2" t="s">
        <v>91</v>
      </c>
      <c r="G2" t="s">
        <v>326</v>
      </c>
      <c r="H2" t="s">
        <v>65</v>
      </c>
      <c r="I2" t="s">
        <v>327</v>
      </c>
      <c r="J2" t="s">
        <v>9</v>
      </c>
    </row>
    <row r="3" spans="1:10">
      <c r="A3">
        <v>45567</v>
      </c>
      <c r="B3">
        <v>10000</v>
      </c>
      <c r="F3" t="s">
        <v>328</v>
      </c>
      <c r="G3" t="s">
        <v>73</v>
      </c>
      <c r="H3" t="s">
        <v>287</v>
      </c>
      <c r="I3" t="s">
        <v>329</v>
      </c>
    </row>
    <row r="4" spans="1:10">
      <c r="A4">
        <v>45656</v>
      </c>
      <c r="B4">
        <v>10000</v>
      </c>
      <c r="F4" t="s">
        <v>328</v>
      </c>
      <c r="G4" t="s">
        <v>73</v>
      </c>
      <c r="H4" t="s">
        <v>287</v>
      </c>
      <c r="I4" t="s">
        <v>329</v>
      </c>
    </row>
    <row r="5" spans="1:10">
      <c r="A5">
        <v>45659</v>
      </c>
      <c r="B5">
        <v>10000</v>
      </c>
      <c r="F5" t="s">
        <v>328</v>
      </c>
      <c r="G5" t="s">
        <v>73</v>
      </c>
      <c r="H5" t="s">
        <v>287</v>
      </c>
      <c r="I5" t="s">
        <v>329</v>
      </c>
    </row>
    <row r="6" spans="1:10">
      <c r="A6">
        <v>45747</v>
      </c>
      <c r="B6">
        <v>10000</v>
      </c>
      <c r="F6" t="s">
        <v>328</v>
      </c>
      <c r="G6" t="s">
        <v>73</v>
      </c>
      <c r="H6" t="s">
        <v>287</v>
      </c>
      <c r="I6" t="s">
        <v>329</v>
      </c>
    </row>
    <row r="7" spans="1:10">
      <c r="A7">
        <v>45749</v>
      </c>
      <c r="B7">
        <v>10000</v>
      </c>
      <c r="F7" t="s">
        <v>328</v>
      </c>
      <c r="G7" t="s">
        <v>73</v>
      </c>
      <c r="H7" t="s">
        <v>287</v>
      </c>
      <c r="I7" t="s">
        <v>329</v>
      </c>
    </row>
    <row r="8" spans="1:10">
      <c r="A8">
        <v>45768</v>
      </c>
      <c r="B8">
        <v>700</v>
      </c>
      <c r="F8" t="s">
        <v>340</v>
      </c>
      <c r="G8" t="s">
        <v>341</v>
      </c>
      <c r="H8" t="s">
        <v>89</v>
      </c>
      <c r="I8" t="s">
        <v>342</v>
      </c>
      <c r="J8" t="s">
        <v>343</v>
      </c>
    </row>
    <row r="9" spans="1:10">
      <c r="A9">
        <v>45803</v>
      </c>
      <c r="B9">
        <v>10000</v>
      </c>
      <c r="F9" t="s">
        <v>328</v>
      </c>
      <c r="G9" t="s">
        <v>73</v>
      </c>
      <c r="H9" t="s">
        <v>287</v>
      </c>
      <c r="I9" t="s">
        <v>329</v>
      </c>
    </row>
    <row r="10" spans="1:10">
      <c r="A10">
        <v>45838</v>
      </c>
      <c r="B10">
        <v>10000</v>
      </c>
      <c r="F10" t="s">
        <v>328</v>
      </c>
      <c r="G10" t="s">
        <v>73</v>
      </c>
      <c r="H10" t="s">
        <v>287</v>
      </c>
      <c r="I10" t="s">
        <v>329</v>
      </c>
    </row>
    <row r="11" spans="1:10">
      <c r="A11">
        <v>45838</v>
      </c>
      <c r="B11">
        <v>10000</v>
      </c>
      <c r="F11" t="s">
        <v>328</v>
      </c>
      <c r="G11" t="s">
        <v>73</v>
      </c>
      <c r="H11" t="s">
        <v>287</v>
      </c>
      <c r="I11" t="s">
        <v>329</v>
      </c>
    </row>
    <row r="12" spans="1:10">
      <c r="A12">
        <v>45839</v>
      </c>
      <c r="B12">
        <v>60000</v>
      </c>
      <c r="F12" t="s">
        <v>344</v>
      </c>
      <c r="G12" t="s">
        <v>73</v>
      </c>
      <c r="H12" t="s">
        <v>287</v>
      </c>
      <c r="I12" t="s">
        <v>329</v>
      </c>
    </row>
    <row r="13" spans="1:10">
      <c r="A13">
        <v>45888</v>
      </c>
      <c r="B13">
        <v>5000</v>
      </c>
      <c r="F13" t="s">
        <v>328</v>
      </c>
      <c r="G13" t="s">
        <v>73</v>
      </c>
      <c r="H13" t="s">
        <v>287</v>
      </c>
      <c r="I13" t="s">
        <v>329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应收账款</vt:lpstr>
      <vt:lpstr>应付账款</vt:lpstr>
      <vt:lpstr>分包商</vt:lpstr>
      <vt:lpstr>机械费</vt:lpstr>
      <vt:lpstr>流水登记</vt:lpstr>
      <vt:lpstr>工资表月分表</vt:lpstr>
      <vt:lpstr>用工成本表</vt:lpstr>
      <vt:lpstr>工资汇总表</vt:lpstr>
      <vt:lpstr>老板个人往来</vt:lpstr>
      <vt:lpstr>老板2个人明细</vt:lpstr>
      <vt:lpstr>项目部负责人个人明细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清禾知晏</cp:lastModifiedBy>
  <dcterms:created xsi:type="dcterms:W3CDTF">2023-05-12T11:15:00Z</dcterms:created>
  <dcterms:modified xsi:type="dcterms:W3CDTF">2026-09-30T07:27:50Z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A1F028FD493A464CA578CE3EBB7ED65C_12</vt:lpwstr>
  </property>
  <property fmtid="{D5CDD505-2E9C-101B-9397-08002B2CF9AE}" pid="4" name="CalculationRule">
    <vt:i4>0</vt:i4>
  </property>
</Properties>
</file>