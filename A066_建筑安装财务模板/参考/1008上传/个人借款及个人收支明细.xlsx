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竣辉公司\"/>
    </mc:Choice>
  </mc:AlternateContent>
  <bookViews>
    <workbookView windowWidth="18350" windowHeight="7140" firstSheet="1" activeTab="3"/>
  </bookViews>
  <sheets>
    <sheet name="王伟个人借款" sheetId="3" r:id="rId1"/>
    <sheet name="聂辉个人借款" sheetId="6" r:id="rId2"/>
    <sheet name="张淑平个人借款" sheetId="7" r:id="rId3"/>
    <sheet name="张滨个人明细" sheetId="4" r:id="rId4"/>
    <sheet name="聂辉个人明细" sheetId="8" r:id="rId5"/>
    <sheet name="王伟个人明细" sheetId="9" r:id="rId6"/>
  </sheets>
  <definedNames>
    <definedName name="_xlnm._FilterDatabase" localSheetId="3" hidden="1">张滨个人明细!$A$2:$K$33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<sst xmlns="http://schemas.openxmlformats.org/spreadsheetml/2006/main" count="1128" uniqueCount="126">
  <si>
    <t>王伟个人借款明细</t>
  </si>
  <si>
    <t>交易时间</t>
  </si>
  <si>
    <t>借入</t>
  </si>
  <si>
    <t>还回</t>
  </si>
  <si>
    <t>账户</t>
  </si>
  <si>
    <t>对方户名</t>
  </si>
  <si>
    <t>摘要</t>
  </si>
  <si>
    <t>交易用途</t>
  </si>
  <si>
    <t>备注</t>
  </si>
  <si>
    <t>九江银行</t>
  </si>
  <si>
    <t>王伟</t>
  </si>
  <si>
    <t>转账</t>
  </si>
  <si>
    <t>公司周转资金借款</t>
  </si>
  <si>
    <t>还2025年11月23日借款</t>
  </si>
  <si>
    <t>还2025年10月27日借款</t>
  </si>
  <si>
    <t>还2025年11月26日借款</t>
  </si>
  <si>
    <t>还2025年11月11日借款</t>
  </si>
  <si>
    <t>还2025年11月19日借款</t>
  </si>
  <si>
    <t>汇总</t>
  </si>
  <si>
    <t>余款</t>
  </si>
  <si>
    <t>聂辉个人借款明细</t>
  </si>
  <si>
    <t>列1</t>
  </si>
  <si>
    <t>聂辉</t>
  </si>
  <si>
    <t>跨行转出</t>
  </si>
  <si>
    <t>注资</t>
  </si>
  <si>
    <t>已还49万</t>
  </si>
  <si>
    <t>已还29.5万</t>
  </si>
  <si>
    <t>备用金</t>
  </si>
  <si>
    <t>往来款</t>
  </si>
  <si>
    <t>已还</t>
  </si>
  <si>
    <t>退还备用金</t>
  </si>
  <si>
    <t>股东个人借款公司运营周转</t>
  </si>
  <si>
    <t>股东个人借款公司周转</t>
  </si>
  <si>
    <t>个人借款公司周转</t>
  </si>
  <si>
    <t>股东个人借款周转</t>
  </si>
  <si>
    <t>已还5万</t>
  </si>
  <si>
    <t>还借款</t>
  </si>
  <si>
    <t>个人借款</t>
  </si>
  <si>
    <t>股东个人借款</t>
  </si>
  <si>
    <t>还1月7日借款</t>
  </si>
  <si>
    <t>还1月4日借款</t>
  </si>
  <si>
    <t>还2025年12月31日借款</t>
  </si>
  <si>
    <t>还2025年12月22日借款</t>
  </si>
  <si>
    <t>还2025年11月30日借款</t>
  </si>
  <si>
    <t>还2025年12月5日借款</t>
  </si>
  <si>
    <t>借款</t>
  </si>
  <si>
    <t>还股东个人借款</t>
  </si>
  <si>
    <t>还款</t>
  </si>
  <si>
    <t>不含酒款2万</t>
  </si>
  <si>
    <t>张淑平个人借款明细</t>
  </si>
  <si>
    <t>张淑平</t>
  </si>
  <si>
    <t>个人借于公司资金周转</t>
  </si>
  <si>
    <t>公司借款</t>
  </si>
  <si>
    <t>张滨个人收支明细表</t>
  </si>
  <si>
    <t>收入</t>
  </si>
  <si>
    <t>其他收入</t>
  </si>
  <si>
    <t>退款</t>
  </si>
  <si>
    <t>垫付款</t>
  </si>
  <si>
    <t>代付款</t>
  </si>
  <si>
    <t>支付账户</t>
  </si>
  <si>
    <t>收款账户</t>
  </si>
  <si>
    <t>支付方式</t>
  </si>
  <si>
    <t>工资款</t>
  </si>
  <si>
    <t>张滨</t>
  </si>
  <si>
    <t>工程款</t>
  </si>
  <si>
    <t>星辰宾馆老板</t>
  </si>
  <si>
    <t>张滨微信</t>
  </si>
  <si>
    <t>微信转账</t>
  </si>
  <si>
    <t>星辰宾馆工程款</t>
  </si>
  <si>
    <t>报销费</t>
  </si>
  <si>
    <t>垫付样品费</t>
  </si>
  <si>
    <t>筑强</t>
  </si>
  <si>
    <t>德安养老中心代发</t>
  </si>
  <si>
    <t>代发工资</t>
  </si>
  <si>
    <t>孙总鞋厂</t>
  </si>
  <si>
    <t>张滨支付宝</t>
  </si>
  <si>
    <t>支付宝转账</t>
  </si>
  <si>
    <t>孙总鞋厂工程款</t>
  </si>
  <si>
    <t>中国农业银行</t>
  </si>
  <si>
    <t>聂辉微信</t>
  </si>
  <si>
    <t>张滨退给聂辉</t>
  </si>
  <si>
    <t>农民工退回工资</t>
  </si>
  <si>
    <t>农民工</t>
  </si>
  <si>
    <t>民工工资退给聂辉</t>
  </si>
  <si>
    <t>邹桥派出所代发</t>
  </si>
  <si>
    <t>代付农行利息</t>
  </si>
  <si>
    <t>张滨建行卡</t>
  </si>
  <si>
    <t>竣辉农行公户</t>
  </si>
  <si>
    <t>此款聂辉已转张滨</t>
  </si>
  <si>
    <t>姚俊强退社保费</t>
  </si>
  <si>
    <t>姚俊强</t>
  </si>
  <si>
    <t>现金</t>
  </si>
  <si>
    <t>聂辉个人收支明细</t>
  </si>
  <si>
    <t>工资收入</t>
  </si>
  <si>
    <t>个人借款支出</t>
  </si>
  <si>
    <t>其他支出</t>
  </si>
  <si>
    <t>聂辉支付项目保证金</t>
  </si>
  <si>
    <t>公司退聂辉个人借款</t>
  </si>
  <si>
    <t>鑫城五金材料费</t>
  </si>
  <si>
    <t>聂辉建行6680</t>
  </si>
  <si>
    <t>李美坚</t>
  </si>
  <si>
    <t>筑强退款</t>
  </si>
  <si>
    <t>江西筑强建材有限公司</t>
  </si>
  <si>
    <t>张滨退回工资</t>
  </si>
  <si>
    <t>支付农行贷款利息</t>
  </si>
  <si>
    <t>公司还聂辉个人借款</t>
  </si>
  <si>
    <t>收到王伟转账</t>
  </si>
  <si>
    <t>王伟微信</t>
  </si>
  <si>
    <t>资溪工资</t>
  </si>
  <si>
    <t>王伟个人收支明细</t>
  </si>
  <si>
    <t>王伟报销款</t>
  </si>
  <si>
    <t>王伟个人借款</t>
  </si>
  <si>
    <t>筑强材料款</t>
  </si>
  <si>
    <t>公司还王伟2025年11月23日借款</t>
  </si>
  <si>
    <t>公司还王伟2025年10月27日借款</t>
  </si>
  <si>
    <t>公司还王伟2025年11月26日借款</t>
  </si>
  <si>
    <t>公司还王伟2025年11月11日借款</t>
  </si>
  <si>
    <t>龚文坚劳务费-王伟</t>
  </si>
  <si>
    <t>江西揽之</t>
  </si>
  <si>
    <t>龚文坚劳务费-王婉琳</t>
  </si>
  <si>
    <t>王婉琳</t>
  </si>
  <si>
    <t>龚文坚退王伟</t>
  </si>
  <si>
    <t>龚文坚</t>
  </si>
  <si>
    <t>王伟转给聂辉</t>
  </si>
  <si>
    <t>公司还王伟2025年11月9日借款</t>
  </si>
  <si>
    <t>公司还王伟个人借款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</si>
</sst>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3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FFFFFF"/>
      <name val="宋体"/>
      <charset val="134"/>
    </font>
    <font>
      <sz val="12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0" borderId="3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4">
      <alignment vertical="center"/>
    </xf>
    <xf numFmtId="0" fontId="20" fillId="0" borderId="4">
      <alignment vertical="center"/>
    </xf>
    <xf numFmtId="0" fontId="21" fillId="0" borderId="5">
      <alignment vertical="center"/>
    </xf>
    <xf numFmtId="0" fontId="21" fillId="0" borderId="0">
      <alignment vertical="center"/>
    </xf>
    <xf numFmtId="0" fontId="22" fillId="11" borderId="6">
      <alignment vertical="center"/>
    </xf>
    <xf numFmtId="0" fontId="23" fillId="12" borderId="7">
      <alignment vertical="center"/>
    </xf>
    <xf numFmtId="0" fontId="24" fillId="12" borderId="6">
      <alignment vertical="center"/>
    </xf>
    <xf numFmtId="0" fontId="25" fillId="13" borderId="8">
      <alignment vertical="center"/>
    </xf>
    <xf numFmtId="0" fontId="26" fillId="0" borderId="9">
      <alignment vertical="center"/>
    </xf>
    <xf numFmtId="0" fontId="27" fillId="0" borderId="1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2" borderId="0">
      <alignment vertical="center"/>
    </xf>
    <xf numFmtId="0" fontId="32" fillId="17" borderId="0">
      <alignment vertical="center"/>
    </xf>
    <xf numFmtId="0" fontId="32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2" fillId="21" borderId="0">
      <alignment vertical="center"/>
    </xf>
    <xf numFmtId="0" fontId="32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1" fillId="35" borderId="0">
      <alignment vertical="center"/>
    </xf>
    <xf numFmtId="0" fontId="31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1" fillId="39" borderId="0">
      <alignment vertical="center"/>
    </xf>
    <xf numFmtId="0" fontId="33" fillId="0" borderId="0">
      <alignment vertical="center"/>
    </xf>
  </cellStyleXfs>
  <cellXfs count="82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Continuous" vertical="center"/>
    </xf>
    <xf numFmtId="177" fontId="1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176" fontId="2" fillId="2" borderId="0" xfId="0" applyNumberFormat="1" applyFont="1" applyFill="1" applyAlignment="1">
      <alignment horizontal="centerContinuous" vertical="center"/>
    </xf>
    <xf numFmtId="177" fontId="2" fillId="2" borderId="0" xfId="0" applyNumberFormat="1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177" fontId="4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5" borderId="1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Continuous" vertical="center"/>
    </xf>
    <xf numFmtId="177" fontId="1" fillId="0" borderId="1" xfId="0" applyNumberFormat="1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 vertical="center"/>
    </xf>
    <xf numFmtId="176" fontId="3" fillId="6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Continuous" vertical="center"/>
    </xf>
    <xf numFmtId="177" fontId="10" fillId="0" borderId="1" xfId="0" applyNumberFormat="1" applyFont="1" applyFill="1" applyBorder="1" applyAlignment="1">
      <alignment horizontal="centerContinuous" vertical="center"/>
    </xf>
    <xf numFmtId="0" fontId="10" fillId="0" borderId="1" xfId="0" applyFont="1" applyFill="1" applyBorder="1" applyAlignment="1">
      <alignment horizontal="centerContinuous" vertical="center"/>
    </xf>
    <xf numFmtId="176" fontId="11" fillId="7" borderId="1" xfId="0" applyNumberFormat="1" applyFont="1" applyFill="1" applyBorder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177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7" fontId="7" fillId="8" borderId="1" xfId="0" applyNumberFormat="1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7" fontId="7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4" fontId="7" fillId="9" borderId="1" xfId="0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61">
    <dxf>
      <font>
        <name val="宋体"/>
        <scheme val="none"/>
        <charset val="134"/>
        <family val="0"/>
        <b val="1"/>
        <i val="0"/>
        <strike val="0"/>
        <u val="none"/>
        <sz val="16"/>
        <color theme="1"/>
      </font>
      <numFmt numFmtId="176" formatCode="yyyy/m/d;@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2"/>
        <color theme="1"/>
      </font>
      <numFmt numFmtId="176" formatCode="yyyy/m/d;@"/>
      <alignment horizontal="center" vertical="center"/>
    </dxf>
    <dxf>
      <numFmt numFmtId="177" formatCode="0.00_ "/>
      <alignment horizontal="center" vertical="center"/>
    </dxf>
    <dxf>
      <numFmt numFmtId="177" formatCode="0.00_ 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4" formatCode="yyyy/m/d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yyyy/m/d;@"/>
      <alignment horizontal="center" vertical="center"/>
    </dxf>
    <dxf>
      <numFmt numFmtId="176" formatCode="yyyy/m/d;@"/>
      <alignment horizontal="center" vertical="center"/>
    </dxf>
    <dxf>
      <alignment vertical="center"/>
    </dxf>
    <dxf>
      <alignment horizontal="center"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76" formatCode="yyyy/m/d;@"/>
      <alignment horizontal="center" vertical="center"/>
    </dxf>
    <dxf>
      <numFmt numFmtId="177" formatCode="0.00_ "/>
      <alignment horizontal="center" vertical="center"/>
    </dxf>
    <dxf>
      <numFmt numFmtId="177" formatCode="0.00_ "/>
      <alignment horizontal="center" vertical="center"/>
    </dxf>
    <dxf>
      <numFmt numFmtId="177" formatCode="0.00_ "/>
      <alignment horizontal="center" vertical="center"/>
    </dxf>
    <dxf>
      <numFmt numFmtId="177" formatCode="0.00_ 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4874CB"/>
        </top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1" defaultTableStyle="TableStyleMedium2" defaultPivotStyle="PivotStyleLight16">
    <tableStyle name="TableStylePreset3_Accent1 2" pivot="0" count="7" xr9:uid="{B4682E2A-987A-4E1A-8550-9C06E2BB210C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firstColumnStripe" dxfId="5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5" name="表_6" displayName="表_6" ref="A2:H16" totalsRowCount="1">
  <autoFilter xmlns:etc="http://www.wps.cn/officeDocument/2017/etCustomData" ref="A2:H15" etc:filterBottomFollowUsedRange="0"/>
  <tableColumns count="8">
    <tableColumn id="1" name="交易时间" dataDxfId="0" totalsRowLabel="汇总"/>
    <tableColumn id="2" name="借入" dataDxfId="1" totalsRowFunction="sum"/>
    <tableColumn id="3" name="还回" dataDxfId="2" totalsRowFunction="sum"/>
    <tableColumn id="4" name="账户" dataDxfId="3"/>
    <tableColumn id="5" name="对方户名" dataDxfId="4"/>
    <tableColumn id="6" name="摘要" dataDxfId="5"/>
    <tableColumn id="7" name="交易用途" dataDxfId="6"/>
    <tableColumn id="8" name="备注" dataDxfId="7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表5" displayName="表5" ref="A2:H82" totalsRowCount="1">
  <autoFilter xmlns:etc="http://www.wps.cn/officeDocument/2017/etCustomData" ref="A2:H81" etc:filterBottomFollowUsedRange="0"/>
  <tableColumns count="8">
    <tableColumn id="1" name="列1" dataDxfId="8" totalsRowLabel="汇总"/>
    <tableColumn id="2" name="借入" dataDxfId="9" totalsRowFunction="sum"/>
    <tableColumn id="3" name="还回" dataDxfId="10" totalsRowFunction="sum"/>
    <tableColumn id="4" name="账户" dataDxfId="11"/>
    <tableColumn id="5" name="对方户名" dataDxfId="12"/>
    <tableColumn id="6" name="摘要" dataDxfId="13"/>
    <tableColumn id="7" name="交易用途" dataDxfId="14"/>
    <tableColumn id="8" name="备注" dataDxfId="15"/>
  </tableColumns>
  <tableStyleInfo name="TableStylePreset3_Accent1 2" showFirstColumn="0" showLastColumn="0" showRowStripes="1" showColumnStripes="0"/>
</table>
</file>

<file path=xl/tables/table3.xml><?xml version="1.0" encoding="utf-8"?>
<table xmlns="http://schemas.openxmlformats.org/spreadsheetml/2006/main" id="2" name="表2" displayName="表2" ref="A2:H6" totalsRowCount="1">
  <autoFilter xmlns:etc="http://www.wps.cn/officeDocument/2017/etCustomData" ref="A2:H5" etc:filterBottomFollowUsedRange="0"/>
  <tableColumns count="8">
    <tableColumn id="1" name="交易时间" dataDxfId="16" totalsRowLabel="汇总"/>
    <tableColumn id="2" name="借入" dataDxfId="17" totalsRowFunction="sum"/>
    <tableColumn id="3" name="还回" dataDxfId="18" totalsRowFunction="sum"/>
    <tableColumn id="4" name="账户" dataDxfId="19"/>
    <tableColumn id="5" name="对方户名" dataDxfId="20"/>
    <tableColumn id="6" name="摘要" dataDxfId="21"/>
    <tableColumn id="7" name="交易用途" dataDxfId="22"/>
    <tableColumn id="8" name="备注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表6" displayName="表6" ref="A2:K41" totalsRowCount="1">
  <autoFilter xmlns:etc="http://www.wps.cn/officeDocument/2017/etCustomData" ref="A2:K40" etc:filterBottomFollowUsedRange="0"/>
  <tableColumns count="11">
    <tableColumn id="1" name="交易时间" dataDxfId="24" totalsRowLabel="汇总"/>
    <tableColumn id="3" name="收入" dataDxfId="25" totalsRowFunction="sum"/>
    <tableColumn id="11" name="其他收入" totalsRowFunction="sum"/>
    <tableColumn id="4" name="退款" dataDxfId="26" totalsRowFunction="sum"/>
    <tableColumn id="8" name="垫付款" dataDxfId="27" totalsRowFunction="sum"/>
    <tableColumn id="2" name="代付款" dataDxfId="28" totalsRowFunction="sum"/>
    <tableColumn id="10" name="摘要" dataDxfId="29"/>
    <tableColumn id="5" name="支付账户" dataDxfId="30"/>
    <tableColumn id="6" name="收款账户" dataDxfId="31"/>
    <tableColumn id="7" name="支付方式" dataDxfId="32"/>
    <tableColumn id="9" name="备注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表3" displayName="表3" ref="A2:J101" totalsRowCount="1">
  <autoFilter xmlns:etc="http://www.wps.cn/officeDocument/2017/etCustomData" ref="A2:J100" etc:filterBottomFollowUsedRange="0"/>
  <tableColumns count="10">
    <tableColumn id="1" name="交易时间" dataDxfId="34" totalsRowLabel="汇总"/>
    <tableColumn id="2" name="工资收入" dataDxfId="35" totalsRowFunction="sum"/>
    <tableColumn id="11" name="其他收入" dataDxfId="36" totalsRowFunction="sum"/>
    <tableColumn id="3" name="个人借款支出" dataDxfId="37" totalsRowFunction="sum"/>
    <tableColumn id="10" name="其他支出" dataDxfId="38" totalsRowFunction="sum"/>
    <tableColumn id="4" name="摘要" dataDxfId="39"/>
    <tableColumn id="5" name="支付账户" dataDxfId="40"/>
    <tableColumn id="6" name="收款账户" dataDxfId="41"/>
    <tableColumn id="7" name="支付方式" dataDxfId="42"/>
    <tableColumn id="8" name="备注" dataDxfId="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表7" displayName="表7" ref="A2:J32" totalsRowCount="1">
  <autoFilter xmlns:etc="http://www.wps.cn/officeDocument/2017/etCustomData" ref="A2:J31" etc:filterBottomFollowUsedRange="0"/>
  <tableColumns count="10">
    <tableColumn id="1" name="交易时间" dataDxfId="44" totalsRowLabel="汇总"/>
    <tableColumn id="2" name="收入" dataDxfId="45" totalsRowFunction="sum"/>
    <tableColumn id="3" name="其他收入" dataDxfId="46" totalsRowFunction="sum"/>
    <tableColumn id="4" name="个人借款支出" dataDxfId="47" totalsRowFunction="sum"/>
    <tableColumn id="5" name="其他支出" dataDxfId="48" totalsRowFunction="sum"/>
    <tableColumn id="6" name="摘要" dataDxfId="49"/>
    <tableColumn id="7" name="支付账户" dataDxfId="50"/>
    <tableColumn id="8" name="收款账户" dataDxfId="51"/>
    <tableColumn id="9" name="支付方式" dataDxfId="52"/>
    <tableColumn id="10" name="备注" dataDxfId="53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opLeftCell="A7" workbookViewId="0">
      <selection activeCell="D18" sqref="D18"/>
    </sheetView>
  </sheetViews>
  <sheetFormatPr defaultColWidth="9" defaultRowHeight="27" customHeight="1" outlineLevelCol="7"/>
  <cols>
    <col min="1" max="1" width="18.0909090909091" style="1" customWidth="1"/>
    <col min="2" max="2" width="14.0909090909091" style="2" customWidth="1"/>
    <col min="3" max="3" width="15.0909090909091" style="2" customWidth="1"/>
    <col min="4" max="4" width="15.0909090909091" style="3" customWidth="1"/>
    <col min="5" max="5" width="14.3636363636364" style="3" customWidth="1"/>
    <col min="6" max="6" width="13.4545454545455" style="3" customWidth="1"/>
    <col min="7" max="7" width="20.5454545454545" style="3" customWidth="1"/>
    <col min="8" max="8" width="13.5454545454545" style="3" customWidth="1"/>
    <col min="9" max="16384" width="9" style="3"/>
  </cols>
  <sheetData>
    <row r="1" s="3" customFormat="1" customHeight="1" spans="1:8">
      <c r="A1" s="43" t="s">
        <v>0</v>
      </c>
      <c r="B1" s="44"/>
      <c r="C1" s="44"/>
      <c r="D1" s="45"/>
      <c r="E1" s="45"/>
      <c r="F1" s="45"/>
      <c r="G1" s="45"/>
      <c r="H1" s="45"/>
    </row>
    <row r="2" s="3" customFormat="1" customHeight="1" spans="1:8">
      <c r="A2" s="30" t="s">
        <v>1</v>
      </c>
      <c r="B2" s="31" t="s">
        <v>2</v>
      </c>
      <c r="C2" s="31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8</v>
      </c>
    </row>
    <row r="3" s="3" customFormat="1" customHeight="1" spans="1:8">
      <c r="A3" s="10">
        <v>45957</v>
      </c>
      <c r="B3" s="11">
        <v>20000</v>
      </c>
      <c r="C3" s="11"/>
      <c r="D3" s="12" t="s">
        <v>9</v>
      </c>
      <c r="E3" s="12" t="s">
        <v>10</v>
      </c>
      <c r="F3" s="12" t="s">
        <v>11</v>
      </c>
      <c r="G3" s="12" t="s">
        <v>12</v>
      </c>
      <c r="H3" s="12"/>
    </row>
    <row r="4" s="3" customFormat="1" customHeight="1" spans="1:8">
      <c r="A4" s="10">
        <v>45972</v>
      </c>
      <c r="B4" s="11">
        <v>30000</v>
      </c>
      <c r="C4" s="11"/>
      <c r="D4" s="12" t="s">
        <v>9</v>
      </c>
      <c r="E4" s="12" t="s">
        <v>10</v>
      </c>
      <c r="F4" s="12" t="s">
        <v>11</v>
      </c>
      <c r="G4" s="12" t="s">
        <v>12</v>
      </c>
      <c r="H4" s="12"/>
    </row>
    <row r="5" s="3" customFormat="1" customHeight="1" spans="1:8">
      <c r="A5" s="10">
        <v>45974</v>
      </c>
      <c r="B5" s="11">
        <v>30000</v>
      </c>
      <c r="C5" s="11"/>
      <c r="D5" s="12" t="s">
        <v>9</v>
      </c>
      <c r="E5" s="12" t="s">
        <v>10</v>
      </c>
      <c r="F5" s="12" t="s">
        <v>11</v>
      </c>
      <c r="G5" s="12" t="s">
        <v>12</v>
      </c>
      <c r="H5" s="12"/>
    </row>
    <row r="6" s="3" customFormat="1" customHeight="1" spans="1:8">
      <c r="A6" s="10">
        <v>45975</v>
      </c>
      <c r="B6" s="11">
        <v>40000</v>
      </c>
      <c r="C6" s="11"/>
      <c r="D6" s="12" t="s">
        <v>9</v>
      </c>
      <c r="E6" s="12" t="s">
        <v>10</v>
      </c>
      <c r="F6" s="12" t="s">
        <v>11</v>
      </c>
      <c r="G6" s="12" t="s">
        <v>12</v>
      </c>
      <c r="H6" s="12"/>
    </row>
    <row r="7" s="3" customFormat="1" customHeight="1" spans="1:8">
      <c r="A7" s="10">
        <v>45980</v>
      </c>
      <c r="B7" s="11">
        <v>30000</v>
      </c>
      <c r="C7" s="11"/>
      <c r="D7" s="12" t="s">
        <v>9</v>
      </c>
      <c r="E7" s="12" t="s">
        <v>10</v>
      </c>
      <c r="F7" s="12" t="s">
        <v>11</v>
      </c>
      <c r="G7" s="12" t="s">
        <v>12</v>
      </c>
      <c r="H7" s="12"/>
    </row>
    <row r="8" s="3" customFormat="1" customHeight="1" spans="1:8">
      <c r="A8" s="10">
        <v>45984</v>
      </c>
      <c r="B8" s="11">
        <v>40000</v>
      </c>
      <c r="C8" s="11"/>
      <c r="D8" s="12" t="s">
        <v>9</v>
      </c>
      <c r="E8" s="12" t="s">
        <v>10</v>
      </c>
      <c r="F8" s="12" t="s">
        <v>11</v>
      </c>
      <c r="G8" s="12" t="s">
        <v>12</v>
      </c>
      <c r="H8" s="12"/>
    </row>
    <row r="9" s="3" customFormat="1" customHeight="1" spans="1:8">
      <c r="A9" s="10">
        <v>45987</v>
      </c>
      <c r="B9" s="11">
        <v>10000</v>
      </c>
      <c r="C9" s="11"/>
      <c r="D9" s="12" t="s">
        <v>9</v>
      </c>
      <c r="E9" s="12" t="s">
        <v>10</v>
      </c>
      <c r="F9" s="12" t="s">
        <v>11</v>
      </c>
      <c r="G9" s="12" t="s">
        <v>12</v>
      </c>
      <c r="H9" s="12"/>
    </row>
    <row r="10" s="3" customFormat="1" customHeight="1" spans="1:8">
      <c r="A10" s="10">
        <v>46038</v>
      </c>
      <c r="B10" s="11"/>
      <c r="C10" s="11">
        <v>40000</v>
      </c>
      <c r="D10" s="12" t="s">
        <v>9</v>
      </c>
      <c r="E10" s="12" t="s">
        <v>10</v>
      </c>
      <c r="F10" s="12" t="s">
        <v>11</v>
      </c>
      <c r="G10" s="12" t="s">
        <v>13</v>
      </c>
      <c r="H10" s="12"/>
    </row>
    <row r="11" s="3" customFormat="1" customHeight="1" spans="1:8">
      <c r="A11" s="10">
        <v>46042</v>
      </c>
      <c r="B11" s="11"/>
      <c r="C11" s="11">
        <v>20000</v>
      </c>
      <c r="D11" s="12" t="s">
        <v>9</v>
      </c>
      <c r="E11" s="12" t="s">
        <v>10</v>
      </c>
      <c r="F11" s="12" t="s">
        <v>11</v>
      </c>
      <c r="G11" s="12" t="s">
        <v>14</v>
      </c>
      <c r="H11" s="12"/>
    </row>
    <row r="12" s="3" customFormat="1" customHeight="1" spans="1:8">
      <c r="A12" s="10">
        <v>46050</v>
      </c>
      <c r="B12" s="11"/>
      <c r="C12" s="11">
        <v>10000</v>
      </c>
      <c r="D12" s="12" t="s">
        <v>9</v>
      </c>
      <c r="E12" s="12" t="s">
        <v>10</v>
      </c>
      <c r="F12" s="12" t="s">
        <v>11</v>
      </c>
      <c r="G12" s="12" t="s">
        <v>15</v>
      </c>
      <c r="H12" s="12"/>
    </row>
    <row r="13" s="3" customFormat="1" customHeight="1" spans="1:8">
      <c r="A13" s="10">
        <v>46094</v>
      </c>
      <c r="B13" s="11"/>
      <c r="C13" s="11">
        <v>25000</v>
      </c>
      <c r="D13" s="12" t="s">
        <v>9</v>
      </c>
      <c r="E13" s="12" t="s">
        <v>10</v>
      </c>
      <c r="F13" s="12" t="s">
        <v>11</v>
      </c>
      <c r="G13" s="12" t="s">
        <v>16</v>
      </c>
      <c r="H13" s="12"/>
    </row>
    <row r="14" s="3" customFormat="1" customHeight="1" spans="1:8">
      <c r="A14" s="40">
        <v>46227</v>
      </c>
      <c r="B14" s="79"/>
      <c r="C14" s="80">
        <v>30000</v>
      </c>
      <c r="D14" s="12" t="s">
        <v>9</v>
      </c>
      <c r="E14" s="12" t="s">
        <v>10</v>
      </c>
      <c r="F14" s="12" t="s">
        <v>11</v>
      </c>
      <c r="G14" s="12" t="s">
        <v>17</v>
      </c>
      <c r="H14" s="12"/>
    </row>
    <row r="15" customFormat="1" customHeight="1" spans="1:8">
      <c r="A15" s="10">
        <v>46254</v>
      </c>
      <c r="B15" s="11">
        <v>1500</v>
      </c>
      <c r="C15" s="11"/>
      <c r="D15" s="12"/>
      <c r="E15" s="12"/>
      <c r="F15" s="12"/>
      <c r="G15" s="12"/>
      <c r="H15" s="12"/>
    </row>
    <row r="16" customHeight="1" spans="1:8">
      <c r="A16" s="81" t="s">
        <v>18</v>
      </c>
      <c r="B16" s="79">
        <f>SUBTOTAL(109,表_6[借入])</f>
        <v>201500</v>
      </c>
      <c r="C16" s="79">
        <f>SUBTOTAL(109,表_6[还回])</f>
        <v>125000</v>
      </c>
      <c r="D16" s="12"/>
      <c r="E16" s="12"/>
      <c r="F16" s="12"/>
      <c r="G16" s="12"/>
      <c r="H16" s="12">
        <f>SUBTOTAL(103,表_6[备注])</f>
        <v>0</v>
      </c>
    </row>
    <row r="17" customHeight="1" spans="1:8">
      <c r="A17" s="81" t="s">
        <v>19</v>
      </c>
      <c r="B17" s="79">
        <f>B16-C16</f>
        <v>76500</v>
      </c>
      <c r="C17" s="79"/>
      <c r="D17" s="12"/>
      <c r="E17" s="12"/>
      <c r="F17" s="12"/>
      <c r="G17" s="12"/>
      <c r="H17" s="12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workbookViewId="0">
      <pane ySplit="2" topLeftCell="A78" activePane="bottomLeft" state="frozen"/>
      <selection/>
      <selection pane="bottomLeft" activeCell="G84" sqref="G84"/>
    </sheetView>
  </sheetViews>
  <sheetFormatPr defaultColWidth="9" defaultRowHeight="27" customHeight="1" outlineLevelCol="7"/>
  <cols>
    <col min="1" max="1" width="16.2727272727273" style="49" customWidth="1"/>
    <col min="2" max="2" width="14.0909090909091" style="50" customWidth="1"/>
    <col min="3" max="3" width="15.0909090909091" style="50" customWidth="1"/>
    <col min="4" max="5" width="15.0909090909091" style="48" customWidth="1"/>
    <col min="6" max="6" width="14.3636363636364" style="48" customWidth="1"/>
    <col min="7" max="7" width="39.3636363636364" style="48" customWidth="1"/>
    <col min="8" max="8" width="20.5454545454545" style="48" customWidth="1"/>
    <col min="9" max="16384" width="9" style="48"/>
  </cols>
  <sheetData>
    <row r="1" s="48" customFormat="1" customHeight="1" spans="1:8">
      <c r="A1" s="51" t="s">
        <v>20</v>
      </c>
      <c r="B1" s="52"/>
      <c r="C1" s="52"/>
      <c r="D1" s="53"/>
      <c r="E1" s="53"/>
      <c r="F1" s="53"/>
      <c r="G1" s="53"/>
      <c r="H1" s="53"/>
    </row>
    <row r="2" s="48" customFormat="1" customHeight="1" spans="1:8">
      <c r="A2" s="54" t="s">
        <v>21</v>
      </c>
      <c r="B2" s="55" t="s">
        <v>2</v>
      </c>
      <c r="C2" s="55" t="s">
        <v>3</v>
      </c>
      <c r="D2" s="56" t="s">
        <v>4</v>
      </c>
      <c r="E2" s="56" t="s">
        <v>5</v>
      </c>
      <c r="F2" s="56" t="s">
        <v>6</v>
      </c>
      <c r="G2" s="56" t="s">
        <v>7</v>
      </c>
      <c r="H2" s="56" t="s">
        <v>8</v>
      </c>
    </row>
    <row r="3" s="48" customFormat="1" customHeight="1" spans="1:8">
      <c r="A3" s="57">
        <v>45271</v>
      </c>
      <c r="B3" s="58">
        <v>1668</v>
      </c>
      <c r="C3" s="58"/>
      <c r="D3" s="59" t="s">
        <v>9</v>
      </c>
      <c r="E3" s="59" t="s">
        <v>22</v>
      </c>
      <c r="F3" s="59" t="s">
        <v>11</v>
      </c>
      <c r="G3" s="59" t="s">
        <v>23</v>
      </c>
      <c r="H3" s="59"/>
    </row>
    <row r="4" s="48" customFormat="1" customHeight="1" spans="1:8">
      <c r="A4" s="60">
        <v>45308</v>
      </c>
      <c r="B4" s="61">
        <v>500000</v>
      </c>
      <c r="C4" s="61"/>
      <c r="D4" s="62" t="s">
        <v>9</v>
      </c>
      <c r="E4" s="62" t="s">
        <v>22</v>
      </c>
      <c r="F4" s="62" t="s">
        <v>11</v>
      </c>
      <c r="G4" s="62" t="s">
        <v>24</v>
      </c>
      <c r="H4" s="59" t="s">
        <v>25</v>
      </c>
    </row>
    <row r="5" s="48" customFormat="1" customHeight="1" spans="1:8">
      <c r="A5" s="60">
        <v>45310</v>
      </c>
      <c r="B5" s="61">
        <v>500000</v>
      </c>
      <c r="C5" s="61"/>
      <c r="D5" s="62" t="s">
        <v>9</v>
      </c>
      <c r="E5" s="62" t="s">
        <v>22</v>
      </c>
      <c r="F5" s="62" t="s">
        <v>11</v>
      </c>
      <c r="G5" s="62" t="s">
        <v>24</v>
      </c>
      <c r="H5" s="59" t="s">
        <v>26</v>
      </c>
    </row>
    <row r="6" s="48" customFormat="1" customHeight="1" spans="1:8">
      <c r="A6" s="63">
        <v>45509</v>
      </c>
      <c r="B6" s="64">
        <v>5000</v>
      </c>
      <c r="C6" s="64"/>
      <c r="D6" s="59" t="s">
        <v>9</v>
      </c>
      <c r="E6" s="65" t="s">
        <v>22</v>
      </c>
      <c r="F6" s="65" t="s">
        <v>11</v>
      </c>
      <c r="G6" s="65" t="s">
        <v>23</v>
      </c>
      <c r="H6" s="65"/>
    </row>
    <row r="7" s="48" customFormat="1" customHeight="1" spans="1:8">
      <c r="A7" s="66">
        <v>45523</v>
      </c>
      <c r="B7" s="67"/>
      <c r="C7" s="67">
        <v>200000</v>
      </c>
      <c r="D7" s="62" t="s">
        <v>9</v>
      </c>
      <c r="E7" s="68" t="s">
        <v>22</v>
      </c>
      <c r="F7" s="69" t="s">
        <v>11</v>
      </c>
      <c r="G7" s="69" t="s">
        <v>27</v>
      </c>
      <c r="H7" s="65"/>
    </row>
    <row r="8" s="48" customFormat="1" customHeight="1" spans="1:8">
      <c r="A8" s="66">
        <v>45524</v>
      </c>
      <c r="B8" s="67"/>
      <c r="C8" s="67">
        <v>490000</v>
      </c>
      <c r="D8" s="62" t="s">
        <v>9</v>
      </c>
      <c r="E8" s="68" t="s">
        <v>22</v>
      </c>
      <c r="F8" s="69" t="s">
        <v>11</v>
      </c>
      <c r="G8" s="69" t="s">
        <v>28</v>
      </c>
      <c r="H8" s="65"/>
    </row>
    <row r="9" s="48" customFormat="1" customHeight="1" spans="1:8">
      <c r="A9" s="66">
        <v>45530</v>
      </c>
      <c r="B9" s="67"/>
      <c r="C9" s="67">
        <v>95000</v>
      </c>
      <c r="D9" s="62" t="s">
        <v>9</v>
      </c>
      <c r="E9" s="68" t="s">
        <v>22</v>
      </c>
      <c r="F9" s="69" t="s">
        <v>11</v>
      </c>
      <c r="G9" s="69" t="s">
        <v>27</v>
      </c>
      <c r="H9" s="65"/>
    </row>
    <row r="10" s="48" customFormat="1" customHeight="1" spans="1:8">
      <c r="A10" s="63">
        <v>45567</v>
      </c>
      <c r="B10" s="64">
        <v>10000</v>
      </c>
      <c r="C10" s="64"/>
      <c r="D10" s="59" t="s">
        <v>9</v>
      </c>
      <c r="E10" s="65" t="s">
        <v>22</v>
      </c>
      <c r="F10" s="65" t="s">
        <v>11</v>
      </c>
      <c r="G10" s="65" t="s">
        <v>23</v>
      </c>
      <c r="H10" s="65"/>
    </row>
    <row r="11" s="48" customFormat="1" customHeight="1" spans="1:8">
      <c r="A11" s="63">
        <v>45575</v>
      </c>
      <c r="B11" s="64">
        <v>1000</v>
      </c>
      <c r="C11" s="64"/>
      <c r="D11" s="59" t="s">
        <v>9</v>
      </c>
      <c r="E11" s="65" t="s">
        <v>22</v>
      </c>
      <c r="F11" s="65" t="s">
        <v>11</v>
      </c>
      <c r="G11" s="65" t="s">
        <v>23</v>
      </c>
      <c r="H11" s="65"/>
    </row>
    <row r="12" s="48" customFormat="1" customHeight="1" spans="1:8">
      <c r="A12" s="63">
        <v>45593</v>
      </c>
      <c r="B12" s="64">
        <v>5000</v>
      </c>
      <c r="C12" s="64"/>
      <c r="D12" s="59" t="s">
        <v>9</v>
      </c>
      <c r="E12" s="65" t="s">
        <v>22</v>
      </c>
      <c r="F12" s="65" t="s">
        <v>11</v>
      </c>
      <c r="G12" s="65" t="s">
        <v>27</v>
      </c>
      <c r="H12" s="65"/>
    </row>
    <row r="13" s="48" customFormat="1" customHeight="1" spans="1:8">
      <c r="A13" s="63">
        <v>45685</v>
      </c>
      <c r="B13" s="64">
        <v>60000</v>
      </c>
      <c r="C13" s="64"/>
      <c r="D13" s="59" t="s">
        <v>9</v>
      </c>
      <c r="E13" s="65" t="s">
        <v>22</v>
      </c>
      <c r="F13" s="65" t="s">
        <v>11</v>
      </c>
      <c r="G13" s="65" t="s">
        <v>23</v>
      </c>
      <c r="H13" s="65"/>
    </row>
    <row r="14" s="48" customFormat="1" customHeight="1" spans="1:8">
      <c r="A14" s="63">
        <v>45685</v>
      </c>
      <c r="B14" s="64">
        <v>21000</v>
      </c>
      <c r="C14" s="64"/>
      <c r="D14" s="59" t="s">
        <v>9</v>
      </c>
      <c r="E14" s="65" t="s">
        <v>22</v>
      </c>
      <c r="F14" s="65" t="s">
        <v>11</v>
      </c>
      <c r="G14" s="65" t="s">
        <v>23</v>
      </c>
      <c r="H14" s="65"/>
    </row>
    <row r="15" s="48" customFormat="1" customHeight="1" spans="1:8">
      <c r="A15" s="63">
        <v>45685</v>
      </c>
      <c r="B15" s="64">
        <v>4000</v>
      </c>
      <c r="C15" s="64"/>
      <c r="D15" s="59" t="s">
        <v>9</v>
      </c>
      <c r="E15" s="65" t="s">
        <v>22</v>
      </c>
      <c r="F15" s="65" t="s">
        <v>11</v>
      </c>
      <c r="G15" s="65" t="s">
        <v>23</v>
      </c>
      <c r="H15" s="65"/>
    </row>
    <row r="16" s="48" customFormat="1" customHeight="1" spans="1:8">
      <c r="A16" s="70">
        <v>45685</v>
      </c>
      <c r="B16" s="64">
        <v>14750</v>
      </c>
      <c r="C16" s="64"/>
      <c r="D16" s="59" t="s">
        <v>9</v>
      </c>
      <c r="E16" s="65" t="s">
        <v>22</v>
      </c>
      <c r="F16" s="65" t="s">
        <v>11</v>
      </c>
      <c r="G16" s="65" t="s">
        <v>23</v>
      </c>
      <c r="H16" s="65"/>
    </row>
    <row r="17" s="48" customFormat="1" customHeight="1" spans="1:8">
      <c r="A17" s="70">
        <v>45721</v>
      </c>
      <c r="B17" s="64">
        <v>5000</v>
      </c>
      <c r="C17" s="64"/>
      <c r="D17" s="59" t="s">
        <v>9</v>
      </c>
      <c r="E17" s="65" t="s">
        <v>22</v>
      </c>
      <c r="F17" s="65" t="s">
        <v>11</v>
      </c>
      <c r="G17" s="65" t="s">
        <v>23</v>
      </c>
      <c r="H17" s="65"/>
    </row>
    <row r="18" s="48" customFormat="1" customHeight="1" spans="1:8">
      <c r="A18" s="70">
        <v>45724</v>
      </c>
      <c r="B18" s="64">
        <v>3000</v>
      </c>
      <c r="C18" s="64"/>
      <c r="D18" s="59" t="s">
        <v>9</v>
      </c>
      <c r="E18" s="65" t="s">
        <v>22</v>
      </c>
      <c r="F18" s="65" t="s">
        <v>11</v>
      </c>
      <c r="G18" s="65" t="s">
        <v>23</v>
      </c>
      <c r="H18" s="65"/>
    </row>
    <row r="19" s="48" customFormat="1" customHeight="1" spans="1:8">
      <c r="A19" s="70">
        <v>45724</v>
      </c>
      <c r="B19" s="64">
        <v>17000</v>
      </c>
      <c r="C19" s="64"/>
      <c r="D19" s="59" t="s">
        <v>9</v>
      </c>
      <c r="E19" s="65" t="s">
        <v>22</v>
      </c>
      <c r="F19" s="65" t="s">
        <v>11</v>
      </c>
      <c r="G19" s="65" t="s">
        <v>23</v>
      </c>
      <c r="H19" s="65"/>
    </row>
    <row r="20" s="48" customFormat="1" customHeight="1" spans="1:8">
      <c r="A20" s="70">
        <v>45728</v>
      </c>
      <c r="B20" s="64">
        <v>15000</v>
      </c>
      <c r="C20" s="64"/>
      <c r="D20" s="59" t="s">
        <v>9</v>
      </c>
      <c r="E20" s="65" t="s">
        <v>22</v>
      </c>
      <c r="F20" s="65" t="s">
        <v>11</v>
      </c>
      <c r="G20" s="65" t="s">
        <v>23</v>
      </c>
      <c r="H20" s="65"/>
    </row>
    <row r="21" s="48" customFormat="1" customHeight="1" spans="1:8">
      <c r="A21" s="70">
        <v>45747</v>
      </c>
      <c r="B21" s="64">
        <v>26800</v>
      </c>
      <c r="C21" s="64"/>
      <c r="D21" s="59" t="s">
        <v>9</v>
      </c>
      <c r="E21" s="65" t="s">
        <v>22</v>
      </c>
      <c r="F21" s="65" t="s">
        <v>11</v>
      </c>
      <c r="G21" s="65" t="s">
        <v>27</v>
      </c>
      <c r="H21" s="65"/>
    </row>
    <row r="22" s="48" customFormat="1" customHeight="1" spans="1:8">
      <c r="A22" s="71">
        <v>45777</v>
      </c>
      <c r="B22" s="72">
        <v>50000</v>
      </c>
      <c r="C22" s="72"/>
      <c r="D22" s="73" t="s">
        <v>9</v>
      </c>
      <c r="E22" s="74" t="s">
        <v>22</v>
      </c>
      <c r="F22" s="74" t="s">
        <v>11</v>
      </c>
      <c r="G22" s="74" t="s">
        <v>27</v>
      </c>
      <c r="H22" s="65" t="s">
        <v>29</v>
      </c>
    </row>
    <row r="23" s="48" customFormat="1" customHeight="1" spans="1:8">
      <c r="A23" s="71">
        <v>45829</v>
      </c>
      <c r="B23" s="72"/>
      <c r="C23" s="72">
        <v>50000</v>
      </c>
      <c r="D23" s="73" t="s">
        <v>9</v>
      </c>
      <c r="E23" s="75" t="s">
        <v>22</v>
      </c>
      <c r="F23" s="74" t="s">
        <v>11</v>
      </c>
      <c r="G23" s="74" t="s">
        <v>30</v>
      </c>
      <c r="H23" s="65"/>
    </row>
    <row r="24" s="48" customFormat="1" customHeight="1" spans="1:8">
      <c r="A24" s="70">
        <v>45862</v>
      </c>
      <c r="B24" s="64">
        <v>100000</v>
      </c>
      <c r="C24" s="64"/>
      <c r="D24" s="59" t="s">
        <v>9</v>
      </c>
      <c r="E24" s="65" t="s">
        <v>22</v>
      </c>
      <c r="F24" s="65" t="s">
        <v>11</v>
      </c>
      <c r="G24" s="65" t="s">
        <v>31</v>
      </c>
      <c r="H24" s="65"/>
    </row>
    <row r="25" s="48" customFormat="1" customHeight="1" spans="1:8">
      <c r="A25" s="76">
        <v>45867</v>
      </c>
      <c r="B25" s="67">
        <v>30000</v>
      </c>
      <c r="C25" s="67"/>
      <c r="D25" s="62" t="s">
        <v>9</v>
      </c>
      <c r="E25" s="69" t="s">
        <v>22</v>
      </c>
      <c r="F25" s="69" t="s">
        <v>11</v>
      </c>
      <c r="G25" s="69" t="s">
        <v>32</v>
      </c>
      <c r="H25" s="65" t="s">
        <v>29</v>
      </c>
    </row>
    <row r="26" s="48" customFormat="1" customHeight="1" spans="1:8">
      <c r="A26" s="76">
        <v>45888</v>
      </c>
      <c r="B26" s="67">
        <v>30000</v>
      </c>
      <c r="C26" s="67"/>
      <c r="D26" s="62" t="s">
        <v>9</v>
      </c>
      <c r="E26" s="69" t="s">
        <v>22</v>
      </c>
      <c r="F26" s="69" t="s">
        <v>11</v>
      </c>
      <c r="G26" s="69" t="s">
        <v>33</v>
      </c>
      <c r="H26" s="65" t="s">
        <v>29</v>
      </c>
    </row>
    <row r="27" s="48" customFormat="1" customHeight="1" spans="1:8">
      <c r="A27" s="70">
        <v>45900</v>
      </c>
      <c r="B27" s="64">
        <v>5000</v>
      </c>
      <c r="C27" s="64"/>
      <c r="D27" s="59" t="s">
        <v>9</v>
      </c>
      <c r="E27" s="65" t="s">
        <v>22</v>
      </c>
      <c r="F27" s="65" t="s">
        <v>11</v>
      </c>
      <c r="G27" s="65" t="s">
        <v>34</v>
      </c>
      <c r="H27" s="65"/>
    </row>
    <row r="28" s="48" customFormat="1" customHeight="1" spans="1:8">
      <c r="A28" s="76">
        <v>45902</v>
      </c>
      <c r="B28" s="67">
        <v>55000</v>
      </c>
      <c r="C28" s="67"/>
      <c r="D28" s="62" t="s">
        <v>9</v>
      </c>
      <c r="E28" s="69" t="s">
        <v>22</v>
      </c>
      <c r="F28" s="69" t="s">
        <v>11</v>
      </c>
      <c r="G28" s="69" t="s">
        <v>32</v>
      </c>
      <c r="H28" s="65" t="s">
        <v>35</v>
      </c>
    </row>
    <row r="29" s="48" customFormat="1" customHeight="1" spans="1:8">
      <c r="A29" s="76">
        <v>45918</v>
      </c>
      <c r="B29" s="67"/>
      <c r="C29" s="67">
        <v>50000</v>
      </c>
      <c r="D29" s="62" t="s">
        <v>9</v>
      </c>
      <c r="E29" s="68" t="s">
        <v>22</v>
      </c>
      <c r="F29" s="69" t="s">
        <v>11</v>
      </c>
      <c r="G29" s="69" t="s">
        <v>36</v>
      </c>
      <c r="H29" s="65"/>
    </row>
    <row r="30" s="48" customFormat="1" customHeight="1" spans="1:8">
      <c r="A30" s="76">
        <v>45928</v>
      </c>
      <c r="B30" s="67"/>
      <c r="C30" s="67">
        <v>30000</v>
      </c>
      <c r="D30" s="62" t="s">
        <v>9</v>
      </c>
      <c r="E30" s="68" t="s">
        <v>22</v>
      </c>
      <c r="F30" s="69" t="s">
        <v>11</v>
      </c>
      <c r="G30" s="69" t="s">
        <v>36</v>
      </c>
      <c r="H30" s="65"/>
    </row>
    <row r="31" s="48" customFormat="1" customHeight="1" spans="1:8">
      <c r="A31" s="76">
        <v>45936</v>
      </c>
      <c r="B31" s="67"/>
      <c r="C31" s="67">
        <v>30000</v>
      </c>
      <c r="D31" s="62" t="s">
        <v>9</v>
      </c>
      <c r="E31" s="68" t="s">
        <v>22</v>
      </c>
      <c r="F31" s="69" t="s">
        <v>11</v>
      </c>
      <c r="G31" s="69" t="s">
        <v>36</v>
      </c>
      <c r="H31" s="65"/>
    </row>
    <row r="32" s="48" customFormat="1" customHeight="1" spans="1:8">
      <c r="A32" s="70">
        <v>45938</v>
      </c>
      <c r="B32" s="64">
        <v>15000</v>
      </c>
      <c r="C32" s="64"/>
      <c r="D32" s="59" t="s">
        <v>9</v>
      </c>
      <c r="E32" s="65" t="s">
        <v>22</v>
      </c>
      <c r="F32" s="65" t="s">
        <v>11</v>
      </c>
      <c r="G32" s="65" t="s">
        <v>33</v>
      </c>
      <c r="H32" s="65"/>
    </row>
    <row r="33" s="48" customFormat="1" customHeight="1" spans="1:8">
      <c r="A33" s="70">
        <v>45944</v>
      </c>
      <c r="B33" s="64">
        <v>5000</v>
      </c>
      <c r="C33" s="64"/>
      <c r="D33" s="59" t="s">
        <v>9</v>
      </c>
      <c r="E33" s="65" t="s">
        <v>22</v>
      </c>
      <c r="F33" s="65" t="s">
        <v>11</v>
      </c>
      <c r="G33" s="65" t="s">
        <v>33</v>
      </c>
      <c r="H33" s="65"/>
    </row>
    <row r="34" s="48" customFormat="1" customHeight="1" spans="1:8">
      <c r="A34" s="76">
        <v>45946</v>
      </c>
      <c r="B34" s="67">
        <v>20000</v>
      </c>
      <c r="C34" s="67"/>
      <c r="D34" s="62" t="s">
        <v>9</v>
      </c>
      <c r="E34" s="69" t="s">
        <v>22</v>
      </c>
      <c r="F34" s="69" t="s">
        <v>11</v>
      </c>
      <c r="G34" s="69" t="s">
        <v>32</v>
      </c>
      <c r="H34" s="65" t="s">
        <v>29</v>
      </c>
    </row>
    <row r="35" s="48" customFormat="1" customHeight="1" spans="1:8">
      <c r="A35" s="76">
        <v>45960</v>
      </c>
      <c r="B35" s="67">
        <v>22000</v>
      </c>
      <c r="C35" s="67"/>
      <c r="D35" s="62" t="s">
        <v>9</v>
      </c>
      <c r="E35" s="69" t="s">
        <v>22</v>
      </c>
      <c r="F35" s="69" t="s">
        <v>11</v>
      </c>
      <c r="G35" s="69" t="s">
        <v>33</v>
      </c>
      <c r="H35" s="65" t="s">
        <v>29</v>
      </c>
    </row>
    <row r="36" s="48" customFormat="1" customHeight="1" spans="1:8">
      <c r="A36" s="76">
        <v>45961</v>
      </c>
      <c r="B36" s="67">
        <v>40000</v>
      </c>
      <c r="C36" s="67"/>
      <c r="D36" s="62" t="s">
        <v>9</v>
      </c>
      <c r="E36" s="69" t="s">
        <v>22</v>
      </c>
      <c r="F36" s="69" t="s">
        <v>11</v>
      </c>
      <c r="G36" s="69" t="s">
        <v>33</v>
      </c>
      <c r="H36" s="65" t="s">
        <v>29</v>
      </c>
    </row>
    <row r="37" s="48" customFormat="1" customHeight="1" spans="1:8">
      <c r="A37" s="76">
        <v>45963</v>
      </c>
      <c r="B37" s="67">
        <v>10000</v>
      </c>
      <c r="C37" s="67"/>
      <c r="D37" s="62" t="s">
        <v>9</v>
      </c>
      <c r="E37" s="69" t="s">
        <v>22</v>
      </c>
      <c r="F37" s="69" t="s">
        <v>11</v>
      </c>
      <c r="G37" s="69" t="s">
        <v>33</v>
      </c>
      <c r="H37" s="65" t="s">
        <v>29</v>
      </c>
    </row>
    <row r="38" s="48" customFormat="1" customHeight="1" spans="1:8">
      <c r="A38" s="70">
        <v>45965</v>
      </c>
      <c r="B38" s="64">
        <v>5000</v>
      </c>
      <c r="C38" s="64"/>
      <c r="D38" s="59" t="s">
        <v>9</v>
      </c>
      <c r="E38" s="65" t="s">
        <v>22</v>
      </c>
      <c r="F38" s="65" t="s">
        <v>11</v>
      </c>
      <c r="G38" s="65" t="s">
        <v>37</v>
      </c>
      <c r="H38" s="65"/>
    </row>
    <row r="39" s="48" customFormat="1" customHeight="1" spans="1:8">
      <c r="A39" s="76">
        <v>45969</v>
      </c>
      <c r="B39" s="67"/>
      <c r="C39" s="67">
        <v>52000</v>
      </c>
      <c r="D39" s="62" t="s">
        <v>9</v>
      </c>
      <c r="E39" s="68" t="s">
        <v>22</v>
      </c>
      <c r="F39" s="69" t="s">
        <v>11</v>
      </c>
      <c r="G39" s="69" t="s">
        <v>36</v>
      </c>
      <c r="H39" s="65"/>
    </row>
    <row r="40" s="48" customFormat="1" customHeight="1" spans="1:8">
      <c r="A40" s="76">
        <v>45972</v>
      </c>
      <c r="B40" s="67"/>
      <c r="C40" s="67">
        <v>40000</v>
      </c>
      <c r="D40" s="62" t="s">
        <v>9</v>
      </c>
      <c r="E40" s="68" t="s">
        <v>22</v>
      </c>
      <c r="F40" s="69" t="s">
        <v>11</v>
      </c>
      <c r="G40" s="69" t="s">
        <v>36</v>
      </c>
      <c r="H40" s="65"/>
    </row>
    <row r="41" s="48" customFormat="1" customHeight="1" spans="1:8">
      <c r="A41" s="70">
        <v>45976</v>
      </c>
      <c r="B41" s="64">
        <v>80000</v>
      </c>
      <c r="C41" s="64"/>
      <c r="D41" s="59" t="s">
        <v>9</v>
      </c>
      <c r="E41" s="65" t="s">
        <v>22</v>
      </c>
      <c r="F41" s="65" t="s">
        <v>11</v>
      </c>
      <c r="G41" s="65" t="s">
        <v>32</v>
      </c>
      <c r="H41" s="65"/>
    </row>
    <row r="42" s="48" customFormat="1" customHeight="1" spans="1:8">
      <c r="A42" s="70">
        <v>45978</v>
      </c>
      <c r="B42" s="64">
        <v>80000</v>
      </c>
      <c r="C42" s="64"/>
      <c r="D42" s="59" t="s">
        <v>9</v>
      </c>
      <c r="E42" s="65" t="s">
        <v>22</v>
      </c>
      <c r="F42" s="65" t="s">
        <v>11</v>
      </c>
      <c r="G42" s="65" t="s">
        <v>38</v>
      </c>
      <c r="H42" s="65"/>
    </row>
    <row r="43" s="48" customFormat="1" customHeight="1" spans="1:8">
      <c r="A43" s="70">
        <v>45980</v>
      </c>
      <c r="B43" s="64">
        <v>40000</v>
      </c>
      <c r="C43" s="64"/>
      <c r="D43" s="59" t="s">
        <v>9</v>
      </c>
      <c r="E43" s="65" t="s">
        <v>22</v>
      </c>
      <c r="F43" s="65" t="s">
        <v>11</v>
      </c>
      <c r="G43" s="65" t="s">
        <v>38</v>
      </c>
      <c r="H43" s="65"/>
    </row>
    <row r="44" s="48" customFormat="1" customHeight="1" spans="1:8">
      <c r="A44" s="76">
        <v>45982</v>
      </c>
      <c r="B44" s="67">
        <v>35000</v>
      </c>
      <c r="C44" s="67"/>
      <c r="D44" s="62" t="s">
        <v>9</v>
      </c>
      <c r="E44" s="69" t="s">
        <v>22</v>
      </c>
      <c r="F44" s="69" t="s">
        <v>11</v>
      </c>
      <c r="G44" s="69" t="s">
        <v>38</v>
      </c>
      <c r="H44" s="65" t="s">
        <v>29</v>
      </c>
    </row>
    <row r="45" s="48" customFormat="1" customHeight="1" spans="1:8">
      <c r="A45" s="76">
        <v>45982</v>
      </c>
      <c r="B45" s="67">
        <v>15000</v>
      </c>
      <c r="C45" s="67"/>
      <c r="D45" s="62" t="s">
        <v>9</v>
      </c>
      <c r="E45" s="69" t="s">
        <v>22</v>
      </c>
      <c r="F45" s="69" t="s">
        <v>11</v>
      </c>
      <c r="G45" s="69" t="s">
        <v>38</v>
      </c>
      <c r="H45" s="65" t="s">
        <v>29</v>
      </c>
    </row>
    <row r="46" s="48" customFormat="1" customHeight="1" spans="1:8">
      <c r="A46" s="76">
        <v>45991</v>
      </c>
      <c r="B46" s="67">
        <v>35000</v>
      </c>
      <c r="C46" s="67"/>
      <c r="D46" s="62" t="s">
        <v>9</v>
      </c>
      <c r="E46" s="69" t="s">
        <v>22</v>
      </c>
      <c r="F46" s="69" t="s">
        <v>11</v>
      </c>
      <c r="G46" s="69" t="s">
        <v>38</v>
      </c>
      <c r="H46" s="65" t="s">
        <v>29</v>
      </c>
    </row>
    <row r="47" s="48" customFormat="1" customHeight="1" spans="1:8">
      <c r="A47" s="76">
        <v>45996</v>
      </c>
      <c r="B47" s="67">
        <v>25000</v>
      </c>
      <c r="C47" s="67"/>
      <c r="D47" s="62" t="s">
        <v>9</v>
      </c>
      <c r="E47" s="69" t="s">
        <v>22</v>
      </c>
      <c r="F47" s="69" t="s">
        <v>11</v>
      </c>
      <c r="G47" s="69" t="s">
        <v>38</v>
      </c>
      <c r="H47" s="65" t="s">
        <v>29</v>
      </c>
    </row>
    <row r="48" s="48" customFormat="1" customHeight="1" spans="1:8">
      <c r="A48" s="70">
        <v>45999</v>
      </c>
      <c r="B48" s="64">
        <v>80000</v>
      </c>
      <c r="C48" s="64"/>
      <c r="D48" s="59" t="s">
        <v>9</v>
      </c>
      <c r="E48" s="65" t="s">
        <v>22</v>
      </c>
      <c r="F48" s="65" t="s">
        <v>11</v>
      </c>
      <c r="G48" s="65" t="s">
        <v>38</v>
      </c>
      <c r="H48" s="65"/>
    </row>
    <row r="49" s="48" customFormat="1" customHeight="1" spans="1:8">
      <c r="A49" s="76">
        <v>46013</v>
      </c>
      <c r="B49" s="67">
        <v>80000</v>
      </c>
      <c r="C49" s="67"/>
      <c r="D49" s="62" t="s">
        <v>9</v>
      </c>
      <c r="E49" s="69" t="s">
        <v>22</v>
      </c>
      <c r="F49" s="69" t="s">
        <v>11</v>
      </c>
      <c r="G49" s="69" t="s">
        <v>38</v>
      </c>
      <c r="H49" s="65" t="s">
        <v>35</v>
      </c>
    </row>
    <row r="50" s="48" customFormat="1" customHeight="1" spans="1:8">
      <c r="A50" s="76">
        <v>46022</v>
      </c>
      <c r="B50" s="67">
        <v>100000</v>
      </c>
      <c r="C50" s="67"/>
      <c r="D50" s="62" t="s">
        <v>9</v>
      </c>
      <c r="E50" s="69" t="s">
        <v>22</v>
      </c>
      <c r="F50" s="69" t="s">
        <v>11</v>
      </c>
      <c r="G50" s="69" t="s">
        <v>33</v>
      </c>
      <c r="H50" s="65" t="s">
        <v>29</v>
      </c>
    </row>
    <row r="51" s="48" customFormat="1" customHeight="1" spans="1:8">
      <c r="A51" s="76">
        <v>46026</v>
      </c>
      <c r="B51" s="67">
        <v>100000</v>
      </c>
      <c r="C51" s="67"/>
      <c r="D51" s="62" t="s">
        <v>9</v>
      </c>
      <c r="E51" s="69" t="s">
        <v>22</v>
      </c>
      <c r="F51" s="69" t="s">
        <v>11</v>
      </c>
      <c r="G51" s="69" t="s">
        <v>37</v>
      </c>
      <c r="H51" s="65" t="s">
        <v>29</v>
      </c>
    </row>
    <row r="52" s="48" customFormat="1" customHeight="1" spans="1:8">
      <c r="A52" s="76">
        <v>46029</v>
      </c>
      <c r="B52" s="67">
        <v>50000</v>
      </c>
      <c r="C52" s="67"/>
      <c r="D52" s="62" t="s">
        <v>9</v>
      </c>
      <c r="E52" s="69" t="s">
        <v>22</v>
      </c>
      <c r="F52" s="69" t="s">
        <v>11</v>
      </c>
      <c r="G52" s="69" t="s">
        <v>37</v>
      </c>
      <c r="H52" s="65" t="s">
        <v>29</v>
      </c>
    </row>
    <row r="53" s="48" customFormat="1" customHeight="1" spans="1:8">
      <c r="A53" s="76">
        <v>46036</v>
      </c>
      <c r="B53" s="67"/>
      <c r="C53" s="67">
        <v>50000</v>
      </c>
      <c r="D53" s="62" t="s">
        <v>9</v>
      </c>
      <c r="E53" s="68" t="s">
        <v>22</v>
      </c>
      <c r="F53" s="69" t="s">
        <v>11</v>
      </c>
      <c r="G53" s="69" t="s">
        <v>39</v>
      </c>
      <c r="H53" s="65"/>
    </row>
    <row r="54" s="48" customFormat="1" customHeight="1" spans="1:8">
      <c r="A54" s="76">
        <v>46036</v>
      </c>
      <c r="B54" s="67"/>
      <c r="C54" s="67">
        <v>100000</v>
      </c>
      <c r="D54" s="62" t="s">
        <v>9</v>
      </c>
      <c r="E54" s="68" t="s">
        <v>22</v>
      </c>
      <c r="F54" s="69" t="s">
        <v>11</v>
      </c>
      <c r="G54" s="69" t="s">
        <v>40</v>
      </c>
      <c r="H54" s="65"/>
    </row>
    <row r="55" s="48" customFormat="1" customHeight="1" spans="1:8">
      <c r="A55" s="76">
        <v>46042</v>
      </c>
      <c r="B55" s="67"/>
      <c r="C55" s="67">
        <v>100000</v>
      </c>
      <c r="D55" s="62" t="s">
        <v>9</v>
      </c>
      <c r="E55" s="68" t="s">
        <v>22</v>
      </c>
      <c r="F55" s="69" t="s">
        <v>11</v>
      </c>
      <c r="G55" s="69" t="s">
        <v>41</v>
      </c>
      <c r="H55" s="65"/>
    </row>
    <row r="56" s="48" customFormat="1" customHeight="1" spans="1:8">
      <c r="A56" s="70">
        <v>46057</v>
      </c>
      <c r="B56" s="64">
        <v>10000</v>
      </c>
      <c r="C56" s="64"/>
      <c r="D56" s="59" t="s">
        <v>9</v>
      </c>
      <c r="E56" s="65" t="s">
        <v>22</v>
      </c>
      <c r="F56" s="65" t="s">
        <v>11</v>
      </c>
      <c r="G56" s="65" t="s">
        <v>37</v>
      </c>
      <c r="H56" s="65"/>
    </row>
    <row r="57" s="48" customFormat="1" customHeight="1" spans="1:8">
      <c r="A57" s="70">
        <v>46068</v>
      </c>
      <c r="B57" s="64">
        <v>100000</v>
      </c>
      <c r="C57" s="64"/>
      <c r="D57" s="59" t="s">
        <v>9</v>
      </c>
      <c r="E57" s="65" t="s">
        <v>22</v>
      </c>
      <c r="F57" s="65" t="s">
        <v>11</v>
      </c>
      <c r="G57" s="65" t="s">
        <v>37</v>
      </c>
      <c r="H57" s="65"/>
    </row>
    <row r="58" s="48" customFormat="1" customHeight="1" spans="1:8">
      <c r="A58" s="70">
        <v>46069</v>
      </c>
      <c r="B58" s="64">
        <v>30000</v>
      </c>
      <c r="C58" s="64"/>
      <c r="D58" s="59" t="s">
        <v>9</v>
      </c>
      <c r="E58" s="65" t="s">
        <v>22</v>
      </c>
      <c r="F58" s="65" t="s">
        <v>11</v>
      </c>
      <c r="G58" s="65" t="s">
        <v>37</v>
      </c>
      <c r="H58" s="65"/>
    </row>
    <row r="59" s="48" customFormat="1" customHeight="1" spans="1:8">
      <c r="A59" s="70">
        <v>46085</v>
      </c>
      <c r="B59" s="64">
        <v>5000</v>
      </c>
      <c r="C59" s="64"/>
      <c r="D59" s="59" t="s">
        <v>9</v>
      </c>
      <c r="E59" s="65" t="s">
        <v>22</v>
      </c>
      <c r="F59" s="65" t="s">
        <v>11</v>
      </c>
      <c r="G59" s="65" t="s">
        <v>37</v>
      </c>
      <c r="H59" s="65"/>
    </row>
    <row r="60" s="48" customFormat="1" customHeight="1" spans="1:8">
      <c r="A60" s="76">
        <v>46092</v>
      </c>
      <c r="B60" s="67"/>
      <c r="C60" s="67">
        <v>50000</v>
      </c>
      <c r="D60" s="62" t="s">
        <v>9</v>
      </c>
      <c r="E60" s="68" t="s">
        <v>22</v>
      </c>
      <c r="F60" s="69" t="s">
        <v>11</v>
      </c>
      <c r="G60" s="69" t="s">
        <v>42</v>
      </c>
      <c r="H60" s="65"/>
    </row>
    <row r="61" s="48" customFormat="1" customHeight="1" spans="1:8">
      <c r="A61" s="76">
        <v>46100</v>
      </c>
      <c r="B61" s="67"/>
      <c r="C61" s="67">
        <v>35000</v>
      </c>
      <c r="D61" s="62" t="s">
        <v>9</v>
      </c>
      <c r="E61" s="68" t="s">
        <v>22</v>
      </c>
      <c r="F61" s="69" t="s">
        <v>11</v>
      </c>
      <c r="G61" s="69" t="s">
        <v>43</v>
      </c>
      <c r="H61" s="65"/>
    </row>
    <row r="62" s="48" customFormat="1" customHeight="1" spans="1:8">
      <c r="A62" s="76">
        <v>46100</v>
      </c>
      <c r="B62" s="67"/>
      <c r="C62" s="67">
        <v>25000</v>
      </c>
      <c r="D62" s="62" t="s">
        <v>9</v>
      </c>
      <c r="E62" s="68" t="s">
        <v>22</v>
      </c>
      <c r="F62" s="69" t="s">
        <v>11</v>
      </c>
      <c r="G62" s="69" t="s">
        <v>44</v>
      </c>
      <c r="H62" s="65"/>
    </row>
    <row r="63" s="48" customFormat="1" customHeight="1" spans="1:8">
      <c r="A63" s="76">
        <v>46118</v>
      </c>
      <c r="B63" s="67"/>
      <c r="C63" s="67">
        <v>50000</v>
      </c>
      <c r="D63" s="62" t="s">
        <v>9</v>
      </c>
      <c r="E63" s="68" t="s">
        <v>22</v>
      </c>
      <c r="F63" s="69" t="s">
        <v>11</v>
      </c>
      <c r="G63" s="69" t="s">
        <v>36</v>
      </c>
      <c r="H63" s="65"/>
    </row>
    <row r="64" s="48" customFormat="1" customHeight="1" spans="1:8">
      <c r="A64" s="70">
        <v>46139</v>
      </c>
      <c r="B64" s="64">
        <v>2000</v>
      </c>
      <c r="C64" s="64"/>
      <c r="D64" s="59" t="s">
        <v>9</v>
      </c>
      <c r="E64" s="65" t="s">
        <v>22</v>
      </c>
      <c r="F64" s="65" t="s">
        <v>11</v>
      </c>
      <c r="G64" s="65" t="s">
        <v>45</v>
      </c>
      <c r="H64" s="65"/>
    </row>
    <row r="65" s="48" customFormat="1" customHeight="1" spans="1:8">
      <c r="A65" s="70">
        <v>46150</v>
      </c>
      <c r="B65" s="64">
        <v>10000</v>
      </c>
      <c r="C65" s="64"/>
      <c r="D65" s="59" t="s">
        <v>9</v>
      </c>
      <c r="E65" s="65" t="s">
        <v>22</v>
      </c>
      <c r="F65" s="65" t="s">
        <v>11</v>
      </c>
      <c r="G65" s="65" t="s">
        <v>45</v>
      </c>
      <c r="H65" s="65"/>
    </row>
    <row r="66" s="48" customFormat="1" customHeight="1" spans="1:8">
      <c r="A66" s="70">
        <v>46150</v>
      </c>
      <c r="B66" s="64">
        <v>2000</v>
      </c>
      <c r="C66" s="64"/>
      <c r="D66" s="59" t="s">
        <v>9</v>
      </c>
      <c r="E66" s="65" t="s">
        <v>22</v>
      </c>
      <c r="F66" s="65" t="s">
        <v>11</v>
      </c>
      <c r="G66" s="65" t="s">
        <v>45</v>
      </c>
      <c r="H66" s="65"/>
    </row>
    <row r="67" s="48" customFormat="1" customHeight="1" spans="1:8">
      <c r="A67" s="76">
        <v>46155</v>
      </c>
      <c r="B67" s="67">
        <v>10000</v>
      </c>
      <c r="C67" s="67"/>
      <c r="D67" s="62" t="s">
        <v>9</v>
      </c>
      <c r="E67" s="69" t="s">
        <v>22</v>
      </c>
      <c r="F67" s="69" t="s">
        <v>11</v>
      </c>
      <c r="G67" s="69" t="s">
        <v>37</v>
      </c>
      <c r="H67" s="65" t="s">
        <v>29</v>
      </c>
    </row>
    <row r="68" s="48" customFormat="1" customHeight="1" spans="1:8">
      <c r="A68" s="76">
        <v>46156</v>
      </c>
      <c r="B68" s="67">
        <v>40000</v>
      </c>
      <c r="C68" s="67"/>
      <c r="D68" s="62" t="s">
        <v>9</v>
      </c>
      <c r="E68" s="69" t="s">
        <v>22</v>
      </c>
      <c r="F68" s="69" t="s">
        <v>11</v>
      </c>
      <c r="G68" s="69" t="s">
        <v>37</v>
      </c>
      <c r="H68" s="65" t="s">
        <v>29</v>
      </c>
    </row>
    <row r="69" s="48" customFormat="1" customHeight="1" spans="1:8">
      <c r="A69" s="76">
        <v>46161</v>
      </c>
      <c r="B69" s="67">
        <v>90000</v>
      </c>
      <c r="C69" s="67"/>
      <c r="D69" s="62" t="s">
        <v>9</v>
      </c>
      <c r="E69" s="69" t="s">
        <v>22</v>
      </c>
      <c r="F69" s="69" t="s">
        <v>11</v>
      </c>
      <c r="G69" s="69" t="s">
        <v>37</v>
      </c>
      <c r="H69" s="65" t="s">
        <v>29</v>
      </c>
    </row>
    <row r="70" s="48" customFormat="1" customHeight="1" spans="1:8">
      <c r="A70" s="76">
        <v>46165</v>
      </c>
      <c r="B70" s="67"/>
      <c r="C70" s="67">
        <v>10000</v>
      </c>
      <c r="D70" s="62" t="s">
        <v>9</v>
      </c>
      <c r="E70" s="68" t="s">
        <v>22</v>
      </c>
      <c r="F70" s="69" t="s">
        <v>11</v>
      </c>
      <c r="G70" s="69" t="s">
        <v>36</v>
      </c>
      <c r="H70" s="65"/>
    </row>
    <row r="71" s="48" customFormat="1" customHeight="1" spans="1:8">
      <c r="A71" s="76">
        <v>46165</v>
      </c>
      <c r="B71" s="67"/>
      <c r="C71" s="67">
        <v>80000</v>
      </c>
      <c r="D71" s="62" t="s">
        <v>9</v>
      </c>
      <c r="E71" s="68" t="s">
        <v>22</v>
      </c>
      <c r="F71" s="69" t="s">
        <v>11</v>
      </c>
      <c r="G71" s="69" t="s">
        <v>36</v>
      </c>
      <c r="H71" s="65"/>
    </row>
    <row r="72" s="48" customFormat="1" customHeight="1" spans="1:8">
      <c r="A72" s="70">
        <v>46184</v>
      </c>
      <c r="B72" s="64">
        <v>2000</v>
      </c>
      <c r="C72" s="64"/>
      <c r="D72" s="59" t="s">
        <v>9</v>
      </c>
      <c r="E72" s="65" t="s">
        <v>22</v>
      </c>
      <c r="F72" s="65" t="s">
        <v>11</v>
      </c>
      <c r="G72" s="65" t="s">
        <v>45</v>
      </c>
      <c r="H72" s="65"/>
    </row>
    <row r="73" s="48" customFormat="1" customHeight="1" spans="1:8">
      <c r="A73" s="70">
        <v>46188</v>
      </c>
      <c r="B73" s="64">
        <v>2000</v>
      </c>
      <c r="C73" s="64"/>
      <c r="D73" s="59" t="s">
        <v>9</v>
      </c>
      <c r="E73" s="65" t="s">
        <v>22</v>
      </c>
      <c r="F73" s="65" t="s">
        <v>11</v>
      </c>
      <c r="G73" s="65" t="s">
        <v>45</v>
      </c>
      <c r="H73" s="65"/>
    </row>
    <row r="74" s="48" customFormat="1" customHeight="1" spans="1:8">
      <c r="A74" s="70">
        <v>46191</v>
      </c>
      <c r="B74" s="64">
        <v>5000</v>
      </c>
      <c r="C74" s="64"/>
      <c r="D74" s="59" t="s">
        <v>9</v>
      </c>
      <c r="E74" s="65" t="s">
        <v>22</v>
      </c>
      <c r="F74" s="65" t="s">
        <v>11</v>
      </c>
      <c r="G74" s="65" t="s">
        <v>45</v>
      </c>
      <c r="H74" s="65"/>
    </row>
    <row r="75" s="48" customFormat="1" customHeight="1" spans="1:8">
      <c r="A75" s="76">
        <v>46200</v>
      </c>
      <c r="B75" s="67"/>
      <c r="C75" s="67">
        <v>50000</v>
      </c>
      <c r="D75" s="62" t="s">
        <v>9</v>
      </c>
      <c r="E75" s="68" t="s">
        <v>22</v>
      </c>
      <c r="F75" s="69" t="s">
        <v>11</v>
      </c>
      <c r="G75" s="69" t="s">
        <v>46</v>
      </c>
      <c r="H75" s="65"/>
    </row>
    <row r="76" s="48" customFormat="1" customHeight="1" spans="1:8">
      <c r="A76" s="63">
        <v>46229</v>
      </c>
      <c r="B76" s="64"/>
      <c r="C76" s="64">
        <v>70000</v>
      </c>
      <c r="D76" s="62" t="s">
        <v>9</v>
      </c>
      <c r="E76" s="68" t="s">
        <v>22</v>
      </c>
      <c r="F76" s="69" t="s">
        <v>11</v>
      </c>
      <c r="G76" s="65" t="s">
        <v>46</v>
      </c>
      <c r="H76" s="65"/>
    </row>
    <row r="77" s="48" customFormat="1" customHeight="1" spans="1:8">
      <c r="A77" s="63">
        <v>46231</v>
      </c>
      <c r="B77" s="64">
        <v>60000</v>
      </c>
      <c r="C77" s="64"/>
      <c r="D77" s="62" t="s">
        <v>9</v>
      </c>
      <c r="E77" s="68" t="s">
        <v>22</v>
      </c>
      <c r="F77" s="69" t="s">
        <v>11</v>
      </c>
      <c r="G77" s="65" t="s">
        <v>45</v>
      </c>
      <c r="H77" s="65"/>
    </row>
    <row r="78" s="48" customFormat="1" customHeight="1" spans="1:8">
      <c r="A78" s="63">
        <v>46234</v>
      </c>
      <c r="B78" s="64"/>
      <c r="C78" s="64">
        <v>40000</v>
      </c>
      <c r="D78" s="62" t="s">
        <v>9</v>
      </c>
      <c r="E78" s="68" t="s">
        <v>22</v>
      </c>
      <c r="F78" s="69" t="s">
        <v>11</v>
      </c>
      <c r="G78" s="65" t="s">
        <v>47</v>
      </c>
      <c r="H78" s="65"/>
    </row>
    <row r="79" s="48" customFormat="1" customHeight="1" spans="1:8">
      <c r="A79" s="63">
        <v>46242</v>
      </c>
      <c r="B79" s="64">
        <v>600</v>
      </c>
      <c r="C79" s="64"/>
      <c r="D79" s="62" t="s">
        <v>9</v>
      </c>
      <c r="E79" s="68" t="s">
        <v>22</v>
      </c>
      <c r="F79" s="69" t="s">
        <v>11</v>
      </c>
      <c r="G79" s="65" t="s">
        <v>45</v>
      </c>
      <c r="H79" s="65"/>
    </row>
    <row r="80" s="48" customFormat="1" customHeight="1" spans="1:8">
      <c r="A80" s="63">
        <v>46259</v>
      </c>
      <c r="B80" s="64">
        <v>2000</v>
      </c>
      <c r="C80" s="64"/>
      <c r="D80" s="62" t="s">
        <v>9</v>
      </c>
      <c r="E80" s="68" t="s">
        <v>22</v>
      </c>
      <c r="F80" s="69" t="s">
        <v>11</v>
      </c>
      <c r="G80" s="65" t="s">
        <v>45</v>
      </c>
      <c r="H80" s="65"/>
    </row>
    <row r="81" s="48" customFormat="1" customHeight="1" spans="1:8">
      <c r="A81" s="63">
        <v>46262</v>
      </c>
      <c r="B81" s="64"/>
      <c r="C81" s="64">
        <v>100000</v>
      </c>
      <c r="D81" s="62" t="s">
        <v>9</v>
      </c>
      <c r="E81" s="68" t="s">
        <v>22</v>
      </c>
      <c r="F81" s="69" t="s">
        <v>11</v>
      </c>
      <c r="G81" s="65" t="s">
        <v>47</v>
      </c>
      <c r="H81" s="65"/>
    </row>
    <row r="82" s="48" customFormat="1" customHeight="1" spans="1:8">
      <c r="A82" s="63" t="s">
        <v>18</v>
      </c>
      <c r="B82" s="64">
        <f>SUBTOTAL(109,表5[借入])</f>
        <v>2666818</v>
      </c>
      <c r="C82" s="64">
        <f>SUBTOTAL(109,表5[还回])</f>
        <v>1797000</v>
      </c>
      <c r="D82" s="65"/>
      <c r="E82" s="65"/>
      <c r="F82" s="65"/>
      <c r="G82" s="65"/>
      <c r="H82" s="65"/>
    </row>
    <row r="83" s="48" customFormat="1" customHeight="1" spans="1:8">
      <c r="A83" s="77" t="s">
        <v>19</v>
      </c>
      <c r="B83" s="78">
        <f>B82-C82</f>
        <v>869818</v>
      </c>
      <c r="C83" s="64" t="s">
        <v>48</v>
      </c>
      <c r="D83" s="65"/>
      <c r="E83" s="65"/>
      <c r="F83" s="65"/>
      <c r="G83" s="65"/>
      <c r="H83" s="65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F11" sqref="F11"/>
    </sheetView>
  </sheetViews>
  <sheetFormatPr defaultColWidth="9" defaultRowHeight="27" customHeight="1" outlineLevelRow="6" outlineLevelCol="7"/>
  <cols>
    <col min="1" max="1" width="13.5454545454545" style="1" customWidth="1"/>
    <col min="2" max="2" width="14.0909090909091" style="2" customWidth="1"/>
    <col min="3" max="3" width="15.0909090909091" style="2" customWidth="1"/>
    <col min="4" max="4" width="15.0909090909091" style="3" customWidth="1"/>
    <col min="5" max="5" width="14.3636363636364" style="3" customWidth="1"/>
    <col min="6" max="6" width="13.4545454545455" style="3" customWidth="1"/>
    <col min="7" max="7" width="20.5454545454545" style="3" customWidth="1"/>
    <col min="8" max="8" width="13.5454545454545" style="3" customWidth="1"/>
    <col min="9" max="16384" width="9" style="3"/>
  </cols>
  <sheetData>
    <row r="1" s="3" customFormat="1" customHeight="1" spans="1:8">
      <c r="A1" s="43" t="s">
        <v>49</v>
      </c>
      <c r="B1" s="44"/>
      <c r="C1" s="44"/>
      <c r="D1" s="45"/>
      <c r="E1" s="45"/>
      <c r="F1" s="45"/>
      <c r="G1" s="45"/>
      <c r="H1" s="45"/>
    </row>
    <row r="2" s="3" customFormat="1" customHeight="1" spans="1:8">
      <c r="A2" s="30" t="s">
        <v>1</v>
      </c>
      <c r="B2" s="31" t="s">
        <v>2</v>
      </c>
      <c r="C2" s="31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2" t="s">
        <v>8</v>
      </c>
    </row>
    <row r="3" s="3" customFormat="1" customHeight="1" spans="1:8">
      <c r="A3" s="22">
        <v>45947</v>
      </c>
      <c r="B3" s="15">
        <v>50000</v>
      </c>
      <c r="C3" s="15"/>
      <c r="D3" s="16" t="s">
        <v>9</v>
      </c>
      <c r="E3" s="16" t="s">
        <v>50</v>
      </c>
      <c r="F3" s="16" t="s">
        <v>11</v>
      </c>
      <c r="G3" s="16" t="s">
        <v>51</v>
      </c>
      <c r="H3" s="12" t="s">
        <v>29</v>
      </c>
    </row>
    <row r="4" s="3" customFormat="1" customHeight="1" spans="1:8">
      <c r="A4" s="22">
        <v>45968</v>
      </c>
      <c r="B4" s="15"/>
      <c r="C4" s="15">
        <v>50000</v>
      </c>
      <c r="D4" s="16"/>
      <c r="E4" s="16" t="s">
        <v>50</v>
      </c>
      <c r="F4" s="16" t="s">
        <v>11</v>
      </c>
      <c r="G4" s="16" t="s">
        <v>36</v>
      </c>
      <c r="H4" s="12"/>
    </row>
    <row r="5" s="3" customFormat="1" customHeight="1" spans="1:8">
      <c r="A5" s="10">
        <v>45973</v>
      </c>
      <c r="B5" s="11">
        <v>40000</v>
      </c>
      <c r="C5" s="11"/>
      <c r="D5" s="12"/>
      <c r="E5" s="12" t="s">
        <v>50</v>
      </c>
      <c r="F5" s="12" t="s">
        <v>11</v>
      </c>
      <c r="G5" s="12" t="s">
        <v>52</v>
      </c>
      <c r="H5" s="12"/>
    </row>
    <row r="6" customHeight="1" spans="1:8">
      <c r="A6" s="10" t="s">
        <v>18</v>
      </c>
      <c r="B6" s="11">
        <f>SUBTOTAL(109,表2[借入])</f>
        <v>90000</v>
      </c>
      <c r="C6" s="11">
        <f>SUBTOTAL(109,表2[还回])</f>
        <v>50000</v>
      </c>
      <c r="D6" s="12"/>
      <c r="E6" s="12"/>
      <c r="F6" s="12"/>
      <c r="G6" s="12"/>
      <c r="H6" s="12"/>
    </row>
    <row r="7" customHeight="1" spans="1:8">
      <c r="A7" s="46" t="s">
        <v>19</v>
      </c>
      <c r="B7" s="47">
        <f>B6-C6</f>
        <v>40000</v>
      </c>
      <c r="C7" s="11"/>
      <c r="D7" s="12"/>
      <c r="E7" s="12"/>
      <c r="F7" s="12"/>
      <c r="G7" s="12"/>
      <c r="H7" s="12"/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pane ySplit="2" topLeftCell="A23" activePane="bottomLeft" state="frozen"/>
      <selection/>
      <selection pane="bottomLeft" activeCell="D43" sqref="D43"/>
    </sheetView>
  </sheetViews>
  <sheetFormatPr defaultColWidth="8.72727272727273" defaultRowHeight="23" customHeight="1"/>
  <cols>
    <col min="1" max="1" width="13.5454545454545" style="26" customWidth="1"/>
    <col min="2" max="6" width="15.0909090909091" style="2" customWidth="1"/>
    <col min="7" max="7" width="20" style="2" customWidth="1"/>
    <col min="8" max="8" width="18.7272727272727" style="3" customWidth="1"/>
    <col min="9" max="9" width="14.3636363636364" style="3" customWidth="1"/>
    <col min="10" max="10" width="13.4545454545455" style="3" customWidth="1"/>
    <col min="11" max="11" width="21" style="3" customWidth="1"/>
    <col min="12" max="16384" width="8.72727272727273" style="3"/>
  </cols>
  <sheetData>
    <row r="1" customHeight="1" spans="1:11">
      <c r="A1" s="27" t="s">
        <v>53</v>
      </c>
      <c r="B1" s="28"/>
      <c r="C1" s="28"/>
      <c r="D1" s="28"/>
      <c r="E1" s="28"/>
      <c r="F1" s="28"/>
      <c r="G1" s="28"/>
      <c r="H1" s="29"/>
      <c r="I1" s="29"/>
      <c r="J1" s="29"/>
      <c r="K1" s="29"/>
    </row>
    <row r="2" customHeight="1" spans="1:11">
      <c r="A2" s="30" t="s">
        <v>1</v>
      </c>
      <c r="B2" s="31" t="s">
        <v>54</v>
      </c>
      <c r="C2" s="31" t="s">
        <v>55</v>
      </c>
      <c r="D2" s="31" t="s">
        <v>56</v>
      </c>
      <c r="E2" s="31" t="s">
        <v>57</v>
      </c>
      <c r="F2" s="31" t="s">
        <v>58</v>
      </c>
      <c r="G2" s="31" t="s">
        <v>6</v>
      </c>
      <c r="H2" s="32" t="s">
        <v>59</v>
      </c>
      <c r="I2" s="32" t="s">
        <v>60</v>
      </c>
      <c r="J2" s="32" t="s">
        <v>61</v>
      </c>
      <c r="K2" s="32" t="s">
        <v>8</v>
      </c>
    </row>
    <row r="3" customHeight="1" spans="1:11">
      <c r="A3" s="33">
        <v>45567</v>
      </c>
      <c r="B3" s="21">
        <v>10000</v>
      </c>
      <c r="C3" s="21"/>
      <c r="D3" s="21"/>
      <c r="E3" s="21"/>
      <c r="F3" s="11"/>
      <c r="G3" s="11" t="s">
        <v>62</v>
      </c>
      <c r="H3" s="12" t="s">
        <v>9</v>
      </c>
      <c r="I3" s="12" t="s">
        <v>63</v>
      </c>
      <c r="J3" s="12" t="s">
        <v>11</v>
      </c>
      <c r="K3" s="12"/>
    </row>
    <row r="4" customHeight="1" spans="1:11">
      <c r="A4" s="33">
        <v>45656</v>
      </c>
      <c r="B4" s="21">
        <v>10000</v>
      </c>
      <c r="C4" s="21"/>
      <c r="D4" s="21"/>
      <c r="E4" s="21"/>
      <c r="F4" s="11"/>
      <c r="G4" s="11" t="s">
        <v>62</v>
      </c>
      <c r="H4" s="12" t="s">
        <v>9</v>
      </c>
      <c r="I4" s="12" t="s">
        <v>63</v>
      </c>
      <c r="J4" s="12" t="s">
        <v>11</v>
      </c>
      <c r="K4" s="12"/>
    </row>
    <row r="5" customHeight="1" spans="1:11">
      <c r="A5" s="33">
        <v>45659</v>
      </c>
      <c r="B5" s="21">
        <v>10000</v>
      </c>
      <c r="C5" s="21"/>
      <c r="D5" s="21"/>
      <c r="E5" s="21"/>
      <c r="F5" s="11"/>
      <c r="G5" s="11" t="s">
        <v>62</v>
      </c>
      <c r="H5" s="12" t="s">
        <v>9</v>
      </c>
      <c r="I5" s="12" t="s">
        <v>63</v>
      </c>
      <c r="J5" s="12" t="s">
        <v>11</v>
      </c>
      <c r="K5" s="12"/>
    </row>
    <row r="6" customHeight="1" spans="1:11">
      <c r="A6" s="33">
        <v>45747</v>
      </c>
      <c r="B6" s="21">
        <v>10000</v>
      </c>
      <c r="C6" s="21"/>
      <c r="D6" s="21"/>
      <c r="E6" s="21"/>
      <c r="F6" s="11"/>
      <c r="G6" s="11" t="s">
        <v>62</v>
      </c>
      <c r="H6" s="12" t="s">
        <v>9</v>
      </c>
      <c r="I6" s="12" t="s">
        <v>63</v>
      </c>
      <c r="J6" s="12" t="s">
        <v>11</v>
      </c>
      <c r="K6" s="12"/>
    </row>
    <row r="7" customHeight="1" spans="1:11">
      <c r="A7" s="33">
        <v>45749</v>
      </c>
      <c r="B7" s="21">
        <v>10000</v>
      </c>
      <c r="C7" s="21"/>
      <c r="D7" s="21"/>
      <c r="E7" s="21"/>
      <c r="F7" s="11"/>
      <c r="G7" s="11" t="s">
        <v>62</v>
      </c>
      <c r="H7" s="12" t="s">
        <v>9</v>
      </c>
      <c r="I7" s="12" t="s">
        <v>63</v>
      </c>
      <c r="J7" s="12" t="s">
        <v>11</v>
      </c>
      <c r="K7" s="12"/>
    </row>
    <row r="8" customHeight="1" spans="1:11">
      <c r="A8" s="33">
        <v>45768</v>
      </c>
      <c r="B8" s="15"/>
      <c r="C8" s="15">
        <v>700</v>
      </c>
      <c r="D8" s="15"/>
      <c r="E8" s="15"/>
      <c r="F8" s="15"/>
      <c r="G8" s="15" t="s">
        <v>64</v>
      </c>
      <c r="H8" s="16" t="s">
        <v>65</v>
      </c>
      <c r="I8" s="16" t="s">
        <v>66</v>
      </c>
      <c r="J8" s="16" t="s">
        <v>67</v>
      </c>
      <c r="K8" s="12" t="s">
        <v>68</v>
      </c>
    </row>
    <row r="9" customHeight="1" spans="1:11">
      <c r="A9" s="33">
        <v>45803</v>
      </c>
      <c r="B9" s="21">
        <v>10000</v>
      </c>
      <c r="C9" s="21"/>
      <c r="D9" s="21"/>
      <c r="E9" s="21"/>
      <c r="F9" s="11"/>
      <c r="G9" s="11" t="s">
        <v>62</v>
      </c>
      <c r="H9" s="12" t="s">
        <v>9</v>
      </c>
      <c r="I9" s="12" t="s">
        <v>63</v>
      </c>
      <c r="J9" s="12" t="s">
        <v>11</v>
      </c>
      <c r="K9" s="12"/>
    </row>
    <row r="10" customHeight="1" spans="1:11">
      <c r="A10" s="33">
        <v>45838</v>
      </c>
      <c r="B10" s="21">
        <v>10000</v>
      </c>
      <c r="C10" s="21"/>
      <c r="D10" s="21"/>
      <c r="E10" s="21"/>
      <c r="F10" s="11"/>
      <c r="G10" s="11" t="s">
        <v>62</v>
      </c>
      <c r="H10" s="12" t="s">
        <v>9</v>
      </c>
      <c r="I10" s="12" t="s">
        <v>63</v>
      </c>
      <c r="J10" s="12" t="s">
        <v>11</v>
      </c>
      <c r="K10" s="12"/>
    </row>
    <row r="11" customHeight="1" spans="1:11">
      <c r="A11" s="33">
        <v>45838</v>
      </c>
      <c r="B11" s="21">
        <v>10000</v>
      </c>
      <c r="C11" s="21"/>
      <c r="D11" s="21"/>
      <c r="E11" s="21"/>
      <c r="F11" s="11"/>
      <c r="G11" s="11" t="s">
        <v>62</v>
      </c>
      <c r="H11" s="12" t="s">
        <v>9</v>
      </c>
      <c r="I11" s="12" t="s">
        <v>63</v>
      </c>
      <c r="J11" s="12" t="s">
        <v>11</v>
      </c>
      <c r="K11" s="12"/>
    </row>
    <row r="12" customHeight="1" spans="1:11">
      <c r="A12" s="33">
        <v>45839</v>
      </c>
      <c r="B12" s="21"/>
      <c r="C12" s="21">
        <v>60000</v>
      </c>
      <c r="D12" s="21"/>
      <c r="E12" s="21"/>
      <c r="F12" s="11"/>
      <c r="G12" s="11" t="s">
        <v>27</v>
      </c>
      <c r="H12" s="12" t="s">
        <v>9</v>
      </c>
      <c r="I12" s="12" t="s">
        <v>63</v>
      </c>
      <c r="J12" s="12" t="s">
        <v>11</v>
      </c>
      <c r="K12" s="12"/>
    </row>
    <row r="13" customHeight="1" spans="1:11">
      <c r="A13" s="33">
        <v>45888</v>
      </c>
      <c r="B13" s="11">
        <v>5000</v>
      </c>
      <c r="C13" s="11"/>
      <c r="D13" s="11"/>
      <c r="E13" s="11"/>
      <c r="F13" s="11"/>
      <c r="G13" s="11" t="s">
        <v>62</v>
      </c>
      <c r="H13" s="12" t="s">
        <v>9</v>
      </c>
      <c r="I13" s="12" t="s">
        <v>63</v>
      </c>
      <c r="J13" s="12" t="s">
        <v>11</v>
      </c>
      <c r="K13" s="12"/>
    </row>
    <row r="14" customHeight="1" spans="1:11">
      <c r="A14" s="33">
        <v>45900</v>
      </c>
      <c r="B14" s="11">
        <v>10000</v>
      </c>
      <c r="C14" s="11"/>
      <c r="D14" s="11"/>
      <c r="E14" s="11"/>
      <c r="F14" s="11"/>
      <c r="G14" s="11" t="s">
        <v>69</v>
      </c>
      <c r="H14" s="12" t="s">
        <v>9</v>
      </c>
      <c r="I14" s="12" t="s">
        <v>63</v>
      </c>
      <c r="J14" s="12" t="s">
        <v>11</v>
      </c>
      <c r="K14" s="12"/>
    </row>
    <row r="15" customHeight="1" spans="1:11">
      <c r="A15" s="33">
        <v>45911</v>
      </c>
      <c r="B15" s="11">
        <v>9850</v>
      </c>
      <c r="C15" s="11"/>
      <c r="D15" s="11"/>
      <c r="E15" s="11"/>
      <c r="F15" s="11"/>
      <c r="G15" s="11" t="s">
        <v>69</v>
      </c>
      <c r="H15" s="12" t="s">
        <v>9</v>
      </c>
      <c r="I15" s="12" t="s">
        <v>63</v>
      </c>
      <c r="J15" s="12" t="s">
        <v>11</v>
      </c>
      <c r="K15" s="12"/>
    </row>
    <row r="16" customHeight="1" spans="1:11">
      <c r="A16" s="33">
        <v>45923</v>
      </c>
      <c r="B16" s="11">
        <v>9000</v>
      </c>
      <c r="C16" s="11"/>
      <c r="D16" s="11"/>
      <c r="E16" s="11"/>
      <c r="F16" s="11"/>
      <c r="G16" s="11" t="s">
        <v>69</v>
      </c>
      <c r="H16" s="12" t="s">
        <v>9</v>
      </c>
      <c r="I16" s="12" t="s">
        <v>63</v>
      </c>
      <c r="J16" s="12" t="s">
        <v>11</v>
      </c>
      <c r="K16" s="12"/>
    </row>
    <row r="17" customHeight="1" spans="1:12">
      <c r="A17" s="33">
        <v>45935</v>
      </c>
      <c r="B17" s="11">
        <v>9850</v>
      </c>
      <c r="C17" s="11"/>
      <c r="D17" s="11"/>
      <c r="E17" s="11"/>
      <c r="F17" s="11"/>
      <c r="G17" s="11" t="s">
        <v>62</v>
      </c>
      <c r="H17" s="12" t="s">
        <v>9</v>
      </c>
      <c r="I17" s="12" t="s">
        <v>63</v>
      </c>
      <c r="J17" s="12" t="s">
        <v>11</v>
      </c>
      <c r="K17" s="12"/>
    </row>
    <row r="18" customHeight="1" spans="1:12">
      <c r="A18" s="33">
        <v>45968</v>
      </c>
      <c r="B18" s="11">
        <v>10000</v>
      </c>
      <c r="C18" s="11"/>
      <c r="D18" s="11"/>
      <c r="E18" s="11"/>
      <c r="F18" s="11"/>
      <c r="G18" s="11" t="s">
        <v>62</v>
      </c>
      <c r="H18" s="12" t="s">
        <v>9</v>
      </c>
      <c r="I18" s="12" t="s">
        <v>63</v>
      </c>
      <c r="J18" s="12" t="s">
        <v>11</v>
      </c>
      <c r="K18" s="12"/>
    </row>
    <row r="19" customHeight="1" spans="1:12">
      <c r="A19" s="33">
        <v>45969</v>
      </c>
      <c r="B19" s="11">
        <v>10000</v>
      </c>
      <c r="C19" s="11"/>
      <c r="D19" s="11"/>
      <c r="E19" s="11"/>
      <c r="F19" s="11"/>
      <c r="G19" s="11" t="s">
        <v>62</v>
      </c>
      <c r="H19" s="12" t="s">
        <v>9</v>
      </c>
      <c r="I19" s="12" t="s">
        <v>63</v>
      </c>
      <c r="J19" s="12" t="s">
        <v>11</v>
      </c>
      <c r="K19" s="12"/>
    </row>
    <row r="20" customHeight="1" spans="1:12">
      <c r="A20" s="33">
        <v>45981</v>
      </c>
      <c r="B20" s="11"/>
      <c r="C20" s="11"/>
      <c r="D20" s="11"/>
      <c r="E20" s="11">
        <v>200</v>
      </c>
      <c r="F20" s="11"/>
      <c r="G20" s="11" t="s">
        <v>70</v>
      </c>
      <c r="H20" s="12" t="s">
        <v>66</v>
      </c>
      <c r="I20" s="12" t="s">
        <v>71</v>
      </c>
      <c r="J20" s="12" t="s">
        <v>67</v>
      </c>
      <c r="K20" s="12"/>
    </row>
    <row r="21" customHeight="1" spans="1:12">
      <c r="A21" s="33">
        <v>45991</v>
      </c>
      <c r="B21" s="11">
        <v>6000</v>
      </c>
      <c r="C21" s="11"/>
      <c r="D21" s="11"/>
      <c r="E21" s="11"/>
      <c r="F21" s="11"/>
      <c r="G21" s="11" t="s">
        <v>69</v>
      </c>
      <c r="H21" s="12" t="s">
        <v>9</v>
      </c>
      <c r="I21" s="12" t="s">
        <v>63</v>
      </c>
      <c r="J21" s="12" t="s">
        <v>11</v>
      </c>
      <c r="K21" s="12"/>
    </row>
    <row r="22" customHeight="1" spans="1:12">
      <c r="A22" s="33">
        <v>46031</v>
      </c>
      <c r="B22" s="11">
        <v>12000</v>
      </c>
      <c r="C22" s="11"/>
      <c r="D22" s="11"/>
      <c r="E22" s="11"/>
      <c r="F22" s="11"/>
      <c r="G22" s="11" t="s">
        <v>62</v>
      </c>
      <c r="H22" s="12" t="s">
        <v>72</v>
      </c>
      <c r="I22" s="12" t="s">
        <v>63</v>
      </c>
      <c r="J22" s="12" t="s">
        <v>73</v>
      </c>
      <c r="K22" s="12"/>
    </row>
    <row r="23" customHeight="1" spans="1:12">
      <c r="A23" s="33">
        <v>46050</v>
      </c>
      <c r="B23" s="11">
        <v>5000</v>
      </c>
      <c r="C23" s="11"/>
      <c r="D23" s="11"/>
      <c r="E23" s="11"/>
      <c r="F23" s="11"/>
      <c r="G23" s="11" t="s">
        <v>69</v>
      </c>
      <c r="H23" s="12" t="s">
        <v>9</v>
      </c>
      <c r="I23" s="12" t="s">
        <v>63</v>
      </c>
      <c r="J23" s="12" t="s">
        <v>11</v>
      </c>
      <c r="K23" s="12"/>
    </row>
    <row r="24" customHeight="1" spans="1:12">
      <c r="A24" s="33">
        <v>46063</v>
      </c>
      <c r="B24" s="15"/>
      <c r="C24" s="15">
        <v>8600</v>
      </c>
      <c r="D24" s="15"/>
      <c r="E24" s="15"/>
      <c r="F24" s="15"/>
      <c r="G24" s="15" t="s">
        <v>64</v>
      </c>
      <c r="H24" s="16" t="s">
        <v>74</v>
      </c>
      <c r="I24" s="16" t="s">
        <v>75</v>
      </c>
      <c r="J24" s="16" t="s">
        <v>76</v>
      </c>
      <c r="K24" s="12" t="s">
        <v>77</v>
      </c>
    </row>
    <row r="25" customHeight="1" spans="1:12">
      <c r="A25" s="33">
        <v>46067</v>
      </c>
      <c r="B25" s="11">
        <v>24150</v>
      </c>
      <c r="C25" s="11"/>
      <c r="D25" s="11"/>
      <c r="E25" s="11"/>
      <c r="F25" s="11"/>
      <c r="G25" s="11" t="s">
        <v>62</v>
      </c>
      <c r="H25" s="12" t="s">
        <v>9</v>
      </c>
      <c r="I25" s="12" t="s">
        <v>63</v>
      </c>
      <c r="J25" s="12" t="s">
        <v>11</v>
      </c>
      <c r="K25" s="12"/>
    </row>
    <row r="26" customHeight="1" spans="1:12">
      <c r="A26" s="34">
        <v>46100</v>
      </c>
      <c r="B26" s="11">
        <v>5000</v>
      </c>
      <c r="C26" s="11"/>
      <c r="D26" s="11"/>
      <c r="E26" s="11"/>
      <c r="F26" s="11"/>
      <c r="G26" s="11" t="s">
        <v>69</v>
      </c>
      <c r="H26" s="12" t="s">
        <v>78</v>
      </c>
      <c r="I26" s="12" t="s">
        <v>63</v>
      </c>
      <c r="J26" s="12" t="s">
        <v>11</v>
      </c>
      <c r="K26" s="12"/>
      <c r="L26" s="35"/>
    </row>
    <row r="27" customHeight="1" spans="1:12">
      <c r="A27" s="34">
        <v>46155</v>
      </c>
      <c r="B27" s="11">
        <v>15800</v>
      </c>
      <c r="C27" s="11"/>
      <c r="D27" s="11"/>
      <c r="E27" s="11"/>
      <c r="F27" s="11"/>
      <c r="G27" s="11" t="s">
        <v>62</v>
      </c>
      <c r="H27" s="12" t="s">
        <v>72</v>
      </c>
      <c r="I27" s="12" t="s">
        <v>63</v>
      </c>
      <c r="J27" s="12" t="s">
        <v>73</v>
      </c>
      <c r="K27" s="12"/>
    </row>
    <row r="28" customHeight="1" spans="1:12">
      <c r="A28" s="34">
        <v>46156</v>
      </c>
      <c r="B28" s="11">
        <v>-10000</v>
      </c>
      <c r="C28" s="11"/>
      <c r="D28" s="11"/>
      <c r="E28" s="11"/>
      <c r="F28" s="11"/>
      <c r="G28" s="11" t="s">
        <v>62</v>
      </c>
      <c r="H28" s="12" t="s">
        <v>66</v>
      </c>
      <c r="I28" s="12" t="s">
        <v>79</v>
      </c>
      <c r="J28" s="12" t="s">
        <v>67</v>
      </c>
      <c r="K28" s="12" t="s">
        <v>80</v>
      </c>
    </row>
    <row r="29" customHeight="1" spans="1:12">
      <c r="A29" s="36">
        <v>46156</v>
      </c>
      <c r="D29" s="24">
        <v>-70500</v>
      </c>
      <c r="E29" s="24"/>
      <c r="F29" s="24"/>
      <c r="G29" s="24" t="s">
        <v>81</v>
      </c>
      <c r="H29" s="25" t="s">
        <v>82</v>
      </c>
      <c r="I29" s="25" t="s">
        <v>66</v>
      </c>
      <c r="J29" s="25" t="s">
        <v>67</v>
      </c>
      <c r="K29" s="12"/>
    </row>
    <row r="30" customHeight="1" spans="1:12">
      <c r="A30" s="36">
        <v>46156</v>
      </c>
      <c r="D30" s="24">
        <v>70500</v>
      </c>
      <c r="E30" s="24"/>
      <c r="F30" s="24"/>
      <c r="G30" s="24" t="s">
        <v>83</v>
      </c>
      <c r="H30" s="25" t="s">
        <v>66</v>
      </c>
      <c r="I30" s="25" t="s">
        <v>79</v>
      </c>
      <c r="J30" s="25" t="s">
        <v>67</v>
      </c>
      <c r="K30" s="12"/>
    </row>
    <row r="31" customHeight="1" spans="1:12">
      <c r="A31" s="34">
        <v>46191</v>
      </c>
      <c r="B31" s="11">
        <v>2750</v>
      </c>
      <c r="C31" s="11"/>
      <c r="D31" s="11"/>
      <c r="E31" s="11"/>
      <c r="F31" s="11"/>
      <c r="G31" s="11" t="s">
        <v>62</v>
      </c>
      <c r="H31" s="12" t="s">
        <v>84</v>
      </c>
      <c r="I31" s="12" t="s">
        <v>63</v>
      </c>
      <c r="J31" s="12" t="s">
        <v>73</v>
      </c>
      <c r="K31" s="12"/>
    </row>
    <row r="32" customHeight="1" spans="1:12">
      <c r="A32" s="34">
        <v>46191</v>
      </c>
      <c r="B32" s="2">
        <v>-2700</v>
      </c>
      <c r="D32" s="11"/>
      <c r="E32" s="11"/>
      <c r="F32" s="11"/>
      <c r="G32" s="11" t="s">
        <v>62</v>
      </c>
      <c r="H32" s="12" t="s">
        <v>66</v>
      </c>
      <c r="I32" s="12" t="s">
        <v>79</v>
      </c>
      <c r="J32" s="12" t="s">
        <v>67</v>
      </c>
      <c r="K32" s="12" t="s">
        <v>80</v>
      </c>
    </row>
    <row r="33" customHeight="1" spans="1:11">
      <c r="A33" s="37">
        <v>46198</v>
      </c>
      <c r="B33" s="38">
        <v>10000</v>
      </c>
      <c r="C33" s="38"/>
      <c r="D33" s="38"/>
      <c r="E33" s="38"/>
      <c r="F33" s="11"/>
      <c r="G33" s="38" t="s">
        <v>62</v>
      </c>
      <c r="H33" s="39" t="s">
        <v>9</v>
      </c>
      <c r="I33" s="39" t="s">
        <v>63</v>
      </c>
      <c r="J33" s="39" t="s">
        <v>11</v>
      </c>
      <c r="K33" s="39"/>
    </row>
    <row r="34" customHeight="1" spans="1:11">
      <c r="A34" s="34">
        <v>46193</v>
      </c>
      <c r="B34" s="11"/>
      <c r="C34" s="11"/>
      <c r="D34" s="11"/>
      <c r="E34" s="11"/>
      <c r="F34" s="11">
        <v>500</v>
      </c>
      <c r="G34" s="11" t="s">
        <v>85</v>
      </c>
      <c r="H34" s="12" t="s">
        <v>86</v>
      </c>
      <c r="I34" s="12" t="s">
        <v>87</v>
      </c>
      <c r="J34" s="12" t="s">
        <v>11</v>
      </c>
      <c r="K34" s="12" t="s">
        <v>88</v>
      </c>
    </row>
    <row r="35" customHeight="1" spans="1:11">
      <c r="A35" s="40">
        <v>46201</v>
      </c>
      <c r="B35" s="15"/>
      <c r="C35" s="15">
        <v>3060</v>
      </c>
      <c r="D35" s="15"/>
      <c r="E35" s="15"/>
      <c r="F35" s="15"/>
      <c r="G35" s="15" t="s">
        <v>89</v>
      </c>
      <c r="H35" s="16" t="s">
        <v>90</v>
      </c>
      <c r="I35" s="16" t="s">
        <v>63</v>
      </c>
      <c r="J35" s="16" t="s">
        <v>91</v>
      </c>
      <c r="K35" s="12"/>
    </row>
    <row r="36" customHeight="1" spans="1:11">
      <c r="A36" s="40">
        <v>46227</v>
      </c>
      <c r="B36" s="11">
        <v>5000</v>
      </c>
      <c r="C36" s="11"/>
      <c r="D36" s="11"/>
      <c r="E36" s="11"/>
      <c r="F36" s="11"/>
      <c r="G36" s="11" t="s">
        <v>62</v>
      </c>
      <c r="H36" s="12" t="s">
        <v>9</v>
      </c>
      <c r="I36" s="12" t="s">
        <v>63</v>
      </c>
      <c r="J36" s="12" t="s">
        <v>11</v>
      </c>
      <c r="K36" s="12"/>
    </row>
    <row r="37" customHeight="1" spans="1:11">
      <c r="A37" s="40">
        <v>46222</v>
      </c>
      <c r="B37" s="11"/>
      <c r="C37" s="11"/>
      <c r="D37" s="11"/>
      <c r="E37" s="11"/>
      <c r="F37" s="11">
        <v>1100</v>
      </c>
      <c r="G37" s="11" t="s">
        <v>85</v>
      </c>
      <c r="H37" s="12" t="s">
        <v>86</v>
      </c>
      <c r="I37" s="12" t="s">
        <v>87</v>
      </c>
      <c r="J37" s="12" t="s">
        <v>11</v>
      </c>
      <c r="K37" s="12" t="s">
        <v>88</v>
      </c>
    </row>
    <row r="38" customHeight="1" spans="1:11">
      <c r="A38" s="40">
        <v>46262</v>
      </c>
      <c r="B38" s="11">
        <v>5000</v>
      </c>
      <c r="C38" s="11"/>
      <c r="D38" s="11"/>
      <c r="E38" s="11"/>
      <c r="F38" s="11"/>
      <c r="G38" s="11" t="s">
        <v>62</v>
      </c>
      <c r="H38" s="12" t="s">
        <v>9</v>
      </c>
      <c r="I38" s="12" t="s">
        <v>63</v>
      </c>
      <c r="J38" s="12" t="s">
        <v>11</v>
      </c>
      <c r="K38" s="12"/>
    </row>
    <row r="39" customHeight="1" spans="1:11">
      <c r="A39" s="40">
        <v>46253</v>
      </c>
      <c r="B39" s="11"/>
      <c r="C39" s="11"/>
      <c r="D39" s="11"/>
      <c r="E39" s="11"/>
      <c r="F39" s="11">
        <v>1100</v>
      </c>
      <c r="G39" s="11" t="s">
        <v>85</v>
      </c>
      <c r="H39" s="12" t="s">
        <v>86</v>
      </c>
      <c r="I39" s="12" t="s">
        <v>87</v>
      </c>
      <c r="J39" s="12" t="s">
        <v>11</v>
      </c>
      <c r="K39" s="12" t="s">
        <v>88</v>
      </c>
    </row>
    <row r="40" customHeight="1" spans="1:11">
      <c r="A40" s="41">
        <v>46284</v>
      </c>
      <c r="B40" s="11"/>
      <c r="C40" s="11"/>
      <c r="D40" s="11"/>
      <c r="E40" s="11"/>
      <c r="F40" s="11">
        <v>1100</v>
      </c>
      <c r="G40" s="11" t="s">
        <v>85</v>
      </c>
      <c r="H40" s="12" t="s">
        <v>86</v>
      </c>
      <c r="I40" s="12" t="s">
        <v>87</v>
      </c>
      <c r="J40" s="12" t="s">
        <v>11</v>
      </c>
      <c r="K40" s="12" t="s">
        <v>88</v>
      </c>
    </row>
    <row r="41" customHeight="1" spans="1:11">
      <c r="A41" s="42" t="s">
        <v>18</v>
      </c>
      <c r="B41" s="11">
        <f>SUBTOTAL(109,表6[收入])</f>
        <v>221700</v>
      </c>
      <c r="C41" s="11">
        <f>SUBTOTAL(109,表6[其他收入])</f>
        <v>72360</v>
      </c>
      <c r="D41" s="11">
        <f>SUBTOTAL(109,表6[退款])</f>
        <v>0</v>
      </c>
      <c r="E41" s="11">
        <f>SUBTOTAL(109,表6[垫付款])</f>
        <v>200</v>
      </c>
      <c r="F41" s="11">
        <f>SUBTOTAL(109,表6[代付款])</f>
        <v>3800</v>
      </c>
      <c r="G41" s="11"/>
      <c r="H41" s="12"/>
      <c r="I41" s="12"/>
      <c r="J41" s="12"/>
      <c r="K41" s="12"/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pane ySplit="2" topLeftCell="A91" activePane="bottomLeft" state="frozen"/>
      <selection/>
      <selection pane="bottomLeft" activeCell="H101" sqref="H101"/>
    </sheetView>
  </sheetViews>
  <sheetFormatPr defaultColWidth="16" defaultRowHeight="23" customHeight="1"/>
  <cols>
    <col min="1" max="1" width="16" style="1" customWidth="1"/>
    <col min="2" max="5" width="16" style="2" customWidth="1"/>
    <col min="6" max="6" width="21.4545454545455" style="3" customWidth="1"/>
    <col min="7" max="7" width="20.9090909090909" style="3" customWidth="1"/>
    <col min="8" max="16383" width="16" style="3" customWidth="1"/>
    <col min="16384" max="16384" width="16" style="3"/>
  </cols>
  <sheetData>
    <row r="1" customHeight="1" spans="1:10">
      <c r="A1" s="4" t="s">
        <v>92</v>
      </c>
      <c r="B1" s="5"/>
      <c r="C1" s="5"/>
      <c r="D1" s="5"/>
      <c r="E1" s="5"/>
      <c r="F1" s="6"/>
      <c r="G1" s="6"/>
      <c r="H1" s="6"/>
      <c r="I1" s="6"/>
      <c r="J1" s="6"/>
    </row>
    <row r="2" customHeight="1" spans="1:10">
      <c r="A2" s="17" t="s">
        <v>1</v>
      </c>
      <c r="B2" s="18" t="s">
        <v>93</v>
      </c>
      <c r="C2" s="18" t="s">
        <v>55</v>
      </c>
      <c r="D2" s="18" t="s">
        <v>94</v>
      </c>
      <c r="E2" s="18" t="s">
        <v>95</v>
      </c>
      <c r="F2" s="19" t="s">
        <v>6</v>
      </c>
      <c r="G2" s="19" t="s">
        <v>59</v>
      </c>
      <c r="H2" s="19" t="s">
        <v>60</v>
      </c>
      <c r="I2" s="19" t="s">
        <v>61</v>
      </c>
      <c r="J2" s="19" t="s">
        <v>8</v>
      </c>
    </row>
    <row r="3" customHeight="1" spans="1:10">
      <c r="A3" s="10">
        <v>45271</v>
      </c>
      <c r="B3" s="11"/>
      <c r="C3" s="11"/>
      <c r="D3" s="11">
        <v>1668</v>
      </c>
      <c r="E3" s="11"/>
      <c r="F3" s="12" t="s">
        <v>37</v>
      </c>
      <c r="G3" s="12" t="s">
        <v>22</v>
      </c>
      <c r="H3" s="12" t="s">
        <v>9</v>
      </c>
      <c r="I3" s="12" t="s">
        <v>11</v>
      </c>
      <c r="J3" s="12"/>
    </row>
    <row r="4" customHeight="1" spans="1:10">
      <c r="A4" s="10">
        <v>45308</v>
      </c>
      <c r="B4" s="11"/>
      <c r="C4" s="11"/>
      <c r="D4" s="11">
        <v>500000</v>
      </c>
      <c r="E4" s="11"/>
      <c r="F4" s="12" t="s">
        <v>96</v>
      </c>
      <c r="G4" s="12" t="s">
        <v>22</v>
      </c>
      <c r="H4" s="12" t="s">
        <v>9</v>
      </c>
      <c r="I4" s="12" t="s">
        <v>11</v>
      </c>
      <c r="J4" s="12"/>
    </row>
    <row r="5" customHeight="1" spans="1:10">
      <c r="A5" s="10">
        <v>45310</v>
      </c>
      <c r="B5" s="11"/>
      <c r="C5" s="11"/>
      <c r="D5" s="11">
        <v>500000</v>
      </c>
      <c r="E5" s="11"/>
      <c r="F5" s="12" t="s">
        <v>96</v>
      </c>
      <c r="G5" s="12" t="s">
        <v>22</v>
      </c>
      <c r="H5" s="12" t="s">
        <v>9</v>
      </c>
      <c r="I5" s="12" t="s">
        <v>11</v>
      </c>
      <c r="J5" s="12"/>
    </row>
    <row r="6" customHeight="1" spans="1:10">
      <c r="A6" s="20">
        <v>45329</v>
      </c>
      <c r="B6" s="21">
        <v>10000</v>
      </c>
      <c r="C6" s="11"/>
      <c r="D6" s="11"/>
      <c r="E6" s="11"/>
      <c r="F6" s="12" t="s">
        <v>62</v>
      </c>
      <c r="G6" s="12" t="s">
        <v>9</v>
      </c>
      <c r="H6" s="12" t="s">
        <v>22</v>
      </c>
      <c r="I6" s="12" t="s">
        <v>11</v>
      </c>
      <c r="J6" s="12"/>
    </row>
    <row r="7" customHeight="1" spans="1:10">
      <c r="A7" s="10">
        <v>45509</v>
      </c>
      <c r="B7" s="11"/>
      <c r="C7" s="11"/>
      <c r="D7" s="11">
        <v>5000</v>
      </c>
      <c r="E7" s="11"/>
      <c r="F7" s="12" t="s">
        <v>37</v>
      </c>
      <c r="G7" s="12" t="s">
        <v>22</v>
      </c>
      <c r="H7" s="12" t="s">
        <v>9</v>
      </c>
      <c r="I7" s="12" t="s">
        <v>11</v>
      </c>
      <c r="J7" s="12"/>
    </row>
    <row r="8" customHeight="1" spans="1:10">
      <c r="A8" s="10">
        <v>45523</v>
      </c>
      <c r="B8" s="11"/>
      <c r="C8" s="11"/>
      <c r="D8" s="11">
        <v>-200000</v>
      </c>
      <c r="E8" s="11"/>
      <c r="F8" s="12" t="s">
        <v>97</v>
      </c>
      <c r="G8" s="12" t="s">
        <v>9</v>
      </c>
      <c r="H8" s="12" t="s">
        <v>22</v>
      </c>
      <c r="I8" s="12" t="s">
        <v>11</v>
      </c>
      <c r="J8" s="12"/>
    </row>
    <row r="9" customHeight="1" spans="1:10">
      <c r="A9" s="10">
        <v>45524</v>
      </c>
      <c r="B9" s="11"/>
      <c r="C9" s="11"/>
      <c r="D9" s="11">
        <v>-490000</v>
      </c>
      <c r="E9" s="11"/>
      <c r="F9" s="12" t="s">
        <v>97</v>
      </c>
      <c r="G9" s="12" t="s">
        <v>9</v>
      </c>
      <c r="H9" s="12" t="s">
        <v>22</v>
      </c>
      <c r="I9" s="12" t="s">
        <v>11</v>
      </c>
      <c r="J9" s="12"/>
    </row>
    <row r="10" customHeight="1" spans="1:10">
      <c r="A10" s="10">
        <v>45530</v>
      </c>
      <c r="B10" s="11"/>
      <c r="C10" s="11"/>
      <c r="D10" s="11">
        <v>-95000</v>
      </c>
      <c r="E10" s="11"/>
      <c r="F10" s="12" t="s">
        <v>97</v>
      </c>
      <c r="G10" s="12" t="s">
        <v>9</v>
      </c>
      <c r="H10" s="12" t="s">
        <v>22</v>
      </c>
      <c r="I10" s="12" t="s">
        <v>11</v>
      </c>
      <c r="J10" s="12"/>
    </row>
    <row r="11" customHeight="1" spans="1:10">
      <c r="A11" s="20">
        <v>45532</v>
      </c>
      <c r="B11" s="21">
        <v>20000</v>
      </c>
      <c r="C11" s="11"/>
      <c r="D11" s="11"/>
      <c r="E11" s="11"/>
      <c r="F11" s="12" t="s">
        <v>62</v>
      </c>
      <c r="G11" s="12" t="s">
        <v>9</v>
      </c>
      <c r="H11" s="12" t="s">
        <v>22</v>
      </c>
      <c r="I11" s="12" t="s">
        <v>11</v>
      </c>
      <c r="J11" s="12"/>
    </row>
    <row r="12" customHeight="1" spans="1:10">
      <c r="A12" s="10">
        <v>45567</v>
      </c>
      <c r="B12" s="11"/>
      <c r="C12" s="11"/>
      <c r="D12" s="11">
        <v>10000</v>
      </c>
      <c r="E12" s="11"/>
      <c r="F12" s="12" t="s">
        <v>37</v>
      </c>
      <c r="G12" s="12" t="s">
        <v>22</v>
      </c>
      <c r="H12" s="12" t="s">
        <v>9</v>
      </c>
      <c r="I12" s="12" t="s">
        <v>11</v>
      </c>
      <c r="J12" s="12"/>
    </row>
    <row r="13" customHeight="1" spans="1:10">
      <c r="A13" s="10">
        <v>45575</v>
      </c>
      <c r="B13" s="11"/>
      <c r="C13" s="11"/>
      <c r="D13" s="11">
        <v>1000</v>
      </c>
      <c r="E13" s="11"/>
      <c r="F13" s="12" t="s">
        <v>37</v>
      </c>
      <c r="G13" s="12" t="s">
        <v>22</v>
      </c>
      <c r="H13" s="12" t="s">
        <v>9</v>
      </c>
      <c r="I13" s="12" t="s">
        <v>11</v>
      </c>
      <c r="J13" s="12"/>
    </row>
    <row r="14" customHeight="1" spans="1:10">
      <c r="A14" s="10">
        <v>45593</v>
      </c>
      <c r="B14" s="11"/>
      <c r="C14" s="11"/>
      <c r="D14" s="11">
        <v>5000</v>
      </c>
      <c r="E14" s="11"/>
      <c r="F14" s="12" t="s">
        <v>37</v>
      </c>
      <c r="G14" s="12" t="s">
        <v>22</v>
      </c>
      <c r="H14" s="12" t="s">
        <v>9</v>
      </c>
      <c r="I14" s="12" t="s">
        <v>11</v>
      </c>
      <c r="J14" s="12"/>
    </row>
    <row r="15" customHeight="1" spans="1:10">
      <c r="A15" s="20">
        <v>45659</v>
      </c>
      <c r="B15" s="21">
        <v>80000</v>
      </c>
      <c r="C15" s="11"/>
      <c r="D15" s="11"/>
      <c r="E15" s="11"/>
      <c r="F15" s="12" t="s">
        <v>62</v>
      </c>
      <c r="G15" s="12" t="s">
        <v>9</v>
      </c>
      <c r="H15" s="12" t="s">
        <v>22</v>
      </c>
      <c r="I15" s="12" t="s">
        <v>11</v>
      </c>
      <c r="J15" s="12"/>
    </row>
    <row r="16" customHeight="1" spans="1:10">
      <c r="A16" s="10">
        <v>45685</v>
      </c>
      <c r="B16" s="11"/>
      <c r="C16" s="11"/>
      <c r="D16" s="11">
        <v>60000</v>
      </c>
      <c r="E16" s="11"/>
      <c r="F16" s="12" t="s">
        <v>37</v>
      </c>
      <c r="G16" s="12" t="s">
        <v>22</v>
      </c>
      <c r="H16" s="12" t="s">
        <v>9</v>
      </c>
      <c r="I16" s="12" t="s">
        <v>11</v>
      </c>
      <c r="J16" s="12"/>
    </row>
    <row r="17" customHeight="1" spans="1:10">
      <c r="A17" s="10">
        <v>45685</v>
      </c>
      <c r="B17" s="11"/>
      <c r="C17" s="11"/>
      <c r="D17" s="11">
        <v>21000</v>
      </c>
      <c r="E17" s="11"/>
      <c r="F17" s="12" t="s">
        <v>37</v>
      </c>
      <c r="G17" s="12" t="s">
        <v>22</v>
      </c>
      <c r="H17" s="12" t="s">
        <v>9</v>
      </c>
      <c r="I17" s="12" t="s">
        <v>11</v>
      </c>
      <c r="J17" s="12"/>
    </row>
    <row r="18" customHeight="1" spans="1:10">
      <c r="A18" s="10">
        <v>45685</v>
      </c>
      <c r="B18" s="11"/>
      <c r="C18" s="11"/>
      <c r="D18" s="11">
        <v>4000</v>
      </c>
      <c r="E18" s="11"/>
      <c r="F18" s="12" t="s">
        <v>37</v>
      </c>
      <c r="G18" s="12" t="s">
        <v>22</v>
      </c>
      <c r="H18" s="12" t="s">
        <v>9</v>
      </c>
      <c r="I18" s="12" t="s">
        <v>11</v>
      </c>
      <c r="J18" s="12"/>
    </row>
    <row r="19" customHeight="1" spans="1:10">
      <c r="A19" s="10">
        <v>45685</v>
      </c>
      <c r="B19" s="11"/>
      <c r="C19" s="11"/>
      <c r="D19" s="11">
        <v>14750</v>
      </c>
      <c r="E19" s="11"/>
      <c r="F19" s="12" t="s">
        <v>37</v>
      </c>
      <c r="G19" s="12" t="s">
        <v>22</v>
      </c>
      <c r="H19" s="12" t="s">
        <v>9</v>
      </c>
      <c r="I19" s="12" t="s">
        <v>11</v>
      </c>
      <c r="J19" s="12"/>
    </row>
    <row r="20" customHeight="1" spans="1:10">
      <c r="A20" s="10">
        <v>45721</v>
      </c>
      <c r="B20" s="11"/>
      <c r="C20" s="11"/>
      <c r="D20" s="11">
        <v>5000</v>
      </c>
      <c r="E20" s="11"/>
      <c r="F20" s="12" t="s">
        <v>37</v>
      </c>
      <c r="G20" s="12" t="s">
        <v>22</v>
      </c>
      <c r="H20" s="12" t="s">
        <v>9</v>
      </c>
      <c r="I20" s="12" t="s">
        <v>11</v>
      </c>
      <c r="J20" s="12"/>
    </row>
    <row r="21" customHeight="1" spans="1:10">
      <c r="A21" s="10">
        <v>45724</v>
      </c>
      <c r="B21" s="11"/>
      <c r="C21" s="11"/>
      <c r="D21" s="11">
        <v>3000</v>
      </c>
      <c r="E21" s="11"/>
      <c r="F21" s="12" t="s">
        <v>37</v>
      </c>
      <c r="G21" s="12" t="s">
        <v>22</v>
      </c>
      <c r="H21" s="12" t="s">
        <v>9</v>
      </c>
      <c r="I21" s="12" t="s">
        <v>11</v>
      </c>
      <c r="J21" s="12"/>
    </row>
    <row r="22" customHeight="1" spans="1:10">
      <c r="A22" s="10">
        <v>45724</v>
      </c>
      <c r="B22" s="11"/>
      <c r="C22" s="11"/>
      <c r="D22" s="11">
        <v>17000</v>
      </c>
      <c r="E22" s="11"/>
      <c r="F22" s="12" t="s">
        <v>37</v>
      </c>
      <c r="G22" s="12" t="s">
        <v>22</v>
      </c>
      <c r="H22" s="12" t="s">
        <v>9</v>
      </c>
      <c r="I22" s="12" t="s">
        <v>11</v>
      </c>
      <c r="J22" s="12"/>
    </row>
    <row r="23" customHeight="1" spans="1:10">
      <c r="A23" s="10">
        <v>45728</v>
      </c>
      <c r="B23" s="11"/>
      <c r="C23" s="11"/>
      <c r="D23" s="11">
        <v>15000</v>
      </c>
      <c r="E23" s="11"/>
      <c r="F23" s="12" t="s">
        <v>37</v>
      </c>
      <c r="G23" s="12" t="s">
        <v>22</v>
      </c>
      <c r="H23" s="12" t="s">
        <v>9</v>
      </c>
      <c r="I23" s="12" t="s">
        <v>11</v>
      </c>
      <c r="J23" s="12"/>
    </row>
    <row r="24" customHeight="1" spans="1:10">
      <c r="A24" s="10">
        <v>45747</v>
      </c>
      <c r="B24" s="11"/>
      <c r="C24" s="11"/>
      <c r="D24" s="11">
        <v>26800</v>
      </c>
      <c r="E24" s="11"/>
      <c r="F24" s="12" t="s">
        <v>37</v>
      </c>
      <c r="G24" s="12" t="s">
        <v>22</v>
      </c>
      <c r="H24" s="12" t="s">
        <v>9</v>
      </c>
      <c r="I24" s="12" t="s">
        <v>11</v>
      </c>
      <c r="J24" s="12"/>
    </row>
    <row r="25" customHeight="1" spans="1:10">
      <c r="A25" s="10">
        <v>45777</v>
      </c>
      <c r="B25" s="11"/>
      <c r="C25" s="11"/>
      <c r="D25" s="11">
        <v>50000</v>
      </c>
      <c r="E25" s="11"/>
      <c r="F25" s="12" t="s">
        <v>37</v>
      </c>
      <c r="G25" s="12" t="s">
        <v>22</v>
      </c>
      <c r="H25" s="12" t="s">
        <v>9</v>
      </c>
      <c r="I25" s="12" t="s">
        <v>11</v>
      </c>
      <c r="J25" s="12"/>
    </row>
    <row r="26" customHeight="1" spans="1:10">
      <c r="A26" s="20">
        <v>45808</v>
      </c>
      <c r="B26" s="21">
        <v>10000</v>
      </c>
      <c r="C26" s="11"/>
      <c r="D26" s="11"/>
      <c r="E26" s="11"/>
      <c r="F26" s="12" t="s">
        <v>62</v>
      </c>
      <c r="G26" s="12" t="s">
        <v>9</v>
      </c>
      <c r="H26" s="12" t="s">
        <v>22</v>
      </c>
      <c r="I26" s="12" t="s">
        <v>11</v>
      </c>
      <c r="J26" s="12"/>
    </row>
    <row r="27" customHeight="1" spans="1:10">
      <c r="A27" s="10">
        <v>45829</v>
      </c>
      <c r="B27" s="11"/>
      <c r="C27" s="11"/>
      <c r="D27" s="11">
        <v>-50000</v>
      </c>
      <c r="E27" s="11"/>
      <c r="F27" s="12" t="s">
        <v>97</v>
      </c>
      <c r="G27" s="12" t="s">
        <v>9</v>
      </c>
      <c r="H27" s="12" t="s">
        <v>22</v>
      </c>
      <c r="I27" s="12" t="s">
        <v>11</v>
      </c>
      <c r="J27" s="12"/>
    </row>
    <row r="28" customHeight="1" spans="1:10">
      <c r="A28" s="22">
        <v>45842</v>
      </c>
      <c r="B28" s="15"/>
      <c r="C28" s="15">
        <v>-50000</v>
      </c>
      <c r="D28" s="15"/>
      <c r="E28" s="15"/>
      <c r="F28" s="16" t="s">
        <v>98</v>
      </c>
      <c r="G28" s="16" t="s">
        <v>99</v>
      </c>
      <c r="H28" s="16" t="s">
        <v>100</v>
      </c>
      <c r="I28" s="16" t="s">
        <v>11</v>
      </c>
      <c r="J28" s="12"/>
    </row>
    <row r="29" customHeight="1" spans="1:10">
      <c r="A29" s="10">
        <v>45862</v>
      </c>
      <c r="B29" s="11"/>
      <c r="C29" s="11"/>
      <c r="D29" s="11">
        <v>100000</v>
      </c>
      <c r="E29" s="11"/>
      <c r="F29" s="12" t="s">
        <v>37</v>
      </c>
      <c r="G29" s="12" t="s">
        <v>22</v>
      </c>
      <c r="H29" s="12" t="s">
        <v>9</v>
      </c>
      <c r="I29" s="12" t="s">
        <v>11</v>
      </c>
      <c r="J29" s="12"/>
    </row>
    <row r="30" customHeight="1" spans="1:10">
      <c r="A30" s="10">
        <v>45867</v>
      </c>
      <c r="B30" s="11"/>
      <c r="C30" s="11"/>
      <c r="D30" s="11">
        <v>30000</v>
      </c>
      <c r="E30" s="11"/>
      <c r="F30" s="12" t="s">
        <v>37</v>
      </c>
      <c r="G30" s="12" t="s">
        <v>22</v>
      </c>
      <c r="H30" s="12" t="s">
        <v>9</v>
      </c>
      <c r="I30" s="12" t="s">
        <v>11</v>
      </c>
      <c r="J30" s="12"/>
    </row>
    <row r="31" customHeight="1" spans="1:10">
      <c r="A31" s="10">
        <v>45888</v>
      </c>
      <c r="B31" s="11"/>
      <c r="C31" s="11"/>
      <c r="D31" s="11">
        <v>30000</v>
      </c>
      <c r="E31" s="11"/>
      <c r="F31" s="12" t="s">
        <v>37</v>
      </c>
      <c r="G31" s="12" t="s">
        <v>22</v>
      </c>
      <c r="H31" s="12" t="s">
        <v>9</v>
      </c>
      <c r="I31" s="12" t="s">
        <v>11</v>
      </c>
      <c r="J31" s="12"/>
    </row>
    <row r="32" customHeight="1" spans="1:10">
      <c r="A32" s="10">
        <v>45900</v>
      </c>
      <c r="B32" s="11"/>
      <c r="C32" s="11"/>
      <c r="D32" s="11">
        <v>5000</v>
      </c>
      <c r="E32" s="11"/>
      <c r="F32" s="12" t="s">
        <v>37</v>
      </c>
      <c r="G32" s="12" t="s">
        <v>22</v>
      </c>
      <c r="H32" s="12" t="s">
        <v>9</v>
      </c>
      <c r="I32" s="12" t="s">
        <v>11</v>
      </c>
      <c r="J32" s="12"/>
    </row>
    <row r="33" customHeight="1" spans="1:10">
      <c r="A33" s="10">
        <v>45902</v>
      </c>
      <c r="B33" s="11"/>
      <c r="C33" s="11"/>
      <c r="D33" s="11">
        <v>55000</v>
      </c>
      <c r="E33" s="11"/>
      <c r="F33" s="12" t="s">
        <v>37</v>
      </c>
      <c r="G33" s="12" t="s">
        <v>22</v>
      </c>
      <c r="H33" s="12" t="s">
        <v>9</v>
      </c>
      <c r="I33" s="12" t="s">
        <v>11</v>
      </c>
      <c r="J33" s="12"/>
    </row>
    <row r="34" customHeight="1" spans="1:10">
      <c r="A34" s="20">
        <v>45911</v>
      </c>
      <c r="B34" s="21">
        <v>10000</v>
      </c>
      <c r="C34" s="11"/>
      <c r="D34" s="11"/>
      <c r="E34" s="11"/>
      <c r="F34" s="12" t="s">
        <v>62</v>
      </c>
      <c r="G34" s="12" t="s">
        <v>9</v>
      </c>
      <c r="H34" s="12" t="s">
        <v>22</v>
      </c>
      <c r="I34" s="12" t="s">
        <v>11</v>
      </c>
      <c r="J34" s="12"/>
    </row>
    <row r="35" customHeight="1" spans="1:10">
      <c r="A35" s="10">
        <v>45918</v>
      </c>
      <c r="B35" s="11"/>
      <c r="C35" s="11"/>
      <c r="D35" s="11">
        <v>-50000</v>
      </c>
      <c r="E35" s="11"/>
      <c r="F35" s="12" t="s">
        <v>97</v>
      </c>
      <c r="G35" s="12" t="s">
        <v>9</v>
      </c>
      <c r="H35" s="12" t="s">
        <v>22</v>
      </c>
      <c r="I35" s="12" t="s">
        <v>11</v>
      </c>
      <c r="J35" s="12"/>
    </row>
    <row r="36" customHeight="1" spans="1:10">
      <c r="A36" s="10">
        <v>45928</v>
      </c>
      <c r="B36" s="11"/>
      <c r="C36" s="11"/>
      <c r="D36" s="11">
        <v>-30000</v>
      </c>
      <c r="E36" s="11"/>
      <c r="F36" s="12" t="s">
        <v>97</v>
      </c>
      <c r="G36" s="12" t="s">
        <v>9</v>
      </c>
      <c r="H36" s="12" t="s">
        <v>22</v>
      </c>
      <c r="I36" s="12" t="s">
        <v>11</v>
      </c>
      <c r="J36" s="12"/>
    </row>
    <row r="37" customHeight="1" spans="1:10">
      <c r="A37" s="10">
        <v>45936</v>
      </c>
      <c r="B37" s="11"/>
      <c r="C37" s="11"/>
      <c r="D37" s="11">
        <v>-30000</v>
      </c>
      <c r="E37" s="11"/>
      <c r="F37" s="12" t="s">
        <v>97</v>
      </c>
      <c r="G37" s="12" t="s">
        <v>9</v>
      </c>
      <c r="H37" s="12" t="s">
        <v>22</v>
      </c>
      <c r="I37" s="12" t="s">
        <v>11</v>
      </c>
      <c r="J37" s="12"/>
    </row>
    <row r="38" customHeight="1" spans="1:10">
      <c r="A38" s="10">
        <v>45938</v>
      </c>
      <c r="B38" s="11"/>
      <c r="C38" s="11"/>
      <c r="D38" s="11">
        <v>15000</v>
      </c>
      <c r="E38" s="11"/>
      <c r="F38" s="12" t="s">
        <v>37</v>
      </c>
      <c r="G38" s="12" t="s">
        <v>22</v>
      </c>
      <c r="H38" s="12" t="s">
        <v>9</v>
      </c>
      <c r="I38" s="12" t="s">
        <v>11</v>
      </c>
      <c r="J38" s="12"/>
    </row>
    <row r="39" customHeight="1" spans="1:10">
      <c r="A39" s="10">
        <v>45944</v>
      </c>
      <c r="B39" s="11"/>
      <c r="C39" s="11"/>
      <c r="D39" s="11">
        <v>5000</v>
      </c>
      <c r="E39" s="11"/>
      <c r="F39" s="12" t="s">
        <v>37</v>
      </c>
      <c r="G39" s="12" t="s">
        <v>22</v>
      </c>
      <c r="H39" s="12" t="s">
        <v>9</v>
      </c>
      <c r="I39" s="12" t="s">
        <v>11</v>
      </c>
      <c r="J39" s="12"/>
    </row>
    <row r="40" customHeight="1" spans="1:10">
      <c r="A40" s="20">
        <v>45946</v>
      </c>
      <c r="B40" s="21"/>
      <c r="C40" s="11"/>
      <c r="D40" s="11">
        <v>20000</v>
      </c>
      <c r="E40" s="11"/>
      <c r="F40" s="12" t="s">
        <v>37</v>
      </c>
      <c r="G40" s="12" t="s">
        <v>22</v>
      </c>
      <c r="H40" s="12" t="s">
        <v>9</v>
      </c>
      <c r="I40" s="12" t="s">
        <v>11</v>
      </c>
      <c r="J40" s="12"/>
    </row>
    <row r="41" customHeight="1" spans="1:10">
      <c r="A41" s="20">
        <v>45949</v>
      </c>
      <c r="B41" s="21">
        <v>5000</v>
      </c>
      <c r="C41" s="11"/>
      <c r="D41" s="11"/>
      <c r="E41" s="11"/>
      <c r="F41" s="12" t="s">
        <v>62</v>
      </c>
      <c r="G41" s="12" t="s">
        <v>9</v>
      </c>
      <c r="H41" s="12" t="s">
        <v>22</v>
      </c>
      <c r="I41" s="12" t="s">
        <v>11</v>
      </c>
      <c r="J41" s="12"/>
    </row>
    <row r="42" customHeight="1" spans="1:10">
      <c r="A42" s="10">
        <v>45960</v>
      </c>
      <c r="B42" s="11"/>
      <c r="C42" s="11"/>
      <c r="D42" s="11">
        <v>22000</v>
      </c>
      <c r="E42" s="11"/>
      <c r="F42" s="12" t="s">
        <v>37</v>
      </c>
      <c r="G42" s="12" t="s">
        <v>22</v>
      </c>
      <c r="H42" s="12" t="s">
        <v>9</v>
      </c>
      <c r="I42" s="12" t="s">
        <v>11</v>
      </c>
      <c r="J42" s="12"/>
    </row>
    <row r="43" customHeight="1" spans="1:10">
      <c r="A43" s="10">
        <v>45961</v>
      </c>
      <c r="B43" s="11"/>
      <c r="C43" s="11"/>
      <c r="D43" s="11">
        <v>40000</v>
      </c>
      <c r="E43" s="11"/>
      <c r="F43" s="12" t="s">
        <v>37</v>
      </c>
      <c r="G43" s="12" t="s">
        <v>22</v>
      </c>
      <c r="H43" s="12" t="s">
        <v>9</v>
      </c>
      <c r="I43" s="12" t="s">
        <v>11</v>
      </c>
      <c r="J43" s="12"/>
    </row>
    <row r="44" customHeight="1" spans="1:10">
      <c r="A44" s="10">
        <v>45963</v>
      </c>
      <c r="B44" s="11"/>
      <c r="C44" s="11"/>
      <c r="D44" s="11">
        <v>10000</v>
      </c>
      <c r="E44" s="11"/>
      <c r="F44" s="12" t="s">
        <v>37</v>
      </c>
      <c r="G44" s="12" t="s">
        <v>22</v>
      </c>
      <c r="H44" s="12" t="s">
        <v>9</v>
      </c>
      <c r="I44" s="12" t="s">
        <v>11</v>
      </c>
      <c r="J44" s="12"/>
    </row>
    <row r="45" customHeight="1" spans="1:10">
      <c r="A45" s="10">
        <v>45965</v>
      </c>
      <c r="B45" s="11"/>
      <c r="C45" s="11"/>
      <c r="D45" s="11">
        <v>5000</v>
      </c>
      <c r="E45" s="11"/>
      <c r="F45" s="12" t="s">
        <v>37</v>
      </c>
      <c r="G45" s="12" t="s">
        <v>22</v>
      </c>
      <c r="H45" s="12" t="s">
        <v>9</v>
      </c>
      <c r="I45" s="12" t="s">
        <v>11</v>
      </c>
      <c r="J45" s="12"/>
    </row>
    <row r="46" customHeight="1" spans="1:10">
      <c r="A46" s="10">
        <v>45969</v>
      </c>
      <c r="B46" s="11"/>
      <c r="C46" s="11"/>
      <c r="D46" s="11">
        <v>-52000</v>
      </c>
      <c r="E46" s="11"/>
      <c r="F46" s="12" t="s">
        <v>97</v>
      </c>
      <c r="G46" s="12" t="s">
        <v>9</v>
      </c>
      <c r="H46" s="12" t="s">
        <v>22</v>
      </c>
      <c r="I46" s="12" t="s">
        <v>11</v>
      </c>
      <c r="J46" s="12"/>
    </row>
    <row r="47" customHeight="1" spans="1:10">
      <c r="A47" s="10">
        <v>45972</v>
      </c>
      <c r="B47" s="11"/>
      <c r="C47" s="11"/>
      <c r="D47" s="11">
        <v>-40000</v>
      </c>
      <c r="E47" s="11"/>
      <c r="F47" s="12" t="s">
        <v>97</v>
      </c>
      <c r="G47" s="12" t="s">
        <v>9</v>
      </c>
      <c r="H47" s="12" t="s">
        <v>22</v>
      </c>
      <c r="I47" s="12" t="s">
        <v>11</v>
      </c>
      <c r="J47" s="12"/>
    </row>
    <row r="48" customHeight="1" spans="1:10">
      <c r="A48" s="10">
        <v>45976</v>
      </c>
      <c r="B48" s="11"/>
      <c r="C48" s="11"/>
      <c r="D48" s="11">
        <v>80000</v>
      </c>
      <c r="E48" s="11"/>
      <c r="F48" s="12" t="s">
        <v>37</v>
      </c>
      <c r="G48" s="12" t="s">
        <v>22</v>
      </c>
      <c r="H48" s="12" t="s">
        <v>9</v>
      </c>
      <c r="I48" s="12" t="s">
        <v>11</v>
      </c>
      <c r="J48" s="12"/>
    </row>
    <row r="49" customHeight="1" spans="1:10">
      <c r="A49" s="10">
        <v>45978</v>
      </c>
      <c r="B49" s="11"/>
      <c r="C49" s="11"/>
      <c r="D49" s="11">
        <v>80000</v>
      </c>
      <c r="E49" s="11"/>
      <c r="F49" s="12" t="s">
        <v>37</v>
      </c>
      <c r="G49" s="12" t="s">
        <v>22</v>
      </c>
      <c r="H49" s="12" t="s">
        <v>9</v>
      </c>
      <c r="I49" s="12" t="s">
        <v>11</v>
      </c>
      <c r="J49" s="12"/>
    </row>
    <row r="50" customHeight="1" spans="1:10">
      <c r="A50" s="10">
        <v>45980</v>
      </c>
      <c r="B50" s="11"/>
      <c r="C50" s="11"/>
      <c r="D50" s="11">
        <v>40000</v>
      </c>
      <c r="E50" s="11"/>
      <c r="F50" s="12" t="s">
        <v>37</v>
      </c>
      <c r="G50" s="12" t="s">
        <v>22</v>
      </c>
      <c r="H50" s="12" t="s">
        <v>9</v>
      </c>
      <c r="I50" s="12" t="s">
        <v>11</v>
      </c>
      <c r="J50" s="12"/>
    </row>
    <row r="51" customHeight="1" spans="1:10">
      <c r="A51" s="10">
        <v>45982</v>
      </c>
      <c r="B51" s="11"/>
      <c r="C51" s="11"/>
      <c r="D51" s="11">
        <v>35000</v>
      </c>
      <c r="E51" s="11"/>
      <c r="F51" s="12" t="s">
        <v>37</v>
      </c>
      <c r="G51" s="12" t="s">
        <v>22</v>
      </c>
      <c r="H51" s="12" t="s">
        <v>9</v>
      </c>
      <c r="I51" s="12" t="s">
        <v>11</v>
      </c>
      <c r="J51" s="12"/>
    </row>
    <row r="52" customHeight="1" spans="1:10">
      <c r="A52" s="10">
        <v>45982</v>
      </c>
      <c r="B52" s="11"/>
      <c r="C52" s="11"/>
      <c r="D52" s="11">
        <v>15000</v>
      </c>
      <c r="E52" s="11"/>
      <c r="F52" s="12" t="s">
        <v>37</v>
      </c>
      <c r="G52" s="12" t="s">
        <v>22</v>
      </c>
      <c r="H52" s="12" t="s">
        <v>9</v>
      </c>
      <c r="I52" s="12" t="s">
        <v>11</v>
      </c>
      <c r="J52" s="12"/>
    </row>
    <row r="53" customHeight="1" spans="1:10">
      <c r="A53" s="10">
        <v>45991</v>
      </c>
      <c r="B53" s="11"/>
      <c r="C53" s="11"/>
      <c r="D53" s="11">
        <v>35000</v>
      </c>
      <c r="E53" s="11"/>
      <c r="F53" s="12" t="s">
        <v>37</v>
      </c>
      <c r="G53" s="12" t="s">
        <v>22</v>
      </c>
      <c r="H53" s="12" t="s">
        <v>9</v>
      </c>
      <c r="I53" s="12" t="s">
        <v>11</v>
      </c>
      <c r="J53" s="12"/>
    </row>
    <row r="54" customHeight="1" spans="1:10">
      <c r="A54" s="10">
        <v>45996</v>
      </c>
      <c r="B54" s="11"/>
      <c r="C54" s="11"/>
      <c r="D54" s="11">
        <v>25000</v>
      </c>
      <c r="E54" s="11"/>
      <c r="F54" s="12" t="s">
        <v>37</v>
      </c>
      <c r="G54" s="12" t="s">
        <v>22</v>
      </c>
      <c r="H54" s="12" t="s">
        <v>9</v>
      </c>
      <c r="I54" s="12" t="s">
        <v>11</v>
      </c>
      <c r="J54" s="12"/>
    </row>
    <row r="55" customHeight="1" spans="1:10">
      <c r="A55" s="10">
        <v>45999</v>
      </c>
      <c r="B55" s="11"/>
      <c r="C55" s="11"/>
      <c r="D55" s="11">
        <v>80000</v>
      </c>
      <c r="E55" s="11"/>
      <c r="F55" s="12" t="s">
        <v>37</v>
      </c>
      <c r="G55" s="12" t="s">
        <v>22</v>
      </c>
      <c r="H55" s="12" t="s">
        <v>9</v>
      </c>
      <c r="I55" s="12" t="s">
        <v>11</v>
      </c>
      <c r="J55" s="12"/>
    </row>
    <row r="56" customHeight="1" spans="1:10">
      <c r="A56" s="10">
        <v>46013</v>
      </c>
      <c r="B56" s="11"/>
      <c r="C56" s="11"/>
      <c r="D56" s="11">
        <v>80000</v>
      </c>
      <c r="E56" s="11"/>
      <c r="F56" s="12" t="s">
        <v>37</v>
      </c>
      <c r="G56" s="12" t="s">
        <v>22</v>
      </c>
      <c r="H56" s="12" t="s">
        <v>9</v>
      </c>
      <c r="I56" s="12" t="s">
        <v>11</v>
      </c>
      <c r="J56" s="12"/>
    </row>
    <row r="57" customHeight="1" spans="1:10">
      <c r="A57" s="22">
        <v>46021</v>
      </c>
      <c r="B57" s="15"/>
      <c r="C57" s="15">
        <v>80000</v>
      </c>
      <c r="D57" s="15"/>
      <c r="E57" s="15"/>
      <c r="F57" s="16" t="s">
        <v>101</v>
      </c>
      <c r="G57" s="16" t="s">
        <v>102</v>
      </c>
      <c r="H57" s="16" t="s">
        <v>99</v>
      </c>
      <c r="I57" s="16" t="s">
        <v>11</v>
      </c>
      <c r="J57" s="12"/>
    </row>
    <row r="58" customHeight="1" spans="1:10">
      <c r="A58" s="10">
        <v>46022</v>
      </c>
      <c r="B58" s="11"/>
      <c r="C58" s="11"/>
      <c r="D58" s="11">
        <v>100000</v>
      </c>
      <c r="E58" s="11"/>
      <c r="F58" s="12" t="s">
        <v>37</v>
      </c>
      <c r="G58" s="12" t="s">
        <v>22</v>
      </c>
      <c r="H58" s="12" t="s">
        <v>9</v>
      </c>
      <c r="I58" s="12" t="s">
        <v>11</v>
      </c>
      <c r="J58" s="12"/>
    </row>
    <row r="59" customHeight="1" spans="1:10">
      <c r="A59" s="10">
        <v>46026</v>
      </c>
      <c r="B59" s="11"/>
      <c r="C59" s="11"/>
      <c r="D59" s="11">
        <v>100000</v>
      </c>
      <c r="E59" s="11"/>
      <c r="F59" s="12" t="s">
        <v>37</v>
      </c>
      <c r="G59" s="12" t="s">
        <v>22</v>
      </c>
      <c r="H59" s="12" t="s">
        <v>9</v>
      </c>
      <c r="I59" s="12" t="s">
        <v>11</v>
      </c>
      <c r="J59" s="12"/>
    </row>
    <row r="60" customHeight="1" spans="1:10">
      <c r="A60" s="10">
        <v>46029</v>
      </c>
      <c r="B60" s="11"/>
      <c r="C60" s="11"/>
      <c r="D60" s="11">
        <v>50000</v>
      </c>
      <c r="E60" s="11"/>
      <c r="F60" s="12" t="s">
        <v>37</v>
      </c>
      <c r="G60" s="12" t="s">
        <v>22</v>
      </c>
      <c r="H60" s="12" t="s">
        <v>9</v>
      </c>
      <c r="I60" s="12" t="s">
        <v>11</v>
      </c>
      <c r="J60" s="12"/>
    </row>
    <row r="61" customHeight="1" spans="1:10">
      <c r="A61" s="10">
        <v>46036</v>
      </c>
      <c r="B61" s="11"/>
      <c r="C61" s="11"/>
      <c r="D61" s="11">
        <v>-50000</v>
      </c>
      <c r="E61" s="11"/>
      <c r="F61" s="12" t="s">
        <v>97</v>
      </c>
      <c r="G61" s="12" t="s">
        <v>9</v>
      </c>
      <c r="H61" s="12" t="s">
        <v>22</v>
      </c>
      <c r="I61" s="12" t="s">
        <v>11</v>
      </c>
      <c r="J61" s="12"/>
    </row>
    <row r="62" customHeight="1" spans="1:10">
      <c r="A62" s="10">
        <v>46036</v>
      </c>
      <c r="B62" s="11"/>
      <c r="C62" s="11"/>
      <c r="D62" s="11">
        <v>-100000</v>
      </c>
      <c r="E62" s="11"/>
      <c r="F62" s="12" t="s">
        <v>97</v>
      </c>
      <c r="G62" s="12" t="s">
        <v>9</v>
      </c>
      <c r="H62" s="12" t="s">
        <v>22</v>
      </c>
      <c r="I62" s="12" t="s">
        <v>11</v>
      </c>
      <c r="J62" s="12"/>
    </row>
    <row r="63" customHeight="1" spans="1:10">
      <c r="A63" s="10">
        <v>46042</v>
      </c>
      <c r="B63" s="11"/>
      <c r="C63" s="11"/>
      <c r="D63" s="11">
        <v>-100000</v>
      </c>
      <c r="E63" s="11"/>
      <c r="F63" s="12" t="s">
        <v>97</v>
      </c>
      <c r="G63" s="12" t="s">
        <v>9</v>
      </c>
      <c r="H63" s="12" t="s">
        <v>22</v>
      </c>
      <c r="I63" s="12" t="s">
        <v>11</v>
      </c>
      <c r="J63" s="12"/>
    </row>
    <row r="64" customHeight="1" spans="1:10">
      <c r="A64" s="10">
        <v>46057</v>
      </c>
      <c r="B64" s="11"/>
      <c r="C64" s="11"/>
      <c r="D64" s="11">
        <v>10000</v>
      </c>
      <c r="E64" s="11"/>
      <c r="F64" s="12" t="s">
        <v>37</v>
      </c>
      <c r="G64" s="12" t="s">
        <v>22</v>
      </c>
      <c r="H64" s="12" t="s">
        <v>9</v>
      </c>
      <c r="I64" s="12" t="s">
        <v>11</v>
      </c>
      <c r="J64" s="12"/>
    </row>
    <row r="65" customHeight="1" spans="1:10">
      <c r="A65" s="22">
        <v>46068</v>
      </c>
      <c r="B65" s="15"/>
      <c r="C65" s="15">
        <v>40000</v>
      </c>
      <c r="D65" s="15"/>
      <c r="E65" s="15"/>
      <c r="F65" s="16" t="s">
        <v>101</v>
      </c>
      <c r="G65" s="16" t="s">
        <v>102</v>
      </c>
      <c r="H65" s="16" t="s">
        <v>99</v>
      </c>
      <c r="I65" s="16" t="s">
        <v>11</v>
      </c>
      <c r="J65" s="12"/>
    </row>
    <row r="66" customHeight="1" spans="1:10">
      <c r="A66" s="10">
        <v>46068</v>
      </c>
      <c r="B66" s="11"/>
      <c r="C66" s="11"/>
      <c r="D66" s="11">
        <v>100000</v>
      </c>
      <c r="E66" s="11"/>
      <c r="F66" s="12" t="s">
        <v>37</v>
      </c>
      <c r="G66" s="12" t="s">
        <v>22</v>
      </c>
      <c r="H66" s="12" t="s">
        <v>9</v>
      </c>
      <c r="I66" s="12" t="s">
        <v>11</v>
      </c>
      <c r="J66" s="12"/>
    </row>
    <row r="67" customHeight="1" spans="1:10">
      <c r="A67" s="10">
        <v>46069</v>
      </c>
      <c r="B67" s="11"/>
      <c r="C67" s="11"/>
      <c r="D67" s="11">
        <v>30000</v>
      </c>
      <c r="E67" s="11"/>
      <c r="F67" s="12" t="s">
        <v>37</v>
      </c>
      <c r="G67" s="12" t="s">
        <v>22</v>
      </c>
      <c r="H67" s="12" t="s">
        <v>9</v>
      </c>
      <c r="I67" s="12" t="s">
        <v>11</v>
      </c>
      <c r="J67" s="12"/>
    </row>
    <row r="68" customHeight="1" spans="1:10">
      <c r="A68" s="10">
        <v>46085</v>
      </c>
      <c r="B68" s="11"/>
      <c r="C68" s="11"/>
      <c r="D68" s="11">
        <v>5000</v>
      </c>
      <c r="E68" s="11"/>
      <c r="F68" s="12" t="s">
        <v>37</v>
      </c>
      <c r="G68" s="12" t="s">
        <v>22</v>
      </c>
      <c r="H68" s="12" t="s">
        <v>9</v>
      </c>
      <c r="I68" s="12" t="s">
        <v>11</v>
      </c>
      <c r="J68" s="12"/>
    </row>
    <row r="69" customHeight="1" spans="1:10">
      <c r="A69" s="10">
        <v>46092</v>
      </c>
      <c r="B69" s="11"/>
      <c r="C69" s="11"/>
      <c r="D69" s="11">
        <v>-50000</v>
      </c>
      <c r="E69" s="11"/>
      <c r="F69" s="12" t="s">
        <v>97</v>
      </c>
      <c r="G69" s="12" t="s">
        <v>9</v>
      </c>
      <c r="H69" s="12" t="s">
        <v>22</v>
      </c>
      <c r="I69" s="12" t="s">
        <v>11</v>
      </c>
      <c r="J69" s="12"/>
    </row>
    <row r="70" customHeight="1" spans="1:10">
      <c r="A70" s="10">
        <v>46100</v>
      </c>
      <c r="B70" s="11"/>
      <c r="C70" s="11"/>
      <c r="D70" s="11">
        <v>-35000</v>
      </c>
      <c r="E70" s="11"/>
      <c r="F70" s="12" t="s">
        <v>97</v>
      </c>
      <c r="G70" s="12" t="s">
        <v>9</v>
      </c>
      <c r="H70" s="12" t="s">
        <v>22</v>
      </c>
      <c r="I70" s="12" t="s">
        <v>11</v>
      </c>
      <c r="J70" s="12"/>
    </row>
    <row r="71" customHeight="1" spans="1:10">
      <c r="A71" s="10">
        <v>46100</v>
      </c>
      <c r="B71" s="11"/>
      <c r="C71" s="11"/>
      <c r="D71" s="11">
        <v>-25000</v>
      </c>
      <c r="E71" s="11"/>
      <c r="F71" s="12" t="s">
        <v>97</v>
      </c>
      <c r="G71" s="12" t="s">
        <v>9</v>
      </c>
      <c r="H71" s="12" t="s">
        <v>22</v>
      </c>
      <c r="I71" s="12" t="s">
        <v>11</v>
      </c>
      <c r="J71" s="12"/>
    </row>
    <row r="72" customHeight="1" spans="1:10">
      <c r="A72" s="10">
        <v>46118</v>
      </c>
      <c r="B72" s="11"/>
      <c r="C72" s="11"/>
      <c r="D72" s="11">
        <v>-50000</v>
      </c>
      <c r="E72" s="11"/>
      <c r="F72" s="12" t="s">
        <v>97</v>
      </c>
      <c r="G72" s="12" t="s">
        <v>9</v>
      </c>
      <c r="H72" s="12" t="s">
        <v>22</v>
      </c>
      <c r="I72" s="12" t="s">
        <v>11</v>
      </c>
      <c r="J72" s="12"/>
    </row>
    <row r="73" customHeight="1" spans="1:10">
      <c r="A73" s="10">
        <v>46139</v>
      </c>
      <c r="B73" s="11"/>
      <c r="C73" s="11"/>
      <c r="D73" s="11">
        <v>2000</v>
      </c>
      <c r="E73" s="11"/>
      <c r="F73" s="12" t="s">
        <v>37</v>
      </c>
      <c r="G73" s="12" t="s">
        <v>22</v>
      </c>
      <c r="H73" s="12" t="s">
        <v>9</v>
      </c>
      <c r="I73" s="12" t="s">
        <v>11</v>
      </c>
      <c r="J73" s="12"/>
    </row>
    <row r="74" customHeight="1" spans="1:10">
      <c r="A74" s="10">
        <v>46150</v>
      </c>
      <c r="B74" s="11"/>
      <c r="C74" s="11"/>
      <c r="D74" s="11">
        <v>10000</v>
      </c>
      <c r="E74" s="11"/>
      <c r="F74" s="12" t="s">
        <v>37</v>
      </c>
      <c r="G74" s="12" t="s">
        <v>22</v>
      </c>
      <c r="H74" s="12" t="s">
        <v>9</v>
      </c>
      <c r="I74" s="12" t="s">
        <v>11</v>
      </c>
      <c r="J74" s="12"/>
    </row>
    <row r="75" customHeight="1" spans="1:10">
      <c r="A75" s="10">
        <v>46150</v>
      </c>
      <c r="B75" s="11"/>
      <c r="C75" s="11"/>
      <c r="D75" s="11">
        <v>2000</v>
      </c>
      <c r="E75" s="11"/>
      <c r="F75" s="12" t="s">
        <v>37</v>
      </c>
      <c r="G75" s="12" t="s">
        <v>22</v>
      </c>
      <c r="H75" s="12" t="s">
        <v>9</v>
      </c>
      <c r="I75" s="12" t="s">
        <v>11</v>
      </c>
      <c r="J75" s="12"/>
    </row>
    <row r="76" customHeight="1" spans="1:10">
      <c r="A76" s="10">
        <v>46155</v>
      </c>
      <c r="B76" s="11"/>
      <c r="C76" s="11"/>
      <c r="D76" s="11">
        <v>10000</v>
      </c>
      <c r="E76" s="11"/>
      <c r="F76" s="12" t="s">
        <v>37</v>
      </c>
      <c r="G76" s="12" t="s">
        <v>22</v>
      </c>
      <c r="H76" s="12" t="s">
        <v>9</v>
      </c>
      <c r="I76" s="12" t="s">
        <v>11</v>
      </c>
      <c r="J76" s="12"/>
    </row>
    <row r="77" customHeight="1" spans="1:10">
      <c r="A77" s="10">
        <v>46156</v>
      </c>
      <c r="B77" s="11"/>
      <c r="C77" s="11"/>
      <c r="D77" s="11">
        <v>40000</v>
      </c>
      <c r="E77" s="11"/>
      <c r="F77" s="12" t="s">
        <v>37</v>
      </c>
      <c r="G77" s="12" t="s">
        <v>22</v>
      </c>
      <c r="H77" s="12" t="s">
        <v>9</v>
      </c>
      <c r="I77" s="12" t="s">
        <v>11</v>
      </c>
      <c r="J77" s="12"/>
    </row>
    <row r="78" customHeight="1" spans="1:10">
      <c r="A78" s="23">
        <v>46156</v>
      </c>
      <c r="B78" s="24"/>
      <c r="C78" s="24">
        <v>10000</v>
      </c>
      <c r="D78" s="24"/>
      <c r="E78" s="24"/>
      <c r="F78" s="25" t="s">
        <v>103</v>
      </c>
      <c r="G78" s="25" t="s">
        <v>66</v>
      </c>
      <c r="H78" s="25" t="s">
        <v>79</v>
      </c>
      <c r="I78" s="25" t="s">
        <v>67</v>
      </c>
      <c r="J78" s="12"/>
    </row>
    <row r="79" customHeight="1" spans="1:10">
      <c r="A79" s="23">
        <v>46156</v>
      </c>
      <c r="B79" s="24"/>
      <c r="C79" s="24">
        <v>70500</v>
      </c>
      <c r="D79" s="24"/>
      <c r="E79" s="24"/>
      <c r="F79" s="25" t="s">
        <v>81</v>
      </c>
      <c r="G79" s="25" t="s">
        <v>66</v>
      </c>
      <c r="H79" s="25" t="s">
        <v>79</v>
      </c>
      <c r="I79" s="25" t="s">
        <v>67</v>
      </c>
      <c r="J79" s="12"/>
    </row>
    <row r="80" customHeight="1" spans="1:10">
      <c r="A80" s="10">
        <v>46161</v>
      </c>
      <c r="B80" s="11"/>
      <c r="C80" s="11"/>
      <c r="D80" s="11">
        <v>90000</v>
      </c>
      <c r="E80" s="11"/>
      <c r="F80" s="12" t="s">
        <v>37</v>
      </c>
      <c r="G80" s="12" t="s">
        <v>22</v>
      </c>
      <c r="H80" s="12" t="s">
        <v>9</v>
      </c>
      <c r="I80" s="12" t="s">
        <v>11</v>
      </c>
      <c r="J80" s="12"/>
    </row>
    <row r="81" customHeight="1" spans="1:10">
      <c r="A81" s="10">
        <v>46165</v>
      </c>
      <c r="B81" s="11"/>
      <c r="C81" s="11"/>
      <c r="D81" s="11">
        <v>-10000</v>
      </c>
      <c r="E81" s="11"/>
      <c r="F81" s="12" t="s">
        <v>97</v>
      </c>
      <c r="G81" s="12" t="s">
        <v>9</v>
      </c>
      <c r="H81" s="12" t="s">
        <v>22</v>
      </c>
      <c r="I81" s="12" t="s">
        <v>11</v>
      </c>
      <c r="J81" s="12"/>
    </row>
    <row r="82" customHeight="1" spans="1:10">
      <c r="A82" s="10">
        <v>46165</v>
      </c>
      <c r="B82" s="11"/>
      <c r="C82" s="11"/>
      <c r="D82" s="11">
        <v>-80000</v>
      </c>
      <c r="E82" s="11"/>
      <c r="F82" s="12" t="s">
        <v>97</v>
      </c>
      <c r="G82" s="12" t="s">
        <v>9</v>
      </c>
      <c r="H82" s="12" t="s">
        <v>22</v>
      </c>
      <c r="I82" s="12" t="s">
        <v>11</v>
      </c>
      <c r="J82" s="12"/>
    </row>
    <row r="83" customHeight="1" spans="1:10">
      <c r="A83" s="10">
        <v>46184</v>
      </c>
      <c r="B83" s="11"/>
      <c r="C83" s="11"/>
      <c r="D83" s="11">
        <v>2000</v>
      </c>
      <c r="E83" s="11"/>
      <c r="F83" s="12" t="s">
        <v>37</v>
      </c>
      <c r="G83" s="12" t="s">
        <v>22</v>
      </c>
      <c r="H83" s="12" t="s">
        <v>9</v>
      </c>
      <c r="I83" s="12" t="s">
        <v>11</v>
      </c>
      <c r="J83" s="12"/>
    </row>
    <row r="84" customHeight="1" spans="1:10">
      <c r="A84" s="10">
        <v>46188</v>
      </c>
      <c r="B84" s="11"/>
      <c r="C84" s="11"/>
      <c r="D84" s="11">
        <v>2000</v>
      </c>
      <c r="E84" s="11"/>
      <c r="F84" s="12" t="s">
        <v>37</v>
      </c>
      <c r="G84" s="12" t="s">
        <v>22</v>
      </c>
      <c r="H84" s="12" t="s">
        <v>9</v>
      </c>
      <c r="I84" s="12" t="s">
        <v>11</v>
      </c>
      <c r="J84" s="12"/>
    </row>
    <row r="85" customHeight="1" spans="1:10">
      <c r="A85" s="10">
        <v>46191</v>
      </c>
      <c r="B85" s="11"/>
      <c r="C85" s="11"/>
      <c r="D85" s="11">
        <v>5000</v>
      </c>
      <c r="E85" s="11"/>
      <c r="F85" s="12" t="s">
        <v>37</v>
      </c>
      <c r="G85" s="12" t="s">
        <v>22</v>
      </c>
      <c r="H85" s="12" t="s">
        <v>9</v>
      </c>
      <c r="I85" s="12" t="s">
        <v>11</v>
      </c>
      <c r="J85" s="12"/>
    </row>
    <row r="86" customHeight="1" spans="1:10">
      <c r="A86" s="10">
        <v>46193</v>
      </c>
      <c r="B86" s="11"/>
      <c r="C86" s="11"/>
      <c r="D86" s="11"/>
      <c r="E86" s="11">
        <v>500</v>
      </c>
      <c r="F86" s="12" t="s">
        <v>104</v>
      </c>
      <c r="G86" s="12" t="s">
        <v>79</v>
      </c>
      <c r="H86" s="12" t="s">
        <v>63</v>
      </c>
      <c r="I86" s="12" t="s">
        <v>67</v>
      </c>
      <c r="J86" s="12"/>
    </row>
    <row r="87" customHeight="1" spans="1:10">
      <c r="A87" s="10">
        <v>46200</v>
      </c>
      <c r="B87" s="11"/>
      <c r="C87" s="11"/>
      <c r="D87" s="11">
        <v>-50000</v>
      </c>
      <c r="E87" s="11"/>
      <c r="F87" s="12" t="s">
        <v>97</v>
      </c>
      <c r="G87" s="12" t="s">
        <v>9</v>
      </c>
      <c r="H87" s="12" t="s">
        <v>22</v>
      </c>
      <c r="I87" s="12" t="s">
        <v>11</v>
      </c>
      <c r="J87" s="12"/>
    </row>
    <row r="88" customHeight="1" spans="1:10">
      <c r="A88" s="10">
        <v>46222</v>
      </c>
      <c r="B88" s="11"/>
      <c r="C88" s="11"/>
      <c r="D88" s="11"/>
      <c r="E88" s="11">
        <v>1100</v>
      </c>
      <c r="F88" s="12" t="s">
        <v>104</v>
      </c>
      <c r="G88" s="12" t="s">
        <v>79</v>
      </c>
      <c r="H88" s="12" t="s">
        <v>63</v>
      </c>
      <c r="I88" s="12" t="s">
        <v>67</v>
      </c>
      <c r="J88" s="12"/>
    </row>
    <row r="89" customHeight="1" spans="1:10">
      <c r="A89" s="10">
        <v>46229</v>
      </c>
      <c r="B89" s="11"/>
      <c r="C89" s="11"/>
      <c r="D89" s="11">
        <v>-70000</v>
      </c>
      <c r="E89" s="11"/>
      <c r="F89" s="12" t="s">
        <v>97</v>
      </c>
      <c r="G89" s="12" t="s">
        <v>9</v>
      </c>
      <c r="H89" s="12" t="s">
        <v>22</v>
      </c>
      <c r="I89" s="12" t="s">
        <v>11</v>
      </c>
      <c r="J89" s="12"/>
    </row>
    <row r="90" customHeight="1" spans="1:10">
      <c r="A90" s="10">
        <v>46231</v>
      </c>
      <c r="B90" s="11"/>
      <c r="C90" s="11"/>
      <c r="D90" s="11">
        <v>60000</v>
      </c>
      <c r="E90" s="11"/>
      <c r="F90" s="12" t="s">
        <v>37</v>
      </c>
      <c r="G90" s="12" t="s">
        <v>22</v>
      </c>
      <c r="H90" s="12" t="s">
        <v>9</v>
      </c>
      <c r="I90" s="12" t="s">
        <v>11</v>
      </c>
      <c r="J90" s="12"/>
    </row>
    <row r="91" customHeight="1" spans="1:10">
      <c r="A91" s="10">
        <v>46234</v>
      </c>
      <c r="B91" s="11"/>
      <c r="C91" s="11"/>
      <c r="D91" s="11">
        <v>-40000</v>
      </c>
      <c r="E91" s="11"/>
      <c r="F91" s="12" t="s">
        <v>97</v>
      </c>
      <c r="G91" s="12" t="s">
        <v>9</v>
      </c>
      <c r="H91" s="12" t="s">
        <v>22</v>
      </c>
      <c r="I91" s="12" t="s">
        <v>11</v>
      </c>
      <c r="J91" s="12"/>
    </row>
    <row r="92" customHeight="1" spans="1:10">
      <c r="A92" s="10">
        <v>46242</v>
      </c>
      <c r="B92" s="11"/>
      <c r="C92" s="11"/>
      <c r="D92" s="11">
        <v>600</v>
      </c>
      <c r="E92" s="11"/>
      <c r="F92" s="12" t="s">
        <v>37</v>
      </c>
      <c r="G92" s="12" t="s">
        <v>22</v>
      </c>
      <c r="H92" s="12" t="s">
        <v>9</v>
      </c>
      <c r="I92" s="12" t="s">
        <v>11</v>
      </c>
      <c r="J92" s="12"/>
    </row>
    <row r="93" customHeight="1" spans="1:10">
      <c r="A93" s="10">
        <v>46253</v>
      </c>
      <c r="B93" s="11"/>
      <c r="C93" s="11"/>
      <c r="D93" s="11"/>
      <c r="E93" s="11">
        <v>1100</v>
      </c>
      <c r="F93" s="12" t="s">
        <v>104</v>
      </c>
      <c r="G93" s="12" t="s">
        <v>79</v>
      </c>
      <c r="H93" s="12" t="s">
        <v>63</v>
      </c>
      <c r="I93" s="12" t="s">
        <v>67</v>
      </c>
      <c r="J93" s="12"/>
    </row>
    <row r="94" customHeight="1" spans="1:10">
      <c r="A94" s="10">
        <v>46259</v>
      </c>
      <c r="B94" s="11"/>
      <c r="C94" s="11"/>
      <c r="D94" s="11">
        <v>2000</v>
      </c>
      <c r="E94" s="11"/>
      <c r="F94" s="12" t="s">
        <v>37</v>
      </c>
      <c r="G94" s="12" t="s">
        <v>22</v>
      </c>
      <c r="H94" s="12" t="s">
        <v>9</v>
      </c>
      <c r="I94" s="12" t="s">
        <v>11</v>
      </c>
      <c r="J94" s="12"/>
    </row>
    <row r="95" customHeight="1" spans="1:10">
      <c r="A95" s="10">
        <v>46262</v>
      </c>
      <c r="B95" s="11"/>
      <c r="C95" s="11"/>
      <c r="D95" s="11">
        <v>-100000</v>
      </c>
      <c r="E95" s="11"/>
      <c r="F95" s="12" t="s">
        <v>97</v>
      </c>
      <c r="G95" s="12" t="s">
        <v>9</v>
      </c>
      <c r="H95" s="12" t="s">
        <v>22</v>
      </c>
      <c r="I95" s="12" t="s">
        <v>11</v>
      </c>
      <c r="J95" s="12"/>
    </row>
    <row r="96" customHeight="1" spans="1:10">
      <c r="A96" s="10">
        <v>46284</v>
      </c>
      <c r="B96" s="11"/>
      <c r="C96" s="11"/>
      <c r="D96" s="11"/>
      <c r="E96" s="11">
        <v>1100</v>
      </c>
      <c r="F96" s="12" t="s">
        <v>104</v>
      </c>
      <c r="G96" s="12" t="s">
        <v>79</v>
      </c>
      <c r="H96" s="12" t="s">
        <v>66</v>
      </c>
      <c r="I96" s="12" t="s">
        <v>67</v>
      </c>
      <c r="J96" s="12"/>
    </row>
    <row r="97" customHeight="1" spans="1:10">
      <c r="A97" s="10">
        <v>46273</v>
      </c>
      <c r="B97" s="11"/>
      <c r="C97" s="11"/>
      <c r="D97" s="11">
        <v>-80000</v>
      </c>
      <c r="E97" s="11"/>
      <c r="F97" s="12" t="s">
        <v>105</v>
      </c>
      <c r="G97" s="12" t="s">
        <v>9</v>
      </c>
      <c r="H97" s="12" t="s">
        <v>99</v>
      </c>
      <c r="I97" s="12" t="s">
        <v>11</v>
      </c>
      <c r="J97" s="12"/>
    </row>
    <row r="98" customHeight="1" spans="1:10">
      <c r="A98" s="10">
        <v>46276</v>
      </c>
      <c r="B98" s="11"/>
      <c r="C98" s="11"/>
      <c r="D98" s="11">
        <v>-50000</v>
      </c>
      <c r="E98" s="11"/>
      <c r="F98" s="12" t="s">
        <v>105</v>
      </c>
      <c r="G98" s="12" t="s">
        <v>9</v>
      </c>
      <c r="H98" s="12" t="s">
        <v>99</v>
      </c>
      <c r="I98" s="12" t="s">
        <v>11</v>
      </c>
      <c r="J98" s="12"/>
    </row>
    <row r="99" customHeight="1" spans="1:10">
      <c r="A99" s="10">
        <v>46295</v>
      </c>
      <c r="B99" s="11"/>
      <c r="C99" s="11"/>
      <c r="D99" s="11">
        <v>-40000</v>
      </c>
      <c r="E99" s="11"/>
      <c r="F99" s="12" t="s">
        <v>105</v>
      </c>
      <c r="G99" s="12" t="s">
        <v>9</v>
      </c>
      <c r="H99" s="12" t="s">
        <v>99</v>
      </c>
      <c r="I99" s="12" t="s">
        <v>11</v>
      </c>
      <c r="J99" s="12"/>
    </row>
    <row r="100" customHeight="1" spans="1:10">
      <c r="A100" s="10"/>
      <c r="B100" s="11"/>
      <c r="C100" s="11">
        <v>50000</v>
      </c>
      <c r="D100" s="11"/>
      <c r="E100" s="11"/>
      <c r="F100" s="12" t="s">
        <v>106</v>
      </c>
      <c r="G100" s="12" t="s">
        <v>107</v>
      </c>
      <c r="H100" s="12" t="s">
        <v>79</v>
      </c>
      <c r="I100" s="12" t="s">
        <v>67</v>
      </c>
      <c r="J100" s="12" t="s">
        <v>108</v>
      </c>
    </row>
    <row r="101" customHeight="1" spans="1:10">
      <c r="A101" s="10" t="s">
        <v>18</v>
      </c>
      <c r="B101" s="11">
        <f>SUBTOTAL(109,表3[工资收入])</f>
        <v>135000</v>
      </c>
      <c r="C101" s="11">
        <f>SUBTOTAL(109,表3[其他收入])</f>
        <v>200500</v>
      </c>
      <c r="D101" s="11">
        <f>SUBTOTAL(109,表3[个人借款支出])</f>
        <v>699818</v>
      </c>
      <c r="E101" s="11">
        <f>SUBTOTAL(109,表3[其他支出])</f>
        <v>3800</v>
      </c>
      <c r="F101" s="12"/>
      <c r="G101" s="12"/>
      <c r="H101" s="12"/>
      <c r="I101" s="12"/>
      <c r="J101" s="12"/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ySplit="2" topLeftCell="A23" activePane="bottomLeft" state="frozen"/>
      <selection/>
      <selection pane="bottomLeft" activeCell="E13" sqref="E13"/>
    </sheetView>
  </sheetViews>
  <sheetFormatPr defaultColWidth="8.72727272727273" defaultRowHeight="23" customHeight="1"/>
  <cols>
    <col min="1" max="1" width="16" style="1" customWidth="1"/>
    <col min="2" max="4" width="16" style="2" customWidth="1"/>
    <col min="5" max="5" width="21.4545454545455" style="2" customWidth="1"/>
    <col min="6" max="6" width="20.9090909090909" style="3" customWidth="1"/>
    <col min="7" max="9" width="16" style="3" customWidth="1"/>
    <col min="10" max="10" width="12.2727272727273" style="3" customWidth="1"/>
    <col min="11" max="16384" width="8.72727272727273" style="3"/>
  </cols>
  <sheetData>
    <row r="1" customHeight="1" spans="1:10">
      <c r="A1" s="4" t="s">
        <v>109</v>
      </c>
      <c r="B1" s="5"/>
      <c r="C1" s="5"/>
      <c r="D1" s="5"/>
      <c r="E1" s="5"/>
      <c r="F1" s="6"/>
      <c r="G1" s="6"/>
      <c r="H1" s="6"/>
      <c r="I1" s="6"/>
      <c r="J1" s="6"/>
    </row>
    <row r="2" customHeight="1" spans="1:10">
      <c r="A2" s="7" t="s">
        <v>1</v>
      </c>
      <c r="B2" s="8" t="s">
        <v>54</v>
      </c>
      <c r="C2" s="8" t="s">
        <v>55</v>
      </c>
      <c r="D2" s="8" t="s">
        <v>94</v>
      </c>
      <c r="E2" s="8" t="s">
        <v>95</v>
      </c>
      <c r="F2" s="9" t="s">
        <v>6</v>
      </c>
      <c r="G2" s="9" t="s">
        <v>59</v>
      </c>
      <c r="H2" s="9" t="s">
        <v>60</v>
      </c>
      <c r="I2" s="9" t="s">
        <v>61</v>
      </c>
      <c r="J2" s="9" t="s">
        <v>8</v>
      </c>
    </row>
    <row r="3" customHeight="1" spans="1:10">
      <c r="A3" s="10">
        <v>45531</v>
      </c>
      <c r="B3" s="11">
        <v>30000</v>
      </c>
      <c r="C3" s="11"/>
      <c r="D3" s="11"/>
      <c r="E3" s="11"/>
      <c r="F3" s="12" t="s">
        <v>62</v>
      </c>
      <c r="G3" s="12" t="s">
        <v>9</v>
      </c>
      <c r="H3" s="12" t="s">
        <v>10</v>
      </c>
      <c r="I3" s="12" t="s">
        <v>11</v>
      </c>
      <c r="J3" s="12"/>
    </row>
    <row r="4" customHeight="1" spans="1:10">
      <c r="A4" s="10">
        <v>45803</v>
      </c>
      <c r="B4" s="11">
        <v>10000</v>
      </c>
      <c r="C4" s="11"/>
      <c r="D4" s="11"/>
      <c r="E4" s="11"/>
      <c r="F4" s="12" t="s">
        <v>62</v>
      </c>
      <c r="G4" s="12" t="s">
        <v>9</v>
      </c>
      <c r="H4" s="12" t="s">
        <v>10</v>
      </c>
      <c r="I4" s="12" t="s">
        <v>11</v>
      </c>
      <c r="J4" s="12"/>
    </row>
    <row r="5" customHeight="1" spans="1:10">
      <c r="A5" s="10">
        <v>45929</v>
      </c>
      <c r="B5" s="11">
        <v>10000</v>
      </c>
      <c r="C5" s="11"/>
      <c r="D5" s="11"/>
      <c r="E5" s="11"/>
      <c r="F5" s="12" t="s">
        <v>110</v>
      </c>
      <c r="G5" s="12" t="s">
        <v>9</v>
      </c>
      <c r="H5" s="12" t="s">
        <v>10</v>
      </c>
      <c r="I5" s="12" t="s">
        <v>11</v>
      </c>
      <c r="J5" s="12"/>
    </row>
    <row r="6" customHeight="1" spans="1:10">
      <c r="A6" s="10">
        <v>45957</v>
      </c>
      <c r="B6" s="11"/>
      <c r="C6" s="11"/>
      <c r="D6" s="11">
        <v>20000</v>
      </c>
      <c r="E6" s="11"/>
      <c r="F6" s="12" t="s">
        <v>111</v>
      </c>
      <c r="G6" s="12" t="s">
        <v>10</v>
      </c>
      <c r="H6" s="12" t="s">
        <v>9</v>
      </c>
      <c r="I6" s="12" t="s">
        <v>11</v>
      </c>
      <c r="J6" s="12"/>
    </row>
    <row r="7" customHeight="1" spans="1:10">
      <c r="A7" s="10">
        <v>45972</v>
      </c>
      <c r="B7" s="11"/>
      <c r="C7" s="11"/>
      <c r="D7" s="11">
        <v>30000</v>
      </c>
      <c r="E7" s="11"/>
      <c r="F7" s="12" t="s">
        <v>111</v>
      </c>
      <c r="G7" s="12" t="s">
        <v>10</v>
      </c>
      <c r="H7" s="12" t="s">
        <v>9</v>
      </c>
      <c r="I7" s="12" t="s">
        <v>11</v>
      </c>
      <c r="J7" s="12"/>
    </row>
    <row r="8" customHeight="1" spans="1:10">
      <c r="A8" s="10">
        <v>45974</v>
      </c>
      <c r="B8" s="11"/>
      <c r="C8" s="11"/>
      <c r="D8" s="11">
        <v>30000</v>
      </c>
      <c r="E8" s="11"/>
      <c r="F8" s="12" t="s">
        <v>111</v>
      </c>
      <c r="G8" s="12" t="s">
        <v>10</v>
      </c>
      <c r="H8" s="12" t="s">
        <v>9</v>
      </c>
      <c r="I8" s="12" t="s">
        <v>11</v>
      </c>
      <c r="J8" s="12"/>
    </row>
    <row r="9" customHeight="1" spans="1:10">
      <c r="A9" s="10">
        <v>45975</v>
      </c>
      <c r="B9" s="11"/>
      <c r="C9" s="11"/>
      <c r="D9" s="11">
        <v>40000</v>
      </c>
      <c r="E9" s="11"/>
      <c r="F9" s="12" t="s">
        <v>111</v>
      </c>
      <c r="G9" s="12" t="s">
        <v>10</v>
      </c>
      <c r="H9" s="12" t="s">
        <v>9</v>
      </c>
      <c r="I9" s="12" t="s">
        <v>11</v>
      </c>
      <c r="J9" s="12"/>
    </row>
    <row r="10" customHeight="1" spans="1:10">
      <c r="A10" s="10">
        <v>45980</v>
      </c>
      <c r="B10" s="11"/>
      <c r="C10" s="11"/>
      <c r="D10" s="11">
        <v>30000</v>
      </c>
      <c r="E10" s="11"/>
      <c r="F10" s="12" t="s">
        <v>111</v>
      </c>
      <c r="G10" s="12" t="s">
        <v>10</v>
      </c>
      <c r="H10" s="12" t="s">
        <v>9</v>
      </c>
      <c r="I10" s="12" t="s">
        <v>11</v>
      </c>
      <c r="J10" s="12"/>
    </row>
    <row r="11" customHeight="1" spans="1:10">
      <c r="A11" s="10">
        <v>45984</v>
      </c>
      <c r="B11" s="11"/>
      <c r="C11" s="11"/>
      <c r="D11" s="11">
        <v>40000</v>
      </c>
      <c r="E11" s="11"/>
      <c r="F11" s="12" t="s">
        <v>111</v>
      </c>
      <c r="G11" s="12" t="s">
        <v>10</v>
      </c>
      <c r="H11" s="12" t="s">
        <v>9</v>
      </c>
      <c r="I11" s="12" t="s">
        <v>11</v>
      </c>
      <c r="J11" s="12"/>
    </row>
    <row r="12" customHeight="1" spans="1:10">
      <c r="A12" s="10">
        <v>45987</v>
      </c>
      <c r="B12" s="11"/>
      <c r="C12" s="11"/>
      <c r="D12" s="11">
        <v>10000</v>
      </c>
      <c r="E12" s="11"/>
      <c r="F12" s="12" t="s">
        <v>111</v>
      </c>
      <c r="G12" s="12" t="s">
        <v>10</v>
      </c>
      <c r="H12" s="12" t="s">
        <v>9</v>
      </c>
      <c r="I12" s="12" t="s">
        <v>11</v>
      </c>
      <c r="J12" s="12"/>
    </row>
    <row r="13" customHeight="1" spans="1:10">
      <c r="A13" s="10">
        <v>46003</v>
      </c>
      <c r="B13" s="11"/>
      <c r="C13" s="11"/>
      <c r="D13" s="11"/>
      <c r="E13" s="11">
        <v>4000</v>
      </c>
      <c r="F13" s="12" t="s">
        <v>112</v>
      </c>
      <c r="G13" s="12" t="s">
        <v>107</v>
      </c>
      <c r="H13" s="12" t="s">
        <v>102</v>
      </c>
      <c r="I13" s="12" t="s">
        <v>67</v>
      </c>
      <c r="J13" s="12"/>
    </row>
    <row r="14" customHeight="1" spans="1:10">
      <c r="A14" s="10">
        <v>46015</v>
      </c>
      <c r="B14" s="11">
        <v>15000</v>
      </c>
      <c r="C14" s="11"/>
      <c r="D14" s="11"/>
      <c r="E14" s="11"/>
      <c r="F14" s="12" t="s">
        <v>110</v>
      </c>
      <c r="G14" s="12" t="s">
        <v>9</v>
      </c>
      <c r="H14" s="12" t="s">
        <v>10</v>
      </c>
      <c r="I14" s="12" t="s">
        <v>11</v>
      </c>
      <c r="J14" s="12"/>
    </row>
    <row r="15" customHeight="1" spans="1:10">
      <c r="A15" s="10">
        <v>46026</v>
      </c>
      <c r="B15" s="11">
        <v>5000</v>
      </c>
      <c r="C15" s="11"/>
      <c r="D15" s="11"/>
      <c r="E15" s="11"/>
      <c r="F15" s="12" t="s">
        <v>110</v>
      </c>
      <c r="G15" s="12" t="s">
        <v>9</v>
      </c>
      <c r="H15" s="12" t="s">
        <v>10</v>
      </c>
      <c r="I15" s="12" t="s">
        <v>11</v>
      </c>
      <c r="J15" s="12"/>
    </row>
    <row r="16" customHeight="1" spans="1:10">
      <c r="A16" s="10">
        <v>46029</v>
      </c>
      <c r="B16" s="11">
        <v>5000</v>
      </c>
      <c r="C16" s="11"/>
      <c r="D16" s="11"/>
      <c r="E16" s="11"/>
      <c r="F16" s="12" t="s">
        <v>62</v>
      </c>
      <c r="G16" s="12" t="s">
        <v>9</v>
      </c>
      <c r="H16" s="12" t="s">
        <v>10</v>
      </c>
      <c r="I16" s="12" t="s">
        <v>11</v>
      </c>
      <c r="J16" s="12"/>
    </row>
    <row r="17" customHeight="1" spans="1:10">
      <c r="A17" s="10">
        <v>46038</v>
      </c>
      <c r="B17" s="11"/>
      <c r="C17" s="11"/>
      <c r="D17" s="11">
        <v>-40000</v>
      </c>
      <c r="E17" s="11"/>
      <c r="F17" s="12" t="s">
        <v>113</v>
      </c>
      <c r="G17" s="12" t="s">
        <v>9</v>
      </c>
      <c r="H17" s="12" t="s">
        <v>10</v>
      </c>
      <c r="I17" s="12" t="s">
        <v>11</v>
      </c>
      <c r="J17" s="12"/>
    </row>
    <row r="18" customHeight="1" spans="1:10">
      <c r="A18" s="10">
        <v>46042</v>
      </c>
      <c r="B18" s="11"/>
      <c r="C18" s="11"/>
      <c r="D18" s="11">
        <v>-20000</v>
      </c>
      <c r="E18" s="11"/>
      <c r="F18" s="12" t="s">
        <v>114</v>
      </c>
      <c r="G18" s="12" t="s">
        <v>9</v>
      </c>
      <c r="H18" s="12" t="s">
        <v>10</v>
      </c>
      <c r="I18" s="12" t="s">
        <v>11</v>
      </c>
      <c r="J18" s="12"/>
    </row>
    <row r="19" customHeight="1" spans="1:10">
      <c r="A19" s="10">
        <v>46050</v>
      </c>
      <c r="B19" s="11"/>
      <c r="C19" s="11"/>
      <c r="D19" s="11">
        <v>-10000</v>
      </c>
      <c r="E19" s="11"/>
      <c r="F19" s="12" t="s">
        <v>115</v>
      </c>
      <c r="G19" s="12" t="s">
        <v>9</v>
      </c>
      <c r="H19" s="12" t="s">
        <v>10</v>
      </c>
      <c r="I19" s="12" t="s">
        <v>11</v>
      </c>
      <c r="J19" s="12"/>
    </row>
    <row r="20" customHeight="1" spans="1:10">
      <c r="A20" s="10">
        <v>46094</v>
      </c>
      <c r="B20" s="11"/>
      <c r="C20" s="11"/>
      <c r="D20" s="11">
        <v>-25000</v>
      </c>
      <c r="E20" s="11"/>
      <c r="F20" s="12" t="s">
        <v>116</v>
      </c>
      <c r="G20" s="12" t="s">
        <v>9</v>
      </c>
      <c r="H20" s="12" t="s">
        <v>10</v>
      </c>
      <c r="I20" s="12" t="s">
        <v>11</v>
      </c>
      <c r="J20" s="12"/>
    </row>
    <row r="21" customHeight="1" spans="1:10">
      <c r="A21" s="10">
        <v>46142</v>
      </c>
      <c r="B21" s="11"/>
      <c r="C21" s="11">
        <v>17360</v>
      </c>
      <c r="D21" s="11"/>
      <c r="E21" s="11"/>
      <c r="F21" s="12" t="s">
        <v>117</v>
      </c>
      <c r="G21" s="12" t="s">
        <v>118</v>
      </c>
      <c r="H21" s="12" t="s">
        <v>10</v>
      </c>
      <c r="I21" s="12" t="s">
        <v>11</v>
      </c>
      <c r="J21" s="12"/>
    </row>
    <row r="22" customHeight="1" spans="1:10">
      <c r="A22" s="10">
        <v>46142</v>
      </c>
      <c r="B22" s="11"/>
      <c r="C22" s="11">
        <v>9870</v>
      </c>
      <c r="D22" s="11"/>
      <c r="E22" s="11"/>
      <c r="F22" s="12" t="s">
        <v>119</v>
      </c>
      <c r="G22" s="12" t="s">
        <v>118</v>
      </c>
      <c r="H22" s="12" t="s">
        <v>120</v>
      </c>
      <c r="I22" s="12" t="s">
        <v>11</v>
      </c>
      <c r="J22" s="12"/>
    </row>
    <row r="23" customHeight="1" spans="1:10">
      <c r="A23" s="10">
        <v>46142</v>
      </c>
      <c r="B23" s="13"/>
      <c r="C23" s="13">
        <v>50000</v>
      </c>
      <c r="D23" s="13"/>
      <c r="E23" s="13"/>
      <c r="F23" s="14" t="s">
        <v>121</v>
      </c>
      <c r="G23" s="14" t="s">
        <v>122</v>
      </c>
      <c r="H23" s="14" t="s">
        <v>10</v>
      </c>
      <c r="I23" s="14" t="s">
        <v>67</v>
      </c>
      <c r="J23" s="12"/>
    </row>
    <row r="24" customHeight="1" spans="1:10">
      <c r="A24" s="10">
        <v>46192</v>
      </c>
      <c r="B24" s="13"/>
      <c r="C24" s="13">
        <v>5000</v>
      </c>
      <c r="D24" s="13"/>
      <c r="E24" s="13"/>
      <c r="F24" s="14" t="s">
        <v>121</v>
      </c>
      <c r="G24" s="14" t="s">
        <v>122</v>
      </c>
      <c r="H24" s="14" t="s">
        <v>10</v>
      </c>
      <c r="I24" s="14" t="s">
        <v>67</v>
      </c>
      <c r="J24" s="12"/>
    </row>
    <row r="25" customHeight="1" spans="1:10">
      <c r="A25" s="10"/>
      <c r="B25" s="15"/>
      <c r="C25" s="15">
        <v>-50000</v>
      </c>
      <c r="D25" s="15"/>
      <c r="E25" s="15"/>
      <c r="F25" s="16" t="s">
        <v>123</v>
      </c>
      <c r="G25" s="16" t="s">
        <v>107</v>
      </c>
      <c r="H25" s="16" t="s">
        <v>79</v>
      </c>
      <c r="I25" s="16" t="s">
        <v>67</v>
      </c>
      <c r="J25" s="12"/>
    </row>
    <row r="26" customHeight="1" spans="1:10">
      <c r="A26" s="10">
        <v>46227</v>
      </c>
      <c r="B26" s="11"/>
      <c r="C26" s="11"/>
      <c r="D26" s="11">
        <v>-30000</v>
      </c>
      <c r="E26" s="11"/>
      <c r="F26" s="12" t="s">
        <v>124</v>
      </c>
      <c r="G26" s="12" t="s">
        <v>9</v>
      </c>
      <c r="H26" s="12" t="s">
        <v>10</v>
      </c>
      <c r="I26" s="12" t="s">
        <v>11</v>
      </c>
      <c r="J26" s="12"/>
    </row>
    <row r="27" customHeight="1" spans="1:10">
      <c r="A27" s="10">
        <v>46254</v>
      </c>
      <c r="B27" s="11"/>
      <c r="C27" s="11"/>
      <c r="D27" s="11">
        <v>1500</v>
      </c>
      <c r="E27" s="11"/>
      <c r="F27" s="12" t="s">
        <v>111</v>
      </c>
      <c r="G27" s="12" t="s">
        <v>10</v>
      </c>
      <c r="H27" s="12" t="s">
        <v>9</v>
      </c>
      <c r="I27" s="12" t="s">
        <v>11</v>
      </c>
      <c r="J27" s="12"/>
    </row>
    <row r="28" customHeight="1" spans="1:10">
      <c r="A28" s="10">
        <v>46262</v>
      </c>
      <c r="B28" s="11">
        <v>5000</v>
      </c>
      <c r="C28" s="11"/>
      <c r="D28" s="11"/>
      <c r="E28" s="11"/>
      <c r="F28" s="12" t="s">
        <v>62</v>
      </c>
      <c r="G28" s="12" t="s">
        <v>9</v>
      </c>
      <c r="H28" s="12" t="s">
        <v>10</v>
      </c>
      <c r="I28" s="12" t="s">
        <v>11</v>
      </c>
      <c r="J28" s="12"/>
    </row>
    <row r="29" customHeight="1" spans="1:10">
      <c r="A29" s="10">
        <v>46267</v>
      </c>
      <c r="B29" s="11"/>
      <c r="C29" s="11"/>
      <c r="D29" s="11">
        <v>-13000</v>
      </c>
      <c r="E29" s="11"/>
      <c r="F29" s="12" t="s">
        <v>125</v>
      </c>
      <c r="G29" s="12" t="s">
        <v>9</v>
      </c>
      <c r="H29" s="12" t="s">
        <v>10</v>
      </c>
      <c r="I29" s="12" t="s">
        <v>11</v>
      </c>
      <c r="J29" s="12"/>
    </row>
    <row r="30" customHeight="1" spans="1:10">
      <c r="A30" s="10"/>
      <c r="B30" s="11"/>
      <c r="C30" s="11"/>
      <c r="D30" s="11"/>
      <c r="E30" s="11"/>
      <c r="F30" s="12"/>
      <c r="G30" s="12"/>
      <c r="H30" s="12"/>
      <c r="I30" s="12"/>
      <c r="J30" s="12"/>
    </row>
    <row r="31" customHeight="1" spans="1:10">
      <c r="A31" s="10"/>
      <c r="B31" s="11"/>
      <c r="C31" s="11"/>
      <c r="D31" s="11"/>
      <c r="E31" s="11"/>
      <c r="F31" s="12"/>
      <c r="G31" s="12"/>
      <c r="H31" s="12"/>
      <c r="I31" s="12"/>
      <c r="J31" s="12"/>
    </row>
    <row r="32" customHeight="1" spans="1:10">
      <c r="A32" s="10" t="s">
        <v>18</v>
      </c>
      <c r="B32" s="11">
        <f>SUBTOTAL(109,表7[收入])</f>
        <v>80000</v>
      </c>
      <c r="C32" s="11">
        <f>SUBTOTAL(109,表7[其他收入])</f>
        <v>32230</v>
      </c>
      <c r="D32" s="11">
        <f>SUBTOTAL(109,表7[个人借款支出])</f>
        <v>63500</v>
      </c>
      <c r="E32" s="11">
        <f>SUBTOTAL(109,表7[其他支出])</f>
        <v>4000</v>
      </c>
      <c r="F32" s="12"/>
      <c r="G32" s="12"/>
      <c r="H32" s="12"/>
      <c r="I32" s="12"/>
      <c r="J32" s="12">
        <f>SUBTOTAL(103,表7[备注])</f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王伟个人借款</vt:lpstr>
      <vt:lpstr>聂辉个人借款</vt:lpstr>
      <vt:lpstr>张淑平个人借款</vt:lpstr>
      <vt:lpstr>张滨个人明细</vt:lpstr>
      <vt:lpstr>聂辉个人明细</vt:lpstr>
      <vt:lpstr>王伟个人明细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清禾知晏</cp:lastModifiedBy>
  <dcterms:created xsi:type="dcterms:W3CDTF">2023-05-12T11:15:00Z</dcterms:created>
  <dcterms:modified xsi:type="dcterms:W3CDTF">2026-10-06T13:56:42Z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AB4A7BC59E744E90BCEB626A9B79FB8F_12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