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2375"/>
  </bookViews>
  <sheets>
    <sheet name="总表" sheetId="2" r:id="rId1"/>
    <sheet name="恩旗老叶" sheetId="1" r:id="rId2"/>
    <sheet name="吴群" sheetId="3" r:id="rId3"/>
    <sheet name="吴聪" sheetId="4" r:id="rId4"/>
    <sheet name="九江朱总" sheetId="5" r:id="rId5"/>
    <sheet name="共安门业" sheetId="6" r:id="rId6"/>
    <sheet name="图揽成善" sheetId="7" r:id="rId7"/>
    <sheet name="祝冬冬" sheetId="8" r:id="rId8"/>
    <sheet name="张小朋" sheetId="9" r:id="rId9"/>
    <sheet name="徐怀生" sheetId="10" r:id="rId10"/>
    <sheet name="龚文坚" sheetId="11" r:id="rId11"/>
    <sheet name="程章赐" sheetId="12" r:id="rId12"/>
    <sheet name="Sheet9" sheetId="13" r:id="rId13"/>
    <sheet name="Sheet1" sheetId="14" r:id="rId14"/>
    <sheet name="Sheet10" sheetId="15" r:id="rId15"/>
    <sheet name="Sheet11" sheetId="16" r:id="rId16"/>
    <sheet name="Sheet12" sheetId="17" r:id="rId17"/>
    <sheet name="Sheet13" sheetId="18" r:id="rId18"/>
  </sheets>
  <definedNames>
    <definedName name="_xlnm._FilterDatabase" localSheetId="5" hidden="1">共安门业!$A$1:$L$13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<sst xmlns="http://schemas.openxmlformats.org/spreadsheetml/2006/main" count="683" uniqueCount="112">
  <si>
    <t>项目分包-应付账款总表</t>
  </si>
  <si>
    <t>开始日期</t>
  </si>
  <si>
    <t>结束日期</t>
  </si>
  <si>
    <t>序号</t>
  </si>
  <si>
    <t>供应商名称</t>
  </si>
  <si>
    <t>链接</t>
  </si>
  <si>
    <t>应付总额</t>
  </si>
  <si>
    <t>已付总额</t>
  </si>
  <si>
    <t>剩余未付总额</t>
  </si>
  <si>
    <t>德安养老中心</t>
  </si>
  <si>
    <t>科创中心</t>
  </si>
  <si>
    <t>九安架空层</t>
  </si>
  <si>
    <t>数字产业园</t>
  </si>
  <si>
    <t>抚州1号楼</t>
  </si>
  <si>
    <t>抚州8号楼</t>
  </si>
  <si>
    <t>抚州2号楼</t>
  </si>
  <si>
    <t>邹桥派出所</t>
  </si>
  <si>
    <t>隆世光伏</t>
  </si>
  <si>
    <t>合计：</t>
  </si>
  <si>
    <t>老叶应付账款明细表</t>
  </si>
  <si>
    <t>日期</t>
  </si>
  <si>
    <t>项目名称</t>
  </si>
  <si>
    <t>应付金额</t>
  </si>
  <si>
    <t>已付金额</t>
  </si>
  <si>
    <t>付款日期</t>
  </si>
  <si>
    <t>付款账户</t>
  </si>
  <si>
    <t>收款账户</t>
  </si>
  <si>
    <t>已开票金额</t>
  </si>
  <si>
    <t>税率</t>
  </si>
  <si>
    <t>税额</t>
  </si>
  <si>
    <t>备注2</t>
  </si>
  <si>
    <t>九江银行</t>
  </si>
  <si>
    <t>九江恩旗暖通设备有限公司</t>
  </si>
  <si>
    <t>吉易通</t>
  </si>
  <si>
    <t>江西佩力通风设备有限公司</t>
  </si>
  <si>
    <t>于月财</t>
  </si>
  <si>
    <t>潘希火</t>
  </si>
  <si>
    <t>农业银行</t>
  </si>
  <si>
    <t>江西拓齐钢铁有限公司</t>
  </si>
  <si>
    <t>聂辉微信</t>
  </si>
  <si>
    <t>叶平</t>
  </si>
  <si>
    <t>王伟微信</t>
  </si>
  <si>
    <t>平安保险公司</t>
  </si>
  <si>
    <t>代付保险费</t>
  </si>
  <si>
    <t>吴群分包应付账款明细</t>
  </si>
  <si>
    <t>吴群</t>
  </si>
  <si>
    <t>向勇</t>
  </si>
  <si>
    <t>代发工资</t>
  </si>
  <si>
    <t>吴聪应付账款明细</t>
  </si>
  <si>
    <t>吴聪</t>
  </si>
  <si>
    <t>开票日期</t>
  </si>
  <si>
    <t>朱模明</t>
  </si>
  <si>
    <t>余乃年</t>
  </si>
  <si>
    <t>刘元龙</t>
  </si>
  <si>
    <t>曹桂兰</t>
  </si>
  <si>
    <t>桑昌勇</t>
  </si>
  <si>
    <t>李年付</t>
  </si>
  <si>
    <t>周玉兴</t>
  </si>
  <si>
    <t>孔凯</t>
  </si>
  <si>
    <t>孔祥生</t>
  </si>
  <si>
    <t>张滨代付租赁费</t>
  </si>
  <si>
    <t>筑强</t>
  </si>
  <si>
    <t>共安门业应付账款明细</t>
  </si>
  <si>
    <t>江西共安门业有限公司</t>
  </si>
  <si>
    <t>徐礼华</t>
  </si>
  <si>
    <t>高改兰</t>
  </si>
  <si>
    <t>黄健全</t>
  </si>
  <si>
    <t>中国农业银行</t>
  </si>
  <si>
    <t>图揽，成善应付账款明细</t>
  </si>
  <si>
    <t>江西成善科技有限公司</t>
  </si>
  <si>
    <t>江西图揽金属科技有限公司</t>
  </si>
  <si>
    <t>开票未付</t>
  </si>
  <si>
    <t>熊丽燕</t>
  </si>
  <si>
    <t>江西东端暖通设备有限公司</t>
  </si>
  <si>
    <t>张小朋</t>
  </si>
  <si>
    <t>张滨垫付</t>
  </si>
  <si>
    <t>向大友</t>
  </si>
  <si>
    <t>谭晓华</t>
  </si>
  <si>
    <t>江跃飞</t>
  </si>
  <si>
    <t>孔令红</t>
  </si>
  <si>
    <t>刘亚林</t>
  </si>
  <si>
    <t>徐怀生</t>
  </si>
  <si>
    <t>龚文坚</t>
  </si>
  <si>
    <t>邹阳</t>
  </si>
  <si>
    <t>邹陆艳</t>
  </si>
  <si>
    <t>罗来彬</t>
  </si>
  <si>
    <t>罗腾</t>
  </si>
  <si>
    <t>毛伟</t>
  </si>
  <si>
    <t>陈亚平</t>
  </si>
  <si>
    <t>金胜华</t>
  </si>
  <si>
    <t>张先峰</t>
  </si>
  <si>
    <t>龚长英</t>
  </si>
  <si>
    <t>张彭生</t>
  </si>
  <si>
    <t>金善洪</t>
  </si>
  <si>
    <t>罗峰</t>
  </si>
  <si>
    <t>邹满清</t>
  </si>
  <si>
    <t>金芳雷</t>
  </si>
  <si>
    <t>胡志鹏</t>
  </si>
  <si>
    <t>刘志华</t>
  </si>
  <si>
    <t>付春平</t>
  </si>
  <si>
    <t>陈长江</t>
  </si>
  <si>
    <t>农民工专户-代发工资</t>
  </si>
  <si>
    <t>陈常青</t>
  </si>
  <si>
    <t>杨春波</t>
  </si>
  <si>
    <t>汪友明</t>
  </si>
  <si>
    <t>王伟</t>
  </si>
  <si>
    <t>王婉琳</t>
  </si>
  <si>
    <t>金长将</t>
  </si>
  <si>
    <t>消防水池取水口安装</t>
  </si>
  <si>
    <t>挡烟垂壁接电源线</t>
  </si>
  <si>
    <t>王伟微信转账</t>
  </si>
  <si>
    <t>程章赐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</si>
</sst>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0" fillId="8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9" borderId="5">
      <alignment vertical="center"/>
    </xf>
    <xf numFmtId="0" fontId="15" fillId="10" borderId="6">
      <alignment vertical="center"/>
    </xf>
    <xf numFmtId="0" fontId="16" fillId="10" borderId="5">
      <alignment vertical="center"/>
    </xf>
    <xf numFmtId="0" fontId="17" fillId="11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2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  <xf numFmtId="0" fontId="25" fillId="0" borderId="0"/>
    <xf numFmtId="0" fontId="26" fillId="0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77" fontId="0" fillId="0" borderId="0" xfId="0" applyNumberFormat="1" applyAlignment="1">
      <alignment horizontal="centerContinuous" vertical="center"/>
    </xf>
    <xf numFmtId="176" fontId="0" fillId="0" borderId="0" xfId="0" applyNumberFormat="1" applyAlignment="1">
      <alignment horizontal="centerContinuous" vertical="center"/>
    </xf>
    <xf numFmtId="0" fontId="2" fillId="0" borderId="0" xfId="6" applyFont="1">
      <alignment vertical="center"/>
    </xf>
    <xf numFmtId="176" fontId="3" fillId="2" borderId="1" xfId="0" applyNumberFormat="1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177" fontId="3" fillId="2" borderId="1" xfId="0" applyNumberFormat="1" applyFont="1" applyFill="1" applyBorder="1" applyAlignment="1">
      <alignment horizontal="centerContinuous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Continuous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Continuous" vertical="center"/>
    </xf>
    <xf numFmtId="176" fontId="4" fillId="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Continuous" vertical="center"/>
    </xf>
    <xf numFmtId="0" fontId="3" fillId="4" borderId="0" xfId="0" applyFont="1" applyFill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177" fontId="0" fillId="6" borderId="1" xfId="0" applyNumberFormat="1" applyFill="1" applyBorder="1" applyAlignment="1">
      <alignment horizontal="center" vertical="center"/>
    </xf>
    <xf numFmtId="177" fontId="0" fillId="7" borderId="1" xfId="0" applyNumberFormat="1" applyFill="1" applyBorder="1" applyAlignment="1">
      <alignment horizontal="center" vertical="center"/>
    </xf>
    <xf numFmtId="0" fontId="7" fillId="0" borderId="1" xfId="6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 4" xfId="5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workbookViewId="0">
      <pane ySplit="4" topLeftCell="A5" activePane="bottomLeft" state="frozen"/>
      <selection/>
      <selection pane="bottomLeft" activeCell="C11" sqref="C11"/>
    </sheetView>
  </sheetViews>
  <sheetFormatPr defaultColWidth="17.275" defaultRowHeight="13.5"/>
  <cols>
    <col min="1" max="1" width="5.725" style="1" customWidth="1"/>
    <col min="2" max="2" width="19.8166666666667" style="1" customWidth="1"/>
    <col min="3" max="3" width="12.275" style="1" customWidth="1"/>
    <col min="4" max="5" width="14.6333333333333" style="1" customWidth="1"/>
    <col min="6" max="6" width="14.275" style="1" customWidth="1"/>
    <col min="7" max="7" width="14.9083333333333" style="1" customWidth="1"/>
    <col min="8" max="8" width="15.3666666666667" style="1" customWidth="1"/>
    <col min="9" max="9" width="13.4583333333333" style="1" customWidth="1"/>
    <col min="10" max="10" width="14.0916666666667" style="1" customWidth="1"/>
    <col min="11" max="11" width="13.0916666666667" style="1" hidden="1" customWidth="1"/>
    <col min="12" max="12" width="13.6333333333333" style="1" customWidth="1"/>
    <col min="13" max="13" width="13" style="1" customWidth="1"/>
    <col min="14" max="16384" width="17.275" style="1" customWidth="1"/>
  </cols>
  <sheetData>
    <row r="1" ht="13" customHeight="1" spans="1:16">
      <c r="A1" s="18"/>
      <c r="B1" s="18"/>
      <c r="C1" s="18"/>
      <c r="D1" s="18"/>
      <c r="E1" s="18"/>
      <c r="F1" s="19"/>
      <c r="G1" s="19"/>
      <c r="H1" s="19"/>
      <c r="I1" s="19"/>
      <c r="J1" s="20"/>
      <c r="K1" s="19"/>
      <c r="L1" s="19"/>
      <c r="M1" s="19"/>
      <c r="N1" s="19"/>
      <c r="O1" s="19"/>
      <c r="P1" s="19"/>
    </row>
    <row r="2" ht="22" customHeight="1" spans="1:16">
      <c r="A2" s="21" t="s">
        <v>0</v>
      </c>
      <c r="B2" s="18"/>
      <c r="C2" s="18"/>
      <c r="D2" s="18"/>
      <c r="E2" s="18"/>
      <c r="F2" s="19" t="s">
        <v>1</v>
      </c>
      <c r="G2" s="22">
        <v>25</v>
      </c>
      <c r="H2" s="19" t="s">
        <v>2</v>
      </c>
      <c r="I2" s="22">
        <v>25</v>
      </c>
      <c r="J2" s="20"/>
      <c r="K2" s="19"/>
      <c r="L2" s="19"/>
      <c r="M2" s="19"/>
      <c r="N2" s="19"/>
      <c r="O2" s="19"/>
      <c r="P2" s="19"/>
    </row>
    <row r="3" ht="15" customHeight="1" spans="1:16">
      <c r="A3" s="23"/>
      <c r="B3" s="23"/>
      <c r="C3" s="23"/>
      <c r="D3" s="23"/>
      <c r="E3" s="23"/>
      <c r="F3" s="24"/>
      <c r="G3" s="24"/>
      <c r="H3" s="24"/>
      <c r="I3" s="24"/>
      <c r="J3" s="25"/>
      <c r="K3" s="24"/>
      <c r="L3" s="24"/>
      <c r="M3" s="24"/>
      <c r="N3" s="24"/>
      <c r="O3" s="24"/>
      <c r="P3" s="19"/>
    </row>
    <row r="4" ht="21" customHeight="1" spans="1:16">
      <c r="A4" s="26" t="s">
        <v>3</v>
      </c>
      <c r="B4" s="26" t="s">
        <v>4</v>
      </c>
      <c r="C4" s="26" t="s">
        <v>5</v>
      </c>
      <c r="D4" s="26" t="s">
        <v>6</v>
      </c>
      <c r="E4" s="26" t="s">
        <v>7</v>
      </c>
      <c r="F4" s="26" t="s">
        <v>8</v>
      </c>
      <c r="G4" s="26" t="s">
        <v>9</v>
      </c>
      <c r="H4" s="26" t="s">
        <v>10</v>
      </c>
      <c r="I4" s="26" t="s">
        <v>11</v>
      </c>
      <c r="J4" s="27" t="s">
        <v>12</v>
      </c>
      <c r="K4" s="26"/>
      <c r="L4" s="28" t="s">
        <v>13</v>
      </c>
      <c r="M4" s="28" t="s">
        <v>14</v>
      </c>
      <c r="N4" s="28" t="s">
        <v>15</v>
      </c>
      <c r="O4" s="28" t="s">
        <v>16</v>
      </c>
      <c r="P4" s="28" t="s">
        <v>17</v>
      </c>
    </row>
    <row r="5" ht="19" customHeight="1" spans="1:16">
      <c r="A5" s="13">
        <f>ROW()-4</f>
        <v>1</v>
      </c>
      <c r="B5" s="13" t="str" cm="1">
        <f ca="1" t="array" ref="B5:B21">_wpsfn.SHEETSNAME(,1,1)</f>
        <v>恩旗老叶</v>
      </c>
      <c r="C5" s="29" t="str">
        <f ca="1">HYPERLINK("#"&amp;B5&amp;"!a3","点击跳转")</f>
        <v>点击跳转</v>
      </c>
      <c r="D5" s="30">
        <f ca="1">SUMIFS(INDIRECT($B5&amp;"!C:C"),INDIRECT($B5&amp;"!A:A"),"&gt;="&amp;$G$2,INDIRECT($B5&amp;"!A:A"),"&gt;="&amp;$I$2)</f>
        <v>558437.5</v>
      </c>
      <c r="E5" s="30">
        <f ca="1">SUMIFS(INDIRECT($B5&amp;"!D:D"),INDIRECT($B5&amp;"!A:A"),"&gt;="&amp;$G$2,INDIRECT($B5&amp;"!A:A"),"&gt;="&amp;$I$2)</f>
        <v>558437.5</v>
      </c>
      <c r="F5" s="31">
        <f ca="1">D5-E5</f>
        <v>0</v>
      </c>
      <c r="G5" s="14">
        <f ca="1" t="shared" ref="G5:G10" si="0">SUMIF(INDIRECT($B5&amp;"!B:B"),G$4,INDIRECT($B5&amp;"!C:C"))</f>
        <v>520437.5</v>
      </c>
      <c r="H5" s="14">
        <f ca="1">SUMIF(INDIRECT($B5&amp;"!B:B"),H$4,INDIRECT($B5&amp;"!C:C"))</f>
        <v>0</v>
      </c>
      <c r="I5" s="14">
        <f ca="1" t="shared" ref="I5:P5" si="1">SUMIF(INDIRECT($B5&amp;"!B:B"),I$4,INDIRECT($B5&amp;"!C:C"))</f>
        <v>0</v>
      </c>
      <c r="J5" s="14">
        <f ca="1" t="shared" si="1"/>
        <v>0</v>
      </c>
      <c r="K5" s="14">
        <f ca="1" t="shared" si="1"/>
        <v>0</v>
      </c>
      <c r="L5" s="14">
        <f ca="1" t="shared" si="1"/>
        <v>38000</v>
      </c>
      <c r="M5" s="14">
        <f ca="1" t="shared" si="1"/>
        <v>0</v>
      </c>
      <c r="N5" s="14">
        <f ca="1" t="shared" si="1"/>
        <v>0</v>
      </c>
      <c r="O5" s="14">
        <f ca="1" t="shared" si="1"/>
        <v>0</v>
      </c>
      <c r="P5" s="14">
        <f ca="1" t="shared" si="1"/>
        <v>0</v>
      </c>
    </row>
    <row r="6" ht="19" customHeight="1" spans="1:16">
      <c r="A6" s="13">
        <f t="shared" ref="A6:A15" si="2">ROW()-4</f>
        <v>2</v>
      </c>
      <c r="B6" s="13" t="str">
        <v>吴群</v>
      </c>
      <c r="C6" s="29" t="str">
        <f ca="1" t="shared" ref="C6:C21" si="3">HYPERLINK("#"&amp;B6&amp;"!a3","点击跳转")</f>
        <v>点击跳转</v>
      </c>
      <c r="D6" s="30">
        <f ca="1">SUMIFS(INDIRECT($B6&amp;"!C:C"),INDIRECT($B6&amp;"!A:A"),"&gt;="&amp;$G$2,INDIRECT($B6&amp;"!A:A"),"&gt;="&amp;$I$2)</f>
        <v>78100</v>
      </c>
      <c r="E6" s="30">
        <f ca="1">SUMIFS(INDIRECT($B6&amp;"!D:D"),INDIRECT($B6&amp;"!A:A"),"&gt;="&amp;$G$2,INDIRECT($B6&amp;"!A:A"),"&gt;="&amp;$I$2)</f>
        <v>78100</v>
      </c>
      <c r="F6" s="31">
        <f ca="1" t="shared" ref="F6:F15" si="4">D6-E6</f>
        <v>0</v>
      </c>
      <c r="G6" s="14">
        <f ca="1" t="shared" si="0"/>
        <v>78100</v>
      </c>
      <c r="H6" s="14">
        <f ca="1">SUMIF(INDIRECT($B6&amp;"!B:B"),H$4,INDIRECT($B6&amp;"!C:C"))</f>
        <v>0</v>
      </c>
      <c r="I6" s="14">
        <f ca="1" t="shared" ref="I6:P6" si="5">SUMIF(INDIRECT($B6&amp;"!B:B"),I$4,INDIRECT($B6&amp;"!C:C"))</f>
        <v>0</v>
      </c>
      <c r="J6" s="14">
        <f ca="1" t="shared" si="5"/>
        <v>0</v>
      </c>
      <c r="K6" s="14">
        <f ca="1" t="shared" si="5"/>
        <v>0</v>
      </c>
      <c r="L6" s="14">
        <f ca="1" t="shared" si="5"/>
        <v>0</v>
      </c>
      <c r="M6" s="14">
        <f ca="1" t="shared" si="5"/>
        <v>0</v>
      </c>
      <c r="N6" s="14">
        <f ca="1" t="shared" si="5"/>
        <v>0</v>
      </c>
      <c r="O6" s="14">
        <f ca="1" t="shared" si="5"/>
        <v>0</v>
      </c>
      <c r="P6" s="14">
        <f ca="1" t="shared" si="5"/>
        <v>0</v>
      </c>
    </row>
    <row r="7" ht="19" customHeight="1" spans="1:16">
      <c r="A7" s="13">
        <f t="shared" si="2"/>
        <v>3</v>
      </c>
      <c r="B7" s="13" t="str">
        <v>吴聪</v>
      </c>
      <c r="C7" s="29" t="str">
        <f ca="1" t="shared" si="3"/>
        <v>点击跳转</v>
      </c>
      <c r="D7" s="30">
        <f ca="1">SUMIFS(INDIRECT($B7&amp;"!C:C"),INDIRECT($B7&amp;"!A:A"),"&gt;="&amp;$G$2,INDIRECT($B7&amp;"!A:A"),"&gt;="&amp;$I$2)</f>
        <v>28000</v>
      </c>
      <c r="E7" s="30">
        <f ca="1">SUMIFS(INDIRECT($B7&amp;"!D:D"),INDIRECT($B7&amp;"!A:A"),"&gt;="&amp;$G$2,INDIRECT($B7&amp;"!A:A"),"&gt;="&amp;$I$2)</f>
        <v>28000</v>
      </c>
      <c r="F7" s="31">
        <f ca="1" t="shared" si="4"/>
        <v>0</v>
      </c>
      <c r="G7" s="14">
        <f ca="1" t="shared" si="0"/>
        <v>28000</v>
      </c>
      <c r="H7" s="14">
        <f ca="1">SUMIF(INDIRECT($B7&amp;"!B:B"),H$4,INDIRECT($B7&amp;"!C:C"))</f>
        <v>0</v>
      </c>
      <c r="I7" s="14">
        <f ca="1" t="shared" ref="I7:P7" si="6">SUMIF(INDIRECT($B7&amp;"!B:B"),I$4,INDIRECT($B7&amp;"!C:C"))</f>
        <v>0</v>
      </c>
      <c r="J7" s="14">
        <f ca="1" t="shared" si="6"/>
        <v>0</v>
      </c>
      <c r="K7" s="14">
        <f ca="1" t="shared" si="6"/>
        <v>0</v>
      </c>
      <c r="L7" s="14">
        <f ca="1" t="shared" si="6"/>
        <v>0</v>
      </c>
      <c r="M7" s="14">
        <f ca="1" t="shared" si="6"/>
        <v>0</v>
      </c>
      <c r="N7" s="14">
        <f ca="1" t="shared" si="6"/>
        <v>0</v>
      </c>
      <c r="O7" s="14">
        <f ca="1" t="shared" si="6"/>
        <v>0</v>
      </c>
      <c r="P7" s="14">
        <f ca="1" t="shared" si="6"/>
        <v>0</v>
      </c>
    </row>
    <row r="8" ht="19" customHeight="1" spans="1:16">
      <c r="A8" s="13">
        <f t="shared" si="2"/>
        <v>4</v>
      </c>
      <c r="B8" s="13" t="str">
        <v>九江朱总</v>
      </c>
      <c r="C8" s="29" t="str">
        <f ca="1" t="shared" si="3"/>
        <v>点击跳转</v>
      </c>
      <c r="D8" s="30">
        <f ca="1">SUMIFS(INDIRECT($B8&amp;"!C:C"),INDIRECT($B8&amp;"!A:A"),"&gt;="&amp;$G$2,INDIRECT($B8&amp;"!A:A"),"&gt;="&amp;$I$2)</f>
        <v>55000</v>
      </c>
      <c r="E8" s="30">
        <f ca="1" t="shared" ref="E6:E15" si="7">SUMIFS(INDIRECT($B8&amp;"!D:D"),INDIRECT($B8&amp;"!A:A"),"&gt;="&amp;$G$2,INDIRECT($B8&amp;"!A:A"),"&gt;="&amp;$I$2)</f>
        <v>55400</v>
      </c>
      <c r="F8" s="31">
        <f ca="1" t="shared" si="4"/>
        <v>-400</v>
      </c>
      <c r="G8" s="14">
        <f ca="1" t="shared" ref="G8:G14" si="8">SUMIF(INDIRECT($B8&amp;"!B:B"),G$4,INDIRECT($B8&amp;"!C:C"))</f>
        <v>55000</v>
      </c>
      <c r="H8" s="14">
        <f ca="1" t="shared" ref="H8:H14" si="9">SUMIF(INDIRECT($B8&amp;"!B:B"),H$4,INDIRECT($B8&amp;"!C:C"))</f>
        <v>0</v>
      </c>
      <c r="I8" s="14">
        <f ca="1" t="shared" ref="I8:I14" si="10">SUMIF(INDIRECT($B8&amp;"!B:B"),I$4,INDIRECT($B8&amp;"!C:C"))</f>
        <v>0</v>
      </c>
      <c r="J8" s="14">
        <f ca="1" t="shared" ref="J8:J14" si="11">SUMIF(INDIRECT($B8&amp;"!B:B"),J$4,INDIRECT($B8&amp;"!C:C"))</f>
        <v>0</v>
      </c>
      <c r="K8" s="14">
        <f ca="1" t="shared" ref="K8:K13" si="12">SUMIF(INDIRECT($B8&amp;"!B:B"),K$4,INDIRECT($B8&amp;"!C:C"))</f>
        <v>0</v>
      </c>
      <c r="L8" s="14">
        <f ca="1" t="shared" ref="L8:L14" si="13">SUMIF(INDIRECT($B8&amp;"!B:B"),L$4,INDIRECT($B8&amp;"!C:C"))</f>
        <v>0</v>
      </c>
      <c r="M8" s="14">
        <f ca="1" t="shared" ref="M8:M14" si="14">SUMIF(INDIRECT($B8&amp;"!B:B"),M$4,INDIRECT($B8&amp;"!C:C"))</f>
        <v>0</v>
      </c>
      <c r="N8" s="14">
        <f ca="1" t="shared" ref="N8:N14" si="15">SUMIF(INDIRECT($B8&amp;"!B:B"),N$4,INDIRECT($B8&amp;"!C:C"))</f>
        <v>0</v>
      </c>
      <c r="O8" s="14">
        <f ca="1" t="shared" ref="O8:O14" si="16">SUMIF(INDIRECT($B8&amp;"!B:B"),O$4,INDIRECT($B8&amp;"!C:C"))</f>
        <v>0</v>
      </c>
      <c r="P8" s="14">
        <f ca="1" t="shared" ref="P8:P14" si="17">SUMIF(INDIRECT($B8&amp;"!B:B"),P$4,INDIRECT($B8&amp;"!C:C"))</f>
        <v>0</v>
      </c>
    </row>
    <row r="9" ht="19" customHeight="1" spans="1:16">
      <c r="A9" s="13">
        <f t="shared" si="2"/>
        <v>5</v>
      </c>
      <c r="B9" s="13" t="str">
        <v>共安门业</v>
      </c>
      <c r="C9" s="29" t="str">
        <f ca="1" t="shared" si="3"/>
        <v>点击跳转</v>
      </c>
      <c r="D9" s="30">
        <f ca="1" t="shared" ref="D6:D14" si="18">SUMIFS(INDIRECT($B9&amp;"!C:C"),INDIRECT($B9&amp;"!A:A"),"&gt;="&amp;$G$2,INDIRECT($B9&amp;"!A:A"),"&gt;="&amp;$I$2)</f>
        <v>128922.53</v>
      </c>
      <c r="E9" s="30">
        <f ca="1" t="shared" si="7"/>
        <v>128922</v>
      </c>
      <c r="F9" s="31">
        <f ca="1" t="shared" si="4"/>
        <v>0.529999999998836</v>
      </c>
      <c r="G9" s="14">
        <f ca="1" t="shared" si="8"/>
        <v>101842.53</v>
      </c>
      <c r="H9" s="14">
        <f ca="1" t="shared" si="9"/>
        <v>0</v>
      </c>
      <c r="I9" s="14">
        <f ca="1" t="shared" si="10"/>
        <v>0</v>
      </c>
      <c r="J9" s="14">
        <f ca="1" t="shared" si="11"/>
        <v>0</v>
      </c>
      <c r="K9" s="14">
        <f ca="1" t="shared" si="12"/>
        <v>0</v>
      </c>
      <c r="L9" s="14">
        <f ca="1" t="shared" si="13"/>
        <v>14680</v>
      </c>
      <c r="M9" s="14">
        <f ca="1" t="shared" si="14"/>
        <v>12400</v>
      </c>
      <c r="N9" s="14">
        <f ca="1" t="shared" si="15"/>
        <v>0</v>
      </c>
      <c r="O9" s="14">
        <f ca="1" t="shared" si="16"/>
        <v>0</v>
      </c>
      <c r="P9" s="14">
        <f ca="1" t="shared" si="17"/>
        <v>0</v>
      </c>
    </row>
    <row r="10" ht="19" customHeight="1" spans="1:16">
      <c r="A10" s="13">
        <f t="shared" si="2"/>
        <v>6</v>
      </c>
      <c r="B10" s="13" t="str">
        <v>图揽成善</v>
      </c>
      <c r="C10" s="29" t="str">
        <f ca="1" t="shared" si="3"/>
        <v>点击跳转</v>
      </c>
      <c r="D10" s="30">
        <f ca="1" t="shared" si="18"/>
        <v>155462</v>
      </c>
      <c r="E10" s="30">
        <f ca="1" t="shared" si="7"/>
        <v>101245</v>
      </c>
      <c r="F10" s="31">
        <f ca="1" t="shared" si="4"/>
        <v>54217</v>
      </c>
      <c r="G10" s="14">
        <f ca="1" t="shared" si="8"/>
        <v>120527</v>
      </c>
      <c r="H10" s="14">
        <f ca="1" t="shared" si="9"/>
        <v>0</v>
      </c>
      <c r="I10" s="14">
        <f ca="1" t="shared" si="10"/>
        <v>0</v>
      </c>
      <c r="J10" s="14">
        <f ca="1" t="shared" si="11"/>
        <v>0</v>
      </c>
      <c r="K10" s="14">
        <f ca="1" t="shared" si="12"/>
        <v>0</v>
      </c>
      <c r="L10" s="14">
        <f ca="1" t="shared" si="13"/>
        <v>22812</v>
      </c>
      <c r="M10" s="14">
        <f ca="1" t="shared" si="14"/>
        <v>10855</v>
      </c>
      <c r="N10" s="14">
        <f ca="1" t="shared" si="15"/>
        <v>0</v>
      </c>
      <c r="O10" s="14">
        <f ca="1" t="shared" si="16"/>
        <v>1268</v>
      </c>
      <c r="P10" s="14">
        <f ca="1" t="shared" si="17"/>
        <v>0</v>
      </c>
    </row>
    <row r="11" ht="19" customHeight="1" spans="1:16">
      <c r="A11" s="13">
        <f t="shared" si="2"/>
        <v>7</v>
      </c>
      <c r="B11" s="13" t="str">
        <v>祝冬冬</v>
      </c>
      <c r="C11" s="29" t="str">
        <f ca="1" t="shared" si="3"/>
        <v>点击跳转</v>
      </c>
      <c r="D11" s="30">
        <f ca="1" t="shared" si="18"/>
        <v>140000</v>
      </c>
      <c r="E11" s="30">
        <f ca="1" t="shared" si="7"/>
        <v>132000</v>
      </c>
      <c r="F11" s="31">
        <f ca="1" t="shared" si="4"/>
        <v>8000</v>
      </c>
      <c r="G11" s="14">
        <f ca="1" t="shared" si="8"/>
        <v>0</v>
      </c>
      <c r="H11" s="14">
        <f ca="1" t="shared" si="9"/>
        <v>0</v>
      </c>
      <c r="I11" s="14">
        <f ca="1" t="shared" si="10"/>
        <v>0</v>
      </c>
      <c r="J11" s="14">
        <f ca="1" t="shared" si="11"/>
        <v>0</v>
      </c>
      <c r="K11" s="14">
        <f ca="1" t="shared" si="12"/>
        <v>0</v>
      </c>
      <c r="L11" s="14">
        <f ca="1" t="shared" si="13"/>
        <v>0</v>
      </c>
      <c r="M11" s="14">
        <f ca="1" t="shared" si="14"/>
        <v>140000</v>
      </c>
      <c r="N11" s="14">
        <f ca="1" t="shared" si="15"/>
        <v>0</v>
      </c>
      <c r="O11" s="14">
        <f ca="1" t="shared" si="16"/>
        <v>0</v>
      </c>
      <c r="P11" s="14">
        <f ca="1" t="shared" si="17"/>
        <v>0</v>
      </c>
    </row>
    <row r="12" ht="19" customHeight="1" spans="1:16">
      <c r="A12" s="13">
        <f t="shared" si="2"/>
        <v>8</v>
      </c>
      <c r="B12" s="13" t="str">
        <v>张小朋</v>
      </c>
      <c r="C12" s="29" t="str">
        <f ca="1" t="shared" si="3"/>
        <v>点击跳转</v>
      </c>
      <c r="D12" s="30">
        <f ca="1" t="shared" si="18"/>
        <v>52410</v>
      </c>
      <c r="E12" s="30">
        <f ca="1" t="shared" si="7"/>
        <v>50260</v>
      </c>
      <c r="F12" s="31">
        <f ca="1" t="shared" si="4"/>
        <v>2150</v>
      </c>
      <c r="G12" s="14">
        <f ca="1" t="shared" si="8"/>
        <v>0</v>
      </c>
      <c r="H12" s="14">
        <f ca="1" t="shared" si="9"/>
        <v>0</v>
      </c>
      <c r="I12" s="14">
        <f ca="1" t="shared" si="10"/>
        <v>0</v>
      </c>
      <c r="J12" s="14">
        <f ca="1" t="shared" si="11"/>
        <v>52410</v>
      </c>
      <c r="K12" s="14">
        <f ca="1" t="shared" si="12"/>
        <v>0</v>
      </c>
      <c r="L12" s="14">
        <f ca="1" t="shared" si="13"/>
        <v>0</v>
      </c>
      <c r="M12" s="14">
        <f ca="1" t="shared" si="14"/>
        <v>0</v>
      </c>
      <c r="N12" s="14">
        <f ca="1" t="shared" si="15"/>
        <v>0</v>
      </c>
      <c r="O12" s="14">
        <f ca="1" t="shared" si="16"/>
        <v>0</v>
      </c>
      <c r="P12" s="14">
        <f ca="1" t="shared" si="17"/>
        <v>0</v>
      </c>
    </row>
    <row r="13" ht="19" customHeight="1" spans="1:16">
      <c r="A13" s="13">
        <f t="shared" si="2"/>
        <v>9</v>
      </c>
      <c r="B13" s="13" t="str">
        <v>徐怀生</v>
      </c>
      <c r="C13" s="29" t="str">
        <f ca="1" t="shared" si="3"/>
        <v>点击跳转</v>
      </c>
      <c r="D13" s="30">
        <f ca="1" t="shared" si="18"/>
        <v>35960</v>
      </c>
      <c r="E13" s="30">
        <f ca="1" t="shared" si="7"/>
        <v>35960</v>
      </c>
      <c r="F13" s="31">
        <f ca="1" t="shared" si="4"/>
        <v>0</v>
      </c>
      <c r="G13" s="14">
        <f ca="1" t="shared" si="8"/>
        <v>0</v>
      </c>
      <c r="H13" s="14">
        <f ca="1" t="shared" si="9"/>
        <v>0</v>
      </c>
      <c r="I13" s="14">
        <f ca="1" t="shared" si="10"/>
        <v>35960</v>
      </c>
      <c r="J13" s="14">
        <f ca="1" t="shared" si="11"/>
        <v>0</v>
      </c>
      <c r="K13" s="14">
        <f ca="1" t="shared" si="12"/>
        <v>0</v>
      </c>
      <c r="L13" s="14">
        <f ca="1" t="shared" si="13"/>
        <v>0</v>
      </c>
      <c r="M13" s="14">
        <f ca="1" t="shared" si="14"/>
        <v>0</v>
      </c>
      <c r="N13" s="14">
        <f ca="1" t="shared" si="15"/>
        <v>0</v>
      </c>
      <c r="O13" s="14">
        <f ca="1" t="shared" si="16"/>
        <v>0</v>
      </c>
      <c r="P13" s="14">
        <f ca="1" t="shared" si="17"/>
        <v>0</v>
      </c>
    </row>
    <row r="14" ht="19" customHeight="1" spans="1:16">
      <c r="A14" s="13">
        <f t="shared" si="2"/>
        <v>10</v>
      </c>
      <c r="B14" s="13" t="str">
        <v>龚文坚</v>
      </c>
      <c r="C14" s="29" t="str">
        <f ca="1" t="shared" si="3"/>
        <v>点击跳转</v>
      </c>
      <c r="D14" s="30">
        <f ca="1" t="shared" si="18"/>
        <v>541875</v>
      </c>
      <c r="E14" s="30">
        <f ca="1" t="shared" si="7"/>
        <v>545720</v>
      </c>
      <c r="F14" s="31">
        <f ca="1" t="shared" si="4"/>
        <v>-3845</v>
      </c>
      <c r="G14" s="14">
        <f ca="1" t="shared" si="8"/>
        <v>0</v>
      </c>
      <c r="H14" s="14">
        <f ca="1" t="shared" si="9"/>
        <v>0</v>
      </c>
      <c r="I14" s="14">
        <f ca="1" t="shared" si="10"/>
        <v>0</v>
      </c>
      <c r="J14" s="14">
        <f ca="1" t="shared" si="11"/>
        <v>0</v>
      </c>
      <c r="K14" s="14"/>
      <c r="L14" s="14">
        <f ca="1" t="shared" si="13"/>
        <v>229235</v>
      </c>
      <c r="M14" s="14">
        <f ca="1" t="shared" si="14"/>
        <v>294925</v>
      </c>
      <c r="N14" s="14">
        <f ca="1" t="shared" si="15"/>
        <v>17715</v>
      </c>
      <c r="O14" s="14">
        <f ca="1" t="shared" si="16"/>
        <v>0</v>
      </c>
      <c r="P14" s="14">
        <f ca="1" t="shared" si="17"/>
        <v>0</v>
      </c>
    </row>
    <row r="15" ht="19" customHeight="1" spans="1:16">
      <c r="A15" s="13">
        <f t="shared" si="2"/>
        <v>11</v>
      </c>
      <c r="B15" s="13" t="str">
        <v>程章赐</v>
      </c>
      <c r="C15" s="29" t="str">
        <f ca="1" t="shared" si="3"/>
        <v>点击跳转</v>
      </c>
      <c r="D15" s="30">
        <f ca="1" t="shared" ref="D15:D22" si="19">SUMIFS(INDIRECT($B15&amp;"!C:C"),INDIRECT($B15&amp;"!A:A"),"&gt;="&amp;$G$2,INDIRECT($B15&amp;"!A:A"),"&gt;="&amp;$I$2)</f>
        <v>18000</v>
      </c>
      <c r="E15" s="30">
        <f ca="1" t="shared" si="7"/>
        <v>12000</v>
      </c>
      <c r="F15" s="31">
        <f ca="1" t="shared" si="4"/>
        <v>6000</v>
      </c>
      <c r="G15" s="14"/>
      <c r="H15" s="14"/>
      <c r="I15" s="14"/>
      <c r="J15" s="14"/>
      <c r="K15" s="14"/>
      <c r="L15" s="14"/>
      <c r="M15" s="13"/>
      <c r="N15" s="13"/>
      <c r="O15" s="13"/>
      <c r="P15" s="13"/>
    </row>
    <row r="16" ht="19" customHeight="1" spans="1:16">
      <c r="A16" s="13">
        <f t="shared" ref="A16:A22" si="20">ROW()-4</f>
        <v>12</v>
      </c>
      <c r="B16" s="13" t="str">
        <v>Sheet9</v>
      </c>
      <c r="C16" s="29" t="str">
        <f ca="1" t="shared" si="3"/>
        <v>点击跳转</v>
      </c>
      <c r="D16" s="30">
        <f ca="1" t="shared" si="19"/>
        <v>0</v>
      </c>
      <c r="E16" s="30"/>
      <c r="F16" s="31"/>
      <c r="G16" s="14"/>
      <c r="H16" s="14"/>
      <c r="I16" s="14"/>
      <c r="J16" s="14"/>
      <c r="K16" s="14"/>
      <c r="L16" s="14"/>
      <c r="M16" s="13"/>
      <c r="N16" s="13"/>
      <c r="O16" s="13"/>
      <c r="P16" s="13"/>
    </row>
    <row r="17" ht="19" customHeight="1" spans="1:16">
      <c r="A17" s="13">
        <f t="shared" si="20"/>
        <v>13</v>
      </c>
      <c r="B17" s="13" t="str">
        <v>Sheet1</v>
      </c>
      <c r="C17" s="32" t="str">
        <f ca="1" t="shared" si="3"/>
        <v>点击跳转</v>
      </c>
      <c r="D17" s="30">
        <f ca="1" t="shared" si="19"/>
        <v>0</v>
      </c>
      <c r="E17" s="30"/>
      <c r="F17" s="31"/>
      <c r="G17" s="14"/>
      <c r="H17" s="14"/>
      <c r="I17" s="14"/>
      <c r="J17" s="14"/>
      <c r="K17" s="14"/>
      <c r="L17" s="14"/>
      <c r="M17" s="13"/>
      <c r="N17" s="13"/>
      <c r="O17" s="13"/>
      <c r="P17" s="13"/>
    </row>
    <row r="18" ht="19" customHeight="1" spans="1:16">
      <c r="A18" s="13">
        <f t="shared" si="20"/>
        <v>14</v>
      </c>
      <c r="B18" s="13" t="str">
        <v>Sheet10</v>
      </c>
      <c r="C18" s="32" t="str">
        <f ca="1" t="shared" si="3"/>
        <v>点击跳转</v>
      </c>
      <c r="D18" s="30">
        <f ca="1" t="shared" si="19"/>
        <v>0</v>
      </c>
      <c r="E18" s="30"/>
      <c r="F18" s="31"/>
      <c r="G18" s="14"/>
      <c r="H18" s="14"/>
      <c r="I18" s="14"/>
      <c r="J18" s="14"/>
      <c r="K18" s="14"/>
      <c r="L18" s="14"/>
      <c r="M18" s="13"/>
      <c r="N18" s="13"/>
      <c r="O18" s="13"/>
      <c r="P18" s="13"/>
    </row>
    <row r="19" ht="19" customHeight="1" spans="1:16">
      <c r="A19" s="13">
        <f t="shared" si="20"/>
        <v>15</v>
      </c>
      <c r="B19" s="13" t="str">
        <v>Sheet11</v>
      </c>
      <c r="C19" s="32" t="str">
        <f ca="1" t="shared" si="3"/>
        <v>点击跳转</v>
      </c>
      <c r="D19" s="30">
        <f ca="1" t="shared" si="19"/>
        <v>0</v>
      </c>
      <c r="E19" s="30"/>
      <c r="F19" s="31"/>
      <c r="G19" s="14"/>
      <c r="H19" s="14"/>
      <c r="I19" s="14"/>
      <c r="J19" s="14"/>
      <c r="K19" s="14"/>
      <c r="L19" s="14"/>
      <c r="M19" s="13"/>
      <c r="N19" s="13"/>
      <c r="O19" s="13"/>
      <c r="P19" s="13"/>
    </row>
    <row r="20" ht="19" customHeight="1" spans="1:16">
      <c r="A20" s="13">
        <f t="shared" si="20"/>
        <v>16</v>
      </c>
      <c r="B20" s="13" t="str">
        <v>Sheet12</v>
      </c>
      <c r="C20" s="32" t="str">
        <f ca="1" t="shared" si="3"/>
        <v>点击跳转</v>
      </c>
      <c r="D20" s="30">
        <f ca="1" t="shared" si="19"/>
        <v>0</v>
      </c>
      <c r="E20" s="30"/>
      <c r="F20" s="31"/>
      <c r="G20" s="14"/>
      <c r="H20" s="14"/>
      <c r="I20" s="14"/>
      <c r="J20" s="14"/>
      <c r="K20" s="14"/>
      <c r="L20" s="14"/>
      <c r="M20" s="13"/>
      <c r="N20" s="13"/>
      <c r="O20" s="13"/>
      <c r="P20" s="13"/>
    </row>
    <row r="21" ht="19" customHeight="1" spans="1:16">
      <c r="A21" s="13">
        <f t="shared" si="20"/>
        <v>17</v>
      </c>
      <c r="B21" s="13" t="str">
        <v>Sheet13</v>
      </c>
      <c r="C21" s="32" t="str">
        <f ca="1" t="shared" si="3"/>
        <v>点击跳转</v>
      </c>
      <c r="D21" s="30">
        <f ca="1" t="shared" si="19"/>
        <v>0</v>
      </c>
      <c r="E21" s="30"/>
      <c r="F21" s="31"/>
      <c r="G21" s="14"/>
      <c r="H21" s="14"/>
      <c r="I21" s="14"/>
      <c r="J21" s="14"/>
      <c r="K21" s="14"/>
      <c r="L21" s="14"/>
      <c r="M21" s="13"/>
      <c r="N21" s="13"/>
      <c r="O21" s="13"/>
      <c r="P21" s="13"/>
    </row>
    <row r="22" ht="19" customHeight="1" spans="1:16">
      <c r="A22" s="13"/>
      <c r="B22" s="13"/>
      <c r="C22" s="13" t="s">
        <v>18</v>
      </c>
      <c r="D22" s="30">
        <f ca="1">SUM(D5:INDEX(D:D,ROW()-1))</f>
        <v>1792167.03</v>
      </c>
      <c r="E22" s="30">
        <f ca="1" t="shared" ref="E22:P22" si="21">SUM(E5:INDEX(E:E,ROW()-1))</f>
        <v>1726044.5</v>
      </c>
      <c r="F22" s="30">
        <f ca="1" t="shared" si="21"/>
        <v>66122.53</v>
      </c>
      <c r="G22" s="30">
        <f ca="1" t="shared" si="21"/>
        <v>903907.03</v>
      </c>
      <c r="H22" s="30">
        <f ca="1" t="shared" si="21"/>
        <v>0</v>
      </c>
      <c r="I22" s="30">
        <f ca="1" t="shared" si="21"/>
        <v>35960</v>
      </c>
      <c r="J22" s="30">
        <f ca="1" t="shared" si="21"/>
        <v>52410</v>
      </c>
      <c r="K22" s="30">
        <f ca="1" t="shared" si="21"/>
        <v>0</v>
      </c>
      <c r="L22" s="30">
        <f ca="1" t="shared" si="21"/>
        <v>304727</v>
      </c>
      <c r="M22" s="30">
        <f ca="1" t="shared" si="21"/>
        <v>458180</v>
      </c>
      <c r="N22" s="30">
        <f ca="1" t="shared" si="21"/>
        <v>17715</v>
      </c>
      <c r="O22" s="30">
        <f ca="1" t="shared" si="21"/>
        <v>1268</v>
      </c>
      <c r="P22" s="30">
        <f ca="1" t="shared" si="21"/>
        <v>0</v>
      </c>
    </row>
    <row r="23" spans="1:16">
      <c r="D23" s="3"/>
      <c r="E23" s="3"/>
      <c r="F23" s="3"/>
      <c r="G23" s="3"/>
      <c r="H23" s="3"/>
      <c r="I23" s="3"/>
      <c r="J23" s="3"/>
      <c r="K23" s="3"/>
      <c r="L23" s="3"/>
    </row>
    <row r="24" spans="1:16">
      <c r="D24" s="3"/>
      <c r="E24" s="3"/>
      <c r="F24" s="3"/>
      <c r="G24" s="3"/>
      <c r="H24" s="3"/>
      <c r="I24" s="3"/>
      <c r="J24" s="3"/>
      <c r="K24" s="3"/>
      <c r="L24" s="3"/>
    </row>
    <row r="25" spans="1:16">
      <c r="D25" s="3"/>
      <c r="E25" s="3"/>
      <c r="F25" s="3"/>
      <c r="G25" s="3"/>
      <c r="H25" s="3"/>
      <c r="I25" s="3"/>
      <c r="J25" s="3"/>
      <c r="K25" s="3"/>
      <c r="L25" s="3"/>
    </row>
    <row r="26" spans="1:16">
      <c r="D26" s="3"/>
      <c r="E26" s="3"/>
      <c r="F26" s="3"/>
      <c r="G26" s="3"/>
      <c r="H26" s="3"/>
      <c r="I26" s="3"/>
      <c r="J26" s="3"/>
      <c r="K26" s="3"/>
      <c r="L26" s="3"/>
    </row>
    <row r="27" spans="1:16">
      <c r="D27" s="3"/>
      <c r="E27" s="3"/>
      <c r="F27" s="3"/>
      <c r="G27" s="3"/>
      <c r="H27" s="3"/>
      <c r="I27" s="3"/>
      <c r="J27" s="3"/>
      <c r="K27" s="3"/>
      <c r="L27" s="3"/>
    </row>
    <row r="28" spans="1:16">
      <c r="D28" s="3"/>
      <c r="E28" s="3"/>
      <c r="F28" s="3"/>
      <c r="G28" s="3"/>
      <c r="H28" s="3"/>
      <c r="I28" s="3"/>
      <c r="J28" s="3"/>
      <c r="K28" s="3"/>
      <c r="L28" s="3"/>
    </row>
    <row r="29" spans="1:16">
      <c r="D29" s="3"/>
      <c r="E29" s="3"/>
      <c r="F29" s="3"/>
      <c r="G29" s="3"/>
      <c r="H29" s="3"/>
      <c r="I29" s="3"/>
      <c r="J29" s="3"/>
      <c r="K29" s="3"/>
      <c r="L29" s="3"/>
    </row>
    <row r="30" spans="1:16">
      <c r="D30" s="3"/>
      <c r="E30" s="3"/>
      <c r="F30" s="3"/>
      <c r="G30" s="3"/>
      <c r="H30" s="3"/>
      <c r="I30" s="3"/>
      <c r="J30" s="3"/>
      <c r="K30" s="3"/>
      <c r="L30" s="3"/>
    </row>
    <row r="31" spans="1:16">
      <c r="D31" s="3"/>
      <c r="E31" s="3"/>
      <c r="F31" s="3"/>
      <c r="G31" s="3"/>
      <c r="H31" s="3"/>
      <c r="I31" s="3"/>
      <c r="J31" s="3"/>
      <c r="K31" s="3"/>
      <c r="L31" s="3"/>
    </row>
    <row r="32" spans="1:16">
      <c r="D32" s="3"/>
      <c r="E32" s="3"/>
      <c r="F32" s="3"/>
      <c r="G32" s="3"/>
      <c r="H32" s="3"/>
      <c r="I32" s="3"/>
      <c r="J32" s="3"/>
      <c r="K32" s="3"/>
      <c r="L32" s="3"/>
    </row>
    <row r="33" spans="4:12">
      <c r="D33" s="3"/>
      <c r="E33" s="3"/>
      <c r="F33" s="3"/>
      <c r="G33" s="3"/>
      <c r="H33" s="3"/>
      <c r="I33" s="3"/>
      <c r="J33" s="3"/>
      <c r="K33" s="3"/>
      <c r="L33" s="3"/>
    </row>
    <row r="34" spans="4:12">
      <c r="D34" s="3"/>
      <c r="E34" s="3"/>
      <c r="F34" s="3"/>
      <c r="G34" s="3"/>
      <c r="H34" s="3"/>
      <c r="I34" s="3"/>
      <c r="J34" s="3"/>
      <c r="K34" s="3"/>
      <c r="L34" s="3"/>
    </row>
    <row r="35" spans="4:12">
      <c r="D35" s="3"/>
      <c r="E35" s="3"/>
      <c r="F35" s="3"/>
      <c r="G35" s="3"/>
      <c r="H35" s="3"/>
      <c r="I35" s="3"/>
      <c r="J35" s="3"/>
      <c r="K35" s="3"/>
      <c r="L35" s="3"/>
    </row>
    <row r="36" spans="4:12">
      <c r="D36" s="3"/>
      <c r="E36" s="3"/>
      <c r="F36" s="3"/>
      <c r="G36" s="3"/>
      <c r="H36" s="3"/>
      <c r="I36" s="3"/>
      <c r="J36" s="3"/>
      <c r="K36" s="3"/>
      <c r="L36" s="3"/>
    </row>
    <row r="37" spans="4:12">
      <c r="D37" s="3"/>
      <c r="E37" s="3"/>
      <c r="F37" s="3"/>
      <c r="G37" s="3"/>
      <c r="H37" s="3"/>
      <c r="I37" s="3"/>
      <c r="J37" s="3"/>
      <c r="K37" s="3"/>
      <c r="L37" s="3"/>
    </row>
    <row r="38" spans="4:12">
      <c r="D38" s="3"/>
      <c r="E38" s="3"/>
      <c r="F38" s="3"/>
      <c r="G38" s="3"/>
      <c r="H38" s="3"/>
      <c r="I38" s="3"/>
      <c r="J38" s="3"/>
      <c r="K38" s="3"/>
      <c r="L3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pane ySplit="2" topLeftCell="A3" activePane="bottomLeft" state="frozen"/>
      <selection/>
      <selection pane="bottomLeft" activeCell="H35" sqref="H35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6.6333333333333" style="3" customWidth="1"/>
    <col min="8" max="8" width="14.0916666666667" style="3" customWidth="1"/>
    <col min="9" max="10" width="15.2583333333333" style="3" customWidth="1"/>
    <col min="11" max="12" width="9" style="1"/>
    <col min="13" max="13" width="18.375" style="1" customWidth="1"/>
    <col min="14" max="14" width="13" style="1" customWidth="1"/>
    <col min="15" max="16" width="10.375" style="1"/>
    <col min="17" max="16384" width="9" style="1"/>
  </cols>
  <sheetData>
    <row r="1" ht="31" customHeight="1" spans="1:15">
      <c r="A1" s="4" t="s">
        <v>19</v>
      </c>
      <c r="B1" s="5"/>
      <c r="C1" s="6"/>
      <c r="D1" s="6"/>
      <c r="E1" s="7"/>
      <c r="F1" s="6"/>
      <c r="G1" s="6"/>
      <c r="H1" s="6"/>
      <c r="I1" s="6"/>
      <c r="J1" s="8" t="str">
        <f>HYPERLINK("#总表！A3","返回总表")</f>
        <v>返回总表</v>
      </c>
      <c r="K1" s="5"/>
      <c r="M1" s="1" t="str" cm="1">
        <f t="array" ref="M1:O4">_xlfn.PIVOTBY(_xlfn._TRO_TRAILING(B2:B999),,_xlfn._TRO_TRAILING(C2:D999),_xleta.SUM,3)</f>
        <v>项目名称</v>
      </c>
      <c r="N1" s="1" t="str">
        <v>应付金额</v>
      </c>
      <c r="O1" s="1" t="str">
        <v>已付金额</v>
      </c>
    </row>
    <row r="2" s="1" customFormat="1" customHeight="1" spans="1:15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0" t="s">
        <v>30</v>
      </c>
      <c r="M2" s="1" t="str">
        <v>德安养老中心</v>
      </c>
      <c r="N2" s="1">
        <v>520437.5</v>
      </c>
      <c r="O2" s="1">
        <v>520437.5</v>
      </c>
    </row>
    <row r="3" customHeight="1" spans="1:15">
      <c r="A3" s="12">
        <v>45916</v>
      </c>
      <c r="B3" s="13" t="s">
        <v>9</v>
      </c>
      <c r="C3" s="14">
        <v>10000</v>
      </c>
      <c r="D3" s="14">
        <v>10000</v>
      </c>
      <c r="E3" s="12">
        <v>45916</v>
      </c>
      <c r="F3" s="14" t="s">
        <v>31</v>
      </c>
      <c r="G3" s="14" t="s">
        <v>32</v>
      </c>
      <c r="H3" s="14"/>
      <c r="I3" s="14"/>
      <c r="J3" s="14"/>
      <c r="K3" s="13"/>
      <c r="M3" s="1" t="str">
        <v>抚州1号楼</v>
      </c>
      <c r="N3" s="1">
        <v>38000</v>
      </c>
      <c r="O3" s="1">
        <v>38000</v>
      </c>
    </row>
    <row r="4" customHeight="1" spans="1:15">
      <c r="A4" s="12">
        <v>45947</v>
      </c>
      <c r="B4" s="13" t="s">
        <v>13</v>
      </c>
      <c r="C4" s="14">
        <v>24000</v>
      </c>
      <c r="D4" s="14">
        <v>24000</v>
      </c>
      <c r="E4" s="12">
        <v>45947</v>
      </c>
      <c r="F4" s="14" t="s">
        <v>31</v>
      </c>
      <c r="G4" s="14" t="s">
        <v>33</v>
      </c>
      <c r="H4" s="14"/>
      <c r="I4" s="14"/>
      <c r="J4" s="14"/>
      <c r="K4" s="13"/>
      <c r="M4" s="1" t="str">
        <v>总计</v>
      </c>
      <c r="N4" s="1">
        <v>558437.5</v>
      </c>
      <c r="O4" s="1">
        <v>558437.5</v>
      </c>
    </row>
    <row r="5" customHeight="1" spans="1:15">
      <c r="A5" s="12">
        <v>45955</v>
      </c>
      <c r="B5" s="13" t="s">
        <v>9</v>
      </c>
      <c r="C5" s="14">
        <v>50000</v>
      </c>
      <c r="D5" s="14">
        <v>50000</v>
      </c>
      <c r="E5" s="12">
        <v>45955</v>
      </c>
      <c r="F5" s="14" t="s">
        <v>31</v>
      </c>
      <c r="G5" s="14" t="s">
        <v>32</v>
      </c>
      <c r="H5" s="14"/>
      <c r="I5" s="14"/>
      <c r="J5" s="14"/>
      <c r="K5" s="13"/>
    </row>
    <row r="6" customHeight="1" spans="1:15">
      <c r="A6" s="12">
        <v>45968</v>
      </c>
      <c r="B6" s="13" t="s">
        <v>9</v>
      </c>
      <c r="C6" s="14">
        <v>16000</v>
      </c>
      <c r="D6" s="14">
        <v>16000</v>
      </c>
      <c r="E6" s="12">
        <v>45968</v>
      </c>
      <c r="F6" s="14" t="s">
        <v>31</v>
      </c>
      <c r="G6" s="14" t="s">
        <v>32</v>
      </c>
      <c r="H6" s="14"/>
      <c r="I6" s="14"/>
      <c r="J6" s="14"/>
      <c r="K6" s="13"/>
    </row>
    <row r="7" customHeight="1" spans="1:15">
      <c r="A7" s="12">
        <v>45975</v>
      </c>
      <c r="B7" s="13" t="s">
        <v>9</v>
      </c>
      <c r="C7" s="14">
        <v>30000</v>
      </c>
      <c r="D7" s="14">
        <v>30000</v>
      </c>
      <c r="E7" s="12">
        <v>45975</v>
      </c>
      <c r="F7" s="14" t="s">
        <v>31</v>
      </c>
      <c r="G7" s="14" t="s">
        <v>32</v>
      </c>
      <c r="H7" s="14"/>
      <c r="I7" s="14"/>
      <c r="J7" s="14"/>
      <c r="K7" s="13"/>
    </row>
    <row r="8" customHeight="1" spans="1:15">
      <c r="A8" s="12">
        <v>45996</v>
      </c>
      <c r="B8" s="13" t="s">
        <v>9</v>
      </c>
      <c r="C8" s="14">
        <v>30000</v>
      </c>
      <c r="D8" s="14">
        <v>30000</v>
      </c>
      <c r="E8" s="12">
        <v>45996</v>
      </c>
      <c r="F8" s="14" t="s">
        <v>31</v>
      </c>
      <c r="G8" s="14" t="s">
        <v>32</v>
      </c>
      <c r="H8" s="14"/>
      <c r="I8" s="14"/>
      <c r="J8" s="14"/>
      <c r="K8" s="13"/>
    </row>
    <row r="9" customHeight="1" spans="1:15">
      <c r="A9" s="12">
        <v>46014</v>
      </c>
      <c r="B9" s="13" t="s">
        <v>9</v>
      </c>
      <c r="C9" s="14">
        <v>20000</v>
      </c>
      <c r="D9" s="14">
        <v>20000</v>
      </c>
      <c r="E9" s="12">
        <v>46014</v>
      </c>
      <c r="F9" s="14" t="s">
        <v>31</v>
      </c>
      <c r="G9" s="14" t="s">
        <v>32</v>
      </c>
      <c r="H9" s="14"/>
      <c r="I9" s="14"/>
      <c r="J9" s="14"/>
      <c r="K9" s="13"/>
    </row>
    <row r="10" customHeight="1" spans="1:15">
      <c r="A10" s="12">
        <v>46022</v>
      </c>
      <c r="B10" s="13" t="s">
        <v>9</v>
      </c>
      <c r="C10" s="14">
        <v>40000</v>
      </c>
      <c r="D10" s="14">
        <v>40000</v>
      </c>
      <c r="E10" s="12">
        <v>46022</v>
      </c>
      <c r="F10" s="14" t="s">
        <v>31</v>
      </c>
      <c r="G10" s="14" t="s">
        <v>32</v>
      </c>
      <c r="H10" s="14"/>
      <c r="I10" s="14"/>
      <c r="J10" s="14"/>
      <c r="K10" s="13"/>
    </row>
    <row r="11" customHeight="1" spans="1:15">
      <c r="A11" s="12">
        <v>46036</v>
      </c>
      <c r="B11" s="13" t="s">
        <v>9</v>
      </c>
      <c r="C11" s="14">
        <v>100000</v>
      </c>
      <c r="D11" s="14">
        <v>100000</v>
      </c>
      <c r="E11" s="12">
        <v>46036</v>
      </c>
      <c r="F11" s="14" t="s">
        <v>31</v>
      </c>
      <c r="G11" s="14" t="s">
        <v>32</v>
      </c>
      <c r="H11" s="14"/>
      <c r="I11" s="14"/>
      <c r="J11" s="14"/>
      <c r="K11" s="13"/>
    </row>
    <row r="12" customHeight="1" spans="1:15">
      <c r="A12" s="12">
        <v>46038</v>
      </c>
      <c r="B12" s="13" t="s">
        <v>9</v>
      </c>
      <c r="C12" s="14">
        <v>60000</v>
      </c>
      <c r="D12" s="14">
        <v>60000</v>
      </c>
      <c r="E12" s="12">
        <v>46038</v>
      </c>
      <c r="F12" s="14" t="s">
        <v>31</v>
      </c>
      <c r="G12" s="14" t="s">
        <v>34</v>
      </c>
      <c r="H12" s="14"/>
      <c r="I12" s="14"/>
      <c r="J12" s="14"/>
      <c r="K12" s="13"/>
    </row>
    <row r="13" customHeight="1" spans="1:15">
      <c r="A13" s="12">
        <v>46054</v>
      </c>
      <c r="B13" s="13" t="s">
        <v>13</v>
      </c>
      <c r="C13" s="14">
        <v>6000</v>
      </c>
      <c r="D13" s="14">
        <v>6000</v>
      </c>
      <c r="E13" s="12">
        <v>46054</v>
      </c>
      <c r="F13" s="14" t="s">
        <v>31</v>
      </c>
      <c r="G13" s="14" t="s">
        <v>32</v>
      </c>
      <c r="H13" s="14"/>
      <c r="I13" s="14"/>
      <c r="J13" s="14"/>
      <c r="K13" s="13"/>
    </row>
    <row r="14" customHeight="1" spans="1:15">
      <c r="A14" s="12">
        <v>46058</v>
      </c>
      <c r="B14" s="13" t="s">
        <v>13</v>
      </c>
      <c r="C14" s="14">
        <v>8000</v>
      </c>
      <c r="D14" s="14">
        <v>8000</v>
      </c>
      <c r="E14" s="12">
        <v>46058</v>
      </c>
      <c r="F14" s="14" t="s">
        <v>31</v>
      </c>
      <c r="G14" s="14" t="s">
        <v>32</v>
      </c>
      <c r="H14" s="14"/>
      <c r="I14" s="14"/>
      <c r="J14" s="14"/>
      <c r="K14" s="13"/>
    </row>
    <row r="15" customHeight="1" spans="1:15">
      <c r="A15" s="12">
        <v>46068</v>
      </c>
      <c r="B15" s="13" t="s">
        <v>9</v>
      </c>
      <c r="C15" s="14">
        <v>4950</v>
      </c>
      <c r="D15" s="14">
        <v>4950</v>
      </c>
      <c r="E15" s="12">
        <v>46068</v>
      </c>
      <c r="F15" s="14" t="s">
        <v>31</v>
      </c>
      <c r="G15" s="14" t="s">
        <v>35</v>
      </c>
      <c r="H15" s="14"/>
      <c r="I15" s="14"/>
      <c r="J15" s="14"/>
      <c r="K15" s="13"/>
    </row>
    <row r="16" customHeight="1" spans="1:15">
      <c r="A16" s="12">
        <v>46068</v>
      </c>
      <c r="B16" s="13" t="s">
        <v>9</v>
      </c>
      <c r="C16" s="14">
        <v>5000</v>
      </c>
      <c r="D16" s="14">
        <v>5000</v>
      </c>
      <c r="E16" s="12">
        <v>46068</v>
      </c>
      <c r="F16" s="14" t="s">
        <v>31</v>
      </c>
      <c r="G16" s="14" t="s">
        <v>36</v>
      </c>
      <c r="H16" s="14"/>
      <c r="I16" s="14"/>
      <c r="J16" s="14"/>
      <c r="K16" s="13"/>
    </row>
    <row r="17" customHeight="1" spans="1:11">
      <c r="A17" s="12">
        <v>46092</v>
      </c>
      <c r="B17" s="13" t="s">
        <v>9</v>
      </c>
      <c r="C17" s="14">
        <v>50000</v>
      </c>
      <c r="D17" s="14">
        <v>50000</v>
      </c>
      <c r="E17" s="12">
        <v>46092</v>
      </c>
      <c r="F17" s="14" t="s">
        <v>37</v>
      </c>
      <c r="G17" s="14" t="s">
        <v>38</v>
      </c>
      <c r="H17" s="14"/>
      <c r="I17" s="14"/>
      <c r="J17" s="14"/>
      <c r="K17" s="13"/>
    </row>
    <row r="18" customHeight="1" spans="1:11">
      <c r="A18" s="12">
        <v>46157</v>
      </c>
      <c r="B18" s="13" t="s">
        <v>9</v>
      </c>
      <c r="C18" s="14">
        <v>10000</v>
      </c>
      <c r="D18" s="14">
        <v>10000</v>
      </c>
      <c r="E18" s="12">
        <v>46157</v>
      </c>
      <c r="F18" s="14" t="s">
        <v>31</v>
      </c>
      <c r="G18" s="14" t="s">
        <v>34</v>
      </c>
      <c r="H18" s="14"/>
      <c r="I18" s="14"/>
      <c r="J18" s="14"/>
      <c r="K18" s="13"/>
    </row>
    <row r="19" customHeight="1" spans="1:11">
      <c r="A19" s="12">
        <v>46034</v>
      </c>
      <c r="B19" s="13" t="s">
        <v>9</v>
      </c>
      <c r="C19" s="14">
        <v>2000</v>
      </c>
      <c r="D19" s="14">
        <v>2000</v>
      </c>
      <c r="E19" s="12">
        <v>46034</v>
      </c>
      <c r="F19" s="14" t="s">
        <v>39</v>
      </c>
      <c r="G19" s="14" t="s">
        <v>40</v>
      </c>
      <c r="H19" s="14"/>
      <c r="I19" s="14"/>
      <c r="J19" s="14"/>
      <c r="K19" s="13"/>
    </row>
    <row r="20" customHeight="1" spans="1:11">
      <c r="A20" s="12">
        <v>46035</v>
      </c>
      <c r="B20" s="13" t="s">
        <v>9</v>
      </c>
      <c r="C20" s="14">
        <v>10000</v>
      </c>
      <c r="D20" s="14">
        <v>10000</v>
      </c>
      <c r="E20" s="12">
        <v>46035</v>
      </c>
      <c r="F20" s="14" t="s">
        <v>39</v>
      </c>
      <c r="G20" s="14" t="s">
        <v>40</v>
      </c>
      <c r="H20" s="14"/>
      <c r="I20" s="14"/>
      <c r="J20" s="14"/>
      <c r="K20" s="13"/>
    </row>
    <row r="21" customHeight="1" spans="1:11">
      <c r="A21" s="12">
        <v>46116</v>
      </c>
      <c r="B21" s="13" t="s">
        <v>9</v>
      </c>
      <c r="C21" s="14">
        <v>3000</v>
      </c>
      <c r="D21" s="14">
        <v>3000</v>
      </c>
      <c r="E21" s="12">
        <v>46116</v>
      </c>
      <c r="F21" s="14" t="s">
        <v>39</v>
      </c>
      <c r="G21" s="14" t="s">
        <v>40</v>
      </c>
      <c r="H21" s="14"/>
      <c r="I21" s="14"/>
      <c r="J21" s="14"/>
      <c r="K21" s="13"/>
    </row>
    <row r="22" customHeight="1" spans="1:11">
      <c r="A22" s="12">
        <v>46146</v>
      </c>
      <c r="B22" s="13" t="s">
        <v>9</v>
      </c>
      <c r="C22" s="14">
        <v>5000</v>
      </c>
      <c r="D22" s="14">
        <v>5000</v>
      </c>
      <c r="E22" s="12">
        <v>46146</v>
      </c>
      <c r="F22" s="14" t="s">
        <v>39</v>
      </c>
      <c r="G22" s="14" t="s">
        <v>40</v>
      </c>
      <c r="H22" s="14"/>
      <c r="I22" s="14"/>
      <c r="J22" s="14"/>
      <c r="K22" s="13"/>
    </row>
    <row r="23" customHeight="1" spans="1:11">
      <c r="A23" s="12">
        <v>45845</v>
      </c>
      <c r="B23" s="13" t="s">
        <v>9</v>
      </c>
      <c r="C23" s="14">
        <v>10000</v>
      </c>
      <c r="D23" s="14">
        <v>10000</v>
      </c>
      <c r="E23" s="12">
        <v>45845</v>
      </c>
      <c r="F23" s="14" t="s">
        <v>39</v>
      </c>
      <c r="G23" s="14" t="s">
        <v>40</v>
      </c>
      <c r="H23" s="14"/>
      <c r="I23" s="14"/>
      <c r="J23" s="14"/>
      <c r="K23" s="13"/>
    </row>
    <row r="24" customHeight="1" spans="1:11">
      <c r="A24" s="12">
        <v>45869</v>
      </c>
      <c r="B24" s="13" t="s">
        <v>9</v>
      </c>
      <c r="C24" s="14">
        <v>5000</v>
      </c>
      <c r="D24" s="14">
        <v>5000</v>
      </c>
      <c r="E24" s="12">
        <v>45869</v>
      </c>
      <c r="F24" s="14" t="s">
        <v>39</v>
      </c>
      <c r="G24" s="14" t="s">
        <v>40</v>
      </c>
      <c r="H24" s="14"/>
      <c r="I24" s="14"/>
      <c r="J24" s="14"/>
      <c r="K24" s="13"/>
    </row>
    <row r="25" customHeight="1" spans="1:11">
      <c r="A25" s="12">
        <v>45971</v>
      </c>
      <c r="B25" s="13" t="s">
        <v>9</v>
      </c>
      <c r="C25" s="14">
        <v>5000</v>
      </c>
      <c r="D25" s="14">
        <v>5000</v>
      </c>
      <c r="E25" s="12">
        <v>45971</v>
      </c>
      <c r="F25" s="14" t="s">
        <v>39</v>
      </c>
      <c r="G25" s="14" t="s">
        <v>40</v>
      </c>
      <c r="H25" s="14"/>
      <c r="I25" s="14"/>
      <c r="J25" s="14"/>
      <c r="K25" s="13"/>
    </row>
    <row r="26" customHeight="1" spans="1:11">
      <c r="A26" s="12">
        <v>45990</v>
      </c>
      <c r="B26" s="13" t="s">
        <v>9</v>
      </c>
      <c r="C26" s="14">
        <v>3000</v>
      </c>
      <c r="D26" s="14">
        <v>3000</v>
      </c>
      <c r="E26" s="12">
        <v>45990</v>
      </c>
      <c r="F26" s="14" t="s">
        <v>39</v>
      </c>
      <c r="G26" s="14" t="s">
        <v>40</v>
      </c>
      <c r="H26" s="14"/>
      <c r="I26" s="14"/>
      <c r="J26" s="14"/>
      <c r="K26" s="13"/>
    </row>
    <row r="27" customHeight="1" spans="1:11">
      <c r="A27" s="16">
        <v>45992</v>
      </c>
      <c r="B27" s="13" t="s">
        <v>9</v>
      </c>
      <c r="C27" s="14">
        <v>5000</v>
      </c>
      <c r="D27" s="14">
        <v>5000</v>
      </c>
      <c r="E27" s="12">
        <v>45992</v>
      </c>
      <c r="F27" s="14" t="s">
        <v>39</v>
      </c>
      <c r="G27" s="14" t="s">
        <v>40</v>
      </c>
      <c r="H27" s="14"/>
      <c r="I27" s="14"/>
      <c r="J27" s="14"/>
      <c r="K27" s="13"/>
    </row>
    <row r="28" customHeight="1" spans="1:11">
      <c r="A28" s="12">
        <v>46003</v>
      </c>
      <c r="B28" s="13" t="s">
        <v>9</v>
      </c>
      <c r="C28" s="14">
        <v>8000</v>
      </c>
      <c r="D28" s="14">
        <v>8000</v>
      </c>
      <c r="E28" s="12">
        <v>46003</v>
      </c>
      <c r="F28" s="14" t="s">
        <v>41</v>
      </c>
      <c r="G28" s="14" t="s">
        <v>40</v>
      </c>
      <c r="H28" s="14"/>
      <c r="I28" s="14"/>
      <c r="J28" s="14"/>
      <c r="K28" s="13"/>
    </row>
    <row r="29" customHeight="1" spans="1:11">
      <c r="A29" s="12">
        <v>46020</v>
      </c>
      <c r="B29" s="13" t="s">
        <v>9</v>
      </c>
      <c r="C29" s="14">
        <v>3325</v>
      </c>
      <c r="D29" s="14">
        <v>3325</v>
      </c>
      <c r="E29" s="12">
        <v>46020</v>
      </c>
      <c r="F29" s="14" t="s">
        <v>41</v>
      </c>
      <c r="G29" s="14" t="s">
        <v>40</v>
      </c>
      <c r="H29" s="14"/>
      <c r="I29" s="14"/>
      <c r="J29" s="14"/>
      <c r="K29" s="13"/>
    </row>
    <row r="30" customHeight="1" spans="1:11">
      <c r="A30" s="2">
        <v>46030</v>
      </c>
      <c r="B30" s="13" t="s">
        <v>9</v>
      </c>
      <c r="C30" s="3">
        <v>2000</v>
      </c>
      <c r="D30" s="3">
        <v>2000</v>
      </c>
      <c r="E30" s="2">
        <v>46030</v>
      </c>
      <c r="F30" s="3" t="s">
        <v>41</v>
      </c>
      <c r="G30" s="14" t="s">
        <v>40</v>
      </c>
    </row>
    <row r="31" customHeight="1" spans="1:11">
      <c r="A31" s="2">
        <v>46038</v>
      </c>
      <c r="B31" s="13" t="s">
        <v>9</v>
      </c>
      <c r="C31" s="3">
        <v>200</v>
      </c>
      <c r="D31" s="3">
        <v>200</v>
      </c>
      <c r="E31" s="2">
        <v>46038</v>
      </c>
      <c r="F31" s="3" t="s">
        <v>41</v>
      </c>
      <c r="G31" s="14" t="s">
        <v>40</v>
      </c>
    </row>
    <row r="32" customHeight="1" spans="1:11">
      <c r="A32" s="17">
        <v>46054</v>
      </c>
      <c r="B32" s="13" t="s">
        <v>9</v>
      </c>
      <c r="C32" s="3">
        <v>4000</v>
      </c>
      <c r="D32" s="3">
        <v>4000</v>
      </c>
      <c r="E32" s="2">
        <v>46054</v>
      </c>
      <c r="F32" s="3" t="s">
        <v>41</v>
      </c>
      <c r="G32" s="14" t="s">
        <v>40</v>
      </c>
    </row>
    <row r="33" customHeight="1" spans="1:11">
      <c r="A33" s="2">
        <v>46105</v>
      </c>
      <c r="B33" s="13" t="s">
        <v>9</v>
      </c>
      <c r="C33" s="3">
        <v>5000</v>
      </c>
      <c r="D33" s="3">
        <v>5000</v>
      </c>
      <c r="E33" s="2">
        <v>46105</v>
      </c>
      <c r="F33" s="3" t="s">
        <v>41</v>
      </c>
      <c r="G33" s="14" t="s">
        <v>40</v>
      </c>
    </row>
    <row r="34" customHeight="1" spans="1:11">
      <c r="A34" s="2">
        <v>46113</v>
      </c>
      <c r="B34" s="13" t="s">
        <v>9</v>
      </c>
      <c r="C34" s="3">
        <v>5000</v>
      </c>
      <c r="D34" s="3">
        <v>5000</v>
      </c>
      <c r="E34" s="2">
        <v>46113</v>
      </c>
      <c r="F34" s="3" t="s">
        <v>41</v>
      </c>
      <c r="G34" s="14" t="s">
        <v>40</v>
      </c>
    </row>
    <row r="35" customHeight="1" spans="1:11">
      <c r="A35" s="2">
        <v>46145</v>
      </c>
      <c r="B35" s="13" t="s">
        <v>9</v>
      </c>
      <c r="C35" s="3">
        <v>3000</v>
      </c>
      <c r="D35" s="3">
        <v>3000</v>
      </c>
      <c r="E35" s="2">
        <v>46145</v>
      </c>
      <c r="F35" s="3" t="s">
        <v>41</v>
      </c>
      <c r="G35" s="14" t="s">
        <v>40</v>
      </c>
    </row>
    <row r="36" customHeight="1" spans="1:11">
      <c r="A36" s="17">
        <v>46123</v>
      </c>
      <c r="B36" s="13" t="s">
        <v>9</v>
      </c>
      <c r="C36" s="3">
        <v>2000</v>
      </c>
      <c r="D36" s="3">
        <v>2000</v>
      </c>
      <c r="E36" s="2">
        <v>46123</v>
      </c>
      <c r="F36" s="3" t="s">
        <v>41</v>
      </c>
      <c r="G36" s="14" t="s">
        <v>40</v>
      </c>
    </row>
    <row r="37" customHeight="1" spans="1:11">
      <c r="A37" s="2">
        <v>46039</v>
      </c>
      <c r="B37" s="13" t="s">
        <v>9</v>
      </c>
      <c r="C37" s="3">
        <v>5000</v>
      </c>
      <c r="D37" s="3">
        <v>5000</v>
      </c>
      <c r="E37" s="2">
        <v>46039</v>
      </c>
      <c r="F37" s="3" t="s">
        <v>41</v>
      </c>
      <c r="G37" s="3" t="s">
        <v>35</v>
      </c>
    </row>
    <row r="38" customHeight="1" spans="1:11">
      <c r="A38" s="2">
        <v>46022</v>
      </c>
      <c r="B38" s="13" t="s">
        <v>9</v>
      </c>
      <c r="C38" s="3">
        <v>5000</v>
      </c>
      <c r="D38" s="3">
        <v>5000</v>
      </c>
      <c r="E38" s="2">
        <v>46022</v>
      </c>
      <c r="F38" s="3" t="s">
        <v>41</v>
      </c>
      <c r="G38" s="3" t="s">
        <v>35</v>
      </c>
    </row>
    <row r="39" customHeight="1" spans="1:11">
      <c r="A39" s="2">
        <v>46023</v>
      </c>
      <c r="B39" s="13" t="s">
        <v>9</v>
      </c>
      <c r="C39" s="3">
        <v>3662.5</v>
      </c>
      <c r="D39" s="3">
        <v>3662.5</v>
      </c>
      <c r="E39" s="2">
        <v>46023</v>
      </c>
      <c r="F39" s="3" t="s">
        <v>31</v>
      </c>
      <c r="G39" s="3" t="s">
        <v>42</v>
      </c>
      <c r="K39" s="1" t="s">
        <v>43</v>
      </c>
    </row>
    <row r="40" customHeight="1" spans="1:11">
      <c r="A40" s="2">
        <v>46216</v>
      </c>
      <c r="B40" s="1" t="s">
        <v>9</v>
      </c>
      <c r="C40" s="3">
        <v>300</v>
      </c>
      <c r="D40" s="3">
        <v>300</v>
      </c>
      <c r="E40" s="2">
        <v>46216</v>
      </c>
      <c r="F40" s="3" t="s">
        <v>41</v>
      </c>
      <c r="G40" s="3" t="s">
        <v>40</v>
      </c>
    </row>
  </sheetData>
  <conditionalFormatting sqref="J1">
    <cfRule type="expression" dxfId="0" priority="2">
      <formula>$A2&lt;&gt;""</formula>
    </cfRule>
    <cfRule type="expression" dxfId="0" priority="1">
      <formula>$A1&lt;&gt;""</formula>
    </cfRule>
  </conditionalFormatting>
  <conditionalFormatting sqref="M10">
    <cfRule type="expression" dxfId="0" priority="6">
      <formula>$A3&lt;&gt;""</formula>
    </cfRule>
  </conditionalFormatting>
  <conditionalFormatting sqref="A1048576:K1048576">
    <cfRule type="expression" dxfId="0" priority="7">
      <formula>$A1048576&lt;&gt;""</formula>
    </cfRule>
    <cfRule type="expression" dxfId="0" priority="8">
      <formula>$A1&lt;&gt;""</formula>
    </cfRule>
  </conditionalFormatting>
  <conditionalFormatting sqref="A1:I1 K1 A2:K1048575">
    <cfRule type="expression" dxfId="0" priority="3">
      <formula>$A1&lt;&gt;""</formula>
    </cfRule>
    <cfRule type="expression" dxfId="0" priority="5">
      <formula>$A2&lt;&gt;""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workbookViewId="0">
      <selection activeCell="C3" sqref="C3:C8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8" width="14.0916666666667" style="3" customWidth="1"/>
    <col min="9" max="10" width="15.2583333333333" style="3" customWidth="1"/>
    <col min="11" max="12" width="9" style="1"/>
    <col min="13" max="13" width="18.375" style="1" customWidth="1"/>
    <col min="14" max="14" width="13" style="1" customWidth="1"/>
    <col min="15" max="16" width="10.375" style="1"/>
    <col min="17" max="16384" width="9" style="1"/>
  </cols>
  <sheetData>
    <row r="1" s="1" customFormat="1" ht="31" customHeight="1" spans="1:15">
      <c r="A1" s="4" t="s">
        <v>44</v>
      </c>
      <c r="B1" s="5"/>
      <c r="C1" s="6"/>
      <c r="D1" s="6"/>
      <c r="E1" s="7"/>
      <c r="F1" s="6"/>
      <c r="G1" s="6"/>
      <c r="H1" s="6"/>
      <c r="I1" s="6"/>
      <c r="J1" s="8" t="str">
        <f>HYPERLINK("#总表！A3","返回总表")</f>
        <v>返回总表</v>
      </c>
      <c r="K1" s="5"/>
      <c r="M1" s="1" t="str" cm="1">
        <f t="array" ref="M1:O3">_xlfn.PIVOTBY(_xlfn._TRO_TRAILING(B2:B999),,_xlfn._TRO_TRAILING(C2:D999),_xleta.SUM,3)</f>
        <v>项目名称</v>
      </c>
      <c r="N1" s="1" t="str">
        <v>应付金额</v>
      </c>
      <c r="O1" s="1" t="str">
        <v>已付金额</v>
      </c>
    </row>
    <row r="2" s="1" customFormat="1" customHeight="1" spans="1:15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0" t="s">
        <v>30</v>
      </c>
      <c r="M2" s="1" t="str">
        <v>德安养老中心</v>
      </c>
      <c r="N2" s="1">
        <v>78100</v>
      </c>
      <c r="O2" s="1">
        <v>78100</v>
      </c>
    </row>
    <row r="3" s="1" customFormat="1" customHeight="1" spans="1:15">
      <c r="A3" s="12">
        <v>45990</v>
      </c>
      <c r="B3" s="13" t="s">
        <v>9</v>
      </c>
      <c r="C3" s="14">
        <v>10000</v>
      </c>
      <c r="D3" s="14">
        <v>10000</v>
      </c>
      <c r="E3" s="12">
        <v>45990</v>
      </c>
      <c r="F3" s="14" t="s">
        <v>39</v>
      </c>
      <c r="G3" s="14" t="s">
        <v>45</v>
      </c>
      <c r="H3" s="14"/>
      <c r="I3" s="14"/>
      <c r="J3" s="14"/>
      <c r="K3" s="13"/>
      <c r="M3" s="1" t="str">
        <v>总计</v>
      </c>
      <c r="N3" s="1">
        <v>78100</v>
      </c>
      <c r="O3" s="1">
        <v>78100</v>
      </c>
    </row>
    <row r="4" s="1" customFormat="1" customHeight="1" spans="1:15">
      <c r="A4" s="12">
        <v>46014</v>
      </c>
      <c r="B4" s="13" t="s">
        <v>9</v>
      </c>
      <c r="C4" s="14">
        <v>2100</v>
      </c>
      <c r="D4" s="14">
        <v>2100</v>
      </c>
      <c r="E4" s="12">
        <v>46014</v>
      </c>
      <c r="F4" s="14" t="s">
        <v>39</v>
      </c>
      <c r="G4" s="14" t="s">
        <v>45</v>
      </c>
      <c r="H4" s="14"/>
      <c r="I4" s="14"/>
      <c r="J4" s="14"/>
      <c r="K4" s="13"/>
    </row>
    <row r="5" s="1" customFormat="1" customHeight="1" spans="1:15">
      <c r="A5" s="12">
        <v>45972</v>
      </c>
      <c r="B5" s="13" t="s">
        <v>9</v>
      </c>
      <c r="C5" s="14">
        <v>20000</v>
      </c>
      <c r="D5" s="14">
        <v>20000</v>
      </c>
      <c r="E5" s="12">
        <v>45972</v>
      </c>
      <c r="F5" s="14" t="s">
        <v>31</v>
      </c>
      <c r="G5" s="14" t="s">
        <v>45</v>
      </c>
      <c r="H5" s="14"/>
      <c r="I5" s="14"/>
      <c r="J5" s="14"/>
      <c r="K5" s="13"/>
    </row>
    <row r="6" s="1" customFormat="1" customHeight="1" spans="1:15">
      <c r="A6" s="12">
        <v>46043</v>
      </c>
      <c r="B6" s="13" t="s">
        <v>9</v>
      </c>
      <c r="C6" s="14">
        <v>20000</v>
      </c>
      <c r="D6" s="14">
        <v>20000</v>
      </c>
      <c r="E6" s="12">
        <v>46043</v>
      </c>
      <c r="F6" s="14" t="s">
        <v>31</v>
      </c>
      <c r="G6" s="14" t="s">
        <v>45</v>
      </c>
      <c r="H6" s="14"/>
      <c r="I6" s="14"/>
      <c r="J6" s="14"/>
      <c r="K6" s="13"/>
    </row>
    <row r="7" s="1" customFormat="1" customHeight="1" spans="1:15">
      <c r="A7" s="12">
        <v>46127</v>
      </c>
      <c r="B7" s="13" t="s">
        <v>9</v>
      </c>
      <c r="C7" s="14">
        <v>11000</v>
      </c>
      <c r="D7" s="14">
        <v>11000</v>
      </c>
      <c r="E7" s="12">
        <v>46127</v>
      </c>
      <c r="F7" s="14" t="s">
        <v>31</v>
      </c>
      <c r="G7" s="14" t="s">
        <v>46</v>
      </c>
      <c r="H7" s="14"/>
      <c r="I7" s="14"/>
      <c r="J7" s="14"/>
      <c r="K7" s="13" t="s">
        <v>47</v>
      </c>
    </row>
    <row r="8" s="1" customFormat="1" customHeight="1" spans="1:15">
      <c r="A8" s="12">
        <v>46143</v>
      </c>
      <c r="B8" s="13" t="s">
        <v>9</v>
      </c>
      <c r="C8" s="14">
        <v>15000</v>
      </c>
      <c r="D8" s="14">
        <v>15000</v>
      </c>
      <c r="E8" s="12">
        <v>46143</v>
      </c>
      <c r="F8" s="14" t="s">
        <v>31</v>
      </c>
      <c r="G8" s="14" t="s">
        <v>46</v>
      </c>
      <c r="H8" s="14"/>
      <c r="I8" s="14"/>
      <c r="J8" s="14"/>
      <c r="K8" s="13" t="s">
        <v>47</v>
      </c>
    </row>
    <row r="9" s="1" customFormat="1" customHeight="1" spans="1:15">
      <c r="A9" s="12"/>
      <c r="B9" s="13"/>
      <c r="C9" s="14"/>
      <c r="D9" s="14"/>
      <c r="E9" s="12"/>
      <c r="F9" s="14"/>
      <c r="G9" s="14"/>
      <c r="H9" s="14"/>
      <c r="I9" s="14"/>
      <c r="J9" s="14"/>
      <c r="K9" s="13"/>
    </row>
    <row r="10" s="1" customFormat="1" customHeight="1" spans="1:15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3"/>
    </row>
    <row r="11" s="1" customFormat="1" customHeight="1" spans="1:15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3"/>
    </row>
    <row r="12" s="1" customFormat="1" customHeight="1" spans="1:15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3"/>
    </row>
    <row r="13" s="1" customFormat="1" customHeight="1" spans="1:15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3"/>
    </row>
    <row r="14" s="1" customFormat="1" customHeight="1" spans="1:15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3"/>
    </row>
    <row r="15" s="1" customFormat="1" customHeight="1" spans="1:15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3"/>
    </row>
    <row r="16" s="1" customFormat="1" customHeight="1" spans="1:15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3"/>
    </row>
    <row r="17" s="1" customFormat="1" customHeight="1" spans="1:11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3"/>
    </row>
    <row r="18" s="1" customFormat="1" customHeight="1" spans="1:11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3"/>
    </row>
    <row r="19" s="1" customFormat="1" customHeight="1" spans="1:11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3"/>
    </row>
    <row r="20" s="1" customFormat="1" customHeight="1" spans="1:11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3"/>
    </row>
    <row r="21" s="1" customFormat="1" customHeight="1" spans="1:11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3"/>
    </row>
    <row r="22" s="1" customFormat="1" customHeight="1" spans="1:11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3"/>
    </row>
    <row r="23" s="1" customFormat="1" customHeight="1" spans="1:11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3"/>
    </row>
    <row r="24" s="1" customFormat="1" customHeight="1" spans="1:11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3"/>
    </row>
    <row r="25" s="1" customFormat="1" customHeight="1" spans="1:11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3"/>
    </row>
    <row r="26" s="1" customFormat="1" customHeight="1" spans="1:11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3"/>
    </row>
    <row r="27" s="1" customFormat="1" customHeight="1" spans="1:11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3"/>
    </row>
    <row r="28" s="1" customFormat="1" customHeight="1" spans="1:11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3"/>
    </row>
    <row r="29" s="1" customFormat="1" customHeight="1" spans="1:11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3"/>
    </row>
    <row r="30" s="1" customFormat="1" customHeight="1" spans="1:11">
      <c r="A30" s="2"/>
      <c r="B30" s="1"/>
      <c r="C30" s="3"/>
      <c r="D30" s="3"/>
      <c r="E30" s="2"/>
      <c r="F30" s="3"/>
      <c r="G30" s="3"/>
      <c r="H30" s="3"/>
      <c r="I30" s="3"/>
      <c r="J30" s="3"/>
    </row>
    <row r="31" s="1" customFormat="1" customHeight="1" spans="1:11">
      <c r="A31" s="2"/>
      <c r="B31" s="1"/>
      <c r="C31" s="3"/>
      <c r="D31" s="3"/>
      <c r="E31" s="2"/>
      <c r="F31" s="3"/>
      <c r="G31" s="3"/>
      <c r="H31" s="3"/>
      <c r="I31" s="3"/>
      <c r="J31" s="3"/>
    </row>
    <row r="32" s="1" customFormat="1" customHeight="1" spans="1:11">
      <c r="A32" s="2"/>
      <c r="B32" s="1"/>
      <c r="C32" s="3"/>
      <c r="D32" s="3"/>
      <c r="E32" s="2"/>
      <c r="F32" s="3"/>
      <c r="G32" s="3"/>
      <c r="H32" s="3"/>
      <c r="I32" s="3"/>
      <c r="J32" s="3"/>
    </row>
    <row r="33" s="1" customFormat="1" customHeight="1" spans="1:10">
      <c r="A33" s="2"/>
      <c r="B33" s="1"/>
      <c r="C33" s="3"/>
      <c r="D33" s="3"/>
      <c r="E33" s="2"/>
      <c r="F33" s="3"/>
      <c r="G33" s="3"/>
      <c r="H33" s="3"/>
      <c r="I33" s="3"/>
      <c r="J33" s="3"/>
    </row>
    <row r="34" s="1" customFormat="1" customHeight="1" spans="1:10">
      <c r="A34" s="2"/>
      <c r="B34" s="1"/>
      <c r="C34" s="3"/>
      <c r="D34" s="3"/>
      <c r="E34" s="2"/>
      <c r="F34" s="3"/>
      <c r="G34" s="3"/>
      <c r="H34" s="3"/>
      <c r="I34" s="3"/>
      <c r="J34" s="3"/>
    </row>
    <row r="35" s="1" customFormat="1" customHeight="1" spans="1:10">
      <c r="A35" s="2"/>
      <c r="B35" s="1"/>
      <c r="C35" s="3"/>
      <c r="D35" s="3"/>
      <c r="E35" s="2"/>
      <c r="F35" s="3"/>
      <c r="G35" s="3"/>
      <c r="H35" s="3"/>
      <c r="I35" s="3"/>
      <c r="J35" s="3"/>
    </row>
    <row r="36" s="1" customFormat="1" customHeight="1" spans="1:10">
      <c r="A36" s="2"/>
      <c r="B36" s="1"/>
      <c r="C36" s="3"/>
      <c r="D36" s="3"/>
      <c r="E36" s="2"/>
      <c r="F36" s="3"/>
      <c r="G36" s="3"/>
      <c r="H36" s="3"/>
      <c r="I36" s="3"/>
      <c r="J36" s="3"/>
    </row>
    <row r="37" s="1" customFormat="1" customHeight="1" spans="1:10">
      <c r="A37" s="2"/>
      <c r="B37" s="1"/>
      <c r="C37" s="3"/>
      <c r="D37" s="3"/>
      <c r="E37" s="2"/>
      <c r="F37" s="3"/>
      <c r="G37" s="3"/>
      <c r="H37" s="3"/>
      <c r="I37" s="3"/>
      <c r="J37" s="3"/>
    </row>
    <row r="38" s="1" customFormat="1" customHeight="1" spans="1:10">
      <c r="A38" s="2"/>
      <c r="B38" s="1"/>
      <c r="C38" s="3"/>
      <c r="D38" s="3"/>
      <c r="E38" s="2"/>
      <c r="F38" s="3"/>
      <c r="G38" s="3"/>
      <c r="H38" s="3"/>
      <c r="I38" s="3"/>
      <c r="J38" s="3"/>
    </row>
    <row r="39" s="1" customFormat="1" customHeight="1" spans="1:10">
      <c r="A39" s="2"/>
      <c r="B39" s="1"/>
      <c r="C39" s="3"/>
      <c r="D39" s="3"/>
      <c r="E39" s="2"/>
      <c r="F39" s="3"/>
      <c r="G39" s="3"/>
      <c r="H39" s="3"/>
      <c r="I39" s="3"/>
      <c r="J39" s="3"/>
    </row>
    <row r="40" s="1" customFormat="1" customHeight="1" spans="1:10">
      <c r="A40" s="2"/>
      <c r="B40" s="1"/>
      <c r="C40" s="3"/>
      <c r="D40" s="3"/>
      <c r="E40" s="2"/>
      <c r="F40" s="3"/>
      <c r="G40" s="3"/>
      <c r="H40" s="3"/>
      <c r="I40" s="3"/>
      <c r="J40" s="3"/>
    </row>
    <row r="41" s="1" customFormat="1" customHeight="1" spans="1:10">
      <c r="A41" s="2"/>
      <c r="B41" s="1"/>
      <c r="C41" s="3"/>
      <c r="D41" s="3"/>
      <c r="E41" s="2"/>
      <c r="F41" s="3"/>
      <c r="G41" s="3"/>
      <c r="H41" s="3"/>
      <c r="I41" s="3"/>
      <c r="J41" s="3"/>
    </row>
    <row r="42" s="1" customFormat="1" customHeight="1" spans="1:10">
      <c r="A42" s="2"/>
      <c r="B42" s="1"/>
      <c r="C42" s="3"/>
      <c r="D42" s="3"/>
      <c r="E42" s="2"/>
      <c r="F42" s="3"/>
      <c r="G42" s="3"/>
      <c r="H42" s="3"/>
      <c r="I42" s="3"/>
      <c r="J42" s="3"/>
    </row>
    <row r="43" s="1" customFormat="1" customHeight="1" spans="1:10">
      <c r="A43" s="2"/>
      <c r="B43" s="1"/>
      <c r="C43" s="3"/>
      <c r="D43" s="3"/>
      <c r="E43" s="2"/>
      <c r="F43" s="3"/>
      <c r="G43" s="3"/>
      <c r="H43" s="3"/>
      <c r="I43" s="3"/>
      <c r="J43" s="3"/>
    </row>
    <row r="44" s="1" customFormat="1" customHeight="1" spans="1:10">
      <c r="A44" s="2"/>
      <c r="B44" s="1"/>
      <c r="C44" s="3"/>
      <c r="D44" s="3"/>
      <c r="E44" s="2"/>
      <c r="F44" s="3"/>
      <c r="G44" s="3"/>
      <c r="H44" s="3"/>
      <c r="I44" s="3"/>
      <c r="J44" s="3"/>
    </row>
    <row r="45" s="1" customFormat="1" customHeight="1" spans="1:10">
      <c r="A45" s="2"/>
      <c r="B45" s="1"/>
      <c r="C45" s="3"/>
      <c r="D45" s="3"/>
      <c r="E45" s="2"/>
      <c r="F45" s="3"/>
      <c r="G45" s="3"/>
      <c r="H45" s="3"/>
      <c r="I45" s="3"/>
      <c r="J45" s="3"/>
    </row>
    <row r="46" s="1" customFormat="1" customHeight="1" spans="1:10">
      <c r="A46" s="2"/>
      <c r="B46" s="1"/>
      <c r="C46" s="3"/>
      <c r="D46" s="3"/>
      <c r="E46" s="2"/>
      <c r="F46" s="3"/>
      <c r="G46" s="3"/>
      <c r="H46" s="3"/>
      <c r="I46" s="3"/>
      <c r="J46" s="3"/>
    </row>
    <row r="47" s="1" customFormat="1" customHeight="1" spans="1:10">
      <c r="A47" s="2"/>
      <c r="B47" s="1"/>
      <c r="C47" s="3"/>
      <c r="D47" s="3"/>
      <c r="E47" s="2"/>
      <c r="F47" s="3"/>
      <c r="G47" s="3"/>
      <c r="H47" s="3"/>
      <c r="I47" s="3"/>
      <c r="J47" s="3"/>
    </row>
    <row r="48" s="1" customFormat="1" customHeight="1" spans="1:10">
      <c r="A48" s="2"/>
      <c r="B48" s="1"/>
      <c r="C48" s="3"/>
      <c r="D48" s="3"/>
      <c r="E48" s="2"/>
      <c r="F48" s="3"/>
      <c r="G48" s="3"/>
      <c r="H48" s="3"/>
      <c r="I48" s="3"/>
      <c r="J48" s="3"/>
    </row>
    <row r="49" s="1" customFormat="1" customHeight="1" spans="1:10">
      <c r="A49" s="2"/>
      <c r="B49" s="1"/>
      <c r="C49" s="3"/>
      <c r="D49" s="3"/>
      <c r="E49" s="2"/>
      <c r="F49" s="3"/>
      <c r="G49" s="3"/>
      <c r="H49" s="3"/>
      <c r="I49" s="3"/>
      <c r="J49" s="3"/>
    </row>
    <row r="50" s="1" customFormat="1" customHeight="1" spans="1:10">
      <c r="A50" s="2"/>
      <c r="B50" s="1"/>
      <c r="C50" s="3"/>
      <c r="D50" s="3"/>
      <c r="E50" s="2"/>
      <c r="F50" s="3"/>
      <c r="G50" s="3"/>
      <c r="H50" s="3"/>
      <c r="I50" s="3"/>
      <c r="J50" s="3"/>
    </row>
    <row r="51" s="1" customFormat="1" customHeight="1" spans="1:10">
      <c r="A51" s="2"/>
      <c r="B51" s="1"/>
      <c r="C51" s="3"/>
      <c r="D51" s="3"/>
      <c r="E51" s="2"/>
      <c r="F51" s="3"/>
      <c r="G51" s="3"/>
      <c r="H51" s="3"/>
      <c r="I51" s="3"/>
      <c r="J51" s="3"/>
    </row>
    <row r="52" s="1" customFormat="1" customHeight="1" spans="1:10">
      <c r="A52" s="2"/>
      <c r="B52" s="1"/>
      <c r="C52" s="3"/>
      <c r="D52" s="3"/>
      <c r="E52" s="2"/>
      <c r="F52" s="3"/>
      <c r="G52" s="3"/>
      <c r="H52" s="3"/>
      <c r="I52" s="3"/>
      <c r="J52" s="3"/>
    </row>
    <row r="53" s="1" customFormat="1" customHeight="1" spans="1:10">
      <c r="A53" s="2"/>
      <c r="B53" s="1"/>
      <c r="C53" s="3"/>
      <c r="D53" s="3"/>
      <c r="E53" s="2"/>
      <c r="F53" s="3"/>
      <c r="G53" s="3"/>
      <c r="H53" s="3"/>
      <c r="I53" s="3"/>
      <c r="J53" s="3"/>
    </row>
    <row r="54" s="1" customFormat="1" customHeight="1" spans="1:10">
      <c r="A54" s="2"/>
      <c r="B54" s="1"/>
      <c r="C54" s="3"/>
      <c r="D54" s="3"/>
      <c r="E54" s="2"/>
      <c r="F54" s="3"/>
      <c r="G54" s="3"/>
      <c r="H54" s="3"/>
      <c r="I54" s="3"/>
      <c r="J54" s="3"/>
    </row>
    <row r="55" s="1" customFormat="1" customHeight="1" spans="1:10">
      <c r="A55" s="2"/>
      <c r="B55" s="1"/>
      <c r="C55" s="3"/>
      <c r="D55" s="3"/>
      <c r="E55" s="2"/>
      <c r="F55" s="3"/>
      <c r="G55" s="3"/>
      <c r="H55" s="3"/>
      <c r="I55" s="3"/>
      <c r="J55" s="3"/>
    </row>
    <row r="56" s="1" customFormat="1" customHeight="1" spans="1:10">
      <c r="A56" s="2"/>
      <c r="B56" s="1"/>
      <c r="C56" s="3"/>
      <c r="D56" s="3"/>
      <c r="E56" s="2"/>
      <c r="F56" s="3"/>
      <c r="G56" s="3"/>
      <c r="H56" s="3"/>
      <c r="I56" s="3"/>
      <c r="J56" s="3"/>
    </row>
    <row r="57" s="1" customFormat="1" customHeight="1" spans="1:10">
      <c r="A57" s="2"/>
      <c r="B57" s="1"/>
      <c r="C57" s="3"/>
      <c r="D57" s="3"/>
      <c r="E57" s="2"/>
      <c r="F57" s="3"/>
      <c r="G57" s="3"/>
      <c r="H57" s="3"/>
      <c r="I57" s="3"/>
      <c r="J57" s="3"/>
    </row>
    <row r="58" s="1" customFormat="1" customHeight="1" spans="1:10">
      <c r="A58" s="2"/>
      <c r="B58" s="1"/>
      <c r="C58" s="3"/>
      <c r="D58" s="3"/>
      <c r="E58" s="2"/>
      <c r="F58" s="3"/>
      <c r="G58" s="3"/>
      <c r="H58" s="3"/>
      <c r="I58" s="3"/>
      <c r="J58" s="3"/>
    </row>
    <row r="59" s="1" customFormat="1" customHeight="1" spans="1:10">
      <c r="A59" s="2"/>
      <c r="B59" s="1"/>
      <c r="C59" s="3"/>
      <c r="D59" s="3"/>
      <c r="E59" s="2"/>
      <c r="F59" s="3"/>
      <c r="G59" s="3"/>
      <c r="H59" s="3"/>
      <c r="I59" s="3"/>
      <c r="J59" s="3"/>
    </row>
    <row r="60" s="1" customFormat="1" customHeight="1" spans="1:10">
      <c r="A60" s="2"/>
      <c r="B60" s="1"/>
      <c r="C60" s="3"/>
      <c r="D60" s="3"/>
      <c r="E60" s="2"/>
      <c r="F60" s="3"/>
      <c r="G60" s="3"/>
      <c r="H60" s="3"/>
      <c r="I60" s="3"/>
      <c r="J60" s="3"/>
    </row>
    <row r="61" s="1" customFormat="1" customHeight="1" spans="1:10">
      <c r="A61" s="2"/>
      <c r="B61" s="1"/>
      <c r="C61" s="3"/>
      <c r="D61" s="3"/>
      <c r="E61" s="2"/>
      <c r="F61" s="3"/>
      <c r="G61" s="3"/>
      <c r="H61" s="3"/>
      <c r="I61" s="3"/>
      <c r="J61" s="3"/>
    </row>
    <row r="62" s="1" customFormat="1" customHeight="1" spans="1:10">
      <c r="A62" s="2"/>
      <c r="B62" s="1"/>
      <c r="C62" s="3"/>
      <c r="D62" s="3"/>
      <c r="E62" s="2"/>
      <c r="F62" s="3"/>
      <c r="G62" s="3"/>
      <c r="H62" s="3"/>
      <c r="I62" s="3"/>
      <c r="J62" s="3"/>
    </row>
    <row r="63" s="1" customFormat="1" customHeight="1" spans="1:10">
      <c r="A63" s="2"/>
      <c r="B63" s="1"/>
      <c r="C63" s="3"/>
      <c r="D63" s="3"/>
      <c r="E63" s="2"/>
      <c r="F63" s="3"/>
      <c r="G63" s="3"/>
      <c r="H63" s="3"/>
      <c r="I63" s="3"/>
      <c r="J63" s="3"/>
    </row>
    <row r="64" s="1" customFormat="1" customHeight="1" spans="1:10">
      <c r="A64" s="2"/>
      <c r="B64" s="1"/>
      <c r="C64" s="3"/>
      <c r="D64" s="3"/>
      <c r="E64" s="2"/>
      <c r="F64" s="3"/>
      <c r="G64" s="3"/>
      <c r="H64" s="3"/>
      <c r="I64" s="3"/>
      <c r="J64" s="3"/>
    </row>
    <row r="65" s="1" customFormat="1" customHeight="1" spans="1:10">
      <c r="A65" s="2"/>
      <c r="B65" s="1"/>
      <c r="C65" s="3"/>
      <c r="D65" s="3"/>
      <c r="E65" s="2"/>
      <c r="F65" s="3"/>
      <c r="G65" s="3"/>
      <c r="H65" s="3"/>
      <c r="I65" s="3"/>
      <c r="J65" s="3"/>
    </row>
    <row r="66" s="1" customFormat="1" customHeight="1" spans="1:10">
      <c r="A66" s="2"/>
      <c r="B66" s="1"/>
      <c r="C66" s="3"/>
      <c r="D66" s="3"/>
      <c r="E66" s="2"/>
      <c r="F66" s="3"/>
      <c r="G66" s="3"/>
      <c r="H66" s="3"/>
      <c r="I66" s="3"/>
      <c r="J66" s="3"/>
    </row>
    <row r="67" s="1" customFormat="1" customHeight="1" spans="1:10">
      <c r="A67" s="2"/>
      <c r="B67" s="1"/>
      <c r="C67" s="3"/>
      <c r="D67" s="3"/>
      <c r="E67" s="2"/>
      <c r="F67" s="3"/>
      <c r="G67" s="3"/>
      <c r="H67" s="3"/>
      <c r="I67" s="3"/>
      <c r="J67" s="3"/>
    </row>
    <row r="68" s="1" customFormat="1" customHeight="1" spans="1:10">
      <c r="A68" s="2"/>
      <c r="B68" s="1"/>
      <c r="C68" s="3"/>
      <c r="D68" s="3"/>
      <c r="E68" s="2"/>
      <c r="F68" s="3"/>
      <c r="G68" s="3"/>
      <c r="H68" s="3"/>
      <c r="I68" s="3"/>
      <c r="J68" s="3"/>
    </row>
    <row r="69" s="1" customFormat="1" customHeight="1" spans="1:10">
      <c r="A69" s="2"/>
      <c r="B69" s="1"/>
      <c r="C69" s="3"/>
      <c r="D69" s="3"/>
      <c r="E69" s="2"/>
      <c r="F69" s="3"/>
      <c r="G69" s="3"/>
      <c r="H69" s="3"/>
      <c r="I69" s="3"/>
      <c r="J69" s="3"/>
    </row>
    <row r="70" s="1" customFormat="1" customHeight="1" spans="1:10">
      <c r="A70" s="2"/>
      <c r="B70" s="1"/>
      <c r="C70" s="3"/>
      <c r="D70" s="3"/>
      <c r="E70" s="2"/>
      <c r="F70" s="3"/>
      <c r="G70" s="3"/>
      <c r="H70" s="3"/>
      <c r="I70" s="3"/>
      <c r="J70" s="3"/>
    </row>
    <row r="71" s="1" customFormat="1" customHeight="1" spans="1:10">
      <c r="A71" s="2"/>
      <c r="B71" s="1"/>
      <c r="C71" s="3"/>
      <c r="D71" s="3"/>
      <c r="E71" s="2"/>
      <c r="F71" s="3"/>
      <c r="G71" s="3"/>
      <c r="H71" s="3"/>
      <c r="I71" s="3"/>
      <c r="J71" s="3"/>
    </row>
    <row r="72" s="1" customFormat="1" customHeight="1" spans="1:10">
      <c r="A72" s="2"/>
      <c r="B72" s="1"/>
      <c r="C72" s="3"/>
      <c r="D72" s="3"/>
      <c r="E72" s="2"/>
      <c r="F72" s="3"/>
      <c r="G72" s="3"/>
      <c r="H72" s="3"/>
      <c r="I72" s="3"/>
      <c r="J72" s="3"/>
    </row>
    <row r="73" s="1" customFormat="1" customHeight="1" spans="1:10">
      <c r="A73" s="2"/>
      <c r="B73" s="1"/>
      <c r="C73" s="3"/>
      <c r="D73" s="3"/>
      <c r="E73" s="2"/>
      <c r="F73" s="3"/>
      <c r="G73" s="3"/>
      <c r="H73" s="3"/>
      <c r="I73" s="3"/>
      <c r="J73" s="3"/>
    </row>
    <row r="74" s="1" customFormat="1" customHeight="1" spans="1:10">
      <c r="A74" s="2"/>
      <c r="B74" s="1"/>
      <c r="C74" s="3"/>
      <c r="D74" s="3"/>
      <c r="E74" s="2"/>
      <c r="F74" s="3"/>
      <c r="G74" s="3"/>
      <c r="H74" s="3"/>
      <c r="I74" s="3"/>
      <c r="J74" s="3"/>
    </row>
    <row r="75" s="1" customFormat="1" customHeight="1" spans="1:10">
      <c r="A75" s="2"/>
      <c r="B75" s="1"/>
      <c r="C75" s="3"/>
      <c r="D75" s="3"/>
      <c r="E75" s="2"/>
      <c r="F75" s="3"/>
      <c r="G75" s="3"/>
      <c r="H75" s="3"/>
      <c r="I75" s="3"/>
      <c r="J75" s="3"/>
    </row>
    <row r="76" s="1" customFormat="1" customHeight="1" spans="1:10">
      <c r="A76" s="2"/>
      <c r="B76" s="1"/>
      <c r="C76" s="3"/>
      <c r="D76" s="3"/>
      <c r="E76" s="2"/>
      <c r="F76" s="3"/>
      <c r="G76" s="3"/>
      <c r="H76" s="3"/>
      <c r="I76" s="3"/>
      <c r="J76" s="3"/>
    </row>
    <row r="77" s="1" customFormat="1" customHeight="1" spans="1:10">
      <c r="A77" s="2"/>
      <c r="B77" s="1"/>
      <c r="C77" s="3"/>
      <c r="D77" s="3"/>
      <c r="E77" s="2"/>
      <c r="F77" s="3"/>
      <c r="G77" s="3"/>
      <c r="H77" s="3"/>
      <c r="I77" s="3"/>
      <c r="J77" s="3"/>
    </row>
    <row r="78" s="1" customFormat="1" customHeight="1" spans="1:10">
      <c r="A78" s="2"/>
      <c r="B78" s="1"/>
      <c r="C78" s="3"/>
      <c r="D78" s="3"/>
      <c r="E78" s="2"/>
      <c r="F78" s="3"/>
      <c r="G78" s="3"/>
      <c r="H78" s="3"/>
      <c r="I78" s="3"/>
      <c r="J78" s="3"/>
    </row>
    <row r="79" s="1" customFormat="1" customHeight="1" spans="1:10">
      <c r="A79" s="2"/>
      <c r="B79" s="1"/>
      <c r="C79" s="3"/>
      <c r="D79" s="3"/>
      <c r="E79" s="2"/>
      <c r="F79" s="3"/>
      <c r="G79" s="3"/>
      <c r="H79" s="3"/>
      <c r="I79" s="3"/>
      <c r="J79" s="3"/>
    </row>
    <row r="80" s="1" customFormat="1" customHeight="1" spans="1:10">
      <c r="A80" s="2"/>
      <c r="B80" s="1"/>
      <c r="C80" s="3"/>
      <c r="D80" s="3"/>
      <c r="E80" s="2"/>
      <c r="F80" s="3"/>
      <c r="G80" s="3"/>
      <c r="H80" s="3"/>
      <c r="I80" s="3"/>
      <c r="J80" s="3"/>
    </row>
    <row r="81" s="1" customFormat="1" customHeight="1" spans="1:10">
      <c r="A81" s="2"/>
      <c r="B81" s="1"/>
      <c r="C81" s="3"/>
      <c r="D81" s="3"/>
      <c r="E81" s="2"/>
      <c r="F81" s="3"/>
      <c r="G81" s="3"/>
      <c r="H81" s="3"/>
      <c r="I81" s="3"/>
      <c r="J81" s="3"/>
    </row>
    <row r="82" s="1" customFormat="1" customHeight="1" spans="1:10">
      <c r="A82" s="2"/>
      <c r="B82" s="1"/>
      <c r="C82" s="3"/>
      <c r="D82" s="3"/>
      <c r="E82" s="2"/>
      <c r="F82" s="3"/>
      <c r="G82" s="3"/>
      <c r="H82" s="3"/>
      <c r="I82" s="3"/>
      <c r="J82" s="3"/>
    </row>
    <row r="83" s="1" customFormat="1" customHeight="1" spans="1:10">
      <c r="A83" s="2"/>
      <c r="B83" s="1"/>
      <c r="C83" s="3"/>
      <c r="D83" s="3"/>
      <c r="E83" s="2"/>
      <c r="F83" s="3"/>
      <c r="G83" s="3"/>
      <c r="H83" s="3"/>
      <c r="I83" s="3"/>
      <c r="J83" s="3"/>
    </row>
    <row r="84" s="1" customFormat="1" customHeight="1" spans="1:10">
      <c r="A84" s="2"/>
      <c r="B84" s="1"/>
      <c r="C84" s="3"/>
      <c r="D84" s="3"/>
      <c r="E84" s="2"/>
      <c r="F84" s="3"/>
      <c r="G84" s="3"/>
      <c r="H84" s="3"/>
      <c r="I84" s="3"/>
      <c r="J84" s="3"/>
    </row>
    <row r="85" s="1" customFormat="1" customHeight="1" spans="1:10">
      <c r="A85" s="2"/>
      <c r="B85" s="1"/>
      <c r="C85" s="3"/>
      <c r="D85" s="3"/>
      <c r="E85" s="2"/>
      <c r="F85" s="3"/>
      <c r="G85" s="3"/>
      <c r="H85" s="3"/>
      <c r="I85" s="3"/>
      <c r="J85" s="3"/>
    </row>
    <row r="86" s="1" customFormat="1" customHeight="1" spans="1:10">
      <c r="A86" s="2"/>
      <c r="B86" s="1"/>
      <c r="C86" s="3"/>
      <c r="D86" s="3"/>
      <c r="E86" s="2"/>
      <c r="F86" s="3"/>
      <c r="G86" s="3"/>
      <c r="H86" s="3"/>
      <c r="I86" s="3"/>
      <c r="J86" s="3"/>
    </row>
    <row r="87" s="1" customFormat="1" customHeight="1" spans="1:10">
      <c r="A87" s="2"/>
      <c r="B87" s="1"/>
      <c r="C87" s="3"/>
      <c r="D87" s="3"/>
      <c r="E87" s="2"/>
      <c r="F87" s="3"/>
      <c r="G87" s="3"/>
      <c r="H87" s="3"/>
      <c r="I87" s="3"/>
      <c r="J87" s="3"/>
    </row>
    <row r="88" s="1" customFormat="1" customHeight="1" spans="1:10">
      <c r="A88" s="2"/>
      <c r="B88" s="1"/>
      <c r="C88" s="3"/>
      <c r="D88" s="3"/>
      <c r="E88" s="2"/>
      <c r="F88" s="3"/>
      <c r="G88" s="3"/>
      <c r="H88" s="3"/>
      <c r="I88" s="3"/>
      <c r="J88" s="3"/>
    </row>
    <row r="89" s="1" customFormat="1" customHeight="1" spans="1:10">
      <c r="A89" s="2"/>
      <c r="B89" s="1"/>
      <c r="C89" s="3"/>
      <c r="D89" s="3"/>
      <c r="E89" s="2"/>
      <c r="F89" s="3"/>
      <c r="G89" s="3"/>
      <c r="H89" s="3"/>
      <c r="I89" s="3"/>
      <c r="J89" s="3"/>
    </row>
    <row r="90" s="1" customFormat="1" customHeight="1" spans="1:10">
      <c r="A90" s="2"/>
      <c r="B90" s="1"/>
      <c r="C90" s="3"/>
      <c r="D90" s="3"/>
      <c r="E90" s="2"/>
      <c r="F90" s="3"/>
      <c r="G90" s="3"/>
      <c r="H90" s="3"/>
      <c r="I90" s="3"/>
      <c r="J90" s="3"/>
    </row>
    <row r="91" s="1" customFormat="1" customHeight="1" spans="1:10">
      <c r="A91" s="2"/>
      <c r="B91" s="1"/>
      <c r="C91" s="3"/>
      <c r="D91" s="3"/>
      <c r="E91" s="2"/>
      <c r="F91" s="3"/>
      <c r="G91" s="3"/>
      <c r="H91" s="3"/>
      <c r="I91" s="3"/>
      <c r="J91" s="3"/>
    </row>
    <row r="92" s="1" customFormat="1" customHeight="1" spans="1:10">
      <c r="A92" s="2"/>
      <c r="B92" s="1"/>
      <c r="C92" s="3"/>
      <c r="D92" s="3"/>
      <c r="E92" s="2"/>
      <c r="F92" s="3"/>
      <c r="G92" s="3"/>
      <c r="H92" s="3"/>
      <c r="I92" s="3"/>
      <c r="J92" s="3"/>
    </row>
    <row r="93" s="1" customFormat="1" customHeight="1" spans="1:10">
      <c r="A93" s="2"/>
      <c r="B93" s="1"/>
      <c r="C93" s="3"/>
      <c r="D93" s="3"/>
      <c r="E93" s="2"/>
      <c r="F93" s="3"/>
      <c r="G93" s="3"/>
      <c r="H93" s="3"/>
      <c r="I93" s="3"/>
      <c r="J93" s="3"/>
    </row>
    <row r="94" s="1" customFormat="1" customHeight="1" spans="1:10">
      <c r="A94" s="2"/>
      <c r="B94" s="1"/>
      <c r="C94" s="3"/>
      <c r="D94" s="3"/>
      <c r="E94" s="2"/>
      <c r="F94" s="3"/>
      <c r="G94" s="3"/>
      <c r="H94" s="3"/>
      <c r="I94" s="3"/>
      <c r="J94" s="3"/>
    </row>
    <row r="95" s="1" customFormat="1" customHeight="1" spans="1:10">
      <c r="A95" s="2"/>
      <c r="B95" s="1"/>
      <c r="C95" s="3"/>
      <c r="D95" s="3"/>
      <c r="E95" s="2"/>
      <c r="F95" s="3"/>
      <c r="G95" s="3"/>
      <c r="H95" s="3"/>
      <c r="I95" s="3"/>
      <c r="J95" s="3"/>
    </row>
    <row r="96" s="1" customFormat="1" customHeight="1" spans="1:10">
      <c r="A96" s="2"/>
      <c r="B96" s="1"/>
      <c r="C96" s="3"/>
      <c r="D96" s="3"/>
      <c r="E96" s="2"/>
      <c r="F96" s="3"/>
      <c r="G96" s="3"/>
      <c r="H96" s="3"/>
      <c r="I96" s="3"/>
      <c r="J96" s="3"/>
    </row>
    <row r="97" s="1" customFormat="1" customHeight="1" spans="1:10">
      <c r="A97" s="2"/>
      <c r="B97" s="1"/>
      <c r="C97" s="3"/>
      <c r="D97" s="3"/>
      <c r="E97" s="2"/>
      <c r="F97" s="3"/>
      <c r="G97" s="3"/>
      <c r="H97" s="3"/>
      <c r="I97" s="3"/>
      <c r="J97" s="3"/>
    </row>
    <row r="98" s="1" customFormat="1" customHeight="1" spans="1:10">
      <c r="A98" s="2"/>
      <c r="B98" s="1"/>
      <c r="C98" s="3"/>
      <c r="D98" s="3"/>
      <c r="E98" s="2"/>
      <c r="F98" s="3"/>
      <c r="G98" s="3"/>
      <c r="H98" s="3"/>
      <c r="I98" s="3"/>
      <c r="J98" s="3"/>
    </row>
    <row r="99" s="1" customFormat="1" customHeight="1" spans="1:10">
      <c r="A99" s="2"/>
      <c r="B99" s="1"/>
      <c r="C99" s="3"/>
      <c r="D99" s="3"/>
      <c r="E99" s="2"/>
      <c r="F99" s="3"/>
      <c r="G99" s="3"/>
      <c r="H99" s="3"/>
      <c r="I99" s="3"/>
      <c r="J99" s="3"/>
    </row>
    <row r="100" s="1" customFormat="1" customHeight="1" spans="1:10">
      <c r="A100" s="2"/>
      <c r="B100" s="1"/>
      <c r="C100" s="3"/>
      <c r="D100" s="3"/>
      <c r="E100" s="2"/>
      <c r="F100" s="3"/>
      <c r="G100" s="3"/>
      <c r="H100" s="3"/>
      <c r="I100" s="3"/>
      <c r="J100" s="3"/>
    </row>
    <row r="101" s="1" customFormat="1" customHeight="1" spans="1:10">
      <c r="A101" s="2"/>
      <c r="B101" s="1"/>
      <c r="C101" s="3"/>
      <c r="D101" s="3"/>
      <c r="E101" s="2"/>
      <c r="F101" s="3"/>
      <c r="G101" s="3"/>
      <c r="H101" s="3"/>
      <c r="I101" s="3"/>
      <c r="J101" s="3"/>
    </row>
    <row r="102" s="1" customFormat="1" customHeight="1" spans="1:10">
      <c r="A102" s="2"/>
      <c r="B102" s="1"/>
      <c r="C102" s="3"/>
      <c r="D102" s="3"/>
      <c r="E102" s="2"/>
      <c r="F102" s="3"/>
      <c r="G102" s="3"/>
      <c r="H102" s="3"/>
      <c r="I102" s="3"/>
      <c r="J102" s="3"/>
    </row>
    <row r="103" s="1" customFormat="1" customHeight="1" spans="1:10">
      <c r="A103" s="2"/>
      <c r="B103" s="1"/>
      <c r="C103" s="3"/>
      <c r="D103" s="3"/>
      <c r="E103" s="2"/>
      <c r="F103" s="3"/>
      <c r="G103" s="3"/>
      <c r="H103" s="3"/>
      <c r="I103" s="3"/>
      <c r="J103" s="3"/>
    </row>
    <row r="104" s="1" customFormat="1" customHeight="1" spans="1:10">
      <c r="A104" s="2"/>
      <c r="B104" s="1"/>
      <c r="C104" s="3"/>
      <c r="D104" s="3"/>
      <c r="E104" s="2"/>
      <c r="F104" s="3"/>
      <c r="G104" s="3"/>
      <c r="H104" s="3"/>
      <c r="I104" s="3"/>
      <c r="J104" s="3"/>
    </row>
    <row r="105" s="1" customFormat="1" customHeight="1" spans="1:10">
      <c r="A105" s="2"/>
      <c r="B105" s="1"/>
      <c r="C105" s="3"/>
      <c r="D105" s="3"/>
      <c r="E105" s="2"/>
      <c r="F105" s="3"/>
      <c r="G105" s="3"/>
      <c r="H105" s="3"/>
      <c r="I105" s="3"/>
      <c r="J105" s="3"/>
    </row>
    <row r="106" s="1" customFormat="1" customHeight="1" spans="1:10">
      <c r="A106" s="2"/>
      <c r="B106" s="1"/>
      <c r="C106" s="3"/>
      <c r="D106" s="3"/>
      <c r="E106" s="2"/>
      <c r="F106" s="3"/>
      <c r="G106" s="3"/>
      <c r="H106" s="3"/>
      <c r="I106" s="3"/>
      <c r="J106" s="3"/>
    </row>
    <row r="107" s="1" customFormat="1" customHeight="1" spans="1:10">
      <c r="A107" s="2"/>
      <c r="B107" s="1"/>
      <c r="C107" s="3"/>
      <c r="D107" s="3"/>
      <c r="E107" s="2"/>
      <c r="F107" s="3"/>
      <c r="G107" s="3"/>
      <c r="H107" s="3"/>
      <c r="I107" s="3"/>
      <c r="J107" s="3"/>
    </row>
    <row r="108" s="1" customFormat="1" customHeight="1" spans="1:10">
      <c r="A108" s="2"/>
      <c r="B108" s="1"/>
      <c r="C108" s="3"/>
      <c r="D108" s="3"/>
      <c r="E108" s="2"/>
      <c r="F108" s="3"/>
      <c r="G108" s="3"/>
      <c r="H108" s="3"/>
      <c r="I108" s="3"/>
      <c r="J108" s="3"/>
    </row>
    <row r="109" s="1" customFormat="1" customHeight="1" spans="1:10">
      <c r="A109" s="2"/>
      <c r="B109" s="1"/>
      <c r="C109" s="3"/>
      <c r="D109" s="3"/>
      <c r="E109" s="2"/>
      <c r="F109" s="3"/>
      <c r="G109" s="3"/>
      <c r="H109" s="3"/>
      <c r="I109" s="3"/>
      <c r="J109" s="3"/>
    </row>
    <row r="110" s="1" customFormat="1" customHeight="1" spans="1:10">
      <c r="A110" s="2"/>
      <c r="B110" s="1"/>
      <c r="C110" s="3"/>
      <c r="D110" s="3"/>
      <c r="E110" s="2"/>
      <c r="F110" s="3"/>
      <c r="G110" s="3"/>
      <c r="H110" s="3"/>
      <c r="I110" s="3"/>
      <c r="J110" s="3"/>
    </row>
    <row r="111" s="1" customFormat="1" customHeight="1" spans="1:10">
      <c r="A111" s="2"/>
      <c r="B111" s="1"/>
      <c r="C111" s="3"/>
      <c r="D111" s="3"/>
      <c r="E111" s="2"/>
      <c r="F111" s="3"/>
      <c r="G111" s="3"/>
      <c r="H111" s="3"/>
      <c r="I111" s="3"/>
      <c r="J111" s="3"/>
    </row>
    <row r="112" s="1" customFormat="1" customHeight="1" spans="1:10">
      <c r="A112" s="2"/>
      <c r="B112" s="1"/>
      <c r="C112" s="3"/>
      <c r="D112" s="3"/>
      <c r="E112" s="2"/>
      <c r="F112" s="3"/>
      <c r="G112" s="3"/>
      <c r="H112" s="3"/>
      <c r="I112" s="3"/>
      <c r="J112" s="3"/>
    </row>
    <row r="113" s="1" customFormat="1" customHeight="1" spans="1:10">
      <c r="A113" s="2"/>
      <c r="B113" s="1"/>
      <c r="C113" s="3"/>
      <c r="D113" s="3"/>
      <c r="E113" s="2"/>
      <c r="F113" s="3"/>
      <c r="G113" s="3"/>
      <c r="H113" s="3"/>
      <c r="I113" s="3"/>
      <c r="J113" s="3"/>
    </row>
    <row r="114" s="1" customFormat="1" customHeight="1" spans="1:10">
      <c r="A114" s="2"/>
      <c r="B114" s="1"/>
      <c r="C114" s="3"/>
      <c r="D114" s="3"/>
      <c r="E114" s="2"/>
      <c r="F114" s="3"/>
      <c r="G114" s="3"/>
      <c r="H114" s="3"/>
      <c r="I114" s="3"/>
      <c r="J114" s="3"/>
    </row>
    <row r="115" s="1" customFormat="1" customHeight="1" spans="1:10">
      <c r="A115" s="2"/>
      <c r="B115" s="1"/>
      <c r="C115" s="3"/>
      <c r="D115" s="3"/>
      <c r="E115" s="2"/>
      <c r="F115" s="3"/>
      <c r="G115" s="3"/>
      <c r="H115" s="3"/>
      <c r="I115" s="3"/>
      <c r="J115" s="3"/>
    </row>
    <row r="116" s="1" customFormat="1" customHeight="1" spans="1:10">
      <c r="A116" s="2"/>
      <c r="B116" s="1"/>
      <c r="C116" s="3"/>
      <c r="D116" s="3"/>
      <c r="E116" s="2"/>
      <c r="F116" s="3"/>
      <c r="G116" s="3"/>
      <c r="H116" s="3"/>
      <c r="I116" s="3"/>
      <c r="J116" s="3"/>
    </row>
    <row r="117" s="1" customFormat="1" customHeight="1" spans="1:10">
      <c r="A117" s="2"/>
      <c r="B117" s="1"/>
      <c r="C117" s="3"/>
      <c r="D117" s="3"/>
      <c r="E117" s="2"/>
      <c r="F117" s="3"/>
      <c r="G117" s="3"/>
      <c r="H117" s="3"/>
      <c r="I117" s="3"/>
      <c r="J117" s="3"/>
    </row>
    <row r="118" s="1" customFormat="1" customHeight="1" spans="1:10">
      <c r="A118" s="2"/>
      <c r="B118" s="1"/>
      <c r="C118" s="3"/>
      <c r="D118" s="3"/>
      <c r="E118" s="2"/>
      <c r="F118" s="3"/>
      <c r="G118" s="3"/>
      <c r="H118" s="3"/>
      <c r="I118" s="3"/>
      <c r="J118" s="3"/>
    </row>
    <row r="119" s="1" customFormat="1" customHeight="1" spans="1:10">
      <c r="A119" s="2"/>
      <c r="B119" s="1"/>
      <c r="C119" s="3"/>
      <c r="D119" s="3"/>
      <c r="E119" s="2"/>
      <c r="F119" s="3"/>
      <c r="G119" s="3"/>
      <c r="H119" s="3"/>
      <c r="I119" s="3"/>
      <c r="J119" s="3"/>
    </row>
    <row r="120" s="1" customFormat="1" customHeight="1" spans="1:10">
      <c r="A120" s="2"/>
      <c r="B120" s="1"/>
      <c r="C120" s="3"/>
      <c r="D120" s="3"/>
      <c r="E120" s="2"/>
      <c r="F120" s="3"/>
      <c r="G120" s="3"/>
      <c r="H120" s="3"/>
      <c r="I120" s="3"/>
      <c r="J120" s="3"/>
    </row>
    <row r="121" s="1" customFormat="1" customHeight="1" spans="1:10">
      <c r="A121" s="2"/>
      <c r="B121" s="1"/>
      <c r="C121" s="3"/>
      <c r="D121" s="3"/>
      <c r="E121" s="2"/>
      <c r="F121" s="3"/>
      <c r="G121" s="3"/>
      <c r="H121" s="3"/>
      <c r="I121" s="3"/>
      <c r="J121" s="3"/>
    </row>
    <row r="122" s="1" customFormat="1" customHeight="1" spans="1:10">
      <c r="A122" s="2"/>
      <c r="B122" s="1"/>
      <c r="C122" s="3"/>
      <c r="D122" s="3"/>
      <c r="E122" s="2"/>
      <c r="F122" s="3"/>
      <c r="G122" s="3"/>
      <c r="H122" s="3"/>
      <c r="I122" s="3"/>
      <c r="J122" s="3"/>
    </row>
    <row r="123" s="1" customFormat="1" customHeight="1" spans="1:10">
      <c r="A123" s="2"/>
      <c r="B123" s="1"/>
      <c r="C123" s="3"/>
      <c r="D123" s="3"/>
      <c r="E123" s="2"/>
      <c r="F123" s="3"/>
      <c r="G123" s="3"/>
      <c r="H123" s="3"/>
      <c r="I123" s="3"/>
      <c r="J123" s="3"/>
    </row>
    <row r="124" s="1" customFormat="1" customHeight="1" spans="1:10">
      <c r="A124" s="2"/>
      <c r="B124" s="1"/>
      <c r="C124" s="3"/>
      <c r="D124" s="3"/>
      <c r="E124" s="2"/>
      <c r="F124" s="3"/>
      <c r="G124" s="3"/>
      <c r="H124" s="3"/>
      <c r="I124" s="3"/>
      <c r="J124" s="3"/>
    </row>
    <row r="125" s="1" customFormat="1" customHeight="1" spans="1:10">
      <c r="A125" s="2"/>
      <c r="B125" s="1"/>
      <c r="C125" s="3"/>
      <c r="D125" s="3"/>
      <c r="E125" s="2"/>
      <c r="F125" s="3"/>
      <c r="G125" s="3"/>
      <c r="H125" s="3"/>
      <c r="I125" s="3"/>
      <c r="J125" s="3"/>
    </row>
    <row r="126" s="1" customFormat="1" customHeight="1" spans="1:10">
      <c r="A126" s="2"/>
      <c r="B126" s="1"/>
      <c r="C126" s="3"/>
      <c r="D126" s="3"/>
      <c r="E126" s="2"/>
      <c r="F126" s="3"/>
      <c r="G126" s="3"/>
      <c r="H126" s="3"/>
      <c r="I126" s="3"/>
      <c r="J126" s="3"/>
    </row>
    <row r="127" s="1" customFormat="1" customHeight="1" spans="1:10">
      <c r="A127" s="2"/>
      <c r="B127" s="1"/>
      <c r="C127" s="3"/>
      <c r="D127" s="3"/>
      <c r="E127" s="2"/>
      <c r="F127" s="3"/>
      <c r="G127" s="3"/>
      <c r="H127" s="3"/>
      <c r="I127" s="3"/>
      <c r="J127" s="3"/>
    </row>
    <row r="128" s="1" customFormat="1" customHeight="1" spans="1:10">
      <c r="A128" s="2"/>
      <c r="B128" s="1"/>
      <c r="C128" s="3"/>
      <c r="D128" s="3"/>
      <c r="E128" s="2"/>
      <c r="F128" s="3"/>
      <c r="G128" s="3"/>
      <c r="H128" s="3"/>
      <c r="I128" s="3"/>
      <c r="J128" s="3"/>
    </row>
    <row r="129" s="1" customFormat="1" customHeight="1" spans="1:10">
      <c r="A129" s="2"/>
      <c r="B129" s="1"/>
      <c r="C129" s="3"/>
      <c r="D129" s="3"/>
      <c r="E129" s="2"/>
      <c r="F129" s="3"/>
      <c r="G129" s="3"/>
      <c r="H129" s="3"/>
      <c r="I129" s="3"/>
      <c r="J129" s="3"/>
    </row>
    <row r="130" s="1" customFormat="1" customHeight="1" spans="1:10">
      <c r="A130" s="2"/>
      <c r="B130" s="1"/>
      <c r="C130" s="3"/>
      <c r="D130" s="3"/>
      <c r="E130" s="2"/>
      <c r="F130" s="3"/>
      <c r="G130" s="3"/>
      <c r="H130" s="3"/>
      <c r="I130" s="3"/>
      <c r="J130" s="3"/>
    </row>
    <row r="131" s="1" customFormat="1" customHeight="1" spans="1:10">
      <c r="A131" s="2"/>
      <c r="B131" s="1"/>
      <c r="C131" s="3"/>
      <c r="D131" s="3"/>
      <c r="E131" s="2"/>
      <c r="F131" s="3"/>
      <c r="G131" s="3"/>
      <c r="H131" s="3"/>
      <c r="I131" s="3"/>
      <c r="J131" s="3"/>
    </row>
    <row r="132" s="1" customFormat="1" customHeight="1" spans="1:10">
      <c r="A132" s="2"/>
      <c r="B132" s="1"/>
      <c r="C132" s="3"/>
      <c r="D132" s="3"/>
      <c r="E132" s="2"/>
      <c r="F132" s="3"/>
      <c r="G132" s="3"/>
      <c r="H132" s="3"/>
      <c r="I132" s="3"/>
      <c r="J132" s="3"/>
    </row>
    <row r="133" s="1" customFormat="1" customHeight="1" spans="1:10">
      <c r="A133" s="2"/>
      <c r="B133" s="1"/>
      <c r="C133" s="3"/>
      <c r="D133" s="3"/>
      <c r="E133" s="2"/>
      <c r="F133" s="3"/>
      <c r="G133" s="3"/>
      <c r="H133" s="3"/>
      <c r="I133" s="3"/>
      <c r="J133" s="3"/>
    </row>
    <row r="134" s="1" customFormat="1" customHeight="1" spans="1:10">
      <c r="A134" s="2"/>
      <c r="B134" s="1"/>
      <c r="C134" s="3"/>
      <c r="D134" s="3"/>
      <c r="E134" s="2"/>
      <c r="F134" s="3"/>
      <c r="G134" s="3"/>
      <c r="H134" s="3"/>
      <c r="I134" s="3"/>
      <c r="J134" s="3"/>
    </row>
    <row r="135" s="1" customFormat="1" customHeight="1" spans="1:10">
      <c r="A135" s="2"/>
      <c r="B135" s="1"/>
      <c r="C135" s="3"/>
      <c r="D135" s="3"/>
      <c r="E135" s="2"/>
      <c r="F135" s="3"/>
      <c r="G135" s="3"/>
      <c r="H135" s="3"/>
      <c r="I135" s="3"/>
      <c r="J135" s="3"/>
    </row>
    <row r="136" s="1" customFormat="1" customHeight="1" spans="1:10">
      <c r="A136" s="2"/>
      <c r="B136" s="1"/>
      <c r="C136" s="3"/>
      <c r="D136" s="3"/>
      <c r="E136" s="2"/>
      <c r="F136" s="3"/>
      <c r="G136" s="3"/>
      <c r="H136" s="3"/>
      <c r="I136" s="3"/>
      <c r="J136" s="3"/>
    </row>
    <row r="137" s="1" customFormat="1" customHeight="1" spans="1:10">
      <c r="A137" s="2"/>
      <c r="B137" s="1"/>
      <c r="C137" s="3"/>
      <c r="D137" s="3"/>
      <c r="E137" s="2"/>
      <c r="F137" s="3"/>
      <c r="G137" s="3"/>
      <c r="H137" s="3"/>
      <c r="I137" s="3"/>
      <c r="J137" s="3"/>
    </row>
    <row r="138" s="1" customFormat="1" customHeight="1" spans="1:10">
      <c r="A138" s="2"/>
      <c r="B138" s="1"/>
      <c r="C138" s="3"/>
      <c r="D138" s="3"/>
      <c r="E138" s="2"/>
      <c r="F138" s="3"/>
      <c r="G138" s="3"/>
      <c r="H138" s="3"/>
      <c r="I138" s="3"/>
      <c r="J138" s="3"/>
    </row>
    <row r="139" s="1" customFormat="1" customHeight="1" spans="1:10">
      <c r="A139" s="2"/>
      <c r="B139" s="1"/>
      <c r="C139" s="3"/>
      <c r="D139" s="3"/>
      <c r="E139" s="2"/>
      <c r="F139" s="3"/>
      <c r="G139" s="3"/>
      <c r="H139" s="3"/>
      <c r="I139" s="3"/>
      <c r="J139" s="3"/>
    </row>
    <row r="140" s="1" customFormat="1" customHeight="1" spans="1:10">
      <c r="A140" s="2"/>
      <c r="B140" s="1"/>
      <c r="C140" s="3"/>
      <c r="D140" s="3"/>
      <c r="E140" s="2"/>
      <c r="F140" s="3"/>
      <c r="G140" s="3"/>
      <c r="H140" s="3"/>
      <c r="I140" s="3"/>
      <c r="J140" s="3"/>
    </row>
    <row r="141" s="1" customFormat="1" customHeight="1" spans="1:10">
      <c r="A141" s="2"/>
      <c r="B141" s="1"/>
      <c r="C141" s="3"/>
      <c r="D141" s="3"/>
      <c r="E141" s="2"/>
      <c r="F141" s="3"/>
      <c r="G141" s="3"/>
      <c r="H141" s="3"/>
      <c r="I141" s="3"/>
      <c r="J141" s="3"/>
    </row>
    <row r="142" s="1" customFormat="1" customHeight="1" spans="1:10">
      <c r="A142" s="2"/>
      <c r="B142" s="1"/>
      <c r="C142" s="3"/>
      <c r="D142" s="3"/>
      <c r="E142" s="2"/>
      <c r="F142" s="3"/>
      <c r="G142" s="3"/>
      <c r="H142" s="3"/>
      <c r="I142" s="3"/>
      <c r="J142" s="3"/>
    </row>
    <row r="143" s="1" customFormat="1" customHeight="1" spans="1:10">
      <c r="A143" s="2"/>
      <c r="B143" s="1"/>
      <c r="C143" s="3"/>
      <c r="D143" s="3"/>
      <c r="E143" s="2"/>
      <c r="F143" s="3"/>
      <c r="G143" s="3"/>
      <c r="H143" s="3"/>
      <c r="I143" s="3"/>
      <c r="J143" s="3"/>
    </row>
    <row r="144" s="1" customFormat="1" customHeight="1" spans="1:10">
      <c r="A144" s="2"/>
      <c r="B144" s="1"/>
      <c r="C144" s="3"/>
      <c r="D144" s="3"/>
      <c r="E144" s="2"/>
      <c r="F144" s="3"/>
      <c r="G144" s="3"/>
      <c r="H144" s="3"/>
      <c r="I144" s="3"/>
      <c r="J144" s="3"/>
    </row>
    <row r="145" s="1" customFormat="1" customHeight="1" spans="1:10">
      <c r="A145" s="2"/>
      <c r="B145" s="1"/>
      <c r="C145" s="3"/>
      <c r="D145" s="3"/>
      <c r="E145" s="2"/>
      <c r="F145" s="3"/>
      <c r="G145" s="3"/>
      <c r="H145" s="3"/>
      <c r="I145" s="3"/>
      <c r="J145" s="3"/>
    </row>
    <row r="146" s="1" customFormat="1" customHeight="1" spans="1:10">
      <c r="A146" s="2"/>
      <c r="B146" s="1"/>
      <c r="C146" s="3"/>
      <c r="D146" s="3"/>
      <c r="E146" s="2"/>
      <c r="F146" s="3"/>
      <c r="G146" s="3"/>
      <c r="H146" s="3"/>
      <c r="I146" s="3"/>
      <c r="J146" s="3"/>
    </row>
    <row r="147" s="1" customFormat="1" customHeight="1" spans="1:10">
      <c r="A147" s="2"/>
      <c r="B147" s="1"/>
      <c r="C147" s="3"/>
      <c r="D147" s="3"/>
      <c r="E147" s="2"/>
      <c r="F147" s="3"/>
      <c r="G147" s="3"/>
      <c r="H147" s="3"/>
      <c r="I147" s="3"/>
      <c r="J147" s="3"/>
    </row>
    <row r="148" s="1" customFormat="1" customHeight="1" spans="1:10">
      <c r="A148" s="2"/>
      <c r="B148" s="1"/>
      <c r="C148" s="3"/>
      <c r="D148" s="3"/>
      <c r="E148" s="2"/>
      <c r="F148" s="3"/>
      <c r="G148" s="3"/>
      <c r="H148" s="3"/>
      <c r="I148" s="3"/>
      <c r="J148" s="3"/>
    </row>
    <row r="149" s="1" customFormat="1" customHeight="1" spans="1:10">
      <c r="A149" s="2"/>
      <c r="B149" s="1"/>
      <c r="C149" s="3"/>
      <c r="D149" s="3"/>
      <c r="E149" s="2"/>
      <c r="F149" s="3"/>
      <c r="G149" s="3"/>
      <c r="H149" s="3"/>
      <c r="I149" s="3"/>
      <c r="J149" s="3"/>
    </row>
    <row r="150" s="1" customFormat="1" customHeight="1" spans="1:10">
      <c r="A150" s="2"/>
      <c r="B150" s="1"/>
      <c r="C150" s="3"/>
      <c r="D150" s="3"/>
      <c r="E150" s="2"/>
      <c r="F150" s="3"/>
      <c r="G150" s="3"/>
      <c r="H150" s="3"/>
      <c r="I150" s="3"/>
      <c r="J150" s="3"/>
    </row>
    <row r="151" s="1" customFormat="1" customHeight="1" spans="1:10">
      <c r="A151" s="2"/>
      <c r="B151" s="1"/>
      <c r="C151" s="3"/>
      <c r="D151" s="3"/>
      <c r="E151" s="2"/>
      <c r="F151" s="3"/>
      <c r="G151" s="3"/>
      <c r="H151" s="3"/>
      <c r="I151" s="3"/>
      <c r="J151" s="3"/>
    </row>
    <row r="152" s="1" customFormat="1" customHeight="1" spans="1:10">
      <c r="A152" s="2"/>
      <c r="B152" s="1"/>
      <c r="C152" s="3"/>
      <c r="D152" s="3"/>
      <c r="E152" s="2"/>
      <c r="F152" s="3"/>
      <c r="G152" s="3"/>
      <c r="H152" s="3"/>
      <c r="I152" s="3"/>
      <c r="J152" s="3"/>
    </row>
    <row r="153" s="1" customFormat="1" customHeight="1" spans="1:10">
      <c r="A153" s="2"/>
      <c r="B153" s="1"/>
      <c r="C153" s="3"/>
      <c r="D153" s="3"/>
      <c r="E153" s="2"/>
      <c r="F153" s="3"/>
      <c r="G153" s="3"/>
      <c r="H153" s="3"/>
      <c r="I153" s="3"/>
      <c r="J153" s="3"/>
    </row>
    <row r="154" s="1" customFormat="1" customHeight="1" spans="1:10">
      <c r="A154" s="2"/>
      <c r="B154" s="1"/>
      <c r="C154" s="3"/>
      <c r="D154" s="3"/>
      <c r="E154" s="2"/>
      <c r="F154" s="3"/>
      <c r="G154" s="3"/>
      <c r="H154" s="3"/>
      <c r="I154" s="3"/>
      <c r="J154" s="3"/>
    </row>
    <row r="155" s="1" customFormat="1" customHeight="1" spans="1:10">
      <c r="A155" s="2"/>
      <c r="B155" s="1"/>
      <c r="C155" s="3"/>
      <c r="D155" s="3"/>
      <c r="E155" s="2"/>
      <c r="F155" s="3"/>
      <c r="G155" s="3"/>
      <c r="H155" s="3"/>
      <c r="I155" s="3"/>
      <c r="J155" s="3"/>
    </row>
    <row r="156" s="1" customFormat="1" customHeight="1" spans="1:10">
      <c r="A156" s="2"/>
      <c r="B156" s="1"/>
      <c r="C156" s="3"/>
      <c r="D156" s="3"/>
      <c r="E156" s="2"/>
      <c r="F156" s="3"/>
      <c r="G156" s="3"/>
      <c r="H156" s="3"/>
      <c r="I156" s="3"/>
      <c r="J156" s="3"/>
    </row>
    <row r="157" s="1" customFormat="1" customHeight="1" spans="1:10">
      <c r="A157" s="2"/>
      <c r="B157" s="1"/>
      <c r="C157" s="3"/>
      <c r="D157" s="3"/>
      <c r="E157" s="2"/>
      <c r="F157" s="3"/>
      <c r="G157" s="3"/>
      <c r="H157" s="3"/>
      <c r="I157" s="3"/>
      <c r="J157" s="3"/>
    </row>
    <row r="158" s="1" customFormat="1" customHeight="1" spans="1:10">
      <c r="A158" s="2"/>
      <c r="B158" s="1"/>
      <c r="C158" s="3"/>
      <c r="D158" s="3"/>
      <c r="E158" s="2"/>
      <c r="F158" s="3"/>
      <c r="G158" s="3"/>
      <c r="H158" s="3"/>
      <c r="I158" s="3"/>
      <c r="J158" s="3"/>
    </row>
    <row r="159" s="1" customFormat="1" customHeight="1" spans="1:10">
      <c r="A159" s="2"/>
      <c r="B159" s="1"/>
      <c r="C159" s="3"/>
      <c r="D159" s="3"/>
      <c r="E159" s="2"/>
      <c r="F159" s="3"/>
      <c r="G159" s="3"/>
      <c r="H159" s="3"/>
      <c r="I159" s="3"/>
      <c r="J159" s="3"/>
    </row>
    <row r="160" s="1" customFormat="1" customHeight="1" spans="1:10">
      <c r="A160" s="2"/>
      <c r="B160" s="1"/>
      <c r="C160" s="3"/>
      <c r="D160" s="3"/>
      <c r="E160" s="2"/>
      <c r="F160" s="3"/>
      <c r="G160" s="3"/>
      <c r="H160" s="3"/>
      <c r="I160" s="3"/>
      <c r="J160" s="3"/>
    </row>
    <row r="161" s="1" customFormat="1" customHeight="1" spans="1:10">
      <c r="A161" s="2"/>
      <c r="B161" s="1"/>
      <c r="C161" s="3"/>
      <c r="D161" s="3"/>
      <c r="E161" s="2"/>
      <c r="F161" s="3"/>
      <c r="G161" s="3"/>
      <c r="H161" s="3"/>
      <c r="I161" s="3"/>
      <c r="J161" s="3"/>
    </row>
    <row r="162" s="1" customFormat="1" customHeight="1" spans="1:10">
      <c r="A162" s="2"/>
      <c r="B162" s="1"/>
      <c r="C162" s="3"/>
      <c r="D162" s="3"/>
      <c r="E162" s="2"/>
      <c r="F162" s="3"/>
      <c r="G162" s="3"/>
      <c r="H162" s="3"/>
      <c r="I162" s="3"/>
      <c r="J162" s="3"/>
    </row>
    <row r="163" s="1" customFormat="1" customHeight="1" spans="1:10">
      <c r="A163" s="2"/>
      <c r="B163" s="1"/>
      <c r="C163" s="3"/>
      <c r="D163" s="3"/>
      <c r="E163" s="2"/>
      <c r="F163" s="3"/>
      <c r="G163" s="3"/>
      <c r="H163" s="3"/>
      <c r="I163" s="3"/>
      <c r="J163" s="3"/>
    </row>
    <row r="164" s="1" customFormat="1" customHeight="1" spans="1:10">
      <c r="A164" s="2"/>
      <c r="B164" s="1"/>
      <c r="C164" s="3"/>
      <c r="D164" s="3"/>
      <c r="E164" s="2"/>
      <c r="F164" s="3"/>
      <c r="G164" s="3"/>
      <c r="H164" s="3"/>
      <c r="I164" s="3"/>
      <c r="J164" s="3"/>
    </row>
    <row r="165" s="1" customFormat="1" customHeight="1" spans="1:10">
      <c r="A165" s="2"/>
      <c r="B165" s="1"/>
      <c r="C165" s="3"/>
      <c r="D165" s="3"/>
      <c r="E165" s="2"/>
      <c r="F165" s="3"/>
      <c r="G165" s="3"/>
      <c r="H165" s="3"/>
      <c r="I165" s="3"/>
      <c r="J165" s="3"/>
    </row>
    <row r="166" s="1" customFormat="1" customHeight="1" spans="1:10">
      <c r="A166" s="2"/>
      <c r="B166" s="1"/>
      <c r="C166" s="3"/>
      <c r="D166" s="3"/>
      <c r="E166" s="2"/>
      <c r="F166" s="3"/>
      <c r="G166" s="3"/>
      <c r="H166" s="3"/>
      <c r="I166" s="3"/>
      <c r="J166" s="3"/>
    </row>
    <row r="167" s="1" customFormat="1" customHeight="1" spans="1:10">
      <c r="A167" s="2"/>
      <c r="B167" s="1"/>
      <c r="C167" s="3"/>
      <c r="D167" s="3"/>
      <c r="E167" s="2"/>
      <c r="F167" s="3"/>
      <c r="G167" s="3"/>
      <c r="H167" s="3"/>
      <c r="I167" s="3"/>
      <c r="J167" s="3"/>
    </row>
    <row r="168" s="1" customFormat="1" customHeight="1" spans="1:10">
      <c r="A168" s="2"/>
      <c r="B168" s="1"/>
      <c r="C168" s="3"/>
      <c r="D168" s="3"/>
      <c r="E168" s="2"/>
      <c r="F168" s="3"/>
      <c r="G168" s="3"/>
      <c r="H168" s="3"/>
      <c r="I168" s="3"/>
      <c r="J168" s="3"/>
    </row>
    <row r="169" s="1" customFormat="1" customHeight="1" spans="1:10">
      <c r="A169" s="2"/>
      <c r="B169" s="1"/>
      <c r="C169" s="3"/>
      <c r="D169" s="3"/>
      <c r="E169" s="2"/>
      <c r="F169" s="3"/>
      <c r="G169" s="3"/>
      <c r="H169" s="3"/>
      <c r="I169" s="3"/>
      <c r="J169" s="3"/>
    </row>
    <row r="170" s="1" customFormat="1" customHeight="1" spans="1:10">
      <c r="A170" s="2"/>
      <c r="B170" s="1"/>
      <c r="C170" s="3"/>
      <c r="D170" s="3"/>
      <c r="E170" s="2"/>
      <c r="F170" s="3"/>
      <c r="G170" s="3"/>
      <c r="H170" s="3"/>
      <c r="I170" s="3"/>
      <c r="J170" s="3"/>
    </row>
    <row r="171" s="1" customFormat="1" customHeight="1" spans="1:10">
      <c r="A171" s="2"/>
      <c r="B171" s="1"/>
      <c r="C171" s="3"/>
      <c r="D171" s="3"/>
      <c r="E171" s="2"/>
      <c r="F171" s="3"/>
      <c r="G171" s="3"/>
      <c r="H171" s="3"/>
      <c r="I171" s="3"/>
      <c r="J171" s="3"/>
    </row>
    <row r="172" s="1" customFormat="1" customHeight="1" spans="1:10">
      <c r="A172" s="2"/>
      <c r="B172" s="1"/>
      <c r="C172" s="3"/>
      <c r="D172" s="3"/>
      <c r="E172" s="2"/>
      <c r="F172" s="3"/>
      <c r="G172" s="3"/>
      <c r="H172" s="3"/>
      <c r="I172" s="3"/>
      <c r="J172" s="3"/>
    </row>
    <row r="173" s="1" customFormat="1" customHeight="1" spans="1:10">
      <c r="A173" s="2"/>
      <c r="B173" s="1"/>
      <c r="C173" s="3"/>
      <c r="D173" s="3"/>
      <c r="E173" s="2"/>
      <c r="F173" s="3"/>
      <c r="G173" s="3"/>
      <c r="H173" s="3"/>
      <c r="I173" s="3"/>
      <c r="J173" s="3"/>
    </row>
    <row r="174" s="1" customFormat="1" customHeight="1" spans="1:10">
      <c r="A174" s="2"/>
      <c r="B174" s="1"/>
      <c r="C174" s="3"/>
      <c r="D174" s="3"/>
      <c r="E174" s="2"/>
      <c r="F174" s="3"/>
      <c r="G174" s="3"/>
      <c r="H174" s="3"/>
      <c r="I174" s="3"/>
      <c r="J174" s="3"/>
    </row>
    <row r="175" s="1" customFormat="1" customHeight="1" spans="1:10">
      <c r="A175" s="2"/>
      <c r="B175" s="1"/>
      <c r="C175" s="3"/>
      <c r="D175" s="3"/>
      <c r="E175" s="2"/>
      <c r="F175" s="3"/>
      <c r="G175" s="3"/>
      <c r="H175" s="3"/>
      <c r="I175" s="3"/>
      <c r="J175" s="3"/>
    </row>
    <row r="176" s="1" customFormat="1" customHeight="1" spans="1:10">
      <c r="A176" s="2"/>
      <c r="B176" s="1"/>
      <c r="C176" s="3"/>
      <c r="D176" s="3"/>
      <c r="E176" s="2"/>
      <c r="F176" s="3"/>
      <c r="G176" s="3"/>
      <c r="H176" s="3"/>
      <c r="I176" s="3"/>
      <c r="J176" s="3"/>
    </row>
    <row r="177" s="1" customFormat="1" customHeight="1" spans="1:10">
      <c r="A177" s="2"/>
      <c r="B177" s="1"/>
      <c r="C177" s="3"/>
      <c r="D177" s="3"/>
      <c r="E177" s="2"/>
      <c r="F177" s="3"/>
      <c r="G177" s="3"/>
      <c r="H177" s="3"/>
      <c r="I177" s="3"/>
      <c r="J177" s="3"/>
    </row>
    <row r="178" s="1" customFormat="1" customHeight="1" spans="1:10">
      <c r="A178" s="2"/>
      <c r="B178" s="1"/>
      <c r="C178" s="3"/>
      <c r="D178" s="3"/>
      <c r="E178" s="2"/>
      <c r="F178" s="3"/>
      <c r="G178" s="3"/>
      <c r="H178" s="3"/>
      <c r="I178" s="3"/>
      <c r="J178" s="3"/>
    </row>
    <row r="179" s="1" customFormat="1" customHeight="1" spans="1:10">
      <c r="A179" s="2"/>
      <c r="B179" s="1"/>
      <c r="C179" s="3"/>
      <c r="D179" s="3"/>
      <c r="E179" s="2"/>
      <c r="F179" s="3"/>
      <c r="G179" s="3"/>
      <c r="H179" s="3"/>
      <c r="I179" s="3"/>
      <c r="J179" s="3"/>
    </row>
    <row r="180" s="1" customFormat="1" customHeight="1" spans="1:10">
      <c r="A180" s="2"/>
      <c r="B180" s="1"/>
      <c r="C180" s="3"/>
      <c r="D180" s="3"/>
      <c r="E180" s="2"/>
      <c r="F180" s="3"/>
      <c r="G180" s="3"/>
      <c r="H180" s="3"/>
      <c r="I180" s="3"/>
      <c r="J180" s="3"/>
    </row>
    <row r="181" s="1" customFormat="1" customHeight="1" spans="1:10">
      <c r="A181" s="2"/>
      <c r="B181" s="1"/>
      <c r="C181" s="3"/>
      <c r="D181" s="3"/>
      <c r="E181" s="2"/>
      <c r="F181" s="3"/>
      <c r="G181" s="3"/>
      <c r="H181" s="3"/>
      <c r="I181" s="3"/>
      <c r="J181" s="3"/>
    </row>
    <row r="182" s="1" customFormat="1" customHeight="1" spans="1:10">
      <c r="A182" s="2"/>
      <c r="B182" s="1"/>
      <c r="C182" s="3"/>
      <c r="D182" s="3"/>
      <c r="E182" s="2"/>
      <c r="F182" s="3"/>
      <c r="G182" s="3"/>
      <c r="H182" s="3"/>
      <c r="I182" s="3"/>
      <c r="J182" s="3"/>
    </row>
    <row r="183" s="1" customFormat="1" customHeight="1" spans="1:10">
      <c r="A183" s="2"/>
      <c r="B183" s="1"/>
      <c r="C183" s="3"/>
      <c r="D183" s="3"/>
      <c r="E183" s="2"/>
      <c r="F183" s="3"/>
      <c r="G183" s="3"/>
      <c r="H183" s="3"/>
      <c r="I183" s="3"/>
      <c r="J183" s="3"/>
    </row>
  </sheetData>
  <conditionalFormatting sqref="J1">
    <cfRule type="expression" dxfId="0" priority="2">
      <formula>$A2&lt;&gt;""</formula>
    </cfRule>
    <cfRule type="expression" dxfId="0" priority="1">
      <formula>$A1&lt;&gt;""</formula>
    </cfRule>
  </conditionalFormatting>
  <conditionalFormatting sqref="M10">
    <cfRule type="expression" dxfId="0" priority="6">
      <formula>$A3&lt;&gt;""</formula>
    </cfRule>
  </conditionalFormatting>
  <conditionalFormatting sqref="A1048576:K1048576">
    <cfRule type="expression" dxfId="0" priority="7">
      <formula>$A1048576&lt;&gt;""</formula>
    </cfRule>
    <cfRule type="expression" dxfId="0" priority="8">
      <formula>$A1&lt;&gt;""</formula>
    </cfRule>
  </conditionalFormatting>
  <conditionalFormatting sqref="A1:I1 K1 A2:K1048575">
    <cfRule type="expression" dxfId="0" priority="3">
      <formula>$A1&lt;&gt;""</formula>
    </cfRule>
    <cfRule type="expression" dxfId="0" priority="5">
      <formula>$A2&lt;&gt;""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3"/>
  <sheetViews>
    <sheetView workbookViewId="0">
      <pane ySplit="2" topLeftCell="A3" activePane="bottomLeft" state="frozen"/>
      <selection/>
      <selection pane="bottomLeft" activeCell="C3" sqref="C3:C6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8" width="14.0916666666667" style="3" customWidth="1"/>
    <col min="9" max="10" width="15.2583333333333" style="3" customWidth="1"/>
    <col min="11" max="12" width="9" style="1"/>
    <col min="13" max="13" width="18.375" style="1" customWidth="1"/>
    <col min="14" max="14" width="13" style="1" customWidth="1"/>
    <col min="15" max="16" width="10.375" style="1"/>
    <col min="17" max="16384" width="9" style="1"/>
  </cols>
  <sheetData>
    <row r="1" s="1" customFormat="1" ht="31" customHeight="1" spans="1:15">
      <c r="A1" s="4" t="s">
        <v>48</v>
      </c>
      <c r="B1" s="5"/>
      <c r="C1" s="6"/>
      <c r="D1" s="6"/>
      <c r="E1" s="7"/>
      <c r="F1" s="6"/>
      <c r="G1" s="6"/>
      <c r="H1" s="6"/>
      <c r="I1" s="6"/>
      <c r="J1" s="8" t="str">
        <f>HYPERLINK("#总表！A3","返回总表")</f>
        <v>返回总表</v>
      </c>
      <c r="K1" s="5"/>
      <c r="M1" s="1" t="str" cm="1">
        <f t="array" ref="M1:O3">_xlfn.PIVOTBY(_xlfn._TRO_TRAILING(B2:B999),,_xlfn._TRO_TRAILING(C2:D999),_xleta.SUM,3)</f>
        <v>项目名称</v>
      </c>
      <c r="N1" s="1" t="str">
        <v>应付金额</v>
      </c>
      <c r="O1" s="1" t="str">
        <v>已付金额</v>
      </c>
    </row>
    <row r="2" s="1" customFormat="1" customHeight="1" spans="1:15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0" t="s">
        <v>30</v>
      </c>
      <c r="M2" s="1" t="str">
        <v>德安养老中心</v>
      </c>
      <c r="N2" s="1">
        <v>28000</v>
      </c>
      <c r="O2" s="1">
        <v>28000</v>
      </c>
    </row>
    <row r="3" s="1" customFormat="1" customHeight="1" spans="1:15">
      <c r="A3" s="12">
        <v>45992</v>
      </c>
      <c r="B3" s="13" t="s">
        <v>9</v>
      </c>
      <c r="C3" s="14">
        <v>5000</v>
      </c>
      <c r="D3" s="14">
        <v>5000</v>
      </c>
      <c r="E3" s="12">
        <v>45992</v>
      </c>
      <c r="F3" s="14" t="s">
        <v>39</v>
      </c>
      <c r="G3" s="14" t="s">
        <v>49</v>
      </c>
      <c r="H3" s="14"/>
      <c r="I3" s="14"/>
      <c r="J3" s="14"/>
      <c r="K3" s="13"/>
      <c r="M3" s="1" t="str">
        <v>总计</v>
      </c>
      <c r="N3" s="1">
        <v>28000</v>
      </c>
      <c r="O3" s="1">
        <v>28000</v>
      </c>
    </row>
    <row r="4" s="1" customFormat="1" customHeight="1" spans="1:15">
      <c r="A4" s="12">
        <v>46007</v>
      </c>
      <c r="B4" s="13" t="s">
        <v>9</v>
      </c>
      <c r="C4" s="14">
        <v>3000</v>
      </c>
      <c r="D4" s="14">
        <v>3000</v>
      </c>
      <c r="E4" s="12">
        <v>46007</v>
      </c>
      <c r="F4" s="14" t="s">
        <v>39</v>
      </c>
      <c r="G4" s="14" t="s">
        <v>49</v>
      </c>
      <c r="H4" s="14"/>
      <c r="I4" s="14"/>
      <c r="J4" s="14"/>
      <c r="K4" s="13"/>
    </row>
    <row r="5" s="1" customFormat="1" customHeight="1" spans="1:15">
      <c r="A5" s="12">
        <v>46043</v>
      </c>
      <c r="B5" s="13" t="s">
        <v>9</v>
      </c>
      <c r="C5" s="14">
        <v>10000</v>
      </c>
      <c r="D5" s="14">
        <v>10000</v>
      </c>
      <c r="E5" s="12">
        <v>46043</v>
      </c>
      <c r="F5" s="14" t="s">
        <v>31</v>
      </c>
      <c r="G5" s="14" t="s">
        <v>49</v>
      </c>
      <c r="H5" s="14"/>
      <c r="I5" s="14"/>
      <c r="J5" s="14"/>
      <c r="K5" s="13"/>
    </row>
    <row r="6" s="1" customFormat="1" customHeight="1" spans="1:15">
      <c r="A6" s="12">
        <v>46069</v>
      </c>
      <c r="B6" s="13" t="s">
        <v>9</v>
      </c>
      <c r="C6" s="14">
        <v>10000</v>
      </c>
      <c r="D6" s="14">
        <v>10000</v>
      </c>
      <c r="E6" s="12">
        <v>46069</v>
      </c>
      <c r="F6" s="14" t="s">
        <v>39</v>
      </c>
      <c r="G6" s="14" t="s">
        <v>49</v>
      </c>
      <c r="H6" s="14"/>
      <c r="I6" s="14"/>
      <c r="J6" s="14"/>
      <c r="K6" s="13"/>
    </row>
    <row r="7" s="1" customFormat="1" customHeight="1" spans="1:15">
      <c r="A7" s="12"/>
      <c r="B7" s="13"/>
      <c r="C7" s="14"/>
      <c r="D7" s="14"/>
      <c r="E7" s="12"/>
      <c r="F7" s="14"/>
      <c r="G7" s="14"/>
      <c r="H7" s="14"/>
      <c r="I7" s="14"/>
      <c r="J7" s="14"/>
      <c r="K7" s="13"/>
    </row>
    <row r="8" s="1" customFormat="1" customHeight="1" spans="1:15">
      <c r="A8" s="12"/>
      <c r="B8" s="13"/>
      <c r="C8" s="14"/>
      <c r="D8" s="14"/>
      <c r="E8" s="12"/>
      <c r="F8" s="14"/>
      <c r="G8" s="14"/>
      <c r="H8" s="14"/>
      <c r="I8" s="14"/>
      <c r="J8" s="14"/>
      <c r="K8" s="13"/>
    </row>
    <row r="9" s="1" customFormat="1" customHeight="1" spans="1:15">
      <c r="A9" s="12"/>
      <c r="B9" s="13"/>
      <c r="C9" s="14"/>
      <c r="D9" s="14"/>
      <c r="E9" s="12"/>
      <c r="F9" s="14"/>
      <c r="G9" s="14"/>
      <c r="H9" s="14"/>
      <c r="I9" s="14"/>
      <c r="J9" s="14"/>
      <c r="K9" s="13"/>
    </row>
    <row r="10" s="1" customFormat="1" customHeight="1" spans="1:15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3"/>
    </row>
    <row r="11" s="1" customFormat="1" customHeight="1" spans="1:15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3"/>
    </row>
    <row r="12" s="1" customFormat="1" customHeight="1" spans="1:15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3"/>
    </row>
    <row r="13" s="1" customFormat="1" customHeight="1" spans="1:15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3"/>
    </row>
    <row r="14" s="1" customFormat="1" customHeight="1" spans="1:15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3"/>
    </row>
    <row r="15" s="1" customFormat="1" customHeight="1" spans="1:15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3"/>
    </row>
    <row r="16" s="1" customFormat="1" customHeight="1" spans="1:15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3"/>
    </row>
    <row r="17" s="1" customFormat="1" customHeight="1" spans="1:11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3"/>
    </row>
    <row r="18" s="1" customFormat="1" customHeight="1" spans="1:11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3"/>
    </row>
    <row r="19" s="1" customFormat="1" customHeight="1" spans="1:11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3"/>
    </row>
    <row r="20" s="1" customFormat="1" customHeight="1" spans="1:11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3"/>
    </row>
    <row r="21" s="1" customFormat="1" customHeight="1" spans="1:11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3"/>
    </row>
    <row r="22" s="1" customFormat="1" customHeight="1" spans="1:11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3"/>
    </row>
    <row r="23" s="1" customFormat="1" customHeight="1" spans="1:11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3"/>
    </row>
    <row r="24" s="1" customFormat="1" customHeight="1" spans="1:11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3"/>
    </row>
    <row r="25" s="1" customFormat="1" customHeight="1" spans="1:11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3"/>
    </row>
    <row r="26" s="1" customFormat="1" customHeight="1" spans="1:11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3"/>
    </row>
    <row r="27" s="1" customFormat="1" customHeight="1" spans="1:11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3"/>
    </row>
    <row r="28" s="1" customFormat="1" customHeight="1" spans="1:11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3"/>
    </row>
    <row r="29" s="1" customFormat="1" customHeight="1" spans="1:11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3"/>
    </row>
    <row r="30" s="1" customFormat="1" customHeight="1" spans="1:11">
      <c r="A30" s="2"/>
      <c r="B30" s="1"/>
      <c r="C30" s="3"/>
      <c r="D30" s="3"/>
      <c r="E30" s="2"/>
      <c r="F30" s="3"/>
      <c r="G30" s="3"/>
      <c r="H30" s="3"/>
      <c r="I30" s="3"/>
      <c r="J30" s="3"/>
    </row>
    <row r="31" s="1" customFormat="1" customHeight="1" spans="1:11">
      <c r="A31" s="2"/>
      <c r="B31" s="1"/>
      <c r="C31" s="3"/>
      <c r="D31" s="3"/>
      <c r="E31" s="2"/>
      <c r="F31" s="3"/>
      <c r="G31" s="3"/>
      <c r="H31" s="3"/>
      <c r="I31" s="3"/>
      <c r="J31" s="3"/>
    </row>
    <row r="32" s="1" customFormat="1" customHeight="1" spans="1:11">
      <c r="A32" s="2"/>
      <c r="B32" s="1"/>
      <c r="C32" s="3"/>
      <c r="D32" s="3"/>
      <c r="E32" s="2"/>
      <c r="F32" s="3"/>
      <c r="G32" s="3"/>
      <c r="H32" s="3"/>
      <c r="I32" s="3"/>
      <c r="J32" s="3"/>
    </row>
    <row r="33" s="1" customFormat="1" customHeight="1" spans="1:10">
      <c r="A33" s="2"/>
      <c r="B33" s="1"/>
      <c r="C33" s="3"/>
      <c r="D33" s="3"/>
      <c r="E33" s="2"/>
      <c r="F33" s="3"/>
      <c r="G33" s="3"/>
      <c r="H33" s="3"/>
      <c r="I33" s="3"/>
      <c r="J33" s="3"/>
    </row>
    <row r="34" s="1" customFormat="1" customHeight="1" spans="1:10">
      <c r="A34" s="2"/>
      <c r="B34" s="1"/>
      <c r="C34" s="3"/>
      <c r="D34" s="3"/>
      <c r="E34" s="2"/>
      <c r="F34" s="3"/>
      <c r="G34" s="3"/>
      <c r="H34" s="3"/>
      <c r="I34" s="3"/>
      <c r="J34" s="3"/>
    </row>
    <row r="35" s="1" customFormat="1" customHeight="1" spans="1:10">
      <c r="A35" s="2"/>
      <c r="B35" s="1"/>
      <c r="C35" s="3"/>
      <c r="D35" s="3"/>
      <c r="E35" s="2"/>
      <c r="F35" s="3"/>
      <c r="G35" s="3"/>
      <c r="H35" s="3"/>
      <c r="I35" s="3"/>
      <c r="J35" s="3"/>
    </row>
    <row r="36" s="1" customFormat="1" customHeight="1" spans="1:10">
      <c r="A36" s="2"/>
      <c r="B36" s="1"/>
      <c r="C36" s="3"/>
      <c r="D36" s="3"/>
      <c r="E36" s="2"/>
      <c r="F36" s="3"/>
      <c r="G36" s="3"/>
      <c r="H36" s="3"/>
      <c r="I36" s="3"/>
      <c r="J36" s="3"/>
    </row>
    <row r="37" s="1" customFormat="1" customHeight="1" spans="1:10">
      <c r="A37" s="2"/>
      <c r="B37" s="1"/>
      <c r="C37" s="3"/>
      <c r="D37" s="3"/>
      <c r="E37" s="2"/>
      <c r="F37" s="3"/>
      <c r="G37" s="3"/>
      <c r="H37" s="3"/>
      <c r="I37" s="3"/>
      <c r="J37" s="3"/>
    </row>
    <row r="38" s="1" customFormat="1" customHeight="1" spans="1:10">
      <c r="A38" s="2"/>
      <c r="B38" s="1"/>
      <c r="C38" s="3"/>
      <c r="D38" s="3"/>
      <c r="E38" s="2"/>
      <c r="F38" s="3"/>
      <c r="G38" s="3"/>
      <c r="H38" s="3"/>
      <c r="I38" s="3"/>
      <c r="J38" s="3"/>
    </row>
    <row r="39" s="1" customFormat="1" customHeight="1" spans="1:10">
      <c r="A39" s="2"/>
      <c r="B39" s="1"/>
      <c r="C39" s="3"/>
      <c r="D39" s="3"/>
      <c r="E39" s="2"/>
      <c r="F39" s="3"/>
      <c r="G39" s="3"/>
      <c r="H39" s="3"/>
      <c r="I39" s="3"/>
      <c r="J39" s="3"/>
    </row>
    <row r="40" s="1" customFormat="1" customHeight="1" spans="1:10">
      <c r="A40" s="2"/>
      <c r="B40" s="1"/>
      <c r="C40" s="3"/>
      <c r="D40" s="3"/>
      <c r="E40" s="2"/>
      <c r="F40" s="3"/>
      <c r="G40" s="3"/>
      <c r="H40" s="3"/>
      <c r="I40" s="3"/>
      <c r="J40" s="3"/>
    </row>
    <row r="41" s="1" customFormat="1" customHeight="1" spans="1:10">
      <c r="A41" s="2"/>
      <c r="B41" s="1"/>
      <c r="C41" s="3"/>
      <c r="D41" s="3"/>
      <c r="E41" s="2"/>
      <c r="F41" s="3"/>
      <c r="G41" s="3"/>
      <c r="H41" s="3"/>
      <c r="I41" s="3"/>
      <c r="J41" s="3"/>
    </row>
    <row r="42" s="1" customFormat="1" customHeight="1" spans="1:10">
      <c r="A42" s="2"/>
      <c r="B42" s="1"/>
      <c r="C42" s="3"/>
      <c r="D42" s="3"/>
      <c r="E42" s="2"/>
      <c r="F42" s="3"/>
      <c r="G42" s="3"/>
      <c r="H42" s="3"/>
      <c r="I42" s="3"/>
      <c r="J42" s="3"/>
    </row>
    <row r="43" s="1" customFormat="1" customHeight="1" spans="1:10">
      <c r="A43" s="2"/>
      <c r="B43" s="1"/>
      <c r="C43" s="3"/>
      <c r="D43" s="3"/>
      <c r="E43" s="2"/>
      <c r="F43" s="3"/>
      <c r="G43" s="3"/>
      <c r="H43" s="3"/>
      <c r="I43" s="3"/>
      <c r="J43" s="3"/>
    </row>
    <row r="44" s="1" customFormat="1" customHeight="1" spans="1:10">
      <c r="A44" s="2"/>
      <c r="B44" s="1"/>
      <c r="C44" s="3"/>
      <c r="D44" s="3"/>
      <c r="E44" s="2"/>
      <c r="F44" s="3"/>
      <c r="G44" s="3"/>
      <c r="H44" s="3"/>
      <c r="I44" s="3"/>
      <c r="J44" s="3"/>
    </row>
    <row r="45" s="1" customFormat="1" customHeight="1" spans="1:10">
      <c r="A45" s="2"/>
      <c r="B45" s="1"/>
      <c r="C45" s="3"/>
      <c r="D45" s="3"/>
      <c r="E45" s="2"/>
      <c r="F45" s="3"/>
      <c r="G45" s="3"/>
      <c r="H45" s="3"/>
      <c r="I45" s="3"/>
      <c r="J45" s="3"/>
    </row>
    <row r="46" s="1" customFormat="1" customHeight="1" spans="1:10">
      <c r="A46" s="2"/>
      <c r="B46" s="1"/>
      <c r="C46" s="3"/>
      <c r="D46" s="3"/>
      <c r="E46" s="2"/>
      <c r="F46" s="3"/>
      <c r="G46" s="3"/>
      <c r="H46" s="3"/>
      <c r="I46" s="3"/>
      <c r="J46" s="3"/>
    </row>
    <row r="47" s="1" customFormat="1" customHeight="1" spans="1:10">
      <c r="A47" s="2"/>
      <c r="B47" s="1"/>
      <c r="C47" s="3"/>
      <c r="D47" s="3"/>
      <c r="E47" s="2"/>
      <c r="F47" s="3"/>
      <c r="G47" s="3"/>
      <c r="H47" s="3"/>
      <c r="I47" s="3"/>
      <c r="J47" s="3"/>
    </row>
    <row r="48" s="1" customFormat="1" customHeight="1" spans="1:10">
      <c r="A48" s="2"/>
      <c r="B48" s="1"/>
      <c r="C48" s="3"/>
      <c r="D48" s="3"/>
      <c r="E48" s="2"/>
      <c r="F48" s="3"/>
      <c r="G48" s="3"/>
      <c r="H48" s="3"/>
      <c r="I48" s="3"/>
      <c r="J48" s="3"/>
    </row>
    <row r="49" s="1" customFormat="1" customHeight="1" spans="1:10">
      <c r="A49" s="2"/>
      <c r="B49" s="1"/>
      <c r="C49" s="3"/>
      <c r="D49" s="3"/>
      <c r="E49" s="2"/>
      <c r="F49" s="3"/>
      <c r="G49" s="3"/>
      <c r="H49" s="3"/>
      <c r="I49" s="3"/>
      <c r="J49" s="3"/>
    </row>
    <row r="50" s="1" customFormat="1" customHeight="1" spans="1:10">
      <c r="A50" s="2"/>
      <c r="B50" s="1"/>
      <c r="C50" s="3"/>
      <c r="D50" s="3"/>
      <c r="E50" s="2"/>
      <c r="F50" s="3"/>
      <c r="G50" s="3"/>
      <c r="H50" s="3"/>
      <c r="I50" s="3"/>
      <c r="J50" s="3"/>
    </row>
    <row r="51" s="1" customFormat="1" customHeight="1" spans="1:10">
      <c r="A51" s="2"/>
      <c r="B51" s="1"/>
      <c r="C51" s="3"/>
      <c r="D51" s="3"/>
      <c r="E51" s="2"/>
      <c r="F51" s="3"/>
      <c r="G51" s="3"/>
      <c r="H51" s="3"/>
      <c r="I51" s="3"/>
      <c r="J51" s="3"/>
    </row>
    <row r="52" s="1" customFormat="1" customHeight="1" spans="1:10">
      <c r="A52" s="2"/>
      <c r="B52" s="1"/>
      <c r="C52" s="3"/>
      <c r="D52" s="3"/>
      <c r="E52" s="2"/>
      <c r="F52" s="3"/>
      <c r="G52" s="3"/>
      <c r="H52" s="3"/>
      <c r="I52" s="3"/>
      <c r="J52" s="3"/>
    </row>
    <row r="53" s="1" customFormat="1" customHeight="1" spans="1:10">
      <c r="A53" s="2"/>
      <c r="B53" s="1"/>
      <c r="C53" s="3"/>
      <c r="D53" s="3"/>
      <c r="E53" s="2"/>
      <c r="F53" s="3"/>
      <c r="G53" s="3"/>
      <c r="H53" s="3"/>
      <c r="I53" s="3"/>
      <c r="J53" s="3"/>
    </row>
    <row r="54" s="1" customFormat="1" customHeight="1" spans="1:10">
      <c r="A54" s="2"/>
      <c r="B54" s="1"/>
      <c r="C54" s="3"/>
      <c r="D54" s="3"/>
      <c r="E54" s="2"/>
      <c r="F54" s="3"/>
      <c r="G54" s="3"/>
      <c r="H54" s="3"/>
      <c r="I54" s="3"/>
      <c r="J54" s="3"/>
    </row>
    <row r="55" s="1" customFormat="1" customHeight="1" spans="1:10">
      <c r="A55" s="2"/>
      <c r="B55" s="1"/>
      <c r="C55" s="3"/>
      <c r="D55" s="3"/>
      <c r="E55" s="2"/>
      <c r="F55" s="3"/>
      <c r="G55" s="3"/>
      <c r="H55" s="3"/>
      <c r="I55" s="3"/>
      <c r="J55" s="3"/>
    </row>
    <row r="56" s="1" customFormat="1" customHeight="1" spans="1:10">
      <c r="A56" s="2"/>
      <c r="B56" s="1"/>
      <c r="C56" s="3"/>
      <c r="D56" s="3"/>
      <c r="E56" s="2"/>
      <c r="F56" s="3"/>
      <c r="G56" s="3"/>
      <c r="H56" s="3"/>
      <c r="I56" s="3"/>
      <c r="J56" s="3"/>
    </row>
    <row r="57" s="1" customFormat="1" customHeight="1" spans="1:10">
      <c r="A57" s="2"/>
      <c r="B57" s="1"/>
      <c r="C57" s="3"/>
      <c r="D57" s="3"/>
      <c r="E57" s="2"/>
      <c r="F57" s="3"/>
      <c r="G57" s="3"/>
      <c r="H57" s="3"/>
      <c r="I57" s="3"/>
      <c r="J57" s="3"/>
    </row>
    <row r="58" s="1" customFormat="1" customHeight="1" spans="1:10">
      <c r="A58" s="2"/>
      <c r="B58" s="1"/>
      <c r="C58" s="3"/>
      <c r="D58" s="3"/>
      <c r="E58" s="2"/>
      <c r="F58" s="3"/>
      <c r="G58" s="3"/>
      <c r="H58" s="3"/>
      <c r="I58" s="3"/>
      <c r="J58" s="3"/>
    </row>
    <row r="59" s="1" customFormat="1" customHeight="1" spans="1:10">
      <c r="A59" s="2"/>
      <c r="B59" s="1"/>
      <c r="C59" s="3"/>
      <c r="D59" s="3"/>
      <c r="E59" s="2"/>
      <c r="F59" s="3"/>
      <c r="G59" s="3"/>
      <c r="H59" s="3"/>
      <c r="I59" s="3"/>
      <c r="J59" s="3"/>
    </row>
    <row r="60" s="1" customFormat="1" customHeight="1" spans="1:10">
      <c r="A60" s="2"/>
      <c r="B60" s="1"/>
      <c r="C60" s="3"/>
      <c r="D60" s="3"/>
      <c r="E60" s="2"/>
      <c r="F60" s="3"/>
      <c r="G60" s="3"/>
      <c r="H60" s="3"/>
      <c r="I60" s="3"/>
      <c r="J60" s="3"/>
    </row>
    <row r="61" s="1" customFormat="1" customHeight="1" spans="1:10">
      <c r="A61" s="2"/>
      <c r="B61" s="1"/>
      <c r="C61" s="3"/>
      <c r="D61" s="3"/>
      <c r="E61" s="2"/>
      <c r="F61" s="3"/>
      <c r="G61" s="3"/>
      <c r="H61" s="3"/>
      <c r="I61" s="3"/>
      <c r="J61" s="3"/>
    </row>
    <row r="62" s="1" customFormat="1" customHeight="1" spans="1:10">
      <c r="A62" s="2"/>
      <c r="B62" s="1"/>
      <c r="C62" s="3"/>
      <c r="D62" s="3"/>
      <c r="E62" s="2"/>
      <c r="F62" s="3"/>
      <c r="G62" s="3"/>
      <c r="H62" s="3"/>
      <c r="I62" s="3"/>
      <c r="J62" s="3"/>
    </row>
    <row r="63" s="1" customFormat="1" customHeight="1" spans="1:10">
      <c r="A63" s="2"/>
      <c r="B63" s="1"/>
      <c r="C63" s="3"/>
      <c r="D63" s="3"/>
      <c r="E63" s="2"/>
      <c r="F63" s="3"/>
      <c r="G63" s="3"/>
      <c r="H63" s="3"/>
      <c r="I63" s="3"/>
      <c r="J63" s="3"/>
    </row>
    <row r="64" s="1" customFormat="1" customHeight="1" spans="1:10">
      <c r="A64" s="2"/>
      <c r="B64" s="1"/>
      <c r="C64" s="3"/>
      <c r="D64" s="3"/>
      <c r="E64" s="2"/>
      <c r="F64" s="3"/>
      <c r="G64" s="3"/>
      <c r="H64" s="3"/>
      <c r="I64" s="3"/>
      <c r="J64" s="3"/>
    </row>
    <row r="65" s="1" customFormat="1" customHeight="1" spans="1:10">
      <c r="A65" s="2"/>
      <c r="B65" s="1"/>
      <c r="C65" s="3"/>
      <c r="D65" s="3"/>
      <c r="E65" s="2"/>
      <c r="F65" s="3"/>
      <c r="G65" s="3"/>
      <c r="H65" s="3"/>
      <c r="I65" s="3"/>
      <c r="J65" s="3"/>
    </row>
    <row r="66" s="1" customFormat="1" customHeight="1" spans="1:10">
      <c r="A66" s="2"/>
      <c r="B66" s="1"/>
      <c r="C66" s="3"/>
      <c r="D66" s="3"/>
      <c r="E66" s="2"/>
      <c r="F66" s="3"/>
      <c r="G66" s="3"/>
      <c r="H66" s="3"/>
      <c r="I66" s="3"/>
      <c r="J66" s="3"/>
    </row>
    <row r="67" s="1" customFormat="1" customHeight="1" spans="1:10">
      <c r="A67" s="2"/>
      <c r="B67" s="1"/>
      <c r="C67" s="3"/>
      <c r="D67" s="3"/>
      <c r="E67" s="2"/>
      <c r="F67" s="3"/>
      <c r="G67" s="3"/>
      <c r="H67" s="3"/>
      <c r="I67" s="3"/>
      <c r="J67" s="3"/>
    </row>
    <row r="68" s="1" customFormat="1" customHeight="1" spans="1:10">
      <c r="A68" s="2"/>
      <c r="B68" s="1"/>
      <c r="C68" s="3"/>
      <c r="D68" s="3"/>
      <c r="E68" s="2"/>
      <c r="F68" s="3"/>
      <c r="G68" s="3"/>
      <c r="H68" s="3"/>
      <c r="I68" s="3"/>
      <c r="J68" s="3"/>
    </row>
    <row r="69" s="1" customFormat="1" customHeight="1" spans="1:10">
      <c r="A69" s="2"/>
      <c r="B69" s="1"/>
      <c r="C69" s="3"/>
      <c r="D69" s="3"/>
      <c r="E69" s="2"/>
      <c r="F69" s="3"/>
      <c r="G69" s="3"/>
      <c r="H69" s="3"/>
      <c r="I69" s="3"/>
      <c r="J69" s="3"/>
    </row>
    <row r="70" s="1" customFormat="1" customHeight="1" spans="1:10">
      <c r="A70" s="2"/>
      <c r="B70" s="1"/>
      <c r="C70" s="3"/>
      <c r="D70" s="3"/>
      <c r="E70" s="2"/>
      <c r="F70" s="3"/>
      <c r="G70" s="3"/>
      <c r="H70" s="3"/>
      <c r="I70" s="3"/>
      <c r="J70" s="3"/>
    </row>
    <row r="71" s="1" customFormat="1" customHeight="1" spans="1:10">
      <c r="A71" s="2"/>
      <c r="B71" s="1"/>
      <c r="C71" s="3"/>
      <c r="D71" s="3"/>
      <c r="E71" s="2"/>
      <c r="F71" s="3"/>
      <c r="G71" s="3"/>
      <c r="H71" s="3"/>
      <c r="I71" s="3"/>
      <c r="J71" s="3"/>
    </row>
    <row r="72" s="1" customFormat="1" customHeight="1" spans="1:10">
      <c r="A72" s="2"/>
      <c r="B72" s="1"/>
      <c r="C72" s="3"/>
      <c r="D72" s="3"/>
      <c r="E72" s="2"/>
      <c r="F72" s="3"/>
      <c r="G72" s="3"/>
      <c r="H72" s="3"/>
      <c r="I72" s="3"/>
      <c r="J72" s="3"/>
    </row>
    <row r="73" s="1" customFormat="1" customHeight="1" spans="1:10">
      <c r="A73" s="2"/>
      <c r="B73" s="1"/>
      <c r="C73" s="3"/>
      <c r="D73" s="3"/>
      <c r="E73" s="2"/>
      <c r="F73" s="3"/>
      <c r="G73" s="3"/>
      <c r="H73" s="3"/>
      <c r="I73" s="3"/>
      <c r="J73" s="3"/>
    </row>
    <row r="74" s="1" customFormat="1" customHeight="1" spans="1:10">
      <c r="A74" s="2"/>
      <c r="B74" s="1"/>
      <c r="C74" s="3"/>
      <c r="D74" s="3"/>
      <c r="E74" s="2"/>
      <c r="F74" s="3"/>
      <c r="G74" s="3"/>
      <c r="H74" s="3"/>
      <c r="I74" s="3"/>
      <c r="J74" s="3"/>
    </row>
    <row r="75" s="1" customFormat="1" customHeight="1" spans="1:10">
      <c r="A75" s="2"/>
      <c r="B75" s="1"/>
      <c r="C75" s="3"/>
      <c r="D75" s="3"/>
      <c r="E75" s="2"/>
      <c r="F75" s="3"/>
      <c r="G75" s="3"/>
      <c r="H75" s="3"/>
      <c r="I75" s="3"/>
      <c r="J75" s="3"/>
    </row>
    <row r="76" s="1" customFormat="1" customHeight="1" spans="1:10">
      <c r="A76" s="2"/>
      <c r="B76" s="1"/>
      <c r="C76" s="3"/>
      <c r="D76" s="3"/>
      <c r="E76" s="2"/>
      <c r="F76" s="3"/>
      <c r="G76" s="3"/>
      <c r="H76" s="3"/>
      <c r="I76" s="3"/>
      <c r="J76" s="3"/>
    </row>
    <row r="77" s="1" customFormat="1" customHeight="1" spans="1:10">
      <c r="A77" s="2"/>
      <c r="B77" s="1"/>
      <c r="C77" s="3"/>
      <c r="D77" s="3"/>
      <c r="E77" s="2"/>
      <c r="F77" s="3"/>
      <c r="G77" s="3"/>
      <c r="H77" s="3"/>
      <c r="I77" s="3"/>
      <c r="J77" s="3"/>
    </row>
    <row r="78" s="1" customFormat="1" customHeight="1" spans="1:10">
      <c r="A78" s="2"/>
      <c r="B78" s="1"/>
      <c r="C78" s="3"/>
      <c r="D78" s="3"/>
      <c r="E78" s="2"/>
      <c r="F78" s="3"/>
      <c r="G78" s="3"/>
      <c r="H78" s="3"/>
      <c r="I78" s="3"/>
      <c r="J78" s="3"/>
    </row>
    <row r="79" s="1" customFormat="1" customHeight="1" spans="1:10">
      <c r="A79" s="2"/>
      <c r="B79" s="1"/>
      <c r="C79" s="3"/>
      <c r="D79" s="3"/>
      <c r="E79" s="2"/>
      <c r="F79" s="3"/>
      <c r="G79" s="3"/>
      <c r="H79" s="3"/>
      <c r="I79" s="3"/>
      <c r="J79" s="3"/>
    </row>
    <row r="80" s="1" customFormat="1" customHeight="1" spans="1:10">
      <c r="A80" s="2"/>
      <c r="B80" s="1"/>
      <c r="C80" s="3"/>
      <c r="D80" s="3"/>
      <c r="E80" s="2"/>
      <c r="F80" s="3"/>
      <c r="G80" s="3"/>
      <c r="H80" s="3"/>
      <c r="I80" s="3"/>
      <c r="J80" s="3"/>
    </row>
    <row r="81" s="1" customFormat="1" customHeight="1" spans="1:10">
      <c r="A81" s="2"/>
      <c r="B81" s="1"/>
      <c r="C81" s="3"/>
      <c r="D81" s="3"/>
      <c r="E81" s="2"/>
      <c r="F81" s="3"/>
      <c r="G81" s="3"/>
      <c r="H81" s="3"/>
      <c r="I81" s="3"/>
      <c r="J81" s="3"/>
    </row>
    <row r="82" s="1" customFormat="1" customHeight="1" spans="1:10">
      <c r="A82" s="2"/>
      <c r="B82" s="1"/>
      <c r="C82" s="3"/>
      <c r="D82" s="3"/>
      <c r="E82" s="2"/>
      <c r="F82" s="3"/>
      <c r="G82" s="3"/>
      <c r="H82" s="3"/>
      <c r="I82" s="3"/>
      <c r="J82" s="3"/>
    </row>
    <row r="83" s="1" customFormat="1" customHeight="1" spans="1:10">
      <c r="A83" s="2"/>
      <c r="B83" s="1"/>
      <c r="C83" s="3"/>
      <c r="D83" s="3"/>
      <c r="E83" s="2"/>
      <c r="F83" s="3"/>
      <c r="G83" s="3"/>
      <c r="H83" s="3"/>
      <c r="I83" s="3"/>
      <c r="J83" s="3"/>
    </row>
    <row r="84" s="1" customFormat="1" customHeight="1" spans="1:10">
      <c r="A84" s="2"/>
      <c r="B84" s="1"/>
      <c r="C84" s="3"/>
      <c r="D84" s="3"/>
      <c r="E84" s="2"/>
      <c r="F84" s="3"/>
      <c r="G84" s="3"/>
      <c r="H84" s="3"/>
      <c r="I84" s="3"/>
      <c r="J84" s="3"/>
    </row>
    <row r="85" s="1" customFormat="1" customHeight="1" spans="1:10">
      <c r="A85" s="2"/>
      <c r="B85" s="1"/>
      <c r="C85" s="3"/>
      <c r="D85" s="3"/>
      <c r="E85" s="2"/>
      <c r="F85" s="3"/>
      <c r="G85" s="3"/>
      <c r="H85" s="3"/>
      <c r="I85" s="3"/>
      <c r="J85" s="3"/>
    </row>
    <row r="86" s="1" customFormat="1" customHeight="1" spans="1:10">
      <c r="A86" s="2"/>
      <c r="B86" s="1"/>
      <c r="C86" s="3"/>
      <c r="D86" s="3"/>
      <c r="E86" s="2"/>
      <c r="F86" s="3"/>
      <c r="G86" s="3"/>
      <c r="H86" s="3"/>
      <c r="I86" s="3"/>
      <c r="J86" s="3"/>
    </row>
    <row r="87" s="1" customFormat="1" customHeight="1" spans="1:10">
      <c r="A87" s="2"/>
      <c r="B87" s="1"/>
      <c r="C87" s="3"/>
      <c r="D87" s="3"/>
      <c r="E87" s="2"/>
      <c r="F87" s="3"/>
      <c r="G87" s="3"/>
      <c r="H87" s="3"/>
      <c r="I87" s="3"/>
      <c r="J87" s="3"/>
    </row>
    <row r="88" s="1" customFormat="1" customHeight="1" spans="1:10">
      <c r="A88" s="2"/>
      <c r="B88" s="1"/>
      <c r="C88" s="3"/>
      <c r="D88" s="3"/>
      <c r="E88" s="2"/>
      <c r="F88" s="3"/>
      <c r="G88" s="3"/>
      <c r="H88" s="3"/>
      <c r="I88" s="3"/>
      <c r="J88" s="3"/>
    </row>
    <row r="89" s="1" customFormat="1" customHeight="1" spans="1:10">
      <c r="A89" s="2"/>
      <c r="B89" s="1"/>
      <c r="C89" s="3"/>
      <c r="D89" s="3"/>
      <c r="E89" s="2"/>
      <c r="F89" s="3"/>
      <c r="G89" s="3"/>
      <c r="H89" s="3"/>
      <c r="I89" s="3"/>
      <c r="J89" s="3"/>
    </row>
    <row r="90" s="1" customFormat="1" customHeight="1" spans="1:10">
      <c r="A90" s="2"/>
      <c r="B90" s="1"/>
      <c r="C90" s="3"/>
      <c r="D90" s="3"/>
      <c r="E90" s="2"/>
      <c r="F90" s="3"/>
      <c r="G90" s="3"/>
      <c r="H90" s="3"/>
      <c r="I90" s="3"/>
      <c r="J90" s="3"/>
    </row>
    <row r="91" s="1" customFormat="1" customHeight="1" spans="1:10">
      <c r="A91" s="2"/>
      <c r="B91" s="1"/>
      <c r="C91" s="3"/>
      <c r="D91" s="3"/>
      <c r="E91" s="2"/>
      <c r="F91" s="3"/>
      <c r="G91" s="3"/>
      <c r="H91" s="3"/>
      <c r="I91" s="3"/>
      <c r="J91" s="3"/>
    </row>
    <row r="92" s="1" customFormat="1" customHeight="1" spans="1:10">
      <c r="A92" s="2"/>
      <c r="B92" s="1"/>
      <c r="C92" s="3"/>
      <c r="D92" s="3"/>
      <c r="E92" s="2"/>
      <c r="F92" s="3"/>
      <c r="G92" s="3"/>
      <c r="H92" s="3"/>
      <c r="I92" s="3"/>
      <c r="J92" s="3"/>
    </row>
    <row r="93" s="1" customFormat="1" customHeight="1" spans="1:10">
      <c r="A93" s="2"/>
      <c r="B93" s="1"/>
      <c r="C93" s="3"/>
      <c r="D93" s="3"/>
      <c r="E93" s="2"/>
      <c r="F93" s="3"/>
      <c r="G93" s="3"/>
      <c r="H93" s="3"/>
      <c r="I93" s="3"/>
      <c r="J93" s="3"/>
    </row>
    <row r="94" s="1" customFormat="1" customHeight="1" spans="1:10">
      <c r="A94" s="2"/>
      <c r="B94" s="1"/>
      <c r="C94" s="3"/>
      <c r="D94" s="3"/>
      <c r="E94" s="2"/>
      <c r="F94" s="3"/>
      <c r="G94" s="3"/>
      <c r="H94" s="3"/>
      <c r="I94" s="3"/>
      <c r="J94" s="3"/>
    </row>
    <row r="95" s="1" customFormat="1" customHeight="1" spans="1:10">
      <c r="A95" s="2"/>
      <c r="B95" s="1"/>
      <c r="C95" s="3"/>
      <c r="D95" s="3"/>
      <c r="E95" s="2"/>
      <c r="F95" s="3"/>
      <c r="G95" s="3"/>
      <c r="H95" s="3"/>
      <c r="I95" s="3"/>
      <c r="J95" s="3"/>
    </row>
    <row r="96" s="1" customFormat="1" customHeight="1" spans="1:10">
      <c r="A96" s="2"/>
      <c r="B96" s="1"/>
      <c r="C96" s="3"/>
      <c r="D96" s="3"/>
      <c r="E96" s="2"/>
      <c r="F96" s="3"/>
      <c r="G96" s="3"/>
      <c r="H96" s="3"/>
      <c r="I96" s="3"/>
      <c r="J96" s="3"/>
    </row>
    <row r="97" s="1" customFormat="1" customHeight="1" spans="1:10">
      <c r="A97" s="2"/>
      <c r="B97" s="1"/>
      <c r="C97" s="3"/>
      <c r="D97" s="3"/>
      <c r="E97" s="2"/>
      <c r="F97" s="3"/>
      <c r="G97" s="3"/>
      <c r="H97" s="3"/>
      <c r="I97" s="3"/>
      <c r="J97" s="3"/>
    </row>
    <row r="98" s="1" customFormat="1" customHeight="1" spans="1:10">
      <c r="A98" s="2"/>
      <c r="B98" s="1"/>
      <c r="C98" s="3"/>
      <c r="D98" s="3"/>
      <c r="E98" s="2"/>
      <c r="F98" s="3"/>
      <c r="G98" s="3"/>
      <c r="H98" s="3"/>
      <c r="I98" s="3"/>
      <c r="J98" s="3"/>
    </row>
    <row r="99" s="1" customFormat="1" customHeight="1" spans="1:10">
      <c r="A99" s="2"/>
      <c r="B99" s="1"/>
      <c r="C99" s="3"/>
      <c r="D99" s="3"/>
      <c r="E99" s="2"/>
      <c r="F99" s="3"/>
      <c r="G99" s="3"/>
      <c r="H99" s="3"/>
      <c r="I99" s="3"/>
      <c r="J99" s="3"/>
    </row>
    <row r="100" s="1" customFormat="1" customHeight="1" spans="1:10">
      <c r="A100" s="2"/>
      <c r="B100" s="1"/>
      <c r="C100" s="3"/>
      <c r="D100" s="3"/>
      <c r="E100" s="2"/>
      <c r="F100" s="3"/>
      <c r="G100" s="3"/>
      <c r="H100" s="3"/>
      <c r="I100" s="3"/>
      <c r="J100" s="3"/>
    </row>
    <row r="101" s="1" customFormat="1" customHeight="1" spans="1:10">
      <c r="A101" s="2"/>
      <c r="B101" s="1"/>
      <c r="C101" s="3"/>
      <c r="D101" s="3"/>
      <c r="E101" s="2"/>
      <c r="F101" s="3"/>
      <c r="G101" s="3"/>
      <c r="H101" s="3"/>
      <c r="I101" s="3"/>
      <c r="J101" s="3"/>
    </row>
    <row r="102" s="1" customFormat="1" customHeight="1" spans="1:10">
      <c r="A102" s="2"/>
      <c r="B102" s="1"/>
      <c r="C102" s="3"/>
      <c r="D102" s="3"/>
      <c r="E102" s="2"/>
      <c r="F102" s="3"/>
      <c r="G102" s="3"/>
      <c r="H102" s="3"/>
      <c r="I102" s="3"/>
      <c r="J102" s="3"/>
    </row>
    <row r="103" s="1" customFormat="1" customHeight="1" spans="1:10">
      <c r="A103" s="2"/>
      <c r="B103" s="1"/>
      <c r="C103" s="3"/>
      <c r="D103" s="3"/>
      <c r="E103" s="2"/>
      <c r="F103" s="3"/>
      <c r="G103" s="3"/>
      <c r="H103" s="3"/>
      <c r="I103" s="3"/>
      <c r="J103" s="3"/>
    </row>
    <row r="104" s="1" customFormat="1" customHeight="1" spans="1:10">
      <c r="A104" s="2"/>
      <c r="B104" s="1"/>
      <c r="C104" s="3"/>
      <c r="D104" s="3"/>
      <c r="E104" s="2"/>
      <c r="F104" s="3"/>
      <c r="G104" s="3"/>
      <c r="H104" s="3"/>
      <c r="I104" s="3"/>
      <c r="J104" s="3"/>
    </row>
    <row r="105" s="1" customFormat="1" customHeight="1" spans="1:10">
      <c r="A105" s="2"/>
      <c r="B105" s="1"/>
      <c r="C105" s="3"/>
      <c r="D105" s="3"/>
      <c r="E105" s="2"/>
      <c r="F105" s="3"/>
      <c r="G105" s="3"/>
      <c r="H105" s="3"/>
      <c r="I105" s="3"/>
      <c r="J105" s="3"/>
    </row>
    <row r="106" s="1" customFormat="1" customHeight="1" spans="1:10">
      <c r="A106" s="2"/>
      <c r="B106" s="1"/>
      <c r="C106" s="3"/>
      <c r="D106" s="3"/>
      <c r="E106" s="2"/>
      <c r="F106" s="3"/>
      <c r="G106" s="3"/>
      <c r="H106" s="3"/>
      <c r="I106" s="3"/>
      <c r="J106" s="3"/>
    </row>
    <row r="107" s="1" customFormat="1" customHeight="1" spans="1:10">
      <c r="A107" s="2"/>
      <c r="B107" s="1"/>
      <c r="C107" s="3"/>
      <c r="D107" s="3"/>
      <c r="E107" s="2"/>
      <c r="F107" s="3"/>
      <c r="G107" s="3"/>
      <c r="H107" s="3"/>
      <c r="I107" s="3"/>
      <c r="J107" s="3"/>
    </row>
    <row r="108" s="1" customFormat="1" customHeight="1" spans="1:10">
      <c r="A108" s="2"/>
      <c r="B108" s="1"/>
      <c r="C108" s="3"/>
      <c r="D108" s="3"/>
      <c r="E108" s="2"/>
      <c r="F108" s="3"/>
      <c r="G108" s="3"/>
      <c r="H108" s="3"/>
      <c r="I108" s="3"/>
      <c r="J108" s="3"/>
    </row>
    <row r="109" s="1" customFormat="1" customHeight="1" spans="1:10">
      <c r="A109" s="2"/>
      <c r="B109" s="1"/>
      <c r="C109" s="3"/>
      <c r="D109" s="3"/>
      <c r="E109" s="2"/>
      <c r="F109" s="3"/>
      <c r="G109" s="3"/>
      <c r="H109" s="3"/>
      <c r="I109" s="3"/>
      <c r="J109" s="3"/>
    </row>
    <row r="110" s="1" customFormat="1" customHeight="1" spans="1:10">
      <c r="A110" s="2"/>
      <c r="B110" s="1"/>
      <c r="C110" s="3"/>
      <c r="D110" s="3"/>
      <c r="E110" s="2"/>
      <c r="F110" s="3"/>
      <c r="G110" s="3"/>
      <c r="H110" s="3"/>
      <c r="I110" s="3"/>
      <c r="J110" s="3"/>
    </row>
    <row r="111" s="1" customFormat="1" customHeight="1" spans="1:10">
      <c r="A111" s="2"/>
      <c r="B111" s="1"/>
      <c r="C111" s="3"/>
      <c r="D111" s="3"/>
      <c r="E111" s="2"/>
      <c r="F111" s="3"/>
      <c r="G111" s="3"/>
      <c r="H111" s="3"/>
      <c r="I111" s="3"/>
      <c r="J111" s="3"/>
    </row>
    <row r="112" s="1" customFormat="1" customHeight="1" spans="1:10">
      <c r="A112" s="2"/>
      <c r="B112" s="1"/>
      <c r="C112" s="3"/>
      <c r="D112" s="3"/>
      <c r="E112" s="2"/>
      <c r="F112" s="3"/>
      <c r="G112" s="3"/>
      <c r="H112" s="3"/>
      <c r="I112" s="3"/>
      <c r="J112" s="3"/>
    </row>
    <row r="113" s="1" customFormat="1" customHeight="1" spans="1:10">
      <c r="A113" s="2"/>
      <c r="B113" s="1"/>
      <c r="C113" s="3"/>
      <c r="D113" s="3"/>
      <c r="E113" s="2"/>
      <c r="F113" s="3"/>
      <c r="G113" s="3"/>
      <c r="H113" s="3"/>
      <c r="I113" s="3"/>
      <c r="J113" s="3"/>
    </row>
    <row r="114" s="1" customFormat="1" customHeight="1" spans="1:10">
      <c r="A114" s="2"/>
      <c r="B114" s="1"/>
      <c r="C114" s="3"/>
      <c r="D114" s="3"/>
      <c r="E114" s="2"/>
      <c r="F114" s="3"/>
      <c r="G114" s="3"/>
      <c r="H114" s="3"/>
      <c r="I114" s="3"/>
      <c r="J114" s="3"/>
    </row>
    <row r="115" s="1" customFormat="1" customHeight="1" spans="1:10">
      <c r="A115" s="2"/>
      <c r="B115" s="1"/>
      <c r="C115" s="3"/>
      <c r="D115" s="3"/>
      <c r="E115" s="2"/>
      <c r="F115" s="3"/>
      <c r="G115" s="3"/>
      <c r="H115" s="3"/>
      <c r="I115" s="3"/>
      <c r="J115" s="3"/>
    </row>
    <row r="116" s="1" customFormat="1" customHeight="1" spans="1:10">
      <c r="A116" s="2"/>
      <c r="B116" s="1"/>
      <c r="C116" s="3"/>
      <c r="D116" s="3"/>
      <c r="E116" s="2"/>
      <c r="F116" s="3"/>
      <c r="G116" s="3"/>
      <c r="H116" s="3"/>
      <c r="I116" s="3"/>
      <c r="J116" s="3"/>
    </row>
    <row r="117" s="1" customFormat="1" customHeight="1" spans="1:10">
      <c r="A117" s="2"/>
      <c r="B117" s="1"/>
      <c r="C117" s="3"/>
      <c r="D117" s="3"/>
      <c r="E117" s="2"/>
      <c r="F117" s="3"/>
      <c r="G117" s="3"/>
      <c r="H117" s="3"/>
      <c r="I117" s="3"/>
      <c r="J117" s="3"/>
    </row>
    <row r="118" s="1" customFormat="1" customHeight="1" spans="1:10">
      <c r="A118" s="2"/>
      <c r="B118" s="1"/>
      <c r="C118" s="3"/>
      <c r="D118" s="3"/>
      <c r="E118" s="2"/>
      <c r="F118" s="3"/>
      <c r="G118" s="3"/>
      <c r="H118" s="3"/>
      <c r="I118" s="3"/>
      <c r="J118" s="3"/>
    </row>
    <row r="119" s="1" customFormat="1" customHeight="1" spans="1:10">
      <c r="A119" s="2"/>
      <c r="B119" s="1"/>
      <c r="C119" s="3"/>
      <c r="D119" s="3"/>
      <c r="E119" s="2"/>
      <c r="F119" s="3"/>
      <c r="G119" s="3"/>
      <c r="H119" s="3"/>
      <c r="I119" s="3"/>
      <c r="J119" s="3"/>
    </row>
    <row r="120" s="1" customFormat="1" customHeight="1" spans="1:10">
      <c r="A120" s="2"/>
      <c r="B120" s="1"/>
      <c r="C120" s="3"/>
      <c r="D120" s="3"/>
      <c r="E120" s="2"/>
      <c r="F120" s="3"/>
      <c r="G120" s="3"/>
      <c r="H120" s="3"/>
      <c r="I120" s="3"/>
      <c r="J120" s="3"/>
    </row>
    <row r="121" s="1" customFormat="1" customHeight="1" spans="1:10">
      <c r="A121" s="2"/>
      <c r="B121" s="1"/>
      <c r="C121" s="3"/>
      <c r="D121" s="3"/>
      <c r="E121" s="2"/>
      <c r="F121" s="3"/>
      <c r="G121" s="3"/>
      <c r="H121" s="3"/>
      <c r="I121" s="3"/>
      <c r="J121" s="3"/>
    </row>
    <row r="122" s="1" customFormat="1" customHeight="1" spans="1:10">
      <c r="A122" s="2"/>
      <c r="B122" s="1"/>
      <c r="C122" s="3"/>
      <c r="D122" s="3"/>
      <c r="E122" s="2"/>
      <c r="F122" s="3"/>
      <c r="G122" s="3"/>
      <c r="H122" s="3"/>
      <c r="I122" s="3"/>
      <c r="J122" s="3"/>
    </row>
    <row r="123" s="1" customFormat="1" customHeight="1" spans="1:10">
      <c r="A123" s="2"/>
      <c r="B123" s="1"/>
      <c r="C123" s="3"/>
      <c r="D123" s="3"/>
      <c r="E123" s="2"/>
      <c r="F123" s="3"/>
      <c r="G123" s="3"/>
      <c r="H123" s="3"/>
      <c r="I123" s="3"/>
      <c r="J123" s="3"/>
    </row>
    <row r="124" s="1" customFormat="1" customHeight="1" spans="1:10">
      <c r="A124" s="2"/>
      <c r="B124" s="1"/>
      <c r="C124" s="3"/>
      <c r="D124" s="3"/>
      <c r="E124" s="2"/>
      <c r="F124" s="3"/>
      <c r="G124" s="3"/>
      <c r="H124" s="3"/>
      <c r="I124" s="3"/>
      <c r="J124" s="3"/>
    </row>
    <row r="125" s="1" customFormat="1" customHeight="1" spans="1:10">
      <c r="A125" s="2"/>
      <c r="B125" s="1"/>
      <c r="C125" s="3"/>
      <c r="D125" s="3"/>
      <c r="E125" s="2"/>
      <c r="F125" s="3"/>
      <c r="G125" s="3"/>
      <c r="H125" s="3"/>
      <c r="I125" s="3"/>
      <c r="J125" s="3"/>
    </row>
    <row r="126" s="1" customFormat="1" customHeight="1" spans="1:10">
      <c r="A126" s="2"/>
      <c r="B126" s="1"/>
      <c r="C126" s="3"/>
      <c r="D126" s="3"/>
      <c r="E126" s="2"/>
      <c r="F126" s="3"/>
      <c r="G126" s="3"/>
      <c r="H126" s="3"/>
      <c r="I126" s="3"/>
      <c r="J126" s="3"/>
    </row>
    <row r="127" s="1" customFormat="1" customHeight="1" spans="1:10">
      <c r="A127" s="2"/>
      <c r="B127" s="1"/>
      <c r="C127" s="3"/>
      <c r="D127" s="3"/>
      <c r="E127" s="2"/>
      <c r="F127" s="3"/>
      <c r="G127" s="3"/>
      <c r="H127" s="3"/>
      <c r="I127" s="3"/>
      <c r="J127" s="3"/>
    </row>
    <row r="128" s="1" customFormat="1" customHeight="1" spans="1:10">
      <c r="A128" s="2"/>
      <c r="B128" s="1"/>
      <c r="C128" s="3"/>
      <c r="D128" s="3"/>
      <c r="E128" s="2"/>
      <c r="F128" s="3"/>
      <c r="G128" s="3"/>
      <c r="H128" s="3"/>
      <c r="I128" s="3"/>
      <c r="J128" s="3"/>
    </row>
    <row r="129" s="1" customFormat="1" customHeight="1" spans="1:10">
      <c r="A129" s="2"/>
      <c r="B129" s="1"/>
      <c r="C129" s="3"/>
      <c r="D129" s="3"/>
      <c r="E129" s="2"/>
      <c r="F129" s="3"/>
      <c r="G129" s="3"/>
      <c r="H129" s="3"/>
      <c r="I129" s="3"/>
      <c r="J129" s="3"/>
    </row>
    <row r="130" s="1" customFormat="1" customHeight="1" spans="1:10">
      <c r="A130" s="2"/>
      <c r="B130" s="1"/>
      <c r="C130" s="3"/>
      <c r="D130" s="3"/>
      <c r="E130" s="2"/>
      <c r="F130" s="3"/>
      <c r="G130" s="3"/>
      <c r="H130" s="3"/>
      <c r="I130" s="3"/>
      <c r="J130" s="3"/>
    </row>
    <row r="131" s="1" customFormat="1" customHeight="1" spans="1:10">
      <c r="A131" s="2"/>
      <c r="B131" s="1"/>
      <c r="C131" s="3"/>
      <c r="D131" s="3"/>
      <c r="E131" s="2"/>
      <c r="F131" s="3"/>
      <c r="G131" s="3"/>
      <c r="H131" s="3"/>
      <c r="I131" s="3"/>
      <c r="J131" s="3"/>
    </row>
    <row r="132" s="1" customFormat="1" customHeight="1" spans="1:10">
      <c r="A132" s="2"/>
      <c r="B132" s="1"/>
      <c r="C132" s="3"/>
      <c r="D132" s="3"/>
      <c r="E132" s="2"/>
      <c r="F132" s="3"/>
      <c r="G132" s="3"/>
      <c r="H132" s="3"/>
      <c r="I132" s="3"/>
      <c r="J132" s="3"/>
    </row>
    <row r="133" s="1" customFormat="1" customHeight="1" spans="1:10">
      <c r="A133" s="2"/>
      <c r="B133" s="1"/>
      <c r="C133" s="3"/>
      <c r="D133" s="3"/>
      <c r="E133" s="2"/>
      <c r="F133" s="3"/>
      <c r="G133" s="3"/>
      <c r="H133" s="3"/>
      <c r="I133" s="3"/>
      <c r="J133" s="3"/>
    </row>
    <row r="134" s="1" customFormat="1" customHeight="1" spans="1:10">
      <c r="A134" s="2"/>
      <c r="B134" s="1"/>
      <c r="C134" s="3"/>
      <c r="D134" s="3"/>
      <c r="E134" s="2"/>
      <c r="F134" s="3"/>
      <c r="G134" s="3"/>
      <c r="H134" s="3"/>
      <c r="I134" s="3"/>
      <c r="J134" s="3"/>
    </row>
    <row r="135" s="1" customFormat="1" customHeight="1" spans="1:10">
      <c r="A135" s="2"/>
      <c r="B135" s="1"/>
      <c r="C135" s="3"/>
      <c r="D135" s="3"/>
      <c r="E135" s="2"/>
      <c r="F135" s="3"/>
      <c r="G135" s="3"/>
      <c r="H135" s="3"/>
      <c r="I135" s="3"/>
      <c r="J135" s="3"/>
    </row>
    <row r="136" s="1" customFormat="1" customHeight="1" spans="1:10">
      <c r="A136" s="2"/>
      <c r="B136" s="1"/>
      <c r="C136" s="3"/>
      <c r="D136" s="3"/>
      <c r="E136" s="2"/>
      <c r="F136" s="3"/>
      <c r="G136" s="3"/>
      <c r="H136" s="3"/>
      <c r="I136" s="3"/>
      <c r="J136" s="3"/>
    </row>
    <row r="137" s="1" customFormat="1" customHeight="1" spans="1:10">
      <c r="A137" s="2"/>
      <c r="B137" s="1"/>
      <c r="C137" s="3"/>
      <c r="D137" s="3"/>
      <c r="E137" s="2"/>
      <c r="F137" s="3"/>
      <c r="G137" s="3"/>
      <c r="H137" s="3"/>
      <c r="I137" s="3"/>
      <c r="J137" s="3"/>
    </row>
    <row r="138" s="1" customFormat="1" customHeight="1" spans="1:10">
      <c r="A138" s="2"/>
      <c r="B138" s="1"/>
      <c r="C138" s="3"/>
      <c r="D138" s="3"/>
      <c r="E138" s="2"/>
      <c r="F138" s="3"/>
      <c r="G138" s="3"/>
      <c r="H138" s="3"/>
      <c r="I138" s="3"/>
      <c r="J138" s="3"/>
    </row>
    <row r="139" s="1" customFormat="1" customHeight="1" spans="1:10">
      <c r="A139" s="2"/>
      <c r="B139" s="1"/>
      <c r="C139" s="3"/>
      <c r="D139" s="3"/>
      <c r="E139" s="2"/>
      <c r="F139" s="3"/>
      <c r="G139" s="3"/>
      <c r="H139" s="3"/>
      <c r="I139" s="3"/>
      <c r="J139" s="3"/>
    </row>
    <row r="140" s="1" customFormat="1" customHeight="1" spans="1:10">
      <c r="A140" s="2"/>
      <c r="B140" s="1"/>
      <c r="C140" s="3"/>
      <c r="D140" s="3"/>
      <c r="E140" s="2"/>
      <c r="F140" s="3"/>
      <c r="G140" s="3"/>
      <c r="H140" s="3"/>
      <c r="I140" s="3"/>
      <c r="J140" s="3"/>
    </row>
    <row r="141" s="1" customFormat="1" customHeight="1" spans="1:10">
      <c r="A141" s="2"/>
      <c r="B141" s="1"/>
      <c r="C141" s="3"/>
      <c r="D141" s="3"/>
      <c r="E141" s="2"/>
      <c r="F141" s="3"/>
      <c r="G141" s="3"/>
      <c r="H141" s="3"/>
      <c r="I141" s="3"/>
      <c r="J141" s="3"/>
    </row>
    <row r="142" s="1" customFormat="1" customHeight="1" spans="1:10">
      <c r="A142" s="2"/>
      <c r="B142" s="1"/>
      <c r="C142" s="3"/>
      <c r="D142" s="3"/>
      <c r="E142" s="2"/>
      <c r="F142" s="3"/>
      <c r="G142" s="3"/>
      <c r="H142" s="3"/>
      <c r="I142" s="3"/>
      <c r="J142" s="3"/>
    </row>
    <row r="143" s="1" customFormat="1" customHeight="1" spans="1:10">
      <c r="A143" s="2"/>
      <c r="B143" s="1"/>
      <c r="C143" s="3"/>
      <c r="D143" s="3"/>
      <c r="E143" s="2"/>
      <c r="F143" s="3"/>
      <c r="G143" s="3"/>
      <c r="H143" s="3"/>
      <c r="I143" s="3"/>
      <c r="J143" s="3"/>
    </row>
    <row r="144" s="1" customFormat="1" customHeight="1" spans="1:10">
      <c r="A144" s="2"/>
      <c r="B144" s="1"/>
      <c r="C144" s="3"/>
      <c r="D144" s="3"/>
      <c r="E144" s="2"/>
      <c r="F144" s="3"/>
      <c r="G144" s="3"/>
      <c r="H144" s="3"/>
      <c r="I144" s="3"/>
      <c r="J144" s="3"/>
    </row>
    <row r="145" s="1" customFormat="1" customHeight="1" spans="1:10">
      <c r="A145" s="2"/>
      <c r="B145" s="1"/>
      <c r="C145" s="3"/>
      <c r="D145" s="3"/>
      <c r="E145" s="2"/>
      <c r="F145" s="3"/>
      <c r="G145" s="3"/>
      <c r="H145" s="3"/>
      <c r="I145" s="3"/>
      <c r="J145" s="3"/>
    </row>
    <row r="146" s="1" customFormat="1" customHeight="1" spans="1:10">
      <c r="A146" s="2"/>
      <c r="B146" s="1"/>
      <c r="C146" s="3"/>
      <c r="D146" s="3"/>
      <c r="E146" s="2"/>
      <c r="F146" s="3"/>
      <c r="G146" s="3"/>
      <c r="H146" s="3"/>
      <c r="I146" s="3"/>
      <c r="J146" s="3"/>
    </row>
    <row r="147" s="1" customFormat="1" customHeight="1" spans="1:10">
      <c r="A147" s="2"/>
      <c r="B147" s="1"/>
      <c r="C147" s="3"/>
      <c r="D147" s="3"/>
      <c r="E147" s="2"/>
      <c r="F147" s="3"/>
      <c r="G147" s="3"/>
      <c r="H147" s="3"/>
      <c r="I147" s="3"/>
      <c r="J147" s="3"/>
    </row>
    <row r="148" s="1" customFormat="1" customHeight="1" spans="1:10">
      <c r="A148" s="2"/>
      <c r="C148" s="3"/>
      <c r="D148" s="3"/>
      <c r="E148" s="2"/>
      <c r="F148" s="3"/>
      <c r="G148" s="3"/>
      <c r="H148" s="3"/>
      <c r="I148" s="3"/>
      <c r="J148" s="3"/>
    </row>
    <row r="149" s="1" customFormat="1" customHeight="1" spans="1:10">
      <c r="A149" s="2"/>
      <c r="C149" s="3"/>
      <c r="D149" s="3"/>
      <c r="E149" s="2"/>
      <c r="F149" s="3"/>
      <c r="G149" s="3"/>
      <c r="H149" s="3"/>
      <c r="I149" s="3"/>
      <c r="J149" s="3"/>
    </row>
    <row r="150" s="1" customFormat="1" customHeight="1" spans="1:10">
      <c r="A150" s="2"/>
      <c r="C150" s="3"/>
      <c r="D150" s="3"/>
      <c r="E150" s="2"/>
      <c r="F150" s="3"/>
      <c r="G150" s="3"/>
      <c r="H150" s="3"/>
      <c r="I150" s="3"/>
      <c r="J150" s="3"/>
    </row>
    <row r="151" s="1" customFormat="1" customHeight="1" spans="1:10">
      <c r="A151" s="2"/>
      <c r="C151" s="3"/>
      <c r="D151" s="3"/>
      <c r="E151" s="2"/>
      <c r="F151" s="3"/>
      <c r="G151" s="3"/>
      <c r="H151" s="3"/>
      <c r="I151" s="3"/>
      <c r="J151" s="3"/>
    </row>
    <row r="152" s="1" customFormat="1" customHeight="1" spans="1:10">
      <c r="A152" s="2"/>
      <c r="C152" s="3"/>
      <c r="D152" s="3"/>
      <c r="E152" s="2"/>
      <c r="F152" s="3"/>
      <c r="G152" s="3"/>
      <c r="H152" s="3"/>
      <c r="I152" s="3"/>
      <c r="J152" s="3"/>
    </row>
    <row r="153" s="1" customFormat="1" customHeight="1" spans="1:10">
      <c r="A153" s="2"/>
      <c r="C153" s="3"/>
      <c r="D153" s="3"/>
      <c r="E153" s="2"/>
      <c r="F153" s="3"/>
      <c r="G153" s="3"/>
      <c r="H153" s="3"/>
      <c r="I153" s="3"/>
      <c r="J153" s="3"/>
    </row>
    <row r="154" s="1" customFormat="1" customHeight="1" spans="1:10">
      <c r="A154" s="2"/>
      <c r="C154" s="3"/>
      <c r="D154" s="3"/>
      <c r="E154" s="2"/>
      <c r="F154" s="3"/>
      <c r="G154" s="3"/>
      <c r="H154" s="3"/>
      <c r="I154" s="3"/>
      <c r="J154" s="3"/>
    </row>
    <row r="155" s="1" customFormat="1" customHeight="1" spans="1:10">
      <c r="A155" s="2"/>
      <c r="C155" s="3"/>
      <c r="D155" s="3"/>
      <c r="E155" s="2"/>
      <c r="F155" s="3"/>
      <c r="G155" s="3"/>
      <c r="H155" s="3"/>
      <c r="I155" s="3"/>
      <c r="J155" s="3"/>
    </row>
    <row r="156" s="1" customFormat="1" customHeight="1" spans="1:10">
      <c r="A156" s="2"/>
      <c r="C156" s="3"/>
      <c r="D156" s="3"/>
      <c r="E156" s="2"/>
      <c r="F156" s="3"/>
      <c r="G156" s="3"/>
      <c r="H156" s="3"/>
      <c r="I156" s="3"/>
      <c r="J156" s="3"/>
    </row>
    <row r="157" s="1" customFormat="1" customHeight="1" spans="1:10">
      <c r="A157" s="2"/>
      <c r="C157" s="3"/>
      <c r="D157" s="3"/>
      <c r="E157" s="2"/>
      <c r="F157" s="3"/>
      <c r="G157" s="3"/>
      <c r="H157" s="3"/>
      <c r="I157" s="3"/>
      <c r="J157" s="3"/>
    </row>
    <row r="158" s="1" customFormat="1" customHeight="1" spans="1:10">
      <c r="A158" s="2"/>
      <c r="C158" s="3"/>
      <c r="D158" s="3"/>
      <c r="E158" s="2"/>
      <c r="F158" s="3"/>
      <c r="G158" s="3"/>
      <c r="H158" s="3"/>
      <c r="I158" s="3"/>
      <c r="J158" s="3"/>
    </row>
    <row r="159" s="1" customFormat="1" customHeight="1" spans="1:10">
      <c r="A159" s="2"/>
      <c r="C159" s="3"/>
      <c r="D159" s="3"/>
      <c r="E159" s="2"/>
      <c r="F159" s="3"/>
      <c r="G159" s="3"/>
      <c r="H159" s="3"/>
      <c r="I159" s="3"/>
      <c r="J159" s="3"/>
    </row>
    <row r="160" s="1" customFormat="1" customHeight="1" spans="1:10">
      <c r="A160" s="2"/>
      <c r="C160" s="3"/>
      <c r="D160" s="3"/>
      <c r="E160" s="2"/>
      <c r="F160" s="3"/>
      <c r="G160" s="3"/>
      <c r="H160" s="3"/>
      <c r="I160" s="3"/>
      <c r="J160" s="3"/>
    </row>
    <row r="161" s="1" customFormat="1" customHeight="1" spans="1:10">
      <c r="A161" s="2"/>
      <c r="C161" s="3"/>
      <c r="D161" s="3"/>
      <c r="E161" s="2"/>
      <c r="F161" s="3"/>
      <c r="G161" s="3"/>
      <c r="H161" s="3"/>
      <c r="I161" s="3"/>
      <c r="J161" s="3"/>
    </row>
    <row r="162" s="1" customFormat="1" customHeight="1" spans="1:10">
      <c r="A162" s="2"/>
      <c r="C162" s="3"/>
      <c r="D162" s="3"/>
      <c r="E162" s="2"/>
      <c r="F162" s="3"/>
      <c r="G162" s="3"/>
      <c r="H162" s="3"/>
      <c r="I162" s="3"/>
      <c r="J162" s="3"/>
    </row>
    <row r="163" s="1" customFormat="1" customHeight="1" spans="1:10">
      <c r="A163" s="2"/>
      <c r="C163" s="3"/>
      <c r="D163" s="3"/>
      <c r="E163" s="2"/>
      <c r="F163" s="3"/>
      <c r="G163" s="3"/>
      <c r="H163" s="3"/>
      <c r="I163" s="3"/>
      <c r="J163" s="3"/>
    </row>
    <row r="164" s="1" customFormat="1" customHeight="1" spans="1:10">
      <c r="A164" s="2"/>
      <c r="C164" s="3"/>
      <c r="D164" s="3"/>
      <c r="E164" s="2"/>
      <c r="F164" s="3"/>
      <c r="G164" s="3"/>
      <c r="H164" s="3"/>
      <c r="I164" s="3"/>
      <c r="J164" s="3"/>
    </row>
    <row r="165" s="1" customFormat="1" customHeight="1" spans="1:10">
      <c r="A165" s="2"/>
      <c r="C165" s="3"/>
      <c r="D165" s="3"/>
      <c r="E165" s="2"/>
      <c r="F165" s="3"/>
      <c r="G165" s="3"/>
      <c r="H165" s="3"/>
      <c r="I165" s="3"/>
      <c r="J165" s="3"/>
    </row>
    <row r="166" s="1" customFormat="1" customHeight="1" spans="1:10">
      <c r="A166" s="2"/>
      <c r="C166" s="3"/>
      <c r="D166" s="3"/>
      <c r="E166" s="2"/>
      <c r="F166" s="3"/>
      <c r="G166" s="3"/>
      <c r="H166" s="3"/>
      <c r="I166" s="3"/>
      <c r="J166" s="3"/>
    </row>
    <row r="167" s="1" customFormat="1" customHeight="1" spans="1:10">
      <c r="A167" s="2"/>
      <c r="C167" s="3"/>
      <c r="D167" s="3"/>
      <c r="E167" s="2"/>
      <c r="F167" s="3"/>
      <c r="G167" s="3"/>
      <c r="H167" s="3"/>
      <c r="I167" s="3"/>
      <c r="J167" s="3"/>
    </row>
    <row r="168" s="1" customFormat="1" customHeight="1" spans="1:10">
      <c r="A168" s="2"/>
      <c r="C168" s="3"/>
      <c r="D168" s="3"/>
      <c r="E168" s="2"/>
      <c r="F168" s="3"/>
      <c r="G168" s="3"/>
      <c r="H168" s="3"/>
      <c r="I168" s="3"/>
      <c r="J168" s="3"/>
    </row>
    <row r="169" s="1" customFormat="1" customHeight="1" spans="1:10">
      <c r="A169" s="2"/>
      <c r="C169" s="3"/>
      <c r="D169" s="3"/>
      <c r="E169" s="2"/>
      <c r="F169" s="3"/>
      <c r="G169" s="3"/>
      <c r="H169" s="3"/>
      <c r="I169" s="3"/>
      <c r="J169" s="3"/>
    </row>
    <row r="170" s="1" customFormat="1" customHeight="1" spans="1:10">
      <c r="A170" s="2"/>
      <c r="C170" s="3"/>
      <c r="D170" s="3"/>
      <c r="E170" s="2"/>
      <c r="F170" s="3"/>
      <c r="G170" s="3"/>
      <c r="H170" s="3"/>
      <c r="I170" s="3"/>
      <c r="J170" s="3"/>
    </row>
    <row r="171" s="1" customFormat="1" customHeight="1" spans="1:10">
      <c r="A171" s="2"/>
      <c r="C171" s="3"/>
      <c r="D171" s="3"/>
      <c r="E171" s="2"/>
      <c r="F171" s="3"/>
      <c r="G171" s="3"/>
      <c r="H171" s="3"/>
      <c r="I171" s="3"/>
      <c r="J171" s="3"/>
    </row>
    <row r="172" s="1" customFormat="1" customHeight="1" spans="1:10">
      <c r="A172" s="2"/>
      <c r="C172" s="3"/>
      <c r="D172" s="3"/>
      <c r="E172" s="2"/>
      <c r="F172" s="3"/>
      <c r="G172" s="3"/>
      <c r="H172" s="3"/>
      <c r="I172" s="3"/>
      <c r="J172" s="3"/>
    </row>
    <row r="173" s="1" customFormat="1" customHeight="1" spans="1:10">
      <c r="A173" s="2"/>
      <c r="C173" s="3"/>
      <c r="D173" s="3"/>
      <c r="E173" s="2"/>
      <c r="F173" s="3"/>
      <c r="G173" s="3"/>
      <c r="H173" s="3"/>
      <c r="I173" s="3"/>
      <c r="J173" s="3"/>
    </row>
    <row r="174" s="1" customFormat="1" customHeight="1" spans="1:10">
      <c r="A174" s="2"/>
      <c r="C174" s="3"/>
      <c r="D174" s="3"/>
      <c r="E174" s="2"/>
      <c r="F174" s="3"/>
      <c r="G174" s="3"/>
      <c r="H174" s="3"/>
      <c r="I174" s="3"/>
      <c r="J174" s="3"/>
    </row>
    <row r="175" s="1" customFormat="1" customHeight="1" spans="1:10">
      <c r="A175" s="2"/>
      <c r="C175" s="3"/>
      <c r="D175" s="3"/>
      <c r="E175" s="2"/>
      <c r="F175" s="3"/>
      <c r="G175" s="3"/>
      <c r="H175" s="3"/>
      <c r="I175" s="3"/>
      <c r="J175" s="3"/>
    </row>
    <row r="176" s="1" customFormat="1" customHeight="1" spans="1:10">
      <c r="A176" s="2"/>
      <c r="C176" s="3"/>
      <c r="D176" s="3"/>
      <c r="E176" s="2"/>
      <c r="F176" s="3"/>
      <c r="G176" s="3"/>
      <c r="H176" s="3"/>
      <c r="I176" s="3"/>
      <c r="J176" s="3"/>
    </row>
    <row r="177" s="1" customFormat="1" customHeight="1" spans="1:10">
      <c r="A177" s="2"/>
      <c r="C177" s="3"/>
      <c r="D177" s="3"/>
      <c r="E177" s="2"/>
      <c r="F177" s="3"/>
      <c r="G177" s="3"/>
      <c r="H177" s="3"/>
      <c r="I177" s="3"/>
      <c r="J177" s="3"/>
    </row>
    <row r="178" s="1" customFormat="1" customHeight="1" spans="1:10">
      <c r="A178" s="2"/>
      <c r="C178" s="3"/>
      <c r="D178" s="3"/>
      <c r="E178" s="2"/>
      <c r="F178" s="3"/>
      <c r="G178" s="3"/>
      <c r="H178" s="3"/>
      <c r="I178" s="3"/>
      <c r="J178" s="3"/>
    </row>
    <row r="179" s="1" customFormat="1" customHeight="1" spans="1:10">
      <c r="A179" s="2"/>
      <c r="C179" s="3"/>
      <c r="D179" s="3"/>
      <c r="E179" s="2"/>
      <c r="F179" s="3"/>
      <c r="G179" s="3"/>
      <c r="H179" s="3"/>
      <c r="I179" s="3"/>
      <c r="J179" s="3"/>
    </row>
    <row r="180" s="1" customFormat="1" customHeight="1" spans="1:10">
      <c r="A180" s="2"/>
      <c r="C180" s="3"/>
      <c r="D180" s="3"/>
      <c r="E180" s="2"/>
      <c r="F180" s="3"/>
      <c r="G180" s="3"/>
      <c r="H180" s="3"/>
      <c r="I180" s="3"/>
      <c r="J180" s="3"/>
    </row>
    <row r="181" s="1" customFormat="1" customHeight="1" spans="1:10">
      <c r="A181" s="2"/>
      <c r="C181" s="3"/>
      <c r="D181" s="3"/>
      <c r="E181" s="2"/>
      <c r="F181" s="3"/>
      <c r="G181" s="3"/>
      <c r="H181" s="3"/>
      <c r="I181" s="3"/>
      <c r="J181" s="3"/>
    </row>
    <row r="182" s="1" customFormat="1" customHeight="1" spans="1:10">
      <c r="A182" s="2"/>
      <c r="C182" s="3"/>
      <c r="D182" s="3"/>
      <c r="E182" s="2"/>
      <c r="F182" s="3"/>
      <c r="G182" s="3"/>
      <c r="H182" s="3"/>
      <c r="I182" s="3"/>
      <c r="J182" s="3"/>
    </row>
    <row r="183" s="1" customFormat="1" customHeight="1" spans="1:10">
      <c r="A183" s="2"/>
      <c r="C183" s="3"/>
      <c r="D183" s="3"/>
      <c r="E183" s="2"/>
      <c r="F183" s="3"/>
      <c r="G183" s="3"/>
      <c r="H183" s="3"/>
      <c r="I183" s="3"/>
      <c r="J183" s="3"/>
    </row>
  </sheetData>
  <conditionalFormatting sqref="J1">
    <cfRule type="expression" dxfId="0" priority="2">
      <formula>$A2&lt;&gt;""</formula>
    </cfRule>
    <cfRule type="expression" dxfId="0" priority="1">
      <formula>$A1&lt;&gt;""</formula>
    </cfRule>
  </conditionalFormatting>
  <conditionalFormatting sqref="M10">
    <cfRule type="expression" dxfId="0" priority="6">
      <formula>$A3&lt;&gt;""</formula>
    </cfRule>
  </conditionalFormatting>
  <conditionalFormatting sqref="A1048576:K1048576">
    <cfRule type="expression" dxfId="0" priority="7">
      <formula>$A1048576&lt;&gt;""</formula>
    </cfRule>
    <cfRule type="expression" dxfId="0" priority="8">
      <formula>$A1&lt;&gt;""</formula>
    </cfRule>
  </conditionalFormatting>
  <conditionalFormatting sqref="A1:I1 K1 A2:K1048575">
    <cfRule type="expression" dxfId="0" priority="3">
      <formula>$A1&lt;&gt;""</formula>
    </cfRule>
    <cfRule type="expression" dxfId="0" priority="5">
      <formula>$A2&lt;&gt;""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D18" sqref="D18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  <c r="N2" s="1" t="str">
        <v>德安养老中心</v>
      </c>
      <c r="O2" s="1">
        <v>55000</v>
      </c>
      <c r="P2" s="1">
        <v>55400</v>
      </c>
    </row>
    <row r="3" s="1" customFormat="1" customHeight="1" spans="1:16">
      <c r="A3" s="12">
        <v>46036</v>
      </c>
      <c r="B3" s="13" t="s">
        <v>9</v>
      </c>
      <c r="C3" s="14">
        <v>4900</v>
      </c>
      <c r="D3" s="14">
        <v>4900</v>
      </c>
      <c r="E3" s="12">
        <v>46036</v>
      </c>
      <c r="F3" s="14" t="s">
        <v>31</v>
      </c>
      <c r="G3" s="14" t="s">
        <v>51</v>
      </c>
      <c r="H3" s="14"/>
      <c r="I3" s="14"/>
      <c r="J3" s="14"/>
      <c r="K3" s="14"/>
      <c r="L3" s="13"/>
      <c r="N3" s="1" t="str">
        <v>总计</v>
      </c>
      <c r="O3" s="1">
        <v>55000</v>
      </c>
      <c r="P3" s="1">
        <v>55400</v>
      </c>
    </row>
    <row r="4" s="1" customFormat="1" customHeight="1" spans="1:16">
      <c r="A4" s="12">
        <v>46036</v>
      </c>
      <c r="B4" s="13" t="s">
        <v>9</v>
      </c>
      <c r="C4" s="14">
        <v>4100</v>
      </c>
      <c r="D4" s="14">
        <v>4100</v>
      </c>
      <c r="E4" s="12">
        <v>46036</v>
      </c>
      <c r="F4" s="14" t="s">
        <v>31</v>
      </c>
      <c r="G4" s="14" t="s">
        <v>52</v>
      </c>
      <c r="H4" s="14"/>
      <c r="I4" s="14"/>
      <c r="J4" s="14"/>
      <c r="K4" s="14"/>
      <c r="L4" s="13"/>
    </row>
    <row r="5" s="1" customFormat="1" customHeight="1" spans="1:16">
      <c r="A5" s="12">
        <v>46036</v>
      </c>
      <c r="B5" s="13" t="s">
        <v>9</v>
      </c>
      <c r="C5" s="14">
        <v>4100</v>
      </c>
      <c r="D5" s="14">
        <v>4100</v>
      </c>
      <c r="E5" s="12">
        <v>46036</v>
      </c>
      <c r="F5" s="14" t="s">
        <v>31</v>
      </c>
      <c r="G5" s="14" t="s">
        <v>53</v>
      </c>
      <c r="H5" s="14"/>
      <c r="I5" s="14"/>
      <c r="J5" s="14"/>
      <c r="K5" s="14"/>
      <c r="L5" s="13"/>
    </row>
    <row r="6" s="1" customFormat="1" customHeight="1" spans="1:16">
      <c r="A6" s="12">
        <v>46036</v>
      </c>
      <c r="B6" s="13" t="s">
        <v>9</v>
      </c>
      <c r="C6" s="14">
        <v>4900</v>
      </c>
      <c r="D6" s="14">
        <v>4900</v>
      </c>
      <c r="E6" s="12">
        <v>46036</v>
      </c>
      <c r="F6" s="14" t="s">
        <v>31</v>
      </c>
      <c r="G6" s="14" t="s">
        <v>54</v>
      </c>
      <c r="H6" s="14"/>
      <c r="I6" s="14"/>
      <c r="J6" s="14"/>
      <c r="K6" s="14"/>
      <c r="L6" s="13"/>
    </row>
    <row r="7" s="1" customFormat="1" customHeight="1" spans="1:16">
      <c r="A7" s="12">
        <v>46036</v>
      </c>
      <c r="B7" s="13" t="s">
        <v>9</v>
      </c>
      <c r="C7" s="14">
        <v>4000</v>
      </c>
      <c r="D7" s="14">
        <v>4000</v>
      </c>
      <c r="E7" s="12">
        <v>46036</v>
      </c>
      <c r="F7" s="14" t="s">
        <v>31</v>
      </c>
      <c r="G7" s="14" t="s">
        <v>55</v>
      </c>
      <c r="H7" s="14"/>
      <c r="I7" s="14"/>
      <c r="J7" s="14"/>
      <c r="K7" s="14"/>
      <c r="L7" s="13"/>
    </row>
    <row r="8" s="1" customFormat="1" customHeight="1" spans="1:16">
      <c r="A8" s="12">
        <v>46036</v>
      </c>
      <c r="B8" s="13" t="s">
        <v>9</v>
      </c>
      <c r="C8" s="14">
        <v>4000</v>
      </c>
      <c r="D8" s="14">
        <v>4000</v>
      </c>
      <c r="E8" s="12">
        <v>46036</v>
      </c>
      <c r="F8" s="14" t="s">
        <v>31</v>
      </c>
      <c r="G8" s="14" t="s">
        <v>56</v>
      </c>
      <c r="H8" s="14"/>
      <c r="I8" s="14"/>
      <c r="J8" s="14"/>
      <c r="K8" s="14"/>
      <c r="L8" s="13"/>
    </row>
    <row r="9" s="1" customFormat="1" customHeight="1" spans="1:16">
      <c r="A9" s="12">
        <v>46036</v>
      </c>
      <c r="B9" s="13" t="s">
        <v>9</v>
      </c>
      <c r="C9" s="14">
        <v>4000</v>
      </c>
      <c r="D9" s="14">
        <v>4000</v>
      </c>
      <c r="E9" s="12">
        <v>46036</v>
      </c>
      <c r="F9" s="14" t="s">
        <v>31</v>
      </c>
      <c r="G9" s="14" t="s">
        <v>57</v>
      </c>
      <c r="H9" s="14"/>
      <c r="I9" s="14"/>
      <c r="J9" s="14"/>
      <c r="K9" s="14"/>
      <c r="L9" s="13"/>
    </row>
    <row r="10" s="1" customFormat="1" customHeight="1" spans="1:16">
      <c r="A10" s="12">
        <v>46068</v>
      </c>
      <c r="B10" s="13" t="s">
        <v>9</v>
      </c>
      <c r="C10" s="14">
        <v>4000</v>
      </c>
      <c r="D10" s="14">
        <v>4000</v>
      </c>
      <c r="E10" s="12">
        <v>46068</v>
      </c>
      <c r="F10" s="14" t="s">
        <v>31</v>
      </c>
      <c r="G10" s="14" t="s">
        <v>57</v>
      </c>
      <c r="H10" s="14"/>
      <c r="I10" s="14"/>
      <c r="J10" s="14"/>
      <c r="K10" s="14"/>
      <c r="L10" s="13"/>
    </row>
    <row r="11" s="1" customFormat="1" customHeight="1" spans="1:16">
      <c r="A11" s="12">
        <v>46068</v>
      </c>
      <c r="B11" s="13" t="s">
        <v>9</v>
      </c>
      <c r="C11" s="14">
        <v>4500</v>
      </c>
      <c r="D11" s="14">
        <v>4500</v>
      </c>
      <c r="E11" s="12">
        <v>46068</v>
      </c>
      <c r="F11" s="14" t="s">
        <v>31</v>
      </c>
      <c r="G11" s="14" t="s">
        <v>55</v>
      </c>
      <c r="H11" s="14"/>
      <c r="I11" s="14"/>
      <c r="J11" s="14"/>
      <c r="K11" s="14"/>
      <c r="L11" s="13"/>
    </row>
    <row r="12" s="1" customFormat="1" customHeight="1" spans="1:16">
      <c r="A12" s="12">
        <v>46068</v>
      </c>
      <c r="B12" s="13" t="s">
        <v>9</v>
      </c>
      <c r="C12" s="14">
        <v>4500</v>
      </c>
      <c r="D12" s="14">
        <v>4500</v>
      </c>
      <c r="E12" s="12">
        <v>46068</v>
      </c>
      <c r="F12" s="14" t="s">
        <v>31</v>
      </c>
      <c r="G12" s="14" t="s">
        <v>54</v>
      </c>
      <c r="H12" s="14"/>
      <c r="I12" s="14"/>
      <c r="J12" s="14"/>
      <c r="K12" s="14"/>
      <c r="L12" s="13"/>
    </row>
    <row r="13" s="1" customFormat="1" customHeight="1" spans="1:16">
      <c r="A13" s="12">
        <v>46068</v>
      </c>
      <c r="B13" s="13" t="s">
        <v>9</v>
      </c>
      <c r="C13" s="14">
        <v>3000</v>
      </c>
      <c r="D13" s="14">
        <v>3000</v>
      </c>
      <c r="E13" s="12">
        <v>46068</v>
      </c>
      <c r="F13" s="14" t="s">
        <v>31</v>
      </c>
      <c r="G13" s="14" t="s">
        <v>51</v>
      </c>
      <c r="H13" s="14"/>
      <c r="I13" s="14"/>
      <c r="J13" s="14"/>
      <c r="K13" s="14"/>
      <c r="L13" s="13"/>
    </row>
    <row r="14" s="1" customFormat="1" customHeight="1" spans="1:16">
      <c r="A14" s="12">
        <v>46068</v>
      </c>
      <c r="B14" s="13" t="s">
        <v>9</v>
      </c>
      <c r="C14" s="14">
        <v>4500</v>
      </c>
      <c r="D14" s="14">
        <v>4500</v>
      </c>
      <c r="E14" s="12">
        <v>46068</v>
      </c>
      <c r="F14" s="14" t="s">
        <v>31</v>
      </c>
      <c r="G14" s="14" t="s">
        <v>58</v>
      </c>
      <c r="H14" s="14"/>
      <c r="I14" s="14"/>
      <c r="J14" s="14"/>
      <c r="K14" s="14"/>
      <c r="L14" s="13"/>
    </row>
    <row r="15" s="1" customFormat="1" customHeight="1" spans="1:16">
      <c r="A15" s="12">
        <v>46068</v>
      </c>
      <c r="B15" s="13" t="s">
        <v>9</v>
      </c>
      <c r="C15" s="14">
        <v>4500</v>
      </c>
      <c r="D15" s="14">
        <v>4500</v>
      </c>
      <c r="E15" s="12">
        <v>46068</v>
      </c>
      <c r="F15" s="14" t="s">
        <v>31</v>
      </c>
      <c r="G15" s="14" t="s">
        <v>59</v>
      </c>
      <c r="H15" s="14"/>
      <c r="I15" s="14"/>
      <c r="J15" s="14"/>
      <c r="K15" s="14"/>
      <c r="L15" s="13"/>
    </row>
    <row r="16" s="1" customFormat="1" customHeight="1" spans="1:16">
      <c r="A16" s="12">
        <v>25</v>
      </c>
      <c r="B16" s="13" t="s">
        <v>9</v>
      </c>
      <c r="C16" s="14"/>
      <c r="D16" s="14">
        <v>400</v>
      </c>
      <c r="E16" s="12">
        <v>25</v>
      </c>
      <c r="F16" s="14" t="s">
        <v>60</v>
      </c>
      <c r="G16" s="14" t="s">
        <v>61</v>
      </c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D5" sqref="D5:D7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 t="s">
        <v>62</v>
      </c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5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  <c r="N2" s="1" t="str">
        <v>德安养老中心</v>
      </c>
      <c r="O2" s="1">
        <v>101842.53</v>
      </c>
      <c r="P2" s="1">
        <v>89798</v>
      </c>
    </row>
    <row r="3" s="1" customFormat="1" customHeight="1" spans="1:16">
      <c r="A3" s="12">
        <v>45957</v>
      </c>
      <c r="B3" s="13" t="s">
        <v>9</v>
      </c>
      <c r="C3" s="14">
        <v>10440</v>
      </c>
      <c r="D3" s="14">
        <v>20000</v>
      </c>
      <c r="E3" s="12">
        <v>45959</v>
      </c>
      <c r="F3" s="14" t="s">
        <v>31</v>
      </c>
      <c r="G3" s="14" t="s">
        <v>63</v>
      </c>
      <c r="H3" s="14"/>
      <c r="I3" s="14"/>
      <c r="J3" s="14"/>
      <c r="K3" s="14"/>
      <c r="L3" s="13"/>
      <c r="N3" s="1" t="str">
        <v>抚州1号楼</v>
      </c>
      <c r="O3" s="1">
        <v>14680</v>
      </c>
      <c r="P3" s="1">
        <v>34184</v>
      </c>
    </row>
    <row r="4" s="1" customFormat="1" customHeight="1" spans="1:16">
      <c r="A4" s="12">
        <v>45957</v>
      </c>
      <c r="B4" s="13" t="s">
        <v>9</v>
      </c>
      <c r="C4" s="14">
        <v>26630.1</v>
      </c>
      <c r="D4" s="14">
        <v>10540</v>
      </c>
      <c r="E4" s="12">
        <v>45968</v>
      </c>
      <c r="F4" s="14" t="s">
        <v>31</v>
      </c>
      <c r="G4" s="14" t="s">
        <v>63</v>
      </c>
      <c r="H4" s="14"/>
      <c r="I4" s="14"/>
      <c r="J4" s="14"/>
      <c r="K4" s="14"/>
      <c r="L4" s="13"/>
      <c r="N4" s="1" t="str">
        <v>抚州8号楼</v>
      </c>
      <c r="O4" s="1">
        <v>12400</v>
      </c>
      <c r="P4" s="1">
        <v>4940</v>
      </c>
    </row>
    <row r="5" s="1" customFormat="1" customHeight="1" spans="1:16">
      <c r="A5" s="12">
        <v>45961</v>
      </c>
      <c r="B5" s="13" t="s">
        <v>9</v>
      </c>
      <c r="C5" s="14">
        <v>4084.5</v>
      </c>
      <c r="D5" s="14">
        <v>10000</v>
      </c>
      <c r="E5" s="12">
        <v>46067</v>
      </c>
      <c r="F5" s="14" t="s">
        <v>31</v>
      </c>
      <c r="G5" s="14" t="s">
        <v>64</v>
      </c>
      <c r="H5" s="14"/>
      <c r="I5" s="14"/>
      <c r="J5" s="14"/>
      <c r="K5" s="14"/>
      <c r="L5" s="13"/>
      <c r="N5" s="1" t="str">
        <v>总计</v>
      </c>
      <c r="O5" s="1">
        <v>128922.53</v>
      </c>
      <c r="P5" s="1">
        <v>128922</v>
      </c>
    </row>
    <row r="6" s="1" customFormat="1" customHeight="1" spans="1:16">
      <c r="A6" s="12">
        <v>45956</v>
      </c>
      <c r="B6" s="13" t="s">
        <v>9</v>
      </c>
      <c r="C6" s="14">
        <v>5179.2</v>
      </c>
      <c r="D6" s="14">
        <v>10000</v>
      </c>
      <c r="E6" s="12">
        <v>46067</v>
      </c>
      <c r="F6" s="14" t="s">
        <v>31</v>
      </c>
      <c r="G6" s="14" t="s">
        <v>65</v>
      </c>
      <c r="H6" s="14"/>
      <c r="I6" s="14"/>
      <c r="J6" s="14"/>
      <c r="K6" s="14"/>
      <c r="L6" s="13"/>
    </row>
    <row r="7" s="1" customFormat="1" customHeight="1" spans="1:16">
      <c r="A7" s="12">
        <v>45956</v>
      </c>
      <c r="B7" s="13" t="s">
        <v>9</v>
      </c>
      <c r="C7" s="14">
        <v>13300</v>
      </c>
      <c r="D7" s="14">
        <v>10000</v>
      </c>
      <c r="E7" s="12">
        <v>46067</v>
      </c>
      <c r="F7" s="14" t="s">
        <v>31</v>
      </c>
      <c r="G7" s="14" t="s">
        <v>66</v>
      </c>
      <c r="H7" s="14"/>
      <c r="I7" s="14"/>
      <c r="J7" s="14"/>
      <c r="K7" s="14"/>
      <c r="L7" s="13"/>
    </row>
    <row r="8" s="1" customFormat="1" customHeight="1" spans="1:16">
      <c r="A8" s="12">
        <v>46093</v>
      </c>
      <c r="B8" s="13" t="s">
        <v>9</v>
      </c>
      <c r="C8" s="14">
        <v>25268.73</v>
      </c>
      <c r="D8" s="14">
        <v>7600</v>
      </c>
      <c r="E8" s="12">
        <v>46097</v>
      </c>
      <c r="F8" s="14" t="s">
        <v>31</v>
      </c>
      <c r="G8" s="14" t="s">
        <v>63</v>
      </c>
      <c r="H8" s="14"/>
      <c r="I8" s="14"/>
      <c r="J8" s="14"/>
      <c r="K8" s="14"/>
      <c r="L8" s="13"/>
    </row>
    <row r="9" s="1" customFormat="1" customHeight="1" spans="1:16">
      <c r="A9" s="12">
        <v>46126</v>
      </c>
      <c r="B9" s="13" t="s">
        <v>9</v>
      </c>
      <c r="C9" s="14">
        <v>12000</v>
      </c>
      <c r="D9" s="14">
        <v>21658</v>
      </c>
      <c r="E9" s="12">
        <v>46123</v>
      </c>
      <c r="F9" s="14" t="s">
        <v>31</v>
      </c>
      <c r="G9" s="14" t="s">
        <v>63</v>
      </c>
      <c r="H9" s="14"/>
      <c r="I9" s="14"/>
      <c r="J9" s="14"/>
      <c r="K9" s="14"/>
      <c r="L9" s="13"/>
    </row>
    <row r="10" s="1" customFormat="1" customHeight="1" spans="1:16">
      <c r="A10" s="12">
        <v>45966</v>
      </c>
      <c r="B10" s="13" t="s">
        <v>13</v>
      </c>
      <c r="C10" s="14">
        <v>8680</v>
      </c>
      <c r="D10" s="14">
        <v>7600</v>
      </c>
      <c r="E10" s="12">
        <v>46091</v>
      </c>
      <c r="F10" s="14" t="s">
        <v>67</v>
      </c>
      <c r="G10" s="14" t="s">
        <v>63</v>
      </c>
      <c r="H10" s="14"/>
      <c r="I10" s="14"/>
      <c r="J10" s="14"/>
      <c r="K10" s="14"/>
      <c r="L10" s="13"/>
    </row>
    <row r="11" s="1" customFormat="1" customHeight="1" spans="1:16">
      <c r="A11" s="12">
        <v>45966</v>
      </c>
      <c r="B11" s="13" t="s">
        <v>13</v>
      </c>
      <c r="C11" s="14">
        <v>6000</v>
      </c>
      <c r="D11" s="14">
        <v>26584</v>
      </c>
      <c r="E11" s="12">
        <v>46142</v>
      </c>
      <c r="F11" s="14" t="s">
        <v>31</v>
      </c>
      <c r="G11" s="14" t="s">
        <v>66</v>
      </c>
      <c r="H11" s="14"/>
      <c r="I11" s="14"/>
      <c r="J11" s="14"/>
      <c r="K11" s="14"/>
      <c r="L11" s="13"/>
    </row>
    <row r="12" s="1" customFormat="1" customHeight="1" spans="1:16">
      <c r="A12" s="12">
        <v>46091</v>
      </c>
      <c r="B12" s="13" t="s">
        <v>14</v>
      </c>
      <c r="C12" s="14">
        <v>12400</v>
      </c>
      <c r="D12" s="14">
        <v>4940</v>
      </c>
      <c r="E12" s="12">
        <v>46148</v>
      </c>
      <c r="F12" s="14" t="s">
        <v>31</v>
      </c>
      <c r="G12" s="14" t="s">
        <v>63</v>
      </c>
      <c r="H12" s="14"/>
      <c r="I12" s="14"/>
      <c r="J12" s="14"/>
      <c r="K12" s="14"/>
      <c r="L12" s="13"/>
    </row>
    <row r="13" s="1" customFormat="1" customHeight="1" spans="1:16">
      <c r="A13" s="12">
        <v>46092</v>
      </c>
      <c r="B13" s="13" t="s">
        <v>9</v>
      </c>
      <c r="C13" s="14">
        <v>4940</v>
      </c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D3" sqref="D3:D5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4.625" style="3" customWidth="1"/>
    <col min="8" max="8" width="14.0916666666667" style="3" customWidth="1"/>
    <col min="9" max="9" width="14.0916666666667" style="2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 t="s">
        <v>68</v>
      </c>
      <c r="B1" s="5"/>
      <c r="C1" s="6"/>
      <c r="D1" s="6"/>
      <c r="E1" s="7"/>
      <c r="F1" s="6"/>
      <c r="G1" s="6"/>
      <c r="H1" s="6"/>
      <c r="I1" s="7"/>
      <c r="J1" s="6"/>
      <c r="K1" s="8" t="str">
        <f>HYPERLINK("#总表！A3","返回总表")</f>
        <v>返回总表</v>
      </c>
      <c r="L1" s="5"/>
      <c r="N1" s="1" t="str" cm="1">
        <f t="array" ref="N1:P6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9" t="s">
        <v>50</v>
      </c>
      <c r="J2" s="11" t="s">
        <v>28</v>
      </c>
      <c r="K2" s="11" t="s">
        <v>29</v>
      </c>
      <c r="L2" s="10" t="s">
        <v>30</v>
      </c>
      <c r="N2" s="1" t="str">
        <v>德安养老中心</v>
      </c>
      <c r="O2" s="1">
        <v>120527</v>
      </c>
      <c r="P2" s="1">
        <v>86150</v>
      </c>
    </row>
    <row r="3" s="1" customFormat="1" customHeight="1" spans="1:16">
      <c r="A3" s="12">
        <v>45968</v>
      </c>
      <c r="B3" s="13" t="s">
        <v>14</v>
      </c>
      <c r="C3" s="14">
        <v>10855</v>
      </c>
      <c r="D3" s="14">
        <v>5093</v>
      </c>
      <c r="E3" s="12">
        <v>45968</v>
      </c>
      <c r="F3" s="14" t="s">
        <v>31</v>
      </c>
      <c r="G3" s="14" t="s">
        <v>69</v>
      </c>
      <c r="H3" s="14">
        <v>5093</v>
      </c>
      <c r="I3" s="12"/>
      <c r="J3" s="14"/>
      <c r="K3" s="14"/>
      <c r="L3" s="13"/>
      <c r="N3" s="1" t="str">
        <v>抚州1号楼</v>
      </c>
      <c r="O3" s="1">
        <v>22812</v>
      </c>
      <c r="P3" s="1">
        <v>7772</v>
      </c>
    </row>
    <row r="4" s="1" customFormat="1" customHeight="1" spans="1:16">
      <c r="A4" s="12">
        <v>46038</v>
      </c>
      <c r="B4" s="13" t="s">
        <v>13</v>
      </c>
      <c r="C4" s="14">
        <v>22812</v>
      </c>
      <c r="D4" s="14">
        <v>7772</v>
      </c>
      <c r="E4" s="12">
        <v>46038</v>
      </c>
      <c r="F4" s="14" t="s">
        <v>31</v>
      </c>
      <c r="G4" s="14" t="s">
        <v>69</v>
      </c>
      <c r="H4" s="14">
        <v>7772</v>
      </c>
      <c r="I4" s="12"/>
      <c r="J4" s="14"/>
      <c r="K4" s="14"/>
      <c r="L4" s="13"/>
      <c r="N4" s="1" t="str">
        <v>抚州8号楼</v>
      </c>
      <c r="O4" s="1">
        <v>10855</v>
      </c>
      <c r="P4" s="1">
        <v>5093</v>
      </c>
    </row>
    <row r="5" s="1" customFormat="1" customHeight="1" spans="1:16">
      <c r="A5" s="12">
        <v>46038</v>
      </c>
      <c r="B5" s="13" t="s">
        <v>16</v>
      </c>
      <c r="C5" s="14">
        <v>1268</v>
      </c>
      <c r="D5" s="14">
        <v>2230</v>
      </c>
      <c r="E5" s="12">
        <v>46038</v>
      </c>
      <c r="F5" s="14" t="s">
        <v>31</v>
      </c>
      <c r="G5" s="14" t="s">
        <v>69</v>
      </c>
      <c r="H5" s="14">
        <v>2230</v>
      </c>
      <c r="I5" s="12"/>
      <c r="J5" s="14"/>
      <c r="K5" s="14"/>
      <c r="L5" s="13"/>
      <c r="N5" s="1" t="str">
        <v>邹桥派出所</v>
      </c>
      <c r="O5" s="1">
        <v>1268</v>
      </c>
      <c r="P5" s="1">
        <v>2230</v>
      </c>
    </row>
    <row r="6" s="1" customFormat="1" customHeight="1" spans="1:16">
      <c r="A6" s="12">
        <v>45961</v>
      </c>
      <c r="B6" s="13" t="s">
        <v>9</v>
      </c>
      <c r="C6" s="14">
        <v>120527</v>
      </c>
      <c r="D6" s="14">
        <v>20057</v>
      </c>
      <c r="E6" s="12">
        <v>45961</v>
      </c>
      <c r="F6" s="14" t="s">
        <v>31</v>
      </c>
      <c r="G6" s="14" t="s">
        <v>70</v>
      </c>
      <c r="H6" s="14">
        <v>5009</v>
      </c>
      <c r="I6" s="12"/>
      <c r="J6" s="14"/>
      <c r="K6" s="14"/>
      <c r="L6" s="13" t="s">
        <v>71</v>
      </c>
      <c r="N6" s="1" t="str">
        <v>总计</v>
      </c>
      <c r="O6" s="1">
        <v>155462</v>
      </c>
      <c r="P6" s="1">
        <v>101245</v>
      </c>
    </row>
    <row r="7" s="1" customFormat="1" customHeight="1" spans="1:16">
      <c r="A7" s="12">
        <v>45974</v>
      </c>
      <c r="B7" s="13" t="s">
        <v>9</v>
      </c>
      <c r="C7" s="14"/>
      <c r="D7" s="14">
        <v>40093</v>
      </c>
      <c r="E7" s="12">
        <v>45974</v>
      </c>
      <c r="F7" s="14" t="s">
        <v>31</v>
      </c>
      <c r="G7" s="14" t="s">
        <v>70</v>
      </c>
      <c r="H7" s="14">
        <v>26014</v>
      </c>
      <c r="I7" s="12">
        <v>46196</v>
      </c>
      <c r="J7" s="14">
        <v>0.13</v>
      </c>
      <c r="K7" s="14"/>
      <c r="L7" s="13"/>
    </row>
    <row r="8" s="1" customFormat="1" customHeight="1" spans="1:16">
      <c r="A8" s="12">
        <v>46129</v>
      </c>
      <c r="B8" s="13" t="s">
        <v>9</v>
      </c>
      <c r="C8" s="14"/>
      <c r="D8" s="14">
        <v>6000</v>
      </c>
      <c r="E8" s="12">
        <v>46129</v>
      </c>
      <c r="F8" s="14" t="s">
        <v>31</v>
      </c>
      <c r="G8" s="14" t="s">
        <v>70</v>
      </c>
      <c r="H8" s="14"/>
      <c r="I8" s="12"/>
      <c r="J8" s="14"/>
      <c r="K8" s="14"/>
      <c r="L8" s="13"/>
    </row>
    <row r="9" s="1" customFormat="1" customHeight="1" spans="1:16">
      <c r="A9" s="12">
        <v>46198</v>
      </c>
      <c r="B9" s="13" t="s">
        <v>9</v>
      </c>
      <c r="C9" s="14"/>
      <c r="D9" s="14">
        <v>20000</v>
      </c>
      <c r="E9" s="12">
        <v>46198</v>
      </c>
      <c r="F9" s="14" t="s">
        <v>31</v>
      </c>
      <c r="G9" s="14" t="s">
        <v>70</v>
      </c>
      <c r="H9" s="14"/>
      <c r="I9" s="12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2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2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2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2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2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2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2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2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2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2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2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2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2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2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2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2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2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2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2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2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2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2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2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2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2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2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2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2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2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2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2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2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2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2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2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2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2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2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2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2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2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2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2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2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2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2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2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2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2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2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2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2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2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2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2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2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2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2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2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2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2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2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2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2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2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2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2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2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2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2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2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2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2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2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2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2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2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2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2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2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2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2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2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2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2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2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2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2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2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2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2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2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2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2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2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2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2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2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2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2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2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2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2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2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2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2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2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2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2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2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2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2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2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2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2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2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2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2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2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2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2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2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2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2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2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2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2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2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2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2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2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2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2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2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2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2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2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2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2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2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2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2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2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2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2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2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2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2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2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2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2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2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2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2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2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2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2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2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2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2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2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2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2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2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2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2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2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2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2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2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2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2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2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2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A3" sqref="A3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6" width="17.3666666666667" style="3" customWidth="1"/>
    <col min="7" max="7" width="22.2583333333333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4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  <c r="N2" s="1" t="str">
        <v>抚州8号楼</v>
      </c>
      <c r="O2" s="1">
        <v>140000</v>
      </c>
      <c r="P2" s="1">
        <v>90000</v>
      </c>
    </row>
    <row r="3" s="1" customFormat="1" customHeight="1" spans="1:16">
      <c r="A3" s="12">
        <v>46093</v>
      </c>
      <c r="B3" s="13" t="s">
        <v>14</v>
      </c>
      <c r="C3" s="14">
        <v>140000</v>
      </c>
      <c r="D3" s="14">
        <v>70000</v>
      </c>
      <c r="E3" s="12">
        <v>46093</v>
      </c>
      <c r="F3" s="14" t="s">
        <v>31</v>
      </c>
      <c r="G3" s="14" t="s">
        <v>38</v>
      </c>
      <c r="H3" s="14"/>
      <c r="I3" s="14"/>
      <c r="J3" s="14"/>
      <c r="K3" s="14"/>
      <c r="L3" s="13"/>
      <c r="N3" s="1" t="str">
        <v>数字产业园</v>
      </c>
      <c r="O3" s="1">
        <v>0</v>
      </c>
      <c r="P3" s="1">
        <v>42000</v>
      </c>
    </row>
    <row r="4" s="1" customFormat="1" customHeight="1" spans="1:16">
      <c r="A4" s="12">
        <v>46015</v>
      </c>
      <c r="B4" s="13" t="s">
        <v>12</v>
      </c>
      <c r="C4" s="14"/>
      <c r="D4" s="14">
        <v>20000</v>
      </c>
      <c r="E4" s="12">
        <v>46015</v>
      </c>
      <c r="F4" s="14" t="s">
        <v>31</v>
      </c>
      <c r="G4" s="14" t="s">
        <v>72</v>
      </c>
      <c r="H4" s="14"/>
      <c r="I4" s="14"/>
      <c r="J4" s="14"/>
      <c r="K4" s="14"/>
      <c r="L4" s="13"/>
      <c r="N4" s="1" t="str">
        <v>总计</v>
      </c>
      <c r="O4" s="1">
        <v>140000</v>
      </c>
      <c r="P4" s="1">
        <v>132000</v>
      </c>
    </row>
    <row r="5" s="1" customFormat="1" customHeight="1" spans="1:16">
      <c r="A5" s="12">
        <v>46047</v>
      </c>
      <c r="B5" s="13" t="s">
        <v>12</v>
      </c>
      <c r="C5" s="14"/>
      <c r="D5" s="14">
        <v>22000</v>
      </c>
      <c r="E5" s="12">
        <v>46047</v>
      </c>
      <c r="F5" s="14" t="s">
        <v>31</v>
      </c>
      <c r="G5" s="14" t="s">
        <v>72</v>
      </c>
      <c r="H5" s="14"/>
      <c r="I5" s="14"/>
      <c r="J5" s="14"/>
      <c r="K5" s="14"/>
      <c r="L5" s="13"/>
    </row>
    <row r="6" s="1" customFormat="1" customHeight="1" spans="1:16">
      <c r="A6" s="12">
        <v>46262</v>
      </c>
      <c r="B6" s="13" t="s">
        <v>14</v>
      </c>
      <c r="C6" s="14"/>
      <c r="D6" s="14">
        <v>20000</v>
      </c>
      <c r="E6" s="12">
        <v>46262</v>
      </c>
      <c r="F6" s="14" t="s">
        <v>31</v>
      </c>
      <c r="G6" s="14" t="s">
        <v>73</v>
      </c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G10" sqref="G10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  <c r="N2" s="1" t="str">
        <v>数字产业园</v>
      </c>
      <c r="O2" s="1">
        <v>52410</v>
      </c>
      <c r="P2" s="1">
        <v>50260</v>
      </c>
    </row>
    <row r="3" s="1" customFormat="1" customHeight="1" spans="1:16">
      <c r="A3" s="12">
        <v>46047</v>
      </c>
      <c r="B3" s="13" t="s">
        <v>12</v>
      </c>
      <c r="C3" s="14">
        <v>52410</v>
      </c>
      <c r="D3" s="14">
        <v>5000</v>
      </c>
      <c r="E3" s="15">
        <v>45918</v>
      </c>
      <c r="F3" s="13" t="s">
        <v>31</v>
      </c>
      <c r="G3" s="13" t="s">
        <v>74</v>
      </c>
      <c r="H3" s="14"/>
      <c r="I3" s="14"/>
      <c r="J3" s="14"/>
      <c r="K3" s="14"/>
      <c r="L3" s="13"/>
      <c r="N3" s="1" t="str">
        <v>总计</v>
      </c>
      <c r="O3" s="1">
        <v>52410</v>
      </c>
      <c r="P3" s="1">
        <v>50260</v>
      </c>
    </row>
    <row r="4" s="1" customFormat="1" customHeight="1" spans="1:16">
      <c r="A4" s="12">
        <v>46067</v>
      </c>
      <c r="B4" s="13" t="s">
        <v>12</v>
      </c>
      <c r="C4" s="14"/>
      <c r="D4" s="14">
        <v>20000</v>
      </c>
      <c r="E4" s="12">
        <v>46047</v>
      </c>
      <c r="F4" s="14" t="s">
        <v>31</v>
      </c>
      <c r="G4" s="14" t="s">
        <v>74</v>
      </c>
      <c r="H4" s="14"/>
      <c r="I4" s="14"/>
      <c r="J4" s="14"/>
      <c r="K4" s="14"/>
      <c r="L4" s="13"/>
    </row>
    <row r="5" s="1" customFormat="1" customHeight="1" spans="1:16">
      <c r="A5" s="12">
        <v>46205</v>
      </c>
      <c r="B5" s="13" t="s">
        <v>12</v>
      </c>
      <c r="C5" s="14"/>
      <c r="D5" s="14">
        <v>25000</v>
      </c>
      <c r="E5" s="12">
        <v>46067</v>
      </c>
      <c r="F5" s="14" t="s">
        <v>31</v>
      </c>
      <c r="G5" s="14" t="s">
        <v>74</v>
      </c>
      <c r="H5" s="14"/>
      <c r="I5" s="14"/>
      <c r="J5" s="14"/>
      <c r="K5" s="14"/>
      <c r="L5" s="13"/>
    </row>
    <row r="6" s="1" customFormat="1" customHeight="1" spans="1:16">
      <c r="A6" s="12">
        <v>46205</v>
      </c>
      <c r="B6" s="13" t="s">
        <v>12</v>
      </c>
      <c r="C6" s="14"/>
      <c r="D6" s="14">
        <v>260</v>
      </c>
      <c r="E6" s="12">
        <v>46205</v>
      </c>
      <c r="F6" s="14" t="s">
        <v>75</v>
      </c>
      <c r="G6" s="14" t="s">
        <v>74</v>
      </c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2 A3:C3 H3:L3 A4:C4 H4:L4 A5:C5 H5:L5 A6:C6 H6:L6 A7:L1048575">
    <cfRule type="expression" dxfId="0" priority="1">
      <formula>$A1&lt;&gt;""</formula>
    </cfRule>
    <cfRule type="expression" dxfId="0" priority="2">
      <formula>$A2&lt;&gt;""</formula>
    </cfRule>
  </conditionalFormatting>
  <conditionalFormatting sqref="D4:G6">
    <cfRule type="expression" dxfId="0" priority="6">
      <formula>$A3&lt;&gt;""</formula>
    </cfRule>
    <cfRule type="expression" dxfId="0" priority="7">
      <formula>$A4&lt;&gt;""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  <c r="N2" s="1" t="str">
        <v>九安架空层</v>
      </c>
      <c r="O2" s="1">
        <v>35960</v>
      </c>
      <c r="P2" s="1">
        <v>35960</v>
      </c>
    </row>
    <row r="3" s="1" customFormat="1" customHeight="1" spans="1:16">
      <c r="A3" s="12">
        <v>45780</v>
      </c>
      <c r="B3" s="13" t="s">
        <v>11</v>
      </c>
      <c r="C3" s="14">
        <v>2000</v>
      </c>
      <c r="D3" s="14">
        <v>2000</v>
      </c>
      <c r="E3" s="12">
        <v>45780</v>
      </c>
      <c r="F3" s="14" t="s">
        <v>31</v>
      </c>
      <c r="G3" s="14" t="s">
        <v>76</v>
      </c>
      <c r="H3" s="14"/>
      <c r="I3" s="14"/>
      <c r="J3" s="14"/>
      <c r="K3" s="14"/>
      <c r="L3" s="13"/>
      <c r="N3" s="1" t="str">
        <v>总计</v>
      </c>
      <c r="O3" s="1">
        <v>35960</v>
      </c>
      <c r="P3" s="1">
        <v>35960</v>
      </c>
    </row>
    <row r="4" s="1" customFormat="1" customHeight="1" spans="1:16">
      <c r="A4" s="12">
        <v>45780</v>
      </c>
      <c r="B4" s="13" t="s">
        <v>11</v>
      </c>
      <c r="C4" s="14">
        <v>2000</v>
      </c>
      <c r="D4" s="14">
        <v>2000</v>
      </c>
      <c r="E4" s="12">
        <v>45780</v>
      </c>
      <c r="F4" s="14" t="s">
        <v>31</v>
      </c>
      <c r="G4" s="14" t="s">
        <v>77</v>
      </c>
      <c r="H4" s="14"/>
      <c r="I4" s="14"/>
      <c r="J4" s="14"/>
      <c r="K4" s="14"/>
      <c r="L4" s="13"/>
    </row>
    <row r="5" s="1" customFormat="1" customHeight="1" spans="1:16">
      <c r="A5" s="12">
        <v>45780</v>
      </c>
      <c r="B5" s="13" t="s">
        <v>11</v>
      </c>
      <c r="C5" s="14">
        <v>2000</v>
      </c>
      <c r="D5" s="14">
        <v>2000</v>
      </c>
      <c r="E5" s="12">
        <v>45780</v>
      </c>
      <c r="F5" s="14" t="s">
        <v>31</v>
      </c>
      <c r="G5" s="14" t="s">
        <v>78</v>
      </c>
      <c r="H5" s="14"/>
      <c r="I5" s="14"/>
      <c r="J5" s="14"/>
      <c r="K5" s="14"/>
      <c r="L5" s="13"/>
    </row>
    <row r="6" s="1" customFormat="1" customHeight="1" spans="1:16">
      <c r="A6" s="12">
        <v>45780</v>
      </c>
      <c r="B6" s="13" t="s">
        <v>11</v>
      </c>
      <c r="C6" s="14">
        <v>2000</v>
      </c>
      <c r="D6" s="14">
        <v>2000</v>
      </c>
      <c r="E6" s="12">
        <v>45780</v>
      </c>
      <c r="F6" s="14" t="s">
        <v>31</v>
      </c>
      <c r="G6" s="14" t="s">
        <v>79</v>
      </c>
      <c r="H6" s="14"/>
      <c r="I6" s="14"/>
      <c r="J6" s="14"/>
      <c r="K6" s="14"/>
      <c r="L6" s="13"/>
    </row>
    <row r="7" s="1" customFormat="1" customHeight="1" spans="1:16">
      <c r="A7" s="12">
        <v>45780</v>
      </c>
      <c r="B7" s="13" t="s">
        <v>11</v>
      </c>
      <c r="C7" s="14">
        <v>2000</v>
      </c>
      <c r="D7" s="14">
        <v>2000</v>
      </c>
      <c r="E7" s="12">
        <v>45780</v>
      </c>
      <c r="F7" s="14" t="s">
        <v>31</v>
      </c>
      <c r="G7" s="14" t="s">
        <v>80</v>
      </c>
      <c r="H7" s="14"/>
      <c r="I7" s="14"/>
      <c r="J7" s="14"/>
      <c r="K7" s="14"/>
      <c r="L7" s="13"/>
    </row>
    <row r="8" s="1" customFormat="1" customHeight="1" spans="1:16">
      <c r="A8" s="12">
        <v>45820</v>
      </c>
      <c r="B8" s="13" t="s">
        <v>11</v>
      </c>
      <c r="C8" s="14">
        <v>2000</v>
      </c>
      <c r="D8" s="14">
        <v>2000</v>
      </c>
      <c r="E8" s="12">
        <v>45820</v>
      </c>
      <c r="F8" s="14" t="s">
        <v>31</v>
      </c>
      <c r="G8" s="14" t="s">
        <v>76</v>
      </c>
      <c r="H8" s="14"/>
      <c r="I8" s="14"/>
      <c r="J8" s="14"/>
      <c r="K8" s="14"/>
      <c r="L8" s="13"/>
    </row>
    <row r="9" s="1" customFormat="1" customHeight="1" spans="1:16">
      <c r="A9" s="12">
        <v>45820</v>
      </c>
      <c r="B9" s="13" t="s">
        <v>11</v>
      </c>
      <c r="C9" s="14">
        <v>2000</v>
      </c>
      <c r="D9" s="14">
        <v>2000</v>
      </c>
      <c r="E9" s="12">
        <v>45820</v>
      </c>
      <c r="F9" s="14" t="s">
        <v>31</v>
      </c>
      <c r="G9" s="14" t="s">
        <v>77</v>
      </c>
      <c r="H9" s="14"/>
      <c r="I9" s="14"/>
      <c r="J9" s="14"/>
      <c r="K9" s="14"/>
      <c r="L9" s="13"/>
    </row>
    <row r="10" s="1" customFormat="1" customHeight="1" spans="1:16">
      <c r="A10" s="12">
        <v>45820</v>
      </c>
      <c r="B10" s="13" t="s">
        <v>11</v>
      </c>
      <c r="C10" s="14">
        <v>2000</v>
      </c>
      <c r="D10" s="14">
        <v>2000</v>
      </c>
      <c r="E10" s="12">
        <v>45820</v>
      </c>
      <c r="F10" s="14" t="s">
        <v>31</v>
      </c>
      <c r="G10" s="14" t="s">
        <v>78</v>
      </c>
      <c r="H10" s="14"/>
      <c r="I10" s="14"/>
      <c r="J10" s="14"/>
      <c r="K10" s="14"/>
      <c r="L10" s="13"/>
    </row>
    <row r="11" s="1" customFormat="1" customHeight="1" spans="1:16">
      <c r="A11" s="12">
        <v>45820</v>
      </c>
      <c r="B11" s="13" t="s">
        <v>11</v>
      </c>
      <c r="C11" s="14">
        <v>3000</v>
      </c>
      <c r="D11" s="14">
        <v>3000</v>
      </c>
      <c r="E11" s="12">
        <v>45820</v>
      </c>
      <c r="F11" s="14" t="s">
        <v>31</v>
      </c>
      <c r="G11" s="14" t="s">
        <v>79</v>
      </c>
      <c r="H11" s="14"/>
      <c r="I11" s="14"/>
      <c r="J11" s="14"/>
      <c r="K11" s="14"/>
      <c r="L11" s="13"/>
    </row>
    <row r="12" s="1" customFormat="1" customHeight="1" spans="1:16">
      <c r="A12" s="12">
        <v>45820</v>
      </c>
      <c r="B12" s="13" t="s">
        <v>11</v>
      </c>
      <c r="C12" s="14">
        <v>2000</v>
      </c>
      <c r="D12" s="14">
        <v>2000</v>
      </c>
      <c r="E12" s="12">
        <v>45820</v>
      </c>
      <c r="F12" s="14" t="s">
        <v>31</v>
      </c>
      <c r="G12" s="14" t="s">
        <v>80</v>
      </c>
      <c r="H12" s="14"/>
      <c r="I12" s="14"/>
      <c r="J12" s="14"/>
      <c r="K12" s="14"/>
      <c r="L12" s="13"/>
    </row>
    <row r="13" s="1" customFormat="1" customHeight="1" spans="1:16">
      <c r="A13" s="12">
        <v>45820</v>
      </c>
      <c r="B13" s="13" t="s">
        <v>11</v>
      </c>
      <c r="C13" s="14">
        <v>4960</v>
      </c>
      <c r="D13" s="14">
        <v>4960</v>
      </c>
      <c r="E13" s="12">
        <v>45820</v>
      </c>
      <c r="F13" s="14" t="s">
        <v>31</v>
      </c>
      <c r="G13" s="14" t="s">
        <v>81</v>
      </c>
      <c r="H13" s="14"/>
      <c r="I13" s="14"/>
      <c r="J13" s="14"/>
      <c r="K13" s="14"/>
      <c r="L13" s="13"/>
    </row>
    <row r="14" s="1" customFormat="1" customHeight="1" spans="1:16">
      <c r="A14" s="12">
        <v>46068</v>
      </c>
      <c r="B14" s="13" t="s">
        <v>11</v>
      </c>
      <c r="C14" s="14">
        <v>10000</v>
      </c>
      <c r="D14" s="14">
        <v>10000</v>
      </c>
      <c r="E14" s="12">
        <v>46068</v>
      </c>
      <c r="F14" s="14" t="s">
        <v>31</v>
      </c>
      <c r="G14" s="14" t="s">
        <v>80</v>
      </c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2"/>
  <sheetViews>
    <sheetView workbookViewId="0">
      <pane ySplit="2" topLeftCell="A13" activePane="bottomLeft" state="frozen"/>
      <selection/>
      <selection pane="bottomLeft" activeCell="E57" sqref="E57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8166666666667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6">
      <c r="A3" s="12">
        <v>45969</v>
      </c>
      <c r="B3" s="13" t="s">
        <v>13</v>
      </c>
      <c r="C3" s="14">
        <v>222785</v>
      </c>
      <c r="D3" s="14">
        <v>37500</v>
      </c>
      <c r="E3" s="12"/>
      <c r="F3" s="14" t="s">
        <v>31</v>
      </c>
      <c r="G3" s="14" t="s">
        <v>82</v>
      </c>
      <c r="H3" s="14"/>
      <c r="I3" s="14"/>
      <c r="J3" s="14"/>
      <c r="K3" s="14"/>
      <c r="L3" s="13"/>
    </row>
    <row r="4" s="1" customFormat="1" customHeight="1" spans="1:16">
      <c r="A4" s="12">
        <v>46037</v>
      </c>
      <c r="B4" s="13" t="s">
        <v>13</v>
      </c>
      <c r="C4" s="14">
        <v>2800</v>
      </c>
      <c r="D4" s="14">
        <v>20000</v>
      </c>
      <c r="E4" s="12"/>
      <c r="F4" s="14" t="s">
        <v>31</v>
      </c>
      <c r="G4" s="14" t="s">
        <v>82</v>
      </c>
      <c r="H4" s="14"/>
      <c r="I4" s="14"/>
      <c r="J4" s="14"/>
      <c r="K4" s="14"/>
      <c r="L4" s="13"/>
    </row>
    <row r="5" s="1" customFormat="1" customHeight="1" spans="1:16">
      <c r="A5" s="12">
        <v>46037</v>
      </c>
      <c r="B5" s="13" t="s">
        <v>13</v>
      </c>
      <c r="C5" s="14">
        <v>1400</v>
      </c>
      <c r="D5" s="14">
        <v>15000</v>
      </c>
      <c r="E5" s="12"/>
      <c r="F5" s="14" t="s">
        <v>31</v>
      </c>
      <c r="G5" s="14" t="s">
        <v>83</v>
      </c>
      <c r="H5" s="14"/>
      <c r="I5" s="14"/>
      <c r="J5" s="14"/>
      <c r="K5" s="14"/>
      <c r="L5" s="13"/>
    </row>
    <row r="6" s="1" customFormat="1" customHeight="1" spans="1:16">
      <c r="A6" s="12">
        <v>46037</v>
      </c>
      <c r="B6" s="13" t="s">
        <v>13</v>
      </c>
      <c r="C6" s="14"/>
      <c r="D6" s="14">
        <v>15000</v>
      </c>
      <c r="E6" s="12"/>
      <c r="F6" s="14" t="s">
        <v>31</v>
      </c>
      <c r="G6" s="14" t="s">
        <v>84</v>
      </c>
      <c r="H6" s="14"/>
      <c r="I6" s="14"/>
      <c r="J6" s="14"/>
      <c r="K6" s="14"/>
      <c r="L6" s="13"/>
    </row>
    <row r="7" s="1" customFormat="1" customHeight="1" spans="1:16">
      <c r="A7" s="12">
        <v>46067</v>
      </c>
      <c r="B7" s="13" t="s">
        <v>13</v>
      </c>
      <c r="C7" s="14"/>
      <c r="D7" s="14">
        <v>6300</v>
      </c>
      <c r="E7" s="12"/>
      <c r="F7" s="14" t="s">
        <v>31</v>
      </c>
      <c r="G7" s="14" t="s">
        <v>85</v>
      </c>
      <c r="H7" s="14"/>
      <c r="I7" s="14"/>
      <c r="J7" s="14"/>
      <c r="K7" s="14"/>
      <c r="L7" s="13"/>
    </row>
    <row r="8" s="1" customFormat="1" customHeight="1" spans="1:16">
      <c r="A8" s="12">
        <v>46067</v>
      </c>
      <c r="B8" s="13" t="s">
        <v>13</v>
      </c>
      <c r="C8" s="14"/>
      <c r="D8" s="14">
        <v>6300</v>
      </c>
      <c r="E8" s="12"/>
      <c r="F8" s="14" t="s">
        <v>31</v>
      </c>
      <c r="G8" s="14" t="s">
        <v>86</v>
      </c>
      <c r="H8" s="14"/>
      <c r="I8" s="14"/>
      <c r="J8" s="14"/>
      <c r="K8" s="14"/>
      <c r="L8" s="13"/>
    </row>
    <row r="9" s="1" customFormat="1" customHeight="1" spans="1:16">
      <c r="A9" s="12">
        <v>46067</v>
      </c>
      <c r="B9" s="13" t="s">
        <v>13</v>
      </c>
      <c r="C9" s="14"/>
      <c r="D9" s="14">
        <v>5520</v>
      </c>
      <c r="E9" s="12"/>
      <c r="F9" s="14" t="s">
        <v>31</v>
      </c>
      <c r="G9" s="14" t="s">
        <v>87</v>
      </c>
      <c r="H9" s="14"/>
      <c r="I9" s="14"/>
      <c r="J9" s="14"/>
      <c r="K9" s="14"/>
      <c r="L9" s="13"/>
    </row>
    <row r="10" s="1" customFormat="1" customHeight="1" spans="1:16">
      <c r="A10" s="12">
        <v>46067</v>
      </c>
      <c r="B10" s="13" t="s">
        <v>13</v>
      </c>
      <c r="C10" s="14"/>
      <c r="D10" s="14">
        <v>8050</v>
      </c>
      <c r="E10" s="12"/>
      <c r="F10" s="14" t="s">
        <v>31</v>
      </c>
      <c r="G10" s="14" t="s">
        <v>88</v>
      </c>
      <c r="H10" s="14"/>
      <c r="I10" s="14"/>
      <c r="J10" s="14"/>
      <c r="K10" s="14"/>
      <c r="L10" s="13"/>
    </row>
    <row r="11" s="1" customFormat="1" customHeight="1" spans="1:16">
      <c r="A11" s="12">
        <v>46067</v>
      </c>
      <c r="B11" s="13" t="s">
        <v>13</v>
      </c>
      <c r="C11" s="14"/>
      <c r="D11" s="14">
        <v>3200</v>
      </c>
      <c r="E11" s="12"/>
      <c r="F11" s="14" t="s">
        <v>31</v>
      </c>
      <c r="G11" s="14" t="s">
        <v>89</v>
      </c>
      <c r="H11" s="14"/>
      <c r="I11" s="14"/>
      <c r="J11" s="14"/>
      <c r="K11" s="14"/>
      <c r="L11" s="13"/>
    </row>
    <row r="12" s="1" customFormat="1" customHeight="1" spans="1:16">
      <c r="A12" s="12">
        <v>46067</v>
      </c>
      <c r="B12" s="13" t="s">
        <v>13</v>
      </c>
      <c r="C12" s="14"/>
      <c r="D12" s="14">
        <v>9975</v>
      </c>
      <c r="E12" s="12"/>
      <c r="F12" s="14" t="s">
        <v>31</v>
      </c>
      <c r="G12" s="14" t="s">
        <v>90</v>
      </c>
      <c r="H12" s="14"/>
      <c r="I12" s="14"/>
      <c r="J12" s="14"/>
      <c r="K12" s="14"/>
      <c r="L12" s="13"/>
    </row>
    <row r="13" s="1" customFormat="1" customHeight="1" spans="1:16">
      <c r="A13" s="12">
        <v>46067</v>
      </c>
      <c r="B13" s="13" t="s">
        <v>13</v>
      </c>
      <c r="C13" s="14"/>
      <c r="D13" s="14">
        <v>-9975</v>
      </c>
      <c r="E13" s="12"/>
      <c r="F13" s="14" t="s">
        <v>31</v>
      </c>
      <c r="G13" s="14" t="s">
        <v>90</v>
      </c>
      <c r="H13" s="14"/>
      <c r="I13" s="14"/>
      <c r="J13" s="14"/>
      <c r="K13" s="14"/>
      <c r="L13" s="13"/>
    </row>
    <row r="14" s="1" customFormat="1" customHeight="1" spans="1:16">
      <c r="A14" s="12">
        <v>46067</v>
      </c>
      <c r="B14" s="13" t="s">
        <v>13</v>
      </c>
      <c r="C14" s="14"/>
      <c r="D14" s="14">
        <v>12750</v>
      </c>
      <c r="E14" s="12"/>
      <c r="F14" s="14" t="s">
        <v>31</v>
      </c>
      <c r="G14" s="14" t="s">
        <v>91</v>
      </c>
      <c r="H14" s="14"/>
      <c r="I14" s="14"/>
      <c r="J14" s="14"/>
      <c r="K14" s="14"/>
      <c r="L14" s="13"/>
      <c r="N14" s="1" t="str" cm="1">
        <f t="array" ref="N14:P18">_xlfn.PIVOTBY(_xlfn._TRO_TRAILING(B2:B998),,_xlfn._TRO_TRAILING(C2:D998),_xleta.SUM,3)</f>
        <v>项目名称</v>
      </c>
      <c r="O14" s="1" t="str">
        <v>应付金额</v>
      </c>
      <c r="P14" s="1" t="str">
        <v>已付金额</v>
      </c>
    </row>
    <row r="15" s="1" customFormat="1" customHeight="1" spans="1:16">
      <c r="A15" s="12">
        <v>46067</v>
      </c>
      <c r="B15" s="13" t="s">
        <v>13</v>
      </c>
      <c r="C15" s="14"/>
      <c r="D15" s="14">
        <v>28650</v>
      </c>
      <c r="E15" s="12"/>
      <c r="F15" s="14" t="s">
        <v>31</v>
      </c>
      <c r="G15" s="14" t="s">
        <v>92</v>
      </c>
      <c r="H15" s="14"/>
      <c r="I15" s="14"/>
      <c r="J15" s="14"/>
      <c r="K15" s="14"/>
      <c r="L15" s="13"/>
      <c r="N15" s="1" t="str">
        <v>抚州1号楼</v>
      </c>
      <c r="O15" s="1">
        <v>229235</v>
      </c>
      <c r="P15" s="1">
        <v>277060</v>
      </c>
    </row>
    <row r="16" s="1" customFormat="1" customHeight="1" spans="1:16">
      <c r="A16" s="12">
        <v>46067</v>
      </c>
      <c r="B16" s="13" t="s">
        <v>13</v>
      </c>
      <c r="C16" s="14"/>
      <c r="D16" s="14">
        <v>17025</v>
      </c>
      <c r="E16" s="12"/>
      <c r="F16" s="14" t="s">
        <v>31</v>
      </c>
      <c r="G16" s="14" t="s">
        <v>93</v>
      </c>
      <c r="H16" s="14"/>
      <c r="I16" s="14"/>
      <c r="J16" s="14"/>
      <c r="K16" s="14"/>
      <c r="L16" s="13"/>
      <c r="N16" s="1" t="str">
        <v>抚州2号楼</v>
      </c>
      <c r="O16" s="1">
        <v>17715</v>
      </c>
      <c r="P16" s="1">
        <v>0</v>
      </c>
    </row>
    <row r="17" s="1" customFormat="1" customHeight="1" spans="1:16">
      <c r="A17" s="12">
        <v>46067</v>
      </c>
      <c r="B17" s="13" t="s">
        <v>13</v>
      </c>
      <c r="C17" s="14"/>
      <c r="D17" s="14">
        <v>3025</v>
      </c>
      <c r="E17" s="12"/>
      <c r="F17" s="14" t="s">
        <v>31</v>
      </c>
      <c r="G17" s="14" t="s">
        <v>94</v>
      </c>
      <c r="H17" s="14"/>
      <c r="I17" s="14"/>
      <c r="J17" s="14"/>
      <c r="K17" s="14"/>
      <c r="L17" s="13"/>
      <c r="N17" s="1" t="str">
        <v>抚州8号楼</v>
      </c>
      <c r="O17" s="1">
        <v>294925</v>
      </c>
      <c r="P17" s="1">
        <v>268660</v>
      </c>
    </row>
    <row r="18" s="1" customFormat="1" customHeight="1" spans="1:16">
      <c r="A18" s="12">
        <v>46067</v>
      </c>
      <c r="B18" s="13" t="s">
        <v>13</v>
      </c>
      <c r="C18" s="14"/>
      <c r="D18" s="14">
        <v>8960</v>
      </c>
      <c r="E18" s="12"/>
      <c r="F18" s="14" t="s">
        <v>31</v>
      </c>
      <c r="G18" s="14" t="s">
        <v>95</v>
      </c>
      <c r="H18" s="14"/>
      <c r="I18" s="14"/>
      <c r="J18" s="14"/>
      <c r="K18" s="14"/>
      <c r="L18" s="13"/>
      <c r="N18" s="1" t="str">
        <v>总计</v>
      </c>
      <c r="O18" s="1">
        <v>541875</v>
      </c>
      <c r="P18" s="1">
        <v>545720</v>
      </c>
    </row>
    <row r="19" s="1" customFormat="1" customHeight="1" spans="1:16">
      <c r="A19" s="12">
        <v>46067</v>
      </c>
      <c r="B19" s="13" t="s">
        <v>13</v>
      </c>
      <c r="C19" s="14"/>
      <c r="D19" s="14">
        <v>11250</v>
      </c>
      <c r="E19" s="12"/>
      <c r="F19" s="14" t="s">
        <v>31</v>
      </c>
      <c r="G19" s="14" t="s">
        <v>96</v>
      </c>
      <c r="H19" s="14"/>
      <c r="I19" s="14"/>
      <c r="J19" s="14"/>
      <c r="K19" s="14"/>
      <c r="L19" s="13"/>
    </row>
    <row r="20" s="1" customFormat="1" customHeight="1" spans="1:16">
      <c r="A20" s="12">
        <v>46067</v>
      </c>
      <c r="B20" s="13" t="s">
        <v>13</v>
      </c>
      <c r="C20" s="14"/>
      <c r="D20" s="14">
        <v>10550</v>
      </c>
      <c r="E20" s="12"/>
      <c r="F20" s="14" t="s">
        <v>31</v>
      </c>
      <c r="G20" s="14" t="s">
        <v>97</v>
      </c>
      <c r="H20" s="14"/>
      <c r="I20" s="14"/>
      <c r="J20" s="14"/>
      <c r="K20" s="14"/>
      <c r="L20" s="13"/>
      <c r="P20" s="1">
        <v>469335</v>
      </c>
    </row>
    <row r="21" s="1" customFormat="1" customHeight="1" spans="1:16">
      <c r="A21" s="12">
        <v>46067</v>
      </c>
      <c r="B21" s="13" t="s">
        <v>13</v>
      </c>
      <c r="C21" s="14"/>
      <c r="D21" s="14">
        <v>-10550</v>
      </c>
      <c r="E21" s="12"/>
      <c r="F21" s="14" t="s">
        <v>31</v>
      </c>
      <c r="G21" s="14" t="s">
        <v>97</v>
      </c>
      <c r="H21" s="14"/>
      <c r="I21" s="14"/>
      <c r="J21" s="14"/>
      <c r="K21" s="14"/>
      <c r="L21" s="13"/>
      <c r="P21" s="1">
        <f>P20-P18</f>
        <v>-76385</v>
      </c>
    </row>
    <row r="22" s="1" customFormat="1" customHeight="1" spans="1:16">
      <c r="A22" s="12">
        <v>46067</v>
      </c>
      <c r="B22" s="13" t="s">
        <v>13</v>
      </c>
      <c r="C22" s="14"/>
      <c r="D22" s="14">
        <v>10550</v>
      </c>
      <c r="E22" s="12"/>
      <c r="F22" s="14" t="s">
        <v>31</v>
      </c>
      <c r="G22" s="14" t="s">
        <v>98</v>
      </c>
      <c r="H22" s="14"/>
      <c r="I22" s="14"/>
      <c r="J22" s="14"/>
      <c r="K22" s="14"/>
      <c r="L22" s="13"/>
      <c r="O22" s="1">
        <f>P21</f>
        <v>-76385</v>
      </c>
    </row>
    <row r="23" s="1" customFormat="1" customHeight="1" spans="1:16">
      <c r="A23" s="12">
        <v>46067</v>
      </c>
      <c r="B23" s="13" t="s">
        <v>13</v>
      </c>
      <c r="C23" s="14"/>
      <c r="D23" s="14">
        <v>3800</v>
      </c>
      <c r="E23" s="12"/>
      <c r="F23" s="14" t="s">
        <v>31</v>
      </c>
      <c r="G23" s="14" t="s">
        <v>99</v>
      </c>
      <c r="H23" s="14"/>
      <c r="I23" s="14"/>
      <c r="J23" s="14"/>
      <c r="K23" s="14"/>
      <c r="L23" s="13"/>
      <c r="O23" s="1">
        <v>82230</v>
      </c>
    </row>
    <row r="24" s="1" customFormat="1" customHeight="1" spans="1:16">
      <c r="A24" s="12">
        <v>46067</v>
      </c>
      <c r="B24" s="13" t="s">
        <v>13</v>
      </c>
      <c r="C24" s="14"/>
      <c r="D24" s="14">
        <v>21520</v>
      </c>
      <c r="E24" s="12"/>
      <c r="F24" s="14" t="s">
        <v>31</v>
      </c>
      <c r="G24" s="14" t="s">
        <v>100</v>
      </c>
      <c r="H24" s="14"/>
      <c r="I24" s="14"/>
      <c r="J24" s="14"/>
      <c r="K24" s="14"/>
      <c r="L24" s="13"/>
      <c r="O24" s="1">
        <f>SUM(O22:O23)</f>
        <v>5845</v>
      </c>
    </row>
    <row r="25" s="1" customFormat="1" customHeight="1" spans="1:16">
      <c r="A25" s="12">
        <v>46067</v>
      </c>
      <c r="B25" s="13" t="s">
        <v>13</v>
      </c>
      <c r="C25" s="14"/>
      <c r="D25" s="14">
        <v>10885</v>
      </c>
      <c r="E25" s="12"/>
      <c r="F25" s="14" t="s">
        <v>31</v>
      </c>
      <c r="G25" s="14" t="s">
        <v>82</v>
      </c>
      <c r="H25" s="14"/>
      <c r="I25" s="14"/>
      <c r="J25" s="14"/>
      <c r="K25" s="14"/>
      <c r="L25" s="13"/>
    </row>
    <row r="26" s="1" customFormat="1" customHeight="1" spans="1:16">
      <c r="A26" s="12">
        <v>46068</v>
      </c>
      <c r="B26" s="13" t="s">
        <v>13</v>
      </c>
      <c r="C26" s="14"/>
      <c r="D26" s="14">
        <v>9975</v>
      </c>
      <c r="E26" s="12"/>
      <c r="F26" s="14" t="s">
        <v>31</v>
      </c>
      <c r="G26" s="14" t="s">
        <v>90</v>
      </c>
      <c r="H26" s="14"/>
      <c r="I26" s="14"/>
      <c r="J26" s="14"/>
      <c r="K26" s="14"/>
      <c r="L26" s="13"/>
    </row>
    <row r="27" s="1" customFormat="1" customHeight="1" spans="1:16">
      <c r="A27" s="12">
        <v>46068</v>
      </c>
      <c r="B27" s="13" t="s">
        <v>13</v>
      </c>
      <c r="C27" s="14"/>
      <c r="D27" s="14">
        <v>10550</v>
      </c>
      <c r="E27" s="12"/>
      <c r="F27" s="14" t="s">
        <v>31</v>
      </c>
      <c r="G27" s="14" t="s">
        <v>97</v>
      </c>
      <c r="H27" s="14"/>
      <c r="I27" s="14"/>
      <c r="J27" s="14"/>
      <c r="K27" s="14"/>
      <c r="L27" s="13"/>
    </row>
    <row r="28" s="1" customFormat="1" customHeight="1" spans="1:16">
      <c r="A28" s="12">
        <v>46068</v>
      </c>
      <c r="B28" s="13" t="s">
        <v>13</v>
      </c>
      <c r="C28" s="14"/>
      <c r="D28" s="14">
        <v>5250</v>
      </c>
      <c r="E28" s="12"/>
      <c r="F28" s="14" t="s">
        <v>31</v>
      </c>
      <c r="G28" s="14" t="s">
        <v>98</v>
      </c>
      <c r="H28" s="14"/>
      <c r="I28" s="14"/>
      <c r="J28" s="14"/>
      <c r="K28" s="14"/>
      <c r="L28" s="13"/>
    </row>
    <row r="29" s="1" customFormat="1" customHeight="1" spans="1:16">
      <c r="A29" s="12">
        <v>46142</v>
      </c>
      <c r="B29" s="13" t="s">
        <v>14</v>
      </c>
      <c r="C29" s="14">
        <v>281575</v>
      </c>
      <c r="D29" s="14">
        <v>22750</v>
      </c>
      <c r="E29" s="12"/>
      <c r="F29" s="14" t="s">
        <v>101</v>
      </c>
      <c r="G29" s="14" t="s">
        <v>82</v>
      </c>
      <c r="H29" s="14"/>
      <c r="I29" s="14"/>
      <c r="J29" s="14"/>
      <c r="K29" s="14"/>
      <c r="L29" s="13"/>
    </row>
    <row r="30" s="1" customFormat="1" customHeight="1" spans="1:16">
      <c r="A30" s="2">
        <v>46142</v>
      </c>
      <c r="B30" s="13" t="s">
        <v>14</v>
      </c>
      <c r="C30" s="3">
        <v>2100</v>
      </c>
      <c r="D30" s="3">
        <v>980</v>
      </c>
      <c r="E30" s="2"/>
      <c r="F30" s="14" t="s">
        <v>101</v>
      </c>
      <c r="G30" s="3" t="s">
        <v>98</v>
      </c>
      <c r="H30" s="3"/>
      <c r="I30" s="3"/>
      <c r="J30" s="3"/>
      <c r="K30" s="3"/>
    </row>
    <row r="31" s="1" customFormat="1" customHeight="1" spans="1:16">
      <c r="A31" s="2">
        <v>46142</v>
      </c>
      <c r="B31" s="13" t="s">
        <v>14</v>
      </c>
      <c r="C31" s="3">
        <v>8750</v>
      </c>
      <c r="D31" s="3">
        <v>16492</v>
      </c>
      <c r="E31" s="2"/>
      <c r="F31" s="14" t="s">
        <v>101</v>
      </c>
      <c r="G31" s="3" t="s">
        <v>95</v>
      </c>
      <c r="H31" s="3"/>
      <c r="I31" s="3"/>
      <c r="J31" s="3"/>
      <c r="K31" s="3"/>
    </row>
    <row r="32" s="1" customFormat="1" customHeight="1" spans="1:16">
      <c r="A32" s="2">
        <v>46142</v>
      </c>
      <c r="B32" s="13" t="s">
        <v>14</v>
      </c>
      <c r="C32" s="3"/>
      <c r="D32" s="3">
        <v>14700</v>
      </c>
      <c r="E32" s="2"/>
      <c r="F32" s="14" t="s">
        <v>101</v>
      </c>
      <c r="G32" s="3" t="s">
        <v>102</v>
      </c>
      <c r="H32" s="3"/>
      <c r="I32" s="3"/>
      <c r="J32" s="3"/>
      <c r="K32" s="3"/>
    </row>
    <row r="33" s="1" customFormat="1" customHeight="1" spans="1:11">
      <c r="A33" s="2">
        <v>46142</v>
      </c>
      <c r="B33" s="13" t="s">
        <v>14</v>
      </c>
      <c r="C33" s="3"/>
      <c r="D33" s="3">
        <v>15190</v>
      </c>
      <c r="E33" s="2"/>
      <c r="F33" s="14" t="s">
        <v>101</v>
      </c>
      <c r="G33" s="3" t="s">
        <v>84</v>
      </c>
      <c r="H33" s="3"/>
      <c r="I33" s="3"/>
      <c r="J33" s="3"/>
      <c r="K33" s="3"/>
    </row>
    <row r="34" s="1" customFormat="1" customHeight="1" spans="1:11">
      <c r="A34" s="2">
        <v>46142</v>
      </c>
      <c r="B34" s="13" t="s">
        <v>14</v>
      </c>
      <c r="C34" s="3"/>
      <c r="D34" s="3">
        <v>10290</v>
      </c>
      <c r="E34" s="2"/>
      <c r="F34" s="14" t="s">
        <v>101</v>
      </c>
      <c r="G34" s="3" t="s">
        <v>94</v>
      </c>
      <c r="H34" s="3"/>
      <c r="I34" s="3"/>
      <c r="J34" s="3"/>
      <c r="K34" s="3"/>
    </row>
    <row r="35" s="1" customFormat="1" customHeight="1" spans="1:11">
      <c r="A35" s="2">
        <v>46142</v>
      </c>
      <c r="B35" s="13" t="s">
        <v>14</v>
      </c>
      <c r="C35" s="3"/>
      <c r="D35" s="3">
        <v>13720</v>
      </c>
      <c r="E35" s="2"/>
      <c r="F35" s="14" t="s">
        <v>101</v>
      </c>
      <c r="G35" s="3" t="s">
        <v>86</v>
      </c>
      <c r="H35" s="3"/>
      <c r="I35" s="3"/>
      <c r="J35" s="3"/>
      <c r="K35" s="3"/>
    </row>
    <row r="36" s="1" customFormat="1" customHeight="1" spans="1:11">
      <c r="A36" s="2">
        <v>46142</v>
      </c>
      <c r="B36" s="13" t="s">
        <v>14</v>
      </c>
      <c r="C36" s="3"/>
      <c r="D36" s="3">
        <v>5040</v>
      </c>
      <c r="E36" s="2"/>
      <c r="F36" s="14" t="s">
        <v>101</v>
      </c>
      <c r="G36" s="3" t="s">
        <v>103</v>
      </c>
      <c r="H36" s="3"/>
      <c r="I36" s="3"/>
      <c r="J36" s="3"/>
      <c r="K36" s="3"/>
    </row>
    <row r="37" s="1" customFormat="1" customHeight="1" spans="1:11">
      <c r="A37" s="2">
        <v>46142</v>
      </c>
      <c r="B37" s="13" t="s">
        <v>14</v>
      </c>
      <c r="C37" s="3"/>
      <c r="D37" s="3">
        <v>5040</v>
      </c>
      <c r="E37" s="2"/>
      <c r="F37" s="14" t="s">
        <v>101</v>
      </c>
      <c r="G37" s="3" t="s">
        <v>104</v>
      </c>
      <c r="H37" s="3"/>
      <c r="I37" s="3"/>
      <c r="J37" s="3"/>
      <c r="K37" s="3"/>
    </row>
    <row r="38" s="1" customFormat="1" customHeight="1" spans="1:11">
      <c r="A38" s="2">
        <v>46142</v>
      </c>
      <c r="B38" s="13" t="s">
        <v>14</v>
      </c>
      <c r="C38" s="3"/>
      <c r="D38" s="3">
        <v>13965</v>
      </c>
      <c r="E38" s="2"/>
      <c r="F38" s="14" t="s">
        <v>101</v>
      </c>
      <c r="G38" s="3" t="s">
        <v>85</v>
      </c>
      <c r="H38" s="3"/>
      <c r="I38" s="3"/>
      <c r="J38" s="3"/>
      <c r="K38" s="3"/>
    </row>
    <row r="39" s="1" customFormat="1" customHeight="1" spans="1:11">
      <c r="A39" s="2">
        <v>46142</v>
      </c>
      <c r="B39" s="13" t="s">
        <v>14</v>
      </c>
      <c r="C39" s="3"/>
      <c r="D39" s="3">
        <v>15190</v>
      </c>
      <c r="E39" s="2"/>
      <c r="F39" s="14" t="s">
        <v>101</v>
      </c>
      <c r="G39" s="3" t="s">
        <v>91</v>
      </c>
      <c r="H39" s="3"/>
      <c r="I39" s="3"/>
      <c r="J39" s="3"/>
      <c r="K39" s="3"/>
    </row>
    <row r="40" s="1" customFormat="1" customHeight="1" spans="1:11">
      <c r="A40" s="2">
        <v>46142</v>
      </c>
      <c r="B40" s="13" t="s">
        <v>14</v>
      </c>
      <c r="C40" s="3"/>
      <c r="D40" s="3">
        <v>17360</v>
      </c>
      <c r="E40" s="2"/>
      <c r="F40" s="14" t="s">
        <v>101</v>
      </c>
      <c r="G40" s="3" t="s">
        <v>105</v>
      </c>
      <c r="H40" s="3"/>
      <c r="I40" s="3"/>
      <c r="J40" s="3"/>
      <c r="K40" s="3"/>
    </row>
    <row r="41" s="1" customFormat="1" customHeight="1" spans="1:11">
      <c r="A41" s="2">
        <v>46142</v>
      </c>
      <c r="B41" s="13" t="s">
        <v>14</v>
      </c>
      <c r="C41" s="3"/>
      <c r="D41" s="3">
        <v>9870</v>
      </c>
      <c r="E41" s="2"/>
      <c r="F41" s="14" t="s">
        <v>101</v>
      </c>
      <c r="G41" s="3" t="s">
        <v>106</v>
      </c>
      <c r="H41" s="3"/>
      <c r="I41" s="3"/>
      <c r="J41" s="3"/>
      <c r="K41" s="3"/>
    </row>
    <row r="42" s="1" customFormat="1" customHeight="1" spans="1:11">
      <c r="A42" s="2">
        <v>46142</v>
      </c>
      <c r="B42" s="13" t="s">
        <v>14</v>
      </c>
      <c r="C42" s="3"/>
      <c r="D42" s="3">
        <v>16492</v>
      </c>
      <c r="E42" s="2"/>
      <c r="F42" s="14" t="s">
        <v>101</v>
      </c>
      <c r="G42" s="3" t="s">
        <v>93</v>
      </c>
      <c r="H42" s="3"/>
      <c r="I42" s="3"/>
      <c r="J42" s="3"/>
      <c r="K42" s="3"/>
    </row>
    <row r="43" s="1" customFormat="1" customHeight="1" spans="1:11">
      <c r="A43" s="2">
        <v>46142</v>
      </c>
      <c r="B43" s="13" t="s">
        <v>14</v>
      </c>
      <c r="C43" s="3"/>
      <c r="D43" s="3">
        <v>17640</v>
      </c>
      <c r="E43" s="2"/>
      <c r="F43" s="14" t="s">
        <v>101</v>
      </c>
      <c r="G43" s="3" t="s">
        <v>83</v>
      </c>
      <c r="H43" s="3"/>
      <c r="I43" s="3"/>
      <c r="J43" s="3"/>
      <c r="K43" s="3"/>
    </row>
    <row r="44" s="1" customFormat="1" customHeight="1" spans="1:11">
      <c r="A44" s="2">
        <v>46142</v>
      </c>
      <c r="B44" s="13" t="s">
        <v>14</v>
      </c>
      <c r="C44" s="3"/>
      <c r="D44" s="3">
        <v>16758</v>
      </c>
      <c r="E44" s="2"/>
      <c r="F44" s="14" t="s">
        <v>101</v>
      </c>
      <c r="G44" s="3" t="s">
        <v>107</v>
      </c>
      <c r="H44" s="3"/>
      <c r="I44" s="3"/>
      <c r="J44" s="3"/>
      <c r="K44" s="3"/>
    </row>
    <row r="45" s="1" customFormat="1" customHeight="1" spans="1:11">
      <c r="A45" s="2">
        <v>46190</v>
      </c>
      <c r="B45" s="13" t="s">
        <v>14</v>
      </c>
      <c r="C45" s="3"/>
      <c r="D45" s="3">
        <v>19950</v>
      </c>
      <c r="E45" s="2"/>
      <c r="F45" s="14" t="s">
        <v>101</v>
      </c>
      <c r="G45" s="3" t="s">
        <v>82</v>
      </c>
      <c r="H45" s="3"/>
      <c r="I45" s="3"/>
      <c r="J45" s="3"/>
      <c r="K45" s="3"/>
    </row>
    <row r="46" s="1" customFormat="1" customHeight="1" spans="1:11">
      <c r="A46" s="2">
        <v>46190</v>
      </c>
      <c r="B46" s="13" t="s">
        <v>14</v>
      </c>
      <c r="C46" s="3"/>
      <c r="D46" s="3">
        <v>15428</v>
      </c>
      <c r="E46" s="2"/>
      <c r="F46" s="14" t="s">
        <v>101</v>
      </c>
      <c r="G46" s="3" t="s">
        <v>95</v>
      </c>
      <c r="H46" s="3"/>
      <c r="I46" s="3"/>
      <c r="J46" s="3"/>
      <c r="K46" s="3"/>
    </row>
    <row r="47" s="1" customFormat="1" customHeight="1" spans="1:11">
      <c r="A47" s="2">
        <v>46190</v>
      </c>
      <c r="B47" s="13" t="s">
        <v>14</v>
      </c>
      <c r="C47" s="3"/>
      <c r="D47" s="3">
        <v>2940</v>
      </c>
      <c r="E47" s="2"/>
      <c r="F47" s="14" t="s">
        <v>101</v>
      </c>
      <c r="G47" s="3" t="s">
        <v>103</v>
      </c>
      <c r="H47" s="3"/>
      <c r="I47" s="3"/>
      <c r="J47" s="3"/>
      <c r="K47" s="3"/>
    </row>
    <row r="48" s="1" customFormat="1" customHeight="1" spans="1:11">
      <c r="A48" s="2">
        <v>46190</v>
      </c>
      <c r="B48" s="13" t="s">
        <v>14</v>
      </c>
      <c r="C48" s="3"/>
      <c r="D48" s="3">
        <v>2940</v>
      </c>
      <c r="E48" s="2"/>
      <c r="F48" s="14" t="s">
        <v>101</v>
      </c>
      <c r="G48" s="3" t="s">
        <v>104</v>
      </c>
      <c r="H48" s="3"/>
      <c r="I48" s="3"/>
      <c r="J48" s="3"/>
      <c r="K48" s="3"/>
    </row>
    <row r="49" s="1" customFormat="1" customHeight="1" spans="1:12">
      <c r="A49" s="2">
        <v>46190</v>
      </c>
      <c r="B49" s="13" t="s">
        <v>14</v>
      </c>
      <c r="C49" s="3"/>
      <c r="D49" s="3">
        <v>15925</v>
      </c>
      <c r="E49" s="2"/>
      <c r="F49" s="14" t="s">
        <v>101</v>
      </c>
      <c r="G49" s="3" t="s">
        <v>83</v>
      </c>
      <c r="H49" s="3"/>
      <c r="I49" s="3"/>
      <c r="J49" s="3"/>
      <c r="K49" s="3"/>
    </row>
    <row r="50" s="1" customFormat="1" customHeight="1" spans="1:12">
      <c r="A50" s="2">
        <v>46191</v>
      </c>
      <c r="B50" s="1" t="s">
        <v>15</v>
      </c>
      <c r="C50" s="3">
        <v>17715</v>
      </c>
      <c r="D50" s="3"/>
      <c r="E50" s="2"/>
      <c r="F50" s="3"/>
      <c r="G50" s="3"/>
      <c r="H50" s="3"/>
      <c r="I50" s="3"/>
      <c r="J50" s="3"/>
      <c r="K50" s="3"/>
    </row>
    <row r="51" s="1" customFormat="1" customHeight="1" spans="1:12">
      <c r="A51" s="2">
        <v>46192</v>
      </c>
      <c r="B51" s="1" t="s">
        <v>14</v>
      </c>
      <c r="C51" s="3">
        <v>1000</v>
      </c>
      <c r="D51" s="3"/>
      <c r="E51" s="2"/>
      <c r="F51" s="3"/>
      <c r="G51" s="3"/>
      <c r="H51" s="3"/>
      <c r="I51" s="3"/>
      <c r="J51" s="3"/>
      <c r="K51" s="3"/>
      <c r="L51" s="1" t="s">
        <v>108</v>
      </c>
    </row>
    <row r="52" s="1" customFormat="1" customHeight="1" spans="1:12">
      <c r="A52" s="2">
        <v>46193</v>
      </c>
      <c r="B52" s="1" t="s">
        <v>13</v>
      </c>
      <c r="C52" s="3">
        <v>750</v>
      </c>
      <c r="D52" s="3"/>
      <c r="E52" s="2"/>
      <c r="F52" s="3"/>
      <c r="G52" s="3"/>
      <c r="H52" s="3"/>
      <c r="I52" s="3"/>
      <c r="J52" s="3"/>
      <c r="K52" s="3"/>
      <c r="L52" s="1" t="s">
        <v>108</v>
      </c>
    </row>
    <row r="53" s="1" customFormat="1" customHeight="1" spans="1:12">
      <c r="A53" s="2">
        <v>46194</v>
      </c>
      <c r="B53" s="1" t="s">
        <v>13</v>
      </c>
      <c r="C53" s="3">
        <v>1500</v>
      </c>
      <c r="D53" s="3"/>
      <c r="E53" s="2"/>
      <c r="F53" s="3"/>
      <c r="G53" s="3"/>
      <c r="H53" s="3"/>
      <c r="I53" s="3"/>
      <c r="J53" s="3"/>
      <c r="K53" s="3"/>
      <c r="L53" s="1" t="s">
        <v>109</v>
      </c>
    </row>
    <row r="54" s="1" customFormat="1" customHeight="1" spans="1:12">
      <c r="A54" s="2">
        <v>46195</v>
      </c>
      <c r="B54" s="1" t="s">
        <v>14</v>
      </c>
      <c r="C54" s="3">
        <v>1500</v>
      </c>
      <c r="D54" s="3"/>
      <c r="E54" s="2"/>
      <c r="F54" s="3"/>
      <c r="G54" s="3"/>
      <c r="H54" s="3"/>
      <c r="I54" s="3"/>
      <c r="J54" s="3"/>
      <c r="K54" s="3"/>
      <c r="L54" s="1" t="s">
        <v>109</v>
      </c>
    </row>
    <row r="55" s="1" customFormat="1" customHeight="1" spans="1:12">
      <c r="A55" s="2">
        <v>46003</v>
      </c>
      <c r="B55" s="1" t="s">
        <v>13</v>
      </c>
      <c r="C55" s="3"/>
      <c r="D55" s="3">
        <v>6000</v>
      </c>
      <c r="E55" s="2"/>
      <c r="F55" s="3" t="s">
        <v>110</v>
      </c>
      <c r="G55" s="3" t="s">
        <v>82</v>
      </c>
      <c r="H55" s="3"/>
      <c r="I55" s="3"/>
      <c r="J55" s="3"/>
      <c r="K55" s="3"/>
    </row>
    <row r="56" s="1" customFormat="1" customHeight="1" spans="1:12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2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2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2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2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2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2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2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2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</sheetData>
  <conditionalFormatting sqref="N10">
    <cfRule type="expression" dxfId="0" priority="3">
      <formula>$A3&lt;&gt;""</formula>
    </cfRule>
  </conditionalFormatting>
  <conditionalFormatting sqref="A55:L55">
    <cfRule type="expression" dxfId="0" priority="6">
      <formula>$A55&lt;&gt;""</formula>
    </cfRule>
    <cfRule type="expression" dxfId="0" priority="7">
      <formula>#REF!&lt;&gt;""</formula>
    </cfRule>
  </conditionalFormatting>
  <conditionalFormatting sqref="A1:L50 A56:L1048574">
    <cfRule type="expression" dxfId="0" priority="1">
      <formula>$A1&lt;&gt;""</formula>
    </cfRule>
    <cfRule type="expression" dxfId="0" priority="2">
      <formula>$A2&lt;&gt;""</formula>
    </cfRule>
  </conditionalFormatting>
  <conditionalFormatting sqref="A51:L54">
    <cfRule type="expression" dxfId="0" priority="10">
      <formula>$A51&lt;&gt;""</formula>
    </cfRule>
    <cfRule type="expression" dxfId="0" priority="11">
      <formula>$A55&lt;&gt;""</formula>
    </cfRule>
  </conditionalFormatting>
  <conditionalFormatting sqref="A1048575:L1048576">
    <cfRule type="expression" dxfId="0" priority="4">
      <formula>$A1048575&lt;&gt;""</formula>
    </cfRule>
    <cfRule type="expression" dxfId="0" priority="5">
      <formula>$A1&lt;&gt;""</formula>
    </cfRule>
  </conditionalFormatting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3"/>
  <sheetViews>
    <sheetView workbookViewId="0">
      <selection activeCell="G5" sqref="G5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6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str" cm="1">
        <f t="array" ref="N1:P3">_xlfn.PIVOTBY(_xlfn._TRO_TRAILING(B2:B999),,_xlfn._TRO_TRAILING(C2:D999),_xleta.SUM,3)</f>
        <v>项目名称</v>
      </c>
      <c r="O1" s="1" t="str">
        <v>应付金额</v>
      </c>
      <c r="P1" s="1" t="str">
        <v>已付金额</v>
      </c>
    </row>
    <row r="2" s="1" customFormat="1" customHeight="1" spans="1:16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  <c r="N2" s="1" t="str">
        <v>数字产业园</v>
      </c>
      <c r="O2" s="1">
        <v>18000</v>
      </c>
      <c r="P2" s="1">
        <v>12000</v>
      </c>
    </row>
    <row r="3" s="1" customFormat="1" customHeight="1" spans="1:16">
      <c r="A3" s="12">
        <v>46047</v>
      </c>
      <c r="B3" s="13" t="s">
        <v>12</v>
      </c>
      <c r="C3" s="14">
        <v>18000</v>
      </c>
      <c r="D3" s="14">
        <v>12000</v>
      </c>
      <c r="E3" s="12">
        <v>46068</v>
      </c>
      <c r="F3" s="14" t="s">
        <v>31</v>
      </c>
      <c r="G3" s="14" t="s">
        <v>111</v>
      </c>
      <c r="H3" s="14"/>
      <c r="I3" s="14"/>
      <c r="J3" s="14"/>
      <c r="K3" s="14"/>
      <c r="L3" s="13"/>
      <c r="N3" s="1" t="str">
        <v>总计</v>
      </c>
      <c r="O3" s="1">
        <v>18000</v>
      </c>
      <c r="P3" s="1">
        <v>12000</v>
      </c>
    </row>
    <row r="4" s="1" customFormat="1" customHeight="1" spans="1:16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6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6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6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6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6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6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6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6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6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6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6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6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3"/>
  <sheetViews>
    <sheetView workbookViewId="0">
      <selection activeCell="N1" sqref="N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4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  <c r="N1" s="1" t="e" cm="1">
        <f t="array" ref="N1">_xlfn.PIVOTBY(_xlfn._TRO_TRAILING(B2:B999),,_xlfn._TRO_TRAILING(C2:D999),_xleta.SUM,3)</f>
        <v>#VALUE!</v>
      </c>
    </row>
    <row r="2" s="1" customFormat="1" customHeight="1" spans="1:14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4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4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4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4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4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4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4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4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4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4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4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4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4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4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3"/>
  <sheetViews>
    <sheetView workbookViewId="0">
      <selection activeCell="K1" sqref="K1"/>
    </sheetView>
  </sheetViews>
  <sheetFormatPr defaultColWidth="9" defaultRowHeight="22" customHeight="1"/>
  <cols>
    <col min="1" max="1" width="16.6333333333333" style="2" customWidth="1"/>
    <col min="2" max="2" width="21.4583333333333" style="1" customWidth="1"/>
    <col min="3" max="3" width="15.125" style="3" customWidth="1"/>
    <col min="4" max="4" width="11.5" style="3"/>
    <col min="5" max="5" width="11.8166666666667" style="2"/>
    <col min="6" max="7" width="17.3666666666667" style="3" customWidth="1"/>
    <col min="8" max="9" width="14.0916666666667" style="3" customWidth="1"/>
    <col min="10" max="11" width="15.2583333333333" style="3" customWidth="1"/>
    <col min="12" max="13" width="9" style="1"/>
    <col min="14" max="14" width="18.375" style="1" customWidth="1"/>
    <col min="15" max="15" width="13" style="1" customWidth="1"/>
    <col min="16" max="17" width="10.375" style="1"/>
    <col min="18" max="16384" width="9" style="1"/>
  </cols>
  <sheetData>
    <row r="1" s="1" customFormat="1" ht="31" customHeight="1" spans="1:12">
      <c r="A1" s="4"/>
      <c r="B1" s="5"/>
      <c r="C1" s="6"/>
      <c r="D1" s="6"/>
      <c r="E1" s="7"/>
      <c r="F1" s="6"/>
      <c r="G1" s="6"/>
      <c r="H1" s="6"/>
      <c r="I1" s="6"/>
      <c r="J1" s="6"/>
      <c r="K1" s="8" t="str">
        <f>HYPERLINK("#总表！A3","返回总表")</f>
        <v>返回总表</v>
      </c>
      <c r="L1" s="5"/>
    </row>
    <row r="2" s="1" customFormat="1" customHeight="1" spans="1:12">
      <c r="A2" s="9" t="s">
        <v>20</v>
      </c>
      <c r="B2" s="10" t="s">
        <v>21</v>
      </c>
      <c r="C2" s="11" t="s">
        <v>22</v>
      </c>
      <c r="D2" s="11" t="s">
        <v>23</v>
      </c>
      <c r="E2" s="9" t="s">
        <v>24</v>
      </c>
      <c r="F2" s="11" t="s">
        <v>25</v>
      </c>
      <c r="G2" s="11" t="s">
        <v>26</v>
      </c>
      <c r="H2" s="11" t="s">
        <v>27</v>
      </c>
      <c r="I2" s="11" t="s">
        <v>50</v>
      </c>
      <c r="J2" s="11" t="s">
        <v>28</v>
      </c>
      <c r="K2" s="11" t="s">
        <v>29</v>
      </c>
      <c r="L2" s="10" t="s">
        <v>30</v>
      </c>
    </row>
    <row r="3" s="1" customFormat="1" customHeight="1" spans="1:12">
      <c r="A3" s="12"/>
      <c r="B3" s="13"/>
      <c r="C3" s="14"/>
      <c r="D3" s="14"/>
      <c r="E3" s="12"/>
      <c r="F3" s="14"/>
      <c r="G3" s="14"/>
      <c r="H3" s="14"/>
      <c r="I3" s="14"/>
      <c r="J3" s="14"/>
      <c r="K3" s="14"/>
      <c r="L3" s="13"/>
    </row>
    <row r="4" s="1" customFormat="1" customHeight="1" spans="1:12">
      <c r="A4" s="12"/>
      <c r="B4" s="13"/>
      <c r="C4" s="14"/>
      <c r="D4" s="14"/>
      <c r="E4" s="12"/>
      <c r="F4" s="14"/>
      <c r="G4" s="14"/>
      <c r="H4" s="14"/>
      <c r="I4" s="14"/>
      <c r="J4" s="14"/>
      <c r="K4" s="14"/>
      <c r="L4" s="13"/>
    </row>
    <row r="5" s="1" customFormat="1" customHeight="1" spans="1:12">
      <c r="A5" s="12"/>
      <c r="B5" s="13"/>
      <c r="C5" s="14"/>
      <c r="D5" s="14"/>
      <c r="E5" s="12"/>
      <c r="F5" s="14"/>
      <c r="G5" s="14"/>
      <c r="H5" s="14"/>
      <c r="I5" s="14"/>
      <c r="J5" s="14"/>
      <c r="K5" s="14"/>
      <c r="L5" s="13"/>
    </row>
    <row r="6" s="1" customFormat="1" customHeight="1" spans="1:12">
      <c r="A6" s="12"/>
      <c r="B6" s="13"/>
      <c r="C6" s="14"/>
      <c r="D6" s="14"/>
      <c r="E6" s="12"/>
      <c r="F6" s="14"/>
      <c r="G6" s="14"/>
      <c r="H6" s="14"/>
      <c r="I6" s="14"/>
      <c r="J6" s="14"/>
      <c r="K6" s="14"/>
      <c r="L6" s="13"/>
    </row>
    <row r="7" s="1" customFormat="1" customHeight="1" spans="1:12">
      <c r="A7" s="12"/>
      <c r="B7" s="13"/>
      <c r="C7" s="14"/>
      <c r="D7" s="14"/>
      <c r="E7" s="12"/>
      <c r="F7" s="14"/>
      <c r="G7" s="14"/>
      <c r="H7" s="14"/>
      <c r="I7" s="14"/>
      <c r="J7" s="14"/>
      <c r="K7" s="14"/>
      <c r="L7" s="13"/>
    </row>
    <row r="8" s="1" customFormat="1" customHeight="1" spans="1:12">
      <c r="A8" s="12"/>
      <c r="B8" s="13"/>
      <c r="C8" s="14"/>
      <c r="D8" s="14"/>
      <c r="E8" s="12"/>
      <c r="F8" s="14"/>
      <c r="G8" s="14"/>
      <c r="H8" s="14"/>
      <c r="I8" s="14"/>
      <c r="J8" s="14"/>
      <c r="K8" s="14"/>
      <c r="L8" s="13"/>
    </row>
    <row r="9" s="1" customFormat="1" customHeight="1" spans="1:12">
      <c r="A9" s="12"/>
      <c r="B9" s="13"/>
      <c r="C9" s="14"/>
      <c r="D9" s="14"/>
      <c r="E9" s="12"/>
      <c r="F9" s="14"/>
      <c r="G9" s="14"/>
      <c r="H9" s="14"/>
      <c r="I9" s="14"/>
      <c r="J9" s="14"/>
      <c r="K9" s="14"/>
      <c r="L9" s="13"/>
    </row>
    <row r="10" s="1" customFormat="1" customHeight="1" spans="1:12">
      <c r="A10" s="12"/>
      <c r="B10" s="13"/>
      <c r="C10" s="14"/>
      <c r="D10" s="14"/>
      <c r="E10" s="12"/>
      <c r="F10" s="14"/>
      <c r="G10" s="14"/>
      <c r="H10" s="14"/>
      <c r="I10" s="14"/>
      <c r="J10" s="14"/>
      <c r="K10" s="14"/>
      <c r="L10" s="13"/>
    </row>
    <row r="11" s="1" customFormat="1" customHeight="1" spans="1:12">
      <c r="A11" s="12"/>
      <c r="B11" s="13"/>
      <c r="C11" s="14"/>
      <c r="D11" s="14"/>
      <c r="E11" s="12"/>
      <c r="F11" s="14"/>
      <c r="G11" s="14"/>
      <c r="H11" s="14"/>
      <c r="I11" s="14"/>
      <c r="J11" s="14"/>
      <c r="K11" s="14"/>
      <c r="L11" s="13"/>
    </row>
    <row r="12" s="1" customFormat="1" customHeight="1" spans="1:12">
      <c r="A12" s="12"/>
      <c r="B12" s="13"/>
      <c r="C12" s="14"/>
      <c r="D12" s="14"/>
      <c r="E12" s="12"/>
      <c r="F12" s="14"/>
      <c r="G12" s="14"/>
      <c r="H12" s="14"/>
      <c r="I12" s="14"/>
      <c r="J12" s="14"/>
      <c r="K12" s="14"/>
      <c r="L12" s="13"/>
    </row>
    <row r="13" s="1" customFormat="1" customHeight="1" spans="1:12">
      <c r="A13" s="12"/>
      <c r="B13" s="13"/>
      <c r="C13" s="14"/>
      <c r="D13" s="14"/>
      <c r="E13" s="12"/>
      <c r="F13" s="14"/>
      <c r="G13" s="14"/>
      <c r="H13" s="14"/>
      <c r="I13" s="14"/>
      <c r="J13" s="14"/>
      <c r="K13" s="14"/>
      <c r="L13" s="13"/>
    </row>
    <row r="14" s="1" customFormat="1" customHeight="1" spans="1:12">
      <c r="A14" s="12"/>
      <c r="B14" s="13"/>
      <c r="C14" s="14"/>
      <c r="D14" s="14"/>
      <c r="E14" s="12"/>
      <c r="F14" s="14"/>
      <c r="G14" s="14"/>
      <c r="H14" s="14"/>
      <c r="I14" s="14"/>
      <c r="J14" s="14"/>
      <c r="K14" s="14"/>
      <c r="L14" s="13"/>
    </row>
    <row r="15" s="1" customFormat="1" customHeight="1" spans="1:12">
      <c r="A15" s="12"/>
      <c r="B15" s="13"/>
      <c r="C15" s="14"/>
      <c r="D15" s="14"/>
      <c r="E15" s="12"/>
      <c r="F15" s="14"/>
      <c r="G15" s="14"/>
      <c r="H15" s="14"/>
      <c r="I15" s="14"/>
      <c r="J15" s="14"/>
      <c r="K15" s="14"/>
      <c r="L15" s="13"/>
    </row>
    <row r="16" s="1" customFormat="1" customHeight="1" spans="1:12">
      <c r="A16" s="12"/>
      <c r="B16" s="13"/>
      <c r="C16" s="14"/>
      <c r="D16" s="14"/>
      <c r="E16" s="12"/>
      <c r="F16" s="14"/>
      <c r="G16" s="14"/>
      <c r="H16" s="14"/>
      <c r="I16" s="14"/>
      <c r="J16" s="14"/>
      <c r="K16" s="14"/>
      <c r="L16" s="13"/>
    </row>
    <row r="17" s="1" customFormat="1" customHeight="1" spans="1:12">
      <c r="A17" s="12"/>
      <c r="B17" s="13"/>
      <c r="C17" s="14"/>
      <c r="D17" s="14"/>
      <c r="E17" s="12"/>
      <c r="F17" s="14"/>
      <c r="G17" s="14"/>
      <c r="H17" s="14"/>
      <c r="I17" s="14"/>
      <c r="J17" s="14"/>
      <c r="K17" s="14"/>
      <c r="L17" s="13"/>
    </row>
    <row r="18" s="1" customFormat="1" customHeight="1" spans="1:12">
      <c r="A18" s="12"/>
      <c r="B18" s="13"/>
      <c r="C18" s="14"/>
      <c r="D18" s="14"/>
      <c r="E18" s="12"/>
      <c r="F18" s="14"/>
      <c r="G18" s="14"/>
      <c r="H18" s="14"/>
      <c r="I18" s="14"/>
      <c r="J18" s="14"/>
      <c r="K18" s="14"/>
      <c r="L18" s="13"/>
    </row>
    <row r="19" s="1" customFormat="1" customHeight="1" spans="1:12">
      <c r="A19" s="12"/>
      <c r="B19" s="13"/>
      <c r="C19" s="14"/>
      <c r="D19" s="14"/>
      <c r="E19" s="12"/>
      <c r="F19" s="14"/>
      <c r="G19" s="14"/>
      <c r="H19" s="14"/>
      <c r="I19" s="14"/>
      <c r="J19" s="14"/>
      <c r="K19" s="14"/>
      <c r="L19" s="13"/>
    </row>
    <row r="20" s="1" customFormat="1" customHeight="1" spans="1:12">
      <c r="A20" s="12"/>
      <c r="B20" s="13"/>
      <c r="C20" s="14"/>
      <c r="D20" s="14"/>
      <c r="E20" s="12"/>
      <c r="F20" s="14"/>
      <c r="G20" s="14"/>
      <c r="H20" s="14"/>
      <c r="I20" s="14"/>
      <c r="J20" s="14"/>
      <c r="K20" s="14"/>
      <c r="L20" s="13"/>
    </row>
    <row r="21" s="1" customFormat="1" customHeight="1" spans="1:12">
      <c r="A21" s="12"/>
      <c r="B21" s="13"/>
      <c r="C21" s="14"/>
      <c r="D21" s="14"/>
      <c r="E21" s="12"/>
      <c r="F21" s="14"/>
      <c r="G21" s="14"/>
      <c r="H21" s="14"/>
      <c r="I21" s="14"/>
      <c r="J21" s="14"/>
      <c r="K21" s="14"/>
      <c r="L21" s="13"/>
    </row>
    <row r="22" s="1" customFormat="1" customHeight="1" spans="1:12">
      <c r="A22" s="12"/>
      <c r="B22" s="13"/>
      <c r="C22" s="14"/>
      <c r="D22" s="14"/>
      <c r="E22" s="12"/>
      <c r="F22" s="14"/>
      <c r="G22" s="14"/>
      <c r="H22" s="14"/>
      <c r="I22" s="14"/>
      <c r="J22" s="14"/>
      <c r="K22" s="14"/>
      <c r="L22" s="13"/>
    </row>
    <row r="23" s="1" customFormat="1" customHeight="1" spans="1:12">
      <c r="A23" s="12"/>
      <c r="B23" s="13"/>
      <c r="C23" s="14"/>
      <c r="D23" s="14"/>
      <c r="E23" s="12"/>
      <c r="F23" s="14"/>
      <c r="G23" s="14"/>
      <c r="H23" s="14"/>
      <c r="I23" s="14"/>
      <c r="J23" s="14"/>
      <c r="K23" s="14"/>
      <c r="L23" s="13"/>
    </row>
    <row r="24" s="1" customFormat="1" customHeight="1" spans="1:12">
      <c r="A24" s="12"/>
      <c r="B24" s="13"/>
      <c r="C24" s="14"/>
      <c r="D24" s="14"/>
      <c r="E24" s="12"/>
      <c r="F24" s="14"/>
      <c r="G24" s="14"/>
      <c r="H24" s="14"/>
      <c r="I24" s="14"/>
      <c r="J24" s="14"/>
      <c r="K24" s="14"/>
      <c r="L24" s="13"/>
    </row>
    <row r="25" s="1" customFormat="1" customHeight="1" spans="1:12">
      <c r="A25" s="12"/>
      <c r="B25" s="13"/>
      <c r="C25" s="14"/>
      <c r="D25" s="14"/>
      <c r="E25" s="12"/>
      <c r="F25" s="14"/>
      <c r="G25" s="14"/>
      <c r="H25" s="14"/>
      <c r="I25" s="14"/>
      <c r="J25" s="14"/>
      <c r="K25" s="14"/>
      <c r="L25" s="13"/>
    </row>
    <row r="26" s="1" customFormat="1" customHeight="1" spans="1:12">
      <c r="A26" s="12"/>
      <c r="B26" s="13"/>
      <c r="C26" s="14"/>
      <c r="D26" s="14"/>
      <c r="E26" s="12"/>
      <c r="F26" s="14"/>
      <c r="G26" s="14"/>
      <c r="H26" s="14"/>
      <c r="I26" s="14"/>
      <c r="J26" s="14"/>
      <c r="K26" s="14"/>
      <c r="L26" s="13"/>
    </row>
    <row r="27" s="1" customFormat="1" customHeight="1" spans="1:12">
      <c r="A27" s="12"/>
      <c r="B27" s="13"/>
      <c r="C27" s="14"/>
      <c r="D27" s="14"/>
      <c r="E27" s="12"/>
      <c r="F27" s="14"/>
      <c r="G27" s="14"/>
      <c r="H27" s="14"/>
      <c r="I27" s="14"/>
      <c r="J27" s="14"/>
      <c r="K27" s="14"/>
      <c r="L27" s="13"/>
    </row>
    <row r="28" s="1" customFormat="1" customHeight="1" spans="1:12">
      <c r="A28" s="12"/>
      <c r="B28" s="13"/>
      <c r="C28" s="14"/>
      <c r="D28" s="14"/>
      <c r="E28" s="12"/>
      <c r="F28" s="14"/>
      <c r="G28" s="14"/>
      <c r="H28" s="14"/>
      <c r="I28" s="14"/>
      <c r="J28" s="14"/>
      <c r="K28" s="14"/>
      <c r="L28" s="13"/>
    </row>
    <row r="29" s="1" customFormat="1" customHeight="1" spans="1:12">
      <c r="A29" s="12"/>
      <c r="B29" s="13"/>
      <c r="C29" s="14"/>
      <c r="D29" s="14"/>
      <c r="E29" s="12"/>
      <c r="F29" s="14"/>
      <c r="G29" s="14"/>
      <c r="H29" s="14"/>
      <c r="I29" s="14"/>
      <c r="J29" s="14"/>
      <c r="K29" s="14"/>
      <c r="L29" s="13"/>
    </row>
    <row r="30" s="1" customFormat="1" customHeight="1" spans="1:12">
      <c r="A30" s="2"/>
      <c r="C30" s="3"/>
      <c r="D30" s="3"/>
      <c r="E30" s="2"/>
      <c r="F30" s="3"/>
      <c r="G30" s="3"/>
      <c r="H30" s="3"/>
      <c r="I30" s="3"/>
      <c r="J30" s="3"/>
      <c r="K30" s="3"/>
    </row>
    <row r="31" s="1" customFormat="1" customHeight="1" spans="1:12">
      <c r="A31" s="2"/>
      <c r="C31" s="3"/>
      <c r="D31" s="3"/>
      <c r="E31" s="2"/>
      <c r="F31" s="3"/>
      <c r="G31" s="3"/>
      <c r="H31" s="3"/>
      <c r="I31" s="3"/>
      <c r="J31" s="3"/>
      <c r="K31" s="3"/>
    </row>
    <row r="32" s="1" customFormat="1" customHeight="1" spans="1:12">
      <c r="A32" s="2"/>
      <c r="C32" s="3"/>
      <c r="D32" s="3"/>
      <c r="E32" s="2"/>
      <c r="F32" s="3"/>
      <c r="G32" s="3"/>
      <c r="H32" s="3"/>
      <c r="I32" s="3"/>
      <c r="J32" s="3"/>
      <c r="K32" s="3"/>
    </row>
    <row r="33" s="1" customFormat="1" customHeight="1" spans="1:11">
      <c r="A33" s="2"/>
      <c r="C33" s="3"/>
      <c r="D33" s="3"/>
      <c r="E33" s="2"/>
      <c r="F33" s="3"/>
      <c r="G33" s="3"/>
      <c r="H33" s="3"/>
      <c r="I33" s="3"/>
      <c r="J33" s="3"/>
      <c r="K33" s="3"/>
    </row>
    <row r="34" s="1" customFormat="1" customHeight="1" spans="1:11">
      <c r="A34" s="2"/>
      <c r="C34" s="3"/>
      <c r="D34" s="3"/>
      <c r="E34" s="2"/>
      <c r="F34" s="3"/>
      <c r="G34" s="3"/>
      <c r="H34" s="3"/>
      <c r="I34" s="3"/>
      <c r="J34" s="3"/>
      <c r="K34" s="3"/>
    </row>
    <row r="35" s="1" customFormat="1" customHeight="1" spans="1:11">
      <c r="A35" s="2"/>
      <c r="C35" s="3"/>
      <c r="D35" s="3"/>
      <c r="E35" s="2"/>
      <c r="F35" s="3"/>
      <c r="G35" s="3"/>
      <c r="H35" s="3"/>
      <c r="I35" s="3"/>
      <c r="J35" s="3"/>
      <c r="K35" s="3"/>
    </row>
    <row r="36" s="1" customFormat="1" customHeight="1" spans="1:11">
      <c r="A36" s="2"/>
      <c r="C36" s="3"/>
      <c r="D36" s="3"/>
      <c r="E36" s="2"/>
      <c r="F36" s="3"/>
      <c r="G36" s="3"/>
      <c r="H36" s="3"/>
      <c r="I36" s="3"/>
      <c r="J36" s="3"/>
      <c r="K36" s="3"/>
    </row>
    <row r="37" s="1" customFormat="1" customHeight="1" spans="1:11">
      <c r="A37" s="2"/>
      <c r="C37" s="3"/>
      <c r="D37" s="3"/>
      <c r="E37" s="2"/>
      <c r="F37" s="3"/>
      <c r="G37" s="3"/>
      <c r="H37" s="3"/>
      <c r="I37" s="3"/>
      <c r="J37" s="3"/>
      <c r="K37" s="3"/>
    </row>
    <row r="38" s="1" customFormat="1" customHeight="1" spans="1:11">
      <c r="A38" s="2"/>
      <c r="C38" s="3"/>
      <c r="D38" s="3"/>
      <c r="E38" s="2"/>
      <c r="F38" s="3"/>
      <c r="G38" s="3"/>
      <c r="H38" s="3"/>
      <c r="I38" s="3"/>
      <c r="J38" s="3"/>
      <c r="K38" s="3"/>
    </row>
    <row r="39" s="1" customFormat="1" customHeight="1" spans="1:11">
      <c r="A39" s="2"/>
      <c r="C39" s="3"/>
      <c r="D39" s="3"/>
      <c r="E39" s="2"/>
      <c r="F39" s="3"/>
      <c r="G39" s="3"/>
      <c r="H39" s="3"/>
      <c r="I39" s="3"/>
      <c r="J39" s="3"/>
      <c r="K39" s="3"/>
    </row>
    <row r="40" s="1" customFormat="1" customHeight="1" spans="1:11">
      <c r="A40" s="2"/>
      <c r="C40" s="3"/>
      <c r="D40" s="3"/>
      <c r="E40" s="2"/>
      <c r="F40" s="3"/>
      <c r="G40" s="3"/>
      <c r="H40" s="3"/>
      <c r="I40" s="3"/>
      <c r="J40" s="3"/>
      <c r="K40" s="3"/>
    </row>
    <row r="41" s="1" customFormat="1" customHeight="1" spans="1:11">
      <c r="A41" s="2"/>
      <c r="C41" s="3"/>
      <c r="D41" s="3"/>
      <c r="E41" s="2"/>
      <c r="F41" s="3"/>
      <c r="G41" s="3"/>
      <c r="H41" s="3"/>
      <c r="I41" s="3"/>
      <c r="J41" s="3"/>
      <c r="K41" s="3"/>
    </row>
    <row r="42" s="1" customFormat="1" customHeight="1" spans="1:11">
      <c r="A42" s="2"/>
      <c r="C42" s="3"/>
      <c r="D42" s="3"/>
      <c r="E42" s="2"/>
      <c r="F42" s="3"/>
      <c r="G42" s="3"/>
      <c r="H42" s="3"/>
      <c r="I42" s="3"/>
      <c r="J42" s="3"/>
      <c r="K42" s="3"/>
    </row>
    <row r="43" s="1" customFormat="1" customHeight="1" spans="1:11">
      <c r="A43" s="2"/>
      <c r="C43" s="3"/>
      <c r="D43" s="3"/>
      <c r="E43" s="2"/>
      <c r="F43" s="3"/>
      <c r="G43" s="3"/>
      <c r="H43" s="3"/>
      <c r="I43" s="3"/>
      <c r="J43" s="3"/>
      <c r="K43" s="3"/>
    </row>
    <row r="44" s="1" customFormat="1" customHeight="1" spans="1:11">
      <c r="A44" s="2"/>
      <c r="C44" s="3"/>
      <c r="D44" s="3"/>
      <c r="E44" s="2"/>
      <c r="F44" s="3"/>
      <c r="G44" s="3"/>
      <c r="H44" s="3"/>
      <c r="I44" s="3"/>
      <c r="J44" s="3"/>
      <c r="K44" s="3"/>
    </row>
    <row r="45" s="1" customFormat="1" customHeight="1" spans="1:11">
      <c r="A45" s="2"/>
      <c r="C45" s="3"/>
      <c r="D45" s="3"/>
      <c r="E45" s="2"/>
      <c r="F45" s="3"/>
      <c r="G45" s="3"/>
      <c r="H45" s="3"/>
      <c r="I45" s="3"/>
      <c r="J45" s="3"/>
      <c r="K45" s="3"/>
    </row>
    <row r="46" s="1" customFormat="1" customHeight="1" spans="1:11">
      <c r="A46" s="2"/>
      <c r="C46" s="3"/>
      <c r="D46" s="3"/>
      <c r="E46" s="2"/>
      <c r="F46" s="3"/>
      <c r="G46" s="3"/>
      <c r="H46" s="3"/>
      <c r="I46" s="3"/>
      <c r="J46" s="3"/>
      <c r="K46" s="3"/>
    </row>
    <row r="47" s="1" customFormat="1" customHeight="1" spans="1:11">
      <c r="A47" s="2"/>
      <c r="C47" s="3"/>
      <c r="D47" s="3"/>
      <c r="E47" s="2"/>
      <c r="F47" s="3"/>
      <c r="G47" s="3"/>
      <c r="H47" s="3"/>
      <c r="I47" s="3"/>
      <c r="J47" s="3"/>
      <c r="K47" s="3"/>
    </row>
    <row r="48" s="1" customFormat="1" customHeight="1" spans="1:11">
      <c r="A48" s="2"/>
      <c r="C48" s="3"/>
      <c r="D48" s="3"/>
      <c r="E48" s="2"/>
      <c r="F48" s="3"/>
      <c r="G48" s="3"/>
      <c r="H48" s="3"/>
      <c r="I48" s="3"/>
      <c r="J48" s="3"/>
      <c r="K48" s="3"/>
    </row>
    <row r="49" s="1" customFormat="1" customHeight="1" spans="1:11">
      <c r="A49" s="2"/>
      <c r="C49" s="3"/>
      <c r="D49" s="3"/>
      <c r="E49" s="2"/>
      <c r="F49" s="3"/>
      <c r="G49" s="3"/>
      <c r="H49" s="3"/>
      <c r="I49" s="3"/>
      <c r="J49" s="3"/>
      <c r="K49" s="3"/>
    </row>
    <row r="50" s="1" customFormat="1" customHeight="1" spans="1:11">
      <c r="A50" s="2"/>
      <c r="C50" s="3"/>
      <c r="D50" s="3"/>
      <c r="E50" s="2"/>
      <c r="F50" s="3"/>
      <c r="G50" s="3"/>
      <c r="H50" s="3"/>
      <c r="I50" s="3"/>
      <c r="J50" s="3"/>
      <c r="K50" s="3"/>
    </row>
    <row r="51" s="1" customFormat="1" customHeight="1" spans="1:11">
      <c r="A51" s="2"/>
      <c r="C51" s="3"/>
      <c r="D51" s="3"/>
      <c r="E51" s="2"/>
      <c r="F51" s="3"/>
      <c r="G51" s="3"/>
      <c r="H51" s="3"/>
      <c r="I51" s="3"/>
      <c r="J51" s="3"/>
      <c r="K51" s="3"/>
    </row>
    <row r="52" s="1" customFormat="1" customHeight="1" spans="1:11">
      <c r="A52" s="2"/>
      <c r="C52" s="3"/>
      <c r="D52" s="3"/>
      <c r="E52" s="2"/>
      <c r="F52" s="3"/>
      <c r="G52" s="3"/>
      <c r="H52" s="3"/>
      <c r="I52" s="3"/>
      <c r="J52" s="3"/>
      <c r="K52" s="3"/>
    </row>
    <row r="53" s="1" customFormat="1" customHeight="1" spans="1:11">
      <c r="A53" s="2"/>
      <c r="C53" s="3"/>
      <c r="D53" s="3"/>
      <c r="E53" s="2"/>
      <c r="F53" s="3"/>
      <c r="G53" s="3"/>
      <c r="H53" s="3"/>
      <c r="I53" s="3"/>
      <c r="J53" s="3"/>
      <c r="K53" s="3"/>
    </row>
    <row r="54" s="1" customFormat="1" customHeight="1" spans="1:11">
      <c r="A54" s="2"/>
      <c r="C54" s="3"/>
      <c r="D54" s="3"/>
      <c r="E54" s="2"/>
      <c r="F54" s="3"/>
      <c r="G54" s="3"/>
      <c r="H54" s="3"/>
      <c r="I54" s="3"/>
      <c r="J54" s="3"/>
      <c r="K54" s="3"/>
    </row>
    <row r="55" s="1" customFormat="1" customHeight="1" spans="1:11">
      <c r="A55" s="2"/>
      <c r="C55" s="3"/>
      <c r="D55" s="3"/>
      <c r="E55" s="2"/>
      <c r="F55" s="3"/>
      <c r="G55" s="3"/>
      <c r="H55" s="3"/>
      <c r="I55" s="3"/>
      <c r="J55" s="3"/>
      <c r="K55" s="3"/>
    </row>
    <row r="56" s="1" customFormat="1" customHeight="1" spans="1:11">
      <c r="A56" s="2"/>
      <c r="C56" s="3"/>
      <c r="D56" s="3"/>
      <c r="E56" s="2"/>
      <c r="F56" s="3"/>
      <c r="G56" s="3"/>
      <c r="H56" s="3"/>
      <c r="I56" s="3"/>
      <c r="J56" s="3"/>
      <c r="K56" s="3"/>
    </row>
    <row r="57" s="1" customFormat="1" customHeight="1" spans="1:11">
      <c r="A57" s="2"/>
      <c r="C57" s="3"/>
      <c r="D57" s="3"/>
      <c r="E57" s="2"/>
      <c r="F57" s="3"/>
      <c r="G57" s="3"/>
      <c r="H57" s="3"/>
      <c r="I57" s="3"/>
      <c r="J57" s="3"/>
      <c r="K57" s="3"/>
    </row>
    <row r="58" s="1" customFormat="1" customHeight="1" spans="1:11">
      <c r="A58" s="2"/>
      <c r="C58" s="3"/>
      <c r="D58" s="3"/>
      <c r="E58" s="2"/>
      <c r="F58" s="3"/>
      <c r="G58" s="3"/>
      <c r="H58" s="3"/>
      <c r="I58" s="3"/>
      <c r="J58" s="3"/>
      <c r="K58" s="3"/>
    </row>
    <row r="59" s="1" customFormat="1" customHeight="1" spans="1:11">
      <c r="A59" s="2"/>
      <c r="C59" s="3"/>
      <c r="D59" s="3"/>
      <c r="E59" s="2"/>
      <c r="F59" s="3"/>
      <c r="G59" s="3"/>
      <c r="H59" s="3"/>
      <c r="I59" s="3"/>
      <c r="J59" s="3"/>
      <c r="K59" s="3"/>
    </row>
    <row r="60" s="1" customFormat="1" customHeight="1" spans="1:11">
      <c r="A60" s="2"/>
      <c r="C60" s="3"/>
      <c r="D60" s="3"/>
      <c r="E60" s="2"/>
      <c r="F60" s="3"/>
      <c r="G60" s="3"/>
      <c r="H60" s="3"/>
      <c r="I60" s="3"/>
      <c r="J60" s="3"/>
      <c r="K60" s="3"/>
    </row>
    <row r="61" s="1" customFormat="1" customHeight="1" spans="1:11">
      <c r="A61" s="2"/>
      <c r="C61" s="3"/>
      <c r="D61" s="3"/>
      <c r="E61" s="2"/>
      <c r="F61" s="3"/>
      <c r="G61" s="3"/>
      <c r="H61" s="3"/>
      <c r="I61" s="3"/>
      <c r="J61" s="3"/>
      <c r="K61" s="3"/>
    </row>
    <row r="62" s="1" customFormat="1" customHeight="1" spans="1:11">
      <c r="A62" s="2"/>
      <c r="C62" s="3"/>
      <c r="D62" s="3"/>
      <c r="E62" s="2"/>
      <c r="F62" s="3"/>
      <c r="G62" s="3"/>
      <c r="H62" s="3"/>
      <c r="I62" s="3"/>
      <c r="J62" s="3"/>
      <c r="K62" s="3"/>
    </row>
    <row r="63" s="1" customFormat="1" customHeight="1" spans="1:11">
      <c r="A63" s="2"/>
      <c r="C63" s="3"/>
      <c r="D63" s="3"/>
      <c r="E63" s="2"/>
      <c r="F63" s="3"/>
      <c r="G63" s="3"/>
      <c r="H63" s="3"/>
      <c r="I63" s="3"/>
      <c r="J63" s="3"/>
      <c r="K63" s="3"/>
    </row>
    <row r="64" s="1" customFormat="1" customHeight="1" spans="1:11">
      <c r="A64" s="2"/>
      <c r="C64" s="3"/>
      <c r="D64" s="3"/>
      <c r="E64" s="2"/>
      <c r="F64" s="3"/>
      <c r="G64" s="3"/>
      <c r="H64" s="3"/>
      <c r="I64" s="3"/>
      <c r="J64" s="3"/>
      <c r="K64" s="3"/>
    </row>
    <row r="65" s="1" customFormat="1" customHeight="1" spans="1:11">
      <c r="A65" s="2"/>
      <c r="C65" s="3"/>
      <c r="D65" s="3"/>
      <c r="E65" s="2"/>
      <c r="F65" s="3"/>
      <c r="G65" s="3"/>
      <c r="H65" s="3"/>
      <c r="I65" s="3"/>
      <c r="J65" s="3"/>
      <c r="K65" s="3"/>
    </row>
    <row r="66" s="1" customFormat="1" customHeight="1" spans="1:11">
      <c r="A66" s="2"/>
      <c r="C66" s="3"/>
      <c r="D66" s="3"/>
      <c r="E66" s="2"/>
      <c r="F66" s="3"/>
      <c r="G66" s="3"/>
      <c r="H66" s="3"/>
      <c r="I66" s="3"/>
      <c r="J66" s="3"/>
      <c r="K66" s="3"/>
    </row>
    <row r="67" s="1" customFormat="1" customHeight="1" spans="1:11">
      <c r="A67" s="2"/>
      <c r="C67" s="3"/>
      <c r="D67" s="3"/>
      <c r="E67" s="2"/>
      <c r="F67" s="3"/>
      <c r="G67" s="3"/>
      <c r="H67" s="3"/>
      <c r="I67" s="3"/>
      <c r="J67" s="3"/>
      <c r="K67" s="3"/>
    </row>
    <row r="68" s="1" customFormat="1" customHeight="1" spans="1:11">
      <c r="A68" s="2"/>
      <c r="C68" s="3"/>
      <c r="D68" s="3"/>
      <c r="E68" s="2"/>
      <c r="F68" s="3"/>
      <c r="G68" s="3"/>
      <c r="H68" s="3"/>
      <c r="I68" s="3"/>
      <c r="J68" s="3"/>
      <c r="K68" s="3"/>
    </row>
    <row r="69" s="1" customFormat="1" customHeight="1" spans="1:11">
      <c r="A69" s="2"/>
      <c r="C69" s="3"/>
      <c r="D69" s="3"/>
      <c r="E69" s="2"/>
      <c r="F69" s="3"/>
      <c r="G69" s="3"/>
      <c r="H69" s="3"/>
      <c r="I69" s="3"/>
      <c r="J69" s="3"/>
      <c r="K69" s="3"/>
    </row>
    <row r="70" s="1" customFormat="1" customHeight="1" spans="1:11">
      <c r="A70" s="2"/>
      <c r="C70" s="3"/>
      <c r="D70" s="3"/>
      <c r="E70" s="2"/>
      <c r="F70" s="3"/>
      <c r="G70" s="3"/>
      <c r="H70" s="3"/>
      <c r="I70" s="3"/>
      <c r="J70" s="3"/>
      <c r="K70" s="3"/>
    </row>
    <row r="71" s="1" customFormat="1" customHeight="1" spans="1:11">
      <c r="A71" s="2"/>
      <c r="C71" s="3"/>
      <c r="D71" s="3"/>
      <c r="E71" s="2"/>
      <c r="F71" s="3"/>
      <c r="G71" s="3"/>
      <c r="H71" s="3"/>
      <c r="I71" s="3"/>
      <c r="J71" s="3"/>
      <c r="K71" s="3"/>
    </row>
    <row r="72" s="1" customFormat="1" customHeight="1" spans="1:11">
      <c r="A72" s="2"/>
      <c r="C72" s="3"/>
      <c r="D72" s="3"/>
      <c r="E72" s="2"/>
      <c r="F72" s="3"/>
      <c r="G72" s="3"/>
      <c r="H72" s="3"/>
      <c r="I72" s="3"/>
      <c r="J72" s="3"/>
      <c r="K72" s="3"/>
    </row>
    <row r="73" s="1" customFormat="1" customHeight="1" spans="1:11">
      <c r="A73" s="2"/>
      <c r="C73" s="3"/>
      <c r="D73" s="3"/>
      <c r="E73" s="2"/>
      <c r="F73" s="3"/>
      <c r="G73" s="3"/>
      <c r="H73" s="3"/>
      <c r="I73" s="3"/>
      <c r="J73" s="3"/>
      <c r="K73" s="3"/>
    </row>
    <row r="74" s="1" customFormat="1" customHeight="1" spans="1:11">
      <c r="A74" s="2"/>
      <c r="C74" s="3"/>
      <c r="D74" s="3"/>
      <c r="E74" s="2"/>
      <c r="F74" s="3"/>
      <c r="G74" s="3"/>
      <c r="H74" s="3"/>
      <c r="I74" s="3"/>
      <c r="J74" s="3"/>
      <c r="K74" s="3"/>
    </row>
    <row r="75" s="1" customFormat="1" customHeight="1" spans="1:11">
      <c r="A75" s="2"/>
      <c r="C75" s="3"/>
      <c r="D75" s="3"/>
      <c r="E75" s="2"/>
      <c r="F75" s="3"/>
      <c r="G75" s="3"/>
      <c r="H75" s="3"/>
      <c r="I75" s="3"/>
      <c r="J75" s="3"/>
      <c r="K75" s="3"/>
    </row>
    <row r="76" s="1" customFormat="1" customHeight="1" spans="1:11">
      <c r="A76" s="2"/>
      <c r="C76" s="3"/>
      <c r="D76" s="3"/>
      <c r="E76" s="2"/>
      <c r="F76" s="3"/>
      <c r="G76" s="3"/>
      <c r="H76" s="3"/>
      <c r="I76" s="3"/>
      <c r="J76" s="3"/>
      <c r="K76" s="3"/>
    </row>
    <row r="77" s="1" customFormat="1" customHeight="1" spans="1:11">
      <c r="A77" s="2"/>
      <c r="C77" s="3"/>
      <c r="D77" s="3"/>
      <c r="E77" s="2"/>
      <c r="F77" s="3"/>
      <c r="G77" s="3"/>
      <c r="H77" s="3"/>
      <c r="I77" s="3"/>
      <c r="J77" s="3"/>
      <c r="K77" s="3"/>
    </row>
    <row r="78" s="1" customFormat="1" customHeight="1" spans="1:11">
      <c r="A78" s="2"/>
      <c r="C78" s="3"/>
      <c r="D78" s="3"/>
      <c r="E78" s="2"/>
      <c r="F78" s="3"/>
      <c r="G78" s="3"/>
      <c r="H78" s="3"/>
      <c r="I78" s="3"/>
      <c r="J78" s="3"/>
      <c r="K78" s="3"/>
    </row>
    <row r="79" s="1" customFormat="1" customHeight="1" spans="1:11">
      <c r="A79" s="2"/>
      <c r="C79" s="3"/>
      <c r="D79" s="3"/>
      <c r="E79" s="2"/>
      <c r="F79" s="3"/>
      <c r="G79" s="3"/>
      <c r="H79" s="3"/>
      <c r="I79" s="3"/>
      <c r="J79" s="3"/>
      <c r="K79" s="3"/>
    </row>
    <row r="80" s="1" customFormat="1" customHeight="1" spans="1:11">
      <c r="A80" s="2"/>
      <c r="C80" s="3"/>
      <c r="D80" s="3"/>
      <c r="E80" s="2"/>
      <c r="F80" s="3"/>
      <c r="G80" s="3"/>
      <c r="H80" s="3"/>
      <c r="I80" s="3"/>
      <c r="J80" s="3"/>
      <c r="K80" s="3"/>
    </row>
    <row r="81" s="1" customFormat="1" customHeight="1" spans="1:11">
      <c r="A81" s="2"/>
      <c r="C81" s="3"/>
      <c r="D81" s="3"/>
      <c r="E81" s="2"/>
      <c r="F81" s="3"/>
      <c r="G81" s="3"/>
      <c r="H81" s="3"/>
      <c r="I81" s="3"/>
      <c r="J81" s="3"/>
      <c r="K81" s="3"/>
    </row>
    <row r="82" s="1" customFormat="1" customHeight="1" spans="1:11">
      <c r="A82" s="2"/>
      <c r="C82" s="3"/>
      <c r="D82" s="3"/>
      <c r="E82" s="2"/>
      <c r="F82" s="3"/>
      <c r="G82" s="3"/>
      <c r="H82" s="3"/>
      <c r="I82" s="3"/>
      <c r="J82" s="3"/>
      <c r="K82" s="3"/>
    </row>
    <row r="83" s="1" customFormat="1" customHeight="1" spans="1:11">
      <c r="A83" s="2"/>
      <c r="C83" s="3"/>
      <c r="D83" s="3"/>
      <c r="E83" s="2"/>
      <c r="F83" s="3"/>
      <c r="G83" s="3"/>
      <c r="H83" s="3"/>
      <c r="I83" s="3"/>
      <c r="J83" s="3"/>
      <c r="K83" s="3"/>
    </row>
    <row r="84" s="1" customFormat="1" customHeight="1" spans="1:11">
      <c r="A84" s="2"/>
      <c r="C84" s="3"/>
      <c r="D84" s="3"/>
      <c r="E84" s="2"/>
      <c r="F84" s="3"/>
      <c r="G84" s="3"/>
      <c r="H84" s="3"/>
      <c r="I84" s="3"/>
      <c r="J84" s="3"/>
      <c r="K84" s="3"/>
    </row>
    <row r="85" s="1" customFormat="1" customHeight="1" spans="1:11">
      <c r="A85" s="2"/>
      <c r="C85" s="3"/>
      <c r="D85" s="3"/>
      <c r="E85" s="2"/>
      <c r="F85" s="3"/>
      <c r="G85" s="3"/>
      <c r="H85" s="3"/>
      <c r="I85" s="3"/>
      <c r="J85" s="3"/>
      <c r="K85" s="3"/>
    </row>
    <row r="86" s="1" customFormat="1" customHeight="1" spans="1:11">
      <c r="A86" s="2"/>
      <c r="C86" s="3"/>
      <c r="D86" s="3"/>
      <c r="E86" s="2"/>
      <c r="F86" s="3"/>
      <c r="G86" s="3"/>
      <c r="H86" s="3"/>
      <c r="I86" s="3"/>
      <c r="J86" s="3"/>
      <c r="K86" s="3"/>
    </row>
    <row r="87" s="1" customFormat="1" customHeight="1" spans="1:11">
      <c r="A87" s="2"/>
      <c r="C87" s="3"/>
      <c r="D87" s="3"/>
      <c r="E87" s="2"/>
      <c r="F87" s="3"/>
      <c r="G87" s="3"/>
      <c r="H87" s="3"/>
      <c r="I87" s="3"/>
      <c r="J87" s="3"/>
      <c r="K87" s="3"/>
    </row>
    <row r="88" s="1" customFormat="1" customHeight="1" spans="1:11">
      <c r="A88" s="2"/>
      <c r="C88" s="3"/>
      <c r="D88" s="3"/>
      <c r="E88" s="2"/>
      <c r="F88" s="3"/>
      <c r="G88" s="3"/>
      <c r="H88" s="3"/>
      <c r="I88" s="3"/>
      <c r="J88" s="3"/>
      <c r="K88" s="3"/>
    </row>
    <row r="89" s="1" customFormat="1" customHeight="1" spans="1:11">
      <c r="A89" s="2"/>
      <c r="C89" s="3"/>
      <c r="D89" s="3"/>
      <c r="E89" s="2"/>
      <c r="F89" s="3"/>
      <c r="G89" s="3"/>
      <c r="H89" s="3"/>
      <c r="I89" s="3"/>
      <c r="J89" s="3"/>
      <c r="K89" s="3"/>
    </row>
    <row r="90" s="1" customFormat="1" customHeight="1" spans="1:11">
      <c r="A90" s="2"/>
      <c r="C90" s="3"/>
      <c r="D90" s="3"/>
      <c r="E90" s="2"/>
      <c r="F90" s="3"/>
      <c r="G90" s="3"/>
      <c r="H90" s="3"/>
      <c r="I90" s="3"/>
      <c r="J90" s="3"/>
      <c r="K90" s="3"/>
    </row>
    <row r="91" s="1" customFormat="1" customHeight="1" spans="1:11">
      <c r="A91" s="2"/>
      <c r="C91" s="3"/>
      <c r="D91" s="3"/>
      <c r="E91" s="2"/>
      <c r="F91" s="3"/>
      <c r="G91" s="3"/>
      <c r="H91" s="3"/>
      <c r="I91" s="3"/>
      <c r="J91" s="3"/>
      <c r="K91" s="3"/>
    </row>
    <row r="92" s="1" customFormat="1" customHeight="1" spans="1:11">
      <c r="A92" s="2"/>
      <c r="C92" s="3"/>
      <c r="D92" s="3"/>
      <c r="E92" s="2"/>
      <c r="F92" s="3"/>
      <c r="G92" s="3"/>
      <c r="H92" s="3"/>
      <c r="I92" s="3"/>
      <c r="J92" s="3"/>
      <c r="K92" s="3"/>
    </row>
    <row r="93" s="1" customFormat="1" customHeight="1" spans="1:11">
      <c r="A93" s="2"/>
      <c r="C93" s="3"/>
      <c r="D93" s="3"/>
      <c r="E93" s="2"/>
      <c r="F93" s="3"/>
      <c r="G93" s="3"/>
      <c r="H93" s="3"/>
      <c r="I93" s="3"/>
      <c r="J93" s="3"/>
      <c r="K93" s="3"/>
    </row>
    <row r="94" s="1" customFormat="1" customHeight="1" spans="1:11">
      <c r="A94" s="2"/>
      <c r="C94" s="3"/>
      <c r="D94" s="3"/>
      <c r="E94" s="2"/>
      <c r="F94" s="3"/>
      <c r="G94" s="3"/>
      <c r="H94" s="3"/>
      <c r="I94" s="3"/>
      <c r="J94" s="3"/>
      <c r="K94" s="3"/>
    </row>
    <row r="95" s="1" customFormat="1" customHeight="1" spans="1:11">
      <c r="A95" s="2"/>
      <c r="C95" s="3"/>
      <c r="D95" s="3"/>
      <c r="E95" s="2"/>
      <c r="F95" s="3"/>
      <c r="G95" s="3"/>
      <c r="H95" s="3"/>
      <c r="I95" s="3"/>
      <c r="J95" s="3"/>
      <c r="K95" s="3"/>
    </row>
    <row r="96" s="1" customFormat="1" customHeight="1" spans="1:11">
      <c r="A96" s="2"/>
      <c r="C96" s="3"/>
      <c r="D96" s="3"/>
      <c r="E96" s="2"/>
      <c r="F96" s="3"/>
      <c r="G96" s="3"/>
      <c r="H96" s="3"/>
      <c r="I96" s="3"/>
      <c r="J96" s="3"/>
      <c r="K96" s="3"/>
    </row>
    <row r="97" s="1" customFormat="1" customHeight="1" spans="1:11">
      <c r="A97" s="2"/>
      <c r="C97" s="3"/>
      <c r="D97" s="3"/>
      <c r="E97" s="2"/>
      <c r="F97" s="3"/>
      <c r="G97" s="3"/>
      <c r="H97" s="3"/>
      <c r="I97" s="3"/>
      <c r="J97" s="3"/>
      <c r="K97" s="3"/>
    </row>
    <row r="98" s="1" customFormat="1" customHeight="1" spans="1:11">
      <c r="A98" s="2"/>
      <c r="C98" s="3"/>
      <c r="D98" s="3"/>
      <c r="E98" s="2"/>
      <c r="F98" s="3"/>
      <c r="G98" s="3"/>
      <c r="H98" s="3"/>
      <c r="I98" s="3"/>
      <c r="J98" s="3"/>
      <c r="K98" s="3"/>
    </row>
    <row r="99" s="1" customFormat="1" customHeight="1" spans="1:11">
      <c r="A99" s="2"/>
      <c r="C99" s="3"/>
      <c r="D99" s="3"/>
      <c r="E99" s="2"/>
      <c r="F99" s="3"/>
      <c r="G99" s="3"/>
      <c r="H99" s="3"/>
      <c r="I99" s="3"/>
      <c r="J99" s="3"/>
      <c r="K99" s="3"/>
    </row>
    <row r="100" s="1" customFormat="1" customHeight="1" spans="1:11">
      <c r="A100" s="2"/>
      <c r="C100" s="3"/>
      <c r="D100" s="3"/>
      <c r="E100" s="2"/>
      <c r="F100" s="3"/>
      <c r="G100" s="3"/>
      <c r="H100" s="3"/>
      <c r="I100" s="3"/>
      <c r="J100" s="3"/>
      <c r="K100" s="3"/>
    </row>
    <row r="101" s="1" customFormat="1" customHeight="1" spans="1:11">
      <c r="A101" s="2"/>
      <c r="C101" s="3"/>
      <c r="D101" s="3"/>
      <c r="E101" s="2"/>
      <c r="F101" s="3"/>
      <c r="G101" s="3"/>
      <c r="H101" s="3"/>
      <c r="I101" s="3"/>
      <c r="J101" s="3"/>
      <c r="K101" s="3"/>
    </row>
    <row r="102" s="1" customFormat="1" customHeight="1" spans="1:11">
      <c r="A102" s="2"/>
      <c r="C102" s="3"/>
      <c r="D102" s="3"/>
      <c r="E102" s="2"/>
      <c r="F102" s="3"/>
      <c r="G102" s="3"/>
      <c r="H102" s="3"/>
      <c r="I102" s="3"/>
      <c r="J102" s="3"/>
      <c r="K102" s="3"/>
    </row>
    <row r="103" s="1" customFormat="1" customHeight="1" spans="1:11">
      <c r="A103" s="2"/>
      <c r="C103" s="3"/>
      <c r="D103" s="3"/>
      <c r="E103" s="2"/>
      <c r="F103" s="3"/>
      <c r="G103" s="3"/>
      <c r="H103" s="3"/>
      <c r="I103" s="3"/>
      <c r="J103" s="3"/>
      <c r="K103" s="3"/>
    </row>
    <row r="104" s="1" customFormat="1" customHeight="1" spans="1:11">
      <c r="A104" s="2"/>
      <c r="C104" s="3"/>
      <c r="D104" s="3"/>
      <c r="E104" s="2"/>
      <c r="F104" s="3"/>
      <c r="G104" s="3"/>
      <c r="H104" s="3"/>
      <c r="I104" s="3"/>
      <c r="J104" s="3"/>
      <c r="K104" s="3"/>
    </row>
    <row r="105" s="1" customFormat="1" customHeight="1" spans="1:11">
      <c r="A105" s="2"/>
      <c r="C105" s="3"/>
      <c r="D105" s="3"/>
      <c r="E105" s="2"/>
      <c r="F105" s="3"/>
      <c r="G105" s="3"/>
      <c r="H105" s="3"/>
      <c r="I105" s="3"/>
      <c r="J105" s="3"/>
      <c r="K105" s="3"/>
    </row>
    <row r="106" s="1" customFormat="1" customHeight="1" spans="1:11">
      <c r="A106" s="2"/>
      <c r="C106" s="3"/>
      <c r="D106" s="3"/>
      <c r="E106" s="2"/>
      <c r="F106" s="3"/>
      <c r="G106" s="3"/>
      <c r="H106" s="3"/>
      <c r="I106" s="3"/>
      <c r="J106" s="3"/>
      <c r="K106" s="3"/>
    </row>
    <row r="107" s="1" customFormat="1" customHeight="1" spans="1:11">
      <c r="A107" s="2"/>
      <c r="C107" s="3"/>
      <c r="D107" s="3"/>
      <c r="E107" s="2"/>
      <c r="F107" s="3"/>
      <c r="G107" s="3"/>
      <c r="H107" s="3"/>
      <c r="I107" s="3"/>
      <c r="J107" s="3"/>
      <c r="K107" s="3"/>
    </row>
    <row r="108" s="1" customFormat="1" customHeight="1" spans="1:11">
      <c r="A108" s="2"/>
      <c r="C108" s="3"/>
      <c r="D108" s="3"/>
      <c r="E108" s="2"/>
      <c r="F108" s="3"/>
      <c r="G108" s="3"/>
      <c r="H108" s="3"/>
      <c r="I108" s="3"/>
      <c r="J108" s="3"/>
      <c r="K108" s="3"/>
    </row>
    <row r="109" s="1" customFormat="1" customHeight="1" spans="1:11">
      <c r="A109" s="2"/>
      <c r="C109" s="3"/>
      <c r="D109" s="3"/>
      <c r="E109" s="2"/>
      <c r="F109" s="3"/>
      <c r="G109" s="3"/>
      <c r="H109" s="3"/>
      <c r="I109" s="3"/>
      <c r="J109" s="3"/>
      <c r="K109" s="3"/>
    </row>
    <row r="110" s="1" customFormat="1" customHeight="1" spans="1:11">
      <c r="A110" s="2"/>
      <c r="C110" s="3"/>
      <c r="D110" s="3"/>
      <c r="E110" s="2"/>
      <c r="F110" s="3"/>
      <c r="G110" s="3"/>
      <c r="H110" s="3"/>
      <c r="I110" s="3"/>
      <c r="J110" s="3"/>
      <c r="K110" s="3"/>
    </row>
    <row r="111" s="1" customFormat="1" customHeight="1" spans="1:11">
      <c r="A111" s="2"/>
      <c r="C111" s="3"/>
      <c r="D111" s="3"/>
      <c r="E111" s="2"/>
      <c r="F111" s="3"/>
      <c r="G111" s="3"/>
      <c r="H111" s="3"/>
      <c r="I111" s="3"/>
      <c r="J111" s="3"/>
      <c r="K111" s="3"/>
    </row>
    <row r="112" s="1" customFormat="1" customHeight="1" spans="1:11">
      <c r="A112" s="2"/>
      <c r="C112" s="3"/>
      <c r="D112" s="3"/>
      <c r="E112" s="2"/>
      <c r="F112" s="3"/>
      <c r="G112" s="3"/>
      <c r="H112" s="3"/>
      <c r="I112" s="3"/>
      <c r="J112" s="3"/>
      <c r="K112" s="3"/>
    </row>
    <row r="113" s="1" customFormat="1" customHeight="1" spans="1:11">
      <c r="A113" s="2"/>
      <c r="C113" s="3"/>
      <c r="D113" s="3"/>
      <c r="E113" s="2"/>
      <c r="F113" s="3"/>
      <c r="G113" s="3"/>
      <c r="H113" s="3"/>
      <c r="I113" s="3"/>
      <c r="J113" s="3"/>
      <c r="K113" s="3"/>
    </row>
    <row r="114" s="1" customFormat="1" customHeight="1" spans="1:11">
      <c r="A114" s="2"/>
      <c r="C114" s="3"/>
      <c r="D114" s="3"/>
      <c r="E114" s="2"/>
      <c r="F114" s="3"/>
      <c r="G114" s="3"/>
      <c r="H114" s="3"/>
      <c r="I114" s="3"/>
      <c r="J114" s="3"/>
      <c r="K114" s="3"/>
    </row>
    <row r="115" s="1" customFormat="1" customHeight="1" spans="1:11">
      <c r="A115" s="2"/>
      <c r="C115" s="3"/>
      <c r="D115" s="3"/>
      <c r="E115" s="2"/>
      <c r="F115" s="3"/>
      <c r="G115" s="3"/>
      <c r="H115" s="3"/>
      <c r="I115" s="3"/>
      <c r="J115" s="3"/>
      <c r="K115" s="3"/>
    </row>
    <row r="116" s="1" customFormat="1" customHeight="1" spans="1:11">
      <c r="A116" s="2"/>
      <c r="C116" s="3"/>
      <c r="D116" s="3"/>
      <c r="E116" s="2"/>
      <c r="F116" s="3"/>
      <c r="G116" s="3"/>
      <c r="H116" s="3"/>
      <c r="I116" s="3"/>
      <c r="J116" s="3"/>
      <c r="K116" s="3"/>
    </row>
    <row r="117" s="1" customFormat="1" customHeight="1" spans="1:11">
      <c r="A117" s="2"/>
      <c r="C117" s="3"/>
      <c r="D117" s="3"/>
      <c r="E117" s="2"/>
      <c r="F117" s="3"/>
      <c r="G117" s="3"/>
      <c r="H117" s="3"/>
      <c r="I117" s="3"/>
      <c r="J117" s="3"/>
      <c r="K117" s="3"/>
    </row>
    <row r="118" s="1" customFormat="1" customHeight="1" spans="1:11">
      <c r="A118" s="2"/>
      <c r="C118" s="3"/>
      <c r="D118" s="3"/>
      <c r="E118" s="2"/>
      <c r="F118" s="3"/>
      <c r="G118" s="3"/>
      <c r="H118" s="3"/>
      <c r="I118" s="3"/>
      <c r="J118" s="3"/>
      <c r="K118" s="3"/>
    </row>
    <row r="119" s="1" customFormat="1" customHeight="1" spans="1:11">
      <c r="A119" s="2"/>
      <c r="C119" s="3"/>
      <c r="D119" s="3"/>
      <c r="E119" s="2"/>
      <c r="F119" s="3"/>
      <c r="G119" s="3"/>
      <c r="H119" s="3"/>
      <c r="I119" s="3"/>
      <c r="J119" s="3"/>
      <c r="K119" s="3"/>
    </row>
    <row r="120" s="1" customFormat="1" customHeight="1" spans="1:11">
      <c r="A120" s="2"/>
      <c r="C120" s="3"/>
      <c r="D120" s="3"/>
      <c r="E120" s="2"/>
      <c r="F120" s="3"/>
      <c r="G120" s="3"/>
      <c r="H120" s="3"/>
      <c r="I120" s="3"/>
      <c r="J120" s="3"/>
      <c r="K120" s="3"/>
    </row>
    <row r="121" s="1" customFormat="1" customHeight="1" spans="1:11">
      <c r="A121" s="2"/>
      <c r="C121" s="3"/>
      <c r="D121" s="3"/>
      <c r="E121" s="2"/>
      <c r="F121" s="3"/>
      <c r="G121" s="3"/>
      <c r="H121" s="3"/>
      <c r="I121" s="3"/>
      <c r="J121" s="3"/>
      <c r="K121" s="3"/>
    </row>
    <row r="122" s="1" customFormat="1" customHeight="1" spans="1:11">
      <c r="A122" s="2"/>
      <c r="C122" s="3"/>
      <c r="D122" s="3"/>
      <c r="E122" s="2"/>
      <c r="F122" s="3"/>
      <c r="G122" s="3"/>
      <c r="H122" s="3"/>
      <c r="I122" s="3"/>
      <c r="J122" s="3"/>
      <c r="K122" s="3"/>
    </row>
    <row r="123" s="1" customFormat="1" customHeight="1" spans="1:11">
      <c r="A123" s="2"/>
      <c r="C123" s="3"/>
      <c r="D123" s="3"/>
      <c r="E123" s="2"/>
      <c r="F123" s="3"/>
      <c r="G123" s="3"/>
      <c r="H123" s="3"/>
      <c r="I123" s="3"/>
      <c r="J123" s="3"/>
      <c r="K123" s="3"/>
    </row>
    <row r="124" s="1" customFormat="1" customHeight="1" spans="1:11">
      <c r="A124" s="2"/>
      <c r="C124" s="3"/>
      <c r="D124" s="3"/>
      <c r="E124" s="2"/>
      <c r="F124" s="3"/>
      <c r="G124" s="3"/>
      <c r="H124" s="3"/>
      <c r="I124" s="3"/>
      <c r="J124" s="3"/>
      <c r="K124" s="3"/>
    </row>
    <row r="125" s="1" customFormat="1" customHeight="1" spans="1:11">
      <c r="A125" s="2"/>
      <c r="C125" s="3"/>
      <c r="D125" s="3"/>
      <c r="E125" s="2"/>
      <c r="F125" s="3"/>
      <c r="G125" s="3"/>
      <c r="H125" s="3"/>
      <c r="I125" s="3"/>
      <c r="J125" s="3"/>
      <c r="K125" s="3"/>
    </row>
    <row r="126" s="1" customFormat="1" customHeight="1" spans="1:11">
      <c r="A126" s="2"/>
      <c r="C126" s="3"/>
      <c r="D126" s="3"/>
      <c r="E126" s="2"/>
      <c r="F126" s="3"/>
      <c r="G126" s="3"/>
      <c r="H126" s="3"/>
      <c r="I126" s="3"/>
      <c r="J126" s="3"/>
      <c r="K126" s="3"/>
    </row>
    <row r="127" s="1" customFormat="1" customHeight="1" spans="1:11">
      <c r="A127" s="2"/>
      <c r="C127" s="3"/>
      <c r="D127" s="3"/>
      <c r="E127" s="2"/>
      <c r="F127" s="3"/>
      <c r="G127" s="3"/>
      <c r="H127" s="3"/>
      <c r="I127" s="3"/>
      <c r="J127" s="3"/>
      <c r="K127" s="3"/>
    </row>
    <row r="128" s="1" customFormat="1" customHeight="1" spans="1:11">
      <c r="A128" s="2"/>
      <c r="C128" s="3"/>
      <c r="D128" s="3"/>
      <c r="E128" s="2"/>
      <c r="F128" s="3"/>
      <c r="G128" s="3"/>
      <c r="H128" s="3"/>
      <c r="I128" s="3"/>
      <c r="J128" s="3"/>
      <c r="K128" s="3"/>
    </row>
    <row r="129" s="1" customFormat="1" customHeight="1" spans="1:11">
      <c r="A129" s="2"/>
      <c r="C129" s="3"/>
      <c r="D129" s="3"/>
      <c r="E129" s="2"/>
      <c r="F129" s="3"/>
      <c r="G129" s="3"/>
      <c r="H129" s="3"/>
      <c r="I129" s="3"/>
      <c r="J129" s="3"/>
      <c r="K129" s="3"/>
    </row>
    <row r="130" s="1" customFormat="1" customHeight="1" spans="1:11">
      <c r="A130" s="2"/>
      <c r="C130" s="3"/>
      <c r="D130" s="3"/>
      <c r="E130" s="2"/>
      <c r="F130" s="3"/>
      <c r="G130" s="3"/>
      <c r="H130" s="3"/>
      <c r="I130" s="3"/>
      <c r="J130" s="3"/>
      <c r="K130" s="3"/>
    </row>
    <row r="131" s="1" customFormat="1" customHeight="1" spans="1:11">
      <c r="A131" s="2"/>
      <c r="C131" s="3"/>
      <c r="D131" s="3"/>
      <c r="E131" s="2"/>
      <c r="F131" s="3"/>
      <c r="G131" s="3"/>
      <c r="H131" s="3"/>
      <c r="I131" s="3"/>
      <c r="J131" s="3"/>
      <c r="K131" s="3"/>
    </row>
    <row r="132" s="1" customFormat="1" customHeight="1" spans="1:11">
      <c r="A132" s="2"/>
      <c r="C132" s="3"/>
      <c r="D132" s="3"/>
      <c r="E132" s="2"/>
      <c r="F132" s="3"/>
      <c r="G132" s="3"/>
      <c r="H132" s="3"/>
      <c r="I132" s="3"/>
      <c r="J132" s="3"/>
      <c r="K132" s="3"/>
    </row>
    <row r="133" s="1" customFormat="1" customHeight="1" spans="1:11">
      <c r="A133" s="2"/>
      <c r="C133" s="3"/>
      <c r="D133" s="3"/>
      <c r="E133" s="2"/>
      <c r="F133" s="3"/>
      <c r="G133" s="3"/>
      <c r="H133" s="3"/>
      <c r="I133" s="3"/>
      <c r="J133" s="3"/>
      <c r="K133" s="3"/>
    </row>
    <row r="134" s="1" customFormat="1" customHeight="1" spans="1:11">
      <c r="A134" s="2"/>
      <c r="C134" s="3"/>
      <c r="D134" s="3"/>
      <c r="E134" s="2"/>
      <c r="F134" s="3"/>
      <c r="G134" s="3"/>
      <c r="H134" s="3"/>
      <c r="I134" s="3"/>
      <c r="J134" s="3"/>
      <c r="K134" s="3"/>
    </row>
    <row r="135" s="1" customFormat="1" customHeight="1" spans="1:11">
      <c r="A135" s="2"/>
      <c r="C135" s="3"/>
      <c r="D135" s="3"/>
      <c r="E135" s="2"/>
      <c r="F135" s="3"/>
      <c r="G135" s="3"/>
      <c r="H135" s="3"/>
      <c r="I135" s="3"/>
      <c r="J135" s="3"/>
      <c r="K135" s="3"/>
    </row>
    <row r="136" s="1" customFormat="1" customHeight="1" spans="1:11">
      <c r="A136" s="2"/>
      <c r="C136" s="3"/>
      <c r="D136" s="3"/>
      <c r="E136" s="2"/>
      <c r="F136" s="3"/>
      <c r="G136" s="3"/>
      <c r="H136" s="3"/>
      <c r="I136" s="3"/>
      <c r="J136" s="3"/>
      <c r="K136" s="3"/>
    </row>
    <row r="137" s="1" customFormat="1" customHeight="1" spans="1:11">
      <c r="A137" s="2"/>
      <c r="C137" s="3"/>
      <c r="D137" s="3"/>
      <c r="E137" s="2"/>
      <c r="F137" s="3"/>
      <c r="G137" s="3"/>
      <c r="H137" s="3"/>
      <c r="I137" s="3"/>
      <c r="J137" s="3"/>
      <c r="K137" s="3"/>
    </row>
    <row r="138" s="1" customFormat="1" customHeight="1" spans="1:11">
      <c r="A138" s="2"/>
      <c r="C138" s="3"/>
      <c r="D138" s="3"/>
      <c r="E138" s="2"/>
      <c r="F138" s="3"/>
      <c r="G138" s="3"/>
      <c r="H138" s="3"/>
      <c r="I138" s="3"/>
      <c r="J138" s="3"/>
      <c r="K138" s="3"/>
    </row>
    <row r="139" s="1" customFormat="1" customHeight="1" spans="1:11">
      <c r="A139" s="2"/>
      <c r="C139" s="3"/>
      <c r="D139" s="3"/>
      <c r="E139" s="2"/>
      <c r="F139" s="3"/>
      <c r="G139" s="3"/>
      <c r="H139" s="3"/>
      <c r="I139" s="3"/>
      <c r="J139" s="3"/>
      <c r="K139" s="3"/>
    </row>
    <row r="140" s="1" customFormat="1" customHeight="1" spans="1:11">
      <c r="A140" s="2"/>
      <c r="C140" s="3"/>
      <c r="D140" s="3"/>
      <c r="E140" s="2"/>
      <c r="F140" s="3"/>
      <c r="G140" s="3"/>
      <c r="H140" s="3"/>
      <c r="I140" s="3"/>
      <c r="J140" s="3"/>
      <c r="K140" s="3"/>
    </row>
    <row r="141" s="1" customFormat="1" customHeight="1" spans="1:11">
      <c r="A141" s="2"/>
      <c r="C141" s="3"/>
      <c r="D141" s="3"/>
      <c r="E141" s="2"/>
      <c r="F141" s="3"/>
      <c r="G141" s="3"/>
      <c r="H141" s="3"/>
      <c r="I141" s="3"/>
      <c r="J141" s="3"/>
      <c r="K141" s="3"/>
    </row>
    <row r="142" s="1" customFormat="1" customHeight="1" spans="1:11">
      <c r="A142" s="2"/>
      <c r="C142" s="3"/>
      <c r="D142" s="3"/>
      <c r="E142" s="2"/>
      <c r="F142" s="3"/>
      <c r="G142" s="3"/>
      <c r="H142" s="3"/>
      <c r="I142" s="3"/>
      <c r="J142" s="3"/>
      <c r="K142" s="3"/>
    </row>
    <row r="143" s="1" customFormat="1" customHeight="1" spans="1:11">
      <c r="A143" s="2"/>
      <c r="C143" s="3"/>
      <c r="D143" s="3"/>
      <c r="E143" s="2"/>
      <c r="F143" s="3"/>
      <c r="G143" s="3"/>
      <c r="H143" s="3"/>
      <c r="I143" s="3"/>
      <c r="J143" s="3"/>
      <c r="K143" s="3"/>
    </row>
    <row r="144" s="1" customFormat="1" customHeight="1" spans="1:11">
      <c r="A144" s="2"/>
      <c r="C144" s="3"/>
      <c r="D144" s="3"/>
      <c r="E144" s="2"/>
      <c r="F144" s="3"/>
      <c r="G144" s="3"/>
      <c r="H144" s="3"/>
      <c r="I144" s="3"/>
      <c r="J144" s="3"/>
      <c r="K144" s="3"/>
    </row>
    <row r="145" s="1" customFormat="1" customHeight="1" spans="1:11">
      <c r="A145" s="2"/>
      <c r="C145" s="3"/>
      <c r="D145" s="3"/>
      <c r="E145" s="2"/>
      <c r="F145" s="3"/>
      <c r="G145" s="3"/>
      <c r="H145" s="3"/>
      <c r="I145" s="3"/>
      <c r="J145" s="3"/>
      <c r="K145" s="3"/>
    </row>
    <row r="146" s="1" customFormat="1" customHeight="1" spans="1:11">
      <c r="A146" s="2"/>
      <c r="C146" s="3"/>
      <c r="D146" s="3"/>
      <c r="E146" s="2"/>
      <c r="F146" s="3"/>
      <c r="G146" s="3"/>
      <c r="H146" s="3"/>
      <c r="I146" s="3"/>
      <c r="J146" s="3"/>
      <c r="K146" s="3"/>
    </row>
    <row r="147" s="1" customFormat="1" customHeight="1" spans="1:11">
      <c r="A147" s="2"/>
      <c r="C147" s="3"/>
      <c r="D147" s="3"/>
      <c r="E147" s="2"/>
      <c r="F147" s="3"/>
      <c r="G147" s="3"/>
      <c r="H147" s="3"/>
      <c r="I147" s="3"/>
      <c r="J147" s="3"/>
      <c r="K147" s="3"/>
    </row>
    <row r="148" s="1" customFormat="1" customHeight="1" spans="1:11">
      <c r="A148" s="2"/>
      <c r="C148" s="3"/>
      <c r="D148" s="3"/>
      <c r="E148" s="2"/>
      <c r="F148" s="3"/>
      <c r="G148" s="3"/>
      <c r="H148" s="3"/>
      <c r="I148" s="3"/>
      <c r="J148" s="3"/>
      <c r="K148" s="3"/>
    </row>
    <row r="149" s="1" customFormat="1" customHeight="1" spans="1:11">
      <c r="A149" s="2"/>
      <c r="C149" s="3"/>
      <c r="D149" s="3"/>
      <c r="E149" s="2"/>
      <c r="F149" s="3"/>
      <c r="G149" s="3"/>
      <c r="H149" s="3"/>
      <c r="I149" s="3"/>
      <c r="J149" s="3"/>
      <c r="K149" s="3"/>
    </row>
    <row r="150" s="1" customFormat="1" customHeight="1" spans="1:11">
      <c r="A150" s="2"/>
      <c r="C150" s="3"/>
      <c r="D150" s="3"/>
      <c r="E150" s="2"/>
      <c r="F150" s="3"/>
      <c r="G150" s="3"/>
      <c r="H150" s="3"/>
      <c r="I150" s="3"/>
      <c r="J150" s="3"/>
      <c r="K150" s="3"/>
    </row>
    <row r="151" s="1" customFormat="1" customHeight="1" spans="1:11">
      <c r="A151" s="2"/>
      <c r="C151" s="3"/>
      <c r="D151" s="3"/>
      <c r="E151" s="2"/>
      <c r="F151" s="3"/>
      <c r="G151" s="3"/>
      <c r="H151" s="3"/>
      <c r="I151" s="3"/>
      <c r="J151" s="3"/>
      <c r="K151" s="3"/>
    </row>
    <row r="152" s="1" customFormat="1" customHeight="1" spans="1:11">
      <c r="A152" s="2"/>
      <c r="C152" s="3"/>
      <c r="D152" s="3"/>
      <c r="E152" s="2"/>
      <c r="F152" s="3"/>
      <c r="G152" s="3"/>
      <c r="H152" s="3"/>
      <c r="I152" s="3"/>
      <c r="J152" s="3"/>
      <c r="K152" s="3"/>
    </row>
    <row r="153" s="1" customFormat="1" customHeight="1" spans="1:11">
      <c r="A153" s="2"/>
      <c r="C153" s="3"/>
      <c r="D153" s="3"/>
      <c r="E153" s="2"/>
      <c r="F153" s="3"/>
      <c r="G153" s="3"/>
      <c r="H153" s="3"/>
      <c r="I153" s="3"/>
      <c r="J153" s="3"/>
      <c r="K153" s="3"/>
    </row>
    <row r="154" s="1" customFormat="1" customHeight="1" spans="1:11">
      <c r="A154" s="2"/>
      <c r="C154" s="3"/>
      <c r="D154" s="3"/>
      <c r="E154" s="2"/>
      <c r="F154" s="3"/>
      <c r="G154" s="3"/>
      <c r="H154" s="3"/>
      <c r="I154" s="3"/>
      <c r="J154" s="3"/>
      <c r="K154" s="3"/>
    </row>
    <row r="155" s="1" customFormat="1" customHeight="1" spans="1:11">
      <c r="A155" s="2"/>
      <c r="C155" s="3"/>
      <c r="D155" s="3"/>
      <c r="E155" s="2"/>
      <c r="F155" s="3"/>
      <c r="G155" s="3"/>
      <c r="H155" s="3"/>
      <c r="I155" s="3"/>
      <c r="J155" s="3"/>
      <c r="K155" s="3"/>
    </row>
    <row r="156" s="1" customFormat="1" customHeight="1" spans="1:11">
      <c r="A156" s="2"/>
      <c r="C156" s="3"/>
      <c r="D156" s="3"/>
      <c r="E156" s="2"/>
      <c r="F156" s="3"/>
      <c r="G156" s="3"/>
      <c r="H156" s="3"/>
      <c r="I156" s="3"/>
      <c r="J156" s="3"/>
      <c r="K156" s="3"/>
    </row>
    <row r="157" s="1" customFormat="1" customHeight="1" spans="1:11">
      <c r="A157" s="2"/>
      <c r="C157" s="3"/>
      <c r="D157" s="3"/>
      <c r="E157" s="2"/>
      <c r="F157" s="3"/>
      <c r="G157" s="3"/>
      <c r="H157" s="3"/>
      <c r="I157" s="3"/>
      <c r="J157" s="3"/>
      <c r="K157" s="3"/>
    </row>
    <row r="158" s="1" customFormat="1" customHeight="1" spans="1:11">
      <c r="A158" s="2"/>
      <c r="C158" s="3"/>
      <c r="D158" s="3"/>
      <c r="E158" s="2"/>
      <c r="F158" s="3"/>
      <c r="G158" s="3"/>
      <c r="H158" s="3"/>
      <c r="I158" s="3"/>
      <c r="J158" s="3"/>
      <c r="K158" s="3"/>
    </row>
    <row r="159" s="1" customFormat="1" customHeight="1" spans="1:11">
      <c r="A159" s="2"/>
      <c r="C159" s="3"/>
      <c r="D159" s="3"/>
      <c r="E159" s="2"/>
      <c r="F159" s="3"/>
      <c r="G159" s="3"/>
      <c r="H159" s="3"/>
      <c r="I159" s="3"/>
      <c r="J159" s="3"/>
      <c r="K159" s="3"/>
    </row>
    <row r="160" s="1" customFormat="1" customHeight="1" spans="1:11">
      <c r="A160" s="2"/>
      <c r="C160" s="3"/>
      <c r="D160" s="3"/>
      <c r="E160" s="2"/>
      <c r="F160" s="3"/>
      <c r="G160" s="3"/>
      <c r="H160" s="3"/>
      <c r="I160" s="3"/>
      <c r="J160" s="3"/>
      <c r="K160" s="3"/>
    </row>
    <row r="161" s="1" customFormat="1" customHeight="1" spans="1:11">
      <c r="A161" s="2"/>
      <c r="C161" s="3"/>
      <c r="D161" s="3"/>
      <c r="E161" s="2"/>
      <c r="F161" s="3"/>
      <c r="G161" s="3"/>
      <c r="H161" s="3"/>
      <c r="I161" s="3"/>
      <c r="J161" s="3"/>
      <c r="K161" s="3"/>
    </row>
    <row r="162" s="1" customFormat="1" customHeight="1" spans="1:11">
      <c r="A162" s="2"/>
      <c r="C162" s="3"/>
      <c r="D162" s="3"/>
      <c r="E162" s="2"/>
      <c r="F162" s="3"/>
      <c r="G162" s="3"/>
      <c r="H162" s="3"/>
      <c r="I162" s="3"/>
      <c r="J162" s="3"/>
      <c r="K162" s="3"/>
    </row>
    <row r="163" s="1" customFormat="1" customHeight="1" spans="1:11">
      <c r="A163" s="2"/>
      <c r="C163" s="3"/>
      <c r="D163" s="3"/>
      <c r="E163" s="2"/>
      <c r="F163" s="3"/>
      <c r="G163" s="3"/>
      <c r="H163" s="3"/>
      <c r="I163" s="3"/>
      <c r="J163" s="3"/>
      <c r="K163" s="3"/>
    </row>
    <row r="164" s="1" customFormat="1" customHeight="1" spans="1:11">
      <c r="A164" s="2"/>
      <c r="C164" s="3"/>
      <c r="D164" s="3"/>
      <c r="E164" s="2"/>
      <c r="F164" s="3"/>
      <c r="G164" s="3"/>
      <c r="H164" s="3"/>
      <c r="I164" s="3"/>
      <c r="J164" s="3"/>
      <c r="K164" s="3"/>
    </row>
    <row r="165" s="1" customFormat="1" customHeight="1" spans="1:11">
      <c r="A165" s="2"/>
      <c r="C165" s="3"/>
      <c r="D165" s="3"/>
      <c r="E165" s="2"/>
      <c r="F165" s="3"/>
      <c r="G165" s="3"/>
      <c r="H165" s="3"/>
      <c r="I165" s="3"/>
      <c r="J165" s="3"/>
      <c r="K165" s="3"/>
    </row>
    <row r="166" s="1" customFormat="1" customHeight="1" spans="1:11">
      <c r="A166" s="2"/>
      <c r="C166" s="3"/>
      <c r="D166" s="3"/>
      <c r="E166" s="2"/>
      <c r="F166" s="3"/>
      <c r="G166" s="3"/>
      <c r="H166" s="3"/>
      <c r="I166" s="3"/>
      <c r="J166" s="3"/>
      <c r="K166" s="3"/>
    </row>
    <row r="167" s="1" customFormat="1" customHeight="1" spans="1:11">
      <c r="A167" s="2"/>
      <c r="C167" s="3"/>
      <c r="D167" s="3"/>
      <c r="E167" s="2"/>
      <c r="F167" s="3"/>
      <c r="G167" s="3"/>
      <c r="H167" s="3"/>
      <c r="I167" s="3"/>
      <c r="J167" s="3"/>
      <c r="K167" s="3"/>
    </row>
    <row r="168" s="1" customFormat="1" customHeight="1" spans="1:11">
      <c r="A168" s="2"/>
      <c r="C168" s="3"/>
      <c r="D168" s="3"/>
      <c r="E168" s="2"/>
      <c r="F168" s="3"/>
      <c r="G168" s="3"/>
      <c r="H168" s="3"/>
      <c r="I168" s="3"/>
      <c r="J168" s="3"/>
      <c r="K168" s="3"/>
    </row>
    <row r="169" s="1" customFormat="1" customHeight="1" spans="1:11">
      <c r="A169" s="2"/>
      <c r="C169" s="3"/>
      <c r="D169" s="3"/>
      <c r="E169" s="2"/>
      <c r="F169" s="3"/>
      <c r="G169" s="3"/>
      <c r="H169" s="3"/>
      <c r="I169" s="3"/>
      <c r="J169" s="3"/>
      <c r="K169" s="3"/>
    </row>
    <row r="170" s="1" customFormat="1" customHeight="1" spans="1:11">
      <c r="A170" s="2"/>
      <c r="C170" s="3"/>
      <c r="D170" s="3"/>
      <c r="E170" s="2"/>
      <c r="F170" s="3"/>
      <c r="G170" s="3"/>
      <c r="H170" s="3"/>
      <c r="I170" s="3"/>
      <c r="J170" s="3"/>
      <c r="K170" s="3"/>
    </row>
    <row r="171" s="1" customFormat="1" customHeight="1" spans="1:11">
      <c r="A171" s="2"/>
      <c r="C171" s="3"/>
      <c r="D171" s="3"/>
      <c r="E171" s="2"/>
      <c r="F171" s="3"/>
      <c r="G171" s="3"/>
      <c r="H171" s="3"/>
      <c r="I171" s="3"/>
      <c r="J171" s="3"/>
      <c r="K171" s="3"/>
    </row>
    <row r="172" s="1" customFormat="1" customHeight="1" spans="1:11">
      <c r="A172" s="2"/>
      <c r="C172" s="3"/>
      <c r="D172" s="3"/>
      <c r="E172" s="2"/>
      <c r="F172" s="3"/>
      <c r="G172" s="3"/>
      <c r="H172" s="3"/>
      <c r="I172" s="3"/>
      <c r="J172" s="3"/>
      <c r="K172" s="3"/>
    </row>
    <row r="173" s="1" customFormat="1" customHeight="1" spans="1:11">
      <c r="A173" s="2"/>
      <c r="C173" s="3"/>
      <c r="D173" s="3"/>
      <c r="E173" s="2"/>
      <c r="F173" s="3"/>
      <c r="G173" s="3"/>
      <c r="H173" s="3"/>
      <c r="I173" s="3"/>
      <c r="J173" s="3"/>
      <c r="K173" s="3"/>
    </row>
    <row r="174" s="1" customFormat="1" customHeight="1" spans="1:11">
      <c r="A174" s="2"/>
      <c r="C174" s="3"/>
      <c r="D174" s="3"/>
      <c r="E174" s="2"/>
      <c r="F174" s="3"/>
      <c r="G174" s="3"/>
      <c r="H174" s="3"/>
      <c r="I174" s="3"/>
      <c r="J174" s="3"/>
      <c r="K174" s="3"/>
    </row>
    <row r="175" s="1" customFormat="1" customHeight="1" spans="1:11">
      <c r="A175" s="2"/>
      <c r="C175" s="3"/>
      <c r="D175" s="3"/>
      <c r="E175" s="2"/>
      <c r="F175" s="3"/>
      <c r="G175" s="3"/>
      <c r="H175" s="3"/>
      <c r="I175" s="3"/>
      <c r="J175" s="3"/>
      <c r="K175" s="3"/>
    </row>
    <row r="176" s="1" customFormat="1" customHeight="1" spans="1:11">
      <c r="A176" s="2"/>
      <c r="C176" s="3"/>
      <c r="D176" s="3"/>
      <c r="E176" s="2"/>
      <c r="F176" s="3"/>
      <c r="G176" s="3"/>
      <c r="H176" s="3"/>
      <c r="I176" s="3"/>
      <c r="J176" s="3"/>
      <c r="K176" s="3"/>
    </row>
    <row r="177" s="1" customFormat="1" customHeight="1" spans="1:11">
      <c r="A177" s="2"/>
      <c r="C177" s="3"/>
      <c r="D177" s="3"/>
      <c r="E177" s="2"/>
      <c r="F177" s="3"/>
      <c r="G177" s="3"/>
      <c r="H177" s="3"/>
      <c r="I177" s="3"/>
      <c r="J177" s="3"/>
      <c r="K177" s="3"/>
    </row>
    <row r="178" s="1" customFormat="1" customHeight="1" spans="1:11">
      <c r="A178" s="2"/>
      <c r="C178" s="3"/>
      <c r="D178" s="3"/>
      <c r="E178" s="2"/>
      <c r="F178" s="3"/>
      <c r="G178" s="3"/>
      <c r="H178" s="3"/>
      <c r="I178" s="3"/>
      <c r="J178" s="3"/>
      <c r="K178" s="3"/>
    </row>
    <row r="179" s="1" customFormat="1" customHeight="1" spans="1:11">
      <c r="A179" s="2"/>
      <c r="C179" s="3"/>
      <c r="D179" s="3"/>
      <c r="E179" s="2"/>
      <c r="F179" s="3"/>
      <c r="G179" s="3"/>
      <c r="H179" s="3"/>
      <c r="I179" s="3"/>
      <c r="J179" s="3"/>
      <c r="K179" s="3"/>
    </row>
    <row r="180" s="1" customFormat="1" customHeight="1" spans="1:11">
      <c r="A180" s="2"/>
      <c r="C180" s="3"/>
      <c r="D180" s="3"/>
      <c r="E180" s="2"/>
      <c r="F180" s="3"/>
      <c r="G180" s="3"/>
      <c r="H180" s="3"/>
      <c r="I180" s="3"/>
      <c r="J180" s="3"/>
      <c r="K180" s="3"/>
    </row>
    <row r="181" s="1" customFormat="1" customHeight="1" spans="1:11">
      <c r="A181" s="2"/>
      <c r="C181" s="3"/>
      <c r="D181" s="3"/>
      <c r="E181" s="2"/>
      <c r="F181" s="3"/>
      <c r="G181" s="3"/>
      <c r="H181" s="3"/>
      <c r="I181" s="3"/>
      <c r="J181" s="3"/>
      <c r="K181" s="3"/>
    </row>
    <row r="182" s="1" customFormat="1" customHeight="1" spans="1:11">
      <c r="A182" s="2"/>
      <c r="C182" s="3"/>
      <c r="D182" s="3"/>
      <c r="E182" s="2"/>
      <c r="F182" s="3"/>
      <c r="G182" s="3"/>
      <c r="H182" s="3"/>
      <c r="I182" s="3"/>
      <c r="J182" s="3"/>
      <c r="K182" s="3"/>
    </row>
    <row r="183" s="1" customFormat="1" customHeight="1" spans="1:11">
      <c r="A183" s="2"/>
      <c r="C183" s="3"/>
      <c r="D183" s="3"/>
      <c r="E183" s="2"/>
      <c r="F183" s="3"/>
      <c r="G183" s="3"/>
      <c r="H183" s="3"/>
      <c r="I183" s="3"/>
      <c r="J183" s="3"/>
      <c r="K183" s="3"/>
    </row>
  </sheetData>
  <conditionalFormatting sqref="N10">
    <cfRule type="expression" dxfId="0" priority="3">
      <formula>$A3&lt;&gt;""</formula>
    </cfRule>
  </conditionalFormatting>
  <conditionalFormatting sqref="A1048576:L1048576">
    <cfRule type="expression" dxfId="0" priority="5">
      <formula>$A1&lt;&gt;""</formula>
    </cfRule>
    <cfRule type="expression" dxfId="0" priority="4">
      <formula>$A1048576&lt;&gt;""</formula>
    </cfRule>
  </conditionalFormatting>
  <conditionalFormatting sqref="A1:L1048575">
    <cfRule type="expression" dxfId="0" priority="2">
      <formula>$A2&lt;&gt;""</formula>
    </cfRule>
    <cfRule type="expression" dxfId="0" priority="1">
      <formula>$A1&lt;&gt;""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总表</vt:lpstr>
      <vt:lpstr>恩旗老叶</vt:lpstr>
      <vt:lpstr>吴群</vt:lpstr>
      <vt:lpstr>吴聪</vt:lpstr>
      <vt:lpstr>九江朱总</vt:lpstr>
      <vt:lpstr>共安门业</vt:lpstr>
      <vt:lpstr>图揽成善</vt:lpstr>
      <vt:lpstr>祝冬冬</vt:lpstr>
      <vt:lpstr>张小朋</vt:lpstr>
      <vt:lpstr>徐怀生</vt:lpstr>
      <vt:lpstr>龚文坚</vt:lpstr>
      <vt:lpstr>程章赐</vt:lpstr>
      <vt:lpstr>Sheet9</vt:lpstr>
      <vt:lpstr>Sheet1</vt:lpstr>
      <vt:lpstr>Sheet10</vt:lpstr>
      <vt:lpstr>Sheet11</vt:lpstr>
      <vt:lpstr>Sheet12</vt:lpstr>
      <vt:lpstr>Sheet13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2023-05-12T11:15:00Z</dcterms:created>
  <dcterms:modified xsi:type="dcterms:W3CDTF">2026-10-08T14:04:03Z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22E77F3F69364005914118999D034010_13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