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文案内容\客户资料\成品\A066建筑安装财务模板-清禾知晏2026.9.30\新建文件夹\"/>
    </mc:Choice>
  </mc:AlternateContent>
  <bookViews>
    <workbookView windowWidth="27945" windowHeight="12375"/>
  </bookViews>
  <sheets>
    <sheet name="基础信息表" sheetId="18" r:id="rId1"/>
    <sheet name="总表" sheetId="1" r:id="rId2"/>
    <sheet name="博河科创中心" sheetId="11" r:id="rId3"/>
    <sheet name="德安养老中心" sheetId="2" r:id="rId4"/>
    <sheet name="抚州1号楼" sheetId="3" r:id="rId5"/>
    <sheet name="抚州8号楼" sheetId="4" r:id="rId6"/>
    <sheet name="抚州2号楼" sheetId="12" r:id="rId7"/>
    <sheet name="科创中心" sheetId="5" r:id="rId8"/>
    <sheet name="邹桥派出所" sheetId="6" r:id="rId9"/>
    <sheet name="九安架空层" sheetId="10" r:id="rId10"/>
    <sheet name="共青办公楼" sheetId="8" r:id="rId11"/>
    <sheet name="隆世光伏" sheetId="9" r:id="rId12"/>
    <sheet name="数字经济产业园" sheetId="7" r:id="rId13"/>
    <sheet name="德安农商行总部" sheetId="13" r:id="rId14"/>
    <sheet name="Sheet4" sheetId="16" r:id="rId15"/>
    <sheet name="Sheet5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<sst xmlns="http://schemas.openxmlformats.org/spreadsheetml/2006/main" count="412" uniqueCount="62">
  <si>
    <t>项目名称</t>
  </si>
  <si>
    <t>客户名称</t>
  </si>
  <si>
    <t>博河科创中心</t>
  </si>
  <si>
    <t>德安县博河产业控股集团有限公司</t>
  </si>
  <si>
    <t>德安养老中心</t>
  </si>
  <si>
    <t>九江浔辉建筑工程有限公司</t>
  </si>
  <si>
    <t>抚州1号楼</t>
  </si>
  <si>
    <t>江西揽之建设工程有限公司</t>
  </si>
  <si>
    <t>抚州8号楼</t>
  </si>
  <si>
    <t>抚州2号楼</t>
  </si>
  <si>
    <t>科创中心</t>
  </si>
  <si>
    <t>德安县市政工程公司</t>
  </si>
  <si>
    <t>邹桥派出所</t>
  </si>
  <si>
    <t>德安县水利水电建筑工程公司</t>
  </si>
  <si>
    <t>九安架空层</t>
  </si>
  <si>
    <t>数字经济产业园</t>
  </si>
  <si>
    <t>江西中寰建筑装饰有限公司</t>
  </si>
  <si>
    <t>德安农商行总部</t>
  </si>
  <si>
    <t>共青农商行</t>
  </si>
  <si>
    <t>隆世光伏</t>
  </si>
  <si>
    <t>共青办公楼</t>
  </si>
  <si>
    <t>2026应收账款总表</t>
  </si>
  <si>
    <t>合计:</t>
  </si>
  <si>
    <t>链接</t>
  </si>
  <si>
    <t>应收金额(元）</t>
  </si>
  <si>
    <t>已收金额（元）</t>
  </si>
  <si>
    <t>回款比例</t>
  </si>
  <si>
    <t>未收金额（元）</t>
  </si>
  <si>
    <t>已开票金额</t>
  </si>
  <si>
    <t>税率</t>
  </si>
  <si>
    <t>未开票金额</t>
  </si>
  <si>
    <t>备注</t>
  </si>
  <si>
    <t>应收账款明细表</t>
  </si>
  <si>
    <t>应收账款明细</t>
  </si>
  <si>
    <t>日期</t>
  </si>
  <si>
    <t>合同时间</t>
  </si>
  <si>
    <t>保证金</t>
  </si>
  <si>
    <t>合同总款</t>
  </si>
  <si>
    <t>签证金额（约）</t>
  </si>
  <si>
    <t>应收金额</t>
  </si>
  <si>
    <t>已收金额</t>
  </si>
  <si>
    <t>收款日期</t>
  </si>
  <si>
    <t>收款账户</t>
  </si>
  <si>
    <t>未收金额</t>
  </si>
  <si>
    <t>扣款</t>
  </si>
  <si>
    <t>开票金额</t>
  </si>
  <si>
    <t>开票日期</t>
  </si>
  <si>
    <t>税额</t>
  </si>
  <si>
    <t xml:space="preserve">未开票金额 </t>
  </si>
  <si>
    <t>参照</t>
  </si>
  <si>
    <t>九江银行</t>
  </si>
  <si>
    <t>合同金额</t>
  </si>
  <si>
    <t>不含税价款</t>
  </si>
  <si>
    <t xml:space="preserve">九江浔辉建筑工程有限公司 </t>
  </si>
  <si>
    <t>补充协议</t>
  </si>
  <si>
    <t>代发工资</t>
  </si>
  <si>
    <t>承兑汇票</t>
  </si>
  <si>
    <t>工商银行</t>
  </si>
  <si>
    <t>签证金合计</t>
  </si>
  <si>
    <t>代付筑强材料</t>
  </si>
  <si>
    <t>共青农商银行</t>
  </si>
  <si>
    <t>数字产业园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</si>
</sst>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20"/>
      <color theme="4"/>
      <name val="宋体"/>
      <charset val="134"/>
      <scheme val="minor"/>
    </font>
    <font>
      <b/>
      <sz val="16"/>
      <color theme="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0" fillId="10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11" borderId="6">
      <alignment vertical="center"/>
    </xf>
    <xf numFmtId="0" fontId="16" fillId="12" borderId="7">
      <alignment vertical="center"/>
    </xf>
    <xf numFmtId="0" fontId="17" fillId="12" borderId="6">
      <alignment vertical="center"/>
    </xf>
    <xf numFmtId="0" fontId="18" fillId="13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5" fillId="38" borderId="0">
      <alignment vertical="center"/>
    </xf>
    <xf numFmtId="0" fontId="25" fillId="39" borderId="0">
      <alignment vertical="center"/>
    </xf>
    <xf numFmtId="0" fontId="24" fillId="40" borderId="0">
      <alignment vertical="center"/>
    </xf>
    <xf numFmtId="0" fontId="26" fillId="0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76" fontId="0" fillId="0" borderId="0" xfId="0" applyNumberFormat="1" applyAlignment="1">
      <alignment horizontal="centerContinuous" vertical="center"/>
    </xf>
    <xf numFmtId="177" fontId="0" fillId="0" borderId="0" xfId="0" applyNumberFormat="1" applyAlignment="1">
      <alignment horizontal="centerContinuous" vertical="center"/>
    </xf>
    <xf numFmtId="177" fontId="2" fillId="0" borderId="0" xfId="0" applyNumberFormat="1" applyFont="1" applyFill="1" applyAlignment="1">
      <alignment horizontal="centerContinuous" vertical="center"/>
    </xf>
    <xf numFmtId="9" fontId="0" fillId="0" borderId="0" xfId="0" applyNumberFormat="1" applyAlignment="1">
      <alignment horizontal="centerContinuous" vertical="center"/>
    </xf>
    <xf numFmtId="177" fontId="2" fillId="2" borderId="0" xfId="0" applyNumberFormat="1" applyFon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77" fontId="0" fillId="0" borderId="0" xfId="0" applyNumberFormat="1" applyBorder="1" applyAlignment="1">
      <alignment horizontal="centerContinuous" vertical="center"/>
    </xf>
    <xf numFmtId="177" fontId="0" fillId="0" borderId="0" xfId="0" applyNumberFormat="1" applyFill="1" applyBorder="1" applyAlignment="1">
      <alignment horizontal="centerContinuous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77" fontId="1" fillId="7" borderId="1" xfId="0" applyNumberFormat="1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7" fontId="6" fillId="8" borderId="1" xfId="0" applyNumberFormat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9" fontId="0" fillId="0" borderId="1" xfId="0" applyNumberFormat="1" applyBorder="1" applyAlignment="1">
      <alignment horizontal="right" vertical="center"/>
    </xf>
    <xf numFmtId="177" fontId="0" fillId="9" borderId="1" xfId="0" applyNumberFormat="1" applyFill="1" applyBorder="1" applyAlignment="1">
      <alignment horizontal="center" vertical="center"/>
    </xf>
    <xf numFmtId="0" fontId="7" fillId="0" borderId="0" xfId="6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D16" sqref="D16"/>
    </sheetView>
  </sheetViews>
  <sheetFormatPr defaultColWidth="8.725" defaultRowHeight="19" customHeight="1" outlineLevelCol="1"/>
  <cols>
    <col min="1" max="1" width="16" customWidth="1"/>
    <col min="2" max="2" width="27.9083333333333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3</v>
      </c>
    </row>
    <row r="3" customHeight="1" spans="1:2">
      <c r="A3" t="s">
        <v>4</v>
      </c>
      <c r="B3" t="s">
        <v>5</v>
      </c>
    </row>
    <row r="4" customHeight="1" spans="1:2">
      <c r="A4" t="s">
        <v>6</v>
      </c>
      <c r="B4" t="s">
        <v>7</v>
      </c>
    </row>
    <row r="5" customHeight="1" spans="1:2">
      <c r="A5" t="s">
        <v>8</v>
      </c>
      <c r="B5" t="s">
        <v>7</v>
      </c>
    </row>
    <row r="6" customHeight="1" spans="1:2">
      <c r="A6" t="s">
        <v>9</v>
      </c>
      <c r="B6" t="s">
        <v>7</v>
      </c>
    </row>
    <row r="7" customHeight="1" spans="1:2">
      <c r="A7" t="s">
        <v>10</v>
      </c>
      <c r="B7" t="s">
        <v>11</v>
      </c>
    </row>
    <row r="8" customHeight="1" spans="1:2">
      <c r="A8" t="s">
        <v>12</v>
      </c>
      <c r="B8" t="s">
        <v>13</v>
      </c>
    </row>
    <row r="9" customHeight="1" spans="1:2">
      <c r="A9" t="s">
        <v>14</v>
      </c>
      <c r="B9" t="s">
        <v>5</v>
      </c>
    </row>
    <row r="10" customHeight="1" spans="1:2">
      <c r="A10" t="s">
        <v>15</v>
      </c>
      <c r="B10" t="s">
        <v>16</v>
      </c>
    </row>
    <row r="11" customHeight="1" spans="1:2">
      <c r="A11" t="s">
        <v>17</v>
      </c>
      <c r="B11" t="s">
        <v>18</v>
      </c>
    </row>
    <row r="12" customHeight="1" spans="1:2">
      <c r="A12" t="s">
        <v>19</v>
      </c>
      <c r="B12" t="s">
        <v>18</v>
      </c>
    </row>
    <row r="13" customHeight="1" spans="1:2">
      <c r="A13" t="s">
        <v>20</v>
      </c>
      <c r="B1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workbookViewId="0">
      <selection activeCell="D13" sqref="D13"/>
    </sheetView>
  </sheetViews>
  <sheetFormatPr defaultColWidth="9" defaultRowHeight="30" customHeight="1"/>
  <cols>
    <col min="1" max="1" width="15.0916666666667" style="1" customWidth="1"/>
    <col min="2" max="2" width="10.9083333333333" style="1" customWidth="1"/>
    <col min="3" max="3" width="25.1833333333333" style="1" customWidth="1"/>
    <col min="4" max="4" width="24.125" style="3" customWidth="1"/>
    <col min="5" max="5" width="22.625" style="3" customWidth="1"/>
    <col min="6" max="6" width="16.7583333333333" style="4" customWidth="1"/>
    <col min="7" max="7" width="22.725" style="3" customWidth="1"/>
    <col min="8" max="8" width="17.5416666666667" style="3" customWidth="1"/>
    <col min="9" max="9" width="12.1833333333333" style="4" hidden="1" customWidth="1"/>
    <col min="10" max="10" width="15.275" style="3" customWidth="1"/>
    <col min="11" max="11" width="9" style="1"/>
    <col min="12" max="12" width="11.8166666666667" style="1"/>
    <col min="13" max="16384" width="9" style="1"/>
  </cols>
  <sheetData>
    <row r="1" ht="6" customHeight="1" spans="1:13">
      <c r="A1" s="35"/>
      <c r="B1" s="35"/>
      <c r="C1" s="35"/>
      <c r="D1" s="36"/>
      <c r="E1" s="36"/>
      <c r="F1" s="37"/>
      <c r="G1" s="36"/>
      <c r="H1" s="36"/>
      <c r="I1" s="37"/>
      <c r="J1" s="36"/>
      <c r="K1" s="35"/>
    </row>
    <row r="2" s="1" customFormat="1" ht="23" customHeight="1" spans="1:13">
      <c r="A2" s="38" t="s">
        <v>21</v>
      </c>
      <c r="B2" s="35"/>
      <c r="C2" s="35"/>
      <c r="D2" s="36"/>
      <c r="E2" s="36"/>
      <c r="F2" s="37"/>
      <c r="G2" s="36"/>
      <c r="H2" s="36"/>
      <c r="I2" s="37"/>
      <c r="J2" s="36"/>
      <c r="K2" s="35"/>
    </row>
    <row r="3" ht="31" customHeight="1" spans="1:13">
      <c r="A3" s="39"/>
      <c r="B3" s="39"/>
      <c r="C3" s="39" t="s">
        <v>22</v>
      </c>
      <c r="D3" s="40">
        <f ca="1">SUM(D5:D105)</f>
        <v>10515815.73</v>
      </c>
      <c r="E3" s="40">
        <f ca="1">SUM(E5:E105)</f>
        <v>6637129.34</v>
      </c>
      <c r="F3" s="40"/>
      <c r="G3" s="40">
        <f ca="1">SUM(G5:G105)</f>
        <v>3878686.39</v>
      </c>
      <c r="H3" s="40"/>
      <c r="I3" s="41"/>
      <c r="J3" s="40"/>
      <c r="K3" s="39"/>
    </row>
    <row r="4" s="1" customFormat="1" ht="23" customHeight="1" spans="1:13">
      <c r="A4" s="42" t="s">
        <v>0</v>
      </c>
      <c r="B4" s="42" t="s">
        <v>23</v>
      </c>
      <c r="C4" s="42" t="s">
        <v>1</v>
      </c>
      <c r="D4" s="43" t="s">
        <v>24</v>
      </c>
      <c r="E4" s="43" t="s">
        <v>25</v>
      </c>
      <c r="F4" s="44" t="s">
        <v>26</v>
      </c>
      <c r="G4" s="43" t="s">
        <v>27</v>
      </c>
      <c r="H4" s="43" t="s">
        <v>28</v>
      </c>
      <c r="I4" s="44" t="s">
        <v>29</v>
      </c>
      <c r="J4" s="43" t="s">
        <v>30</v>
      </c>
      <c r="K4" s="42" t="s">
        <v>31</v>
      </c>
      <c r="M4" s="4"/>
    </row>
    <row r="5" s="1" customFormat="1" ht="25" hidden="1" customHeight="1" spans="1:13">
      <c r="A5" s="45" t="str" cm="1">
        <f ca="1" t="array" ref="A5:A19">_wpsfn.SHEETSNAME(,1,1)</f>
        <v>基础信息表</v>
      </c>
      <c r="B5" s="45" t="str">
        <f ca="1" t="shared" ref="B5:B13" si="0">HYPERLINK("#"&amp;A5&amp;"!a3","点击跳转")</f>
        <v>点击跳转</v>
      </c>
      <c r="C5" s="19"/>
      <c r="D5" s="21" cm="1">
        <f ca="1" t="array" ref="D5">INDIRECT($A5&amp;"!H6")</f>
        <v>0</v>
      </c>
      <c r="E5" s="21">
        <f ca="1">SUM(INDIRECT($A5&amp;"!I:I"))</f>
        <v>0</v>
      </c>
      <c r="F5" s="23" t="str">
        <f ca="1" t="shared" ref="F5:F15" si="1">IFERROR((E5/D5),"")</f>
        <v/>
      </c>
      <c r="G5" s="21">
        <f ca="1" t="shared" ref="G5:G15" si="2">D5-E5</f>
        <v>0</v>
      </c>
      <c r="H5" s="21">
        <f ca="1">SUM(INDIRECT($A5&amp;"!N:N"))</f>
        <v>0</v>
      </c>
      <c r="I5" s="23"/>
      <c r="J5" s="21">
        <f ca="1">SUM(INDIRECT($A5&amp;"!R:R"))</f>
        <v>0</v>
      </c>
      <c r="K5" s="19"/>
      <c r="L5" s="3"/>
      <c r="M5" s="4"/>
    </row>
    <row r="6" s="1" customFormat="1" ht="25" customHeight="1" spans="1:13">
      <c r="A6" s="45" t="str">
        <v>博河科创中心</v>
      </c>
      <c r="B6" s="45" t="str">
        <f ca="1" t="shared" si="0"/>
        <v>点击跳转</v>
      </c>
      <c r="C6" s="19" t="str">
        <f ca="1">IFERROR(_xlfn.XLOOKUP(A6,基础信息表!A:A,基础信息表!B:B),"")</f>
        <v>德安县博河产业控股集团有限公司</v>
      </c>
      <c r="D6" s="21" cm="1">
        <f ca="1" t="array" ref="D6">INDIRECT($A6&amp;"!H6")</f>
        <v>510758.96</v>
      </c>
      <c r="E6" s="21">
        <f ca="1" t="shared" ref="E6:E15" si="3">SUM(INDIRECT($A6&amp;"!I:I"))</f>
        <v>102151.79</v>
      </c>
      <c r="F6" s="46">
        <f ca="1" t="shared" si="1"/>
        <v>0.199999996084259</v>
      </c>
      <c r="G6" s="47">
        <f ca="1" t="shared" si="2"/>
        <v>408607.17</v>
      </c>
      <c r="H6" s="21">
        <f ca="1" t="shared" ref="H6:H15" si="4">SUM(INDIRECT($A6&amp;"!N:N"))</f>
        <v>102151.79</v>
      </c>
      <c r="I6" s="23"/>
      <c r="J6" s="21">
        <f ca="1" t="shared" ref="J6:J15" si="5">SUM(INDIRECT($A6&amp;"!R:R"))</f>
        <v>408607.17</v>
      </c>
      <c r="K6" s="19"/>
      <c r="M6" s="4"/>
    </row>
    <row r="7" s="1" customFormat="1" ht="25" customHeight="1" spans="1:13">
      <c r="A7" s="45" t="str">
        <v>德安养老中心</v>
      </c>
      <c r="B7" s="45" t="str">
        <f ca="1" t="shared" si="0"/>
        <v>点击跳转</v>
      </c>
      <c r="C7" s="19" t="str">
        <f ca="1">IFERROR(_xlfn.XLOOKUP(A7,基础信息表!A:A,基础信息表!B:B),"")</f>
        <v>九江浔辉建筑工程有限公司</v>
      </c>
      <c r="D7" s="21" cm="1">
        <f ca="1" t="array" ref="D7">INDIRECT($A7&amp;"!H6")</f>
        <v>4362576.49</v>
      </c>
      <c r="E7" s="21">
        <f ca="1" t="shared" si="3"/>
        <v>2658453.36</v>
      </c>
      <c r="F7" s="46">
        <f ca="1" t="shared" si="1"/>
        <v>0.609376905160006</v>
      </c>
      <c r="G7" s="47">
        <f ca="1" t="shared" si="2"/>
        <v>1704123.13</v>
      </c>
      <c r="H7" s="21">
        <f ca="1" t="shared" si="4"/>
        <v>2658453.36</v>
      </c>
      <c r="I7" s="23"/>
      <c r="J7" s="21">
        <f ca="1" t="shared" si="5"/>
        <v>1704123.13</v>
      </c>
      <c r="K7" s="19"/>
      <c r="M7" s="4"/>
    </row>
    <row r="8" s="1" customFormat="1" ht="25" customHeight="1" spans="1:13">
      <c r="A8" s="45" t="str">
        <v>抚州1号楼</v>
      </c>
      <c r="B8" s="45" t="str">
        <f ca="1" t="shared" si="0"/>
        <v>点击跳转</v>
      </c>
      <c r="C8" s="19" t="str">
        <f ca="1">IFERROR(_xlfn.XLOOKUP(A8,基础信息表!A:A,基础信息表!B:B),"")</f>
        <v>江西揽之建设工程有限公司</v>
      </c>
      <c r="D8" s="21" cm="1">
        <f ca="1" t="array" ref="D8">INDIRECT($A8&amp;"!H6")</f>
        <v>695372.72</v>
      </c>
      <c r="E8" s="21">
        <f ca="1" t="shared" si="3"/>
        <v>562296</v>
      </c>
      <c r="F8" s="46">
        <f ca="1" t="shared" si="1"/>
        <v>0.808625336927224</v>
      </c>
      <c r="G8" s="47">
        <f ca="1" t="shared" si="2"/>
        <v>133076.72</v>
      </c>
      <c r="H8" s="21">
        <f ca="1" t="shared" si="4"/>
        <v>562296</v>
      </c>
      <c r="I8" s="23"/>
      <c r="J8" s="21">
        <f ca="1" t="shared" si="5"/>
        <v>133076.72</v>
      </c>
      <c r="K8" s="19"/>
      <c r="M8" s="4"/>
    </row>
    <row r="9" s="1" customFormat="1" ht="25" customHeight="1" spans="1:13">
      <c r="A9" s="45" t="str">
        <v>抚州8号楼</v>
      </c>
      <c r="B9" s="45" t="str">
        <f ca="1" t="shared" si="0"/>
        <v>点击跳转</v>
      </c>
      <c r="C9" s="19" t="str">
        <f ca="1">IFERROR(_xlfn.XLOOKUP(A9,基础信息表!A:A,基础信息表!B:B),"")</f>
        <v>江西揽之建设工程有限公司</v>
      </c>
      <c r="D9" s="21" cm="1">
        <f ca="1" t="array" ref="D9">INDIRECT($A9&amp;"!H6")</f>
        <v>960000</v>
      </c>
      <c r="E9" s="21">
        <f ca="1" t="shared" si="3"/>
        <v>670593.83</v>
      </c>
      <c r="F9" s="46">
        <f ca="1" t="shared" si="1"/>
        <v>0.698535239583333</v>
      </c>
      <c r="G9" s="47">
        <f ca="1" t="shared" si="2"/>
        <v>289406.17</v>
      </c>
      <c r="H9" s="21">
        <f ca="1" t="shared" si="4"/>
        <v>670593.83</v>
      </c>
      <c r="I9" s="23"/>
      <c r="J9" s="21">
        <f ca="1" t="shared" si="5"/>
        <v>289406.17</v>
      </c>
      <c r="K9" s="19"/>
    </row>
    <row r="10" s="1" customFormat="1" ht="25" customHeight="1" spans="1:13">
      <c r="A10" s="45" t="str">
        <v>抚州2号楼</v>
      </c>
      <c r="B10" s="45" t="str">
        <f ca="1" t="shared" si="0"/>
        <v>点击跳转</v>
      </c>
      <c r="C10" s="19" t="str">
        <f ca="1">IFERROR(_xlfn.XLOOKUP(A10,基础信息表!A:A,基础信息表!B:B),"")</f>
        <v>江西揽之建设工程有限公司</v>
      </c>
      <c r="D10" s="21" cm="1">
        <f ca="1" t="array" ref="D10">INDIRECT($A10&amp;"!H6")</f>
        <v>64000</v>
      </c>
      <c r="E10" s="21">
        <f ca="1" t="shared" si="3"/>
        <v>51200</v>
      </c>
      <c r="F10" s="46">
        <f ca="1" t="shared" si="1"/>
        <v>0.8</v>
      </c>
      <c r="G10" s="47">
        <f ca="1" t="shared" si="2"/>
        <v>12800</v>
      </c>
      <c r="H10" s="21">
        <f ca="1" t="shared" si="4"/>
        <v>51200</v>
      </c>
      <c r="I10" s="23"/>
      <c r="J10" s="21">
        <f ca="1" t="shared" si="5"/>
        <v>12800</v>
      </c>
      <c r="K10" s="19"/>
    </row>
    <row r="11" s="1" customFormat="1" ht="25" customHeight="1" spans="1:13">
      <c r="A11" s="45" t="str">
        <v>科创中心</v>
      </c>
      <c r="B11" s="45" t="str">
        <f ca="1" t="shared" si="0"/>
        <v>点击跳转</v>
      </c>
      <c r="C11" s="19" t="str">
        <f ca="1">IFERROR(_xlfn.XLOOKUP(A11,基础信息表!A:A,基础信息表!B:B),"")</f>
        <v>德安县市政工程公司</v>
      </c>
      <c r="D11" s="21" cm="1">
        <f ca="1" t="array" ref="D11">INDIRECT($A11&amp;"!H6")</f>
        <v>1641809</v>
      </c>
      <c r="E11" s="21">
        <f ca="1" t="shared" si="3"/>
        <v>1148361.8</v>
      </c>
      <c r="F11" s="46">
        <f ca="1" t="shared" si="1"/>
        <v>0.699449083297753</v>
      </c>
      <c r="G11" s="47">
        <f ca="1" t="shared" si="2"/>
        <v>493447.2</v>
      </c>
      <c r="H11" s="21">
        <f ca="1" t="shared" si="4"/>
        <v>1148361.8</v>
      </c>
      <c r="I11" s="23"/>
      <c r="J11" s="21">
        <f ca="1" t="shared" si="5"/>
        <v>493447.2</v>
      </c>
      <c r="K11" s="19"/>
      <c r="L11" s="3"/>
    </row>
    <row r="12" s="1" customFormat="1" ht="25" customHeight="1" spans="1:13">
      <c r="A12" s="45" t="str">
        <v>邹桥派出所</v>
      </c>
      <c r="B12" s="45" t="str">
        <f ca="1" t="shared" si="0"/>
        <v>点击跳转</v>
      </c>
      <c r="C12" s="19" t="str">
        <f ca="1">IFERROR(_xlfn.XLOOKUP(A12,基础信息表!A:A,基础信息表!B:B),"")</f>
        <v>德安县水利水电建筑工程公司</v>
      </c>
      <c r="D12" s="21" cm="1">
        <f ca="1" t="array" ref="D12">INDIRECT($A12&amp;"!H6")</f>
        <v>95560.56</v>
      </c>
      <c r="E12" s="21">
        <f ca="1" t="shared" si="3"/>
        <v>88334.56</v>
      </c>
      <c r="F12" s="46">
        <f ca="1" t="shared" si="1"/>
        <v>0.92438302998643</v>
      </c>
      <c r="G12" s="47">
        <f ca="1" t="shared" si="2"/>
        <v>7226</v>
      </c>
      <c r="H12" s="21">
        <f ca="1" t="shared" si="4"/>
        <v>88334.56</v>
      </c>
      <c r="I12" s="23"/>
      <c r="J12" s="21">
        <f ca="1" t="shared" si="5"/>
        <v>2672</v>
      </c>
      <c r="K12" s="19"/>
    </row>
    <row r="13" s="1" customFormat="1" ht="25" customHeight="1" spans="1:13">
      <c r="A13" s="45" t="str">
        <v>九安架空层</v>
      </c>
      <c r="B13" s="45" t="str">
        <f ca="1" t="shared" si="0"/>
        <v>点击跳转</v>
      </c>
      <c r="C13" s="19" t="str">
        <f ca="1">IFERROR(_xlfn.XLOOKUP(A13,基础信息表!A:A,基础信息表!B:B),"")</f>
        <v>九江浔辉建筑工程有限公司</v>
      </c>
      <c r="D13" s="21" cm="1">
        <f ca="1" t="array" ref="D13">INDIRECT($A13&amp;"!H6")</f>
        <v>1500000</v>
      </c>
      <c r="E13" s="21">
        <f ca="1" t="shared" si="3"/>
        <v>670000</v>
      </c>
      <c r="F13" s="46">
        <f ca="1" t="shared" si="1"/>
        <v>0.446666666666667</v>
      </c>
      <c r="G13" s="47">
        <f ca="1" t="shared" si="2"/>
        <v>830000</v>
      </c>
      <c r="H13" s="21">
        <f ca="1" t="shared" si="4"/>
        <v>0</v>
      </c>
      <c r="I13" s="23"/>
      <c r="J13" s="21">
        <f ca="1" t="shared" si="5"/>
        <v>1500000</v>
      </c>
      <c r="K13" s="19"/>
    </row>
    <row r="14" s="1" customFormat="1" ht="25" customHeight="1" spans="1:13">
      <c r="A14" s="45" t="str">
        <v>共青办公楼</v>
      </c>
      <c r="B14" s="45" t="str">
        <f ca="1" t="shared" ref="B14:B21" si="6">HYPERLINK("#"&amp;A14&amp;"!a3","点击跳转")</f>
        <v>点击跳转</v>
      </c>
      <c r="C14" s="19" t="str">
        <f ca="1">IFERROR(_xlfn.XLOOKUP(A14,基础信息表!A:A,基础信息表!B:B),"")</f>
        <v>共青农商行</v>
      </c>
      <c r="D14" s="21" cm="1">
        <f ca="1" t="array" ref="D14">INDIRECT($A14&amp;"!H6")</f>
        <v>85738</v>
      </c>
      <c r="E14" s="21">
        <f ca="1" t="shared" si="3"/>
        <v>85738</v>
      </c>
      <c r="F14" s="46">
        <f ca="1" t="shared" si="1"/>
        <v>1</v>
      </c>
      <c r="G14" s="47">
        <f ca="1" t="shared" si="2"/>
        <v>0</v>
      </c>
      <c r="H14" s="21">
        <f ca="1" t="shared" si="4"/>
        <v>85738</v>
      </c>
      <c r="I14" s="23"/>
      <c r="J14" s="21">
        <f ca="1" t="shared" si="5"/>
        <v>0</v>
      </c>
      <c r="K14" s="19"/>
    </row>
    <row r="15" s="1" customFormat="1" ht="25" customHeight="1" spans="1:13">
      <c r="A15" s="45" t="str">
        <v>隆世光伏</v>
      </c>
      <c r="B15" s="45" t="str">
        <f ca="1" t="shared" si="6"/>
        <v>点击跳转</v>
      </c>
      <c r="C15" s="19" t="str">
        <f ca="1">IFERROR(_xlfn.XLOOKUP(A15,基础信息表!A:A,基础信息表!B:B),"")</f>
        <v>共青农商行</v>
      </c>
      <c r="D15" s="21" cm="1">
        <f ca="1" t="array" ref="D15">INDIRECT($A15&amp;"!H6")</f>
        <v>600000</v>
      </c>
      <c r="E15" s="21">
        <f ca="1" t="shared" si="3"/>
        <v>600000</v>
      </c>
      <c r="F15" s="46">
        <f ca="1" t="shared" si="1"/>
        <v>1</v>
      </c>
      <c r="G15" s="47">
        <f ca="1" t="shared" si="2"/>
        <v>0</v>
      </c>
      <c r="H15" s="21">
        <f ca="1" t="shared" si="4"/>
        <v>600000</v>
      </c>
      <c r="I15" s="23"/>
      <c r="J15" s="21">
        <f ca="1" t="shared" si="5"/>
        <v>0</v>
      </c>
      <c r="K15" s="19"/>
    </row>
    <row r="16" s="1" customFormat="1" ht="25" hidden="1" customHeight="1" spans="1:13">
      <c r="A16" s="45" t="str">
        <v>数字经济产业园</v>
      </c>
      <c r="B16" s="45" t="str">
        <f ca="1" t="shared" si="6"/>
        <v>点击跳转</v>
      </c>
      <c r="C16" s="19" t="str">
        <f ca="1">IFERROR(_xlfn.XLOOKUP(A16,基础信息表!A:A,基础信息表!B:B),"")</f>
        <v>江西中寰建筑装饰有限公司</v>
      </c>
      <c r="D16" s="21"/>
      <c r="E16" s="21"/>
      <c r="F16" s="23"/>
      <c r="G16" s="21"/>
      <c r="H16" s="21"/>
      <c r="I16" s="23"/>
      <c r="J16" s="21"/>
      <c r="K16" s="19"/>
    </row>
    <row r="17" s="1" customFormat="1" ht="25" hidden="1" customHeight="1" spans="1:11">
      <c r="A17" s="45" t="str">
        <v>德安农商行总部</v>
      </c>
      <c r="B17" s="45" t="str">
        <f ca="1" t="shared" si="6"/>
        <v>点击跳转</v>
      </c>
      <c r="C17" s="19" t="str">
        <f ca="1">IFERROR(_xlfn.XLOOKUP(A17,基础信息表!A:A,基础信息表!B:B),"")</f>
        <v>共青农商行</v>
      </c>
      <c r="D17" s="21"/>
      <c r="E17" s="21"/>
      <c r="F17" s="23"/>
      <c r="G17" s="21"/>
      <c r="H17" s="21"/>
      <c r="I17" s="23"/>
      <c r="J17" s="21"/>
      <c r="K17" s="19"/>
    </row>
    <row r="18" s="1" customFormat="1" ht="25" hidden="1" customHeight="1" spans="1:11">
      <c r="A18" s="45" t="str">
        <v>Sheet4</v>
      </c>
      <c r="B18" s="45" t="str">
        <f ca="1" t="shared" si="6"/>
        <v>点击跳转</v>
      </c>
      <c r="C18" s="19" t="str">
        <f ca="1">IFERROR(_xlfn.XLOOKUP(A18,基础信息表!A:A,基础信息表!B:B),"")</f>
        <v/>
      </c>
      <c r="D18" s="21"/>
      <c r="E18" s="21"/>
      <c r="F18" s="23"/>
      <c r="G18" s="21"/>
      <c r="H18" s="21"/>
      <c r="I18" s="23"/>
      <c r="J18" s="21"/>
      <c r="K18" s="19"/>
    </row>
    <row r="19" s="1" customFormat="1" ht="25" hidden="1" customHeight="1" spans="1:11">
      <c r="A19" s="45" t="str">
        <v>Sheet5</v>
      </c>
      <c r="B19" s="45" t="str">
        <f ca="1" t="shared" si="6"/>
        <v>点击跳转</v>
      </c>
      <c r="C19" s="19" t="str">
        <f ca="1">IFERROR(_xlfn.XLOOKUP(A19,基础信息表!A:A,基础信息表!B:B),"")</f>
        <v/>
      </c>
      <c r="D19" s="21"/>
      <c r="E19" s="21"/>
      <c r="F19" s="23"/>
      <c r="G19" s="21"/>
      <c r="H19" s="21"/>
      <c r="I19" s="23"/>
      <c r="J19" s="21"/>
      <c r="K19" s="19"/>
    </row>
    <row r="20" s="1" customFormat="1" ht="25" hidden="1" customHeight="1" spans="1:11">
      <c r="A20" s="45"/>
      <c r="B20" s="45" t="str">
        <f t="shared" si="6"/>
        <v>点击跳转</v>
      </c>
      <c r="C20" s="19">
        <f>IFERROR(_xlfn.XLOOKUP(A20,基础信息表!A:A,基础信息表!B:B),"")</f>
        <v>0</v>
      </c>
      <c r="D20" s="21"/>
      <c r="E20" s="21"/>
      <c r="F20" s="23"/>
      <c r="G20" s="21"/>
      <c r="H20" s="21"/>
      <c r="I20" s="23"/>
      <c r="J20" s="21"/>
      <c r="K20" s="19"/>
    </row>
    <row r="21" s="1" customFormat="1" ht="25" hidden="1" customHeight="1" spans="1:11">
      <c r="A21" s="45"/>
      <c r="B21" s="45" t="str">
        <f t="shared" si="6"/>
        <v>点击跳转</v>
      </c>
      <c r="C21" s="19">
        <f>IFERROR(_xlfn.XLOOKUP(A21,基础信息表!A:A,基础信息表!B:B),"")</f>
        <v>0</v>
      </c>
      <c r="D21" s="21"/>
      <c r="E21" s="21"/>
      <c r="F21" s="23"/>
      <c r="G21" s="21"/>
      <c r="H21" s="21"/>
      <c r="I21" s="23"/>
      <c r="J21" s="21"/>
      <c r="K21" s="19"/>
    </row>
    <row r="22" s="1" customFormat="1" ht="25" customHeight="1" spans="1:11">
      <c r="A22" s="48"/>
      <c r="B22" s="48"/>
      <c r="D22" s="3"/>
      <c r="E22" s="3"/>
      <c r="F22" s="4"/>
      <c r="G22" s="3"/>
      <c r="H22" s="3"/>
      <c r="I22" s="4"/>
      <c r="J22" s="3"/>
    </row>
    <row r="23" s="1" customFormat="1" ht="25" customHeight="1" spans="1:11">
      <c r="A23" s="48"/>
      <c r="B23" s="48"/>
      <c r="D23" s="3"/>
      <c r="E23" s="3"/>
      <c r="F23" s="4"/>
      <c r="G23" s="3"/>
      <c r="H23" s="3"/>
      <c r="I23" s="4"/>
      <c r="J23" s="3"/>
    </row>
    <row r="24" s="1" customFormat="1" ht="25" customHeight="1" spans="1:11">
      <c r="A24" s="48"/>
      <c r="B24" s="48"/>
      <c r="D24" s="3"/>
      <c r="E24" s="3"/>
      <c r="F24" s="4"/>
      <c r="G24" s="3"/>
      <c r="H24" s="3"/>
      <c r="I24" s="4"/>
      <c r="J24" s="3"/>
    </row>
    <row r="25" s="1" customFormat="1" ht="25" customHeight="1" spans="1:11">
      <c r="A25" s="48"/>
      <c r="B25" s="48"/>
      <c r="D25" s="3"/>
      <c r="E25" s="3"/>
      <c r="F25" s="4"/>
      <c r="G25" s="3"/>
      <c r="H25" s="3"/>
      <c r="I25" s="4"/>
      <c r="J25" s="3"/>
    </row>
    <row r="26" ht="25" customHeight="1"/>
    <row r="27" ht="25" customHeight="1"/>
  </sheetData>
  <conditionalFormatting sqref="F$1:F$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{17fbc5bf-9d99-4ba5-9d7a-95336e7404e0}</x14:id>
        </ext>
      </extLst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fbc5bf-9d99-4ba5-9d7a-95336e7404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F$1:F$1048576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B3" workbookViewId="0">
      <selection activeCell="G21" sqref="G21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3.9083333333333" style="3" customWidth="1"/>
    <col min="10" max="10" width="11.275" style="3" customWidth="1"/>
    <col min="11" max="11" width="11.0916666666667" style="3" customWidth="1"/>
    <col min="12" max="12" width="12.9083333333333" style="3" customWidth="1"/>
    <col min="13" max="13" width="8.275" style="3" customWidth="1"/>
    <col min="14" max="14" width="10.8166666666667" style="3" customWidth="1"/>
    <col min="15" max="15" width="13.125" style="2" customWidth="1"/>
    <col min="16" max="16" width="7.54166666666667" style="4" customWidth="1"/>
    <col min="17" max="17" width="9" style="1"/>
    <col min="18" max="18" width="11.9083333333333" style="1" customWidth="1"/>
    <col min="19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  <c r="S3" s="6"/>
    </row>
    <row r="4" s="1" customFormat="1" ht="23" customHeight="1" spans="1:20">
      <c r="D4" s="2"/>
      <c r="E4" s="3"/>
      <c r="F4" s="24"/>
      <c r="G4" s="25"/>
      <c r="H4" s="3"/>
      <c r="I4" s="3"/>
      <c r="J4" s="3"/>
      <c r="K4" s="3"/>
      <c r="L4" s="3"/>
      <c r="M4" s="3"/>
      <c r="N4" s="3"/>
      <c r="O4" s="2"/>
      <c r="P4" s="4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48</v>
      </c>
      <c r="S5" s="18" t="s">
        <v>31</v>
      </c>
      <c r="T5" s="1" t="s">
        <v>49</v>
      </c>
    </row>
    <row r="6" s="1" customFormat="1" ht="20" customHeight="1" spans="1:20">
      <c r="B6" s="19" t="s">
        <v>2</v>
      </c>
      <c r="C6" s="19" t="s">
        <v>3</v>
      </c>
      <c r="D6" s="20">
        <v>46261</v>
      </c>
      <c r="E6" s="21"/>
      <c r="F6" s="21">
        <v>510758.96</v>
      </c>
      <c r="G6" s="21"/>
      <c r="H6" s="22" cm="1">
        <f t="array" ref="H6">SUMPRODUCT(E6:E11+F6:F11+G6:G11)</f>
        <v>510758.96</v>
      </c>
      <c r="I6" s="21">
        <v>102151.79</v>
      </c>
      <c r="J6" s="20">
        <v>46272</v>
      </c>
      <c r="K6" s="21" t="s">
        <v>50</v>
      </c>
      <c r="L6" s="21" cm="1">
        <f t="array" ref="L6">SUMPRODUCT(H6:H11-I6:I11)</f>
        <v>408607.17</v>
      </c>
      <c r="M6" s="21"/>
      <c r="N6" s="21">
        <v>102151.79</v>
      </c>
      <c r="O6" s="20">
        <v>46262</v>
      </c>
      <c r="P6" s="23">
        <v>0.09</v>
      </c>
      <c r="Q6" s="19">
        <f t="shared" ref="Q6:Q11" si="0">N6/(1+P6)*P6</f>
        <v>8434.55146788991</v>
      </c>
      <c r="R6" s="19" cm="1">
        <f t="array" ref="R6">SUMPRODUCT(F6:F11-N6:N11)</f>
        <v>408607.17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/>
      <c r="J7" s="20"/>
      <c r="K7" s="21"/>
      <c r="L7" s="21"/>
      <c r="M7" s="21"/>
      <c r="N7" s="21"/>
      <c r="O7" s="20"/>
      <c r="P7" s="23"/>
      <c r="Q7" s="19">
        <f t="shared" si="0"/>
        <v>0</v>
      </c>
      <c r="R7" s="19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19">
        <f t="shared" si="0"/>
        <v>0</v>
      </c>
      <c r="R8" s="19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topLeftCell="B3" workbookViewId="0">
      <selection activeCell="O15" sqref="O15"/>
    </sheetView>
  </sheetViews>
  <sheetFormatPr defaultColWidth="9" defaultRowHeight="13.5"/>
  <cols>
    <col min="1" max="1" width="9" style="1" hidden="1" customWidth="1"/>
    <col min="2" max="2" width="14.5" style="1" customWidth="1"/>
    <col min="3" max="3" width="23.2583333333333" style="1" customWidth="1"/>
    <col min="4" max="4" width="11.725" style="2" customWidth="1"/>
    <col min="5" max="5" width="7.75833333333333" style="3" customWidth="1"/>
    <col min="6" max="6" width="14" style="3" customWidth="1"/>
    <col min="7" max="7" width="17.125" style="3" customWidth="1"/>
    <col min="8" max="8" width="14.875" style="3" customWidth="1"/>
    <col min="9" max="9" width="15.1833333333333" style="3" customWidth="1"/>
    <col min="10" max="10" width="12.5" style="3" customWidth="1"/>
    <col min="11" max="11" width="12.375" style="3" customWidth="1"/>
    <col min="12" max="12" width="16.275" style="3" customWidth="1"/>
    <col min="13" max="13" width="5.75833333333333" style="3" customWidth="1"/>
    <col min="14" max="14" width="13.125" style="3" customWidth="1"/>
    <col min="15" max="15" width="13.125" style="2" customWidth="1"/>
    <col min="16" max="16" width="13.125" style="4" customWidth="1"/>
    <col min="17" max="17" width="12.8166666666667" style="3"/>
    <col min="18" max="18" width="12.9083333333333" style="3"/>
    <col min="19" max="16384" width="9" style="1"/>
  </cols>
  <sheetData>
    <row r="1" ht="1" hidden="1" customHeight="1"/>
    <row r="2" ht="26" hidden="1" customHeight="1"/>
    <row r="3" ht="47" customHeight="1" spans="1:20">
      <c r="A3" s="5" t="s">
        <v>32</v>
      </c>
      <c r="B3" s="29" t="s">
        <v>33</v>
      </c>
      <c r="C3" s="6"/>
      <c r="D3" s="7"/>
      <c r="E3" s="30"/>
      <c r="F3" s="31"/>
      <c r="G3" s="32"/>
      <c r="H3" s="8"/>
      <c r="I3" s="9"/>
      <c r="J3" s="8"/>
      <c r="K3" s="8"/>
      <c r="L3" s="9"/>
      <c r="M3" s="9"/>
      <c r="N3" s="9"/>
      <c r="O3" s="7"/>
      <c r="P3" s="10"/>
      <c r="Q3" s="8"/>
      <c r="R3" s="8"/>
      <c r="S3" s="6"/>
    </row>
    <row r="4" ht="23" customHeight="1" spans="1:20">
      <c r="F4" s="33"/>
      <c r="G4" s="34"/>
      <c r="J4" s="3" t="str">
        <f>HYPERLINK("#总表！A3","返回总表")</f>
        <v>返回总表</v>
      </c>
    </row>
    <row r="5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51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52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ht="20" customHeight="1" spans="1:20">
      <c r="B6" s="19" t="s">
        <v>4</v>
      </c>
      <c r="C6" s="19" t="s">
        <v>53</v>
      </c>
      <c r="D6" s="20">
        <v>45772</v>
      </c>
      <c r="E6" s="21"/>
      <c r="F6" s="21">
        <v>3823833.93</v>
      </c>
      <c r="G6" s="21"/>
      <c r="H6" s="22" cm="1">
        <f t="array" ref="H6">SUMPRODUCT(E6:E15+F6:F15+G6:G15)</f>
        <v>4362576.49</v>
      </c>
      <c r="I6" s="21">
        <v>760000</v>
      </c>
      <c r="J6" s="20">
        <v>45806</v>
      </c>
      <c r="K6" s="21" t="s">
        <v>50</v>
      </c>
      <c r="L6" s="21"/>
      <c r="M6" s="21"/>
      <c r="N6" s="21">
        <v>764766.79</v>
      </c>
      <c r="O6" s="20">
        <v>45791</v>
      </c>
      <c r="P6" s="23">
        <v>0.09</v>
      </c>
      <c r="Q6" s="21">
        <f t="shared" ref="Q6:Q12" si="0">N6/(1+P6)*P6</f>
        <v>63145.8817431193</v>
      </c>
      <c r="R6" s="21" cm="1">
        <f t="array" ref="R6">SUMPRODUCT(F6:F15-N6:N15)</f>
        <v>1704123.13</v>
      </c>
      <c r="S6" s="19"/>
      <c r="T6" s="4">
        <v>0.13</v>
      </c>
    </row>
    <row r="7" ht="20" customHeight="1" spans="1:20">
      <c r="B7" s="19" t="s">
        <v>4</v>
      </c>
      <c r="C7" s="19"/>
      <c r="D7" s="20">
        <v>46185</v>
      </c>
      <c r="E7" s="21"/>
      <c r="F7" s="21">
        <v>538742.56</v>
      </c>
      <c r="G7" s="21"/>
      <c r="H7" s="21"/>
      <c r="I7" s="21">
        <v>386650.18</v>
      </c>
      <c r="J7" s="20">
        <v>45930</v>
      </c>
      <c r="K7" s="21" t="s">
        <v>50</v>
      </c>
      <c r="L7" s="21"/>
      <c r="M7" s="21"/>
      <c r="N7" s="21">
        <v>381883.39</v>
      </c>
      <c r="O7" s="20">
        <v>45926</v>
      </c>
      <c r="P7" s="23">
        <v>0.09</v>
      </c>
      <c r="Q7" s="21">
        <f t="shared" si="0"/>
        <v>31531.6560550459</v>
      </c>
      <c r="R7" s="21"/>
      <c r="S7" s="19" t="s">
        <v>54</v>
      </c>
      <c r="T7" s="4">
        <v>0.09</v>
      </c>
    </row>
    <row r="8" ht="20" customHeight="1" spans="1:20">
      <c r="B8" s="19" t="s">
        <v>4</v>
      </c>
      <c r="C8" s="19"/>
      <c r="D8" s="20"/>
      <c r="E8" s="21"/>
      <c r="F8" s="21"/>
      <c r="G8" s="21"/>
      <c r="H8" s="21"/>
      <c r="I8" s="21">
        <v>948923.39</v>
      </c>
      <c r="J8" s="20">
        <v>46035</v>
      </c>
      <c r="K8" s="21" t="s">
        <v>50</v>
      </c>
      <c r="L8" s="21"/>
      <c r="M8" s="21"/>
      <c r="N8" s="21">
        <v>255682.4</v>
      </c>
      <c r="O8" s="20">
        <v>45992</v>
      </c>
      <c r="P8" s="23">
        <v>0.09</v>
      </c>
      <c r="Q8" s="21">
        <f t="shared" si="0"/>
        <v>21111.3908256881</v>
      </c>
      <c r="R8" s="21"/>
      <c r="S8" s="19"/>
      <c r="T8" s="4">
        <v>0.06</v>
      </c>
    </row>
    <row r="9" ht="20" customHeight="1" spans="1:20">
      <c r="B9" s="19" t="s">
        <v>4</v>
      </c>
      <c r="C9" s="19"/>
      <c r="D9" s="20"/>
      <c r="E9" s="21"/>
      <c r="F9" s="21"/>
      <c r="G9" s="21"/>
      <c r="H9" s="21"/>
      <c r="I9" s="21">
        <v>186760</v>
      </c>
      <c r="J9" s="20">
        <v>46031</v>
      </c>
      <c r="K9" s="21" t="s">
        <v>55</v>
      </c>
      <c r="L9" s="21"/>
      <c r="M9" s="21"/>
      <c r="N9" s="21">
        <v>880000.99</v>
      </c>
      <c r="O9" s="20">
        <v>46021</v>
      </c>
      <c r="P9" s="23">
        <v>0.09</v>
      </c>
      <c r="Q9" s="21">
        <f t="shared" si="0"/>
        <v>72660.6322018349</v>
      </c>
      <c r="R9" s="21"/>
      <c r="S9" s="19"/>
      <c r="T9" s="4">
        <v>0.03</v>
      </c>
    </row>
    <row r="10" ht="20" customHeight="1" spans="1:20">
      <c r="B10" s="19" t="s">
        <v>4</v>
      </c>
      <c r="C10" s="19"/>
      <c r="D10" s="20"/>
      <c r="E10" s="21"/>
      <c r="F10" s="21"/>
      <c r="G10" s="21"/>
      <c r="H10" s="21"/>
      <c r="I10" s="21">
        <v>95300</v>
      </c>
      <c r="J10" s="20">
        <v>46155</v>
      </c>
      <c r="K10" s="21" t="s">
        <v>55</v>
      </c>
      <c r="L10" s="21"/>
      <c r="M10" s="21"/>
      <c r="N10" s="21">
        <v>95300</v>
      </c>
      <c r="O10" s="20">
        <v>46153</v>
      </c>
      <c r="P10" s="23">
        <v>0.09</v>
      </c>
      <c r="Q10" s="21">
        <f t="shared" si="0"/>
        <v>7868.80733944954</v>
      </c>
      <c r="R10" s="21"/>
      <c r="S10" s="19"/>
      <c r="T10" s="4">
        <v>0.01</v>
      </c>
    </row>
    <row r="11" ht="20" customHeight="1" spans="1:20">
      <c r="B11" s="19" t="s">
        <v>4</v>
      </c>
      <c r="C11" s="19"/>
      <c r="D11" s="20"/>
      <c r="E11" s="21"/>
      <c r="F11" s="21"/>
      <c r="G11" s="21"/>
      <c r="H11" s="21"/>
      <c r="I11" s="21">
        <v>280819.79</v>
      </c>
      <c r="J11" s="20">
        <v>46198</v>
      </c>
      <c r="K11" s="21" t="s">
        <v>56</v>
      </c>
      <c r="L11" s="21"/>
      <c r="M11" s="21"/>
      <c r="N11" s="21">
        <v>280819.79</v>
      </c>
      <c r="O11" s="20">
        <v>46191</v>
      </c>
      <c r="P11" s="23">
        <v>0.09</v>
      </c>
      <c r="Q11" s="21">
        <f t="shared" si="0"/>
        <v>23186.9551376147</v>
      </c>
      <c r="R11" s="21"/>
      <c r="S11" s="19"/>
    </row>
    <row r="12" ht="20" customHeight="1" spans="1:20">
      <c r="B12" s="19" t="s">
        <v>4</v>
      </c>
      <c r="C12" s="19"/>
      <c r="D12" s="20"/>
      <c r="E12" s="21"/>
      <c r="F12" s="21"/>
      <c r="G12" s="21"/>
      <c r="H12" s="21"/>
      <c r="I12" s="21"/>
      <c r="J12" s="20"/>
      <c r="K12" s="21"/>
      <c r="L12" s="21"/>
      <c r="M12" s="21"/>
      <c r="N12" s="21"/>
      <c r="O12" s="20"/>
      <c r="P12" s="23"/>
      <c r="Q12" s="21">
        <f t="shared" si="0"/>
        <v>0</v>
      </c>
      <c r="R12" s="21"/>
      <c r="S12" s="19"/>
    </row>
    <row r="13" ht="20" customHeight="1" spans="1:20">
      <c r="B13" s="19" t="s">
        <v>4</v>
      </c>
      <c r="C13" s="19"/>
      <c r="D13" s="20"/>
      <c r="E13" s="21"/>
      <c r="F13" s="21"/>
      <c r="G13" s="21"/>
      <c r="H13" s="21"/>
      <c r="I13" s="21"/>
      <c r="J13" s="20"/>
      <c r="K13" s="21"/>
      <c r="L13" s="21"/>
      <c r="M13" s="21"/>
      <c r="N13" s="21"/>
      <c r="O13" s="20"/>
      <c r="P13" s="23"/>
      <c r="Q13" s="21"/>
      <c r="R13" s="21"/>
      <c r="S13" s="19"/>
    </row>
    <row r="14" ht="20" customHeight="1" spans="1:20">
      <c r="B14" s="19" t="s">
        <v>4</v>
      </c>
      <c r="C14" s="19"/>
      <c r="D14" s="20"/>
      <c r="E14" s="21"/>
      <c r="F14" s="21"/>
      <c r="G14" s="21"/>
      <c r="H14" s="21"/>
      <c r="I14" s="21"/>
      <c r="J14" s="20"/>
      <c r="K14" s="21"/>
      <c r="L14" s="21"/>
      <c r="M14" s="21"/>
      <c r="N14" s="21"/>
      <c r="O14" s="20"/>
      <c r="P14" s="23"/>
      <c r="Q14" s="21"/>
      <c r="R14" s="21"/>
      <c r="S14" s="19"/>
    </row>
    <row r="15" ht="20" customHeight="1" spans="1:20">
      <c r="B15" s="19" t="s">
        <v>4</v>
      </c>
      <c r="C15" s="19"/>
      <c r="D15" s="20"/>
      <c r="E15" s="21"/>
      <c r="F15" s="21"/>
      <c r="G15" s="21"/>
      <c r="H15" s="21"/>
      <c r="I15" s="21"/>
      <c r="J15" s="20"/>
      <c r="K15" s="21"/>
      <c r="L15" s="21"/>
      <c r="M15" s="21"/>
      <c r="N15" s="21"/>
      <c r="O15" s="20"/>
      <c r="P15" s="23"/>
      <c r="Q15" s="21"/>
      <c r="R15" s="21"/>
      <c r="S15" s="19"/>
    </row>
    <row r="16" ht="20" customHeight="1" spans="1:20">
      <c r="J16" s="2"/>
    </row>
    <row r="17" ht="20" customHeight="1" spans="10:10">
      <c r="J17" s="2"/>
    </row>
    <row r="18" ht="20" customHeight="1" spans="10:10">
      <c r="J18" s="2"/>
    </row>
    <row r="19" ht="20" customHeight="1" spans="10:10">
      <c r="J19" s="2"/>
    </row>
    <row r="20" ht="20" customHeight="1" spans="10:10">
      <c r="J20" s="2"/>
    </row>
    <row r="21" ht="20" customHeight="1" spans="10:10">
      <c r="J21" s="2"/>
    </row>
    <row r="22" ht="20" customHeight="1" spans="10:10">
      <c r="J22" s="2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63">
      <formula1>$T$6:$T$10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B3" workbookViewId="0">
      <selection activeCell="H7" sqref="H7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1.725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8" width="12.8166666666667" style="3"/>
    <col min="19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8"/>
      <c r="R3" s="8"/>
      <c r="S3" s="6"/>
    </row>
    <row r="4" s="1" customFormat="1" ht="23" customHeight="1" spans="1:20">
      <c r="D4" s="2"/>
      <c r="E4" s="3"/>
      <c r="F4" s="24"/>
      <c r="G4" s="25"/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  <c r="Q4" s="3"/>
      <c r="R4" s="3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 t="s">
        <v>6</v>
      </c>
      <c r="C6" s="19" t="s">
        <v>7</v>
      </c>
      <c r="D6" s="20">
        <v>25</v>
      </c>
      <c r="E6" s="21"/>
      <c r="F6" s="21">
        <v>695372.72</v>
      </c>
      <c r="G6" s="21"/>
      <c r="H6" s="22" cm="1">
        <f t="array" ref="H6">SUMPRODUCT(E6:E11+F6:F11+G6:G11)</f>
        <v>695372.72</v>
      </c>
      <c r="I6" s="21">
        <v>281148</v>
      </c>
      <c r="J6" s="20">
        <v>45910</v>
      </c>
      <c r="K6" s="21" t="s">
        <v>50</v>
      </c>
      <c r="L6" s="21"/>
      <c r="M6" s="21"/>
      <c r="N6" s="21">
        <v>281148</v>
      </c>
      <c r="O6" s="20">
        <v>45875</v>
      </c>
      <c r="P6" s="23">
        <v>0.09</v>
      </c>
      <c r="Q6" s="21">
        <f>N6/(1+P6)*P6</f>
        <v>23214.0550458716</v>
      </c>
      <c r="R6" s="21" cm="1">
        <f t="array" ref="R6">SUMPRODUCT(F6:F15-N6:N15)</f>
        <v>133076.72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>
        <v>281148</v>
      </c>
      <c r="J7" s="20">
        <v>46034</v>
      </c>
      <c r="K7" s="21" t="s">
        <v>57</v>
      </c>
      <c r="L7" s="21"/>
      <c r="M7" s="21"/>
      <c r="N7" s="21">
        <v>281148</v>
      </c>
      <c r="O7" s="20">
        <v>46002</v>
      </c>
      <c r="P7" s="23">
        <v>0.09</v>
      </c>
      <c r="Q7" s="21">
        <f>N7/(1+P7)*P7</f>
        <v>23214.0550458716</v>
      </c>
      <c r="R7" s="21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21"/>
      <c r="R8" s="21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21"/>
      <c r="R9" s="21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21"/>
      <c r="R10" s="21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21"/>
      <c r="R11" s="21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  <c r="Q12" s="3"/>
      <c r="R12" s="3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  <c r="Q13" s="3"/>
      <c r="R13" s="3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  <c r="Q14" s="3"/>
      <c r="R14" s="3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  <c r="Q15" s="3"/>
      <c r="R15" s="3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  <c r="Q16" s="3"/>
      <c r="R16" s="3"/>
    </row>
    <row r="17" s="1" customFormat="1" ht="20" customHeight="1" spans="4:18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  <c r="Q17" s="3"/>
      <c r="R17" s="3"/>
    </row>
    <row r="18" s="1" customFormat="1" ht="20" customHeight="1" spans="4:18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  <c r="Q18" s="3"/>
      <c r="R18" s="3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G3" workbookViewId="0">
      <selection activeCell="Q16" sqref="Q16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8" width="12.8166666666667" style="3"/>
    <col min="19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8"/>
      <c r="R3" s="8"/>
      <c r="S3" s="6"/>
    </row>
    <row r="4" s="1" customFormat="1" ht="23" customHeight="1" spans="1:20">
      <c r="D4" s="2"/>
      <c r="E4" s="3"/>
      <c r="F4" s="24"/>
      <c r="G4" s="25"/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  <c r="Q4" s="3"/>
      <c r="R4" s="3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/>
      <c r="C6" s="19" t="s">
        <v>7</v>
      </c>
      <c r="D6" s="20">
        <v>25</v>
      </c>
      <c r="E6" s="21"/>
      <c r="F6" s="21">
        <v>576200</v>
      </c>
      <c r="G6" s="21"/>
      <c r="H6" s="22" cm="1">
        <f t="array" ref="H6">SUMPRODUCT(E6:E11+F6:F11+G6:G11)</f>
        <v>960000</v>
      </c>
      <c r="I6" s="21">
        <v>248591.7</v>
      </c>
      <c r="J6" s="20">
        <v>46066</v>
      </c>
      <c r="K6" s="21" t="s">
        <v>50</v>
      </c>
      <c r="L6" s="21"/>
      <c r="M6" s="21"/>
      <c r="N6" s="21">
        <v>248591.7</v>
      </c>
      <c r="O6" s="20">
        <v>46064</v>
      </c>
      <c r="P6" s="23">
        <v>0.13</v>
      </c>
      <c r="Q6" s="21">
        <f t="shared" ref="Q6:Q11" si="0">N6/(1+P6)*P6</f>
        <v>28599.0451327434</v>
      </c>
      <c r="R6" s="21" cm="1">
        <f t="array" ref="R6">SUMPRODUCT(F6:F15-N6:N15)</f>
        <v>289406.17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>
        <v>383800</v>
      </c>
      <c r="G7" s="21"/>
      <c r="H7" s="21"/>
      <c r="I7" s="21">
        <v>211477</v>
      </c>
      <c r="J7" s="20">
        <v>46141</v>
      </c>
      <c r="K7" s="21" t="s">
        <v>55</v>
      </c>
      <c r="L7" s="21"/>
      <c r="M7" s="21"/>
      <c r="N7" s="21"/>
      <c r="O7" s="20"/>
      <c r="P7" s="23"/>
      <c r="Q7" s="21">
        <f t="shared" si="0"/>
        <v>0</v>
      </c>
      <c r="R7" s="21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>
        <v>98825.9</v>
      </c>
      <c r="J8" s="20">
        <v>46141</v>
      </c>
      <c r="K8" s="21" t="s">
        <v>50</v>
      </c>
      <c r="L8" s="21"/>
      <c r="M8" s="21"/>
      <c r="N8" s="21">
        <v>98825.9</v>
      </c>
      <c r="O8" s="20">
        <v>46141</v>
      </c>
      <c r="P8" s="23">
        <v>0.13</v>
      </c>
      <c r="Q8" s="21">
        <f t="shared" si="0"/>
        <v>11369.3513274336</v>
      </c>
      <c r="R8" s="21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>
        <v>57183</v>
      </c>
      <c r="J9" s="20">
        <v>46189</v>
      </c>
      <c r="K9" s="21" t="s">
        <v>55</v>
      </c>
      <c r="L9" s="21"/>
      <c r="M9" s="21"/>
      <c r="N9" s="21">
        <v>54516.23</v>
      </c>
      <c r="O9" s="20">
        <v>46199</v>
      </c>
      <c r="P9" s="23">
        <v>0.13</v>
      </c>
      <c r="Q9" s="21">
        <f t="shared" si="0"/>
        <v>6271.77867256637</v>
      </c>
      <c r="R9" s="21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>
        <v>54516.23</v>
      </c>
      <c r="J10" s="20">
        <v>46232</v>
      </c>
      <c r="K10" s="21" t="s">
        <v>50</v>
      </c>
      <c r="L10" s="21"/>
      <c r="M10" s="21"/>
      <c r="N10" s="21">
        <v>57183</v>
      </c>
      <c r="O10" s="20">
        <v>46184</v>
      </c>
      <c r="P10" s="23">
        <v>0.03</v>
      </c>
      <c r="Q10" s="21">
        <f t="shared" si="0"/>
        <v>1665.52427184466</v>
      </c>
      <c r="R10" s="21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>
        <v>211477</v>
      </c>
      <c r="O11" s="20">
        <v>46141</v>
      </c>
      <c r="P11" s="23">
        <v>0.03</v>
      </c>
      <c r="Q11" s="21">
        <f t="shared" si="0"/>
        <v>6159.52427184466</v>
      </c>
      <c r="R11" s="21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  <c r="Q12" s="3"/>
      <c r="R12" s="3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  <c r="Q13" s="3"/>
      <c r="R13" s="3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  <c r="Q14" s="3"/>
      <c r="R14" s="3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  <c r="Q15" s="3"/>
      <c r="R15" s="3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  <c r="Q16" s="3"/>
      <c r="R16" s="3"/>
    </row>
    <row r="17" s="1" customFormat="1" ht="20" customHeight="1" spans="4:18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  <c r="Q17" s="3"/>
      <c r="R17" s="3"/>
    </row>
    <row r="18" s="1" customFormat="1" ht="20" customHeight="1" spans="4:18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  <c r="Q18" s="3"/>
      <c r="R18" s="3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G3" workbookViewId="0">
      <selection activeCell="J4" sqref="J4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8" width="9.54166666666667" style="3"/>
    <col min="19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8"/>
      <c r="R3" s="8"/>
      <c r="S3" s="6"/>
    </row>
    <row r="4" s="1" customFormat="1" ht="23" customHeight="1" spans="1:20">
      <c r="D4" s="2"/>
      <c r="E4" s="3"/>
      <c r="F4" s="11" t="s">
        <v>58</v>
      </c>
      <c r="G4" s="12">
        <f>SUM(G6:G32)</f>
        <v>0</v>
      </c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  <c r="Q4" s="3"/>
      <c r="R4" s="3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 t="s">
        <v>9</v>
      </c>
      <c r="C6" s="19" t="s">
        <v>7</v>
      </c>
      <c r="D6" s="20">
        <v>46235</v>
      </c>
      <c r="E6" s="21"/>
      <c r="F6" s="21">
        <v>64000</v>
      </c>
      <c r="G6" s="21"/>
      <c r="H6" s="22">
        <f>F6+E6+G4-M6</f>
        <v>64000</v>
      </c>
      <c r="I6" s="21">
        <v>51200</v>
      </c>
      <c r="J6" s="20">
        <v>46262</v>
      </c>
      <c r="K6" s="21" t="s">
        <v>50</v>
      </c>
      <c r="L6" s="21"/>
      <c r="M6" s="21"/>
      <c r="N6" s="21">
        <v>51200</v>
      </c>
      <c r="O6" s="20">
        <v>46248</v>
      </c>
      <c r="P6" s="23">
        <v>0.09</v>
      </c>
      <c r="Q6" s="21">
        <f t="shared" ref="Q6:Q11" si="0">N6/(1+P6)*P6</f>
        <v>4227.52293577982</v>
      </c>
      <c r="R6" s="21" cm="1">
        <f t="array" ref="R6">SUMPRODUCT(F6:F15-N6:N15)</f>
        <v>12800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/>
      <c r="J7" s="20"/>
      <c r="K7" s="21"/>
      <c r="L7" s="21"/>
      <c r="M7" s="21"/>
      <c r="N7" s="21"/>
      <c r="O7" s="20"/>
      <c r="P7" s="23"/>
      <c r="Q7" s="21">
        <f t="shared" si="0"/>
        <v>0</v>
      </c>
      <c r="R7" s="21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21">
        <f t="shared" si="0"/>
        <v>0</v>
      </c>
      <c r="R8" s="21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21">
        <f t="shared" si="0"/>
        <v>0</v>
      </c>
      <c r="R9" s="21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21">
        <f t="shared" si="0"/>
        <v>0</v>
      </c>
      <c r="R10" s="21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21">
        <f t="shared" si="0"/>
        <v>0</v>
      </c>
      <c r="R11" s="21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  <c r="Q12" s="3"/>
      <c r="R12" s="3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  <c r="Q13" s="3"/>
      <c r="R13" s="3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  <c r="Q14" s="3"/>
      <c r="R14" s="3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  <c r="Q15" s="3"/>
      <c r="R15" s="3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  <c r="Q16" s="3"/>
      <c r="R16" s="3"/>
    </row>
    <row r="17" s="1" customFormat="1" ht="20" customHeight="1" spans="4:18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  <c r="Q17" s="3"/>
      <c r="R17" s="3"/>
    </row>
    <row r="18" s="1" customFormat="1" ht="20" customHeight="1" spans="4:18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  <c r="Q18" s="3"/>
      <c r="R18" s="3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G3" workbookViewId="0">
      <selection activeCell="R3" sqref="R$1:R$1048576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7" width="9" style="1"/>
    <col min="18" max="18" width="12" style="1" customWidth="1"/>
    <col min="19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  <c r="S3" s="6"/>
    </row>
    <row r="4" s="1" customFormat="1" ht="23" customHeight="1" spans="1:20">
      <c r="D4" s="2"/>
      <c r="E4" s="3"/>
      <c r="F4" s="24"/>
      <c r="G4" s="25"/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 t="s">
        <v>10</v>
      </c>
      <c r="C6" s="19" t="s">
        <v>11</v>
      </c>
      <c r="D6" s="20">
        <v>45901</v>
      </c>
      <c r="E6" s="21"/>
      <c r="F6" s="21">
        <v>1641809</v>
      </c>
      <c r="G6" s="21"/>
      <c r="H6" s="22" cm="1">
        <f t="array" ref="H6">SUMPRODUCT(E6:E11+F6:F11+G6:G11)</f>
        <v>1641809</v>
      </c>
      <c r="I6" s="21">
        <v>328361.8</v>
      </c>
      <c r="J6" s="20">
        <v>45968</v>
      </c>
      <c r="K6" s="21" t="s">
        <v>50</v>
      </c>
      <c r="L6" s="21" cm="1">
        <f t="array" ref="L6">SUMPRODUCT(H6:H11-I6:I11)</f>
        <v>493447.2</v>
      </c>
      <c r="M6" s="21"/>
      <c r="N6" s="21">
        <v>328361.8</v>
      </c>
      <c r="O6" s="20">
        <v>45926</v>
      </c>
      <c r="P6" s="23">
        <v>0.09</v>
      </c>
      <c r="Q6" s="19">
        <f t="shared" ref="Q6:Q11" si="0">N6/(1+P6)*P6</f>
        <v>27112.4422018349</v>
      </c>
      <c r="R6" s="21" cm="1">
        <f t="array" ref="R6">SUMPRODUCT(F6:F15-N6:N15)</f>
        <v>493447.2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>
        <v>820000</v>
      </c>
      <c r="J7" s="20">
        <v>46066</v>
      </c>
      <c r="K7" s="21" t="s">
        <v>50</v>
      </c>
      <c r="L7" s="21"/>
      <c r="M7" s="21"/>
      <c r="N7" s="21">
        <v>820000</v>
      </c>
      <c r="O7" s="20">
        <v>46065</v>
      </c>
      <c r="P7" s="23">
        <v>0.09</v>
      </c>
      <c r="Q7" s="19">
        <f t="shared" si="0"/>
        <v>67706.4220183486</v>
      </c>
      <c r="R7" s="19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19">
        <f t="shared" si="0"/>
        <v>0</v>
      </c>
      <c r="R8" s="19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H3" workbookViewId="0">
      <selection activeCell="L6" sqref="L6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8" width="9.54166666666667" style="3"/>
    <col min="19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8"/>
      <c r="R3" s="8"/>
      <c r="S3" s="6"/>
    </row>
    <row r="4" s="1" customFormat="1" ht="23" customHeight="1" spans="1:20">
      <c r="D4" s="2"/>
      <c r="E4" s="3"/>
      <c r="F4" s="24"/>
      <c r="G4" s="25"/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  <c r="Q4" s="3"/>
      <c r="R4" s="3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5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 t="s">
        <v>12</v>
      </c>
      <c r="C6" s="26" t="s">
        <v>13</v>
      </c>
      <c r="D6" s="27">
        <v>45978</v>
      </c>
      <c r="E6" s="28">
        <v>4554</v>
      </c>
      <c r="F6" s="28">
        <v>91006.56</v>
      </c>
      <c r="G6" s="21"/>
      <c r="H6" s="22" cm="1">
        <f t="array" ref="H6">SUMPRODUCT(E6:E11+F6:F11+G6:G11)</f>
        <v>95560.56</v>
      </c>
      <c r="I6" s="21">
        <v>12750</v>
      </c>
      <c r="J6" s="20">
        <v>46191</v>
      </c>
      <c r="K6" s="21" t="s">
        <v>50</v>
      </c>
      <c r="L6" s="21" cm="1">
        <f t="array" ref="L6">SUMPRODUCT(H6:H11-I6:I11)</f>
        <v>7226</v>
      </c>
      <c r="M6" s="21"/>
      <c r="N6" s="21">
        <v>63746.59</v>
      </c>
      <c r="O6" s="20">
        <v>46186</v>
      </c>
      <c r="P6" s="23">
        <v>0.09</v>
      </c>
      <c r="Q6" s="21">
        <f t="shared" ref="Q6:Q11" si="0">N6/(1+P6)*P6</f>
        <v>5263.47990825688</v>
      </c>
      <c r="R6" s="21" cm="1">
        <f t="array" ref="R6">SUMPRODUCT(F6:F15-N6:N15)</f>
        <v>2672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>
        <v>50996.59</v>
      </c>
      <c r="J7" s="20">
        <v>46202</v>
      </c>
      <c r="K7" s="21" t="s">
        <v>56</v>
      </c>
      <c r="L7" s="21"/>
      <c r="M7" s="21"/>
      <c r="N7" s="21">
        <v>24587.97</v>
      </c>
      <c r="O7" s="20">
        <v>46288</v>
      </c>
      <c r="P7" s="23">
        <v>0.09</v>
      </c>
      <c r="Q7" s="21">
        <f t="shared" si="0"/>
        <v>2030.19935779817</v>
      </c>
      <c r="R7" s="21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>
        <v>24587.97</v>
      </c>
      <c r="J8" s="20">
        <v>46295</v>
      </c>
      <c r="K8" s="21" t="s">
        <v>50</v>
      </c>
      <c r="L8" s="21"/>
      <c r="M8" s="21"/>
      <c r="N8" s="21"/>
      <c r="O8" s="20"/>
      <c r="P8" s="23"/>
      <c r="Q8" s="21">
        <f t="shared" si="0"/>
        <v>0</v>
      </c>
      <c r="R8" s="21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21">
        <f t="shared" si="0"/>
        <v>0</v>
      </c>
      <c r="R9" s="21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21">
        <f t="shared" si="0"/>
        <v>0</v>
      </c>
      <c r="R10" s="21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21">
        <f t="shared" si="0"/>
        <v>0</v>
      </c>
      <c r="R11" s="21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  <c r="Q12" s="3"/>
      <c r="R12" s="3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  <c r="Q13" s="3"/>
      <c r="R13" s="3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  <c r="Q14" s="3"/>
      <c r="R14" s="3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  <c r="Q15" s="3"/>
      <c r="R15" s="3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  <c r="Q16" s="3"/>
      <c r="R16" s="3"/>
    </row>
    <row r="17" s="1" customFormat="1" ht="20" customHeight="1" spans="4:18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  <c r="Q17" s="3"/>
      <c r="R17" s="3"/>
    </row>
    <row r="18" s="1" customFormat="1" ht="20" customHeight="1" spans="4:18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  <c r="Q18" s="3"/>
      <c r="R18" s="3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H3" workbookViewId="0">
      <selection activeCell="P14" sqref="P14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7" width="9" style="1"/>
    <col min="18" max="18" width="14.275" style="1" customWidth="1"/>
    <col min="19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  <c r="S3" s="6"/>
    </row>
    <row r="4" s="1" customFormat="1" ht="23" customHeight="1" spans="1:20">
      <c r="D4" s="2"/>
      <c r="E4" s="3"/>
      <c r="F4" s="11" t="s">
        <v>58</v>
      </c>
      <c r="G4" s="12">
        <f>SUM(G6:G32)</f>
        <v>0</v>
      </c>
      <c r="H4" s="3"/>
      <c r="I4" s="3"/>
      <c r="J4" s="3"/>
      <c r="K4" s="3"/>
      <c r="L4" s="3"/>
      <c r="M4" s="3"/>
      <c r="N4" s="3"/>
      <c r="O4" s="2"/>
      <c r="P4" s="4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 t="s">
        <v>14</v>
      </c>
      <c r="C6" s="19" t="s">
        <v>5</v>
      </c>
      <c r="D6" s="20"/>
      <c r="E6" s="21"/>
      <c r="F6" s="21">
        <v>1500000</v>
      </c>
      <c r="G6" s="21"/>
      <c r="H6" s="22">
        <f>F6+E6+G4-M6</f>
        <v>1500000</v>
      </c>
      <c r="I6" s="21">
        <v>250000</v>
      </c>
      <c r="J6" s="20"/>
      <c r="K6" s="21" t="s">
        <v>55</v>
      </c>
      <c r="L6" s="21"/>
      <c r="M6" s="21"/>
      <c r="N6" s="21"/>
      <c r="O6" s="20"/>
      <c r="P6" s="23"/>
      <c r="Q6" s="19">
        <f>N6/(1+P6)*P6</f>
        <v>0</v>
      </c>
      <c r="R6" s="21" cm="1">
        <f t="array" ref="R6">SUMPRODUCT(F6:F15-N6:N15)</f>
        <v>1500000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>
        <v>420000</v>
      </c>
      <c r="J7" s="20"/>
      <c r="K7" s="21" t="s">
        <v>59</v>
      </c>
      <c r="L7" s="21"/>
      <c r="M7" s="21"/>
      <c r="N7" s="21"/>
      <c r="O7" s="20"/>
      <c r="P7" s="23"/>
      <c r="Q7" s="19">
        <f t="shared" ref="Q7:Q12" si="0">N7/(1+P7)*P7</f>
        <v>0</v>
      </c>
      <c r="R7" s="19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19">
        <f t="shared" si="0"/>
        <v>0</v>
      </c>
      <c r="R8" s="19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  <c r="Q12" s="19">
        <f t="shared" si="0"/>
        <v>0</v>
      </c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topLeftCell="B3" workbookViewId="0">
      <selection activeCell="G15" sqref="G15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6384" width="9" style="1"/>
  </cols>
  <sheetData>
    <row r="1" ht="1" hidden="1" customHeight="1"/>
    <row r="2" ht="26" hidden="1" customHeight="1"/>
    <row r="3" s="1" customFormat="1" ht="47" customHeight="1" spans="1:19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</row>
    <row r="4" s="1" customFormat="1" ht="23" customHeight="1" spans="1:19">
      <c r="D4" s="2"/>
      <c r="E4" s="3"/>
      <c r="F4" s="11" t="s">
        <v>58</v>
      </c>
      <c r="G4" s="12">
        <f>SUM(G6:G32)</f>
        <v>0</v>
      </c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</row>
    <row r="5" s="1" customFormat="1" ht="15" spans="1:19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31</v>
      </c>
      <c r="S5" s="1" t="s">
        <v>49</v>
      </c>
    </row>
    <row r="6" s="1" customFormat="1" ht="20" customHeight="1" spans="1:19">
      <c r="B6" s="19" t="s">
        <v>20</v>
      </c>
      <c r="C6" s="19" t="s">
        <v>60</v>
      </c>
      <c r="D6" s="20"/>
      <c r="E6" s="21"/>
      <c r="F6" s="21">
        <v>85738</v>
      </c>
      <c r="G6" s="21"/>
      <c r="H6" s="22">
        <f>F6+E6+G4-M6</f>
        <v>85738</v>
      </c>
      <c r="I6" s="21">
        <v>85738</v>
      </c>
      <c r="J6" s="20">
        <v>45623</v>
      </c>
      <c r="K6" s="21" t="s">
        <v>50</v>
      </c>
      <c r="L6" s="21"/>
      <c r="M6" s="21"/>
      <c r="N6" s="21">
        <v>85738</v>
      </c>
      <c r="O6" s="20">
        <v>45623</v>
      </c>
      <c r="P6" s="23">
        <v>0.09</v>
      </c>
      <c r="Q6" s="19">
        <f t="shared" ref="Q6:Q11" si="0">N6/(1+P6)*P6</f>
        <v>7079.28440366972</v>
      </c>
      <c r="R6" s="19"/>
      <c r="S6" s="4">
        <v>0.13</v>
      </c>
    </row>
    <row r="7" s="1" customFormat="1" ht="20" customHeight="1" spans="1:19">
      <c r="B7" s="19"/>
      <c r="C7" s="19"/>
      <c r="D7" s="20"/>
      <c r="E7" s="21"/>
      <c r="F7" s="21"/>
      <c r="G7" s="21"/>
      <c r="H7" s="21"/>
      <c r="I7" s="21"/>
      <c r="J7" s="20"/>
      <c r="K7" s="21"/>
      <c r="L7" s="21"/>
      <c r="M7" s="21"/>
      <c r="N7" s="21"/>
      <c r="O7" s="20"/>
      <c r="P7" s="23"/>
      <c r="Q7" s="19">
        <f t="shared" si="0"/>
        <v>0</v>
      </c>
      <c r="R7" s="19"/>
      <c r="S7" s="4">
        <v>0.09</v>
      </c>
    </row>
    <row r="8" s="1" customFormat="1" ht="20" customHeight="1" spans="1:19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19">
        <f t="shared" si="0"/>
        <v>0</v>
      </c>
      <c r="R8" s="19"/>
      <c r="S8" s="4">
        <v>0.06</v>
      </c>
    </row>
    <row r="9" s="1" customFormat="1" ht="20" customHeight="1" spans="1:19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4">
        <v>0.03</v>
      </c>
    </row>
    <row r="10" s="1" customFormat="1" ht="20" customHeight="1" spans="1:19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4">
        <v>0.01</v>
      </c>
    </row>
    <row r="11" s="1" customFormat="1" ht="20" customHeight="1" spans="1:19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</row>
    <row r="12" s="1" customFormat="1" ht="20" customHeight="1" spans="1:19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</row>
    <row r="13" s="1" customFormat="1" ht="20" customHeight="1" spans="1:19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19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19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19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$S$6:$S$10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topLeftCell="B3" workbookViewId="0">
      <selection activeCell="K10" sqref="K10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6384" width="9" style="1"/>
  </cols>
  <sheetData>
    <row r="1" ht="1" hidden="1" customHeight="1"/>
    <row r="2" ht="26" hidden="1" customHeight="1"/>
    <row r="3" s="1" customFormat="1" ht="47" customHeight="1" spans="1:19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</row>
    <row r="4" s="1" customFormat="1" ht="23" customHeight="1" spans="1:19">
      <c r="D4" s="2"/>
      <c r="E4" s="3"/>
      <c r="F4" s="11" t="s">
        <v>58</v>
      </c>
      <c r="G4" s="12">
        <f>SUM(G6:G32)</f>
        <v>0</v>
      </c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</row>
    <row r="5" s="1" customFormat="1" ht="15" spans="1:19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31</v>
      </c>
      <c r="S5" s="1" t="s">
        <v>49</v>
      </c>
    </row>
    <row r="6" s="1" customFormat="1" ht="20" customHeight="1" spans="1:19">
      <c r="B6" s="19" t="s">
        <v>19</v>
      </c>
      <c r="C6" s="19" t="s">
        <v>60</v>
      </c>
      <c r="D6" s="20"/>
      <c r="E6" s="21"/>
      <c r="F6" s="21">
        <v>600000</v>
      </c>
      <c r="G6" s="21"/>
      <c r="H6" s="22">
        <f>F6+E6+G4-M6</f>
        <v>600000</v>
      </c>
      <c r="I6" s="21">
        <v>300000</v>
      </c>
      <c r="J6" s="20">
        <v>45446</v>
      </c>
      <c r="K6" s="21" t="s">
        <v>50</v>
      </c>
      <c r="L6" s="21"/>
      <c r="M6" s="21"/>
      <c r="N6" s="21">
        <v>300000</v>
      </c>
      <c r="O6" s="20">
        <v>45446</v>
      </c>
      <c r="P6" s="23">
        <v>0.09</v>
      </c>
      <c r="Q6" s="19">
        <f t="shared" ref="Q6:Q11" si="0">N6/(1+P6)*P6</f>
        <v>24770.6422018349</v>
      </c>
      <c r="R6" s="19"/>
      <c r="S6" s="4">
        <v>0.13</v>
      </c>
    </row>
    <row r="7" s="1" customFormat="1" ht="20" customHeight="1" spans="1:19">
      <c r="B7" s="19"/>
      <c r="C7" s="19"/>
      <c r="D7" s="20"/>
      <c r="E7" s="21"/>
      <c r="F7" s="21"/>
      <c r="G7" s="21"/>
      <c r="H7" s="21"/>
      <c r="I7" s="21">
        <v>180000</v>
      </c>
      <c r="J7" s="20">
        <v>45534</v>
      </c>
      <c r="K7" s="21" t="s">
        <v>50</v>
      </c>
      <c r="L7" s="21"/>
      <c r="M7" s="21"/>
      <c r="N7" s="21">
        <v>180000</v>
      </c>
      <c r="O7" s="20">
        <v>45534</v>
      </c>
      <c r="P7" s="23">
        <v>0.09</v>
      </c>
      <c r="Q7" s="19">
        <f t="shared" si="0"/>
        <v>14862.3853211009</v>
      </c>
      <c r="R7" s="19"/>
      <c r="S7" s="4">
        <v>0.09</v>
      </c>
    </row>
    <row r="8" s="1" customFormat="1" ht="20" customHeight="1" spans="1:19">
      <c r="B8" s="19"/>
      <c r="C8" s="19"/>
      <c r="D8" s="20"/>
      <c r="E8" s="21"/>
      <c r="F8" s="21"/>
      <c r="G8" s="21"/>
      <c r="H8" s="21"/>
      <c r="I8" s="21">
        <v>120000</v>
      </c>
      <c r="J8" s="20">
        <v>46226</v>
      </c>
      <c r="K8" s="21" t="s">
        <v>50</v>
      </c>
      <c r="L8" s="21"/>
      <c r="M8" s="21"/>
      <c r="N8" s="21">
        <v>120000</v>
      </c>
      <c r="O8" s="20">
        <v>46190</v>
      </c>
      <c r="P8" s="23">
        <v>0.09</v>
      </c>
      <c r="Q8" s="19">
        <f t="shared" si="0"/>
        <v>9908.25688073394</v>
      </c>
      <c r="R8" s="19"/>
      <c r="S8" s="4">
        <v>0.06</v>
      </c>
    </row>
    <row r="9" s="1" customFormat="1" ht="20" customHeight="1" spans="1:19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4">
        <v>0.03</v>
      </c>
    </row>
    <row r="10" s="1" customFormat="1" ht="20" customHeight="1" spans="1:19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4">
        <v>0.01</v>
      </c>
    </row>
    <row r="11" s="1" customFormat="1" ht="20" customHeight="1" spans="1:19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</row>
    <row r="12" s="1" customFormat="1" ht="20" customHeight="1" spans="1:19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</row>
    <row r="13" s="1" customFormat="1" ht="20" customHeight="1" spans="1:19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19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19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19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$S$6:$S$10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B3" workbookViewId="0">
      <selection activeCell="Q14" sqref="Q14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7" width="9" style="1"/>
    <col min="18" max="18" width="12.275" style="1" customWidth="1"/>
    <col min="19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  <c r="S3" s="6"/>
    </row>
    <row r="4" s="1" customFormat="1" ht="23" customHeight="1" spans="1:20">
      <c r="D4" s="2"/>
      <c r="E4" s="3"/>
      <c r="F4" s="11" t="s">
        <v>58</v>
      </c>
      <c r="G4" s="12">
        <f>SUM(G6:G32)</f>
        <v>0</v>
      </c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 t="s">
        <v>61</v>
      </c>
      <c r="C6" s="19" t="s">
        <v>16</v>
      </c>
      <c r="D6" s="20">
        <v>46015</v>
      </c>
      <c r="E6" s="21"/>
      <c r="F6" s="21">
        <v>325612.18</v>
      </c>
      <c r="G6" s="21"/>
      <c r="H6" s="22">
        <f>F6+E6+G4-M6</f>
        <v>325612.18</v>
      </c>
      <c r="I6" s="21">
        <v>227000</v>
      </c>
      <c r="J6" s="20">
        <v>46067</v>
      </c>
      <c r="K6" s="21"/>
      <c r="L6" s="21"/>
      <c r="M6" s="21"/>
      <c r="N6" s="21">
        <v>227000</v>
      </c>
      <c r="O6" s="20">
        <v>46063</v>
      </c>
      <c r="P6" s="23">
        <v>0.09</v>
      </c>
      <c r="Q6" s="19">
        <f t="shared" ref="Q6:Q11" si="0">N6/(1+P6)*P6</f>
        <v>18743.119266055</v>
      </c>
      <c r="R6" s="21" cm="1">
        <f t="array" ref="R6">SUMPRODUCT(F6:F15-N6:N15)</f>
        <v>38612.18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/>
      <c r="J7" s="20"/>
      <c r="K7" s="21"/>
      <c r="L7" s="21"/>
      <c r="M7" s="21"/>
      <c r="N7" s="21">
        <v>60000</v>
      </c>
      <c r="O7" s="20">
        <v>46294</v>
      </c>
      <c r="P7" s="23">
        <v>0.09</v>
      </c>
      <c r="Q7" s="19">
        <f t="shared" si="0"/>
        <v>4954.12844036697</v>
      </c>
      <c r="R7" s="19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19">
        <f t="shared" si="0"/>
        <v>0</v>
      </c>
      <c r="R8" s="19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F3" workbookViewId="0">
      <selection activeCell="J4" sqref="J4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  <c r="S3" s="6"/>
    </row>
    <row r="4" s="1" customFormat="1" ht="23" customHeight="1" spans="1:20">
      <c r="D4" s="2"/>
      <c r="E4" s="3"/>
      <c r="F4" s="11" t="s">
        <v>58</v>
      </c>
      <c r="G4" s="12">
        <f>SUM(G6:G32)</f>
        <v>0</v>
      </c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 t="s">
        <v>17</v>
      </c>
      <c r="C6" s="19" t="s">
        <v>18</v>
      </c>
      <c r="D6" s="20"/>
      <c r="E6" s="21"/>
      <c r="F6" s="21">
        <v>8992</v>
      </c>
      <c r="G6" s="21"/>
      <c r="H6" s="22">
        <f>F6+E6+G4-M6</f>
        <v>8992</v>
      </c>
      <c r="I6" s="21">
        <v>8992</v>
      </c>
      <c r="J6" s="20">
        <v>46279</v>
      </c>
      <c r="K6" s="21" t="s">
        <v>50</v>
      </c>
      <c r="L6" s="21"/>
      <c r="M6" s="21"/>
      <c r="N6" s="21">
        <v>8992</v>
      </c>
      <c r="O6" s="20">
        <v>46184</v>
      </c>
      <c r="P6" s="23">
        <v>0.09</v>
      </c>
      <c r="Q6" s="19">
        <f t="shared" ref="Q6:Q11" si="0">N6/(1+P6)*P6</f>
        <v>742.45871559633</v>
      </c>
      <c r="R6" s="21" cm="1">
        <f t="array" ref="R6">SUMPRODUCT(F6:F15-N6:N15)</f>
        <v>0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/>
      <c r="J7" s="20"/>
      <c r="K7" s="21"/>
      <c r="L7" s="21"/>
      <c r="M7" s="21"/>
      <c r="N7" s="21"/>
      <c r="O7" s="20"/>
      <c r="P7" s="23"/>
      <c r="Q7" s="19">
        <f t="shared" si="0"/>
        <v>0</v>
      </c>
      <c r="R7" s="19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19">
        <f t="shared" si="0"/>
        <v>0</v>
      </c>
      <c r="R8" s="19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G3" workbookViewId="0">
      <selection activeCell="J4" sqref="J4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  <c r="S3" s="6"/>
    </row>
    <row r="4" s="1" customFormat="1" ht="23" customHeight="1" spans="1:20">
      <c r="D4" s="2"/>
      <c r="E4" s="3"/>
      <c r="F4" s="11" t="s">
        <v>58</v>
      </c>
      <c r="G4" s="12">
        <f>SUM(G6:G32)</f>
        <v>0</v>
      </c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/>
      <c r="C6" s="19"/>
      <c r="D6" s="20"/>
      <c r="E6" s="21"/>
      <c r="F6" s="21"/>
      <c r="G6" s="21"/>
      <c r="H6" s="22">
        <f>F6+E6+G4-M6</f>
        <v>0</v>
      </c>
      <c r="I6" s="21"/>
      <c r="J6" s="20"/>
      <c r="K6" s="21"/>
      <c r="L6" s="21"/>
      <c r="M6" s="21"/>
      <c r="N6" s="21"/>
      <c r="O6" s="20"/>
      <c r="P6" s="23"/>
      <c r="Q6" s="19">
        <f t="shared" ref="Q6:Q11" si="0">N6/(1+P6)*P6</f>
        <v>0</v>
      </c>
      <c r="R6" s="21" cm="1">
        <f t="array" ref="R6">SUMPRODUCT(F6:F15-N6:N15)</f>
        <v>0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/>
      <c r="J7" s="20"/>
      <c r="K7" s="21"/>
      <c r="L7" s="21"/>
      <c r="M7" s="21"/>
      <c r="N7" s="21"/>
      <c r="O7" s="20"/>
      <c r="P7" s="23"/>
      <c r="Q7" s="19">
        <f t="shared" si="0"/>
        <v>0</v>
      </c>
      <c r="R7" s="19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19">
        <f t="shared" si="0"/>
        <v>0</v>
      </c>
      <c r="R8" s="19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topLeftCell="B3" workbookViewId="0">
      <selection activeCell="H13" sqref="H13"/>
    </sheetView>
  </sheetViews>
  <sheetFormatPr defaultColWidth="9" defaultRowHeight="13.5"/>
  <cols>
    <col min="1" max="1" width="9" style="1" hidden="1" customWidth="1"/>
    <col min="2" max="2" width="20.375" style="1" customWidth="1"/>
    <col min="3" max="3" width="25.0916666666667" style="1" customWidth="1"/>
    <col min="4" max="4" width="11.725" style="2" customWidth="1"/>
    <col min="5" max="5" width="10" style="3" customWidth="1"/>
    <col min="6" max="6" width="15.9083333333333" style="3" customWidth="1"/>
    <col min="7" max="7" width="14.5" style="3" customWidth="1"/>
    <col min="8" max="8" width="18.6333333333333" style="3" customWidth="1"/>
    <col min="9" max="9" width="15.1833333333333" style="3" customWidth="1"/>
    <col min="10" max="10" width="12.5" style="3" customWidth="1"/>
    <col min="11" max="11" width="12.375" style="3" customWidth="1"/>
    <col min="12" max="14" width="13.125" style="3" customWidth="1"/>
    <col min="15" max="15" width="13.125" style="2" customWidth="1"/>
    <col min="16" max="16" width="13.125" style="4" customWidth="1"/>
    <col min="17" max="16384" width="9" style="1"/>
  </cols>
  <sheetData>
    <row r="1" ht="1" hidden="1" customHeight="1"/>
    <row r="2" ht="26" hidden="1" customHeight="1"/>
    <row r="3" s="1" customFormat="1" ht="47" customHeight="1" spans="1:20">
      <c r="A3" s="5" t="s">
        <v>32</v>
      </c>
      <c r="B3" s="5" t="s">
        <v>33</v>
      </c>
      <c r="C3" s="6"/>
      <c r="D3" s="7"/>
      <c r="E3" s="8"/>
      <c r="F3" s="8"/>
      <c r="G3" s="9"/>
      <c r="H3" s="8"/>
      <c r="I3" s="9"/>
      <c r="J3" s="8"/>
      <c r="K3" s="8"/>
      <c r="L3" s="9"/>
      <c r="M3" s="9"/>
      <c r="N3" s="9"/>
      <c r="O3" s="7"/>
      <c r="P3" s="10"/>
      <c r="Q3" s="6"/>
      <c r="R3" s="6"/>
      <c r="S3" s="6"/>
    </row>
    <row r="4" s="1" customFormat="1" ht="23" customHeight="1" spans="1:20">
      <c r="D4" s="2"/>
      <c r="E4" s="3"/>
      <c r="F4" s="11"/>
      <c r="G4" s="12"/>
      <c r="H4" s="3"/>
      <c r="I4" s="3"/>
      <c r="J4" s="3" t="str">
        <f>HYPERLINK("#总表！A3","返回总表")</f>
        <v>返回总表</v>
      </c>
      <c r="K4" s="3"/>
      <c r="L4" s="3"/>
      <c r="M4" s="3"/>
      <c r="N4" s="3"/>
      <c r="O4" s="2"/>
      <c r="P4" s="4"/>
    </row>
    <row r="5" s="1" customFormat="1" ht="15" spans="1:20">
      <c r="A5" s="13" t="s">
        <v>34</v>
      </c>
      <c r="B5" s="13" t="s">
        <v>0</v>
      </c>
      <c r="C5" s="14" t="s">
        <v>1</v>
      </c>
      <c r="D5" s="14" t="s">
        <v>35</v>
      </c>
      <c r="E5" s="14" t="s">
        <v>36</v>
      </c>
      <c r="F5" s="15" t="s">
        <v>37</v>
      </c>
      <c r="G5" s="15" t="s">
        <v>38</v>
      </c>
      <c r="H5" s="15" t="s">
        <v>39</v>
      </c>
      <c r="I5" s="15" t="s">
        <v>40</v>
      </c>
      <c r="J5" s="15" t="s">
        <v>41</v>
      </c>
      <c r="K5" s="15" t="s">
        <v>42</v>
      </c>
      <c r="L5" s="14" t="s">
        <v>43</v>
      </c>
      <c r="M5" s="15" t="s">
        <v>44</v>
      </c>
      <c r="N5" s="15" t="s">
        <v>45</v>
      </c>
      <c r="O5" s="16" t="s">
        <v>46</v>
      </c>
      <c r="P5" s="17" t="s">
        <v>29</v>
      </c>
      <c r="Q5" s="18" t="s">
        <v>47</v>
      </c>
      <c r="R5" s="18" t="s">
        <v>30</v>
      </c>
      <c r="S5" s="18" t="s">
        <v>31</v>
      </c>
      <c r="T5" s="1" t="s">
        <v>49</v>
      </c>
    </row>
    <row r="6" s="1" customFormat="1" ht="20" customHeight="1" spans="1:20">
      <c r="B6" s="19"/>
      <c r="C6" s="19"/>
      <c r="D6" s="20"/>
      <c r="E6" s="21"/>
      <c r="F6" s="21"/>
      <c r="G6" s="21"/>
      <c r="H6" s="22">
        <f>F6+E6+G4-M6</f>
        <v>0</v>
      </c>
      <c r="I6" s="21"/>
      <c r="J6" s="20"/>
      <c r="K6" s="21"/>
      <c r="L6" s="21"/>
      <c r="M6" s="21"/>
      <c r="N6" s="21"/>
      <c r="O6" s="20"/>
      <c r="P6" s="23"/>
      <c r="Q6" s="19">
        <f t="shared" ref="Q6:Q11" si="0">N6/(1+P6)*P6</f>
        <v>0</v>
      </c>
      <c r="R6" s="21" cm="1">
        <f t="array" ref="R6">SUMPRODUCT(F6:F15-N6:N15)</f>
        <v>0</v>
      </c>
      <c r="S6" s="19"/>
      <c r="T6" s="4">
        <v>0.13</v>
      </c>
    </row>
    <row r="7" s="1" customFormat="1" ht="20" customHeight="1" spans="1:20">
      <c r="B7" s="19"/>
      <c r="C7" s="19"/>
      <c r="D7" s="20"/>
      <c r="E7" s="21"/>
      <c r="F7" s="21"/>
      <c r="G7" s="21"/>
      <c r="H7" s="21"/>
      <c r="I7" s="21"/>
      <c r="J7" s="20"/>
      <c r="K7" s="21"/>
      <c r="L7" s="21"/>
      <c r="M7" s="21"/>
      <c r="N7" s="21"/>
      <c r="O7" s="20"/>
      <c r="P7" s="23"/>
      <c r="Q7" s="19">
        <f t="shared" si="0"/>
        <v>0</v>
      </c>
      <c r="R7" s="19"/>
      <c r="S7" s="19"/>
      <c r="T7" s="4">
        <v>0.09</v>
      </c>
    </row>
    <row r="8" s="1" customFormat="1" ht="20" customHeight="1" spans="1:20">
      <c r="B8" s="19"/>
      <c r="C8" s="19"/>
      <c r="D8" s="20"/>
      <c r="E8" s="21"/>
      <c r="F8" s="21"/>
      <c r="G8" s="21"/>
      <c r="H8" s="21"/>
      <c r="I8" s="21"/>
      <c r="J8" s="20"/>
      <c r="K8" s="21"/>
      <c r="L8" s="21"/>
      <c r="M8" s="21"/>
      <c r="N8" s="21"/>
      <c r="O8" s="20"/>
      <c r="P8" s="23"/>
      <c r="Q8" s="19">
        <f t="shared" si="0"/>
        <v>0</v>
      </c>
      <c r="R8" s="19"/>
      <c r="S8" s="19"/>
      <c r="T8" s="4">
        <v>0.06</v>
      </c>
    </row>
    <row r="9" s="1" customFormat="1" ht="20" customHeight="1" spans="1:20">
      <c r="B9" s="19"/>
      <c r="C9" s="19"/>
      <c r="D9" s="20"/>
      <c r="E9" s="21"/>
      <c r="F9" s="21"/>
      <c r="G9" s="21"/>
      <c r="H9" s="21"/>
      <c r="I9" s="21"/>
      <c r="J9" s="20"/>
      <c r="K9" s="21"/>
      <c r="L9" s="21"/>
      <c r="M9" s="21"/>
      <c r="N9" s="21"/>
      <c r="O9" s="20"/>
      <c r="P9" s="23"/>
      <c r="Q9" s="19">
        <f t="shared" si="0"/>
        <v>0</v>
      </c>
      <c r="R9" s="19"/>
      <c r="S9" s="19"/>
      <c r="T9" s="4">
        <v>0.03</v>
      </c>
    </row>
    <row r="10" s="1" customFormat="1" ht="20" customHeight="1" spans="1:20">
      <c r="B10" s="19"/>
      <c r="C10" s="19"/>
      <c r="D10" s="20"/>
      <c r="E10" s="21"/>
      <c r="F10" s="21"/>
      <c r="G10" s="21"/>
      <c r="H10" s="21"/>
      <c r="I10" s="21"/>
      <c r="J10" s="20"/>
      <c r="K10" s="21"/>
      <c r="L10" s="21"/>
      <c r="M10" s="21"/>
      <c r="N10" s="21"/>
      <c r="O10" s="20"/>
      <c r="P10" s="23"/>
      <c r="Q10" s="19">
        <f t="shared" si="0"/>
        <v>0</v>
      </c>
      <c r="R10" s="19"/>
      <c r="S10" s="19"/>
      <c r="T10" s="4">
        <v>0.01</v>
      </c>
    </row>
    <row r="11" s="1" customFormat="1" ht="20" customHeight="1" spans="1:20">
      <c r="B11" s="19"/>
      <c r="C11" s="19"/>
      <c r="D11" s="20"/>
      <c r="E11" s="21"/>
      <c r="F11" s="21"/>
      <c r="G11" s="21"/>
      <c r="H11" s="21"/>
      <c r="I11" s="21"/>
      <c r="J11" s="20"/>
      <c r="K11" s="21"/>
      <c r="L11" s="21"/>
      <c r="M11" s="21"/>
      <c r="N11" s="21"/>
      <c r="O11" s="20"/>
      <c r="P11" s="23"/>
      <c r="Q11" s="19">
        <f t="shared" si="0"/>
        <v>0</v>
      </c>
      <c r="R11" s="19"/>
      <c r="S11" s="19"/>
    </row>
    <row r="12" s="1" customFormat="1" ht="20" customHeight="1" spans="1:20">
      <c r="D12" s="2"/>
      <c r="E12" s="3"/>
      <c r="F12" s="3"/>
      <c r="G12" s="3"/>
      <c r="H12" s="3"/>
      <c r="I12" s="3"/>
      <c r="J12" s="2"/>
      <c r="K12" s="3"/>
      <c r="L12" s="3"/>
      <c r="M12" s="3"/>
      <c r="N12" s="3"/>
      <c r="O12" s="2"/>
      <c r="P12" s="4"/>
    </row>
    <row r="13" s="1" customFormat="1" ht="20" customHeight="1" spans="1:20">
      <c r="D13" s="2"/>
      <c r="E13" s="3"/>
      <c r="F13" s="3"/>
      <c r="G13" s="3"/>
      <c r="H13" s="3"/>
      <c r="I13" s="3"/>
      <c r="J13" s="2"/>
      <c r="K13" s="3"/>
      <c r="L13" s="3"/>
      <c r="M13" s="3"/>
      <c r="N13" s="3"/>
      <c r="O13" s="2"/>
      <c r="P13" s="4"/>
    </row>
    <row r="14" s="1" customFormat="1" ht="20" customHeight="1" spans="1:20">
      <c r="D14" s="2"/>
      <c r="E14" s="3"/>
      <c r="F14" s="3"/>
      <c r="G14" s="3"/>
      <c r="H14" s="3"/>
      <c r="I14" s="3"/>
      <c r="J14" s="2"/>
      <c r="K14" s="3"/>
      <c r="L14" s="3"/>
      <c r="M14" s="3"/>
      <c r="N14" s="3"/>
      <c r="O14" s="2"/>
      <c r="P14" s="4"/>
    </row>
    <row r="15" s="1" customFormat="1" ht="20" customHeight="1" spans="1:20">
      <c r="D15" s="2"/>
      <c r="E15" s="3"/>
      <c r="F15" s="3"/>
      <c r="G15" s="3"/>
      <c r="H15" s="3"/>
      <c r="I15" s="3"/>
      <c r="J15" s="2"/>
      <c r="K15" s="3"/>
      <c r="L15" s="3"/>
      <c r="M15" s="3"/>
      <c r="N15" s="3"/>
      <c r="O15" s="2"/>
      <c r="P15" s="4"/>
    </row>
    <row r="16" s="1" customFormat="1" ht="20" customHeight="1" spans="1:20"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2"/>
      <c r="P16" s="4"/>
    </row>
    <row r="17" s="1" customFormat="1" ht="20" customHeight="1" spans="4:16"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2"/>
      <c r="P17" s="4"/>
    </row>
    <row r="18" s="1" customFormat="1" ht="20" customHeight="1" spans="4:16"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2"/>
      <c r="P18" s="4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</sheetData>
  <conditionalFormatting sqref="B3">
    <cfRule type="expression" dxfId="0" priority="1">
      <formula>$B3&lt;&gt;""</formula>
    </cfRule>
  </conditionalFormatting>
  <dataValidations count="1">
    <dataValidation type="list" allowBlank="1" showInputMessage="1" showErrorMessage="1" sqref="P6:P59">
      <formula1>$T$6:$T$10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基础信息表</vt:lpstr>
      <vt:lpstr>总表</vt:lpstr>
      <vt:lpstr>博河科创中心</vt:lpstr>
      <vt:lpstr>德安养老中心</vt:lpstr>
      <vt:lpstr>抚州1号楼</vt:lpstr>
      <vt:lpstr>抚州8号楼</vt:lpstr>
      <vt:lpstr>抚州2号楼</vt:lpstr>
      <vt:lpstr>科创中心</vt:lpstr>
      <vt:lpstr>邹桥派出所</vt:lpstr>
      <vt:lpstr>九安架空层</vt:lpstr>
      <vt:lpstr>共青办公楼</vt:lpstr>
      <vt:lpstr>隆世光伏</vt:lpstr>
      <vt:lpstr>数字经济产业园</vt:lpstr>
      <vt:lpstr>德安农商行总部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2023-05-12T11:15:00Z</dcterms:created>
  <dcterms:modified xsi:type="dcterms:W3CDTF">2026-10-08T14:29:24Z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E910D44A03524F089E4E6131E58B3041_13</vt:lpwstr>
  </property>
  <property fmtid="{D5CDD505-2E9C-101B-9397-08002B2CF9AE}" pid="4" name="CalculationRule">
    <vt:i4>0</vt:i4>
  </property>
</Properties>
</file>