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微信\xwechat_files\wxid_zxwmsuqw4qi729_d4c6\msg\file\2026-10\"/>
    </mc:Choice>
  </mc:AlternateContent>
  <bookViews>
    <workbookView windowWidth="27945" windowHeight="12375" activeTab="2"/>
  </bookViews>
  <sheets>
    <sheet name="基本信息表" sheetId="2" r:id="rId1"/>
    <sheet name="Sheet1" sheetId="1" r:id="rId2"/>
    <sheet name="Sheet3" sheetId="3" r:id="rId3"/>
  </sheets>
  <definedNames>
    <definedName name="_xlnm._FilterDatabase" localSheetId="1" hidden="1">Sheet1!$A$2:$R$89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<sst xmlns="http://schemas.openxmlformats.org/spreadsheetml/2006/main" count="483" uniqueCount="64">
  <si>
    <t>机械工种</t>
  </si>
  <si>
    <t>单价</t>
  </si>
  <si>
    <t>轮挖斗</t>
  </si>
  <si>
    <t>炮头</t>
  </si>
  <si>
    <t>机械工作费用明细表</t>
  </si>
  <si>
    <t>应付金额</t>
  </si>
  <si>
    <t>已付金额</t>
  </si>
  <si>
    <t>剩余金额</t>
  </si>
  <si>
    <t>日期</t>
  </si>
  <si>
    <t>项目名称</t>
  </si>
  <si>
    <t>供应商名称</t>
  </si>
  <si>
    <t>机械种类</t>
  </si>
  <si>
    <t>上午时间</t>
  </si>
  <si>
    <t>下午时间</t>
  </si>
  <si>
    <t>工作时长
（时间）</t>
  </si>
  <si>
    <t>工作时长
（小时）</t>
  </si>
  <si>
    <t>应付金额
（元）</t>
  </si>
  <si>
    <t>已付金额
（元）</t>
  </si>
  <si>
    <t>付款日期</t>
  </si>
  <si>
    <t>付款账户</t>
  </si>
  <si>
    <t>已开票金额</t>
  </si>
  <si>
    <t>税率</t>
  </si>
  <si>
    <t>税额</t>
  </si>
  <si>
    <t>备注2</t>
  </si>
  <si>
    <t>科创中心</t>
  </si>
  <si>
    <t>杨工轮挖</t>
  </si>
  <si>
    <t>13:00-17:30</t>
  </si>
  <si>
    <t>九江银行</t>
  </si>
  <si>
    <t>7:00-11:30</t>
  </si>
  <si>
    <t>王伟垫付</t>
  </si>
  <si>
    <t>杨工</t>
  </si>
  <si>
    <t>徐工</t>
  </si>
  <si>
    <t>7:00-10:00</t>
  </si>
  <si>
    <t>9:30-11:30</t>
  </si>
  <si>
    <t>13:00-17:00</t>
  </si>
  <si>
    <t>13:30-17:30</t>
  </si>
  <si>
    <t>13:00-16:00</t>
  </si>
  <si>
    <t>15:30-17:30</t>
  </si>
  <si>
    <t>10:00-11:30</t>
  </si>
  <si>
    <t>7:00-9:00</t>
  </si>
  <si>
    <t>7:30-11:30</t>
  </si>
  <si>
    <t>14:00-17:30</t>
  </si>
  <si>
    <t>8:30-11:30</t>
  </si>
  <si>
    <t>13:00-16:30</t>
  </si>
  <si>
    <t>7:00-9:30</t>
  </si>
  <si>
    <t>13:00-15:00</t>
  </si>
  <si>
    <t>9:00-11:30</t>
  </si>
  <si>
    <t>6:00-7:30</t>
  </si>
  <si>
    <t>徐工轮挖</t>
  </si>
  <si>
    <t>13:00-14:30</t>
  </si>
  <si>
    <t>机械费汇总表</t>
  </si>
  <si>
    <t>机械+运输费用汇总表</t>
  </si>
  <si>
    <t>未付金额</t>
  </si>
  <si>
    <t>挖机班组/（运输）名称</t>
  </si>
  <si>
    <t>收款账户</t>
  </si>
  <si>
    <t>开票日期</t>
  </si>
  <si>
    <t>25/11-26/1</t>
  </si>
  <si>
    <t>九江翌年行建筑工程劳务有限公司</t>
  </si>
  <si>
    <t>德安县恒建工程部</t>
  </si>
  <si>
    <t>德安农商行总部</t>
  </si>
  <si>
    <t>舒文龙</t>
  </si>
  <si>
    <t>航帆增辉</t>
  </si>
  <si>
    <t>邹桥派出所</t>
  </si>
  <si>
    <t>章德吉货运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</si>
</sst>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 "/>
    <numFmt numFmtId="178" formatCode="h:mm;@"/>
  </numFmts>
  <fonts count="26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微软雅黑"/>
      <charset val="134"/>
    </font>
  </fonts>
  <fills count="38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00B05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"/>
      </left>
      <right/>
      <top style="thin">
        <color theme="4" tint="0.399975585192419"/>
      </top>
      <bottom/>
      <diagonal/>
    </border>
    <border>
      <left/>
      <right/>
      <top style="thin">
        <color theme="4" tint="0.399975585192419"/>
      </top>
      <bottom/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theme="4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0" fillId="8" borderId="6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7">
      <alignment vertical="center"/>
    </xf>
    <xf numFmtId="0" fontId="12" fillId="0" borderId="7">
      <alignment vertical="center"/>
    </xf>
    <xf numFmtId="0" fontId="13" fillId="0" borderId="8">
      <alignment vertical="center"/>
    </xf>
    <xf numFmtId="0" fontId="13" fillId="0" borderId="0">
      <alignment vertical="center"/>
    </xf>
    <xf numFmtId="0" fontId="14" fillId="9" borderId="9">
      <alignment vertical="center"/>
    </xf>
    <xf numFmtId="0" fontId="15" fillId="10" borderId="10">
      <alignment vertical="center"/>
    </xf>
    <xf numFmtId="0" fontId="16" fillId="10" borderId="9">
      <alignment vertical="center"/>
    </xf>
    <xf numFmtId="0" fontId="17" fillId="11" borderId="11">
      <alignment vertical="center"/>
    </xf>
    <xf numFmtId="0" fontId="18" fillId="0" borderId="12">
      <alignment vertical="center"/>
    </xf>
    <xf numFmtId="0" fontId="19" fillId="0" borderId="13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3" fillId="3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4" fillId="35" borderId="0">
      <alignment vertical="center"/>
    </xf>
    <xf numFmtId="0" fontId="24" fillId="36" borderId="0">
      <alignment vertical="center"/>
    </xf>
    <xf numFmtId="0" fontId="23" fillId="37" borderId="0">
      <alignment vertical="center"/>
    </xf>
    <xf numFmtId="0" fontId="25" fillId="0" borderId="0">
      <alignment vertical="center"/>
    </xf>
  </cellStyleXfs>
  <cellXfs count="6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76" fontId="1" fillId="0" borderId="0" xfId="0" applyNumberFormat="1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177" fontId="0" fillId="0" borderId="0" xfId="0" applyNumberFormat="1" applyAlignment="1">
      <alignment horizontal="centerContinuous" vertical="center"/>
    </xf>
    <xf numFmtId="176" fontId="0" fillId="0" borderId="0" xfId="0" applyNumberFormat="1" applyAlignment="1">
      <alignment horizontal="centerContinuous" vertical="center"/>
    </xf>
    <xf numFmtId="9" fontId="0" fillId="0" borderId="0" xfId="0" applyNumberFormat="1" applyAlignment="1">
      <alignment horizontal="centerContinuous" vertical="center"/>
    </xf>
    <xf numFmtId="0" fontId="2" fillId="0" borderId="0" xfId="6" applyFont="1">
      <alignment vertical="center"/>
    </xf>
    <xf numFmtId="0" fontId="3" fillId="2" borderId="1" xfId="0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Continuous" vertical="center"/>
    </xf>
    <xf numFmtId="0" fontId="4" fillId="3" borderId="1" xfId="0" applyFont="1" applyFill="1" applyBorder="1" applyAlignment="1">
      <alignment horizontal="centerContinuous" vertical="center"/>
    </xf>
    <xf numFmtId="177" fontId="4" fillId="3" borderId="1" xfId="0" applyNumberFormat="1" applyFont="1" applyFill="1" applyBorder="1" applyAlignment="1">
      <alignment horizontal="centerContinuous" vertical="center"/>
    </xf>
    <xf numFmtId="9" fontId="4" fillId="3" borderId="1" xfId="0" applyNumberFormat="1" applyFont="1" applyFill="1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177" fontId="1" fillId="0" borderId="0" xfId="0" applyNumberFormat="1" applyFont="1" applyAlignment="1">
      <alignment horizontal="centerContinuous" vertical="center"/>
    </xf>
    <xf numFmtId="9" fontId="1" fillId="0" borderId="0" xfId="0" applyNumberFormat="1" applyFont="1" applyAlignment="1">
      <alignment horizontal="centerContinuous" vertical="center"/>
    </xf>
    <xf numFmtId="0" fontId="6" fillId="0" borderId="1" xfId="0" applyFont="1" applyBorder="1" applyAlignment="1">
      <alignment horizontal="center" vertical="center"/>
    </xf>
    <xf numFmtId="176" fontId="4" fillId="4" borderId="2" xfId="0" applyNumberFormat="1" applyFont="1" applyFill="1" applyBorder="1" applyAlignment="1" applyProtection="1">
      <alignment horizontal="center" vertical="center"/>
    </xf>
    <xf numFmtId="0" fontId="4" fillId="4" borderId="3" xfId="0" applyNumberFormat="1" applyFont="1" applyFill="1" applyBorder="1" applyAlignment="1" applyProtection="1">
      <alignment horizontal="center" vertical="center"/>
    </xf>
    <xf numFmtId="0" fontId="4" fillId="4" borderId="3" xfId="0" applyNumberFormat="1" applyFont="1" applyFill="1" applyBorder="1" applyAlignment="1" applyProtection="1">
      <alignment horizontal="center" vertical="center" wrapText="1"/>
    </xf>
    <xf numFmtId="177" fontId="4" fillId="4" borderId="3" xfId="0" applyNumberFormat="1" applyFont="1" applyFill="1" applyBorder="1" applyAlignment="1" applyProtection="1">
      <alignment horizontal="center" vertical="center" wrapText="1"/>
    </xf>
    <xf numFmtId="9" fontId="4" fillId="4" borderId="3" xfId="0" applyNumberFormat="1" applyFont="1" applyFill="1" applyBorder="1" applyAlignment="1" applyProtection="1">
      <alignment horizontal="center" vertical="center"/>
    </xf>
    <xf numFmtId="177" fontId="4" fillId="4" borderId="3" xfId="0" applyNumberFormat="1" applyFont="1" applyFill="1" applyBorder="1" applyAlignment="1" applyProtection="1">
      <alignment horizontal="center" vertical="center"/>
    </xf>
    <xf numFmtId="0" fontId="4" fillId="4" borderId="4" xfId="0" applyNumberFormat="1" applyFont="1" applyFill="1" applyBorder="1" applyAlignment="1" applyProtection="1">
      <alignment horizontal="center" vertical="center"/>
    </xf>
    <xf numFmtId="0" fontId="4" fillId="0" borderId="0" xfId="0" applyFont="1" applyFill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0" fillId="5" borderId="5" xfId="0" applyNumberFormat="1" applyFont="1" applyFill="1" applyBorder="1" applyAlignment="1" applyProtection="1">
      <alignment horizontal="center" vertical="center"/>
    </xf>
    <xf numFmtId="0" fontId="0" fillId="5" borderId="5" xfId="0" applyNumberFormat="1" applyFont="1" applyFill="1" applyBorder="1" applyAlignment="1" applyProtection="1">
      <alignment horizontal="center" vertical="center"/>
    </xf>
    <xf numFmtId="178" fontId="0" fillId="6" borderId="5" xfId="0" applyNumberFormat="1" applyFont="1" applyFill="1" applyBorder="1" applyAlignment="1" applyProtection="1">
      <alignment horizontal="center" vertical="center"/>
    </xf>
    <xf numFmtId="177" fontId="0" fillId="5" borderId="5" xfId="0" applyNumberFormat="1" applyFont="1" applyFill="1" applyBorder="1" applyAlignment="1" applyProtection="1">
      <alignment horizontal="center" vertical="center"/>
    </xf>
    <xf numFmtId="14" fontId="0" fillId="5" borderId="5" xfId="0" applyNumberFormat="1" applyFont="1" applyFill="1" applyBorder="1" applyAlignment="1" applyProtection="1">
      <alignment horizontal="center" vertical="center"/>
    </xf>
    <xf numFmtId="9" fontId="0" fillId="5" borderId="5" xfId="0" applyNumberFormat="1" applyFont="1" applyFill="1" applyBorder="1" applyAlignment="1" applyProtection="1">
      <alignment horizontal="center" vertical="center"/>
    </xf>
    <xf numFmtId="0" fontId="0" fillId="5" borderId="4" xfId="0" applyNumberFormat="1" applyFont="1" applyFill="1" applyBorder="1" applyAlignment="1" applyProtection="1">
      <alignment horizontal="center" vertical="center"/>
    </xf>
    <xf numFmtId="176" fontId="0" fillId="0" borderId="1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horizontal="center" vertical="center"/>
    </xf>
    <xf numFmtId="178" fontId="0" fillId="6" borderId="1" xfId="0" applyNumberFormat="1" applyFont="1" applyFill="1" applyBorder="1" applyAlignment="1" applyProtection="1">
      <alignment horizontal="center" vertical="center"/>
    </xf>
    <xf numFmtId="177" fontId="0" fillId="0" borderId="1" xfId="0" applyNumberFormat="1" applyFont="1" applyFill="1" applyBorder="1" applyAlignment="1" applyProtection="1">
      <alignment horizontal="center" vertical="center"/>
    </xf>
    <xf numFmtId="9" fontId="0" fillId="0" borderId="1" xfId="0" applyNumberFormat="1" applyFont="1" applyFill="1" applyBorder="1" applyAlignment="1" applyProtection="1">
      <alignment horizontal="center" vertical="center"/>
    </xf>
    <xf numFmtId="0" fontId="0" fillId="0" borderId="4" xfId="0" applyNumberFormat="1" applyFont="1" applyFill="1" applyBorder="1" applyAlignment="1" applyProtection="1">
      <alignment horizontal="center" vertical="center"/>
    </xf>
    <xf numFmtId="176" fontId="0" fillId="5" borderId="1" xfId="0" applyNumberFormat="1" applyFont="1" applyFill="1" applyBorder="1" applyAlignment="1" applyProtection="1">
      <alignment horizontal="center" vertical="center"/>
    </xf>
    <xf numFmtId="0" fontId="0" fillId="5" borderId="1" xfId="0" applyNumberFormat="1" applyFont="1" applyFill="1" applyBorder="1" applyAlignment="1" applyProtection="1">
      <alignment horizontal="center" vertical="center"/>
    </xf>
    <xf numFmtId="177" fontId="0" fillId="5" borderId="1" xfId="0" applyNumberFormat="1" applyFont="1" applyFill="1" applyBorder="1" applyAlignment="1" applyProtection="1">
      <alignment horizontal="center" vertical="center"/>
    </xf>
    <xf numFmtId="9" fontId="0" fillId="5" borderId="1" xfId="0" applyNumberFormat="1" applyFont="1" applyFill="1" applyBorder="1" applyAlignment="1" applyProtection="1">
      <alignment horizontal="center" vertical="center"/>
    </xf>
    <xf numFmtId="176" fontId="0" fillId="7" borderId="1" xfId="0" applyNumberFormat="1" applyFont="1" applyFill="1" applyBorder="1" applyAlignment="1" applyProtection="1">
      <alignment horizontal="center" vertical="center"/>
    </xf>
    <xf numFmtId="0" fontId="0" fillId="7" borderId="1" xfId="0" applyNumberFormat="1" applyFont="1" applyFill="1" applyBorder="1" applyAlignment="1" applyProtection="1">
      <alignment horizontal="center" vertical="center"/>
    </xf>
    <xf numFmtId="178" fontId="0" fillId="7" borderId="1" xfId="0" applyNumberFormat="1" applyFont="1" applyFill="1" applyBorder="1" applyAlignment="1" applyProtection="1">
      <alignment horizontal="center" vertical="center"/>
    </xf>
    <xf numFmtId="0" fontId="0" fillId="6" borderId="1" xfId="0" applyNumberFormat="1" applyFont="1" applyFill="1" applyBorder="1" applyAlignment="1" applyProtection="1">
      <alignment horizontal="center" vertical="center"/>
    </xf>
    <xf numFmtId="177" fontId="0" fillId="7" borderId="1" xfId="0" applyNumberFormat="1" applyFont="1" applyFill="1" applyBorder="1" applyAlignment="1" applyProtection="1">
      <alignment horizontal="center" vertical="center"/>
    </xf>
    <xf numFmtId="9" fontId="0" fillId="7" borderId="1" xfId="0" applyNumberFormat="1" applyFont="1" applyFill="1" applyBorder="1" applyAlignment="1" applyProtection="1">
      <alignment horizontal="center" vertical="center"/>
    </xf>
    <xf numFmtId="0" fontId="0" fillId="7" borderId="4" xfId="0" applyNumberFormat="1" applyFont="1" applyFill="1" applyBorder="1" applyAlignment="1" applyProtection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2" borderId="1" xfId="0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178" fontId="0" fillId="2" borderId="1" xfId="0" applyNumberFormat="1" applyFont="1" applyFill="1" applyBorder="1" applyAlignment="1" applyProtection="1">
      <alignment horizontal="center" vertical="center"/>
    </xf>
    <xf numFmtId="177" fontId="0" fillId="2" borderId="1" xfId="0" applyNumberFormat="1" applyFont="1" applyFill="1" applyBorder="1" applyAlignment="1" applyProtection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E8" sqref="E8"/>
    </sheetView>
  </sheetViews>
  <sheetFormatPr defaultColWidth="9" defaultRowHeight="13.5" outlineLevelCol="1"/>
  <cols>
    <col min="1" max="4" width="14.2583333333333" style="1" customWidth="1"/>
    <col min="5" max="16384" width="9" style="1"/>
  </cols>
  <sheetData>
    <row r="1" ht="27" customHeight="1" spans="1:2">
      <c r="A1" s="1" t="s">
        <v>0</v>
      </c>
      <c r="B1" s="1" t="s">
        <v>1</v>
      </c>
    </row>
    <row r="2" ht="27" customHeight="1" spans="1:2">
      <c r="A2" s="1" t="s">
        <v>2</v>
      </c>
      <c r="B2" s="1">
        <v>150</v>
      </c>
    </row>
    <row r="3" ht="27" customHeight="1" spans="1:2">
      <c r="A3" s="1" t="s">
        <v>3</v>
      </c>
      <c r="B3" s="1">
        <v>250</v>
      </c>
    </row>
    <row r="4" ht="27" customHeight="1"/>
    <row r="5" ht="27" customHeight="1"/>
    <row r="6" ht="27" customHeight="1"/>
    <row r="7" ht="27" customHeight="1"/>
    <row r="8" ht="27" customHeight="1"/>
    <row r="9" ht="27" customHeigh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9"/>
  <sheetViews>
    <sheetView topLeftCell="B1" workbookViewId="0">
      <selection activeCell="U4" sqref="U4"/>
    </sheetView>
  </sheetViews>
  <sheetFormatPr defaultColWidth="9" defaultRowHeight="21" customHeight="1"/>
  <cols>
    <col min="1" max="1" width="11.7583333333333" style="2" customWidth="1"/>
    <col min="2" max="2" width="13.375" style="1" customWidth="1"/>
    <col min="3" max="3" width="9.125" style="1" customWidth="1"/>
    <col min="4" max="4" width="9.625" style="1" customWidth="1"/>
    <col min="5" max="5" width="8.25833333333333" style="1" customWidth="1"/>
    <col min="6" max="6" width="13" style="1" customWidth="1"/>
    <col min="7" max="7" width="12.875" style="1" customWidth="1"/>
    <col min="8" max="8" width="10.7583333333333" style="1" customWidth="1"/>
    <col min="9" max="9" width="13.375" style="1" customWidth="1"/>
    <col min="10" max="10" width="10.875" style="3" customWidth="1"/>
    <col min="11" max="11" width="11.2583333333333" style="3" customWidth="1"/>
    <col min="12" max="12" width="13" style="1" customWidth="1"/>
    <col min="13" max="13" width="9.25833333333333" style="1" customWidth="1"/>
    <col min="14" max="14" width="10" style="1" customWidth="1"/>
    <col min="15" max="15" width="9.125" style="4" customWidth="1"/>
    <col min="16" max="16" width="9.625" style="3" customWidth="1"/>
    <col min="17" max="17" width="7.875" style="1" customWidth="1"/>
    <col min="18" max="18" width="4.875" style="1" hidden="1" customWidth="1"/>
    <col min="19" max="19" width="9" style="1"/>
    <col min="20" max="20" width="14.375" style="1" customWidth="1"/>
    <col min="21" max="21" width="14.5" style="1" customWidth="1"/>
    <col min="22" max="22" width="13.375" style="1" customWidth="1"/>
    <col min="23" max="16384" width="9" style="1"/>
  </cols>
  <sheetData>
    <row r="1" s="23" customFormat="1" ht="31" customHeight="1" spans="1:22">
      <c r="A1" s="5" t="s">
        <v>4</v>
      </c>
      <c r="B1" s="24"/>
      <c r="C1" s="24"/>
      <c r="D1" s="24"/>
      <c r="E1" s="24"/>
      <c r="F1" s="24"/>
      <c r="G1" s="24"/>
      <c r="H1" s="24"/>
      <c r="I1" s="24"/>
      <c r="J1" s="25"/>
      <c r="K1" s="25"/>
      <c r="L1" s="24"/>
      <c r="M1" s="24"/>
      <c r="N1" s="24"/>
      <c r="O1" s="26"/>
      <c r="P1" s="25"/>
      <c r="Q1" s="24"/>
      <c r="R1" s="24"/>
      <c r="T1" s="27" t="s">
        <v>5</v>
      </c>
      <c r="U1" s="27" t="s">
        <v>6</v>
      </c>
      <c r="V1" s="27" t="s">
        <v>7</v>
      </c>
    </row>
    <row r="2" ht="40" customHeight="1" spans="1:22">
      <c r="A2" s="28" t="s">
        <v>8</v>
      </c>
      <c r="B2" s="29" t="s">
        <v>9</v>
      </c>
      <c r="C2" s="29" t="s">
        <v>10</v>
      </c>
      <c r="D2" s="29" t="s">
        <v>11</v>
      </c>
      <c r="E2" s="29" t="s">
        <v>1</v>
      </c>
      <c r="F2" s="29" t="s">
        <v>12</v>
      </c>
      <c r="G2" s="29" t="s">
        <v>13</v>
      </c>
      <c r="H2" s="30" t="s">
        <v>14</v>
      </c>
      <c r="I2" s="30" t="s">
        <v>15</v>
      </c>
      <c r="J2" s="31" t="s">
        <v>16</v>
      </c>
      <c r="K2" s="31" t="s">
        <v>17</v>
      </c>
      <c r="L2" s="29" t="s">
        <v>18</v>
      </c>
      <c r="M2" s="29" t="s">
        <v>19</v>
      </c>
      <c r="N2" s="29" t="s">
        <v>20</v>
      </c>
      <c r="O2" s="32" t="s">
        <v>21</v>
      </c>
      <c r="P2" s="33" t="s">
        <v>22</v>
      </c>
      <c r="Q2" s="34" t="s">
        <v>23</v>
      </c>
      <c r="R2" s="35"/>
      <c r="T2" s="36">
        <f>SUBTOTAL(9,J:J)</f>
        <v>105775</v>
      </c>
      <c r="U2" s="36">
        <f>SUBTOTAL(9,K:K)</f>
        <v>35000</v>
      </c>
      <c r="V2" s="36">
        <f>T2-U2</f>
        <v>70775</v>
      </c>
    </row>
    <row r="3" customHeight="1" spans="1:22">
      <c r="A3" s="37">
        <v>45942</v>
      </c>
      <c r="B3" s="38" t="s">
        <v>24</v>
      </c>
      <c r="C3" s="38" t="s">
        <v>25</v>
      </c>
      <c r="D3" s="38" t="s">
        <v>2</v>
      </c>
      <c r="E3" s="38" cm="1">
        <f t="array" ref="E3">IFERROR(VLOOKUP(D3,基本信息表!A:B,{2},FALSE),"")</f>
        <v>150</v>
      </c>
      <c r="F3" s="38"/>
      <c r="G3" s="38" t="s">
        <v>26</v>
      </c>
      <c r="H3" s="39" cm="1">
        <f t="array" ref="H3">NPV(-2,--_xlfn.TEXTSPLIT(_xlfn.TEXTJOIN("-",,F3:G3),"-"))</f>
        <v>0.1875</v>
      </c>
      <c r="I3" s="38">
        <f>H3*24</f>
        <v>4.5</v>
      </c>
      <c r="J3" s="40">
        <f>E3*I3</f>
        <v>675</v>
      </c>
      <c r="K3" s="40">
        <v>5000</v>
      </c>
      <c r="L3" s="41">
        <v>45971</v>
      </c>
      <c r="M3" s="38" t="s">
        <v>27</v>
      </c>
      <c r="N3" s="38">
        <v>5000</v>
      </c>
      <c r="O3" s="42">
        <v>0.01</v>
      </c>
      <c r="P3" s="40">
        <f>N3/(1+O3)*O3</f>
        <v>49.5049504950495</v>
      </c>
      <c r="Q3" s="43"/>
      <c r="R3" s="4">
        <v>0.13</v>
      </c>
    </row>
    <row r="4" customHeight="1" spans="1:22">
      <c r="A4" s="44">
        <v>45943</v>
      </c>
      <c r="B4" s="45" t="s">
        <v>24</v>
      </c>
      <c r="C4" s="38" t="s">
        <v>25</v>
      </c>
      <c r="D4" s="45" t="s">
        <v>2</v>
      </c>
      <c r="E4" s="45" cm="1">
        <f t="array" ref="E4">IFERROR(VLOOKUP(D4,基本信息表!A:B,{2},FALSE),"")</f>
        <v>150</v>
      </c>
      <c r="F4" s="45" t="s">
        <v>28</v>
      </c>
      <c r="G4" s="45" t="s">
        <v>26</v>
      </c>
      <c r="H4" s="46" cm="1">
        <f t="array" ref="H4">NPV(-2,--_xlfn.TEXTSPLIT(_xlfn.TEXTJOIN("-",,F4:G4),"-"))</f>
        <v>0.375</v>
      </c>
      <c r="I4" s="45">
        <f t="shared" ref="I4:I12" si="0">H4*24</f>
        <v>9</v>
      </c>
      <c r="J4" s="47">
        <f t="shared" ref="J4:J35" si="1">E4*I4</f>
        <v>1350</v>
      </c>
      <c r="K4" s="47">
        <v>30000</v>
      </c>
      <c r="L4" s="45"/>
      <c r="M4" s="45" t="s">
        <v>29</v>
      </c>
      <c r="N4" s="45"/>
      <c r="O4" s="48"/>
      <c r="P4" s="40">
        <f t="shared" ref="P4:P12" si="2">N4/(1+O4)*O4</f>
        <v>0</v>
      </c>
      <c r="Q4" s="49"/>
      <c r="R4" s="4">
        <v>0.09</v>
      </c>
      <c r="T4" s="1" t="s">
        <v>30</v>
      </c>
      <c r="U4" s="1">
        <f>T2-U5</f>
        <v>98875</v>
      </c>
    </row>
    <row r="5" customHeight="1" spans="1:22">
      <c r="A5" s="50">
        <v>45944</v>
      </c>
      <c r="B5" s="51" t="s">
        <v>24</v>
      </c>
      <c r="C5" s="38" t="s">
        <v>25</v>
      </c>
      <c r="D5" s="51" t="s">
        <v>2</v>
      </c>
      <c r="E5" s="51" cm="1">
        <f t="array" ref="E5">IFERROR(VLOOKUP(D5,基本信息表!A:B,{2},FALSE),"")</f>
        <v>150</v>
      </c>
      <c r="F5" s="51" t="s">
        <v>28</v>
      </c>
      <c r="G5" s="51"/>
      <c r="H5" s="46" cm="1">
        <f t="array" ref="H5">NPV(-2,--_xlfn.TEXTSPLIT(_xlfn.TEXTJOIN("-",,F5:G5),"-"))</f>
        <v>0.1875</v>
      </c>
      <c r="I5" s="51">
        <f t="shared" si="0"/>
        <v>4.5</v>
      </c>
      <c r="J5" s="52">
        <f t="shared" si="1"/>
        <v>675</v>
      </c>
      <c r="K5" s="52"/>
      <c r="L5" s="51"/>
      <c r="M5" s="51"/>
      <c r="N5" s="51"/>
      <c r="O5" s="53"/>
      <c r="P5" s="40">
        <f t="shared" si="2"/>
        <v>0</v>
      </c>
      <c r="Q5" s="43"/>
      <c r="R5" s="4">
        <v>0.06</v>
      </c>
      <c r="T5" s="1" t="s">
        <v>31</v>
      </c>
      <c r="U5" s="1">
        <v>6900</v>
      </c>
    </row>
    <row r="6" customHeight="1" spans="1:22">
      <c r="A6" s="44">
        <v>45946</v>
      </c>
      <c r="B6" s="45" t="s">
        <v>24</v>
      </c>
      <c r="C6" s="38" t="s">
        <v>25</v>
      </c>
      <c r="D6" s="45" t="s">
        <v>2</v>
      </c>
      <c r="E6" s="45" cm="1">
        <f t="array" ref="E6">IFERROR(VLOOKUP(D6,基本信息表!A:B,{2},FALSE),"")</f>
        <v>150</v>
      </c>
      <c r="F6" s="45"/>
      <c r="G6" s="45" t="s">
        <v>26</v>
      </c>
      <c r="H6" s="46" cm="1">
        <f t="array" ref="H6">NPV(-2,--_xlfn.TEXTSPLIT(_xlfn.TEXTJOIN("-",,F6:G6),"-"))</f>
        <v>0.1875</v>
      </c>
      <c r="I6" s="45">
        <f t="shared" si="0"/>
        <v>4.5</v>
      </c>
      <c r="J6" s="47">
        <f t="shared" si="1"/>
        <v>675</v>
      </c>
      <c r="K6" s="47"/>
      <c r="L6" s="45"/>
      <c r="M6" s="45"/>
      <c r="N6" s="45"/>
      <c r="O6" s="48"/>
      <c r="P6" s="40">
        <f t="shared" si="2"/>
        <v>0</v>
      </c>
      <c r="Q6" s="49"/>
      <c r="R6" s="4">
        <v>0.03</v>
      </c>
    </row>
    <row r="7" customHeight="1" spans="1:22">
      <c r="A7" s="50">
        <v>45947</v>
      </c>
      <c r="B7" s="51" t="s">
        <v>24</v>
      </c>
      <c r="C7" s="38" t="s">
        <v>25</v>
      </c>
      <c r="D7" s="51" t="s">
        <v>2</v>
      </c>
      <c r="E7" s="51" cm="1">
        <f t="array" ref="E7">IFERROR(VLOOKUP(D7,基本信息表!A:B,{2},FALSE),"")</f>
        <v>150</v>
      </c>
      <c r="F7" s="51" t="s">
        <v>28</v>
      </c>
      <c r="G7" s="51" t="s">
        <v>26</v>
      </c>
      <c r="H7" s="46" cm="1">
        <f t="array" ref="H7">NPV(-2,--_xlfn.TEXTSPLIT(_xlfn.TEXTJOIN("-",,F7:G7),"-"))</f>
        <v>0.375</v>
      </c>
      <c r="I7" s="51">
        <f t="shared" si="0"/>
        <v>9</v>
      </c>
      <c r="J7" s="52">
        <f t="shared" si="1"/>
        <v>1350</v>
      </c>
      <c r="K7" s="52"/>
      <c r="L7" s="51"/>
      <c r="M7" s="51"/>
      <c r="N7" s="51"/>
      <c r="O7" s="53"/>
      <c r="P7" s="40">
        <f t="shared" si="2"/>
        <v>0</v>
      </c>
      <c r="Q7" s="43"/>
      <c r="R7" s="4">
        <v>0.01</v>
      </c>
    </row>
    <row r="8" customHeight="1" spans="1:22">
      <c r="A8" s="44">
        <v>45948</v>
      </c>
      <c r="B8" s="45" t="s">
        <v>24</v>
      </c>
      <c r="C8" s="38" t="s">
        <v>25</v>
      </c>
      <c r="D8" s="45" t="s">
        <v>2</v>
      </c>
      <c r="E8" s="45" cm="1">
        <f t="array" ref="E8">IFERROR(VLOOKUP(D8,基本信息表!A:B,{2},FALSE),"")</f>
        <v>150</v>
      </c>
      <c r="F8" s="45" t="s">
        <v>28</v>
      </c>
      <c r="G8" s="45" t="s">
        <v>26</v>
      </c>
      <c r="H8" s="46" cm="1">
        <f t="array" ref="H8">NPV(-2,--_xlfn.TEXTSPLIT(_xlfn.TEXTJOIN("-",,F8:G8),"-"))</f>
        <v>0.375</v>
      </c>
      <c r="I8" s="45">
        <f t="shared" si="0"/>
        <v>9</v>
      </c>
      <c r="J8" s="47">
        <f t="shared" si="1"/>
        <v>1350</v>
      </c>
      <c r="K8" s="47"/>
      <c r="L8" s="45"/>
      <c r="M8" s="45"/>
      <c r="N8" s="45"/>
      <c r="O8" s="48"/>
      <c r="P8" s="40">
        <f t="shared" si="2"/>
        <v>0</v>
      </c>
      <c r="Q8" s="49"/>
    </row>
    <row r="9" customHeight="1" spans="1:22">
      <c r="A9" s="50">
        <v>45949</v>
      </c>
      <c r="B9" s="51" t="s">
        <v>24</v>
      </c>
      <c r="C9" s="38" t="s">
        <v>25</v>
      </c>
      <c r="D9" s="51" t="s">
        <v>2</v>
      </c>
      <c r="E9" s="51" cm="1">
        <f t="array" ref="E9">IFERROR(VLOOKUP(D9,基本信息表!A:B,{2},FALSE),"")</f>
        <v>150</v>
      </c>
      <c r="F9" s="51" t="s">
        <v>28</v>
      </c>
      <c r="G9" s="51"/>
      <c r="H9" s="46" cm="1">
        <f t="array" ref="H9">NPV(-2,--_xlfn.TEXTSPLIT(_xlfn.TEXTJOIN("-",,F9:G9),"-"))</f>
        <v>0.1875</v>
      </c>
      <c r="I9" s="51">
        <f t="shared" si="0"/>
        <v>4.5</v>
      </c>
      <c r="J9" s="52">
        <f t="shared" si="1"/>
        <v>675</v>
      </c>
      <c r="K9" s="52"/>
      <c r="L9" s="51"/>
      <c r="M9" s="51"/>
      <c r="N9" s="51"/>
      <c r="O9" s="53"/>
      <c r="P9" s="40">
        <f t="shared" si="2"/>
        <v>0</v>
      </c>
      <c r="Q9" s="43"/>
    </row>
    <row r="10" customHeight="1" spans="1:22">
      <c r="A10" s="44">
        <v>45950</v>
      </c>
      <c r="B10" s="45" t="s">
        <v>24</v>
      </c>
      <c r="C10" s="38" t="s">
        <v>25</v>
      </c>
      <c r="D10" s="45" t="s">
        <v>2</v>
      </c>
      <c r="E10" s="45" cm="1">
        <f t="array" ref="E10">IFERROR(VLOOKUP(D10,基本信息表!A:B,{2},FALSE),"")</f>
        <v>150</v>
      </c>
      <c r="F10" s="45" t="s">
        <v>28</v>
      </c>
      <c r="G10" s="45" t="s">
        <v>26</v>
      </c>
      <c r="H10" s="46" cm="1">
        <f t="array" ref="H10">NPV(-2,--_xlfn.TEXTSPLIT(_xlfn.TEXTJOIN("-",,F10:G10),"-"))</f>
        <v>0.375</v>
      </c>
      <c r="I10" s="45">
        <f t="shared" si="0"/>
        <v>9</v>
      </c>
      <c r="J10" s="47">
        <f t="shared" si="1"/>
        <v>1350</v>
      </c>
      <c r="K10" s="47"/>
      <c r="L10" s="45"/>
      <c r="M10" s="45"/>
      <c r="N10" s="45"/>
      <c r="O10" s="48"/>
      <c r="P10" s="40">
        <f t="shared" si="2"/>
        <v>0</v>
      </c>
      <c r="Q10" s="49"/>
    </row>
    <row r="11" customHeight="1" spans="1:22">
      <c r="A11" s="50">
        <v>45951</v>
      </c>
      <c r="B11" s="51" t="s">
        <v>24</v>
      </c>
      <c r="C11" s="38" t="s">
        <v>25</v>
      </c>
      <c r="D11" s="51" t="s">
        <v>2</v>
      </c>
      <c r="E11" s="51" cm="1">
        <f t="array" ref="E11">IFERROR(VLOOKUP(D11,基本信息表!A:B,{2},FALSE),"")</f>
        <v>150</v>
      </c>
      <c r="F11" s="51" t="s">
        <v>28</v>
      </c>
      <c r="G11" s="51" t="s">
        <v>26</v>
      </c>
      <c r="H11" s="46" cm="1">
        <f t="array" ref="H11">NPV(-2,--_xlfn.TEXTSPLIT(_xlfn.TEXTJOIN("-",,F11:G11),"-"))</f>
        <v>0.375</v>
      </c>
      <c r="I11" s="51">
        <f t="shared" si="0"/>
        <v>9</v>
      </c>
      <c r="J11" s="52">
        <f t="shared" si="1"/>
        <v>1350</v>
      </c>
      <c r="K11" s="52"/>
      <c r="L11" s="51"/>
      <c r="M11" s="51"/>
      <c r="N11" s="51"/>
      <c r="O11" s="53"/>
      <c r="P11" s="40">
        <f t="shared" si="2"/>
        <v>0</v>
      </c>
      <c r="Q11" s="43"/>
    </row>
    <row r="12" customHeight="1" spans="1:22">
      <c r="A12" s="44">
        <v>45952</v>
      </c>
      <c r="B12" s="45" t="s">
        <v>24</v>
      </c>
      <c r="C12" s="38" t="s">
        <v>25</v>
      </c>
      <c r="D12" s="45" t="s">
        <v>2</v>
      </c>
      <c r="E12" s="45" cm="1">
        <f t="array" ref="E12">IFERROR(VLOOKUP(D12,基本信息表!A:B,{2},FALSE),"")</f>
        <v>150</v>
      </c>
      <c r="F12" s="45" t="s">
        <v>28</v>
      </c>
      <c r="G12" s="45" t="s">
        <v>26</v>
      </c>
      <c r="H12" s="46" cm="1">
        <f t="array" ref="H12">NPV(-2,--_xlfn.TEXTSPLIT(_xlfn.TEXTJOIN("-",,F12:G12),"-"))</f>
        <v>0.375</v>
      </c>
      <c r="I12" s="45">
        <f t="shared" si="0"/>
        <v>9</v>
      </c>
      <c r="J12" s="47">
        <f t="shared" si="1"/>
        <v>1350</v>
      </c>
      <c r="K12" s="47"/>
      <c r="L12" s="45"/>
      <c r="M12" s="45"/>
      <c r="N12" s="45"/>
      <c r="O12" s="48"/>
      <c r="P12" s="40">
        <f t="shared" si="2"/>
        <v>0</v>
      </c>
      <c r="Q12" s="49"/>
    </row>
    <row r="13" customHeight="1" spans="1:22">
      <c r="A13" s="50">
        <v>45953</v>
      </c>
      <c r="B13" s="51" t="s">
        <v>24</v>
      </c>
      <c r="C13" s="38" t="s">
        <v>25</v>
      </c>
      <c r="D13" s="51" t="s">
        <v>2</v>
      </c>
      <c r="E13" s="51" cm="1">
        <f t="array" ref="E13">IFERROR(VLOOKUP(D13,基本信息表!A:B,{2},FALSE),"")</f>
        <v>150</v>
      </c>
      <c r="F13" s="51" t="s">
        <v>28</v>
      </c>
      <c r="G13" s="51" t="s">
        <v>26</v>
      </c>
      <c r="H13" s="46" cm="1">
        <f t="array" ref="H13">NPV(-2,--_xlfn.TEXTSPLIT(_xlfn.TEXTJOIN("-",,F13:G13),"-"))</f>
        <v>0.375</v>
      </c>
      <c r="I13" s="51">
        <f t="shared" ref="I13:I44" si="3">H13*24</f>
        <v>9</v>
      </c>
      <c r="J13" s="52">
        <f t="shared" si="1"/>
        <v>1350</v>
      </c>
      <c r="K13" s="52"/>
      <c r="L13" s="51"/>
      <c r="M13" s="51"/>
      <c r="N13" s="51"/>
      <c r="O13" s="53"/>
      <c r="P13" s="40">
        <f t="shared" ref="P13:P44" si="4">N13/(1+O13)*O13</f>
        <v>0</v>
      </c>
      <c r="Q13" s="43"/>
    </row>
    <row r="14" customHeight="1" spans="1:22">
      <c r="A14" s="44">
        <v>45954</v>
      </c>
      <c r="B14" s="45" t="s">
        <v>24</v>
      </c>
      <c r="C14" s="38" t="s">
        <v>25</v>
      </c>
      <c r="D14" s="45" t="s">
        <v>2</v>
      </c>
      <c r="E14" s="45" cm="1">
        <f t="array" ref="E14">IFERROR(VLOOKUP(D14,基本信息表!A:B,{2},FALSE),"")</f>
        <v>150</v>
      </c>
      <c r="F14" s="45" t="s">
        <v>28</v>
      </c>
      <c r="G14" s="45" t="s">
        <v>26</v>
      </c>
      <c r="H14" s="46" cm="1">
        <f t="array" ref="H14">NPV(-2,--_xlfn.TEXTSPLIT(_xlfn.TEXTJOIN("-",,F14:G14),"-"))</f>
        <v>0.375</v>
      </c>
      <c r="I14" s="45">
        <f t="shared" si="3"/>
        <v>9</v>
      </c>
      <c r="J14" s="47">
        <f t="shared" si="1"/>
        <v>1350</v>
      </c>
      <c r="K14" s="47"/>
      <c r="L14" s="45"/>
      <c r="M14" s="45"/>
      <c r="N14" s="45"/>
      <c r="O14" s="48"/>
      <c r="P14" s="40">
        <f t="shared" si="4"/>
        <v>0</v>
      </c>
      <c r="Q14" s="49"/>
    </row>
    <row r="15" customHeight="1" spans="1:22">
      <c r="A15" s="50">
        <v>45955</v>
      </c>
      <c r="B15" s="51" t="s">
        <v>24</v>
      </c>
      <c r="C15" s="38" t="s">
        <v>25</v>
      </c>
      <c r="D15" s="51" t="s">
        <v>2</v>
      </c>
      <c r="E15" s="51" cm="1">
        <f t="array" ref="E15">IFERROR(VLOOKUP(D15,基本信息表!A:B,{2},FALSE),"")</f>
        <v>150</v>
      </c>
      <c r="F15" s="51" t="s">
        <v>28</v>
      </c>
      <c r="G15" s="51" t="s">
        <v>26</v>
      </c>
      <c r="H15" s="46" cm="1">
        <f t="array" ref="H15">NPV(-2,--_xlfn.TEXTSPLIT(_xlfn.TEXTJOIN("-",,F15:G15),"-"))</f>
        <v>0.375</v>
      </c>
      <c r="I15" s="51">
        <f t="shared" si="3"/>
        <v>9</v>
      </c>
      <c r="J15" s="52">
        <f t="shared" si="1"/>
        <v>1350</v>
      </c>
      <c r="K15" s="52"/>
      <c r="L15" s="51"/>
      <c r="M15" s="51"/>
      <c r="N15" s="51"/>
      <c r="O15" s="53"/>
      <c r="P15" s="40">
        <f t="shared" si="4"/>
        <v>0</v>
      </c>
      <c r="Q15" s="43"/>
    </row>
    <row r="16" customHeight="1" spans="1:22">
      <c r="A16" s="44">
        <v>45956</v>
      </c>
      <c r="B16" s="45" t="s">
        <v>24</v>
      </c>
      <c r="C16" s="38" t="s">
        <v>25</v>
      </c>
      <c r="D16" s="45" t="s">
        <v>2</v>
      </c>
      <c r="E16" s="45" cm="1">
        <f t="array" ref="E16">IFERROR(VLOOKUP(D16,基本信息表!A:B,{2},FALSE),"")</f>
        <v>150</v>
      </c>
      <c r="F16" s="45" t="s">
        <v>28</v>
      </c>
      <c r="G16" s="45" t="s">
        <v>26</v>
      </c>
      <c r="H16" s="46" cm="1">
        <f t="array" ref="H16">NPV(-2,--_xlfn.TEXTSPLIT(_xlfn.TEXTJOIN("-",,F16:G16),"-"))</f>
        <v>0.375</v>
      </c>
      <c r="I16" s="45">
        <f t="shared" si="3"/>
        <v>9</v>
      </c>
      <c r="J16" s="47">
        <f t="shared" si="1"/>
        <v>1350</v>
      </c>
      <c r="K16" s="47"/>
      <c r="L16" s="45"/>
      <c r="M16" s="45"/>
      <c r="N16" s="45"/>
      <c r="O16" s="48"/>
      <c r="P16" s="40">
        <f t="shared" si="4"/>
        <v>0</v>
      </c>
      <c r="Q16" s="49"/>
    </row>
    <row r="17" customHeight="1" spans="1:17">
      <c r="A17" s="50">
        <v>45957</v>
      </c>
      <c r="B17" s="51" t="s">
        <v>24</v>
      </c>
      <c r="C17" s="38" t="s">
        <v>25</v>
      </c>
      <c r="D17" s="51" t="s">
        <v>2</v>
      </c>
      <c r="E17" s="51" cm="1">
        <f t="array" ref="E17">IFERROR(VLOOKUP(D17,基本信息表!A:B,{2},FALSE),"")</f>
        <v>150</v>
      </c>
      <c r="F17" s="51" t="s">
        <v>28</v>
      </c>
      <c r="G17" s="51" t="s">
        <v>26</v>
      </c>
      <c r="H17" s="46" cm="1">
        <f t="array" ref="H17">NPV(-2,--_xlfn.TEXTSPLIT(_xlfn.TEXTJOIN("-",,F17:G17),"-"))</f>
        <v>0.375</v>
      </c>
      <c r="I17" s="51">
        <f t="shared" si="3"/>
        <v>9</v>
      </c>
      <c r="J17" s="52">
        <f t="shared" si="1"/>
        <v>1350</v>
      </c>
      <c r="K17" s="52"/>
      <c r="L17" s="51"/>
      <c r="M17" s="51"/>
      <c r="N17" s="51"/>
      <c r="O17" s="53"/>
      <c r="P17" s="40">
        <f t="shared" si="4"/>
        <v>0</v>
      </c>
      <c r="Q17" s="43"/>
    </row>
    <row r="18" customHeight="1" spans="1:17">
      <c r="A18" s="44">
        <v>45958</v>
      </c>
      <c r="B18" s="45" t="s">
        <v>24</v>
      </c>
      <c r="C18" s="38" t="s">
        <v>25</v>
      </c>
      <c r="D18" s="45" t="s">
        <v>2</v>
      </c>
      <c r="E18" s="45" cm="1">
        <f t="array" ref="E18">IFERROR(VLOOKUP(D18,基本信息表!A:B,{2},FALSE),"")</f>
        <v>150</v>
      </c>
      <c r="F18" s="45" t="s">
        <v>28</v>
      </c>
      <c r="G18" s="45" t="s">
        <v>26</v>
      </c>
      <c r="H18" s="46" cm="1">
        <f t="array" ref="H18">NPV(-2,--_xlfn.TEXTSPLIT(_xlfn.TEXTJOIN("-",,F18:G18),"-"))</f>
        <v>0.375</v>
      </c>
      <c r="I18" s="45">
        <f t="shared" si="3"/>
        <v>9</v>
      </c>
      <c r="J18" s="47">
        <f t="shared" si="1"/>
        <v>1350</v>
      </c>
      <c r="K18" s="47"/>
      <c r="L18" s="45"/>
      <c r="M18" s="45"/>
      <c r="N18" s="45"/>
      <c r="O18" s="48"/>
      <c r="P18" s="40">
        <f t="shared" si="4"/>
        <v>0</v>
      </c>
      <c r="Q18" s="49"/>
    </row>
    <row r="19" customHeight="1" spans="1:17">
      <c r="A19" s="50">
        <v>45959</v>
      </c>
      <c r="B19" s="51" t="s">
        <v>24</v>
      </c>
      <c r="C19" s="38" t="s">
        <v>25</v>
      </c>
      <c r="D19" s="51" t="s">
        <v>2</v>
      </c>
      <c r="E19" s="51" cm="1">
        <f t="array" ref="E19">IFERROR(VLOOKUP(D19,基本信息表!A:B,{2},FALSE),"")</f>
        <v>150</v>
      </c>
      <c r="F19" s="51" t="s">
        <v>28</v>
      </c>
      <c r="G19" s="51" t="s">
        <v>26</v>
      </c>
      <c r="H19" s="46" cm="1">
        <f t="array" ref="H19">NPV(-2,--_xlfn.TEXTSPLIT(_xlfn.TEXTJOIN("-",,F19:G19),"-"))</f>
        <v>0.375</v>
      </c>
      <c r="I19" s="51">
        <f t="shared" si="3"/>
        <v>9</v>
      </c>
      <c r="J19" s="52">
        <f t="shared" si="1"/>
        <v>1350</v>
      </c>
      <c r="K19" s="52"/>
      <c r="L19" s="51"/>
      <c r="M19" s="51"/>
      <c r="N19" s="51"/>
      <c r="O19" s="53"/>
      <c r="P19" s="40">
        <f t="shared" si="4"/>
        <v>0</v>
      </c>
      <c r="Q19" s="43"/>
    </row>
    <row r="20" customHeight="1" spans="1:17">
      <c r="A20" s="44">
        <v>45961</v>
      </c>
      <c r="B20" s="45" t="s">
        <v>24</v>
      </c>
      <c r="C20" s="38" t="s">
        <v>25</v>
      </c>
      <c r="D20" s="45" t="s">
        <v>2</v>
      </c>
      <c r="E20" s="45" cm="1">
        <f t="array" ref="E20">IFERROR(VLOOKUP(D20,基本信息表!A:B,{2},FALSE),"")</f>
        <v>150</v>
      </c>
      <c r="F20" s="45" t="s">
        <v>28</v>
      </c>
      <c r="G20" s="45" t="s">
        <v>26</v>
      </c>
      <c r="H20" s="46" cm="1">
        <f t="array" ref="H20">NPV(-2,--_xlfn.TEXTSPLIT(_xlfn.TEXTJOIN("-",,F20:G20),"-"))</f>
        <v>0.375</v>
      </c>
      <c r="I20" s="45">
        <f t="shared" si="3"/>
        <v>9</v>
      </c>
      <c r="J20" s="47">
        <f t="shared" si="1"/>
        <v>1350</v>
      </c>
      <c r="K20" s="47"/>
      <c r="L20" s="45"/>
      <c r="M20" s="45"/>
      <c r="N20" s="45"/>
      <c r="O20" s="48"/>
      <c r="P20" s="40">
        <f t="shared" si="4"/>
        <v>0</v>
      </c>
      <c r="Q20" s="49"/>
    </row>
    <row r="21" customHeight="1" spans="1:17">
      <c r="A21" s="50">
        <v>45962</v>
      </c>
      <c r="B21" s="51" t="s">
        <v>24</v>
      </c>
      <c r="C21" s="38" t="s">
        <v>25</v>
      </c>
      <c r="D21" s="51" t="s">
        <v>2</v>
      </c>
      <c r="E21" s="51" cm="1">
        <f t="array" ref="E21">IFERROR(VLOOKUP(D21,基本信息表!A:B,{2},FALSE),"")</f>
        <v>150</v>
      </c>
      <c r="F21" s="51" t="s">
        <v>28</v>
      </c>
      <c r="G21" s="51" t="s">
        <v>26</v>
      </c>
      <c r="H21" s="46" cm="1">
        <f t="array" ref="H21">NPV(-2,--_xlfn.TEXTSPLIT(_xlfn.TEXTJOIN("-",,F21:G21),"-"))</f>
        <v>0.375</v>
      </c>
      <c r="I21" s="51">
        <f t="shared" si="3"/>
        <v>9</v>
      </c>
      <c r="J21" s="52">
        <f t="shared" si="1"/>
        <v>1350</v>
      </c>
      <c r="K21" s="52"/>
      <c r="L21" s="51"/>
      <c r="M21" s="51"/>
      <c r="N21" s="51"/>
      <c r="O21" s="53"/>
      <c r="P21" s="40">
        <f t="shared" si="4"/>
        <v>0</v>
      </c>
      <c r="Q21" s="43"/>
    </row>
    <row r="22" customHeight="1" spans="1:17">
      <c r="A22" s="44">
        <v>45963</v>
      </c>
      <c r="B22" s="45" t="s">
        <v>24</v>
      </c>
      <c r="C22" s="38" t="s">
        <v>25</v>
      </c>
      <c r="D22" s="45" t="s">
        <v>2</v>
      </c>
      <c r="E22" s="45" cm="1">
        <f t="array" ref="E22">IFERROR(VLOOKUP(D22,基本信息表!A:B,{2},FALSE),"")</f>
        <v>150</v>
      </c>
      <c r="F22" s="45" t="s">
        <v>28</v>
      </c>
      <c r="G22" s="45" t="s">
        <v>26</v>
      </c>
      <c r="H22" s="46" cm="1">
        <f t="array" ref="H22">NPV(-2,--_xlfn.TEXTSPLIT(_xlfn.TEXTJOIN("-",,F22:G22),"-"))</f>
        <v>0.375</v>
      </c>
      <c r="I22" s="45">
        <f t="shared" si="3"/>
        <v>9</v>
      </c>
      <c r="J22" s="47">
        <f t="shared" si="1"/>
        <v>1350</v>
      </c>
      <c r="K22" s="47"/>
      <c r="L22" s="45"/>
      <c r="M22" s="45"/>
      <c r="N22" s="45"/>
      <c r="O22" s="48"/>
      <c r="P22" s="40">
        <f t="shared" si="4"/>
        <v>0</v>
      </c>
      <c r="Q22" s="49"/>
    </row>
    <row r="23" customHeight="1" spans="1:17">
      <c r="A23" s="50">
        <v>45964</v>
      </c>
      <c r="B23" s="51" t="s">
        <v>24</v>
      </c>
      <c r="C23" s="38" t="s">
        <v>25</v>
      </c>
      <c r="D23" s="51" t="s">
        <v>2</v>
      </c>
      <c r="E23" s="51" cm="1">
        <f t="array" ref="E23">IFERROR(VLOOKUP(D23,基本信息表!A:B,{2},FALSE),"")</f>
        <v>150</v>
      </c>
      <c r="F23" s="51" t="s">
        <v>28</v>
      </c>
      <c r="G23" s="51" t="s">
        <v>26</v>
      </c>
      <c r="H23" s="46" cm="1">
        <f t="array" ref="H23">NPV(-2,--_xlfn.TEXTSPLIT(_xlfn.TEXTJOIN("-",,F23:G23),"-"))</f>
        <v>0.375</v>
      </c>
      <c r="I23" s="51">
        <f t="shared" si="3"/>
        <v>9</v>
      </c>
      <c r="J23" s="52">
        <f t="shared" si="1"/>
        <v>1350</v>
      </c>
      <c r="K23" s="52"/>
      <c r="L23" s="51"/>
      <c r="M23" s="51"/>
      <c r="N23" s="51"/>
      <c r="O23" s="53"/>
      <c r="P23" s="40">
        <f t="shared" si="4"/>
        <v>0</v>
      </c>
      <c r="Q23" s="43"/>
    </row>
    <row r="24" customHeight="1" spans="1:17">
      <c r="A24" s="44">
        <v>45965</v>
      </c>
      <c r="B24" s="45" t="s">
        <v>24</v>
      </c>
      <c r="C24" s="38" t="s">
        <v>25</v>
      </c>
      <c r="D24" s="45" t="s">
        <v>2</v>
      </c>
      <c r="E24" s="45" cm="1">
        <f t="array" ref="E24">IFERROR(VLOOKUP(D24,基本信息表!A:B,{2},FALSE),"")</f>
        <v>150</v>
      </c>
      <c r="F24" s="45" t="s">
        <v>28</v>
      </c>
      <c r="G24" s="45" t="s">
        <v>26</v>
      </c>
      <c r="H24" s="46" cm="1">
        <f t="array" ref="H24">NPV(-2,--_xlfn.TEXTSPLIT(_xlfn.TEXTJOIN("-",,F24:G24),"-"))</f>
        <v>0.375</v>
      </c>
      <c r="I24" s="45">
        <f t="shared" si="3"/>
        <v>9</v>
      </c>
      <c r="J24" s="47">
        <f t="shared" si="1"/>
        <v>1350</v>
      </c>
      <c r="K24" s="47"/>
      <c r="L24" s="45"/>
      <c r="M24" s="45"/>
      <c r="N24" s="45"/>
      <c r="O24" s="48"/>
      <c r="P24" s="40">
        <f t="shared" si="4"/>
        <v>0</v>
      </c>
      <c r="Q24" s="49"/>
    </row>
    <row r="25" customHeight="1" spans="1:17">
      <c r="A25" s="50">
        <v>45966</v>
      </c>
      <c r="B25" s="51" t="s">
        <v>24</v>
      </c>
      <c r="C25" s="38" t="s">
        <v>25</v>
      </c>
      <c r="D25" s="51" t="s">
        <v>2</v>
      </c>
      <c r="E25" s="51" cm="1">
        <f t="array" ref="E25">IFERROR(VLOOKUP(D25,基本信息表!A:B,{2},FALSE),"")</f>
        <v>150</v>
      </c>
      <c r="F25" s="51" t="s">
        <v>32</v>
      </c>
      <c r="G25" s="51"/>
      <c r="H25" s="46" cm="1">
        <f t="array" ref="H25">NPV(-2,--_xlfn.TEXTSPLIT(_xlfn.TEXTJOIN("-",,F25:G25),"-"))</f>
        <v>0.125</v>
      </c>
      <c r="I25" s="51">
        <f t="shared" si="3"/>
        <v>3</v>
      </c>
      <c r="J25" s="52">
        <f t="shared" si="1"/>
        <v>450</v>
      </c>
      <c r="K25" s="52"/>
      <c r="L25" s="51"/>
      <c r="M25" s="51"/>
      <c r="N25" s="51"/>
      <c r="O25" s="53"/>
      <c r="P25" s="40">
        <f t="shared" si="4"/>
        <v>0</v>
      </c>
      <c r="Q25" s="43"/>
    </row>
    <row r="26" customHeight="1" spans="1:17">
      <c r="A26" s="44">
        <v>45973</v>
      </c>
      <c r="B26" s="45" t="s">
        <v>24</v>
      </c>
      <c r="C26" s="38" t="s">
        <v>25</v>
      </c>
      <c r="D26" s="45" t="s">
        <v>2</v>
      </c>
      <c r="E26" s="45" cm="1">
        <f t="array" ref="E26">IFERROR(VLOOKUP(D26,基本信息表!A:B,{2},FALSE),"")</f>
        <v>150</v>
      </c>
      <c r="F26" s="45" t="s">
        <v>33</v>
      </c>
      <c r="G26" s="45" t="s">
        <v>26</v>
      </c>
      <c r="H26" s="46" cm="1">
        <f t="array" ref="H26">NPV(-2,--_xlfn.TEXTSPLIT(_xlfn.TEXTJOIN("-",,F26:G26),"-"))</f>
        <v>0.270833333333333</v>
      </c>
      <c r="I26" s="45">
        <f t="shared" si="3"/>
        <v>6.5</v>
      </c>
      <c r="J26" s="47">
        <f t="shared" si="1"/>
        <v>975</v>
      </c>
      <c r="K26" s="47"/>
      <c r="L26" s="45"/>
      <c r="M26" s="45"/>
      <c r="N26" s="45"/>
      <c r="O26" s="48"/>
      <c r="P26" s="40">
        <f t="shared" si="4"/>
        <v>0</v>
      </c>
      <c r="Q26" s="49"/>
    </row>
    <row r="27" customHeight="1" spans="1:17">
      <c r="A27" s="50">
        <v>45974</v>
      </c>
      <c r="B27" s="51" t="s">
        <v>24</v>
      </c>
      <c r="C27" s="38" t="s">
        <v>25</v>
      </c>
      <c r="D27" s="51" t="s">
        <v>2</v>
      </c>
      <c r="E27" s="51" cm="1">
        <f t="array" ref="E27">IFERROR(VLOOKUP(D27,基本信息表!A:B,{2},FALSE),"")</f>
        <v>150</v>
      </c>
      <c r="F27" s="51" t="s">
        <v>28</v>
      </c>
      <c r="G27" s="51" t="s">
        <v>26</v>
      </c>
      <c r="H27" s="46" cm="1">
        <f t="array" ref="H27">NPV(-2,--_xlfn.TEXTSPLIT(_xlfn.TEXTJOIN("-",,F27:G27),"-"))</f>
        <v>0.375</v>
      </c>
      <c r="I27" s="51">
        <f t="shared" si="3"/>
        <v>9</v>
      </c>
      <c r="J27" s="52">
        <f t="shared" si="1"/>
        <v>1350</v>
      </c>
      <c r="K27" s="52"/>
      <c r="L27" s="51"/>
      <c r="M27" s="51"/>
      <c r="N27" s="51"/>
      <c r="O27" s="53"/>
      <c r="P27" s="40">
        <f t="shared" si="4"/>
        <v>0</v>
      </c>
      <c r="Q27" s="43"/>
    </row>
    <row r="28" customHeight="1" spans="1:17">
      <c r="A28" s="44">
        <v>45975</v>
      </c>
      <c r="B28" s="45" t="s">
        <v>24</v>
      </c>
      <c r="C28" s="38" t="s">
        <v>25</v>
      </c>
      <c r="D28" s="45" t="s">
        <v>2</v>
      </c>
      <c r="E28" s="45" cm="1">
        <f t="array" ref="E28">IFERROR(VLOOKUP(D28,基本信息表!A:B,{2},FALSE),"")</f>
        <v>150</v>
      </c>
      <c r="F28" s="45" t="s">
        <v>28</v>
      </c>
      <c r="G28" s="45" t="s">
        <v>26</v>
      </c>
      <c r="H28" s="46" cm="1">
        <f t="array" ref="H28">NPV(-2,--_xlfn.TEXTSPLIT(_xlfn.TEXTJOIN("-",,F28:G28),"-"))</f>
        <v>0.375</v>
      </c>
      <c r="I28" s="45">
        <f t="shared" si="3"/>
        <v>9</v>
      </c>
      <c r="J28" s="47">
        <f t="shared" si="1"/>
        <v>1350</v>
      </c>
      <c r="K28" s="47"/>
      <c r="L28" s="45"/>
      <c r="M28" s="45"/>
      <c r="N28" s="45"/>
      <c r="O28" s="48"/>
      <c r="P28" s="40">
        <f t="shared" si="4"/>
        <v>0</v>
      </c>
      <c r="Q28" s="49"/>
    </row>
    <row r="29" customHeight="1" spans="1:17">
      <c r="A29" s="50">
        <v>45976</v>
      </c>
      <c r="B29" s="51" t="s">
        <v>24</v>
      </c>
      <c r="C29" s="38" t="s">
        <v>25</v>
      </c>
      <c r="D29" s="51" t="s">
        <v>2</v>
      </c>
      <c r="E29" s="51" cm="1">
        <f t="array" ref="E29">IFERROR(VLOOKUP(D29,基本信息表!A:B,{2},FALSE),"")</f>
        <v>150</v>
      </c>
      <c r="F29" s="51" t="s">
        <v>28</v>
      </c>
      <c r="G29" s="51" t="s">
        <v>26</v>
      </c>
      <c r="H29" s="46" cm="1">
        <f t="array" ref="H29">NPV(-2,--_xlfn.TEXTSPLIT(_xlfn.TEXTJOIN("-",,F29:G29),"-"))</f>
        <v>0.375</v>
      </c>
      <c r="I29" s="51">
        <f t="shared" si="3"/>
        <v>9</v>
      </c>
      <c r="J29" s="52">
        <f t="shared" si="1"/>
        <v>1350</v>
      </c>
      <c r="K29" s="52"/>
      <c r="L29" s="51"/>
      <c r="M29" s="51"/>
      <c r="N29" s="51"/>
      <c r="O29" s="53"/>
      <c r="P29" s="40">
        <f t="shared" si="4"/>
        <v>0</v>
      </c>
      <c r="Q29" s="43"/>
    </row>
    <row r="30" customHeight="1" spans="1:17">
      <c r="A30" s="44">
        <v>45977</v>
      </c>
      <c r="B30" s="45" t="s">
        <v>24</v>
      </c>
      <c r="C30" s="38" t="s">
        <v>25</v>
      </c>
      <c r="D30" s="45" t="s">
        <v>2</v>
      </c>
      <c r="E30" s="45" cm="1">
        <f t="array" ref="E30">IFERROR(VLOOKUP(D30,基本信息表!A:B,{2},FALSE),"")</f>
        <v>150</v>
      </c>
      <c r="F30" s="45" t="s">
        <v>28</v>
      </c>
      <c r="G30" s="45" t="s">
        <v>26</v>
      </c>
      <c r="H30" s="46" cm="1">
        <f t="array" ref="H30">NPV(-2,--_xlfn.TEXTSPLIT(_xlfn.TEXTJOIN("-",,F30:G30),"-"))</f>
        <v>0.375</v>
      </c>
      <c r="I30" s="45">
        <f t="shared" si="3"/>
        <v>9</v>
      </c>
      <c r="J30" s="47">
        <f t="shared" si="1"/>
        <v>1350</v>
      </c>
      <c r="K30" s="47"/>
      <c r="L30" s="45"/>
      <c r="M30" s="45"/>
      <c r="N30" s="45"/>
      <c r="O30" s="48"/>
      <c r="P30" s="40">
        <f t="shared" si="4"/>
        <v>0</v>
      </c>
      <c r="Q30" s="49"/>
    </row>
    <row r="31" customHeight="1" spans="1:17">
      <c r="A31" s="50">
        <v>45978</v>
      </c>
      <c r="B31" s="51" t="s">
        <v>24</v>
      </c>
      <c r="C31" s="38" t="s">
        <v>25</v>
      </c>
      <c r="D31" s="51" t="s">
        <v>2</v>
      </c>
      <c r="E31" s="51" cm="1">
        <f t="array" ref="E31">IFERROR(VLOOKUP(D31,基本信息表!A:B,{2},FALSE),"")</f>
        <v>150</v>
      </c>
      <c r="F31" s="51" t="s">
        <v>28</v>
      </c>
      <c r="G31" s="51" t="s">
        <v>26</v>
      </c>
      <c r="H31" s="46" cm="1">
        <f t="array" ref="H31">NPV(-2,--_xlfn.TEXTSPLIT(_xlfn.TEXTJOIN("-",,F31:G31),"-"))</f>
        <v>0.375</v>
      </c>
      <c r="I31" s="51">
        <f t="shared" si="3"/>
        <v>9</v>
      </c>
      <c r="J31" s="52">
        <f t="shared" si="1"/>
        <v>1350</v>
      </c>
      <c r="K31" s="52"/>
      <c r="L31" s="51"/>
      <c r="M31" s="51"/>
      <c r="N31" s="51"/>
      <c r="O31" s="53"/>
      <c r="P31" s="40">
        <f t="shared" si="4"/>
        <v>0</v>
      </c>
      <c r="Q31" s="43"/>
    </row>
    <row r="32" customHeight="1" spans="1:17">
      <c r="A32" s="44">
        <v>45979</v>
      </c>
      <c r="B32" s="45" t="s">
        <v>24</v>
      </c>
      <c r="C32" s="38" t="s">
        <v>25</v>
      </c>
      <c r="D32" s="45" t="s">
        <v>2</v>
      </c>
      <c r="E32" s="45" cm="1">
        <f t="array" ref="E32">IFERROR(VLOOKUP(D32,基本信息表!A:B,{2},FALSE),"")</f>
        <v>150</v>
      </c>
      <c r="F32" s="45" t="s">
        <v>28</v>
      </c>
      <c r="G32" s="45" t="s">
        <v>26</v>
      </c>
      <c r="H32" s="46" cm="1">
        <f t="array" ref="H32">NPV(-2,--_xlfn.TEXTSPLIT(_xlfn.TEXTJOIN("-",,F32:G32),"-"))</f>
        <v>0.375</v>
      </c>
      <c r="I32" s="45">
        <f t="shared" si="3"/>
        <v>9</v>
      </c>
      <c r="J32" s="47">
        <f t="shared" si="1"/>
        <v>1350</v>
      </c>
      <c r="K32" s="47"/>
      <c r="L32" s="45"/>
      <c r="M32" s="45"/>
      <c r="N32" s="45"/>
      <c r="O32" s="48"/>
      <c r="P32" s="40">
        <f t="shared" si="4"/>
        <v>0</v>
      </c>
      <c r="Q32" s="49"/>
    </row>
    <row r="33" customHeight="1" spans="1:17">
      <c r="A33" s="50">
        <v>45980</v>
      </c>
      <c r="B33" s="51" t="s">
        <v>24</v>
      </c>
      <c r="C33" s="38" t="s">
        <v>25</v>
      </c>
      <c r="D33" s="51" t="s">
        <v>2</v>
      </c>
      <c r="E33" s="51" cm="1">
        <f t="array" ref="E33">IFERROR(VLOOKUP(D33,基本信息表!A:B,{2},FALSE),"")</f>
        <v>150</v>
      </c>
      <c r="F33" s="51" t="s">
        <v>28</v>
      </c>
      <c r="G33" s="51" t="s">
        <v>34</v>
      </c>
      <c r="H33" s="46" cm="1">
        <f t="array" ref="H33">NPV(-2,--_xlfn.TEXTSPLIT(_xlfn.TEXTJOIN("-",,F33:G33),"-"))</f>
        <v>0.354166666666667</v>
      </c>
      <c r="I33" s="51">
        <f t="shared" si="3"/>
        <v>8.5</v>
      </c>
      <c r="J33" s="52">
        <f t="shared" si="1"/>
        <v>1275</v>
      </c>
      <c r="K33" s="52"/>
      <c r="L33" s="51"/>
      <c r="M33" s="51"/>
      <c r="N33" s="51"/>
      <c r="O33" s="53"/>
      <c r="P33" s="40">
        <f t="shared" si="4"/>
        <v>0</v>
      </c>
      <c r="Q33" s="43"/>
    </row>
    <row r="34" customHeight="1" spans="1:17">
      <c r="A34" s="44">
        <v>45982</v>
      </c>
      <c r="B34" s="45" t="s">
        <v>24</v>
      </c>
      <c r="C34" s="38" t="s">
        <v>25</v>
      </c>
      <c r="D34" s="45" t="s">
        <v>2</v>
      </c>
      <c r="E34" s="45" cm="1">
        <f t="array" ref="E34">IFERROR(VLOOKUP(D34,基本信息表!A:B,{2},FALSE),"")</f>
        <v>150</v>
      </c>
      <c r="F34" s="45" t="s">
        <v>28</v>
      </c>
      <c r="G34" s="45" t="s">
        <v>26</v>
      </c>
      <c r="H34" s="46" cm="1">
        <f t="array" ref="H34">NPV(-2,--_xlfn.TEXTSPLIT(_xlfn.TEXTJOIN("-",,F34:G34),"-"))</f>
        <v>0.375</v>
      </c>
      <c r="I34" s="45">
        <f t="shared" si="3"/>
        <v>9</v>
      </c>
      <c r="J34" s="47">
        <f t="shared" si="1"/>
        <v>1350</v>
      </c>
      <c r="K34" s="47"/>
      <c r="L34" s="45"/>
      <c r="M34" s="45"/>
      <c r="N34" s="45"/>
      <c r="O34" s="48"/>
      <c r="P34" s="40">
        <f t="shared" si="4"/>
        <v>0</v>
      </c>
      <c r="Q34" s="49"/>
    </row>
    <row r="35" customHeight="1" spans="1:17">
      <c r="A35" s="50">
        <v>45984</v>
      </c>
      <c r="B35" s="51" t="s">
        <v>24</v>
      </c>
      <c r="C35" s="38" t="s">
        <v>25</v>
      </c>
      <c r="D35" s="51" t="s">
        <v>2</v>
      </c>
      <c r="E35" s="51" cm="1">
        <f t="array" ref="E35">IFERROR(VLOOKUP(D35,基本信息表!A:B,{2},FALSE),"")</f>
        <v>150</v>
      </c>
      <c r="F35" s="51" t="s">
        <v>28</v>
      </c>
      <c r="G35" s="51"/>
      <c r="H35" s="46" cm="1">
        <f t="array" ref="H35">NPV(-2,--_xlfn.TEXTSPLIT(_xlfn.TEXTJOIN("-",,F35:G35),"-"))</f>
        <v>0.1875</v>
      </c>
      <c r="I35" s="51">
        <f t="shared" si="3"/>
        <v>4.5</v>
      </c>
      <c r="J35" s="52">
        <f t="shared" si="1"/>
        <v>675</v>
      </c>
      <c r="K35" s="52"/>
      <c r="L35" s="51"/>
      <c r="M35" s="51"/>
      <c r="N35" s="51"/>
      <c r="O35" s="53"/>
      <c r="P35" s="40">
        <f t="shared" si="4"/>
        <v>0</v>
      </c>
      <c r="Q35" s="43"/>
    </row>
    <row r="36" customHeight="1" spans="1:17">
      <c r="A36" s="44">
        <v>45985</v>
      </c>
      <c r="B36" s="45" t="s">
        <v>24</v>
      </c>
      <c r="C36" s="38" t="s">
        <v>25</v>
      </c>
      <c r="D36" s="45" t="s">
        <v>2</v>
      </c>
      <c r="E36" s="45" cm="1">
        <f t="array" ref="E36">IFERROR(VLOOKUP(D36,基本信息表!A:B,{2},FALSE),"")</f>
        <v>150</v>
      </c>
      <c r="F36" s="45"/>
      <c r="G36" s="45" t="s">
        <v>26</v>
      </c>
      <c r="H36" s="46" cm="1">
        <f t="array" ref="H36">NPV(-2,--_xlfn.TEXTSPLIT(_xlfn.TEXTJOIN("-",,F36:G36),"-"))</f>
        <v>0.1875</v>
      </c>
      <c r="I36" s="45">
        <f t="shared" si="3"/>
        <v>4.5</v>
      </c>
      <c r="J36" s="47">
        <f t="shared" ref="J36:J67" si="5">E36*I36</f>
        <v>675</v>
      </c>
      <c r="K36" s="47"/>
      <c r="L36" s="45"/>
      <c r="M36" s="45"/>
      <c r="N36" s="45"/>
      <c r="O36" s="48"/>
      <c r="P36" s="40">
        <f t="shared" si="4"/>
        <v>0</v>
      </c>
      <c r="Q36" s="49"/>
    </row>
    <row r="37" customHeight="1" spans="1:17">
      <c r="A37" s="50">
        <v>45986</v>
      </c>
      <c r="B37" s="51" t="s">
        <v>24</v>
      </c>
      <c r="C37" s="38" t="s">
        <v>25</v>
      </c>
      <c r="D37" s="51" t="s">
        <v>2</v>
      </c>
      <c r="E37" s="51" cm="1">
        <f t="array" ref="E37">IFERROR(VLOOKUP(D37,基本信息表!A:B,{2},FALSE),"")</f>
        <v>150</v>
      </c>
      <c r="F37" s="51" t="s">
        <v>28</v>
      </c>
      <c r="G37" s="51" t="s">
        <v>26</v>
      </c>
      <c r="H37" s="46" cm="1">
        <f t="array" ref="H37">NPV(-2,--_xlfn.TEXTSPLIT(_xlfn.TEXTJOIN("-",,F37:G37),"-"))</f>
        <v>0.375</v>
      </c>
      <c r="I37" s="51">
        <f t="shared" si="3"/>
        <v>9</v>
      </c>
      <c r="J37" s="52">
        <f t="shared" si="5"/>
        <v>1350</v>
      </c>
      <c r="K37" s="52"/>
      <c r="L37" s="51"/>
      <c r="M37" s="51"/>
      <c r="N37" s="51"/>
      <c r="O37" s="53"/>
      <c r="P37" s="40">
        <f t="shared" si="4"/>
        <v>0</v>
      </c>
      <c r="Q37" s="43"/>
    </row>
    <row r="38" customHeight="1" spans="1:17">
      <c r="A38" s="44">
        <v>45987</v>
      </c>
      <c r="B38" s="45" t="s">
        <v>24</v>
      </c>
      <c r="C38" s="38" t="s">
        <v>25</v>
      </c>
      <c r="D38" s="45" t="s">
        <v>2</v>
      </c>
      <c r="E38" s="45" cm="1">
        <f t="array" ref="E38">IFERROR(VLOOKUP(D38,基本信息表!A:B,{2},FALSE),"")</f>
        <v>150</v>
      </c>
      <c r="F38" s="45" t="s">
        <v>28</v>
      </c>
      <c r="G38" s="45" t="s">
        <v>26</v>
      </c>
      <c r="H38" s="46" cm="1">
        <f t="array" ref="H38">NPV(-2,--_xlfn.TEXTSPLIT(_xlfn.TEXTJOIN("-",,F38:G38),"-"))</f>
        <v>0.375</v>
      </c>
      <c r="I38" s="45">
        <f t="shared" si="3"/>
        <v>9</v>
      </c>
      <c r="J38" s="47">
        <f t="shared" si="5"/>
        <v>1350</v>
      </c>
      <c r="K38" s="47"/>
      <c r="L38" s="45"/>
      <c r="M38" s="45"/>
      <c r="N38" s="45"/>
      <c r="O38" s="48"/>
      <c r="P38" s="40">
        <f t="shared" si="4"/>
        <v>0</v>
      </c>
      <c r="Q38" s="49"/>
    </row>
    <row r="39" customHeight="1" spans="1:17">
      <c r="A39" s="50">
        <v>45988</v>
      </c>
      <c r="B39" s="51" t="s">
        <v>24</v>
      </c>
      <c r="C39" s="38" t="s">
        <v>25</v>
      </c>
      <c r="D39" s="51" t="s">
        <v>2</v>
      </c>
      <c r="E39" s="51" cm="1">
        <f t="array" ref="E39">IFERROR(VLOOKUP(D39,基本信息表!A:B,{2},FALSE),"")</f>
        <v>150</v>
      </c>
      <c r="F39" s="51" t="s">
        <v>28</v>
      </c>
      <c r="G39" s="51" t="s">
        <v>26</v>
      </c>
      <c r="H39" s="46" cm="1">
        <f t="array" ref="H39">NPV(-2,--_xlfn.TEXTSPLIT(_xlfn.TEXTJOIN("-",,F39:G39),"-"))</f>
        <v>0.375</v>
      </c>
      <c r="I39" s="51">
        <f t="shared" si="3"/>
        <v>9</v>
      </c>
      <c r="J39" s="52">
        <f t="shared" si="5"/>
        <v>1350</v>
      </c>
      <c r="K39" s="52"/>
      <c r="L39" s="51"/>
      <c r="M39" s="51"/>
      <c r="N39" s="51"/>
      <c r="O39" s="53"/>
      <c r="P39" s="40">
        <f t="shared" si="4"/>
        <v>0</v>
      </c>
      <c r="Q39" s="43"/>
    </row>
    <row r="40" customHeight="1" spans="1:17">
      <c r="A40" s="44">
        <v>45989</v>
      </c>
      <c r="B40" s="45" t="s">
        <v>24</v>
      </c>
      <c r="C40" s="38" t="s">
        <v>25</v>
      </c>
      <c r="D40" s="45" t="s">
        <v>2</v>
      </c>
      <c r="E40" s="45" cm="1">
        <f t="array" ref="E40">IFERROR(VLOOKUP(D40,基本信息表!A:B,{2},FALSE),"")</f>
        <v>150</v>
      </c>
      <c r="F40" s="45" t="s">
        <v>32</v>
      </c>
      <c r="G40" s="45"/>
      <c r="H40" s="46" cm="1">
        <f t="array" ref="H40">NPV(-2,--_xlfn.TEXTSPLIT(_xlfn.TEXTJOIN("-",,F40:G40),"-"))</f>
        <v>0.125</v>
      </c>
      <c r="I40" s="45">
        <f t="shared" si="3"/>
        <v>3</v>
      </c>
      <c r="J40" s="47">
        <f t="shared" si="5"/>
        <v>450</v>
      </c>
      <c r="K40" s="47"/>
      <c r="L40" s="45"/>
      <c r="M40" s="45"/>
      <c r="N40" s="45"/>
      <c r="O40" s="48"/>
      <c r="P40" s="40">
        <f t="shared" si="4"/>
        <v>0</v>
      </c>
      <c r="Q40" s="49"/>
    </row>
    <row r="41" customHeight="1" spans="1:17">
      <c r="A41" s="50">
        <v>45991</v>
      </c>
      <c r="B41" s="51" t="s">
        <v>24</v>
      </c>
      <c r="C41" s="38" t="s">
        <v>25</v>
      </c>
      <c r="D41" s="51" t="s">
        <v>2</v>
      </c>
      <c r="E41" s="51" cm="1">
        <f t="array" ref="E41">IFERROR(VLOOKUP(D41,基本信息表!A:B,{2},FALSE),"")</f>
        <v>150</v>
      </c>
      <c r="F41" s="51" t="s">
        <v>28</v>
      </c>
      <c r="G41" s="51" t="s">
        <v>35</v>
      </c>
      <c r="H41" s="46" cm="1">
        <f t="array" ref="H41">NPV(-2,--_xlfn.TEXTSPLIT(_xlfn.TEXTJOIN("-",,F41:G41),"-"))</f>
        <v>0.354166666666667</v>
      </c>
      <c r="I41" s="51">
        <f t="shared" si="3"/>
        <v>8.5</v>
      </c>
      <c r="J41" s="52">
        <f t="shared" si="5"/>
        <v>1275</v>
      </c>
      <c r="K41" s="52"/>
      <c r="L41" s="51"/>
      <c r="M41" s="51"/>
      <c r="N41" s="51"/>
      <c r="O41" s="53"/>
      <c r="P41" s="40">
        <f t="shared" si="4"/>
        <v>0</v>
      </c>
      <c r="Q41" s="43"/>
    </row>
    <row r="42" customHeight="1" spans="1:17">
      <c r="A42" s="44">
        <v>45992</v>
      </c>
      <c r="B42" s="45" t="s">
        <v>24</v>
      </c>
      <c r="C42" s="38" t="s">
        <v>25</v>
      </c>
      <c r="D42" s="45" t="s">
        <v>2</v>
      </c>
      <c r="E42" s="45" cm="1">
        <f t="array" ref="E42">IFERROR(VLOOKUP(D42,基本信息表!A:B,{2},FALSE),"")</f>
        <v>150</v>
      </c>
      <c r="F42" s="45" t="s">
        <v>28</v>
      </c>
      <c r="G42" s="45" t="s">
        <v>36</v>
      </c>
      <c r="H42" s="46" cm="1">
        <f t="array" ref="H42">NPV(-2,--_xlfn.TEXTSPLIT(_xlfn.TEXTJOIN("-",,F42:G42),"-"))</f>
        <v>0.3125</v>
      </c>
      <c r="I42" s="45">
        <f t="shared" si="3"/>
        <v>7.5</v>
      </c>
      <c r="J42" s="47">
        <f t="shared" si="5"/>
        <v>1125</v>
      </c>
      <c r="K42" s="47"/>
      <c r="L42" s="45"/>
      <c r="M42" s="45"/>
      <c r="N42" s="45"/>
      <c r="O42" s="48"/>
      <c r="P42" s="40">
        <f t="shared" si="4"/>
        <v>0</v>
      </c>
      <c r="Q42" s="49"/>
    </row>
    <row r="43" customHeight="1" spans="1:17">
      <c r="A43" s="50">
        <v>45994</v>
      </c>
      <c r="B43" s="51" t="s">
        <v>24</v>
      </c>
      <c r="C43" s="38" t="s">
        <v>25</v>
      </c>
      <c r="D43" s="51" t="s">
        <v>2</v>
      </c>
      <c r="E43" s="51" cm="1">
        <f t="array" ref="E43">IFERROR(VLOOKUP(D43,基本信息表!A:B,{2},FALSE),"")</f>
        <v>150</v>
      </c>
      <c r="F43" s="51" t="s">
        <v>28</v>
      </c>
      <c r="G43" s="51"/>
      <c r="H43" s="46" cm="1">
        <f t="array" ref="H43">NPV(-2,--_xlfn.TEXTSPLIT(_xlfn.TEXTJOIN("-",,F43:G43),"-"))</f>
        <v>0.1875</v>
      </c>
      <c r="I43" s="51">
        <f t="shared" si="3"/>
        <v>4.5</v>
      </c>
      <c r="J43" s="52">
        <f t="shared" si="5"/>
        <v>675</v>
      </c>
      <c r="K43" s="52"/>
      <c r="L43" s="51"/>
      <c r="M43" s="51"/>
      <c r="N43" s="51"/>
      <c r="O43" s="53"/>
      <c r="P43" s="40">
        <f t="shared" si="4"/>
        <v>0</v>
      </c>
      <c r="Q43" s="43"/>
    </row>
    <row r="44" customHeight="1" spans="1:17">
      <c r="A44" s="44">
        <v>45997</v>
      </c>
      <c r="B44" s="45" t="s">
        <v>24</v>
      </c>
      <c r="C44" s="38" t="s">
        <v>25</v>
      </c>
      <c r="D44" s="45" t="s">
        <v>2</v>
      </c>
      <c r="E44" s="45" cm="1">
        <f t="array" ref="E44">IFERROR(VLOOKUP(D44,基本信息表!A:B,{2},FALSE),"")</f>
        <v>150</v>
      </c>
      <c r="F44" s="45" t="s">
        <v>28</v>
      </c>
      <c r="G44" s="45" t="s">
        <v>26</v>
      </c>
      <c r="H44" s="46" cm="1">
        <f t="array" ref="H44">NPV(-2,--_xlfn.TEXTSPLIT(_xlfn.TEXTJOIN("-",,F44:G44),"-"))</f>
        <v>0.375</v>
      </c>
      <c r="I44" s="45">
        <f t="shared" si="3"/>
        <v>9</v>
      </c>
      <c r="J44" s="47">
        <f t="shared" si="5"/>
        <v>1350</v>
      </c>
      <c r="K44" s="47"/>
      <c r="L44" s="45"/>
      <c r="M44" s="45"/>
      <c r="N44" s="45"/>
      <c r="O44" s="48"/>
      <c r="P44" s="40">
        <f t="shared" si="4"/>
        <v>0</v>
      </c>
      <c r="Q44" s="49"/>
    </row>
    <row r="45" customHeight="1" spans="1:17">
      <c r="A45" s="50">
        <v>45999</v>
      </c>
      <c r="B45" s="51" t="s">
        <v>24</v>
      </c>
      <c r="C45" s="38" t="s">
        <v>25</v>
      </c>
      <c r="D45" s="51" t="s">
        <v>2</v>
      </c>
      <c r="E45" s="51" cm="1">
        <f t="array" ref="E45">IFERROR(VLOOKUP(D45,基本信息表!A:B,{2},FALSE),"")</f>
        <v>150</v>
      </c>
      <c r="F45" s="51"/>
      <c r="G45" s="51" t="s">
        <v>37</v>
      </c>
      <c r="H45" s="46" cm="1">
        <f t="array" ref="H45">NPV(-2,--_xlfn.TEXTSPLIT(_xlfn.TEXTJOIN("-",,F45:G45),"-"))</f>
        <v>0.0833333333333333</v>
      </c>
      <c r="I45" s="51">
        <f t="shared" ref="I45:I83" si="6">H45*24</f>
        <v>2</v>
      </c>
      <c r="J45" s="52">
        <f t="shared" si="5"/>
        <v>300</v>
      </c>
      <c r="K45" s="52"/>
      <c r="L45" s="51"/>
      <c r="M45" s="51"/>
      <c r="N45" s="51"/>
      <c r="O45" s="53"/>
      <c r="P45" s="40">
        <f t="shared" ref="P45:P89" si="7">N45/(1+O45)*O45</f>
        <v>0</v>
      </c>
      <c r="Q45" s="43"/>
    </row>
    <row r="46" customHeight="1" spans="1:17">
      <c r="A46" s="44">
        <v>46000</v>
      </c>
      <c r="B46" s="45" t="s">
        <v>24</v>
      </c>
      <c r="C46" s="38" t="s">
        <v>25</v>
      </c>
      <c r="D46" s="45" t="s">
        <v>2</v>
      </c>
      <c r="E46" s="45" cm="1">
        <f t="array" ref="E46">IFERROR(VLOOKUP(D46,基本信息表!A:B,{2},FALSE),"")</f>
        <v>150</v>
      </c>
      <c r="F46" s="45" t="s">
        <v>28</v>
      </c>
      <c r="G46" s="45" t="s">
        <v>26</v>
      </c>
      <c r="H46" s="46" cm="1">
        <f t="array" ref="H46">NPV(-2,--_xlfn.TEXTSPLIT(_xlfn.TEXTJOIN("-",,F46:G46),"-"))</f>
        <v>0.375</v>
      </c>
      <c r="I46" s="45">
        <f t="shared" si="6"/>
        <v>9</v>
      </c>
      <c r="J46" s="47">
        <f t="shared" si="5"/>
        <v>1350</v>
      </c>
      <c r="K46" s="47"/>
      <c r="L46" s="45"/>
      <c r="M46" s="45"/>
      <c r="N46" s="45"/>
      <c r="O46" s="48"/>
      <c r="P46" s="40">
        <f t="shared" si="7"/>
        <v>0</v>
      </c>
      <c r="Q46" s="49"/>
    </row>
    <row r="47" customHeight="1" spans="1:17">
      <c r="A47" s="50">
        <v>46001</v>
      </c>
      <c r="B47" s="51" t="s">
        <v>24</v>
      </c>
      <c r="C47" s="38" t="s">
        <v>25</v>
      </c>
      <c r="D47" s="51" t="s">
        <v>2</v>
      </c>
      <c r="E47" s="51" cm="1">
        <f t="array" ref="E47">IFERROR(VLOOKUP(D47,基本信息表!A:B,{2},FALSE),"")</f>
        <v>150</v>
      </c>
      <c r="F47" s="51" t="s">
        <v>28</v>
      </c>
      <c r="G47" s="51"/>
      <c r="H47" s="46" cm="1">
        <f t="array" ref="H47">NPV(-2,--_xlfn.TEXTSPLIT(_xlfn.TEXTJOIN("-",,F47:G47),"-"))</f>
        <v>0.1875</v>
      </c>
      <c r="I47" s="51">
        <f t="shared" si="6"/>
        <v>4.5</v>
      </c>
      <c r="J47" s="52">
        <f t="shared" si="5"/>
        <v>675</v>
      </c>
      <c r="K47" s="52"/>
      <c r="L47" s="51"/>
      <c r="M47" s="51"/>
      <c r="N47" s="51"/>
      <c r="O47" s="53"/>
      <c r="P47" s="40">
        <f t="shared" si="7"/>
        <v>0</v>
      </c>
      <c r="Q47" s="43"/>
    </row>
    <row r="48" customHeight="1" spans="1:17">
      <c r="A48" s="44">
        <v>46004</v>
      </c>
      <c r="B48" s="45" t="s">
        <v>24</v>
      </c>
      <c r="C48" s="38" t="s">
        <v>25</v>
      </c>
      <c r="D48" s="45" t="s">
        <v>2</v>
      </c>
      <c r="E48" s="45" cm="1">
        <f t="array" ref="E48">IFERROR(VLOOKUP(D48,基本信息表!A:B,{2},FALSE),"")</f>
        <v>150</v>
      </c>
      <c r="F48" s="45" t="s">
        <v>28</v>
      </c>
      <c r="G48" s="45" t="s">
        <v>26</v>
      </c>
      <c r="H48" s="46" cm="1">
        <f t="array" ref="H48">NPV(-2,--_xlfn.TEXTSPLIT(_xlfn.TEXTJOIN("-",,F48:G48),"-"))</f>
        <v>0.375</v>
      </c>
      <c r="I48" s="45">
        <f t="shared" si="6"/>
        <v>9</v>
      </c>
      <c r="J48" s="47">
        <f t="shared" si="5"/>
        <v>1350</v>
      </c>
      <c r="K48" s="47"/>
      <c r="L48" s="45"/>
      <c r="M48" s="45"/>
      <c r="N48" s="45"/>
      <c r="O48" s="48"/>
      <c r="P48" s="40">
        <f t="shared" si="7"/>
        <v>0</v>
      </c>
      <c r="Q48" s="49"/>
    </row>
    <row r="49" customHeight="1" spans="1:17">
      <c r="A49" s="50">
        <v>46005</v>
      </c>
      <c r="B49" s="51" t="s">
        <v>24</v>
      </c>
      <c r="C49" s="38" t="s">
        <v>25</v>
      </c>
      <c r="D49" s="51" t="s">
        <v>2</v>
      </c>
      <c r="E49" s="51" cm="1">
        <f t="array" ref="E49">IFERROR(VLOOKUP(D49,基本信息表!A:B,{2},FALSE),"")</f>
        <v>150</v>
      </c>
      <c r="F49" s="51" t="s">
        <v>28</v>
      </c>
      <c r="G49" s="51" t="s">
        <v>26</v>
      </c>
      <c r="H49" s="46" cm="1">
        <f t="array" ref="H49">NPV(-2,--_xlfn.TEXTSPLIT(_xlfn.TEXTJOIN("-",,F49:G49),"-"))</f>
        <v>0.375</v>
      </c>
      <c r="I49" s="51">
        <f t="shared" si="6"/>
        <v>9</v>
      </c>
      <c r="J49" s="52">
        <f t="shared" si="5"/>
        <v>1350</v>
      </c>
      <c r="K49" s="52"/>
      <c r="L49" s="51"/>
      <c r="M49" s="51"/>
      <c r="N49" s="51"/>
      <c r="O49" s="53"/>
      <c r="P49" s="40">
        <f t="shared" si="7"/>
        <v>0</v>
      </c>
      <c r="Q49" s="43"/>
    </row>
    <row r="50" customHeight="1" spans="1:17">
      <c r="A50" s="44">
        <v>46006</v>
      </c>
      <c r="B50" s="45" t="s">
        <v>24</v>
      </c>
      <c r="C50" s="38" t="s">
        <v>25</v>
      </c>
      <c r="D50" s="45" t="s">
        <v>2</v>
      </c>
      <c r="E50" s="45" cm="1">
        <f t="array" ref="E50">IFERROR(VLOOKUP(D50,基本信息表!A:B,{2},FALSE),"")</f>
        <v>150</v>
      </c>
      <c r="F50" s="45" t="s">
        <v>38</v>
      </c>
      <c r="G50" s="45" t="s">
        <v>26</v>
      </c>
      <c r="H50" s="46" cm="1">
        <f t="array" ref="H50">NPV(-2,--_xlfn.TEXTSPLIT(_xlfn.TEXTJOIN("-",,F50:G50),"-"))</f>
        <v>0.25</v>
      </c>
      <c r="I50" s="45">
        <f t="shared" si="6"/>
        <v>6</v>
      </c>
      <c r="J50" s="47">
        <f t="shared" si="5"/>
        <v>900</v>
      </c>
      <c r="K50" s="47"/>
      <c r="L50" s="45"/>
      <c r="M50" s="45"/>
      <c r="N50" s="45"/>
      <c r="O50" s="48"/>
      <c r="P50" s="40">
        <f t="shared" si="7"/>
        <v>0</v>
      </c>
      <c r="Q50" s="49"/>
    </row>
    <row r="51" customHeight="1" spans="1:17">
      <c r="A51" s="50">
        <v>46007</v>
      </c>
      <c r="B51" s="51" t="s">
        <v>24</v>
      </c>
      <c r="C51" s="38" t="s">
        <v>25</v>
      </c>
      <c r="D51" s="51" t="s">
        <v>2</v>
      </c>
      <c r="E51" s="51" cm="1">
        <f t="array" ref="E51">IFERROR(VLOOKUP(D51,基本信息表!A:B,{2},FALSE),"")</f>
        <v>150</v>
      </c>
      <c r="F51" s="51" t="s">
        <v>39</v>
      </c>
      <c r="G51" s="51"/>
      <c r="H51" s="46" cm="1">
        <f t="array" ref="H51">NPV(-2,--_xlfn.TEXTSPLIT(_xlfn.TEXTJOIN("-",,F51:G51),"-"))</f>
        <v>0.0833333333333333</v>
      </c>
      <c r="I51" s="51">
        <f t="shared" si="6"/>
        <v>2</v>
      </c>
      <c r="J51" s="52">
        <f t="shared" si="5"/>
        <v>300</v>
      </c>
      <c r="K51" s="52"/>
      <c r="L51" s="51"/>
      <c r="M51" s="51"/>
      <c r="N51" s="51"/>
      <c r="O51" s="53"/>
      <c r="P51" s="40">
        <f t="shared" si="7"/>
        <v>0</v>
      </c>
      <c r="Q51" s="43"/>
    </row>
    <row r="52" customHeight="1" spans="1:17">
      <c r="A52" s="44">
        <v>46008</v>
      </c>
      <c r="B52" s="45" t="s">
        <v>24</v>
      </c>
      <c r="C52" s="38" t="s">
        <v>25</v>
      </c>
      <c r="D52" s="45" t="s">
        <v>2</v>
      </c>
      <c r="E52" s="45" cm="1">
        <f t="array" ref="E52">IFERROR(VLOOKUP(D52,基本信息表!A:B,{2},FALSE),"")</f>
        <v>150</v>
      </c>
      <c r="F52" s="45" t="s">
        <v>40</v>
      </c>
      <c r="G52" s="45" t="s">
        <v>26</v>
      </c>
      <c r="H52" s="46" cm="1">
        <f t="array" ref="H52">NPV(-2,--_xlfn.TEXTSPLIT(_xlfn.TEXTJOIN("-",,F52:G52),"-"))</f>
        <v>0.354166666666667</v>
      </c>
      <c r="I52" s="45">
        <f t="shared" si="6"/>
        <v>8.5</v>
      </c>
      <c r="J52" s="47">
        <f t="shared" si="5"/>
        <v>1275</v>
      </c>
      <c r="K52" s="47"/>
      <c r="L52" s="45"/>
      <c r="M52" s="45"/>
      <c r="N52" s="45"/>
      <c r="O52" s="48"/>
      <c r="P52" s="40">
        <f t="shared" si="7"/>
        <v>0</v>
      </c>
      <c r="Q52" s="49"/>
    </row>
    <row r="53" customHeight="1" spans="1:17">
      <c r="A53" s="50">
        <v>46009</v>
      </c>
      <c r="B53" s="51" t="s">
        <v>24</v>
      </c>
      <c r="C53" s="38" t="s">
        <v>25</v>
      </c>
      <c r="D53" s="51" t="s">
        <v>2</v>
      </c>
      <c r="E53" s="51" cm="1">
        <f t="array" ref="E53">IFERROR(VLOOKUP(D53,基本信息表!A:B,{2},FALSE),"")</f>
        <v>150</v>
      </c>
      <c r="F53" s="51" t="s">
        <v>28</v>
      </c>
      <c r="G53" s="51" t="s">
        <v>26</v>
      </c>
      <c r="H53" s="46" cm="1">
        <f t="array" ref="H53">NPV(-2,--_xlfn.TEXTSPLIT(_xlfn.TEXTJOIN("-",,F53:G53),"-"))</f>
        <v>0.375</v>
      </c>
      <c r="I53" s="51">
        <f t="shared" si="6"/>
        <v>9</v>
      </c>
      <c r="J53" s="52">
        <f t="shared" si="5"/>
        <v>1350</v>
      </c>
      <c r="K53" s="52"/>
      <c r="L53" s="51"/>
      <c r="M53" s="51"/>
      <c r="N53" s="51"/>
      <c r="O53" s="53"/>
      <c r="P53" s="40">
        <f t="shared" si="7"/>
        <v>0</v>
      </c>
      <c r="Q53" s="43"/>
    </row>
    <row r="54" customHeight="1" spans="1:17">
      <c r="A54" s="44">
        <v>46010</v>
      </c>
      <c r="B54" s="45" t="s">
        <v>24</v>
      </c>
      <c r="C54" s="38" t="s">
        <v>25</v>
      </c>
      <c r="D54" s="45" t="s">
        <v>2</v>
      </c>
      <c r="E54" s="45" cm="1">
        <f t="array" ref="E54">IFERROR(VLOOKUP(D54,基本信息表!A:B,{2},FALSE),"")</f>
        <v>150</v>
      </c>
      <c r="F54" s="45" t="s">
        <v>28</v>
      </c>
      <c r="G54" s="45" t="s">
        <v>26</v>
      </c>
      <c r="H54" s="46" cm="1">
        <f t="array" ref="H54">NPV(-2,--_xlfn.TEXTSPLIT(_xlfn.TEXTJOIN("-",,F54:G54),"-"))</f>
        <v>0.375</v>
      </c>
      <c r="I54" s="45">
        <f t="shared" si="6"/>
        <v>9</v>
      </c>
      <c r="J54" s="47">
        <f t="shared" si="5"/>
        <v>1350</v>
      </c>
      <c r="K54" s="47"/>
      <c r="L54" s="45"/>
      <c r="M54" s="45"/>
      <c r="N54" s="45"/>
      <c r="O54" s="48"/>
      <c r="P54" s="40">
        <f t="shared" si="7"/>
        <v>0</v>
      </c>
      <c r="Q54" s="49"/>
    </row>
    <row r="55" customHeight="1" spans="1:17">
      <c r="A55" s="50">
        <v>46011</v>
      </c>
      <c r="B55" s="51" t="s">
        <v>24</v>
      </c>
      <c r="C55" s="38" t="s">
        <v>25</v>
      </c>
      <c r="D55" s="51" t="s">
        <v>2</v>
      </c>
      <c r="E55" s="51" cm="1">
        <f t="array" ref="E55">IFERROR(VLOOKUP(D55,基本信息表!A:B,{2},FALSE),"")</f>
        <v>150</v>
      </c>
      <c r="F55" s="51" t="s">
        <v>28</v>
      </c>
      <c r="G55" s="51" t="s">
        <v>26</v>
      </c>
      <c r="H55" s="46" cm="1">
        <f t="array" ref="H55">NPV(-2,--_xlfn.TEXTSPLIT(_xlfn.TEXTJOIN("-",,F55:G55),"-"))</f>
        <v>0.375</v>
      </c>
      <c r="I55" s="51">
        <f t="shared" si="6"/>
        <v>9</v>
      </c>
      <c r="J55" s="52">
        <f t="shared" si="5"/>
        <v>1350</v>
      </c>
      <c r="K55" s="52"/>
      <c r="L55" s="51"/>
      <c r="M55" s="51"/>
      <c r="N55" s="51"/>
      <c r="O55" s="53"/>
      <c r="P55" s="40">
        <f t="shared" si="7"/>
        <v>0</v>
      </c>
      <c r="Q55" s="43"/>
    </row>
    <row r="56" customHeight="1" spans="1:17">
      <c r="A56" s="44">
        <v>46013</v>
      </c>
      <c r="B56" s="45" t="s">
        <v>24</v>
      </c>
      <c r="C56" s="38" t="s">
        <v>25</v>
      </c>
      <c r="D56" s="45" t="s">
        <v>2</v>
      </c>
      <c r="E56" s="45" cm="1">
        <f t="array" ref="E56">IFERROR(VLOOKUP(D56,基本信息表!A:B,{2},FALSE),"")</f>
        <v>150</v>
      </c>
      <c r="F56" s="45" t="s">
        <v>28</v>
      </c>
      <c r="G56" s="45" t="s">
        <v>26</v>
      </c>
      <c r="H56" s="46" cm="1">
        <f t="array" ref="H56">NPV(-2,--_xlfn.TEXTSPLIT(_xlfn.TEXTJOIN("-",,F56:G56),"-"))</f>
        <v>0.375</v>
      </c>
      <c r="I56" s="45">
        <f t="shared" si="6"/>
        <v>9</v>
      </c>
      <c r="J56" s="47">
        <f t="shared" si="5"/>
        <v>1350</v>
      </c>
      <c r="K56" s="47"/>
      <c r="L56" s="45"/>
      <c r="M56" s="45"/>
      <c r="N56" s="45"/>
      <c r="O56" s="48"/>
      <c r="P56" s="40">
        <f t="shared" si="7"/>
        <v>0</v>
      </c>
      <c r="Q56" s="49"/>
    </row>
    <row r="57" customHeight="1" spans="1:17">
      <c r="A57" s="50">
        <v>46014</v>
      </c>
      <c r="B57" s="51" t="s">
        <v>24</v>
      </c>
      <c r="C57" s="38" t="s">
        <v>25</v>
      </c>
      <c r="D57" s="51" t="s">
        <v>2</v>
      </c>
      <c r="E57" s="51" cm="1">
        <f t="array" ref="E57">IFERROR(VLOOKUP(D57,基本信息表!A:B,{2},FALSE),"")</f>
        <v>150</v>
      </c>
      <c r="F57" s="51" t="s">
        <v>28</v>
      </c>
      <c r="G57" s="51" t="s">
        <v>41</v>
      </c>
      <c r="H57" s="46" cm="1">
        <f t="array" ref="H57">NPV(-2,--_xlfn.TEXTSPLIT(_xlfn.TEXTJOIN("-",,F57:G57),"-"))</f>
        <v>0.333333333333333</v>
      </c>
      <c r="I57" s="51">
        <f t="shared" si="6"/>
        <v>8</v>
      </c>
      <c r="J57" s="52">
        <f t="shared" si="5"/>
        <v>1200</v>
      </c>
      <c r="K57" s="52"/>
      <c r="L57" s="51"/>
      <c r="M57" s="51"/>
      <c r="N57" s="51"/>
      <c r="O57" s="53"/>
      <c r="P57" s="40">
        <f t="shared" si="7"/>
        <v>0</v>
      </c>
      <c r="Q57" s="43"/>
    </row>
    <row r="58" customHeight="1" spans="1:17">
      <c r="A58" s="44">
        <v>46016</v>
      </c>
      <c r="B58" s="45" t="s">
        <v>24</v>
      </c>
      <c r="C58" s="38" t="s">
        <v>25</v>
      </c>
      <c r="D58" s="45" t="s">
        <v>2</v>
      </c>
      <c r="E58" s="45" cm="1">
        <f t="array" ref="E58">IFERROR(VLOOKUP(D58,基本信息表!A:B,{2},FALSE),"")</f>
        <v>150</v>
      </c>
      <c r="F58" s="45" t="s">
        <v>42</v>
      </c>
      <c r="G58" s="45" t="s">
        <v>43</v>
      </c>
      <c r="H58" s="46" cm="1">
        <f t="array" ref="H58">NPV(-2,--_xlfn.TEXTSPLIT(_xlfn.TEXTJOIN("-",,F58:G58),"-"))</f>
        <v>0.270833333333333</v>
      </c>
      <c r="I58" s="45">
        <f t="shared" si="6"/>
        <v>6.5</v>
      </c>
      <c r="J58" s="47">
        <f t="shared" si="5"/>
        <v>975</v>
      </c>
      <c r="K58" s="47"/>
      <c r="L58" s="45"/>
      <c r="M58" s="45"/>
      <c r="N58" s="45"/>
      <c r="O58" s="48"/>
      <c r="P58" s="40">
        <f t="shared" si="7"/>
        <v>0</v>
      </c>
      <c r="Q58" s="49"/>
    </row>
    <row r="59" customHeight="1" spans="1:17">
      <c r="A59" s="50">
        <v>46017</v>
      </c>
      <c r="B59" s="51" t="s">
        <v>24</v>
      </c>
      <c r="C59" s="38" t="s">
        <v>25</v>
      </c>
      <c r="D59" s="51" t="s">
        <v>2</v>
      </c>
      <c r="E59" s="51" cm="1">
        <f t="array" ref="E59">IFERROR(VLOOKUP(D59,基本信息表!A:B,{2},FALSE),"")</f>
        <v>150</v>
      </c>
      <c r="F59" s="51" t="s">
        <v>28</v>
      </c>
      <c r="G59" s="51" t="s">
        <v>26</v>
      </c>
      <c r="H59" s="46" cm="1">
        <f t="array" ref="H59">NPV(-2,--_xlfn.TEXTSPLIT(_xlfn.TEXTJOIN("-",,F59:G59),"-"))</f>
        <v>0.375</v>
      </c>
      <c r="I59" s="51">
        <f t="shared" si="6"/>
        <v>9</v>
      </c>
      <c r="J59" s="52">
        <f t="shared" si="5"/>
        <v>1350</v>
      </c>
      <c r="K59" s="52"/>
      <c r="L59" s="51"/>
      <c r="M59" s="51"/>
      <c r="N59" s="51"/>
      <c r="O59" s="53"/>
      <c r="P59" s="40">
        <f t="shared" si="7"/>
        <v>0</v>
      </c>
      <c r="Q59" s="43"/>
    </row>
    <row r="60" customHeight="1" spans="1:17">
      <c r="A60" s="44">
        <v>46018</v>
      </c>
      <c r="B60" s="45" t="s">
        <v>24</v>
      </c>
      <c r="C60" s="38" t="s">
        <v>25</v>
      </c>
      <c r="D60" s="45" t="s">
        <v>2</v>
      </c>
      <c r="E60" s="45" cm="1">
        <f t="array" ref="E60">IFERROR(VLOOKUP(D60,基本信息表!A:B,{2},FALSE),"")</f>
        <v>150</v>
      </c>
      <c r="F60" s="45" t="s">
        <v>28</v>
      </c>
      <c r="G60" s="45" t="s">
        <v>26</v>
      </c>
      <c r="H60" s="46" cm="1">
        <f t="array" ref="H60">NPV(-2,--_xlfn.TEXTSPLIT(_xlfn.TEXTJOIN("-",,F60:G60),"-"))</f>
        <v>0.375</v>
      </c>
      <c r="I60" s="45">
        <f t="shared" si="6"/>
        <v>9</v>
      </c>
      <c r="J60" s="47">
        <f t="shared" si="5"/>
        <v>1350</v>
      </c>
      <c r="K60" s="47"/>
      <c r="L60" s="45"/>
      <c r="M60" s="45"/>
      <c r="N60" s="45"/>
      <c r="O60" s="48"/>
      <c r="P60" s="40">
        <f t="shared" si="7"/>
        <v>0</v>
      </c>
      <c r="Q60" s="49"/>
    </row>
    <row r="61" customHeight="1" spans="1:17">
      <c r="A61" s="50">
        <v>46019</v>
      </c>
      <c r="B61" s="51" t="s">
        <v>24</v>
      </c>
      <c r="C61" s="38" t="s">
        <v>25</v>
      </c>
      <c r="D61" s="51" t="s">
        <v>2</v>
      </c>
      <c r="E61" s="51" cm="1">
        <f t="array" ref="E61">IFERROR(VLOOKUP(D61,基本信息表!A:B,{2},FALSE),"")</f>
        <v>150</v>
      </c>
      <c r="F61" s="51" t="s">
        <v>28</v>
      </c>
      <c r="G61" s="51" t="s">
        <v>26</v>
      </c>
      <c r="H61" s="46" cm="1">
        <f t="array" ref="H61">NPV(-2,--_xlfn.TEXTSPLIT(_xlfn.TEXTJOIN("-",,F61:G61),"-"))</f>
        <v>0.375</v>
      </c>
      <c r="I61" s="51">
        <f t="shared" si="6"/>
        <v>9</v>
      </c>
      <c r="J61" s="52">
        <f t="shared" si="5"/>
        <v>1350</v>
      </c>
      <c r="K61" s="52"/>
      <c r="L61" s="51"/>
      <c r="M61" s="51"/>
      <c r="N61" s="51"/>
      <c r="O61" s="53"/>
      <c r="P61" s="40">
        <f t="shared" si="7"/>
        <v>0</v>
      </c>
      <c r="Q61" s="43"/>
    </row>
    <row r="62" customHeight="1" spans="1:17">
      <c r="A62" s="44">
        <v>46020</v>
      </c>
      <c r="B62" s="45" t="s">
        <v>24</v>
      </c>
      <c r="C62" s="38" t="s">
        <v>25</v>
      </c>
      <c r="D62" s="45" t="s">
        <v>2</v>
      </c>
      <c r="E62" s="45" cm="1">
        <f t="array" ref="E62">IFERROR(VLOOKUP(D62,基本信息表!A:B,{2},FALSE),"")</f>
        <v>150</v>
      </c>
      <c r="F62" s="45" t="s">
        <v>28</v>
      </c>
      <c r="G62" s="45" t="s">
        <v>26</v>
      </c>
      <c r="H62" s="46" cm="1">
        <f t="array" ref="H62">NPV(-2,--_xlfn.TEXTSPLIT(_xlfn.TEXTJOIN("-",,F62:G62),"-"))</f>
        <v>0.375</v>
      </c>
      <c r="I62" s="45">
        <f t="shared" si="6"/>
        <v>9</v>
      </c>
      <c r="J62" s="47">
        <f t="shared" si="5"/>
        <v>1350</v>
      </c>
      <c r="K62" s="47"/>
      <c r="L62" s="45"/>
      <c r="M62" s="45"/>
      <c r="N62" s="45"/>
      <c r="O62" s="48"/>
      <c r="P62" s="40">
        <f t="shared" si="7"/>
        <v>0</v>
      </c>
      <c r="Q62" s="49"/>
    </row>
    <row r="63" customHeight="1" spans="1:17">
      <c r="A63" s="50">
        <v>46021</v>
      </c>
      <c r="B63" s="51" t="s">
        <v>24</v>
      </c>
      <c r="C63" s="38" t="s">
        <v>25</v>
      </c>
      <c r="D63" s="51" t="s">
        <v>2</v>
      </c>
      <c r="E63" s="51" cm="1">
        <f t="array" ref="E63">IFERROR(VLOOKUP(D63,基本信息表!A:B,{2},FALSE),"")</f>
        <v>150</v>
      </c>
      <c r="F63" s="51" t="s">
        <v>28</v>
      </c>
      <c r="G63" s="51" t="s">
        <v>26</v>
      </c>
      <c r="H63" s="46" cm="1">
        <f t="array" ref="H63">NPV(-2,--_xlfn.TEXTSPLIT(_xlfn.TEXTJOIN("-",,F63:G63),"-"))</f>
        <v>0.375</v>
      </c>
      <c r="I63" s="51">
        <f t="shared" si="6"/>
        <v>9</v>
      </c>
      <c r="J63" s="52">
        <f t="shared" si="5"/>
        <v>1350</v>
      </c>
      <c r="K63" s="52"/>
      <c r="L63" s="51"/>
      <c r="M63" s="51"/>
      <c r="N63" s="51"/>
      <c r="O63" s="53"/>
      <c r="P63" s="40">
        <f t="shared" si="7"/>
        <v>0</v>
      </c>
      <c r="Q63" s="43"/>
    </row>
    <row r="64" customHeight="1" spans="1:17">
      <c r="A64" s="44">
        <v>46024</v>
      </c>
      <c r="B64" s="45" t="s">
        <v>24</v>
      </c>
      <c r="C64" s="38" t="s">
        <v>25</v>
      </c>
      <c r="D64" s="45" t="s">
        <v>2</v>
      </c>
      <c r="E64" s="45" cm="1">
        <f t="array" ref="E64">IFERROR(VLOOKUP(D64,基本信息表!A:B,{2},FALSE),"")</f>
        <v>150</v>
      </c>
      <c r="F64" s="45" t="s">
        <v>28</v>
      </c>
      <c r="G64" s="45" t="s">
        <v>26</v>
      </c>
      <c r="H64" s="46" cm="1">
        <f t="array" ref="H64">NPV(-2,--_xlfn.TEXTSPLIT(_xlfn.TEXTJOIN("-",,F64:G64),"-"))</f>
        <v>0.375</v>
      </c>
      <c r="I64" s="45">
        <f t="shared" si="6"/>
        <v>9</v>
      </c>
      <c r="J64" s="47">
        <f t="shared" si="5"/>
        <v>1350</v>
      </c>
      <c r="K64" s="47"/>
      <c r="L64" s="45"/>
      <c r="M64" s="45"/>
      <c r="N64" s="45"/>
      <c r="O64" s="48"/>
      <c r="P64" s="40">
        <f t="shared" si="7"/>
        <v>0</v>
      </c>
      <c r="Q64" s="49"/>
    </row>
    <row r="65" customHeight="1" spans="1:17">
      <c r="A65" s="50">
        <v>46025</v>
      </c>
      <c r="B65" s="51" t="s">
        <v>24</v>
      </c>
      <c r="C65" s="38" t="s">
        <v>25</v>
      </c>
      <c r="D65" s="51" t="s">
        <v>2</v>
      </c>
      <c r="E65" s="51" cm="1">
        <f t="array" ref="E65">IFERROR(VLOOKUP(D65,基本信息表!A:B,{2},FALSE),"")</f>
        <v>150</v>
      </c>
      <c r="F65" s="51" t="s">
        <v>28</v>
      </c>
      <c r="G65" s="51" t="s">
        <v>26</v>
      </c>
      <c r="H65" s="46" cm="1">
        <f t="array" ref="H65">NPV(-2,--_xlfn.TEXTSPLIT(_xlfn.TEXTJOIN("-",,F65:G65),"-"))</f>
        <v>0.375</v>
      </c>
      <c r="I65" s="51">
        <f t="shared" si="6"/>
        <v>9</v>
      </c>
      <c r="J65" s="52">
        <f t="shared" si="5"/>
        <v>1350</v>
      </c>
      <c r="K65" s="52"/>
      <c r="L65" s="51"/>
      <c r="M65" s="51"/>
      <c r="N65" s="51"/>
      <c r="O65" s="53"/>
      <c r="P65" s="40">
        <f t="shared" si="7"/>
        <v>0</v>
      </c>
      <c r="Q65" s="43"/>
    </row>
    <row r="66" customHeight="1" spans="1:17">
      <c r="A66" s="44">
        <v>46026</v>
      </c>
      <c r="B66" s="45" t="s">
        <v>24</v>
      </c>
      <c r="C66" s="38" t="s">
        <v>25</v>
      </c>
      <c r="D66" s="45" t="s">
        <v>2</v>
      </c>
      <c r="E66" s="45" cm="1">
        <f t="array" ref="E66">IFERROR(VLOOKUP(D66,基本信息表!A:B,{2},FALSE),"")</f>
        <v>150</v>
      </c>
      <c r="F66" s="45" t="s">
        <v>28</v>
      </c>
      <c r="G66" s="45" t="s">
        <v>26</v>
      </c>
      <c r="H66" s="46" cm="1">
        <f t="array" ref="H66">NPV(-2,--_xlfn.TEXTSPLIT(_xlfn.TEXTJOIN("-",,F66:G66),"-"))</f>
        <v>0.375</v>
      </c>
      <c r="I66" s="45">
        <f t="shared" si="6"/>
        <v>9</v>
      </c>
      <c r="J66" s="47">
        <f t="shared" si="5"/>
        <v>1350</v>
      </c>
      <c r="K66" s="47"/>
      <c r="L66" s="45"/>
      <c r="M66" s="45"/>
      <c r="N66" s="45"/>
      <c r="O66" s="48"/>
      <c r="P66" s="40">
        <f t="shared" si="7"/>
        <v>0</v>
      </c>
      <c r="Q66" s="49"/>
    </row>
    <row r="67" customHeight="1" spans="1:17">
      <c r="A67" s="50">
        <v>46027</v>
      </c>
      <c r="B67" s="51" t="s">
        <v>24</v>
      </c>
      <c r="C67" s="38" t="s">
        <v>25</v>
      </c>
      <c r="D67" s="51" t="s">
        <v>2</v>
      </c>
      <c r="E67" s="51" cm="1">
        <f t="array" ref="E67">IFERROR(VLOOKUP(D67,基本信息表!A:B,{2},FALSE),"")</f>
        <v>150</v>
      </c>
      <c r="F67" s="51" t="s">
        <v>28</v>
      </c>
      <c r="G67" s="51" t="s">
        <v>26</v>
      </c>
      <c r="H67" s="46" cm="1">
        <f t="array" ref="H67">NPV(-2,--_xlfn.TEXTSPLIT(_xlfn.TEXTJOIN("-",,F67:G67),"-"))</f>
        <v>0.375</v>
      </c>
      <c r="I67" s="51">
        <f t="shared" si="6"/>
        <v>9</v>
      </c>
      <c r="J67" s="52">
        <f t="shared" si="5"/>
        <v>1350</v>
      </c>
      <c r="K67" s="52"/>
      <c r="L67" s="51"/>
      <c r="M67" s="51"/>
      <c r="N67" s="51"/>
      <c r="O67" s="53"/>
      <c r="P67" s="40">
        <f t="shared" si="7"/>
        <v>0</v>
      </c>
      <c r="Q67" s="43"/>
    </row>
    <row r="68" customHeight="1" spans="1:17">
      <c r="A68" s="44">
        <v>46028</v>
      </c>
      <c r="B68" s="45" t="s">
        <v>24</v>
      </c>
      <c r="C68" s="38" t="s">
        <v>25</v>
      </c>
      <c r="D68" s="45" t="s">
        <v>2</v>
      </c>
      <c r="E68" s="45" cm="1">
        <f t="array" ref="E68">IFERROR(VLOOKUP(D68,基本信息表!A:B,{2},FALSE),"")</f>
        <v>150</v>
      </c>
      <c r="F68" s="45" t="s">
        <v>28</v>
      </c>
      <c r="G68" s="45" t="s">
        <v>26</v>
      </c>
      <c r="H68" s="46" cm="1">
        <f t="array" ref="H68">NPV(-2,--_xlfn.TEXTSPLIT(_xlfn.TEXTJOIN("-",,F68:G68),"-"))</f>
        <v>0.375</v>
      </c>
      <c r="I68" s="45">
        <f t="shared" si="6"/>
        <v>9</v>
      </c>
      <c r="J68" s="47">
        <f t="shared" ref="J68:J89" si="8">E68*I68</f>
        <v>1350</v>
      </c>
      <c r="K68" s="47"/>
      <c r="L68" s="45"/>
      <c r="M68" s="45"/>
      <c r="N68" s="45"/>
      <c r="O68" s="48"/>
      <c r="P68" s="40">
        <f t="shared" si="7"/>
        <v>0</v>
      </c>
      <c r="Q68" s="49"/>
    </row>
    <row r="69" customHeight="1" spans="1:17">
      <c r="A69" s="50">
        <v>46029</v>
      </c>
      <c r="B69" s="51" t="s">
        <v>24</v>
      </c>
      <c r="C69" s="38" t="s">
        <v>25</v>
      </c>
      <c r="D69" s="51" t="s">
        <v>2</v>
      </c>
      <c r="E69" s="51" cm="1">
        <f t="array" ref="E69">IFERROR(VLOOKUP(D69,基本信息表!A:B,{2},FALSE),"")</f>
        <v>150</v>
      </c>
      <c r="F69" s="51" t="s">
        <v>28</v>
      </c>
      <c r="G69" s="51" t="s">
        <v>26</v>
      </c>
      <c r="H69" s="46" cm="1">
        <f t="array" ref="H69">NPV(-2,--_xlfn.TEXTSPLIT(_xlfn.TEXTJOIN("-",,F69:G69),"-"))</f>
        <v>0.375</v>
      </c>
      <c r="I69" s="51">
        <f t="shared" si="6"/>
        <v>9</v>
      </c>
      <c r="J69" s="52">
        <f t="shared" si="8"/>
        <v>1350</v>
      </c>
      <c r="K69" s="52"/>
      <c r="L69" s="51"/>
      <c r="M69" s="51"/>
      <c r="N69" s="51"/>
      <c r="O69" s="53"/>
      <c r="P69" s="40">
        <f t="shared" si="7"/>
        <v>0</v>
      </c>
      <c r="Q69" s="43"/>
    </row>
    <row r="70" customHeight="1" spans="1:17">
      <c r="A70" s="44">
        <v>46030</v>
      </c>
      <c r="B70" s="45" t="s">
        <v>24</v>
      </c>
      <c r="C70" s="38" t="s">
        <v>25</v>
      </c>
      <c r="D70" s="45" t="s">
        <v>2</v>
      </c>
      <c r="E70" s="45" cm="1">
        <f t="array" ref="E70">IFERROR(VLOOKUP(D70,基本信息表!A:B,{2},FALSE),"")</f>
        <v>150</v>
      </c>
      <c r="F70" s="45" t="s">
        <v>28</v>
      </c>
      <c r="G70" s="45" t="s">
        <v>26</v>
      </c>
      <c r="H70" s="46" cm="1">
        <f t="array" ref="H70">NPV(-2,--_xlfn.TEXTSPLIT(_xlfn.TEXTJOIN("-",,F70:G70),"-"))</f>
        <v>0.375</v>
      </c>
      <c r="I70" s="45">
        <f t="shared" si="6"/>
        <v>9</v>
      </c>
      <c r="J70" s="47">
        <f t="shared" si="8"/>
        <v>1350</v>
      </c>
      <c r="K70" s="47"/>
      <c r="L70" s="45"/>
      <c r="M70" s="45"/>
      <c r="N70" s="45"/>
      <c r="O70" s="48"/>
      <c r="P70" s="40">
        <f t="shared" si="7"/>
        <v>0</v>
      </c>
      <c r="Q70" s="49"/>
    </row>
    <row r="71" customHeight="1" spans="1:17">
      <c r="A71" s="50">
        <v>46031</v>
      </c>
      <c r="B71" s="51" t="s">
        <v>24</v>
      </c>
      <c r="C71" s="38" t="s">
        <v>25</v>
      </c>
      <c r="D71" s="51" t="s">
        <v>2</v>
      </c>
      <c r="E71" s="51" cm="1">
        <f t="array" ref="E71">IFERROR(VLOOKUP(D71,基本信息表!A:B,{2},FALSE),"")</f>
        <v>150</v>
      </c>
      <c r="F71" s="51" t="s">
        <v>28</v>
      </c>
      <c r="G71" s="51" t="s">
        <v>26</v>
      </c>
      <c r="H71" s="46" cm="1">
        <f t="array" ref="H71">NPV(-2,--_xlfn.TEXTSPLIT(_xlfn.TEXTJOIN("-",,F71:G71),"-"))</f>
        <v>0.375</v>
      </c>
      <c r="I71" s="51">
        <f t="shared" si="6"/>
        <v>9</v>
      </c>
      <c r="J71" s="52">
        <f t="shared" si="8"/>
        <v>1350</v>
      </c>
      <c r="K71" s="52"/>
      <c r="L71" s="51"/>
      <c r="M71" s="51"/>
      <c r="N71" s="51"/>
      <c r="O71" s="53"/>
      <c r="P71" s="40">
        <f t="shared" si="7"/>
        <v>0</v>
      </c>
      <c r="Q71" s="43"/>
    </row>
    <row r="72" customHeight="1" spans="1:17">
      <c r="A72" s="44">
        <v>46032</v>
      </c>
      <c r="B72" s="45" t="s">
        <v>24</v>
      </c>
      <c r="C72" s="38" t="s">
        <v>25</v>
      </c>
      <c r="D72" s="45" t="s">
        <v>2</v>
      </c>
      <c r="E72" s="45" cm="1">
        <f t="array" ref="E72">IFERROR(VLOOKUP(D72,基本信息表!A:B,{2},FALSE),"")</f>
        <v>150</v>
      </c>
      <c r="F72" s="45" t="s">
        <v>28</v>
      </c>
      <c r="G72" s="45" t="s">
        <v>43</v>
      </c>
      <c r="H72" s="46" cm="1">
        <f t="array" ref="H72">NPV(-2,--_xlfn.TEXTSPLIT(_xlfn.TEXTJOIN("-",,F72:G72),"-"))</f>
        <v>0.333333333333333</v>
      </c>
      <c r="I72" s="45">
        <f t="shared" si="6"/>
        <v>8</v>
      </c>
      <c r="J72" s="47">
        <f t="shared" si="8"/>
        <v>1200</v>
      </c>
      <c r="K72" s="47"/>
      <c r="L72" s="45"/>
      <c r="M72" s="45"/>
      <c r="N72" s="45"/>
      <c r="O72" s="48"/>
      <c r="P72" s="40">
        <f t="shared" si="7"/>
        <v>0</v>
      </c>
      <c r="Q72" s="49"/>
    </row>
    <row r="73" customHeight="1" spans="1:17">
      <c r="A73" s="54">
        <v>45966</v>
      </c>
      <c r="B73" s="55" t="s">
        <v>24</v>
      </c>
      <c r="C73" s="38" t="s">
        <v>25</v>
      </c>
      <c r="D73" s="55" t="s">
        <v>3</v>
      </c>
      <c r="E73" s="55" cm="1">
        <f t="array" ref="E73">IFERROR(VLOOKUP(D73,基本信息表!A:B,{2},FALSE),"")</f>
        <v>250</v>
      </c>
      <c r="F73" s="55" t="s">
        <v>38</v>
      </c>
      <c r="G73" s="55" t="s">
        <v>26</v>
      </c>
      <c r="H73" s="56" cm="1">
        <f t="array" ref="H73">NPV(-2,--_xlfn.TEXTSPLIT(_xlfn.TEXTJOIN("-",,F73:G73),"-"))</f>
        <v>0.25</v>
      </c>
      <c r="I73" s="57">
        <f t="shared" si="6"/>
        <v>6</v>
      </c>
      <c r="J73" s="58">
        <f t="shared" si="8"/>
        <v>1500</v>
      </c>
      <c r="K73" s="58"/>
      <c r="L73" s="55"/>
      <c r="M73" s="55"/>
      <c r="N73" s="55"/>
      <c r="O73" s="59"/>
      <c r="P73" s="40">
        <f t="shared" si="7"/>
        <v>0</v>
      </c>
      <c r="Q73" s="60"/>
    </row>
    <row r="74" customHeight="1" spans="1:17">
      <c r="A74" s="54">
        <v>45967</v>
      </c>
      <c r="B74" s="55" t="s">
        <v>24</v>
      </c>
      <c r="C74" s="38" t="s">
        <v>25</v>
      </c>
      <c r="D74" s="55" t="s">
        <v>3</v>
      </c>
      <c r="E74" s="55" cm="1">
        <f t="array" ref="E74">IFERROR(VLOOKUP(D74,基本信息表!A:B,{2},FALSE),"")</f>
        <v>250</v>
      </c>
      <c r="F74" s="55" t="s">
        <v>28</v>
      </c>
      <c r="G74" s="55" t="s">
        <v>26</v>
      </c>
      <c r="H74" s="56" cm="1">
        <f t="array" ref="H74">NPV(-2,--_xlfn.TEXTSPLIT(_xlfn.TEXTJOIN("-",,F74:G74),"-"))</f>
        <v>0.375</v>
      </c>
      <c r="I74" s="57">
        <f t="shared" si="6"/>
        <v>9</v>
      </c>
      <c r="J74" s="58">
        <f t="shared" si="8"/>
        <v>2250</v>
      </c>
      <c r="K74" s="58"/>
      <c r="L74" s="55"/>
      <c r="M74" s="55"/>
      <c r="N74" s="55"/>
      <c r="O74" s="59"/>
      <c r="P74" s="40">
        <f t="shared" si="7"/>
        <v>0</v>
      </c>
      <c r="Q74" s="60"/>
    </row>
    <row r="75" customHeight="1" spans="1:17">
      <c r="A75" s="54">
        <v>45968</v>
      </c>
      <c r="B75" s="55" t="s">
        <v>24</v>
      </c>
      <c r="C75" s="38" t="s">
        <v>25</v>
      </c>
      <c r="D75" s="55" t="s">
        <v>3</v>
      </c>
      <c r="E75" s="55" cm="1">
        <f t="array" ref="E75">IFERROR(VLOOKUP(D75,基本信息表!A:B,{2},FALSE),"")</f>
        <v>250</v>
      </c>
      <c r="F75" s="55" t="s">
        <v>28</v>
      </c>
      <c r="G75" s="55" t="s">
        <v>26</v>
      </c>
      <c r="H75" s="56" cm="1">
        <f t="array" ref="H75">NPV(-2,--_xlfn.TEXTSPLIT(_xlfn.TEXTJOIN("-",,F75:G75),"-"))</f>
        <v>0.375</v>
      </c>
      <c r="I75" s="57">
        <f t="shared" si="6"/>
        <v>9</v>
      </c>
      <c r="J75" s="58">
        <f t="shared" si="8"/>
        <v>2250</v>
      </c>
      <c r="K75" s="58"/>
      <c r="L75" s="55"/>
      <c r="M75" s="55"/>
      <c r="N75" s="55"/>
      <c r="O75" s="59"/>
      <c r="P75" s="40">
        <f t="shared" si="7"/>
        <v>0</v>
      </c>
      <c r="Q75" s="60"/>
    </row>
    <row r="76" customHeight="1" spans="1:17">
      <c r="A76" s="54">
        <v>45969</v>
      </c>
      <c r="B76" s="55" t="s">
        <v>24</v>
      </c>
      <c r="C76" s="38" t="s">
        <v>25</v>
      </c>
      <c r="D76" s="55" t="s">
        <v>3</v>
      </c>
      <c r="E76" s="55" cm="1">
        <f t="array" ref="E76">IFERROR(VLOOKUP(D76,基本信息表!A:B,{2},FALSE),"")</f>
        <v>250</v>
      </c>
      <c r="F76" s="55" t="s">
        <v>28</v>
      </c>
      <c r="G76" s="55"/>
      <c r="H76" s="56" cm="1">
        <f t="array" ref="H76">NPV(-2,--_xlfn.TEXTSPLIT(_xlfn.TEXTJOIN("-",,F76:G76),"-"))</f>
        <v>0.1875</v>
      </c>
      <c r="I76" s="57">
        <f t="shared" si="6"/>
        <v>4.5</v>
      </c>
      <c r="J76" s="58">
        <f t="shared" si="8"/>
        <v>1125</v>
      </c>
      <c r="K76" s="58"/>
      <c r="L76" s="55"/>
      <c r="M76" s="55"/>
      <c r="N76" s="55"/>
      <c r="O76" s="59"/>
      <c r="P76" s="40">
        <f t="shared" si="7"/>
        <v>0</v>
      </c>
      <c r="Q76" s="60"/>
    </row>
    <row r="77" customHeight="1" spans="1:17">
      <c r="A77" s="54">
        <v>45971</v>
      </c>
      <c r="B77" s="55" t="s">
        <v>24</v>
      </c>
      <c r="C77" s="38" t="s">
        <v>25</v>
      </c>
      <c r="D77" s="55" t="s">
        <v>3</v>
      </c>
      <c r="E77" s="55" cm="1">
        <f t="array" ref="E77">IFERROR(VLOOKUP(D77,基本信息表!A:B,{2},FALSE),"")</f>
        <v>250</v>
      </c>
      <c r="F77" s="55" t="s">
        <v>28</v>
      </c>
      <c r="G77" s="55" t="s">
        <v>26</v>
      </c>
      <c r="H77" s="56" cm="1">
        <f t="array" ref="H77">NPV(-2,--_xlfn.TEXTSPLIT(_xlfn.TEXTJOIN("-",,F77:G77),"-"))</f>
        <v>0.375</v>
      </c>
      <c r="I77" s="57">
        <f t="shared" si="6"/>
        <v>9</v>
      </c>
      <c r="J77" s="58">
        <f t="shared" si="8"/>
        <v>2250</v>
      </c>
      <c r="K77" s="58"/>
      <c r="L77" s="55"/>
      <c r="M77" s="55"/>
      <c r="N77" s="55"/>
      <c r="O77" s="59"/>
      <c r="P77" s="40">
        <f t="shared" si="7"/>
        <v>0</v>
      </c>
      <c r="Q77" s="60"/>
    </row>
    <row r="78" customHeight="1" spans="1:17">
      <c r="A78" s="54">
        <v>45972</v>
      </c>
      <c r="B78" s="55" t="s">
        <v>24</v>
      </c>
      <c r="C78" s="38" t="s">
        <v>25</v>
      </c>
      <c r="D78" s="55" t="s">
        <v>3</v>
      </c>
      <c r="E78" s="55" cm="1">
        <f t="array" ref="E78">IFERROR(VLOOKUP(D78,基本信息表!A:B,{2},FALSE),"")</f>
        <v>250</v>
      </c>
      <c r="F78" s="55" t="s">
        <v>28</v>
      </c>
      <c r="G78" s="55" t="s">
        <v>26</v>
      </c>
      <c r="H78" s="56" cm="1">
        <f t="array" ref="H78">NPV(-2,--_xlfn.TEXTSPLIT(_xlfn.TEXTJOIN("-",,F78:G78),"-"))</f>
        <v>0.375</v>
      </c>
      <c r="I78" s="57">
        <f t="shared" si="6"/>
        <v>9</v>
      </c>
      <c r="J78" s="58">
        <f t="shared" si="8"/>
        <v>2250</v>
      </c>
      <c r="K78" s="58"/>
      <c r="L78" s="55"/>
      <c r="M78" s="55"/>
      <c r="N78" s="55"/>
      <c r="O78" s="59"/>
      <c r="P78" s="40">
        <f t="shared" si="7"/>
        <v>0</v>
      </c>
      <c r="Q78" s="60"/>
    </row>
    <row r="79" customHeight="1" spans="1:17">
      <c r="A79" s="54">
        <v>45973</v>
      </c>
      <c r="B79" s="55" t="s">
        <v>24</v>
      </c>
      <c r="C79" s="38" t="s">
        <v>25</v>
      </c>
      <c r="D79" s="55" t="s">
        <v>3</v>
      </c>
      <c r="E79" s="55" cm="1">
        <f t="array" ref="E79">IFERROR(VLOOKUP(D79,基本信息表!A:B,{2},FALSE),"")</f>
        <v>250</v>
      </c>
      <c r="F79" s="55" t="s">
        <v>44</v>
      </c>
      <c r="G79" s="55"/>
      <c r="H79" s="56" cm="1">
        <f t="array" ref="H79">NPV(-2,--_xlfn.TEXTSPLIT(_xlfn.TEXTJOIN("-",,F79:G79),"-"))</f>
        <v>0.104166666666667</v>
      </c>
      <c r="I79" s="57">
        <f t="shared" si="6"/>
        <v>2.5</v>
      </c>
      <c r="J79" s="58">
        <f t="shared" si="8"/>
        <v>625</v>
      </c>
      <c r="K79" s="58"/>
      <c r="L79" s="55"/>
      <c r="M79" s="55"/>
      <c r="N79" s="55"/>
      <c r="O79" s="59"/>
      <c r="P79" s="40">
        <f t="shared" si="7"/>
        <v>0</v>
      </c>
      <c r="Q79" s="60"/>
    </row>
    <row r="80" customHeight="1" spans="1:17">
      <c r="A80" s="54">
        <v>46001</v>
      </c>
      <c r="B80" s="55" t="s">
        <v>24</v>
      </c>
      <c r="C80" s="38" t="s">
        <v>25</v>
      </c>
      <c r="D80" s="55" t="s">
        <v>3</v>
      </c>
      <c r="E80" s="55" cm="1">
        <f t="array" ref="E80">IFERROR(VLOOKUP(D80,基本信息表!A:B,{2},FALSE),"")</f>
        <v>250</v>
      </c>
      <c r="F80" s="55"/>
      <c r="G80" s="55" t="s">
        <v>45</v>
      </c>
      <c r="H80" s="56" cm="1">
        <f t="array" ref="H80">NPV(-2,--_xlfn.TEXTSPLIT(_xlfn.TEXTJOIN("-",,F80:G80),"-"))</f>
        <v>0.0833333333333334</v>
      </c>
      <c r="I80" s="57">
        <f t="shared" si="6"/>
        <v>2</v>
      </c>
      <c r="J80" s="58">
        <f t="shared" si="8"/>
        <v>500</v>
      </c>
      <c r="K80" s="58"/>
      <c r="L80" s="55"/>
      <c r="M80" s="55"/>
      <c r="N80" s="55"/>
      <c r="O80" s="59"/>
      <c r="P80" s="40">
        <f t="shared" si="7"/>
        <v>0</v>
      </c>
      <c r="Q80" s="60"/>
    </row>
    <row r="81" customHeight="1" spans="1:17">
      <c r="A81" s="54">
        <v>46006</v>
      </c>
      <c r="B81" s="55" t="s">
        <v>24</v>
      </c>
      <c r="C81" s="38" t="s">
        <v>25</v>
      </c>
      <c r="D81" s="55" t="s">
        <v>3</v>
      </c>
      <c r="E81" s="55" cm="1">
        <f t="array" ref="E81">IFERROR(VLOOKUP(D81,基本信息表!A:B,{2},FALSE),"")</f>
        <v>250</v>
      </c>
      <c r="F81" s="55" t="s">
        <v>32</v>
      </c>
      <c r="G81" s="55"/>
      <c r="H81" s="56" cm="1">
        <f t="array" ref="H81">NPV(-2,--_xlfn.TEXTSPLIT(_xlfn.TEXTJOIN("-",,F81:G81),"-"))</f>
        <v>0.125</v>
      </c>
      <c r="I81" s="57">
        <f t="shared" si="6"/>
        <v>3</v>
      </c>
      <c r="J81" s="58">
        <f t="shared" si="8"/>
        <v>750</v>
      </c>
      <c r="K81" s="58"/>
      <c r="L81" s="55"/>
      <c r="M81" s="55"/>
      <c r="N81" s="55"/>
      <c r="O81" s="59"/>
      <c r="P81" s="40">
        <f t="shared" si="7"/>
        <v>0</v>
      </c>
      <c r="Q81" s="60"/>
    </row>
    <row r="82" customHeight="1" spans="1:17">
      <c r="A82" s="54">
        <v>46007</v>
      </c>
      <c r="B82" s="55" t="s">
        <v>24</v>
      </c>
      <c r="C82" s="38" t="s">
        <v>25</v>
      </c>
      <c r="D82" s="55" t="s">
        <v>3</v>
      </c>
      <c r="E82" s="55" cm="1">
        <f t="array" ref="E82">IFERROR(VLOOKUP(D82,基本信息表!A:B,{2},FALSE),"")</f>
        <v>250</v>
      </c>
      <c r="F82" s="55" t="s">
        <v>46</v>
      </c>
      <c r="G82" s="55" t="s">
        <v>26</v>
      </c>
      <c r="H82" s="56" cm="1">
        <f t="array" ref="H82">NPV(-2,--_xlfn.TEXTSPLIT(_xlfn.TEXTJOIN("-",,F82:G82),"-"))</f>
        <v>0.291666666666667</v>
      </c>
      <c r="I82" s="57">
        <f t="shared" si="6"/>
        <v>7</v>
      </c>
      <c r="J82" s="58">
        <f t="shared" si="8"/>
        <v>1750</v>
      </c>
      <c r="K82" s="58"/>
      <c r="L82" s="55"/>
      <c r="M82" s="55"/>
      <c r="N82" s="55"/>
      <c r="O82" s="59"/>
      <c r="P82" s="40">
        <f t="shared" si="7"/>
        <v>0</v>
      </c>
      <c r="Q82" s="60"/>
    </row>
    <row r="83" customHeight="1" spans="1:17">
      <c r="A83" s="54">
        <v>46008</v>
      </c>
      <c r="B83" s="55" t="s">
        <v>24</v>
      </c>
      <c r="C83" s="38" t="s">
        <v>25</v>
      </c>
      <c r="D83" s="55" t="s">
        <v>3</v>
      </c>
      <c r="E83" s="55" cm="1">
        <f t="array" ref="E83">IFERROR(VLOOKUP(D83,基本信息表!A:B,{2},FALSE),"")</f>
        <v>250</v>
      </c>
      <c r="F83" s="55" t="s">
        <v>47</v>
      </c>
      <c r="G83" s="55"/>
      <c r="H83" s="56" cm="1">
        <f t="array" ref="H83">NPV(-2,--_xlfn.TEXTSPLIT(_xlfn.TEXTJOIN("-",,F83:G83),"-"))</f>
        <v>0.0625</v>
      </c>
      <c r="I83" s="57">
        <f t="shared" si="6"/>
        <v>1.5</v>
      </c>
      <c r="J83" s="58">
        <f t="shared" si="8"/>
        <v>375</v>
      </c>
      <c r="K83" s="58"/>
      <c r="L83" s="55"/>
      <c r="M83" s="55"/>
      <c r="N83" s="55"/>
      <c r="O83" s="59"/>
      <c r="P83" s="40">
        <f t="shared" si="7"/>
        <v>0</v>
      </c>
      <c r="Q83" s="60"/>
    </row>
    <row r="84" customHeight="1" spans="1:17">
      <c r="A84" s="61">
        <v>46021</v>
      </c>
      <c r="B84" s="62" t="s">
        <v>24</v>
      </c>
      <c r="C84" s="63" t="s">
        <v>48</v>
      </c>
      <c r="D84" s="63" t="s">
        <v>2</v>
      </c>
      <c r="E84" s="62" cm="1">
        <f t="array" ref="E84">IFERROR(VLOOKUP(D84,基本信息表!A:B,{2},FALSE),"")</f>
        <v>150</v>
      </c>
      <c r="F84" s="63"/>
      <c r="G84" s="63" t="s">
        <v>26</v>
      </c>
      <c r="H84" s="64" cm="1">
        <f t="array" ref="H84">NPV(-2,--_xlfn.TEXTSPLIT(_xlfn.TEXTJOIN("-",,F84:G84),"-"))</f>
        <v>0.1875</v>
      </c>
      <c r="I84" s="62">
        <f t="shared" ref="I84:I89" si="9">H84*24</f>
        <v>4.5</v>
      </c>
      <c r="J84" s="65">
        <f t="shared" si="8"/>
        <v>675</v>
      </c>
      <c r="K84" s="66"/>
      <c r="L84" s="63"/>
      <c r="M84" s="63"/>
      <c r="N84" s="63"/>
      <c r="O84" s="67"/>
      <c r="P84" s="40">
        <f t="shared" si="7"/>
        <v>0</v>
      </c>
      <c r="Q84" s="68"/>
    </row>
    <row r="85" customHeight="1" spans="1:17">
      <c r="A85" s="61">
        <v>46022</v>
      </c>
      <c r="B85" s="62" t="s">
        <v>24</v>
      </c>
      <c r="C85" s="63" t="s">
        <v>48</v>
      </c>
      <c r="D85" s="63" t="s">
        <v>2</v>
      </c>
      <c r="E85" s="62" cm="1">
        <f t="array" ref="E85">IFERROR(VLOOKUP(D85,基本信息表!A:B,{2},FALSE),"")</f>
        <v>150</v>
      </c>
      <c r="F85" s="63" t="s">
        <v>28</v>
      </c>
      <c r="G85" s="63" t="s">
        <v>26</v>
      </c>
      <c r="H85" s="64" cm="1">
        <f t="array" ref="H85">NPV(-2,--_xlfn.TEXTSPLIT(_xlfn.TEXTJOIN("-",,F85:G85),"-"))</f>
        <v>0.375</v>
      </c>
      <c r="I85" s="62">
        <f t="shared" si="9"/>
        <v>9</v>
      </c>
      <c r="J85" s="65">
        <f t="shared" si="8"/>
        <v>1350</v>
      </c>
      <c r="K85" s="66"/>
      <c r="L85" s="63"/>
      <c r="M85" s="63"/>
      <c r="N85" s="63"/>
      <c r="O85" s="67"/>
      <c r="P85" s="40">
        <f t="shared" si="7"/>
        <v>0</v>
      </c>
      <c r="Q85" s="68"/>
    </row>
    <row r="86" customHeight="1" spans="1:17">
      <c r="A86" s="61">
        <v>45659</v>
      </c>
      <c r="B86" s="62" t="s">
        <v>24</v>
      </c>
      <c r="C86" s="63" t="s">
        <v>48</v>
      </c>
      <c r="D86" s="63" t="s">
        <v>2</v>
      </c>
      <c r="E86" s="62" cm="1">
        <f t="array" ref="E86">IFERROR(VLOOKUP(D86,基本信息表!A:B,{2},FALSE),"")</f>
        <v>150</v>
      </c>
      <c r="F86" s="63" t="s">
        <v>28</v>
      </c>
      <c r="G86" s="63" t="s">
        <v>26</v>
      </c>
      <c r="H86" s="64" cm="1">
        <f t="array" ref="H86">NPV(-2,--_xlfn.TEXTSPLIT(_xlfn.TEXTJOIN("-",,F86:G86),"-"))</f>
        <v>0.375</v>
      </c>
      <c r="I86" s="62">
        <f t="shared" si="9"/>
        <v>9</v>
      </c>
      <c r="J86" s="65">
        <f t="shared" si="8"/>
        <v>1350</v>
      </c>
      <c r="K86" s="66"/>
      <c r="L86" s="63"/>
      <c r="M86" s="63"/>
      <c r="N86" s="63"/>
      <c r="O86" s="67"/>
      <c r="P86" s="40">
        <f t="shared" si="7"/>
        <v>0</v>
      </c>
      <c r="Q86" s="68"/>
    </row>
    <row r="87" customHeight="1" spans="1:17">
      <c r="A87" s="61">
        <v>45660</v>
      </c>
      <c r="B87" s="62" t="s">
        <v>24</v>
      </c>
      <c r="C87" s="63" t="s">
        <v>48</v>
      </c>
      <c r="D87" s="63" t="s">
        <v>2</v>
      </c>
      <c r="E87" s="62" cm="1">
        <f t="array" ref="E87">IFERROR(VLOOKUP(D87,基本信息表!A:B,{2},FALSE),"")</f>
        <v>150</v>
      </c>
      <c r="F87" s="63" t="s">
        <v>40</v>
      </c>
      <c r="G87" s="63" t="s">
        <v>26</v>
      </c>
      <c r="H87" s="64" cm="1">
        <f t="array" ref="H87">NPV(-2,--_xlfn.TEXTSPLIT(_xlfn.TEXTJOIN("-",,F87:G87),"-"))</f>
        <v>0.354166666666667</v>
      </c>
      <c r="I87" s="62">
        <f t="shared" si="9"/>
        <v>8.5</v>
      </c>
      <c r="J87" s="65">
        <f t="shared" si="8"/>
        <v>1275</v>
      </c>
      <c r="K87" s="66"/>
      <c r="L87" s="63"/>
      <c r="M87" s="63"/>
      <c r="N87" s="63"/>
      <c r="O87" s="67"/>
      <c r="P87" s="40">
        <f t="shared" si="7"/>
        <v>0</v>
      </c>
      <c r="Q87" s="68"/>
    </row>
    <row r="88" customHeight="1" spans="1:17">
      <c r="A88" s="61">
        <v>45661</v>
      </c>
      <c r="B88" s="62" t="s">
        <v>24</v>
      </c>
      <c r="C88" s="63" t="s">
        <v>48</v>
      </c>
      <c r="D88" s="63" t="s">
        <v>2</v>
      </c>
      <c r="E88" s="62" cm="1">
        <f t="array" ref="E88">IFERROR(VLOOKUP(D88,基本信息表!A:B,{2},FALSE),"")</f>
        <v>150</v>
      </c>
      <c r="F88" s="63" t="s">
        <v>28</v>
      </c>
      <c r="G88" s="63" t="s">
        <v>26</v>
      </c>
      <c r="H88" s="64" cm="1">
        <f t="array" ref="H88">NPV(-2,--_xlfn.TEXTSPLIT(_xlfn.TEXTJOIN("-",,F88:G88),"-"))</f>
        <v>0.375</v>
      </c>
      <c r="I88" s="62">
        <f t="shared" si="9"/>
        <v>9</v>
      </c>
      <c r="J88" s="65">
        <f t="shared" si="8"/>
        <v>1350</v>
      </c>
      <c r="K88" s="66"/>
      <c r="L88" s="63"/>
      <c r="M88" s="63"/>
      <c r="N88" s="63"/>
      <c r="O88" s="67"/>
      <c r="P88" s="40">
        <f t="shared" si="7"/>
        <v>0</v>
      </c>
      <c r="Q88" s="68"/>
    </row>
    <row r="89" customHeight="1" spans="1:17">
      <c r="A89" s="61">
        <v>45662</v>
      </c>
      <c r="B89" s="62" t="s">
        <v>24</v>
      </c>
      <c r="C89" s="63" t="s">
        <v>48</v>
      </c>
      <c r="D89" s="63" t="s">
        <v>2</v>
      </c>
      <c r="E89" s="62" cm="1">
        <f t="array" ref="E89">IFERROR(VLOOKUP(D89,基本信息表!A:B,{2},FALSE),"")</f>
        <v>150</v>
      </c>
      <c r="F89" s="63" t="s">
        <v>28</v>
      </c>
      <c r="G89" s="63" t="s">
        <v>49</v>
      </c>
      <c r="H89" s="64" cm="1">
        <f t="array" ref="H89">NPV(-2,--_xlfn.TEXTSPLIT(_xlfn.TEXTJOIN("-",,F89:G89),"-"))</f>
        <v>0.25</v>
      </c>
      <c r="I89" s="62">
        <f t="shared" si="9"/>
        <v>6</v>
      </c>
      <c r="J89" s="65">
        <f t="shared" si="8"/>
        <v>900</v>
      </c>
      <c r="K89" s="66"/>
      <c r="L89" s="63"/>
      <c r="M89" s="63"/>
      <c r="N89" s="63"/>
      <c r="O89" s="67"/>
      <c r="P89" s="40">
        <f t="shared" si="7"/>
        <v>0</v>
      </c>
      <c r="Q89" s="68"/>
    </row>
  </sheetData>
  <autoFilter xmlns:etc="http://www.wps.cn/officeDocument/2017/etCustomData" ref="A2:R89" etc:filterBottomFollowUsedRange="0">
    <extLst/>
  </autoFilter>
  <dataValidations count="1">
    <dataValidation type="list" allowBlank="1" showInputMessage="1" showErrorMessage="1" sqref="O$1:O$1048576">
      <formula1>$R$3:$R$7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2"/>
  <sheetViews>
    <sheetView tabSelected="1" workbookViewId="0">
      <pane ySplit="6" topLeftCell="A7" activePane="bottomLeft" state="frozen"/>
      <selection/>
      <selection pane="bottomLeft" activeCell="A8" sqref="A8"/>
    </sheetView>
  </sheetViews>
  <sheetFormatPr defaultColWidth="9" defaultRowHeight="22" customHeight="1"/>
  <cols>
    <col min="1" max="1" width="12.7583333333333" style="2" customWidth="1"/>
    <col min="2" max="2" width="24" style="2" customWidth="1"/>
    <col min="3" max="3" width="15" style="1" customWidth="1"/>
    <col min="4" max="4" width="13" style="3" customWidth="1"/>
    <col min="5" max="5" width="11.5" style="3"/>
    <col min="6" max="6" width="11.8166666666667" style="2"/>
    <col min="7" max="7" width="17.3666666666667" style="3" customWidth="1"/>
    <col min="8" max="8" width="21.2583333333333" style="3" customWidth="1"/>
    <col min="9" max="9" width="11.125" style="3" customWidth="1"/>
    <col min="10" max="10" width="14.0916666666667" style="3" customWidth="1"/>
    <col min="11" max="11" width="10.375" style="4" customWidth="1"/>
    <col min="12" max="12" width="10.875" style="3" customWidth="1"/>
    <col min="13" max="13" width="9" style="1"/>
    <col min="14" max="14" width="4.875" style="1" customWidth="1"/>
    <col min="15" max="15" width="18.375" style="1" customWidth="1"/>
    <col min="16" max="16" width="13" style="1" customWidth="1"/>
    <col min="17" max="18" width="10.375" style="1"/>
    <col min="19" max="16384" width="9" style="1"/>
  </cols>
  <sheetData>
    <row r="1" s="1" customFormat="1" ht="31" customHeight="1" spans="1:18">
      <c r="A1" s="5" t="s">
        <v>50</v>
      </c>
      <c r="B1" s="5" t="s">
        <v>51</v>
      </c>
      <c r="C1" s="6"/>
      <c r="D1" s="7"/>
      <c r="E1" s="7"/>
      <c r="F1" s="8"/>
      <c r="G1" s="7"/>
      <c r="H1" s="7"/>
      <c r="I1" s="7"/>
      <c r="J1" s="7"/>
      <c r="K1" s="9"/>
      <c r="L1" s="10"/>
      <c r="M1" s="6"/>
      <c r="O1" s="11" t="str" cm="1">
        <f t="array" ref="O1:Q5">_xlfn.PIVOTBY(_xlfn._TRO_TRAILING(C2:C999),,_xlfn._TRO_TRAILING(D2:E999),_xleta.SUM,3)</f>
        <v>项目名称</v>
      </c>
      <c r="P1" s="11" t="str">
        <v>应付金额</v>
      </c>
      <c r="Q1" s="11" t="str">
        <v>已付金额</v>
      </c>
      <c r="R1" s="11" t="s">
        <v>52</v>
      </c>
    </row>
    <row r="2" s="1" customFormat="1" customHeight="1" spans="1:18">
      <c r="A2" s="12" t="s">
        <v>8</v>
      </c>
      <c r="B2" s="12" t="s">
        <v>53</v>
      </c>
      <c r="C2" s="13" t="s">
        <v>9</v>
      </c>
      <c r="D2" s="14" t="s">
        <v>5</v>
      </c>
      <c r="E2" s="14" t="s">
        <v>6</v>
      </c>
      <c r="F2" s="12" t="s">
        <v>18</v>
      </c>
      <c r="G2" s="14" t="s">
        <v>19</v>
      </c>
      <c r="H2" s="14" t="s">
        <v>54</v>
      </c>
      <c r="I2" s="14" t="s">
        <v>20</v>
      </c>
      <c r="J2" s="14" t="s">
        <v>55</v>
      </c>
      <c r="K2" s="15" t="s">
        <v>21</v>
      </c>
      <c r="L2" s="14" t="s">
        <v>22</v>
      </c>
      <c r="M2" s="13" t="s">
        <v>23</v>
      </c>
      <c r="O2" s="16" t="str">
        <v>德安农商行总部</v>
      </c>
      <c r="P2" s="16">
        <v>800</v>
      </c>
      <c r="Q2" s="16">
        <v>800</v>
      </c>
      <c r="R2" s="16">
        <f>P2-Q2</f>
        <v>0</v>
      </c>
    </row>
    <row r="3" s="1" customFormat="1" customHeight="1" spans="1:18">
      <c r="A3" s="17" t="s">
        <v>56</v>
      </c>
      <c r="B3" s="17" t="s">
        <v>30</v>
      </c>
      <c r="C3" s="16" t="s">
        <v>24</v>
      </c>
      <c r="D3" s="18">
        <v>98875</v>
      </c>
      <c r="E3" s="18">
        <v>30000</v>
      </c>
      <c r="G3" s="18" t="s">
        <v>29</v>
      </c>
      <c r="H3" s="19"/>
      <c r="I3" s="18"/>
      <c r="J3" s="18"/>
      <c r="K3" s="20"/>
      <c r="L3" s="18"/>
      <c r="M3" s="16"/>
      <c r="O3" s="16" t="str">
        <v>科创中心</v>
      </c>
      <c r="P3" s="16">
        <v>105775</v>
      </c>
      <c r="Q3" s="16">
        <v>35000</v>
      </c>
      <c r="R3" s="16">
        <f>P3-Q3</f>
        <v>70775</v>
      </c>
    </row>
    <row r="4" s="1" customFormat="1" customHeight="1" spans="1:18">
      <c r="A4" s="17" t="s">
        <v>56</v>
      </c>
      <c r="B4" s="17" t="s">
        <v>31</v>
      </c>
      <c r="C4" s="16" t="s">
        <v>24</v>
      </c>
      <c r="D4" s="18">
        <v>6900</v>
      </c>
      <c r="E4" s="3">
        <v>5000</v>
      </c>
      <c r="F4" s="17">
        <v>45971</v>
      </c>
      <c r="G4" s="1" t="s">
        <v>27</v>
      </c>
      <c r="H4" s="19" t="s">
        <v>57</v>
      </c>
      <c r="I4" s="18">
        <v>5000</v>
      </c>
      <c r="J4" s="18"/>
      <c r="K4" s="20">
        <v>0.01</v>
      </c>
      <c r="L4" s="18"/>
      <c r="M4" s="16"/>
      <c r="O4" s="21" t="str">
        <v>邹桥派出所</v>
      </c>
      <c r="P4" s="21">
        <v>1280</v>
      </c>
      <c r="Q4" s="21">
        <v>1280</v>
      </c>
      <c r="R4" s="21">
        <f>P4-Q4</f>
        <v>0</v>
      </c>
    </row>
    <row r="5" s="1" customFormat="1" customHeight="1" spans="1:18">
      <c r="A5" s="17">
        <v>46174</v>
      </c>
      <c r="B5" s="17" t="s">
        <v>58</v>
      </c>
      <c r="C5" s="16" t="s">
        <v>59</v>
      </c>
      <c r="D5" s="18">
        <v>800</v>
      </c>
      <c r="E5" s="18">
        <v>800</v>
      </c>
      <c r="F5" s="17">
        <v>46205</v>
      </c>
      <c r="G5" s="1" t="s">
        <v>27</v>
      </c>
      <c r="H5" s="19" t="s">
        <v>60</v>
      </c>
      <c r="I5" s="18">
        <v>800</v>
      </c>
      <c r="J5" s="18"/>
      <c r="K5" s="20">
        <v>0.01</v>
      </c>
      <c r="L5" s="18"/>
      <c r="M5" s="16"/>
      <c r="O5" s="16" t="str">
        <v>总计</v>
      </c>
      <c r="P5" s="16">
        <v>107855</v>
      </c>
      <c r="Q5" s="16">
        <v>37080</v>
      </c>
      <c r="R5" s="16"/>
    </row>
    <row r="6" s="1" customFormat="1" customHeight="1" spans="1:18">
      <c r="A6" s="17">
        <v>46173</v>
      </c>
      <c r="B6" s="17" t="s">
        <v>61</v>
      </c>
      <c r="C6" s="16" t="s">
        <v>62</v>
      </c>
      <c r="D6" s="18">
        <v>1000</v>
      </c>
      <c r="E6" s="18">
        <v>1000</v>
      </c>
      <c r="F6" s="17">
        <v>46173</v>
      </c>
      <c r="G6" s="18" t="s">
        <v>29</v>
      </c>
      <c r="H6" s="19" t="s">
        <v>61</v>
      </c>
      <c r="I6" s="18"/>
      <c r="J6" s="18"/>
      <c r="K6" s="20"/>
      <c r="L6" s="18"/>
      <c r="M6" s="16"/>
      <c r="O6" s="16"/>
      <c r="P6" s="16"/>
      <c r="Q6" s="16"/>
      <c r="R6" s="16"/>
    </row>
    <row r="7" s="1" customFormat="1" customHeight="1" spans="1:18">
      <c r="A7" s="17">
        <v>46172</v>
      </c>
      <c r="B7" s="17" t="s">
        <v>63</v>
      </c>
      <c r="C7" s="16" t="s">
        <v>62</v>
      </c>
      <c r="D7" s="18">
        <v>280</v>
      </c>
      <c r="E7" s="18">
        <v>280</v>
      </c>
      <c r="F7" s="17">
        <v>46172</v>
      </c>
      <c r="G7" s="18" t="s">
        <v>29</v>
      </c>
      <c r="H7" s="19" t="s">
        <v>63</v>
      </c>
      <c r="I7" s="18"/>
      <c r="J7" s="18"/>
      <c r="K7" s="20"/>
      <c r="L7" s="18"/>
      <c r="M7" s="16"/>
    </row>
    <row r="8" s="1" customFormat="1" customHeight="1" spans="1:18">
      <c r="A8" s="17"/>
      <c r="B8" s="17"/>
      <c r="C8" s="16"/>
      <c r="D8" s="18"/>
      <c r="E8" s="18"/>
      <c r="F8" s="17"/>
      <c r="G8" s="18"/>
      <c r="H8" s="19"/>
      <c r="I8" s="18"/>
      <c r="J8" s="18"/>
      <c r="K8" s="20"/>
      <c r="L8" s="18"/>
      <c r="M8" s="16"/>
    </row>
    <row r="9" s="1" customFormat="1" customHeight="1" spans="1:18">
      <c r="A9" s="17"/>
      <c r="B9" s="17"/>
      <c r="C9" s="16"/>
      <c r="D9" s="18"/>
      <c r="E9" s="18"/>
      <c r="F9" s="17"/>
      <c r="G9" s="18"/>
      <c r="H9" s="19"/>
      <c r="I9" s="18"/>
      <c r="J9" s="18"/>
      <c r="K9" s="20"/>
      <c r="L9" s="18"/>
      <c r="M9" s="16"/>
    </row>
    <row r="10" s="1" customFormat="1" customHeight="1" spans="1:18">
      <c r="A10" s="17"/>
      <c r="B10" s="17"/>
      <c r="C10" s="16"/>
      <c r="D10" s="18"/>
      <c r="E10" s="18"/>
      <c r="F10" s="17"/>
      <c r="G10" s="18"/>
      <c r="H10" s="19"/>
      <c r="I10" s="18"/>
      <c r="J10" s="18"/>
      <c r="K10" s="20"/>
      <c r="L10" s="18"/>
      <c r="M10" s="16"/>
    </row>
    <row r="11" s="1" customFormat="1" customHeight="1" spans="1:18">
      <c r="A11" s="17"/>
      <c r="B11" s="17"/>
      <c r="C11" s="16"/>
      <c r="D11" s="18"/>
      <c r="E11" s="18"/>
      <c r="F11" s="17"/>
      <c r="G11" s="18"/>
      <c r="H11" s="19"/>
      <c r="I11" s="18"/>
      <c r="J11" s="18"/>
      <c r="K11" s="20"/>
      <c r="L11" s="18"/>
      <c r="M11" s="16"/>
    </row>
    <row r="12" s="1" customFormat="1" customHeight="1" spans="1:18">
      <c r="A12" s="17"/>
      <c r="B12" s="17"/>
      <c r="C12" s="16"/>
      <c r="D12" s="18"/>
      <c r="E12" s="18"/>
      <c r="F12" s="17"/>
      <c r="G12" s="18"/>
      <c r="H12" s="19"/>
      <c r="I12" s="18"/>
      <c r="J12" s="18"/>
      <c r="K12" s="20"/>
      <c r="L12" s="18"/>
      <c r="M12" s="16"/>
    </row>
    <row r="13" s="1" customFormat="1" customHeight="1" spans="1:18">
      <c r="A13" s="17"/>
      <c r="B13" s="17"/>
      <c r="C13" s="16"/>
      <c r="D13" s="18"/>
      <c r="E13" s="18"/>
      <c r="F13" s="17"/>
      <c r="G13" s="18"/>
      <c r="H13" s="19"/>
      <c r="I13" s="18"/>
      <c r="J13" s="18"/>
      <c r="K13" s="20"/>
      <c r="L13" s="18"/>
      <c r="M13" s="16"/>
    </row>
    <row r="14" s="1" customFormat="1" customHeight="1" spans="1:18">
      <c r="A14" s="17"/>
      <c r="B14" s="17"/>
      <c r="C14" s="16"/>
      <c r="D14" s="18"/>
      <c r="E14" s="18"/>
      <c r="F14" s="17"/>
      <c r="G14" s="18"/>
      <c r="H14" s="19"/>
      <c r="I14" s="18"/>
      <c r="J14" s="18"/>
      <c r="K14" s="20"/>
      <c r="L14" s="18"/>
      <c r="M14" s="16"/>
    </row>
    <row r="15" s="1" customFormat="1" customHeight="1" spans="1:18">
      <c r="A15" s="17"/>
      <c r="B15" s="17"/>
      <c r="C15" s="16"/>
      <c r="D15" s="18"/>
      <c r="E15" s="18"/>
      <c r="F15" s="17"/>
      <c r="G15" s="18"/>
      <c r="H15" s="19"/>
      <c r="I15" s="18"/>
      <c r="J15" s="18"/>
      <c r="K15" s="20"/>
      <c r="L15" s="18"/>
      <c r="M15" s="16"/>
    </row>
    <row r="16" s="1" customFormat="1" customHeight="1" spans="1:18">
      <c r="A16" s="17"/>
      <c r="B16" s="17"/>
      <c r="C16" s="16"/>
      <c r="D16" s="18"/>
      <c r="E16" s="18"/>
      <c r="F16" s="17"/>
      <c r="G16" s="18"/>
      <c r="H16" s="19"/>
      <c r="I16" s="18"/>
      <c r="J16" s="18"/>
      <c r="K16" s="20"/>
      <c r="L16" s="18"/>
      <c r="M16" s="16"/>
    </row>
    <row r="17" s="1" customFormat="1" customHeight="1" spans="1:13">
      <c r="A17" s="17"/>
      <c r="B17" s="17"/>
      <c r="C17" s="16"/>
      <c r="D17" s="18"/>
      <c r="E17" s="18"/>
      <c r="F17" s="17"/>
      <c r="G17" s="18"/>
      <c r="H17" s="19"/>
      <c r="I17" s="18"/>
      <c r="J17" s="18"/>
      <c r="K17" s="20"/>
      <c r="L17" s="18"/>
      <c r="M17" s="16"/>
    </row>
    <row r="18" s="1" customFormat="1" customHeight="1" spans="1:13">
      <c r="A18" s="17"/>
      <c r="B18" s="17"/>
      <c r="C18" s="16"/>
      <c r="D18" s="18"/>
      <c r="E18" s="18"/>
      <c r="F18" s="17"/>
      <c r="G18" s="18"/>
      <c r="H18" s="19"/>
      <c r="I18" s="18"/>
      <c r="J18" s="18"/>
      <c r="K18" s="20"/>
      <c r="L18" s="18"/>
      <c r="M18" s="16"/>
    </row>
    <row r="19" s="1" customFormat="1" customHeight="1" spans="1:13">
      <c r="A19" s="17"/>
      <c r="B19" s="17"/>
      <c r="C19" s="16"/>
      <c r="D19" s="18"/>
      <c r="E19" s="18"/>
      <c r="F19" s="17"/>
      <c r="G19" s="18"/>
      <c r="H19" s="19"/>
      <c r="I19" s="18"/>
      <c r="J19" s="18"/>
      <c r="K19" s="20"/>
      <c r="L19" s="18"/>
      <c r="M19" s="16"/>
    </row>
    <row r="20" s="1" customFormat="1" customHeight="1" spans="1:13">
      <c r="A20" s="17"/>
      <c r="B20" s="17"/>
      <c r="C20" s="16"/>
      <c r="D20" s="18"/>
      <c r="E20" s="18"/>
      <c r="F20" s="17"/>
      <c r="G20" s="18"/>
      <c r="H20" s="19"/>
      <c r="I20" s="18"/>
      <c r="J20" s="18"/>
      <c r="K20" s="20"/>
      <c r="L20" s="18"/>
      <c r="M20" s="16"/>
    </row>
    <row r="21" s="1" customFormat="1" customHeight="1" spans="1:13">
      <c r="A21" s="17"/>
      <c r="B21" s="17"/>
      <c r="C21" s="16"/>
      <c r="D21" s="18"/>
      <c r="E21" s="18"/>
      <c r="F21" s="17"/>
      <c r="G21" s="18"/>
      <c r="H21" s="19"/>
      <c r="I21" s="18"/>
      <c r="J21" s="18"/>
      <c r="K21" s="20"/>
      <c r="L21" s="18"/>
      <c r="M21" s="16"/>
    </row>
    <row r="22" s="1" customFormat="1" customHeight="1" spans="1:13">
      <c r="A22" s="17"/>
      <c r="B22" s="17"/>
      <c r="C22" s="16"/>
      <c r="D22" s="18"/>
      <c r="E22" s="18"/>
      <c r="F22" s="17"/>
      <c r="G22" s="18"/>
      <c r="H22" s="19"/>
      <c r="I22" s="18"/>
      <c r="J22" s="18"/>
      <c r="K22" s="20"/>
      <c r="L22" s="18"/>
      <c r="M22" s="16"/>
    </row>
    <row r="23" s="1" customFormat="1" customHeight="1" spans="1:13">
      <c r="A23" s="17"/>
      <c r="B23" s="17"/>
      <c r="C23" s="16"/>
      <c r="D23" s="18"/>
      <c r="E23" s="18"/>
      <c r="F23" s="17"/>
      <c r="G23" s="18"/>
      <c r="H23" s="19"/>
      <c r="I23" s="18"/>
      <c r="J23" s="18"/>
      <c r="K23" s="20"/>
      <c r="L23" s="18"/>
      <c r="M23" s="16"/>
    </row>
    <row r="24" s="1" customFormat="1" customHeight="1" spans="1:13">
      <c r="A24" s="17"/>
      <c r="B24" s="17"/>
      <c r="C24" s="16"/>
      <c r="D24" s="18"/>
      <c r="E24" s="18"/>
      <c r="F24" s="17"/>
      <c r="G24" s="18"/>
      <c r="H24" s="19"/>
      <c r="I24" s="18"/>
      <c r="J24" s="18"/>
      <c r="K24" s="20"/>
      <c r="L24" s="18"/>
      <c r="M24" s="16"/>
    </row>
    <row r="25" s="1" customFormat="1" customHeight="1" spans="1:13">
      <c r="A25" s="17"/>
      <c r="B25" s="17"/>
      <c r="C25" s="16"/>
      <c r="D25" s="18"/>
      <c r="E25" s="18"/>
      <c r="F25" s="17"/>
      <c r="G25" s="18"/>
      <c r="H25" s="19"/>
      <c r="I25" s="18"/>
      <c r="J25" s="18"/>
      <c r="K25" s="20"/>
      <c r="L25" s="18"/>
      <c r="M25" s="16"/>
    </row>
    <row r="26" s="1" customFormat="1" customHeight="1" spans="1:13">
      <c r="A26" s="17"/>
      <c r="B26" s="17"/>
      <c r="C26" s="16"/>
      <c r="D26" s="18"/>
      <c r="E26" s="18"/>
      <c r="F26" s="17"/>
      <c r="G26" s="18"/>
      <c r="H26" s="19"/>
      <c r="I26" s="18"/>
      <c r="J26" s="18"/>
      <c r="K26" s="20"/>
      <c r="L26" s="18"/>
      <c r="M26" s="16"/>
    </row>
    <row r="27" s="1" customFormat="1" customHeight="1" spans="1:13">
      <c r="A27" s="17"/>
      <c r="B27" s="17"/>
      <c r="C27" s="16"/>
      <c r="D27" s="18"/>
      <c r="E27" s="18"/>
      <c r="F27" s="17"/>
      <c r="G27" s="18"/>
      <c r="H27" s="19"/>
      <c r="I27" s="18"/>
      <c r="J27" s="18"/>
      <c r="K27" s="20"/>
      <c r="L27" s="18"/>
      <c r="M27" s="16"/>
    </row>
    <row r="28" s="1" customFormat="1" customHeight="1" spans="1:13">
      <c r="A28" s="17"/>
      <c r="B28" s="17"/>
      <c r="C28" s="16"/>
      <c r="D28" s="18"/>
      <c r="E28" s="18"/>
      <c r="F28" s="17"/>
      <c r="G28" s="18"/>
      <c r="H28" s="19"/>
      <c r="I28" s="18"/>
      <c r="J28" s="18"/>
      <c r="K28" s="20"/>
      <c r="L28" s="18"/>
      <c r="M28" s="16"/>
    </row>
    <row r="29" s="1" customFormat="1" customHeight="1" spans="1:13">
      <c r="A29" s="2"/>
      <c r="B29" s="2"/>
      <c r="D29" s="3"/>
      <c r="E29" s="3"/>
      <c r="F29" s="2"/>
      <c r="G29" s="3"/>
      <c r="H29" s="22"/>
      <c r="I29" s="3"/>
      <c r="J29" s="3"/>
      <c r="K29" s="4"/>
      <c r="L29" s="3"/>
    </row>
    <row r="30" s="1" customFormat="1" customHeight="1" spans="1:13">
      <c r="A30" s="2"/>
      <c r="B30" s="2"/>
      <c r="D30" s="3"/>
      <c r="E30" s="3"/>
      <c r="F30" s="2"/>
      <c r="G30" s="3"/>
      <c r="H30" s="22"/>
      <c r="I30" s="3"/>
      <c r="J30" s="3"/>
      <c r="K30" s="4"/>
      <c r="L30" s="3"/>
    </row>
    <row r="31" s="1" customFormat="1" customHeight="1" spans="1:13">
      <c r="A31" s="2"/>
      <c r="B31" s="2"/>
      <c r="D31" s="3"/>
      <c r="E31" s="3"/>
      <c r="F31" s="2"/>
      <c r="G31" s="3"/>
      <c r="H31" s="22"/>
      <c r="I31" s="3"/>
      <c r="J31" s="3"/>
      <c r="K31" s="4"/>
      <c r="L31" s="3"/>
    </row>
    <row r="32" s="1" customFormat="1" customHeight="1" spans="1:13">
      <c r="A32" s="2"/>
      <c r="B32" s="2"/>
      <c r="D32" s="3"/>
      <c r="E32" s="3"/>
      <c r="F32" s="2"/>
      <c r="G32" s="3"/>
      <c r="H32" s="22"/>
      <c r="I32" s="3"/>
      <c r="J32" s="3"/>
      <c r="K32" s="4"/>
      <c r="L32" s="3"/>
    </row>
    <row r="33" s="1" customFormat="1" customHeight="1" spans="1:12">
      <c r="A33" s="2"/>
      <c r="B33" s="2"/>
      <c r="D33" s="3"/>
      <c r="E33" s="3"/>
      <c r="F33" s="2"/>
      <c r="G33" s="3"/>
      <c r="H33" s="22"/>
      <c r="I33" s="3"/>
      <c r="J33" s="3"/>
      <c r="K33" s="4"/>
      <c r="L33" s="3"/>
    </row>
    <row r="34" s="1" customFormat="1" customHeight="1" spans="1:12">
      <c r="A34" s="2"/>
      <c r="B34" s="2"/>
      <c r="D34" s="3"/>
      <c r="E34" s="3"/>
      <c r="F34" s="2"/>
      <c r="G34" s="3"/>
      <c r="H34" s="22"/>
      <c r="I34" s="3"/>
      <c r="J34" s="3"/>
      <c r="K34" s="4"/>
      <c r="L34" s="3"/>
    </row>
    <row r="35" s="1" customFormat="1" customHeight="1" spans="1:12">
      <c r="A35" s="2"/>
      <c r="B35" s="2"/>
      <c r="D35" s="3"/>
      <c r="E35" s="3"/>
      <c r="F35" s="2"/>
      <c r="G35" s="3"/>
      <c r="H35" s="22"/>
      <c r="I35" s="3"/>
      <c r="J35" s="3"/>
      <c r="K35" s="4"/>
      <c r="L35" s="3"/>
    </row>
    <row r="36" s="1" customFormat="1" customHeight="1" spans="1:12">
      <c r="A36" s="2"/>
      <c r="B36" s="2"/>
      <c r="D36" s="3"/>
      <c r="E36" s="3"/>
      <c r="F36" s="2"/>
      <c r="G36" s="3"/>
      <c r="H36" s="22"/>
      <c r="I36" s="3"/>
      <c r="J36" s="3"/>
      <c r="K36" s="4"/>
      <c r="L36" s="3"/>
    </row>
    <row r="37" s="1" customFormat="1" customHeight="1" spans="1:12">
      <c r="A37" s="2"/>
      <c r="B37" s="2"/>
      <c r="D37" s="3"/>
      <c r="E37" s="3"/>
      <c r="F37" s="2"/>
      <c r="G37" s="3"/>
      <c r="H37" s="22"/>
      <c r="I37" s="3"/>
      <c r="J37" s="3"/>
      <c r="K37" s="4"/>
      <c r="L37" s="3"/>
    </row>
    <row r="38" s="1" customFormat="1" customHeight="1" spans="1:12">
      <c r="A38" s="2"/>
      <c r="B38" s="2"/>
      <c r="D38" s="3"/>
      <c r="E38" s="3"/>
      <c r="F38" s="2"/>
      <c r="G38" s="3"/>
      <c r="H38" s="22"/>
      <c r="I38" s="3"/>
      <c r="J38" s="3"/>
      <c r="K38" s="4"/>
      <c r="L38" s="3"/>
    </row>
    <row r="39" s="1" customFormat="1" customHeight="1" spans="1:12">
      <c r="A39" s="2"/>
      <c r="B39" s="2"/>
      <c r="D39" s="3"/>
      <c r="E39" s="3"/>
      <c r="F39" s="2"/>
      <c r="G39" s="3"/>
      <c r="H39" s="22"/>
      <c r="I39" s="3"/>
      <c r="J39" s="3"/>
      <c r="K39" s="4"/>
      <c r="L39" s="3"/>
    </row>
    <row r="40" s="1" customFormat="1" customHeight="1" spans="1:12">
      <c r="A40" s="2"/>
      <c r="B40" s="2"/>
      <c r="D40" s="3"/>
      <c r="E40" s="3"/>
      <c r="F40" s="2"/>
      <c r="G40" s="3"/>
      <c r="H40" s="22"/>
      <c r="I40" s="3"/>
      <c r="J40" s="3"/>
      <c r="K40" s="4"/>
      <c r="L40" s="3"/>
    </row>
    <row r="41" s="1" customFormat="1" customHeight="1" spans="1:12">
      <c r="A41" s="2"/>
      <c r="B41" s="2"/>
      <c r="D41" s="3"/>
      <c r="E41" s="3"/>
      <c r="F41" s="2"/>
      <c r="G41" s="3"/>
      <c r="H41" s="22"/>
      <c r="I41" s="3"/>
      <c r="J41" s="3"/>
      <c r="K41" s="4"/>
      <c r="L41" s="3"/>
    </row>
    <row r="42" s="1" customFormat="1" customHeight="1" spans="1:12">
      <c r="A42" s="2"/>
      <c r="B42" s="2"/>
      <c r="D42" s="3"/>
      <c r="E42" s="3"/>
      <c r="F42" s="2"/>
      <c r="G42" s="3"/>
      <c r="H42" s="22"/>
      <c r="I42" s="3"/>
      <c r="J42" s="3"/>
      <c r="K42" s="4"/>
      <c r="L42" s="3"/>
    </row>
    <row r="43" s="1" customFormat="1" customHeight="1" spans="1:12">
      <c r="A43" s="2"/>
      <c r="B43" s="2"/>
      <c r="D43" s="3"/>
      <c r="E43" s="3"/>
      <c r="F43" s="2"/>
      <c r="G43" s="3"/>
      <c r="H43" s="22"/>
      <c r="I43" s="3"/>
      <c r="J43" s="3"/>
      <c r="K43" s="4"/>
      <c r="L43" s="3"/>
    </row>
    <row r="44" s="1" customFormat="1" customHeight="1" spans="1:12">
      <c r="A44" s="2"/>
      <c r="B44" s="2"/>
      <c r="D44" s="3"/>
      <c r="E44" s="3"/>
      <c r="F44" s="2"/>
      <c r="G44" s="3"/>
      <c r="H44" s="22"/>
      <c r="I44" s="3"/>
      <c r="J44" s="3"/>
      <c r="K44" s="4"/>
      <c r="L44" s="3"/>
    </row>
    <row r="45" s="1" customFormat="1" customHeight="1" spans="1:12">
      <c r="A45" s="2"/>
      <c r="B45" s="2"/>
      <c r="D45" s="3"/>
      <c r="E45" s="3"/>
      <c r="F45" s="2"/>
      <c r="G45" s="3"/>
      <c r="H45" s="22"/>
      <c r="I45" s="3"/>
      <c r="J45" s="3"/>
      <c r="K45" s="4"/>
      <c r="L45" s="3"/>
    </row>
    <row r="46" s="1" customFormat="1" customHeight="1" spans="1:12">
      <c r="A46" s="2"/>
      <c r="B46" s="2"/>
      <c r="D46" s="3"/>
      <c r="E46" s="3"/>
      <c r="F46" s="2"/>
      <c r="G46" s="3"/>
      <c r="H46" s="22"/>
      <c r="I46" s="3"/>
      <c r="J46" s="3"/>
      <c r="K46" s="4"/>
      <c r="L46" s="3"/>
    </row>
    <row r="47" s="1" customFormat="1" customHeight="1" spans="1:12">
      <c r="A47" s="2"/>
      <c r="B47" s="2"/>
      <c r="D47" s="3"/>
      <c r="E47" s="3"/>
      <c r="F47" s="2"/>
      <c r="G47" s="3"/>
      <c r="H47" s="22"/>
      <c r="I47" s="3"/>
      <c r="J47" s="3"/>
      <c r="K47" s="4"/>
      <c r="L47" s="3"/>
    </row>
    <row r="48" s="1" customFormat="1" customHeight="1" spans="1:12">
      <c r="A48" s="2"/>
      <c r="B48" s="2"/>
      <c r="D48" s="3"/>
      <c r="E48" s="3"/>
      <c r="F48" s="2"/>
      <c r="G48" s="3"/>
      <c r="H48" s="22"/>
      <c r="I48" s="3"/>
      <c r="J48" s="3"/>
      <c r="K48" s="4"/>
      <c r="L48" s="3"/>
    </row>
    <row r="49" s="1" customFormat="1" customHeight="1" spans="1:12">
      <c r="A49" s="2"/>
      <c r="B49" s="2"/>
      <c r="D49" s="3"/>
      <c r="E49" s="3"/>
      <c r="F49" s="2"/>
      <c r="G49" s="3"/>
      <c r="H49" s="22"/>
      <c r="I49" s="3"/>
      <c r="J49" s="3"/>
      <c r="K49" s="4"/>
      <c r="L49" s="3"/>
    </row>
    <row r="50" s="1" customFormat="1" customHeight="1" spans="1:12">
      <c r="A50" s="2"/>
      <c r="B50" s="2"/>
      <c r="D50" s="3"/>
      <c r="E50" s="3"/>
      <c r="F50" s="2"/>
      <c r="G50" s="3"/>
      <c r="H50" s="22"/>
      <c r="I50" s="3"/>
      <c r="J50" s="3"/>
      <c r="K50" s="4"/>
      <c r="L50" s="3"/>
    </row>
    <row r="51" s="1" customFormat="1" customHeight="1" spans="1:12">
      <c r="A51" s="2"/>
      <c r="B51" s="2"/>
      <c r="D51" s="3"/>
      <c r="E51" s="3"/>
      <c r="F51" s="2"/>
      <c r="G51" s="3"/>
      <c r="H51" s="22"/>
      <c r="I51" s="3"/>
      <c r="J51" s="3"/>
      <c r="K51" s="4"/>
      <c r="L51" s="3"/>
    </row>
    <row r="52" s="1" customFormat="1" customHeight="1" spans="1:12">
      <c r="A52" s="2"/>
      <c r="B52" s="2"/>
      <c r="D52" s="3"/>
      <c r="E52" s="3"/>
      <c r="F52" s="2"/>
      <c r="G52" s="3"/>
      <c r="H52" s="22"/>
      <c r="I52" s="3"/>
      <c r="J52" s="3"/>
      <c r="K52" s="4"/>
      <c r="L52" s="3"/>
    </row>
    <row r="53" s="1" customFormat="1" customHeight="1" spans="1:12">
      <c r="A53" s="2"/>
      <c r="B53" s="2"/>
      <c r="D53" s="3"/>
      <c r="E53" s="3"/>
      <c r="F53" s="2"/>
      <c r="G53" s="3"/>
      <c r="H53" s="22"/>
      <c r="I53" s="3"/>
      <c r="J53" s="3"/>
      <c r="K53" s="4"/>
      <c r="L53" s="3"/>
    </row>
    <row r="54" s="1" customFormat="1" customHeight="1" spans="1:12">
      <c r="A54" s="2"/>
      <c r="B54" s="2"/>
      <c r="D54" s="3"/>
      <c r="E54" s="3"/>
      <c r="F54" s="2"/>
      <c r="G54" s="3"/>
      <c r="H54" s="22"/>
      <c r="I54" s="3"/>
      <c r="J54" s="3"/>
      <c r="K54" s="4"/>
      <c r="L54" s="3"/>
    </row>
    <row r="55" s="1" customFormat="1" customHeight="1" spans="1:12">
      <c r="A55" s="2"/>
      <c r="B55" s="2"/>
      <c r="D55" s="3"/>
      <c r="E55" s="3"/>
      <c r="F55" s="2"/>
      <c r="G55" s="3"/>
      <c r="H55" s="22"/>
      <c r="I55" s="3"/>
      <c r="J55" s="3"/>
      <c r="K55" s="4"/>
      <c r="L55" s="3"/>
    </row>
    <row r="56" s="1" customFormat="1" customHeight="1" spans="1:12">
      <c r="A56" s="2"/>
      <c r="B56" s="2"/>
      <c r="D56" s="3"/>
      <c r="E56" s="3"/>
      <c r="F56" s="2"/>
      <c r="G56" s="3"/>
      <c r="H56" s="22"/>
      <c r="I56" s="3"/>
      <c r="J56" s="3"/>
      <c r="K56" s="4"/>
      <c r="L56" s="3"/>
    </row>
    <row r="57" s="1" customFormat="1" customHeight="1" spans="1:12">
      <c r="A57" s="2"/>
      <c r="B57" s="2"/>
      <c r="D57" s="3"/>
      <c r="E57" s="3"/>
      <c r="F57" s="2"/>
      <c r="G57" s="3"/>
      <c r="H57" s="22"/>
      <c r="I57" s="3"/>
      <c r="J57" s="3"/>
      <c r="K57" s="4"/>
      <c r="L57" s="3"/>
    </row>
    <row r="58" s="1" customFormat="1" customHeight="1" spans="1:12">
      <c r="A58" s="2"/>
      <c r="B58" s="2"/>
      <c r="D58" s="3"/>
      <c r="E58" s="3"/>
      <c r="F58" s="2"/>
      <c r="G58" s="3"/>
      <c r="H58" s="22"/>
      <c r="I58" s="3"/>
      <c r="J58" s="3"/>
      <c r="K58" s="4"/>
      <c r="L58" s="3"/>
    </row>
    <row r="59" s="1" customFormat="1" customHeight="1" spans="1:12">
      <c r="A59" s="2"/>
      <c r="B59" s="2"/>
      <c r="D59" s="3"/>
      <c r="E59" s="3"/>
      <c r="F59" s="2"/>
      <c r="G59" s="3"/>
      <c r="H59" s="22"/>
      <c r="I59" s="3"/>
      <c r="J59" s="3"/>
      <c r="K59" s="4"/>
      <c r="L59" s="3"/>
    </row>
    <row r="60" s="1" customFormat="1" customHeight="1" spans="1:12">
      <c r="A60" s="2"/>
      <c r="B60" s="2"/>
      <c r="D60" s="3"/>
      <c r="E60" s="3"/>
      <c r="F60" s="2"/>
      <c r="G60" s="3"/>
      <c r="H60" s="22"/>
      <c r="I60" s="3"/>
      <c r="J60" s="3"/>
      <c r="K60" s="4"/>
      <c r="L60" s="3"/>
    </row>
    <row r="61" s="1" customFormat="1" customHeight="1" spans="1:12">
      <c r="A61" s="2"/>
      <c r="B61" s="2"/>
      <c r="D61" s="3"/>
      <c r="E61" s="3"/>
      <c r="F61" s="2"/>
      <c r="G61" s="3"/>
      <c r="H61" s="22"/>
      <c r="I61" s="3"/>
      <c r="J61" s="3"/>
      <c r="K61" s="4"/>
      <c r="L61" s="3"/>
    </row>
    <row r="62" s="1" customFormat="1" customHeight="1" spans="1:12">
      <c r="A62" s="2"/>
      <c r="B62" s="2"/>
      <c r="D62" s="3"/>
      <c r="E62" s="3"/>
      <c r="F62" s="2"/>
      <c r="G62" s="3"/>
      <c r="H62" s="22"/>
      <c r="I62" s="3"/>
      <c r="J62" s="3"/>
      <c r="K62" s="4"/>
      <c r="L62" s="3"/>
    </row>
    <row r="63" s="1" customFormat="1" customHeight="1" spans="1:12">
      <c r="A63" s="2"/>
      <c r="B63" s="2"/>
      <c r="D63" s="3"/>
      <c r="E63" s="3"/>
      <c r="F63" s="2"/>
      <c r="G63" s="3"/>
      <c r="H63" s="22"/>
      <c r="I63" s="3"/>
      <c r="J63" s="3"/>
      <c r="K63" s="4"/>
      <c r="L63" s="3"/>
    </row>
    <row r="64" s="1" customFormat="1" customHeight="1" spans="1:12">
      <c r="A64" s="2"/>
      <c r="B64" s="2"/>
      <c r="D64" s="3"/>
      <c r="E64" s="3"/>
      <c r="F64" s="2"/>
      <c r="G64" s="3"/>
      <c r="H64" s="22"/>
      <c r="I64" s="3"/>
      <c r="J64" s="3"/>
      <c r="K64" s="4"/>
      <c r="L64" s="3"/>
    </row>
    <row r="65" s="1" customFormat="1" customHeight="1" spans="1:12">
      <c r="A65" s="2"/>
      <c r="B65" s="2"/>
      <c r="D65" s="3"/>
      <c r="E65" s="3"/>
      <c r="F65" s="2"/>
      <c r="G65" s="3"/>
      <c r="H65" s="22"/>
      <c r="I65" s="3"/>
      <c r="J65" s="3"/>
      <c r="K65" s="4"/>
      <c r="L65" s="3"/>
    </row>
    <row r="66" s="1" customFormat="1" customHeight="1" spans="1:12">
      <c r="A66" s="2"/>
      <c r="B66" s="2"/>
      <c r="D66" s="3"/>
      <c r="E66" s="3"/>
      <c r="F66" s="2"/>
      <c r="G66" s="3"/>
      <c r="H66" s="22"/>
      <c r="I66" s="3"/>
      <c r="J66" s="3"/>
      <c r="K66" s="4"/>
      <c r="L66" s="3"/>
    </row>
    <row r="67" s="1" customFormat="1" customHeight="1" spans="1:12">
      <c r="A67" s="2"/>
      <c r="B67" s="2"/>
      <c r="D67" s="3"/>
      <c r="E67" s="3"/>
      <c r="F67" s="2"/>
      <c r="G67" s="3"/>
      <c r="H67" s="22"/>
      <c r="I67" s="3"/>
      <c r="J67" s="3"/>
      <c r="K67" s="4"/>
      <c r="L67" s="3"/>
    </row>
    <row r="68" s="1" customFormat="1" customHeight="1" spans="1:12">
      <c r="A68" s="2"/>
      <c r="B68" s="2"/>
      <c r="D68" s="3"/>
      <c r="E68" s="3"/>
      <c r="F68" s="2"/>
      <c r="G68" s="3"/>
      <c r="H68" s="22"/>
      <c r="I68" s="3"/>
      <c r="J68" s="3"/>
      <c r="K68" s="4"/>
      <c r="L68" s="3"/>
    </row>
    <row r="69" s="1" customFormat="1" customHeight="1" spans="1:12">
      <c r="A69" s="2"/>
      <c r="B69" s="2"/>
      <c r="D69" s="3"/>
      <c r="E69" s="3"/>
      <c r="F69" s="2"/>
      <c r="G69" s="3"/>
      <c r="H69" s="22"/>
      <c r="I69" s="3"/>
      <c r="J69" s="3"/>
      <c r="K69" s="4"/>
      <c r="L69" s="3"/>
    </row>
    <row r="70" s="1" customFormat="1" customHeight="1" spans="1:12">
      <c r="A70" s="2"/>
      <c r="B70" s="2"/>
      <c r="D70" s="3"/>
      <c r="E70" s="3"/>
      <c r="F70" s="2"/>
      <c r="G70" s="3"/>
      <c r="H70" s="22"/>
      <c r="I70" s="3"/>
      <c r="J70" s="3"/>
      <c r="K70" s="4"/>
      <c r="L70" s="3"/>
    </row>
    <row r="71" s="1" customFormat="1" customHeight="1" spans="1:12">
      <c r="A71" s="2"/>
      <c r="B71" s="2"/>
      <c r="D71" s="3"/>
      <c r="E71" s="3"/>
      <c r="F71" s="2"/>
      <c r="G71" s="3"/>
      <c r="H71" s="22"/>
      <c r="I71" s="3"/>
      <c r="J71" s="3"/>
      <c r="K71" s="4"/>
      <c r="L71" s="3"/>
    </row>
    <row r="72" s="1" customFormat="1" customHeight="1" spans="1:12">
      <c r="A72" s="2"/>
      <c r="B72" s="2"/>
      <c r="D72" s="3"/>
      <c r="E72" s="3"/>
      <c r="F72" s="2"/>
      <c r="G72" s="3"/>
      <c r="H72" s="22"/>
      <c r="I72" s="3"/>
      <c r="J72" s="3"/>
      <c r="K72" s="4"/>
      <c r="L72" s="3"/>
    </row>
    <row r="73" s="1" customFormat="1" customHeight="1" spans="1:12">
      <c r="A73" s="2"/>
      <c r="B73" s="2"/>
      <c r="D73" s="3"/>
      <c r="E73" s="3"/>
      <c r="F73" s="2"/>
      <c r="G73" s="3"/>
      <c r="H73" s="22"/>
      <c r="I73" s="3"/>
      <c r="J73" s="3"/>
      <c r="K73" s="4"/>
      <c r="L73" s="3"/>
    </row>
    <row r="74" s="1" customFormat="1" customHeight="1" spans="1:12">
      <c r="A74" s="2"/>
      <c r="B74" s="2"/>
      <c r="D74" s="3"/>
      <c r="E74" s="3"/>
      <c r="F74" s="2"/>
      <c r="G74" s="3"/>
      <c r="H74" s="22"/>
      <c r="I74" s="3"/>
      <c r="J74" s="3"/>
      <c r="K74" s="4"/>
      <c r="L74" s="3"/>
    </row>
    <row r="75" s="1" customFormat="1" customHeight="1" spans="1:12">
      <c r="A75" s="2"/>
      <c r="B75" s="2"/>
      <c r="D75" s="3"/>
      <c r="E75" s="3"/>
      <c r="F75" s="2"/>
      <c r="G75" s="3"/>
      <c r="H75" s="22"/>
      <c r="I75" s="3"/>
      <c r="J75" s="3"/>
      <c r="K75" s="4"/>
      <c r="L75" s="3"/>
    </row>
    <row r="76" s="1" customFormat="1" customHeight="1" spans="1:12">
      <c r="A76" s="2"/>
      <c r="B76" s="2"/>
      <c r="D76" s="3"/>
      <c r="E76" s="3"/>
      <c r="F76" s="2"/>
      <c r="G76" s="3"/>
      <c r="H76" s="22"/>
      <c r="I76" s="3"/>
      <c r="J76" s="3"/>
      <c r="K76" s="4"/>
      <c r="L76" s="3"/>
    </row>
    <row r="77" s="1" customFormat="1" customHeight="1" spans="1:12">
      <c r="A77" s="2"/>
      <c r="B77" s="2"/>
      <c r="D77" s="3"/>
      <c r="E77" s="3"/>
      <c r="F77" s="2"/>
      <c r="G77" s="3"/>
      <c r="H77" s="22"/>
      <c r="I77" s="3"/>
      <c r="J77" s="3"/>
      <c r="K77" s="4"/>
      <c r="L77" s="3"/>
    </row>
    <row r="78" s="1" customFormat="1" customHeight="1" spans="1:12">
      <c r="A78" s="2"/>
      <c r="B78" s="2"/>
      <c r="D78" s="3"/>
      <c r="E78" s="3"/>
      <c r="F78" s="2"/>
      <c r="G78" s="3"/>
      <c r="H78" s="22"/>
      <c r="I78" s="3"/>
      <c r="J78" s="3"/>
      <c r="K78" s="4"/>
      <c r="L78" s="3"/>
    </row>
    <row r="79" s="1" customFormat="1" customHeight="1" spans="1:12">
      <c r="A79" s="2"/>
      <c r="B79" s="2"/>
      <c r="D79" s="3"/>
      <c r="E79" s="3"/>
      <c r="F79" s="2"/>
      <c r="G79" s="3"/>
      <c r="H79" s="22"/>
      <c r="I79" s="3"/>
      <c r="J79" s="3"/>
      <c r="K79" s="4"/>
      <c r="L79" s="3"/>
    </row>
    <row r="80" s="1" customFormat="1" customHeight="1" spans="1:12">
      <c r="A80" s="2"/>
      <c r="B80" s="2"/>
      <c r="D80" s="3"/>
      <c r="E80" s="3"/>
      <c r="F80" s="2"/>
      <c r="G80" s="3"/>
      <c r="H80" s="22"/>
      <c r="I80" s="3"/>
      <c r="J80" s="3"/>
      <c r="K80" s="4"/>
      <c r="L80" s="3"/>
    </row>
    <row r="81" s="1" customFormat="1" customHeight="1" spans="1:12">
      <c r="A81" s="2"/>
      <c r="B81" s="2"/>
      <c r="D81" s="3"/>
      <c r="E81" s="3"/>
      <c r="F81" s="2"/>
      <c r="G81" s="3"/>
      <c r="H81" s="22"/>
      <c r="I81" s="3"/>
      <c r="J81" s="3"/>
      <c r="K81" s="4"/>
      <c r="L81" s="3"/>
    </row>
    <row r="82" s="1" customFormat="1" customHeight="1" spans="1:12">
      <c r="A82" s="2"/>
      <c r="B82" s="2"/>
      <c r="D82" s="3"/>
      <c r="E82" s="3"/>
      <c r="F82" s="2"/>
      <c r="G82" s="3"/>
      <c r="H82" s="22"/>
      <c r="I82" s="3"/>
      <c r="J82" s="3"/>
      <c r="K82" s="4"/>
      <c r="L82" s="3"/>
    </row>
    <row r="83" s="1" customFormat="1" customHeight="1" spans="1:12">
      <c r="A83" s="2"/>
      <c r="B83" s="2"/>
      <c r="D83" s="3"/>
      <c r="E83" s="3"/>
      <c r="F83" s="2"/>
      <c r="G83" s="3"/>
      <c r="H83" s="22"/>
      <c r="I83" s="3"/>
      <c r="J83" s="3"/>
      <c r="K83" s="4"/>
      <c r="L83" s="3"/>
    </row>
    <row r="84" s="1" customFormat="1" customHeight="1" spans="1:12">
      <c r="A84" s="2"/>
      <c r="B84" s="2"/>
      <c r="D84" s="3"/>
      <c r="E84" s="3"/>
      <c r="F84" s="2"/>
      <c r="G84" s="3"/>
      <c r="H84" s="22"/>
      <c r="I84" s="3"/>
      <c r="J84" s="3"/>
      <c r="K84" s="4"/>
      <c r="L84" s="3"/>
    </row>
    <row r="85" s="1" customFormat="1" customHeight="1" spans="1:12">
      <c r="A85" s="2"/>
      <c r="B85" s="2"/>
      <c r="D85" s="3"/>
      <c r="E85" s="3"/>
      <c r="F85" s="2"/>
      <c r="G85" s="3"/>
      <c r="H85" s="22"/>
      <c r="I85" s="3"/>
      <c r="J85" s="3"/>
      <c r="K85" s="4"/>
      <c r="L85" s="3"/>
    </row>
    <row r="86" s="1" customFormat="1" customHeight="1" spans="1:12">
      <c r="A86" s="2"/>
      <c r="B86" s="2"/>
      <c r="D86" s="3"/>
      <c r="E86" s="3"/>
      <c r="F86" s="2"/>
      <c r="G86" s="3"/>
      <c r="H86" s="22"/>
      <c r="I86" s="3"/>
      <c r="J86" s="3"/>
      <c r="K86" s="4"/>
      <c r="L86" s="3"/>
    </row>
    <row r="87" s="1" customFormat="1" customHeight="1" spans="1:12">
      <c r="A87" s="2"/>
      <c r="B87" s="2"/>
      <c r="D87" s="3"/>
      <c r="E87" s="3"/>
      <c r="F87" s="2"/>
      <c r="G87" s="3"/>
      <c r="H87" s="22"/>
      <c r="I87" s="3"/>
      <c r="J87" s="3"/>
      <c r="K87" s="4"/>
      <c r="L87" s="3"/>
    </row>
    <row r="88" s="1" customFormat="1" customHeight="1" spans="1:12">
      <c r="A88" s="2"/>
      <c r="B88" s="2"/>
      <c r="D88" s="3"/>
      <c r="E88" s="3"/>
      <c r="F88" s="2"/>
      <c r="G88" s="3"/>
      <c r="H88" s="22"/>
      <c r="I88" s="3"/>
      <c r="J88" s="3"/>
      <c r="K88" s="4"/>
      <c r="L88" s="3"/>
    </row>
    <row r="89" s="1" customFormat="1" customHeight="1" spans="1:12">
      <c r="A89" s="2"/>
      <c r="B89" s="2"/>
      <c r="D89" s="3"/>
      <c r="E89" s="3"/>
      <c r="F89" s="2"/>
      <c r="G89" s="3"/>
      <c r="H89" s="22"/>
      <c r="I89" s="3"/>
      <c r="J89" s="3"/>
      <c r="K89" s="4"/>
      <c r="L89" s="3"/>
    </row>
    <row r="90" s="1" customFormat="1" customHeight="1" spans="1:12">
      <c r="A90" s="2"/>
      <c r="B90" s="2"/>
      <c r="D90" s="3"/>
      <c r="E90" s="3"/>
      <c r="F90" s="2"/>
      <c r="G90" s="3"/>
      <c r="H90" s="22"/>
      <c r="I90" s="3"/>
      <c r="J90" s="3"/>
      <c r="K90" s="4"/>
      <c r="L90" s="3"/>
    </row>
    <row r="91" s="1" customFormat="1" customHeight="1" spans="1:12">
      <c r="A91" s="2"/>
      <c r="B91" s="2"/>
      <c r="D91" s="3"/>
      <c r="E91" s="3"/>
      <c r="F91" s="2"/>
      <c r="G91" s="3"/>
      <c r="H91" s="22"/>
      <c r="I91" s="3"/>
      <c r="J91" s="3"/>
      <c r="K91" s="4"/>
      <c r="L91" s="3"/>
    </row>
    <row r="92" s="1" customFormat="1" customHeight="1" spans="1:12">
      <c r="A92" s="2"/>
      <c r="B92" s="2"/>
      <c r="D92" s="3"/>
      <c r="E92" s="3"/>
      <c r="F92" s="2"/>
      <c r="G92" s="3"/>
      <c r="H92" s="22"/>
      <c r="I92" s="3"/>
      <c r="J92" s="3"/>
      <c r="K92" s="4"/>
      <c r="L92" s="3"/>
    </row>
    <row r="93" s="1" customFormat="1" customHeight="1" spans="1:12">
      <c r="A93" s="2"/>
      <c r="B93" s="2"/>
      <c r="D93" s="3"/>
      <c r="E93" s="3"/>
      <c r="F93" s="2"/>
      <c r="G93" s="3"/>
      <c r="H93" s="22"/>
      <c r="I93" s="3"/>
      <c r="J93" s="3"/>
      <c r="K93" s="4"/>
      <c r="L93" s="3"/>
    </row>
    <row r="94" s="1" customFormat="1" customHeight="1" spans="1:12">
      <c r="A94" s="2"/>
      <c r="B94" s="2"/>
      <c r="D94" s="3"/>
      <c r="E94" s="3"/>
      <c r="F94" s="2"/>
      <c r="G94" s="3"/>
      <c r="H94" s="22"/>
      <c r="I94" s="3"/>
      <c r="J94" s="3"/>
      <c r="K94" s="4"/>
      <c r="L94" s="3"/>
    </row>
    <row r="95" s="1" customFormat="1" customHeight="1" spans="1:12">
      <c r="A95" s="2"/>
      <c r="B95" s="2"/>
      <c r="D95" s="3"/>
      <c r="E95" s="3"/>
      <c r="F95" s="2"/>
      <c r="G95" s="3"/>
      <c r="H95" s="22"/>
      <c r="I95" s="3"/>
      <c r="J95" s="3"/>
      <c r="K95" s="4"/>
      <c r="L95" s="3"/>
    </row>
    <row r="96" s="1" customFormat="1" customHeight="1" spans="1:12">
      <c r="A96" s="2"/>
      <c r="B96" s="2"/>
      <c r="D96" s="3"/>
      <c r="E96" s="3"/>
      <c r="F96" s="2"/>
      <c r="G96" s="3"/>
      <c r="H96" s="22"/>
      <c r="I96" s="3"/>
      <c r="J96" s="3"/>
      <c r="K96" s="4"/>
      <c r="L96" s="3"/>
    </row>
    <row r="97" s="1" customFormat="1" customHeight="1" spans="1:12">
      <c r="A97" s="2"/>
      <c r="B97" s="2"/>
      <c r="D97" s="3"/>
      <c r="E97" s="3"/>
      <c r="F97" s="2"/>
      <c r="G97" s="3"/>
      <c r="H97" s="22"/>
      <c r="I97" s="3"/>
      <c r="J97" s="3"/>
      <c r="K97" s="4"/>
      <c r="L97" s="3"/>
    </row>
    <row r="98" s="1" customFormat="1" customHeight="1" spans="1:12">
      <c r="A98" s="2"/>
      <c r="B98" s="2"/>
      <c r="D98" s="3"/>
      <c r="E98" s="3"/>
      <c r="F98" s="2"/>
      <c r="G98" s="3"/>
      <c r="H98" s="22"/>
      <c r="I98" s="3"/>
      <c r="J98" s="3"/>
      <c r="K98" s="4"/>
      <c r="L98" s="3"/>
    </row>
    <row r="99" s="1" customFormat="1" customHeight="1" spans="1:12">
      <c r="A99" s="2"/>
      <c r="B99" s="2"/>
      <c r="D99" s="3"/>
      <c r="E99" s="3"/>
      <c r="F99" s="2"/>
      <c r="G99" s="3"/>
      <c r="H99" s="22"/>
      <c r="I99" s="3"/>
      <c r="J99" s="3"/>
      <c r="K99" s="4"/>
      <c r="L99" s="3"/>
    </row>
    <row r="100" s="1" customFormat="1" customHeight="1" spans="1:12">
      <c r="A100" s="2"/>
      <c r="B100" s="2"/>
      <c r="D100" s="3"/>
      <c r="E100" s="3"/>
      <c r="F100" s="2"/>
      <c r="G100" s="3"/>
      <c r="H100" s="3"/>
      <c r="I100" s="3"/>
      <c r="J100" s="3"/>
      <c r="K100" s="4"/>
      <c r="L100" s="3"/>
    </row>
    <row r="101" s="1" customFormat="1" customHeight="1" spans="1:12">
      <c r="A101" s="2"/>
      <c r="B101" s="2"/>
      <c r="D101" s="3"/>
      <c r="E101" s="3"/>
      <c r="F101" s="2"/>
      <c r="G101" s="3"/>
      <c r="H101" s="3"/>
      <c r="I101" s="3"/>
      <c r="J101" s="3"/>
      <c r="K101" s="4"/>
      <c r="L101" s="3"/>
    </row>
    <row r="102" s="1" customFormat="1" customHeight="1" spans="1:12">
      <c r="A102" s="2"/>
      <c r="B102" s="2"/>
      <c r="D102" s="3"/>
      <c r="E102" s="3"/>
      <c r="F102" s="2"/>
      <c r="G102" s="3"/>
      <c r="H102" s="3"/>
      <c r="I102" s="3"/>
      <c r="J102" s="3"/>
      <c r="K102" s="4"/>
      <c r="L102" s="3"/>
    </row>
    <row r="103" s="1" customFormat="1" customHeight="1" spans="1:12">
      <c r="A103" s="2"/>
      <c r="B103" s="2"/>
      <c r="D103" s="3"/>
      <c r="E103" s="3"/>
      <c r="F103" s="2"/>
      <c r="G103" s="3"/>
      <c r="H103" s="3"/>
      <c r="I103" s="3"/>
      <c r="J103" s="3"/>
      <c r="K103" s="4"/>
      <c r="L103" s="3"/>
    </row>
    <row r="104" s="1" customFormat="1" customHeight="1" spans="1:12">
      <c r="A104" s="2"/>
      <c r="B104" s="2"/>
      <c r="D104" s="3"/>
      <c r="E104" s="3"/>
      <c r="F104" s="2"/>
      <c r="G104" s="3"/>
      <c r="H104" s="3"/>
      <c r="I104" s="3"/>
      <c r="J104" s="3"/>
      <c r="K104" s="4"/>
      <c r="L104" s="3"/>
    </row>
    <row r="105" s="1" customFormat="1" customHeight="1" spans="1:12">
      <c r="A105" s="2"/>
      <c r="B105" s="2"/>
      <c r="D105" s="3"/>
      <c r="E105" s="3"/>
      <c r="F105" s="2"/>
      <c r="G105" s="3"/>
      <c r="H105" s="3"/>
      <c r="I105" s="3"/>
      <c r="J105" s="3"/>
      <c r="K105" s="4"/>
      <c r="L105" s="3"/>
    </row>
    <row r="106" s="1" customFormat="1" customHeight="1" spans="1:12">
      <c r="A106" s="2"/>
      <c r="B106" s="2"/>
      <c r="D106" s="3"/>
      <c r="E106" s="3"/>
      <c r="F106" s="2"/>
      <c r="G106" s="3"/>
      <c r="H106" s="3"/>
      <c r="I106" s="3"/>
      <c r="J106" s="3"/>
      <c r="K106" s="4"/>
      <c r="L106" s="3"/>
    </row>
    <row r="107" s="1" customFormat="1" customHeight="1" spans="1:12">
      <c r="A107" s="2"/>
      <c r="B107" s="2"/>
      <c r="D107" s="3"/>
      <c r="E107" s="3"/>
      <c r="F107" s="2"/>
      <c r="G107" s="3"/>
      <c r="H107" s="3"/>
      <c r="I107" s="3"/>
      <c r="J107" s="3"/>
      <c r="K107" s="4"/>
      <c r="L107" s="3"/>
    </row>
    <row r="108" s="1" customFormat="1" customHeight="1" spans="1:12">
      <c r="A108" s="2"/>
      <c r="B108" s="2"/>
      <c r="D108" s="3"/>
      <c r="E108" s="3"/>
      <c r="F108" s="2"/>
      <c r="G108" s="3"/>
      <c r="H108" s="3"/>
      <c r="I108" s="3"/>
      <c r="J108" s="3"/>
      <c r="K108" s="4"/>
      <c r="L108" s="3"/>
    </row>
    <row r="109" s="1" customFormat="1" customHeight="1" spans="1:12">
      <c r="A109" s="2"/>
      <c r="B109" s="2"/>
      <c r="D109" s="3"/>
      <c r="E109" s="3"/>
      <c r="F109" s="2"/>
      <c r="G109" s="3"/>
      <c r="H109" s="3"/>
      <c r="I109" s="3"/>
      <c r="J109" s="3"/>
      <c r="K109" s="4"/>
      <c r="L109" s="3"/>
    </row>
    <row r="110" s="1" customFormat="1" customHeight="1" spans="1:12">
      <c r="A110" s="2"/>
      <c r="B110" s="2"/>
      <c r="D110" s="3"/>
      <c r="E110" s="3"/>
      <c r="F110" s="2"/>
      <c r="G110" s="3"/>
      <c r="H110" s="3"/>
      <c r="I110" s="3"/>
      <c r="J110" s="3"/>
      <c r="K110" s="4"/>
      <c r="L110" s="3"/>
    </row>
    <row r="111" s="1" customFormat="1" customHeight="1" spans="1:12">
      <c r="A111" s="2"/>
      <c r="B111" s="2"/>
      <c r="D111" s="3"/>
      <c r="E111" s="3"/>
      <c r="F111" s="2"/>
      <c r="G111" s="3"/>
      <c r="H111" s="3"/>
      <c r="I111" s="3"/>
      <c r="J111" s="3"/>
      <c r="K111" s="4"/>
      <c r="L111" s="3"/>
    </row>
    <row r="112" s="1" customFormat="1" customHeight="1" spans="1:12">
      <c r="A112" s="2"/>
      <c r="B112" s="2"/>
      <c r="D112" s="3"/>
      <c r="E112" s="3"/>
      <c r="F112" s="2"/>
      <c r="G112" s="3"/>
      <c r="H112" s="3"/>
      <c r="I112" s="3"/>
      <c r="J112" s="3"/>
      <c r="K112" s="4"/>
      <c r="L112" s="3"/>
    </row>
    <row r="113" s="1" customFormat="1" customHeight="1" spans="1:12">
      <c r="A113" s="2"/>
      <c r="B113" s="2"/>
      <c r="D113" s="3"/>
      <c r="E113" s="3"/>
      <c r="F113" s="2"/>
      <c r="G113" s="3"/>
      <c r="H113" s="3"/>
      <c r="I113" s="3"/>
      <c r="J113" s="3"/>
      <c r="K113" s="4"/>
      <c r="L113" s="3"/>
    </row>
    <row r="114" s="1" customFormat="1" customHeight="1" spans="1:12">
      <c r="A114" s="2"/>
      <c r="B114" s="2"/>
      <c r="D114" s="3"/>
      <c r="E114" s="3"/>
      <c r="F114" s="2"/>
      <c r="G114" s="3"/>
      <c r="H114" s="3"/>
      <c r="I114" s="3"/>
      <c r="J114" s="3"/>
      <c r="K114" s="4"/>
      <c r="L114" s="3"/>
    </row>
    <row r="115" s="1" customFormat="1" customHeight="1" spans="1:12">
      <c r="A115" s="2"/>
      <c r="B115" s="2"/>
      <c r="D115" s="3"/>
      <c r="E115" s="3"/>
      <c r="F115" s="2"/>
      <c r="G115" s="3"/>
      <c r="H115" s="3"/>
      <c r="I115" s="3"/>
      <c r="J115" s="3"/>
      <c r="K115" s="4"/>
      <c r="L115" s="3"/>
    </row>
    <row r="116" s="1" customFormat="1" customHeight="1" spans="1:12">
      <c r="A116" s="2"/>
      <c r="B116" s="2"/>
      <c r="D116" s="3"/>
      <c r="E116" s="3"/>
      <c r="F116" s="2"/>
      <c r="G116" s="3"/>
      <c r="H116" s="3"/>
      <c r="I116" s="3"/>
      <c r="J116" s="3"/>
      <c r="K116" s="4"/>
      <c r="L116" s="3"/>
    </row>
    <row r="117" s="1" customFormat="1" customHeight="1" spans="1:12">
      <c r="A117" s="2"/>
      <c r="B117" s="2"/>
      <c r="D117" s="3"/>
      <c r="E117" s="3"/>
      <c r="F117" s="2"/>
      <c r="G117" s="3"/>
      <c r="H117" s="3"/>
      <c r="I117" s="3"/>
      <c r="J117" s="3"/>
      <c r="K117" s="4"/>
      <c r="L117" s="3"/>
    </row>
    <row r="118" s="1" customFormat="1" customHeight="1" spans="1:12">
      <c r="A118" s="2"/>
      <c r="B118" s="2"/>
      <c r="D118" s="3"/>
      <c r="E118" s="3"/>
      <c r="F118" s="2"/>
      <c r="G118" s="3"/>
      <c r="H118" s="3"/>
      <c r="I118" s="3"/>
      <c r="J118" s="3"/>
      <c r="K118" s="4"/>
      <c r="L118" s="3"/>
    </row>
    <row r="119" s="1" customFormat="1" customHeight="1" spans="1:12">
      <c r="A119" s="2"/>
      <c r="B119" s="2"/>
      <c r="D119" s="3"/>
      <c r="E119" s="3"/>
      <c r="F119" s="2"/>
      <c r="G119" s="3"/>
      <c r="H119" s="3"/>
      <c r="I119" s="3"/>
      <c r="J119" s="3"/>
      <c r="K119" s="4"/>
      <c r="L119" s="3"/>
    </row>
    <row r="120" s="1" customFormat="1" customHeight="1" spans="1:12">
      <c r="A120" s="2"/>
      <c r="B120" s="2"/>
      <c r="D120" s="3"/>
      <c r="E120" s="3"/>
      <c r="F120" s="2"/>
      <c r="G120" s="3"/>
      <c r="H120" s="3"/>
      <c r="I120" s="3"/>
      <c r="J120" s="3"/>
      <c r="K120" s="4"/>
      <c r="L120" s="3"/>
    </row>
    <row r="121" s="1" customFormat="1" customHeight="1" spans="1:12">
      <c r="A121" s="2"/>
      <c r="B121" s="2"/>
      <c r="D121" s="3"/>
      <c r="E121" s="3"/>
      <c r="F121" s="2"/>
      <c r="G121" s="3"/>
      <c r="H121" s="3"/>
      <c r="I121" s="3"/>
      <c r="J121" s="3"/>
      <c r="K121" s="4"/>
      <c r="L121" s="3"/>
    </row>
    <row r="122" s="1" customFormat="1" customHeight="1" spans="1:12">
      <c r="A122" s="2"/>
      <c r="B122" s="2"/>
      <c r="D122" s="3"/>
      <c r="E122" s="3"/>
      <c r="F122" s="2"/>
      <c r="G122" s="3"/>
      <c r="H122" s="3"/>
      <c r="I122" s="3"/>
      <c r="J122" s="3"/>
      <c r="K122" s="4"/>
      <c r="L122" s="3"/>
    </row>
    <row r="123" s="1" customFormat="1" customHeight="1" spans="1:12">
      <c r="A123" s="2"/>
      <c r="B123" s="2"/>
      <c r="D123" s="3"/>
      <c r="E123" s="3"/>
      <c r="F123" s="2"/>
      <c r="G123" s="3"/>
      <c r="H123" s="3"/>
      <c r="I123" s="3"/>
      <c r="J123" s="3"/>
      <c r="K123" s="4"/>
      <c r="L123" s="3"/>
    </row>
    <row r="124" s="1" customFormat="1" customHeight="1" spans="1:12">
      <c r="A124" s="2"/>
      <c r="B124" s="2"/>
      <c r="D124" s="3"/>
      <c r="E124" s="3"/>
      <c r="F124" s="2"/>
      <c r="G124" s="3"/>
      <c r="H124" s="3"/>
      <c r="I124" s="3"/>
      <c r="J124" s="3"/>
      <c r="K124" s="4"/>
      <c r="L124" s="3"/>
    </row>
    <row r="125" s="1" customFormat="1" customHeight="1" spans="1:12">
      <c r="A125" s="2"/>
      <c r="B125" s="2"/>
      <c r="D125" s="3"/>
      <c r="E125" s="3"/>
      <c r="F125" s="2"/>
      <c r="G125" s="3"/>
      <c r="H125" s="3"/>
      <c r="I125" s="3"/>
      <c r="J125" s="3"/>
      <c r="K125" s="4"/>
      <c r="L125" s="3"/>
    </row>
    <row r="126" s="1" customFormat="1" customHeight="1" spans="1:12">
      <c r="A126" s="2"/>
      <c r="B126" s="2"/>
      <c r="D126" s="3"/>
      <c r="E126" s="3"/>
      <c r="F126" s="2"/>
      <c r="G126" s="3"/>
      <c r="H126" s="3"/>
      <c r="I126" s="3"/>
      <c r="J126" s="3"/>
      <c r="K126" s="4"/>
      <c r="L126" s="3"/>
    </row>
    <row r="127" s="1" customFormat="1" customHeight="1" spans="1:12">
      <c r="A127" s="2"/>
      <c r="B127" s="2"/>
      <c r="D127" s="3"/>
      <c r="E127" s="3"/>
      <c r="F127" s="2"/>
      <c r="G127" s="3"/>
      <c r="H127" s="3"/>
      <c r="I127" s="3"/>
      <c r="J127" s="3"/>
      <c r="K127" s="4"/>
      <c r="L127" s="3"/>
    </row>
    <row r="128" s="1" customFormat="1" customHeight="1" spans="1:12">
      <c r="A128" s="2"/>
      <c r="B128" s="2"/>
      <c r="D128" s="3"/>
      <c r="E128" s="3"/>
      <c r="F128" s="2"/>
      <c r="G128" s="3"/>
      <c r="H128" s="3"/>
      <c r="I128" s="3"/>
      <c r="J128" s="3"/>
      <c r="K128" s="4"/>
      <c r="L128" s="3"/>
    </row>
    <row r="129" s="1" customFormat="1" customHeight="1" spans="1:12">
      <c r="A129" s="2"/>
      <c r="B129" s="2"/>
      <c r="D129" s="3"/>
      <c r="E129" s="3"/>
      <c r="F129" s="2"/>
      <c r="G129" s="3"/>
      <c r="H129" s="3"/>
      <c r="I129" s="3"/>
      <c r="J129" s="3"/>
      <c r="K129" s="4"/>
      <c r="L129" s="3"/>
    </row>
    <row r="130" s="1" customFormat="1" customHeight="1" spans="1:12">
      <c r="A130" s="2"/>
      <c r="B130" s="2"/>
      <c r="D130" s="3"/>
      <c r="E130" s="3"/>
      <c r="F130" s="2"/>
      <c r="G130" s="3"/>
      <c r="H130" s="3"/>
      <c r="I130" s="3"/>
      <c r="J130" s="3"/>
      <c r="K130" s="4"/>
      <c r="L130" s="3"/>
    </row>
    <row r="131" s="1" customFormat="1" customHeight="1" spans="1:12">
      <c r="A131" s="2"/>
      <c r="B131" s="2"/>
      <c r="D131" s="3"/>
      <c r="E131" s="3"/>
      <c r="F131" s="2"/>
      <c r="G131" s="3"/>
      <c r="H131" s="3"/>
      <c r="I131" s="3"/>
      <c r="J131" s="3"/>
      <c r="K131" s="4"/>
      <c r="L131" s="3"/>
    </row>
    <row r="132" s="1" customFormat="1" customHeight="1" spans="1:12">
      <c r="A132" s="2"/>
      <c r="B132" s="2"/>
      <c r="D132" s="3"/>
      <c r="E132" s="3"/>
      <c r="F132" s="2"/>
      <c r="G132" s="3"/>
      <c r="H132" s="3"/>
      <c r="I132" s="3"/>
      <c r="J132" s="3"/>
      <c r="K132" s="4"/>
      <c r="L132" s="3"/>
    </row>
    <row r="133" s="1" customFormat="1" customHeight="1" spans="1:12">
      <c r="A133" s="2"/>
      <c r="B133" s="2"/>
      <c r="D133" s="3"/>
      <c r="E133" s="3"/>
      <c r="F133" s="2"/>
      <c r="G133" s="3"/>
      <c r="H133" s="3"/>
      <c r="I133" s="3"/>
      <c r="J133" s="3"/>
      <c r="K133" s="4"/>
      <c r="L133" s="3"/>
    </row>
    <row r="134" s="1" customFormat="1" customHeight="1" spans="1:12">
      <c r="A134" s="2"/>
      <c r="B134" s="2"/>
      <c r="D134" s="3"/>
      <c r="E134" s="3"/>
      <c r="F134" s="2"/>
      <c r="G134" s="3"/>
      <c r="H134" s="3"/>
      <c r="I134" s="3"/>
      <c r="J134" s="3"/>
      <c r="K134" s="4"/>
      <c r="L134" s="3"/>
    </row>
    <row r="135" s="1" customFormat="1" customHeight="1" spans="1:12">
      <c r="A135" s="2"/>
      <c r="B135" s="2"/>
      <c r="D135" s="3"/>
      <c r="E135" s="3"/>
      <c r="F135" s="2"/>
      <c r="G135" s="3"/>
      <c r="H135" s="3"/>
      <c r="I135" s="3"/>
      <c r="J135" s="3"/>
      <c r="K135" s="4"/>
      <c r="L135" s="3"/>
    </row>
    <row r="136" s="1" customFormat="1" customHeight="1" spans="1:12">
      <c r="A136" s="2"/>
      <c r="B136" s="2"/>
      <c r="D136" s="3"/>
      <c r="E136" s="3"/>
      <c r="F136" s="2"/>
      <c r="G136" s="3"/>
      <c r="H136" s="3"/>
      <c r="I136" s="3"/>
      <c r="J136" s="3"/>
      <c r="K136" s="4"/>
      <c r="L136" s="3"/>
    </row>
    <row r="137" s="1" customFormat="1" customHeight="1" spans="1:12">
      <c r="A137" s="2"/>
      <c r="B137" s="2"/>
      <c r="D137" s="3"/>
      <c r="E137" s="3"/>
      <c r="F137" s="2"/>
      <c r="G137" s="3"/>
      <c r="H137" s="3"/>
      <c r="I137" s="3"/>
      <c r="J137" s="3"/>
      <c r="K137" s="4"/>
      <c r="L137" s="3"/>
    </row>
    <row r="138" s="1" customFormat="1" customHeight="1" spans="1:12">
      <c r="A138" s="2"/>
      <c r="B138" s="2"/>
      <c r="D138" s="3"/>
      <c r="E138" s="3"/>
      <c r="F138" s="2"/>
      <c r="G138" s="3"/>
      <c r="H138" s="3"/>
      <c r="I138" s="3"/>
      <c r="J138" s="3"/>
      <c r="K138" s="4"/>
      <c r="L138" s="3"/>
    </row>
    <row r="139" s="1" customFormat="1" customHeight="1" spans="1:12">
      <c r="A139" s="2"/>
      <c r="B139" s="2"/>
      <c r="D139" s="3"/>
      <c r="E139" s="3"/>
      <c r="F139" s="2"/>
      <c r="G139" s="3"/>
      <c r="H139" s="3"/>
      <c r="I139" s="3"/>
      <c r="J139" s="3"/>
      <c r="K139" s="4"/>
      <c r="L139" s="3"/>
    </row>
    <row r="140" s="1" customFormat="1" customHeight="1" spans="1:12">
      <c r="A140" s="2"/>
      <c r="B140" s="2"/>
      <c r="D140" s="3"/>
      <c r="E140" s="3"/>
      <c r="F140" s="2"/>
      <c r="G140" s="3"/>
      <c r="H140" s="3"/>
      <c r="I140" s="3"/>
      <c r="J140" s="3"/>
      <c r="K140" s="4"/>
      <c r="L140" s="3"/>
    </row>
    <row r="141" s="1" customFormat="1" customHeight="1" spans="1:12">
      <c r="A141" s="2"/>
      <c r="B141" s="2"/>
      <c r="D141" s="3"/>
      <c r="E141" s="3"/>
      <c r="F141" s="2"/>
      <c r="G141" s="3"/>
      <c r="H141" s="3"/>
      <c r="I141" s="3"/>
      <c r="J141" s="3"/>
      <c r="K141" s="4"/>
      <c r="L141" s="3"/>
    </row>
    <row r="142" s="1" customFormat="1" customHeight="1" spans="1:12">
      <c r="A142" s="2"/>
      <c r="B142" s="2"/>
      <c r="D142" s="3"/>
      <c r="E142" s="3"/>
      <c r="F142" s="2"/>
      <c r="G142" s="3"/>
      <c r="H142" s="3"/>
      <c r="I142" s="3"/>
      <c r="J142" s="3"/>
      <c r="K142" s="4"/>
      <c r="L142" s="3"/>
    </row>
    <row r="143" s="1" customFormat="1" customHeight="1" spans="1:12">
      <c r="A143" s="2"/>
      <c r="B143" s="2"/>
      <c r="D143" s="3"/>
      <c r="E143" s="3"/>
      <c r="F143" s="2"/>
      <c r="G143" s="3"/>
      <c r="H143" s="3"/>
      <c r="I143" s="3"/>
      <c r="J143" s="3"/>
      <c r="K143" s="4"/>
      <c r="L143" s="3"/>
    </row>
    <row r="144" s="1" customFormat="1" customHeight="1" spans="1:12">
      <c r="A144" s="2"/>
      <c r="B144" s="2"/>
      <c r="D144" s="3"/>
      <c r="E144" s="3"/>
      <c r="F144" s="2"/>
      <c r="G144" s="3"/>
      <c r="H144" s="3"/>
      <c r="I144" s="3"/>
      <c r="J144" s="3"/>
      <c r="K144" s="4"/>
      <c r="L144" s="3"/>
    </row>
    <row r="145" s="1" customFormat="1" customHeight="1" spans="1:12">
      <c r="A145" s="2"/>
      <c r="B145" s="2"/>
      <c r="D145" s="3"/>
      <c r="E145" s="3"/>
      <c r="F145" s="2"/>
      <c r="G145" s="3"/>
      <c r="H145" s="3"/>
      <c r="I145" s="3"/>
      <c r="J145" s="3"/>
      <c r="K145" s="4"/>
      <c r="L145" s="3"/>
    </row>
    <row r="146" s="1" customFormat="1" customHeight="1" spans="1:12">
      <c r="A146" s="2"/>
      <c r="B146" s="2"/>
      <c r="D146" s="3"/>
      <c r="E146" s="3"/>
      <c r="F146" s="2"/>
      <c r="G146" s="3"/>
      <c r="H146" s="3"/>
      <c r="I146" s="3"/>
      <c r="J146" s="3"/>
      <c r="K146" s="4"/>
      <c r="L146" s="3"/>
    </row>
    <row r="147" s="1" customFormat="1" customHeight="1" spans="1:12">
      <c r="A147" s="2"/>
      <c r="B147" s="2"/>
      <c r="D147" s="3"/>
      <c r="E147" s="3"/>
      <c r="F147" s="2"/>
      <c r="G147" s="3"/>
      <c r="H147" s="3"/>
      <c r="I147" s="3"/>
      <c r="J147" s="3"/>
      <c r="K147" s="4"/>
      <c r="L147" s="3"/>
    </row>
    <row r="148" s="1" customFormat="1" customHeight="1" spans="1:12">
      <c r="A148" s="2"/>
      <c r="B148" s="2"/>
      <c r="D148" s="3"/>
      <c r="E148" s="3"/>
      <c r="F148" s="2"/>
      <c r="G148" s="3"/>
      <c r="H148" s="3"/>
      <c r="I148" s="3"/>
      <c r="J148" s="3"/>
      <c r="K148" s="4"/>
      <c r="L148" s="3"/>
    </row>
    <row r="149" s="1" customFormat="1" customHeight="1" spans="1:12">
      <c r="A149" s="2"/>
      <c r="B149" s="2"/>
      <c r="D149" s="3"/>
      <c r="E149" s="3"/>
      <c r="F149" s="2"/>
      <c r="G149" s="3"/>
      <c r="H149" s="3"/>
      <c r="I149" s="3"/>
      <c r="J149" s="3"/>
      <c r="K149" s="4"/>
      <c r="L149" s="3"/>
    </row>
    <row r="150" s="1" customFormat="1" customHeight="1" spans="1:12">
      <c r="A150" s="2"/>
      <c r="B150" s="2"/>
      <c r="D150" s="3"/>
      <c r="E150" s="3"/>
      <c r="F150" s="2"/>
      <c r="G150" s="3"/>
      <c r="H150" s="3"/>
      <c r="I150" s="3"/>
      <c r="J150" s="3"/>
      <c r="K150" s="4"/>
      <c r="L150" s="3"/>
    </row>
    <row r="151" s="1" customFormat="1" customHeight="1" spans="1:12">
      <c r="A151" s="2"/>
      <c r="B151" s="2"/>
      <c r="D151" s="3"/>
      <c r="E151" s="3"/>
      <c r="F151" s="2"/>
      <c r="G151" s="3"/>
      <c r="H151" s="3"/>
      <c r="I151" s="3"/>
      <c r="J151" s="3"/>
      <c r="K151" s="4"/>
      <c r="L151" s="3"/>
    </row>
    <row r="152" s="1" customFormat="1" customHeight="1" spans="1:12">
      <c r="A152" s="2"/>
      <c r="B152" s="2"/>
      <c r="D152" s="3"/>
      <c r="E152" s="3"/>
      <c r="F152" s="2"/>
      <c r="G152" s="3"/>
      <c r="H152" s="3"/>
      <c r="I152" s="3"/>
      <c r="J152" s="3"/>
      <c r="K152" s="4"/>
      <c r="L152" s="3"/>
    </row>
    <row r="153" s="1" customFormat="1" customHeight="1" spans="1:12">
      <c r="A153" s="2"/>
      <c r="B153" s="2"/>
      <c r="D153" s="3"/>
      <c r="E153" s="3"/>
      <c r="F153" s="2"/>
      <c r="G153" s="3"/>
      <c r="H153" s="3"/>
      <c r="I153" s="3"/>
      <c r="J153" s="3"/>
      <c r="K153" s="4"/>
      <c r="L153" s="3"/>
    </row>
    <row r="154" s="1" customFormat="1" customHeight="1" spans="1:12">
      <c r="A154" s="2"/>
      <c r="B154" s="2"/>
      <c r="D154" s="3"/>
      <c r="E154" s="3"/>
      <c r="F154" s="2"/>
      <c r="G154" s="3"/>
      <c r="H154" s="3"/>
      <c r="I154" s="3"/>
      <c r="J154" s="3"/>
      <c r="K154" s="4"/>
      <c r="L154" s="3"/>
    </row>
    <row r="155" s="1" customFormat="1" customHeight="1" spans="1:12">
      <c r="A155" s="2"/>
      <c r="B155" s="2"/>
      <c r="D155" s="3"/>
      <c r="E155" s="3"/>
      <c r="F155" s="2"/>
      <c r="G155" s="3"/>
      <c r="H155" s="3"/>
      <c r="I155" s="3"/>
      <c r="J155" s="3"/>
      <c r="K155" s="4"/>
      <c r="L155" s="3"/>
    </row>
    <row r="156" s="1" customFormat="1" customHeight="1" spans="1:12">
      <c r="A156" s="2"/>
      <c r="B156" s="2"/>
      <c r="D156" s="3"/>
      <c r="E156" s="3"/>
      <c r="F156" s="2"/>
      <c r="G156" s="3"/>
      <c r="H156" s="3"/>
      <c r="I156" s="3"/>
      <c r="J156" s="3"/>
      <c r="K156" s="4"/>
      <c r="L156" s="3"/>
    </row>
    <row r="157" s="1" customFormat="1" customHeight="1" spans="1:12">
      <c r="A157" s="2"/>
      <c r="B157" s="2"/>
      <c r="D157" s="3"/>
      <c r="E157" s="3"/>
      <c r="F157" s="2"/>
      <c r="G157" s="3"/>
      <c r="H157" s="3"/>
      <c r="I157" s="3"/>
      <c r="J157" s="3"/>
      <c r="K157" s="4"/>
      <c r="L157" s="3"/>
    </row>
    <row r="158" s="1" customFormat="1" customHeight="1" spans="1:12">
      <c r="A158" s="2"/>
      <c r="B158" s="2"/>
      <c r="D158" s="3"/>
      <c r="E158" s="3"/>
      <c r="F158" s="2"/>
      <c r="G158" s="3"/>
      <c r="H158" s="3"/>
      <c r="I158" s="3"/>
      <c r="J158" s="3"/>
      <c r="K158" s="4"/>
      <c r="L158" s="3"/>
    </row>
    <row r="159" s="1" customFormat="1" customHeight="1" spans="1:12">
      <c r="A159" s="2"/>
      <c r="B159" s="2"/>
      <c r="D159" s="3"/>
      <c r="E159" s="3"/>
      <c r="F159" s="2"/>
      <c r="G159" s="3"/>
      <c r="H159" s="3"/>
      <c r="I159" s="3"/>
      <c r="J159" s="3"/>
      <c r="K159" s="4"/>
      <c r="L159" s="3"/>
    </row>
    <row r="160" s="1" customFormat="1" customHeight="1" spans="1:12">
      <c r="A160" s="2"/>
      <c r="B160" s="2"/>
      <c r="D160" s="3"/>
      <c r="E160" s="3"/>
      <c r="F160" s="2"/>
      <c r="G160" s="3"/>
      <c r="H160" s="3"/>
      <c r="I160" s="3"/>
      <c r="J160" s="3"/>
      <c r="K160" s="4"/>
      <c r="L160" s="3"/>
    </row>
    <row r="161" s="1" customFormat="1" customHeight="1" spans="1:12">
      <c r="A161" s="2"/>
      <c r="B161" s="2"/>
      <c r="D161" s="3"/>
      <c r="E161" s="3"/>
      <c r="F161" s="2"/>
      <c r="G161" s="3"/>
      <c r="H161" s="3"/>
      <c r="I161" s="3"/>
      <c r="J161" s="3"/>
      <c r="K161" s="4"/>
      <c r="L161" s="3"/>
    </row>
    <row r="162" s="1" customFormat="1" customHeight="1" spans="1:12">
      <c r="A162" s="2"/>
      <c r="B162" s="2"/>
      <c r="D162" s="3"/>
      <c r="E162" s="3"/>
      <c r="F162" s="2"/>
      <c r="G162" s="3"/>
      <c r="H162" s="3"/>
      <c r="I162" s="3"/>
      <c r="J162" s="3"/>
      <c r="K162" s="4"/>
      <c r="L162" s="3"/>
    </row>
    <row r="163" s="1" customFormat="1" customHeight="1" spans="1:12">
      <c r="A163" s="2"/>
      <c r="B163" s="2"/>
      <c r="D163" s="3"/>
      <c r="E163" s="3"/>
      <c r="F163" s="2"/>
      <c r="G163" s="3"/>
      <c r="H163" s="3"/>
      <c r="I163" s="3"/>
      <c r="J163" s="3"/>
      <c r="K163" s="4"/>
      <c r="L163" s="3"/>
    </row>
    <row r="164" s="1" customFormat="1" customHeight="1" spans="1:12">
      <c r="A164" s="2"/>
      <c r="B164" s="2"/>
      <c r="D164" s="3"/>
      <c r="E164" s="3"/>
      <c r="F164" s="2"/>
      <c r="G164" s="3"/>
      <c r="H164" s="3"/>
      <c r="I164" s="3"/>
      <c r="J164" s="3"/>
      <c r="K164" s="4"/>
      <c r="L164" s="3"/>
    </row>
    <row r="165" s="1" customFormat="1" customHeight="1" spans="1:12">
      <c r="A165" s="2"/>
      <c r="B165" s="2"/>
      <c r="D165" s="3"/>
      <c r="E165" s="3"/>
      <c r="F165" s="2"/>
      <c r="G165" s="3"/>
      <c r="H165" s="3"/>
      <c r="I165" s="3"/>
      <c r="J165" s="3"/>
      <c r="K165" s="4"/>
      <c r="L165" s="3"/>
    </row>
    <row r="166" s="1" customFormat="1" customHeight="1" spans="1:12">
      <c r="A166" s="2"/>
      <c r="B166" s="2"/>
      <c r="D166" s="3"/>
      <c r="E166" s="3"/>
      <c r="F166" s="2"/>
      <c r="G166" s="3"/>
      <c r="H166" s="3"/>
      <c r="I166" s="3"/>
      <c r="J166" s="3"/>
      <c r="K166" s="4"/>
      <c r="L166" s="3"/>
    </row>
    <row r="167" s="1" customFormat="1" customHeight="1" spans="1:12">
      <c r="A167" s="2"/>
      <c r="B167" s="2"/>
      <c r="D167" s="3"/>
      <c r="E167" s="3"/>
      <c r="F167" s="2"/>
      <c r="G167" s="3"/>
      <c r="H167" s="3"/>
      <c r="I167" s="3"/>
      <c r="J167" s="3"/>
      <c r="K167" s="4"/>
      <c r="L167" s="3"/>
    </row>
    <row r="168" s="1" customFormat="1" customHeight="1" spans="1:12">
      <c r="A168" s="2"/>
      <c r="B168" s="2"/>
      <c r="D168" s="3"/>
      <c r="E168" s="3"/>
      <c r="F168" s="2"/>
      <c r="G168" s="3"/>
      <c r="H168" s="3"/>
      <c r="I168" s="3"/>
      <c r="J168" s="3"/>
      <c r="K168" s="4"/>
      <c r="L168" s="3"/>
    </row>
    <row r="169" s="1" customFormat="1" customHeight="1" spans="1:12">
      <c r="A169" s="2"/>
      <c r="B169" s="2"/>
      <c r="D169" s="3"/>
      <c r="E169" s="3"/>
      <c r="F169" s="2"/>
      <c r="G169" s="3"/>
      <c r="H169" s="3"/>
      <c r="I169" s="3"/>
      <c r="J169" s="3"/>
      <c r="K169" s="4"/>
      <c r="L169" s="3"/>
    </row>
    <row r="170" s="1" customFormat="1" customHeight="1" spans="1:12">
      <c r="A170" s="2"/>
      <c r="B170" s="2"/>
      <c r="D170" s="3"/>
      <c r="E170" s="3"/>
      <c r="F170" s="2"/>
      <c r="G170" s="3"/>
      <c r="H170" s="3"/>
      <c r="I170" s="3"/>
      <c r="J170" s="3"/>
      <c r="K170" s="4"/>
      <c r="L170" s="3"/>
    </row>
    <row r="171" s="1" customFormat="1" customHeight="1" spans="1:12">
      <c r="A171" s="2"/>
      <c r="B171" s="2"/>
      <c r="D171" s="3"/>
      <c r="E171" s="3"/>
      <c r="F171" s="2"/>
      <c r="G171" s="3"/>
      <c r="H171" s="3"/>
      <c r="I171" s="3"/>
      <c r="J171" s="3"/>
      <c r="K171" s="4"/>
      <c r="L171" s="3"/>
    </row>
    <row r="172" s="1" customFormat="1" customHeight="1" spans="1:12">
      <c r="A172" s="2"/>
      <c r="B172" s="2"/>
      <c r="D172" s="3"/>
      <c r="E172" s="3"/>
      <c r="F172" s="2"/>
      <c r="G172" s="3"/>
      <c r="H172" s="3"/>
      <c r="I172" s="3"/>
      <c r="J172" s="3"/>
      <c r="K172" s="4"/>
      <c r="L172" s="3"/>
    </row>
    <row r="173" s="1" customFormat="1" customHeight="1" spans="1:12">
      <c r="A173" s="2"/>
      <c r="B173" s="2"/>
      <c r="D173" s="3"/>
      <c r="E173" s="3"/>
      <c r="F173" s="2"/>
      <c r="G173" s="3"/>
      <c r="H173" s="3"/>
      <c r="I173" s="3"/>
      <c r="J173" s="3"/>
      <c r="K173" s="4"/>
      <c r="L173" s="3"/>
    </row>
    <row r="174" s="1" customFormat="1" customHeight="1" spans="1:12">
      <c r="A174" s="2"/>
      <c r="B174" s="2"/>
      <c r="D174" s="3"/>
      <c r="E174" s="3"/>
      <c r="F174" s="2"/>
      <c r="G174" s="3"/>
      <c r="H174" s="3"/>
      <c r="I174" s="3"/>
      <c r="J174" s="3"/>
      <c r="K174" s="4"/>
      <c r="L174" s="3"/>
    </row>
    <row r="175" s="1" customFormat="1" customHeight="1" spans="1:12">
      <c r="A175" s="2"/>
      <c r="B175" s="2"/>
      <c r="D175" s="3"/>
      <c r="E175" s="3"/>
      <c r="F175" s="2"/>
      <c r="G175" s="3"/>
      <c r="H175" s="3"/>
      <c r="I175" s="3"/>
      <c r="J175" s="3"/>
      <c r="K175" s="4"/>
      <c r="L175" s="3"/>
    </row>
    <row r="176" s="1" customFormat="1" customHeight="1" spans="1:12">
      <c r="A176" s="2"/>
      <c r="B176" s="2"/>
      <c r="D176" s="3"/>
      <c r="E176" s="3"/>
      <c r="F176" s="2"/>
      <c r="G176" s="3"/>
      <c r="H176" s="3"/>
      <c r="I176" s="3"/>
      <c r="J176" s="3"/>
      <c r="K176" s="4"/>
      <c r="L176" s="3"/>
    </row>
    <row r="177" s="1" customFormat="1" customHeight="1" spans="1:12">
      <c r="A177" s="2"/>
      <c r="B177" s="2"/>
      <c r="D177" s="3"/>
      <c r="E177" s="3"/>
      <c r="F177" s="2"/>
      <c r="G177" s="3"/>
      <c r="H177" s="3"/>
      <c r="I177" s="3"/>
      <c r="J177" s="3"/>
      <c r="K177" s="4"/>
      <c r="L177" s="3"/>
    </row>
    <row r="178" s="1" customFormat="1" customHeight="1" spans="1:12">
      <c r="A178" s="2"/>
      <c r="B178" s="2"/>
      <c r="D178" s="3"/>
      <c r="E178" s="3"/>
      <c r="F178" s="2"/>
      <c r="G178" s="3"/>
      <c r="H178" s="3"/>
      <c r="I178" s="3"/>
      <c r="J178" s="3"/>
      <c r="K178" s="4"/>
      <c r="L178" s="3"/>
    </row>
    <row r="179" s="1" customFormat="1" customHeight="1" spans="1:12">
      <c r="A179" s="2"/>
      <c r="B179" s="2"/>
      <c r="D179" s="3"/>
      <c r="E179" s="3"/>
      <c r="F179" s="2"/>
      <c r="G179" s="3"/>
      <c r="H179" s="3"/>
      <c r="I179" s="3"/>
      <c r="J179" s="3"/>
      <c r="K179" s="4"/>
      <c r="L179" s="3"/>
    </row>
    <row r="180" s="1" customFormat="1" customHeight="1" spans="1:12">
      <c r="A180" s="2"/>
      <c r="B180" s="2"/>
      <c r="D180" s="3"/>
      <c r="E180" s="3"/>
      <c r="F180" s="2"/>
      <c r="G180" s="3"/>
      <c r="H180" s="3"/>
      <c r="I180" s="3"/>
      <c r="J180" s="3"/>
      <c r="K180" s="4"/>
      <c r="L180" s="3"/>
    </row>
    <row r="181" s="1" customFormat="1" customHeight="1" spans="1:12">
      <c r="A181" s="2"/>
      <c r="B181" s="2"/>
      <c r="D181" s="3"/>
      <c r="E181" s="3"/>
      <c r="F181" s="2"/>
      <c r="G181" s="3"/>
      <c r="H181" s="3"/>
      <c r="I181" s="3"/>
      <c r="J181" s="3"/>
      <c r="K181" s="4"/>
      <c r="L181" s="3"/>
    </row>
    <row r="182" s="1" customFormat="1" customHeight="1" spans="1:12">
      <c r="A182" s="2"/>
      <c r="B182" s="2"/>
      <c r="D182" s="3"/>
      <c r="E182" s="3"/>
      <c r="F182" s="2"/>
      <c r="G182" s="3"/>
      <c r="H182" s="3"/>
      <c r="I182" s="3"/>
      <c r="J182" s="3"/>
      <c r="K182" s="4"/>
      <c r="L182" s="3"/>
    </row>
  </sheetData>
  <conditionalFormatting sqref="E3">
    <cfRule type="expression" dxfId="0" priority="6">
      <formula>$A4&lt;&gt;""</formula>
    </cfRule>
    <cfRule type="expression" dxfId="0" priority="7">
      <formula>#REF!&lt;&gt;""</formula>
    </cfRule>
  </conditionalFormatting>
  <conditionalFormatting sqref="G3">
    <cfRule type="expression" dxfId="0" priority="10">
      <formula>$A4&lt;&gt;""</formula>
    </cfRule>
    <cfRule type="expression" dxfId="0" priority="11">
      <formula>#REF!&lt;&gt;""</formula>
    </cfRule>
  </conditionalFormatting>
  <conditionalFormatting sqref="F4">
    <cfRule type="expression" dxfId="0" priority="8">
      <formula>$A3&lt;&gt;""</formula>
    </cfRule>
    <cfRule type="expression" dxfId="0" priority="9">
      <formula>$A4&lt;&gt;""</formula>
    </cfRule>
  </conditionalFormatting>
  <conditionalFormatting sqref="O9">
    <cfRule type="expression" dxfId="0" priority="3">
      <formula>$A3&lt;&gt;""</formula>
    </cfRule>
  </conditionalFormatting>
  <conditionalFormatting sqref="A1:M2 A3:D3 H3:M3 A5:M1048574">
    <cfRule type="expression" dxfId="0" priority="1">
      <formula>$A1&lt;&gt;""</formula>
    </cfRule>
    <cfRule type="expression" dxfId="0" priority="2">
      <formula>$A2&lt;&gt;""</formula>
    </cfRule>
  </conditionalFormatting>
  <conditionalFormatting sqref="A4:D4 H4:M4">
    <cfRule type="expression" dxfId="0" priority="12">
      <formula>$A4&lt;&gt;""</formula>
    </cfRule>
    <cfRule type="expression" dxfId="0" priority="13">
      <formula>#REF!&lt;&gt;""</formula>
    </cfRule>
  </conditionalFormatting>
  <conditionalFormatting sqref="A1048575:M1048576">
    <cfRule type="expression" dxfId="0" priority="4">
      <formula>$A1048575&lt;&gt;""</formula>
    </cfRule>
    <cfRule type="expression" dxfId="0" priority="5">
      <formula>$A1&lt;&gt;""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基本信息表</vt:lpstr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2023-05-12T11:15:00Z</dcterms:created>
  <dcterms:modified xsi:type="dcterms:W3CDTF">2026-10-08T14:03:53Z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6F629A86C21D47DBBB9A89A28734DA8E_13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