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个人往来\"/>
    </mc:Choice>
  </mc:AlternateContent>
  <bookViews>
    <workbookView windowWidth="17970" windowHeight="7140"/>
  </bookViews>
  <sheets>
    <sheet name="聂辉报销明细" sheetId="1" r:id="rId1"/>
    <sheet name="26年" sheetId="2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<sst xmlns="http://schemas.openxmlformats.org/spreadsheetml/2006/main" count="278" uniqueCount="90">
  <si>
    <t>聂辉报销款明细</t>
  </si>
  <si>
    <t>年</t>
  </si>
  <si>
    <t>日期</t>
  </si>
  <si>
    <t xml:space="preserve"> 支出金额</t>
  </si>
  <si>
    <t xml:space="preserve"> 已开票金额</t>
  </si>
  <si>
    <t xml:space="preserve"> 欠票金额</t>
  </si>
  <si>
    <t xml:space="preserve"> 已报销金额</t>
  </si>
  <si>
    <t xml:space="preserve"> 未报销金额</t>
  </si>
  <si>
    <t>类别</t>
  </si>
  <si>
    <t>账户</t>
  </si>
  <si>
    <t>业务摘要</t>
  </si>
  <si>
    <t>收入金额</t>
  </si>
  <si>
    <t>支出金额</t>
  </si>
  <si>
    <t>项目名称</t>
  </si>
  <si>
    <t>已开票金额</t>
  </si>
  <si>
    <t>开票日期</t>
  </si>
  <si>
    <t>开票单位</t>
  </si>
  <si>
    <t>欠票金额</t>
  </si>
  <si>
    <t>已报销金额</t>
  </si>
  <si>
    <t>未报销金额</t>
  </si>
  <si>
    <t>2023年</t>
  </si>
  <si>
    <t>5月</t>
  </si>
  <si>
    <t>支出</t>
  </si>
  <si>
    <t>聂辉微信</t>
  </si>
  <si>
    <t>水桶压金</t>
  </si>
  <si>
    <t>办公室</t>
  </si>
  <si>
    <t>11月</t>
  </si>
  <si>
    <t>餐费-一家</t>
  </si>
  <si>
    <t>12月</t>
  </si>
  <si>
    <t>餐费-小酒馆</t>
  </si>
  <si>
    <t>2023年 汇总</t>
  </si>
  <si>
    <t>2024年</t>
  </si>
  <si>
    <t>1月</t>
  </si>
  <si>
    <t>物流费，打印费</t>
  </si>
  <si>
    <t>3月</t>
  </si>
  <si>
    <t>买材料-镀锌管</t>
  </si>
  <si>
    <t>4月</t>
  </si>
  <si>
    <t>成峰过路费，油费</t>
  </si>
  <si>
    <t>隆世光伏</t>
  </si>
  <si>
    <t>买油漆</t>
  </si>
  <si>
    <t>6月</t>
  </si>
  <si>
    <t>买材料-套丝机板牙</t>
  </si>
  <si>
    <t>8月</t>
  </si>
  <si>
    <t>付电线款</t>
  </si>
  <si>
    <t>9月</t>
  </si>
  <si>
    <t>买香烟</t>
  </si>
  <si>
    <t>10月</t>
  </si>
  <si>
    <t>端午节发员工福利</t>
  </si>
  <si>
    <t>2024年 汇总</t>
  </si>
  <si>
    <t>付材料运费</t>
  </si>
  <si>
    <t>2025年</t>
  </si>
  <si>
    <t>员工医疗费</t>
  </si>
  <si>
    <t>买真空压力表</t>
  </si>
  <si>
    <t>餐费-洞氮胡记羊肉馆</t>
  </si>
  <si>
    <t>买打印纸</t>
  </si>
  <si>
    <t>餐费-紫荆山土菜坊</t>
  </si>
  <si>
    <t>2025年 汇总</t>
  </si>
  <si>
    <t>餐费-熊厨餐饮店</t>
  </si>
  <si>
    <t>2026年</t>
  </si>
  <si>
    <t>2月</t>
  </si>
  <si>
    <t>公司买办公桌-文件柜</t>
  </si>
  <si>
    <t>买墨盒，数据线</t>
  </si>
  <si>
    <t>打印费</t>
  </si>
  <si>
    <t>餐费-</t>
  </si>
  <si>
    <t>2026年 汇总</t>
  </si>
  <si>
    <t>餐费-塘山人家餐饮店</t>
  </si>
  <si>
    <t>德安塘山人家餐饮店</t>
  </si>
  <si>
    <t>总计</t>
  </si>
  <si>
    <t>正月请客招待水果，坚果</t>
  </si>
  <si>
    <t>车辆加油</t>
  </si>
  <si>
    <t>餐费-员工工作餐</t>
  </si>
  <si>
    <t>端午节买粽子</t>
  </si>
  <si>
    <t>刻公章和快递费</t>
  </si>
  <si>
    <t>公司买水果</t>
  </si>
  <si>
    <t>买香烟和打车</t>
  </si>
  <si>
    <t>晚餐-技术员</t>
  </si>
  <si>
    <t>科创中心</t>
  </si>
  <si>
    <t>出差过路费</t>
  </si>
  <si>
    <t>买酒</t>
  </si>
  <si>
    <t>聚餐</t>
  </si>
  <si>
    <t>买烟</t>
  </si>
  <si>
    <t>微信转吴群</t>
  </si>
  <si>
    <t>德安养老中心</t>
  </si>
  <si>
    <t>共青厂房预算费</t>
  </si>
  <si>
    <t>25年3月17日，26年1月29日订制打心机</t>
  </si>
  <si>
    <t>转分包商</t>
  </si>
  <si>
    <t>26年聂辉个人往来</t>
  </si>
  <si>
    <t>报销状态</t>
  </si>
  <si>
    <t>客户名称</t>
  </si>
  <si>
    <t>供应商名称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</si>
</sst>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2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0"/>
      <name val="宋体"/>
      <charset val="134"/>
    </font>
    <font>
      <sz val="8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2"/>
      <color theme="0"/>
      <name val="宋体"/>
      <charset val="134"/>
    </font>
    <font>
      <b/>
      <sz val="16"/>
      <color theme="0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5" borderId="7">
      <alignment vertical="center"/>
    </xf>
    <xf numFmtId="0" fontId="18" fillId="6" borderId="8">
      <alignment vertical="center"/>
    </xf>
    <xf numFmtId="0" fontId="19" fillId="6" borderId="7">
      <alignment vertical="center"/>
    </xf>
    <xf numFmtId="0" fontId="20" fillId="7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3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8" fillId="0" borderId="0">
      <alignment vertical="center"/>
    </xf>
  </cellStyleXfs>
  <cellXfs count="3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176" fontId="1" fillId="0" borderId="0" xfId="0" applyNumberFormat="1" applyFont="1" applyAlignment="1">
      <alignment horizontal="centerContinuous" vertical="center"/>
    </xf>
    <xf numFmtId="177" fontId="2" fillId="2" borderId="1" xfId="49" applyNumberFormat="1" applyFont="1" applyFill="1" applyBorder="1" applyAlignment="1" applyProtection="1">
      <alignment horizontal="center" vertical="center"/>
      <protection locked="0"/>
    </xf>
    <xf numFmtId="0" fontId="2" fillId="2" borderId="1" xfId="49" applyNumberFormat="1" applyFont="1" applyFill="1" applyBorder="1" applyAlignment="1" applyProtection="1">
      <alignment horizontal="center" vertical="center"/>
      <protection locked="0"/>
    </xf>
    <xf numFmtId="176" fontId="2" fillId="2" borderId="1" xfId="49" applyNumberFormat="1" applyFont="1" applyFill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2" xfId="0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 wrapText="1"/>
    </xf>
    <xf numFmtId="177" fontId="2" fillId="2" borderId="1" xfId="49" applyNumberFormat="1" applyFont="1" applyFill="1" applyBorder="1" applyAlignment="1" applyProtection="1">
      <alignment horizontal="center" vertical="center" shrinkToFit="1"/>
      <protection locked="0"/>
    </xf>
    <xf numFmtId="0" fontId="2" fillId="2" borderId="1" xfId="49" applyNumberFormat="1" applyFont="1" applyFill="1" applyBorder="1" applyAlignment="1" applyProtection="1">
      <alignment horizontal="center" vertical="center" shrinkToFit="1"/>
      <protection locked="0"/>
    </xf>
    <xf numFmtId="176" fontId="2" fillId="2" borderId="1" xfId="49" applyNumberFormat="1" applyFont="1" applyFill="1" applyBorder="1" applyAlignment="1" applyProtection="1">
      <alignment horizontal="center" vertical="center" shrinkToFit="1"/>
      <protection locked="0"/>
    </xf>
    <xf numFmtId="176" fontId="6" fillId="2" borderId="1" xfId="49" applyNumberFormat="1" applyFont="1" applyFill="1" applyBorder="1" applyAlignment="1" applyProtection="1">
      <alignment horizontal="center" vertical="center" shrinkToFit="1"/>
      <protection locked="0"/>
    </xf>
    <xf numFmtId="176" fontId="6" fillId="2" borderId="3" xfId="49" applyNumberFormat="1" applyFont="1" applyFill="1" applyBorder="1" applyAlignment="1" applyProtection="1">
      <alignment horizontal="center" vertical="center" shrinkToFit="1"/>
      <protection locked="0"/>
    </xf>
    <xf numFmtId="176" fontId="7" fillId="2" borderId="1" xfId="49" applyNumberFormat="1" applyFont="1" applyFill="1" applyBorder="1" applyAlignment="1" applyProtection="1">
      <alignment horizontal="center" vertical="center" shrinkToFit="1"/>
      <protection locked="0"/>
    </xf>
    <xf numFmtId="176" fontId="0" fillId="2" borderId="1" xfId="0" applyNumberForma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05"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numFmt numFmtId="176" formatCode="0.0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7" tint="-0.25"/>
        </patternFill>
      </fill>
    </dxf>
    <dxf>
      <fill>
        <patternFill patternType="solid">
          <bgColor theme="7" tint="-0.25"/>
        </patternFill>
      </fill>
    </dxf>
    <dxf>
      <fill>
        <patternFill patternType="solid">
          <bgColor theme="7" tint="-0.25"/>
        </patternFill>
      </fill>
    </dxf>
    <dxf>
      <fill>
        <patternFill patternType="solid">
          <bgColor theme="7" tint="-0.25"/>
        </patternFill>
      </fill>
    </dxf>
    <dxf>
      <fill>
        <patternFill patternType="solid">
          <bgColor theme="7" tint="-0.25"/>
        </patternFill>
      </fill>
    </dxf>
    <dxf>
      <fill>
        <patternFill patternType="solid">
          <bgColor theme="7" tint="-0.25"/>
        </patternFill>
      </fill>
    </dxf>
    <dxf>
      <fill>
        <patternFill patternType="solid">
          <bgColor theme="7" tint="-0.25"/>
        </patternFill>
      </fill>
    </dxf>
    <dxf>
      <fill>
        <patternFill patternType="solid">
          <bgColor theme="7" tint="-0.5"/>
        </patternFill>
      </fill>
    </dxf>
    <dxf>
      <fill>
        <patternFill patternType="solid">
          <bgColor theme="7" tint="-0.5"/>
        </patternFill>
      </fill>
    </dxf>
    <dxf>
      <fill>
        <patternFill patternType="solid">
          <bgColor theme="7" tint="-0.5"/>
        </patternFill>
      </fill>
    </dxf>
    <dxf>
      <fill>
        <patternFill patternType="solid">
          <bgColor theme="7" tint="-0.5"/>
        </patternFill>
      </fill>
    </dxf>
    <dxf>
      <fill>
        <patternFill patternType="solid">
          <bgColor theme="7" tint="-0.5"/>
        </patternFill>
      </fill>
    </dxf>
    <dxf>
      <fill>
        <patternFill patternType="solid">
          <bgColor theme="7" tint="-0.5"/>
        </patternFill>
      </fill>
    </dxf>
    <dxf>
      <fill>
        <patternFill patternType="solid">
          <bgColor theme="7" tint="-0.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5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-0.2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theme="8" tint="-0.5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color theme="0"/>
      </font>
    </dxf>
    <dxf>
      <font>
        <color theme="0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/>
      </fill>
    </dxf>
    <dxf>
      <fill>
        <patternFill patternType="none"/>
      </fill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6" formatCode="0.00_ "/>
    </dxf>
    <dxf>
      <alignment vertical="center"/>
    </dxf>
    <dxf>
      <numFmt numFmtId="0" formatCode="General"/>
      <alignment vertical="center"/>
    </dxf>
    <dxf>
      <alignment vertical="center"/>
    </dxf>
    <dxf>
      <numFmt numFmtId="0" formatCode="General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6" formatCode="0.00_ "/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3.8794212963" refreshedBy="Administrator" recordCount="53">
  <cacheSource type="worksheet">
    <worksheetSource name="表2"/>
  </cacheSource>
  <cacheFields count="14">
    <cacheField name="日期" numFmtId="0">
      <sharedItems containsSemiMixedTypes="0" containsString="0" containsNonDate="0" containsDate="1" minDate="2023-05-04T00:00:00" maxDate="2026-08-30T00:00:00" count="52">
        <d v="2023-05-04T00:00:00"/>
        <d v="2023-05-05T00:00:00"/>
        <d v="2023-11-02T00:00:00"/>
        <d v="2024-01-03T00:00:00"/>
        <d v="2024-03-10T00:00:00"/>
        <d v="2024-03-29T00:00:00"/>
        <d v="2024-04-21T00:00:00"/>
        <d v="2024-05-08T00:00:00"/>
        <d v="2024-05-09T00:00:00"/>
        <d v="2024-05-12T00:00:00"/>
        <d v="2024-06-02T00:00:00"/>
        <d v="2024-06-08T00:00:00"/>
        <d v="2024-06-10T00:00:00"/>
        <d v="2024-06-12T00:00:00"/>
        <d v="2024-08-18T00:00:00"/>
        <d v="2024-08-26T00:00:00"/>
        <d v="2024-09-16T00:00:00"/>
        <d v="2024-10-25T00:00:00"/>
        <d v="2024-12-20T00:00:00"/>
        <d v="2024-12-30T00:00:00"/>
        <d v="2025-03-07T00:00:00"/>
        <d v="2025-03-18T00:00:00"/>
        <d v="2025-04-01T00:00:00"/>
        <d v="2025-05-24T00:00:00"/>
        <d v="2025-06-03T00:00:00"/>
        <d v="2025-06-04T00:00:00"/>
        <d v="2025-06-27T00:00:00"/>
        <d v="2025-09-04T00:00:00"/>
        <d v="2026-01-10T00:00:00"/>
        <d v="2026-02-27T00:00:00"/>
        <d v="2026-03-15T00:00:00"/>
        <d v="2026-05-04T00:00:00"/>
        <d v="2026-05-06T00:00:00"/>
        <d v="2026-05-09T00:00:00"/>
        <d v="2026-06-11T00:00:00"/>
        <d v="2023-12-04T00:00:00"/>
        <d v="2026-06-26T00:00:00"/>
        <d v="2026-06-23T00:00:00"/>
        <d v="2026-06-19T00:00:00"/>
        <d v="2026-06-20T00:00:00"/>
        <d v="2026-06-21T00:00:00"/>
        <d v="2025-04-12T00:00:00"/>
        <d v="2026-02-15T00:00:00"/>
        <d v="2026-08-29T00:00:00"/>
        <d v="2026-08-30T00:00:00"/>
        <d v="2025-11-02T00:00:00"/>
        <d v="2025-12-23T00:00:00"/>
        <d v="2026-06-03T00:00:00"/>
        <d v="2026-01-29T00:00:00"/>
        <d v="2025-12-01T00:00:00"/>
        <d v="2025-12-16T00:00:00"/>
        <d v="2026-02-16T00:00:00"/>
      </sharedItems>
      <fieldGroup base="0">
        <rangePr groupBy="months" startDate="2023-05-04T00:00:00" endDate="2026-08-30T00:00:00" groupInterval="1"/>
        <groupItems count="14">
          <s v="&lt;2023/5/4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8/30"/>
        </groupItems>
      </fieldGroup>
    </cacheField>
    <cacheField name="类别" numFmtId="0">
      <sharedItems count="1">
        <s v="支出"/>
      </sharedItems>
    </cacheField>
    <cacheField name="账户" numFmtId="0">
      <sharedItems count="1">
        <s v="聂辉微信"/>
      </sharedItems>
    </cacheField>
    <cacheField name="业务摘要" numFmtId="0">
      <sharedItems count="39">
        <s v="水桶压金"/>
        <s v="餐费-一家"/>
        <s v="餐费-小酒馆"/>
        <s v="物流费，打印费"/>
        <s v="买材料-镀锌管"/>
        <s v="成峰过路费，油费"/>
        <s v="买油漆"/>
        <s v="买材料-套丝机板牙"/>
        <s v="付电线款"/>
        <s v="买香烟"/>
        <s v="端午节发员工福利"/>
        <s v="付材料运费"/>
        <s v="员工医疗费"/>
        <s v="买真空压力表"/>
        <s v="餐费-洞氮胡记羊肉馆"/>
        <s v="买打印纸"/>
        <s v="餐费-紫荆山土菜坊"/>
        <s v="餐费-熊厨餐饮店"/>
        <s v="公司买办公桌-文件柜"/>
        <s v="买墨盒，数据线"/>
        <s v="打印费"/>
        <s v="餐费-"/>
        <s v="餐费-塘山人家餐饮店"/>
        <s v="正月请客招待水果，坚果"/>
        <s v="车辆加油"/>
        <s v="餐费-员工工作餐"/>
        <s v="端午节买粽子"/>
        <s v="刻公章和快递费"/>
        <s v="公司买水果"/>
        <s v="买香烟和打车"/>
        <s v="晚餐-技术员"/>
        <s v="出差过路费"/>
        <s v="买酒"/>
        <s v="聚餐"/>
        <s v="买烟"/>
        <s v="微信转吴群"/>
        <s v="共青厂房预算费"/>
        <s v="25年3月17日，26年1月29日订制打心机"/>
        <s v="转分包商"/>
      </sharedItems>
    </cacheField>
    <cacheField name="收入金额" numFmtId="176">
      <sharedItems containsString="0" containsBlank="1" containsNonDate="0" count="1">
        <m/>
      </sharedItems>
    </cacheField>
    <cacheField name="支出金额" numFmtId="176">
      <sharedItems containsSemiMixedTypes="0" containsString="0" containsNumber="1" minValue="0" maxValue="20940" count="50">
        <n v="186"/>
        <n v="3776"/>
        <n v="1194"/>
        <n v="6304"/>
        <n v="192"/>
        <n v="5440"/>
        <n v="793.95"/>
        <n v="550"/>
        <n v="152"/>
        <n v="6932"/>
        <n v="4570"/>
        <n v="2455"/>
        <n v="400"/>
        <n v="1350"/>
        <n v="176.27"/>
        <n v="18260"/>
        <n v="80"/>
        <n v="443"/>
        <n v="50"/>
        <n v="12995"/>
        <n v="980"/>
        <n v="350"/>
        <n v="7430"/>
        <n v="20940"/>
        <n v="860"/>
        <n v="219.5"/>
        <n v="106"/>
        <n v="999"/>
        <n v="450"/>
        <n v="226"/>
        <n v="455"/>
        <n v="590"/>
        <n v="320"/>
        <n v="290"/>
        <n v="1120"/>
        <n v="313"/>
        <n v="48.5"/>
        <n v="844"/>
        <n v="3520"/>
        <n v="963"/>
        <n v="500"/>
        <n v="155"/>
        <n v="2100"/>
        <n v="221"/>
        <n v="3430"/>
        <n v="100"/>
        <n v="10000"/>
        <n v="900"/>
        <n v="5000"/>
        <n v="3000"/>
      </sharedItems>
    </cacheField>
    <cacheField name="项目名称" numFmtId="0">
      <sharedItems containsBlank="1" count="5">
        <s v="办公室"/>
        <s v="隆世光伏"/>
        <s v="科创中心"/>
        <s v="德安养老中心"/>
        <m/>
      </sharedItems>
    </cacheField>
    <cacheField name="已开票金额" numFmtId="176">
      <sharedItems containsString="0" containsBlank="1" containsNumber="1" containsInteger="1" minValue="0" maxValue="590" count="7">
        <m/>
        <n v="450"/>
        <n v="455"/>
        <n v="590"/>
        <n v="320"/>
        <n v="290"/>
        <n v="155"/>
      </sharedItems>
    </cacheField>
    <cacheField name="开票日期" numFmtId="177">
      <sharedItems containsString="0" containsBlank="1" containsNonDate="0" containsDate="1" minDate="2025-04-12T00:00:00" maxDate="2026-05-09T00:00:00" count="7">
        <m/>
        <d v="2026-01-10T00:00:00"/>
        <d v="2026-03-15T00:00:00"/>
        <d v="2026-05-04T00:00:00"/>
        <d v="2026-05-06T00:00:00"/>
        <d v="2026-05-09T00:00:00"/>
        <d v="2025-04-12T00:00:00"/>
      </sharedItems>
    </cacheField>
    <cacheField name="开票单位" numFmtId="0">
      <sharedItems containsBlank="1" count="2">
        <m/>
        <s v="德安塘山人家餐饮店"/>
      </sharedItems>
    </cacheField>
    <cacheField name="欠票金额" numFmtId="176">
      <sharedItems containsSemiMixedTypes="0" containsString="0" containsNumber="1" minValue="0" maxValue="20940" count="45">
        <n v="186"/>
        <n v="3776"/>
        <n v="1194"/>
        <n v="6304"/>
        <n v="192"/>
        <n v="5440"/>
        <n v="793.95"/>
        <n v="550"/>
        <n v="152"/>
        <n v="6932"/>
        <n v="4570"/>
        <n v="2455"/>
        <n v="400"/>
        <n v="1350"/>
        <n v="176.27"/>
        <n v="18260"/>
        <n v="80"/>
        <n v="443"/>
        <n v="50"/>
        <n v="12995"/>
        <n v="980"/>
        <n v="350"/>
        <n v="7430"/>
        <n v="20940"/>
        <n v="860"/>
        <n v="219.5"/>
        <n v="106"/>
        <n v="999"/>
        <n v="0"/>
        <n v="226"/>
        <n v="1120"/>
        <n v="313"/>
        <n v="48.5"/>
        <n v="844"/>
        <n v="3520"/>
        <n v="963"/>
        <n v="500"/>
        <n v="2100"/>
        <n v="221"/>
        <n v="3430"/>
        <n v="100"/>
        <n v="10000"/>
        <n v="900"/>
        <n v="5000"/>
        <n v="3000"/>
      </sharedItems>
    </cacheField>
    <cacheField name="已报销金额" numFmtId="176">
      <sharedItems containsString="0" containsBlank="1" containsNonDate="0" count="1">
        <m/>
      </sharedItems>
    </cacheField>
    <cacheField name="未报销金额" numFmtId="176">
      <sharedItems containsSemiMixedTypes="0" containsString="0" containsNumber="1" minValue="0" maxValue="20940" count="50">
        <n v="186"/>
        <n v="3776"/>
        <n v="1194"/>
        <n v="6304"/>
        <n v="192"/>
        <n v="5440"/>
        <n v="793.95"/>
        <n v="550"/>
        <n v="152"/>
        <n v="6932"/>
        <n v="4570"/>
        <n v="2455"/>
        <n v="400"/>
        <n v="1350"/>
        <n v="176.27"/>
        <n v="18260"/>
        <n v="80"/>
        <n v="443"/>
        <n v="50"/>
        <n v="12995"/>
        <n v="980"/>
        <n v="350"/>
        <n v="7430"/>
        <n v="20940"/>
        <n v="860"/>
        <n v="219.5"/>
        <n v="106"/>
        <n v="999"/>
        <n v="450"/>
        <n v="226"/>
        <n v="455"/>
        <n v="590"/>
        <n v="320"/>
        <n v="290"/>
        <n v="1120"/>
        <n v="313"/>
        <n v="48.5"/>
        <n v="844"/>
        <n v="3520"/>
        <n v="963"/>
        <n v="500"/>
        <n v="155"/>
        <n v="2100"/>
        <n v="221"/>
        <n v="3430"/>
        <n v="100"/>
        <n v="10000"/>
        <n v="900"/>
        <n v="5000"/>
        <n v="3000"/>
      </sharedItems>
    </cacheField>
    <cacheField name="年" numFmtId="0" databaseField="0">
      <fieldGroup base="0">
        <rangePr groupBy="years" startDate="2023-05-04T00:00:00" endDate="2026-08-30T00:00:00" groupInterval="1"/>
        <groupItems count="6">
          <s v="&lt;2023/5/4"/>
          <s v="2023年"/>
          <s v="2024年"/>
          <s v="2025年"/>
          <s v="2026年"/>
          <s v="&gt;2026/8/30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">
  <r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1"/>
    <x v="0"/>
    <x v="0"/>
    <x v="0"/>
    <x v="0"/>
    <x v="1"/>
    <x v="0"/>
    <x v="1"/>
  </r>
  <r>
    <x v="2"/>
    <x v="0"/>
    <x v="0"/>
    <x v="2"/>
    <x v="0"/>
    <x v="2"/>
    <x v="0"/>
    <x v="0"/>
    <x v="0"/>
    <x v="0"/>
    <x v="2"/>
    <x v="0"/>
    <x v="2"/>
  </r>
  <r>
    <x v="3"/>
    <x v="0"/>
    <x v="0"/>
    <x v="1"/>
    <x v="0"/>
    <x v="3"/>
    <x v="0"/>
    <x v="0"/>
    <x v="0"/>
    <x v="0"/>
    <x v="3"/>
    <x v="0"/>
    <x v="3"/>
  </r>
  <r>
    <x v="4"/>
    <x v="0"/>
    <x v="0"/>
    <x v="3"/>
    <x v="0"/>
    <x v="4"/>
    <x v="0"/>
    <x v="0"/>
    <x v="0"/>
    <x v="0"/>
    <x v="4"/>
    <x v="0"/>
    <x v="4"/>
  </r>
  <r>
    <x v="5"/>
    <x v="0"/>
    <x v="0"/>
    <x v="4"/>
    <x v="0"/>
    <x v="5"/>
    <x v="0"/>
    <x v="0"/>
    <x v="0"/>
    <x v="0"/>
    <x v="5"/>
    <x v="0"/>
    <x v="5"/>
  </r>
  <r>
    <x v="6"/>
    <x v="0"/>
    <x v="0"/>
    <x v="5"/>
    <x v="0"/>
    <x v="6"/>
    <x v="1"/>
    <x v="0"/>
    <x v="0"/>
    <x v="0"/>
    <x v="6"/>
    <x v="0"/>
    <x v="6"/>
  </r>
  <r>
    <x v="7"/>
    <x v="0"/>
    <x v="0"/>
    <x v="6"/>
    <x v="0"/>
    <x v="7"/>
    <x v="1"/>
    <x v="0"/>
    <x v="0"/>
    <x v="0"/>
    <x v="7"/>
    <x v="0"/>
    <x v="7"/>
  </r>
  <r>
    <x v="8"/>
    <x v="0"/>
    <x v="0"/>
    <x v="7"/>
    <x v="0"/>
    <x v="8"/>
    <x v="1"/>
    <x v="0"/>
    <x v="0"/>
    <x v="0"/>
    <x v="8"/>
    <x v="0"/>
    <x v="8"/>
  </r>
  <r>
    <x v="9"/>
    <x v="0"/>
    <x v="0"/>
    <x v="8"/>
    <x v="0"/>
    <x v="9"/>
    <x v="1"/>
    <x v="0"/>
    <x v="0"/>
    <x v="0"/>
    <x v="9"/>
    <x v="0"/>
    <x v="9"/>
  </r>
  <r>
    <x v="10"/>
    <x v="0"/>
    <x v="0"/>
    <x v="9"/>
    <x v="0"/>
    <x v="10"/>
    <x v="0"/>
    <x v="0"/>
    <x v="0"/>
    <x v="0"/>
    <x v="10"/>
    <x v="0"/>
    <x v="10"/>
  </r>
  <r>
    <x v="11"/>
    <x v="0"/>
    <x v="0"/>
    <x v="9"/>
    <x v="0"/>
    <x v="11"/>
    <x v="0"/>
    <x v="0"/>
    <x v="0"/>
    <x v="0"/>
    <x v="11"/>
    <x v="0"/>
    <x v="11"/>
  </r>
  <r>
    <x v="12"/>
    <x v="0"/>
    <x v="0"/>
    <x v="10"/>
    <x v="0"/>
    <x v="12"/>
    <x v="1"/>
    <x v="0"/>
    <x v="0"/>
    <x v="0"/>
    <x v="12"/>
    <x v="0"/>
    <x v="12"/>
  </r>
  <r>
    <x v="13"/>
    <x v="0"/>
    <x v="0"/>
    <x v="11"/>
    <x v="0"/>
    <x v="13"/>
    <x v="1"/>
    <x v="0"/>
    <x v="0"/>
    <x v="0"/>
    <x v="13"/>
    <x v="0"/>
    <x v="13"/>
  </r>
  <r>
    <x v="14"/>
    <x v="0"/>
    <x v="0"/>
    <x v="12"/>
    <x v="0"/>
    <x v="14"/>
    <x v="1"/>
    <x v="0"/>
    <x v="0"/>
    <x v="0"/>
    <x v="14"/>
    <x v="0"/>
    <x v="14"/>
  </r>
  <r>
    <x v="15"/>
    <x v="0"/>
    <x v="0"/>
    <x v="9"/>
    <x v="0"/>
    <x v="15"/>
    <x v="0"/>
    <x v="0"/>
    <x v="0"/>
    <x v="0"/>
    <x v="15"/>
    <x v="0"/>
    <x v="15"/>
  </r>
  <r>
    <x v="16"/>
    <x v="0"/>
    <x v="0"/>
    <x v="13"/>
    <x v="0"/>
    <x v="16"/>
    <x v="1"/>
    <x v="0"/>
    <x v="0"/>
    <x v="0"/>
    <x v="16"/>
    <x v="0"/>
    <x v="16"/>
  </r>
  <r>
    <x v="17"/>
    <x v="0"/>
    <x v="0"/>
    <x v="14"/>
    <x v="0"/>
    <x v="17"/>
    <x v="0"/>
    <x v="0"/>
    <x v="0"/>
    <x v="0"/>
    <x v="17"/>
    <x v="0"/>
    <x v="17"/>
  </r>
  <r>
    <x v="18"/>
    <x v="0"/>
    <x v="0"/>
    <x v="15"/>
    <x v="0"/>
    <x v="18"/>
    <x v="0"/>
    <x v="0"/>
    <x v="0"/>
    <x v="0"/>
    <x v="18"/>
    <x v="0"/>
    <x v="18"/>
  </r>
  <r>
    <x v="19"/>
    <x v="0"/>
    <x v="0"/>
    <x v="9"/>
    <x v="0"/>
    <x v="19"/>
    <x v="0"/>
    <x v="0"/>
    <x v="0"/>
    <x v="0"/>
    <x v="19"/>
    <x v="0"/>
    <x v="19"/>
  </r>
  <r>
    <x v="20"/>
    <x v="0"/>
    <x v="0"/>
    <x v="16"/>
    <x v="0"/>
    <x v="20"/>
    <x v="0"/>
    <x v="0"/>
    <x v="0"/>
    <x v="0"/>
    <x v="20"/>
    <x v="0"/>
    <x v="20"/>
  </r>
  <r>
    <x v="21"/>
    <x v="0"/>
    <x v="0"/>
    <x v="17"/>
    <x v="0"/>
    <x v="21"/>
    <x v="0"/>
    <x v="0"/>
    <x v="0"/>
    <x v="0"/>
    <x v="21"/>
    <x v="0"/>
    <x v="21"/>
  </r>
  <r>
    <x v="22"/>
    <x v="0"/>
    <x v="0"/>
    <x v="9"/>
    <x v="0"/>
    <x v="22"/>
    <x v="0"/>
    <x v="0"/>
    <x v="0"/>
    <x v="0"/>
    <x v="22"/>
    <x v="0"/>
    <x v="22"/>
  </r>
  <r>
    <x v="23"/>
    <x v="0"/>
    <x v="0"/>
    <x v="9"/>
    <x v="0"/>
    <x v="23"/>
    <x v="0"/>
    <x v="0"/>
    <x v="0"/>
    <x v="0"/>
    <x v="23"/>
    <x v="0"/>
    <x v="23"/>
  </r>
  <r>
    <x v="24"/>
    <x v="0"/>
    <x v="0"/>
    <x v="18"/>
    <x v="0"/>
    <x v="24"/>
    <x v="0"/>
    <x v="0"/>
    <x v="0"/>
    <x v="0"/>
    <x v="24"/>
    <x v="0"/>
    <x v="24"/>
  </r>
  <r>
    <x v="25"/>
    <x v="0"/>
    <x v="0"/>
    <x v="19"/>
    <x v="0"/>
    <x v="25"/>
    <x v="0"/>
    <x v="0"/>
    <x v="0"/>
    <x v="0"/>
    <x v="25"/>
    <x v="0"/>
    <x v="25"/>
  </r>
  <r>
    <x v="26"/>
    <x v="0"/>
    <x v="0"/>
    <x v="20"/>
    <x v="0"/>
    <x v="26"/>
    <x v="0"/>
    <x v="0"/>
    <x v="0"/>
    <x v="0"/>
    <x v="26"/>
    <x v="0"/>
    <x v="26"/>
  </r>
  <r>
    <x v="27"/>
    <x v="0"/>
    <x v="0"/>
    <x v="21"/>
    <x v="0"/>
    <x v="27"/>
    <x v="0"/>
    <x v="0"/>
    <x v="0"/>
    <x v="0"/>
    <x v="27"/>
    <x v="0"/>
    <x v="27"/>
  </r>
  <r>
    <x v="28"/>
    <x v="0"/>
    <x v="0"/>
    <x v="22"/>
    <x v="0"/>
    <x v="28"/>
    <x v="0"/>
    <x v="1"/>
    <x v="1"/>
    <x v="1"/>
    <x v="28"/>
    <x v="0"/>
    <x v="28"/>
  </r>
  <r>
    <x v="29"/>
    <x v="0"/>
    <x v="0"/>
    <x v="23"/>
    <x v="0"/>
    <x v="29"/>
    <x v="0"/>
    <x v="0"/>
    <x v="0"/>
    <x v="0"/>
    <x v="29"/>
    <x v="0"/>
    <x v="29"/>
  </r>
  <r>
    <x v="30"/>
    <x v="0"/>
    <x v="0"/>
    <x v="24"/>
    <x v="0"/>
    <x v="30"/>
    <x v="0"/>
    <x v="2"/>
    <x v="2"/>
    <x v="0"/>
    <x v="28"/>
    <x v="0"/>
    <x v="30"/>
  </r>
  <r>
    <x v="31"/>
    <x v="0"/>
    <x v="0"/>
    <x v="25"/>
    <x v="0"/>
    <x v="31"/>
    <x v="0"/>
    <x v="3"/>
    <x v="3"/>
    <x v="0"/>
    <x v="28"/>
    <x v="0"/>
    <x v="31"/>
  </r>
  <r>
    <x v="32"/>
    <x v="0"/>
    <x v="0"/>
    <x v="25"/>
    <x v="0"/>
    <x v="32"/>
    <x v="0"/>
    <x v="4"/>
    <x v="4"/>
    <x v="0"/>
    <x v="28"/>
    <x v="0"/>
    <x v="32"/>
  </r>
  <r>
    <x v="33"/>
    <x v="0"/>
    <x v="0"/>
    <x v="25"/>
    <x v="0"/>
    <x v="33"/>
    <x v="0"/>
    <x v="5"/>
    <x v="5"/>
    <x v="0"/>
    <x v="28"/>
    <x v="0"/>
    <x v="33"/>
  </r>
  <r>
    <x v="34"/>
    <x v="0"/>
    <x v="0"/>
    <x v="26"/>
    <x v="0"/>
    <x v="34"/>
    <x v="0"/>
    <x v="0"/>
    <x v="0"/>
    <x v="0"/>
    <x v="30"/>
    <x v="0"/>
    <x v="34"/>
  </r>
  <r>
    <x v="35"/>
    <x v="0"/>
    <x v="0"/>
    <x v="27"/>
    <x v="0"/>
    <x v="35"/>
    <x v="0"/>
    <x v="0"/>
    <x v="0"/>
    <x v="0"/>
    <x v="31"/>
    <x v="0"/>
    <x v="35"/>
  </r>
  <r>
    <x v="36"/>
    <x v="0"/>
    <x v="0"/>
    <x v="28"/>
    <x v="0"/>
    <x v="36"/>
    <x v="0"/>
    <x v="0"/>
    <x v="0"/>
    <x v="0"/>
    <x v="32"/>
    <x v="0"/>
    <x v="36"/>
  </r>
  <r>
    <x v="37"/>
    <x v="0"/>
    <x v="0"/>
    <x v="25"/>
    <x v="0"/>
    <x v="37"/>
    <x v="0"/>
    <x v="0"/>
    <x v="0"/>
    <x v="0"/>
    <x v="33"/>
    <x v="0"/>
    <x v="37"/>
  </r>
  <r>
    <x v="38"/>
    <x v="0"/>
    <x v="0"/>
    <x v="9"/>
    <x v="0"/>
    <x v="38"/>
    <x v="0"/>
    <x v="0"/>
    <x v="0"/>
    <x v="0"/>
    <x v="34"/>
    <x v="0"/>
    <x v="38"/>
  </r>
  <r>
    <x v="39"/>
    <x v="0"/>
    <x v="0"/>
    <x v="29"/>
    <x v="0"/>
    <x v="39"/>
    <x v="0"/>
    <x v="0"/>
    <x v="0"/>
    <x v="0"/>
    <x v="35"/>
    <x v="0"/>
    <x v="39"/>
  </r>
  <r>
    <x v="40"/>
    <x v="0"/>
    <x v="0"/>
    <x v="30"/>
    <x v="0"/>
    <x v="40"/>
    <x v="2"/>
    <x v="0"/>
    <x v="0"/>
    <x v="0"/>
    <x v="36"/>
    <x v="0"/>
    <x v="40"/>
  </r>
  <r>
    <x v="41"/>
    <x v="0"/>
    <x v="0"/>
    <x v="31"/>
    <x v="0"/>
    <x v="41"/>
    <x v="0"/>
    <x v="6"/>
    <x v="6"/>
    <x v="0"/>
    <x v="28"/>
    <x v="0"/>
    <x v="41"/>
  </r>
  <r>
    <x v="24"/>
    <x v="0"/>
    <x v="0"/>
    <x v="32"/>
    <x v="0"/>
    <x v="42"/>
    <x v="0"/>
    <x v="0"/>
    <x v="0"/>
    <x v="0"/>
    <x v="37"/>
    <x v="0"/>
    <x v="42"/>
  </r>
  <r>
    <x v="42"/>
    <x v="0"/>
    <x v="0"/>
    <x v="33"/>
    <x v="0"/>
    <x v="43"/>
    <x v="0"/>
    <x v="0"/>
    <x v="0"/>
    <x v="0"/>
    <x v="38"/>
    <x v="0"/>
    <x v="43"/>
  </r>
  <r>
    <x v="43"/>
    <x v="0"/>
    <x v="0"/>
    <x v="34"/>
    <x v="0"/>
    <x v="44"/>
    <x v="0"/>
    <x v="0"/>
    <x v="0"/>
    <x v="0"/>
    <x v="39"/>
    <x v="0"/>
    <x v="44"/>
  </r>
  <r>
    <x v="44"/>
    <x v="0"/>
    <x v="0"/>
    <x v="28"/>
    <x v="0"/>
    <x v="45"/>
    <x v="0"/>
    <x v="0"/>
    <x v="0"/>
    <x v="0"/>
    <x v="40"/>
    <x v="0"/>
    <x v="45"/>
  </r>
  <r>
    <x v="45"/>
    <x v="0"/>
    <x v="0"/>
    <x v="35"/>
    <x v="0"/>
    <x v="46"/>
    <x v="3"/>
    <x v="0"/>
    <x v="0"/>
    <x v="0"/>
    <x v="41"/>
    <x v="0"/>
    <x v="46"/>
  </r>
  <r>
    <x v="46"/>
    <x v="0"/>
    <x v="0"/>
    <x v="35"/>
    <x v="0"/>
    <x v="42"/>
    <x v="3"/>
    <x v="0"/>
    <x v="0"/>
    <x v="0"/>
    <x v="37"/>
    <x v="0"/>
    <x v="42"/>
  </r>
  <r>
    <x v="47"/>
    <x v="0"/>
    <x v="0"/>
    <x v="36"/>
    <x v="0"/>
    <x v="46"/>
    <x v="0"/>
    <x v="0"/>
    <x v="0"/>
    <x v="0"/>
    <x v="41"/>
    <x v="0"/>
    <x v="46"/>
  </r>
  <r>
    <x v="48"/>
    <x v="0"/>
    <x v="0"/>
    <x v="37"/>
    <x v="0"/>
    <x v="47"/>
    <x v="4"/>
    <x v="0"/>
    <x v="0"/>
    <x v="0"/>
    <x v="42"/>
    <x v="0"/>
    <x v="47"/>
  </r>
  <r>
    <x v="49"/>
    <x v="0"/>
    <x v="0"/>
    <x v="38"/>
    <x v="0"/>
    <x v="48"/>
    <x v="4"/>
    <x v="0"/>
    <x v="0"/>
    <x v="0"/>
    <x v="43"/>
    <x v="0"/>
    <x v="48"/>
  </r>
  <r>
    <x v="50"/>
    <x v="0"/>
    <x v="0"/>
    <x v="38"/>
    <x v="0"/>
    <x v="49"/>
    <x v="4"/>
    <x v="0"/>
    <x v="0"/>
    <x v="0"/>
    <x v="44"/>
    <x v="0"/>
    <x v="49"/>
  </r>
  <r>
    <x v="51"/>
    <x v="0"/>
    <x v="0"/>
    <x v="38"/>
    <x v="0"/>
    <x v="46"/>
    <x v="4"/>
    <x v="0"/>
    <x v="0"/>
    <x v="0"/>
    <x v="41"/>
    <x v="0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mergeItem="1" useAutoFormatting="1" compact="0" indent="0" compactData="0" showDrill="0" multipleFieldFilters="0">
  <location ref="O1:U31" firstHeaderRow="0" firstDataRow="1" firstDataCol="2"/>
  <pivotFields count="14">
    <pivotField axis="axisRow" compact="0" outline="0" subtotalTop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>
      <items count="51">
        <item x="36"/>
        <item x="18"/>
        <item x="16"/>
        <item x="26"/>
        <item x="8"/>
        <item x="14"/>
        <item x="0"/>
        <item x="4"/>
        <item x="25"/>
        <item x="29"/>
        <item x="33"/>
        <item x="35"/>
        <item x="32"/>
        <item x="21"/>
        <item x="12"/>
        <item x="17"/>
        <item x="28"/>
        <item x="30"/>
        <item x="40"/>
        <item x="7"/>
        <item x="31"/>
        <item x="6"/>
        <item x="37"/>
        <item x="24"/>
        <item x="39"/>
        <item x="20"/>
        <item x="27"/>
        <item x="34"/>
        <item x="2"/>
        <item x="13"/>
        <item x="11"/>
        <item x="38"/>
        <item x="1"/>
        <item x="10"/>
        <item x="5"/>
        <item x="3"/>
        <item x="9"/>
        <item x="22"/>
        <item x="19"/>
        <item x="15"/>
        <item x="23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ubtotalTop="0" showAll="0">
      <items count="6">
        <item x="0"/>
        <item x="1"/>
        <item x="2"/>
        <item x="3"/>
        <item x="4"/>
        <item t="default"/>
      </items>
    </pivotField>
    <pivotField dataField="1" compact="0" outline="0" subtotalTop="0" showAll="0">
      <items count="8">
        <item x="5"/>
        <item x="4"/>
        <item x="1"/>
        <item x="2"/>
        <item x="3"/>
        <item x="0"/>
        <item x="6"/>
        <item t="default"/>
      </items>
    </pivotField>
    <pivotField compact="0" outline="0" subtotalTop="0" showAll="0"/>
    <pivotField compact="0" outline="0" subtotalTop="0" showAll="0"/>
    <pivotField dataField="1" compact="0" outline="0" subtotalTop="0" showAll="0">
      <items count="46">
        <item x="28"/>
        <item x="32"/>
        <item x="18"/>
        <item x="16"/>
        <item x="26"/>
        <item x="8"/>
        <item x="14"/>
        <item x="0"/>
        <item x="4"/>
        <item x="25"/>
        <item x="29"/>
        <item x="31"/>
        <item x="21"/>
        <item x="12"/>
        <item x="17"/>
        <item x="36"/>
        <item x="7"/>
        <item x="6"/>
        <item x="33"/>
        <item x="24"/>
        <item x="35"/>
        <item x="20"/>
        <item x="27"/>
        <item x="30"/>
        <item x="2"/>
        <item x="13"/>
        <item x="11"/>
        <item x="34"/>
        <item x="1"/>
        <item x="10"/>
        <item x="5"/>
        <item x="3"/>
        <item x="9"/>
        <item x="22"/>
        <item x="19"/>
        <item x="15"/>
        <item x="23"/>
        <item x="37"/>
        <item x="38"/>
        <item x="39"/>
        <item x="40"/>
        <item x="41"/>
        <item x="42"/>
        <item x="43"/>
        <item x="44"/>
        <item t="default"/>
      </items>
    </pivotField>
    <pivotField dataField="1" compact="0" outline="0" subtotalTop="0" showAll="0">
      <items count="2">
        <item x="0"/>
        <item t="default"/>
      </items>
    </pivotField>
    <pivotField dataField="1" compact="0" outline="0" subtotalTop="0" showAll="0">
      <items count="51">
        <item x="36"/>
        <item x="18"/>
        <item x="16"/>
        <item x="26"/>
        <item x="8"/>
        <item x="14"/>
        <item x="0"/>
        <item x="4"/>
        <item x="25"/>
        <item x="29"/>
        <item x="33"/>
        <item x="35"/>
        <item x="32"/>
        <item x="21"/>
        <item x="12"/>
        <item x="17"/>
        <item x="28"/>
        <item x="30"/>
        <item x="40"/>
        <item x="7"/>
        <item x="31"/>
        <item x="6"/>
        <item x="37"/>
        <item x="24"/>
        <item x="39"/>
        <item x="20"/>
        <item x="27"/>
        <item x="34"/>
        <item x="2"/>
        <item x="13"/>
        <item x="11"/>
        <item x="38"/>
        <item x="1"/>
        <item x="10"/>
        <item x="5"/>
        <item x="3"/>
        <item x="9"/>
        <item x="22"/>
        <item x="19"/>
        <item x="15"/>
        <item x="23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outline="0" subtotalTop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3"/>
    <field x="0"/>
  </rowFields>
  <rowItems count="30">
    <i>
      <x v="1"/>
      <x v="4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1"/>
    </i>
    <i t="default">
      <x v="2"/>
    </i>
    <i>
      <x v="3"/>
      <x v="2"/>
    </i>
    <i r="1">
      <x v="3"/>
    </i>
    <i r="1">
      <x v="4"/>
    </i>
    <i r="1">
      <x v="5"/>
    </i>
    <i r="1">
      <x v="8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4"/>
    </i>
    <i r="1">
      <x v="5"/>
    </i>
    <i r="1">
      <x v="7"/>
    </i>
    <i t="default"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支出金额" fld="5" baseField="0" baseItem="0"/>
    <dataField name=" 已开票金额" fld="7" baseField="0" baseItem="0"/>
    <dataField name=" 欠票金额" fld="10" baseField="0" baseItem="0"/>
    <dataField name=" 已报销金额" fld="11" baseField="0" baseItem="0"/>
    <dataField name=" 未报销金额" fld="12" baseField="0" baseItem="0"/>
  </dataFields>
  <formats count="79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dataOnly="0" labelOnly="1" fieldPosition="0">
        <references count="1">
          <reference field="4294967294" count="1">
            <x v="1"/>
          </reference>
        </references>
      </pivotArea>
    </format>
    <format dxfId="2">
      <pivotArea dataOnly="0" labelOnly="1" fieldPosition="0">
        <references count="1">
          <reference field="4294967294" count="1">
            <x v="2"/>
          </reference>
        </references>
      </pivotArea>
    </format>
    <format dxfId="3">
      <pivotArea dataOnly="0" labelOnly="1" fieldPosition="0">
        <references count="1">
          <reference field="4294967294" count="1">
            <x v="3"/>
          </reference>
        </references>
      </pivotArea>
    </format>
    <format dxfId="4">
      <pivotArea dataOnly="0" labelOnly="1" fieldPosition="0">
        <references count="1">
          <reference field="4294967294" count="1">
            <x v="4"/>
          </reference>
        </references>
      </pivotArea>
    </format>
    <format dxfId="5">
      <pivotArea collapsedLevelsAreSubtotals="1" fieldPosition="0"/>
    </format>
    <format dxfId="6">
      <pivotArea type="all" dataOnly="0" outline="0" fieldPosition="0"/>
    </format>
    <format dxfId="7">
      <pivotArea type="all" dataOnly="0" outline="0" fieldPosition="0"/>
    </format>
    <format dxfId="8">
      <pivotArea field="13" type="button" dataOnly="0" labelOnly="1" outline="0" fieldPosition="0"/>
    </format>
    <format dxfId="9">
      <pivotArea field="0" type="button" dataOnly="0" labelOnly="1" outline="0" fieldPosition="0"/>
    </format>
    <format dxfId="10">
      <pivotArea dataOnly="0" labelOnly="1" fieldPosition="0">
        <references count="1">
          <reference field="4294967294" count="1">
            <x v="0"/>
          </reference>
        </references>
      </pivotArea>
    </format>
    <format dxfId="11">
      <pivotArea dataOnly="0" labelOnly="1" fieldPosition="0">
        <references count="1">
          <reference field="4294967294" count="1">
            <x v="1"/>
          </reference>
        </references>
      </pivotArea>
    </format>
    <format dxfId="12">
      <pivotArea dataOnly="0" labelOnly="1" fieldPosition="0">
        <references count="1">
          <reference field="4294967294" count="1">
            <x v="2"/>
          </reference>
        </references>
      </pivotArea>
    </format>
    <format dxfId="13">
      <pivotArea dataOnly="0" labelOnly="1" fieldPosition="0">
        <references count="1">
          <reference field="4294967294" count="1">
            <x v="3"/>
          </reference>
        </references>
      </pivotArea>
    </format>
    <format dxfId="14">
      <pivotArea dataOnly="0" labelOnly="1" fieldPosition="0">
        <references count="1">
          <reference field="4294967294" count="1">
            <x v="4"/>
          </reference>
        </references>
      </pivotArea>
    </format>
    <format dxfId="15">
      <pivotArea field="13" type="button" dataOnly="0" labelOnly="1" outline="0" fieldPosition="0"/>
    </format>
    <format dxfId="16">
      <pivotArea field="0" type="button" dataOnly="0" labelOnly="1" outline="0" fieldPosition="0"/>
    </format>
    <format dxfId="17">
      <pivotArea dataOnly="0" labelOnly="1" fieldPosition="0">
        <references count="1">
          <reference field="4294967294" count="1">
            <x v="0"/>
          </reference>
        </references>
      </pivotArea>
    </format>
    <format dxfId="18">
      <pivotArea dataOnly="0" labelOnly="1" fieldPosition="0">
        <references count="1">
          <reference field="4294967294" count="1">
            <x v="1"/>
          </reference>
        </references>
      </pivotArea>
    </format>
    <format dxfId="19">
      <pivotArea dataOnly="0" labelOnly="1" fieldPosition="0">
        <references count="1">
          <reference field="4294967294" count="1">
            <x v="2"/>
          </reference>
        </references>
      </pivotArea>
    </format>
    <format dxfId="20">
      <pivotArea dataOnly="0" labelOnly="1" fieldPosition="0">
        <references count="1">
          <reference field="4294967294" count="1">
            <x v="3"/>
          </reference>
        </references>
      </pivotArea>
    </format>
    <format dxfId="21">
      <pivotArea dataOnly="0" labelOnly="1" fieldPosition="0">
        <references count="1">
          <reference field="4294967294" count="1">
            <x v="4"/>
          </reference>
        </references>
      </pivotArea>
    </format>
    <format dxfId="22">
      <pivotArea field="13" type="button" dataOnly="0" labelOnly="1" outline="0" fieldPosition="0"/>
    </format>
    <format dxfId="23">
      <pivotArea field="0" type="button" dataOnly="0" labelOnly="1" outline="0" fieldPosition="0"/>
    </format>
    <format dxfId="24">
      <pivotArea dataOnly="0" labelOnly="1" fieldPosition="0">
        <references count="1">
          <reference field="4294967294" count="1">
            <x v="0"/>
          </reference>
        </references>
      </pivotArea>
    </format>
    <format dxfId="25">
      <pivotArea dataOnly="0" labelOnly="1" fieldPosition="0">
        <references count="1">
          <reference field="4294967294" count="1">
            <x v="1"/>
          </reference>
        </references>
      </pivotArea>
    </format>
    <format dxfId="26">
      <pivotArea dataOnly="0" labelOnly="1" fieldPosition="0">
        <references count="1">
          <reference field="4294967294" count="1">
            <x v="2"/>
          </reference>
        </references>
      </pivotArea>
    </format>
    <format dxfId="27">
      <pivotArea dataOnly="0" labelOnly="1" fieldPosition="0">
        <references count="1">
          <reference field="4294967294" count="1">
            <x v="3"/>
          </reference>
        </references>
      </pivotArea>
    </format>
    <format dxfId="28">
      <pivotArea dataOnly="0" labelOnly="1" fieldPosition="0">
        <references count="1">
          <reference field="4294967294" count="1">
            <x v="4"/>
          </reference>
        </references>
      </pivotArea>
    </format>
    <format dxfId="29">
      <pivotArea field="13" type="button" dataOnly="0" labelOnly="1" outline="0" fieldPosition="0"/>
    </format>
    <format dxfId="30">
      <pivotArea field="0" type="button" dataOnly="0" labelOnly="1" outline="0" fieldPosition="0"/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dataOnly="0" labelOnly="1" fieldPosition="0">
        <references count="1">
          <reference field="4294967294" count="1">
            <x v="1"/>
          </reference>
        </references>
      </pivotArea>
    </format>
    <format dxfId="33">
      <pivotArea dataOnly="0" labelOnly="1" fieldPosition="0">
        <references count="1">
          <reference field="4294967294" count="1">
            <x v="2"/>
          </reference>
        </references>
      </pivotArea>
    </format>
    <format dxfId="34">
      <pivotArea dataOnly="0" labelOnly="1" fieldPosition="0">
        <references count="1">
          <reference field="4294967294" count="1">
            <x v="3"/>
          </reference>
        </references>
      </pivotArea>
    </format>
    <format dxfId="35">
      <pivotArea dataOnly="0" labelOnly="1" fieldPosition="0">
        <references count="1">
          <reference field="4294967294" count="1">
            <x v="4"/>
          </reference>
        </references>
      </pivotArea>
    </format>
    <format dxfId="36">
      <pivotArea field="13" type="button" dataOnly="0" labelOnly="1" outline="0" fieldPosition="0"/>
    </format>
    <format dxfId="37">
      <pivotArea field="0" type="button" dataOnly="0" labelOnly="1" outline="0" fieldPosition="0"/>
    </format>
    <format dxfId="38">
      <pivotArea dataOnly="0" labelOnly="1" fieldPosition="0">
        <references count="1">
          <reference field="4294967294" count="1">
            <x v="0"/>
          </reference>
        </references>
      </pivotArea>
    </format>
    <format dxfId="39">
      <pivotArea dataOnly="0" labelOnly="1" fieldPosition="0">
        <references count="1">
          <reference field="4294967294" count="1">
            <x v="1"/>
          </reference>
        </references>
      </pivotArea>
    </format>
    <format dxfId="40">
      <pivotArea dataOnly="0" labelOnly="1" fieldPosition="0">
        <references count="1">
          <reference field="4294967294" count="1">
            <x v="2"/>
          </reference>
        </references>
      </pivotArea>
    </format>
    <format dxfId="41">
      <pivotArea dataOnly="0" labelOnly="1" fieldPosition="0">
        <references count="1">
          <reference field="4294967294" count="1">
            <x v="3"/>
          </reference>
        </references>
      </pivotArea>
    </format>
    <format dxfId="42">
      <pivotArea dataOnly="0" labelOnly="1" fieldPosition="0">
        <references count="1">
          <reference field="4294967294" count="1">
            <x v="4"/>
          </reference>
        </references>
      </pivotArea>
    </format>
    <format dxfId="43">
      <pivotArea field="13" type="button" dataOnly="0" labelOnly="1" outline="0" fieldPosition="0"/>
    </format>
    <format dxfId="44">
      <pivotArea field="0" type="button" dataOnly="0" labelOnly="1" outline="0" fieldPosition="0"/>
    </format>
    <format dxfId="45">
      <pivotArea dataOnly="0" labelOnly="1" fieldPosition="0">
        <references count="1">
          <reference field="4294967294" count="1">
            <x v="0"/>
          </reference>
        </references>
      </pivotArea>
    </format>
    <format dxfId="46">
      <pivotArea dataOnly="0" labelOnly="1" fieldPosition="0">
        <references count="1">
          <reference field="4294967294" count="1">
            <x v="1"/>
          </reference>
        </references>
      </pivotArea>
    </format>
    <format dxfId="47">
      <pivotArea dataOnly="0" labelOnly="1" fieldPosition="0">
        <references count="1">
          <reference field="4294967294" count="1">
            <x v="2"/>
          </reference>
        </references>
      </pivotArea>
    </format>
    <format dxfId="48">
      <pivotArea dataOnly="0" labelOnly="1" fieldPosition="0">
        <references count="1">
          <reference field="4294967294" count="1">
            <x v="3"/>
          </reference>
        </references>
      </pivotArea>
    </format>
    <format dxfId="49">
      <pivotArea dataOnly="0" labelOnly="1" fieldPosition="0">
        <references count="1">
          <reference field="4294967294" count="1">
            <x v="4"/>
          </reference>
        </references>
      </pivotArea>
    </format>
    <format dxfId="50">
      <pivotArea field="13" type="button" dataOnly="0" labelOnly="1" outline="0" fieldPosition="0"/>
    </format>
    <format dxfId="51">
      <pivotArea field="0" type="button" dataOnly="0" labelOnly="1" outline="0" fieldPosition="0"/>
    </format>
    <format dxfId="52">
      <pivotArea dataOnly="0" labelOnly="1" fieldPosition="0">
        <references count="1">
          <reference field="4294967294" count="1">
            <x v="0"/>
          </reference>
        </references>
      </pivotArea>
    </format>
    <format dxfId="53">
      <pivotArea dataOnly="0" labelOnly="1" fieldPosition="0">
        <references count="1">
          <reference field="4294967294" count="1">
            <x v="1"/>
          </reference>
        </references>
      </pivotArea>
    </format>
    <format dxfId="54">
      <pivotArea dataOnly="0" labelOnly="1" fieldPosition="0">
        <references count="1">
          <reference field="4294967294" count="1">
            <x v="2"/>
          </reference>
        </references>
      </pivotArea>
    </format>
    <format dxfId="55">
      <pivotArea dataOnly="0" labelOnly="1" fieldPosition="0">
        <references count="1">
          <reference field="4294967294" count="1">
            <x v="3"/>
          </reference>
        </references>
      </pivotArea>
    </format>
    <format dxfId="56">
      <pivotArea dataOnly="0" labelOnly="1" fieldPosition="0">
        <references count="1">
          <reference field="4294967294" count="1">
            <x v="4"/>
          </reference>
        </references>
      </pivotArea>
    </format>
    <format dxfId="57">
      <pivotArea dataOnly="0" labelOnly="1" grandRow="1" fieldPosition="0"/>
    </format>
    <format dxfId="58">
      <pivotArea grandRow="1" collapsedLevelsAreSubtotals="1" fieldPosition="0"/>
    </format>
    <format dxfId="59">
      <pivotArea dataOnly="0" labelOnly="1" grandRow="1" fieldPosition="0"/>
    </format>
    <format dxfId="60">
      <pivotArea grandRow="1" collapsedLevelsAreSubtotals="1" fieldPosition="0"/>
    </format>
    <format dxfId="61">
      <pivotArea field="13" type="button" dataOnly="0" labelOnly="1" outline="0" fieldPosition="0"/>
    </format>
    <format dxfId="62">
      <pivotArea field="0" type="button" dataOnly="0" labelOnly="1" outline="0" fieldPosition="0"/>
    </format>
    <format dxfId="63">
      <pivotArea dataOnly="0" labelOnly="1" fieldPosition="0">
        <references count="1">
          <reference field="4294967294" count="1">
            <x v="0"/>
          </reference>
        </references>
      </pivotArea>
    </format>
    <format dxfId="64">
      <pivotArea dataOnly="0" labelOnly="1" fieldPosition="0">
        <references count="1">
          <reference field="4294967294" count="1">
            <x v="1"/>
          </reference>
        </references>
      </pivotArea>
    </format>
    <format dxfId="65">
      <pivotArea dataOnly="0" labelOnly="1" fieldPosition="0">
        <references count="1">
          <reference field="4294967294" count="1">
            <x v="2"/>
          </reference>
        </references>
      </pivotArea>
    </format>
    <format dxfId="66">
      <pivotArea dataOnly="0" labelOnly="1" fieldPosition="0">
        <references count="1">
          <reference field="4294967294" count="1">
            <x v="3"/>
          </reference>
        </references>
      </pivotArea>
    </format>
    <format dxfId="67">
      <pivotArea dataOnly="0" labelOnly="1" fieldPosition="0">
        <references count="1">
          <reference field="4294967294" count="1">
            <x v="4"/>
          </reference>
        </references>
      </pivotArea>
    </format>
    <format dxfId="68">
      <pivotArea field="13" type="button" dataOnly="0" labelOnly="1" outline="0" fieldPosition="0"/>
    </format>
    <format dxfId="69">
      <pivotArea field="0" type="button" dataOnly="0" labelOnly="1" outline="0" fieldPosition="0"/>
    </format>
    <format dxfId="70">
      <pivotArea dataOnly="0" labelOnly="1" fieldPosition="0">
        <references count="1">
          <reference field="4294967294" count="1">
            <x v="0"/>
          </reference>
        </references>
      </pivotArea>
    </format>
    <format dxfId="71">
      <pivotArea dataOnly="0" labelOnly="1" fieldPosition="0">
        <references count="1">
          <reference field="4294967294" count="1">
            <x v="1"/>
          </reference>
        </references>
      </pivotArea>
    </format>
    <format dxfId="72">
      <pivotArea dataOnly="0" labelOnly="1" fieldPosition="0">
        <references count="1">
          <reference field="4294967294" count="1">
            <x v="2"/>
          </reference>
        </references>
      </pivotArea>
    </format>
    <format dxfId="73">
      <pivotArea dataOnly="0" labelOnly="1" fieldPosition="0">
        <references count="1">
          <reference field="4294967294" count="1">
            <x v="3"/>
          </reference>
        </references>
      </pivotArea>
    </format>
    <format dxfId="74">
      <pivotArea dataOnly="0" labelOnly="1" fieldPosition="0">
        <references count="1">
          <reference field="4294967294" count="1">
            <x v="4"/>
          </reference>
        </references>
      </pivotArea>
    </format>
    <format dxfId="75">
      <pivotArea dataOnly="0" labelOnly="1" grandRow="1" fieldPosition="0"/>
    </format>
    <format dxfId="76">
      <pivotArea grandRow="1" collapsedLevelsAreSubtotals="1" fieldPosition="0"/>
    </format>
    <format dxfId="77">
      <pivotArea dataOnly="0" labelOnly="1" grandRow="1" fieldPosition="0"/>
    </format>
    <format dxfId="78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2" displayName="表2" ref="A2:M55" totalsRowShown="0">
  <autoFilter xmlns:etc="http://www.wps.cn/officeDocument/2017/etCustomData" ref="A2:M55" etc:filterBottomFollowUsedRange="0"/>
  <sortState ref="A2:M55">
    <sortCondition ref="A11"/>
  </sortState>
  <tableColumns count="13">
    <tableColumn id="1" name="日期" dataDxfId="79"/>
    <tableColumn id="2" name="类别" dataDxfId="80"/>
    <tableColumn id="3" name="账户" dataDxfId="81"/>
    <tableColumn id="4" name="业务摘要" dataDxfId="82"/>
    <tableColumn id="5" name="收入金额" dataDxfId="83"/>
    <tableColumn id="6" name="支出金额" dataDxfId="84"/>
    <tableColumn id="7" name="项目名称" dataDxfId="85"/>
    <tableColumn id="8" name="已开票金额" dataDxfId="86"/>
    <tableColumn id="12" name="开票日期" dataDxfId="87"/>
    <tableColumn id="9" name="开票单位" dataDxfId="88"/>
    <tableColumn id="10" name="欠票金额" dataDxfId="89">
      <calculatedColumnFormula>F3-H3</calculatedColumnFormula>
    </tableColumn>
    <tableColumn id="11" name="已报销金额" dataDxfId="90"/>
    <tableColumn id="13" name="未报销金额" dataDxfId="91">
      <calculatedColumnFormula>F3-L3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2_3" displayName="表2_3" ref="A2:L90" totalsRowShown="0">
  <autoFilter xmlns:etc="http://www.wps.cn/officeDocument/2017/etCustomData" ref="A2:L90" etc:filterBottomFollowUsedRange="0"/>
  <sortState ref="A2:L90">
    <sortCondition ref="A2:A90"/>
  </sortState>
  <tableColumns count="12">
    <tableColumn id="1" name="日期" dataDxfId="93"/>
    <tableColumn id="2" name="类别" dataDxfId="94"/>
    <tableColumn id="3" name="账户" dataDxfId="95"/>
    <tableColumn id="4" name="业务摘要" dataDxfId="96"/>
    <tableColumn id="5" name="收入金额" dataDxfId="97"/>
    <tableColumn id="6" name="支出金额" dataDxfId="98"/>
    <tableColumn id="7" name="项目名称" dataDxfId="99"/>
    <tableColumn id="8" name="已开票金额" dataDxfId="100"/>
    <tableColumn id="9" name="欠票金额" dataDxfId="101">
      <calculatedColumnFormula>F3-H3</calculatedColumnFormula>
    </tableColumn>
    <tableColumn id="10" name="报销状态" dataDxfId="102"/>
    <tableColumn id="11" name="客户名称" dataDxfId="103"/>
    <tableColumn id="12" name="供应商名称" dataDxfId="10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8"/>
  <sheetViews>
    <sheetView tabSelected="1" workbookViewId="0">
      <selection activeCell="A1" sqref="A1"/>
    </sheetView>
  </sheetViews>
  <sheetFormatPr defaultColWidth="9" defaultRowHeight="19" customHeight="1"/>
  <cols>
    <col min="1" max="1" width="10.6272727272727" style="1" customWidth="1"/>
    <col min="2" max="2" width="6.5" style="1" customWidth="1"/>
    <col min="3" max="3" width="8.5" style="1" customWidth="1"/>
    <col min="4" max="4" width="17.2545454545455" style="1" customWidth="1"/>
    <col min="5" max="5" width="13" style="2" customWidth="1"/>
    <col min="6" max="6" width="16.5" style="2" customWidth="1"/>
    <col min="7" max="7" width="12.2545454545455" style="1" customWidth="1"/>
    <col min="8" max="8" width="9.62727272727273" style="2" customWidth="1"/>
    <col min="9" max="9" width="10" style="12" customWidth="1"/>
    <col min="10" max="10" width="11.3727272727273" style="13" customWidth="1"/>
    <col min="11" max="11" width="11.3727272727273" style="2" customWidth="1"/>
    <col min="12" max="12" width="9.75454545454545" style="2" customWidth="1"/>
    <col min="13" max="13" width="12" style="2" customWidth="1"/>
    <col min="14" max="14" width="5" style="1" customWidth="1"/>
    <col min="15" max="15" width="9.75454545454545" style="1" customWidth="1"/>
    <col min="16" max="16" width="9" style="1"/>
    <col min="17" max="22" width="11.8181818181818" style="1"/>
    <col min="23" max="26" width="13.5454545454545" style="1"/>
    <col min="27" max="27" width="14.7272727272727" style="1"/>
    <col min="28" max="28" width="17" style="1"/>
    <col min="29" max="29" width="14.7272727272727" style="1"/>
    <col min="30" max="31" width="17" style="1"/>
    <col min="32" max="16384" width="9" style="1"/>
  </cols>
  <sheetData>
    <row r="1" s="1" customFormat="1" ht="38" customHeight="1" spans="1:31">
      <c r="A1" s="3" t="s">
        <v>0</v>
      </c>
      <c r="B1" s="3"/>
      <c r="C1" s="3"/>
      <c r="D1" s="3"/>
      <c r="E1" s="4"/>
      <c r="F1" s="4"/>
      <c r="G1" s="3"/>
      <c r="H1" s="4"/>
      <c r="I1" s="14"/>
      <c r="J1" s="15"/>
      <c r="K1" s="4"/>
      <c r="L1" s="4"/>
      <c r="M1" s="2"/>
      <c r="O1" s="16" t="s">
        <v>1</v>
      </c>
      <c r="P1" s="16" t="s">
        <v>2</v>
      </c>
      <c r="Q1" s="17" t="s">
        <v>3</v>
      </c>
      <c r="R1" s="17" t="s">
        <v>4</v>
      </c>
      <c r="S1" s="17" t="s">
        <v>5</v>
      </c>
      <c r="T1" s="17" t="s">
        <v>6</v>
      </c>
      <c r="U1" s="17" t="s">
        <v>7</v>
      </c>
      <c r="V1"/>
      <c r="W1"/>
      <c r="X1"/>
      <c r="Y1"/>
      <c r="Z1"/>
      <c r="AA1"/>
      <c r="AB1"/>
      <c r="AC1"/>
      <c r="AD1"/>
      <c r="AE1"/>
    </row>
    <row r="2" s="1" customFormat="1" ht="32" customHeight="1" spans="1:31">
      <c r="A2" s="18" t="s">
        <v>2</v>
      </c>
      <c r="B2" s="19" t="s">
        <v>8</v>
      </c>
      <c r="C2" s="19" t="s">
        <v>9</v>
      </c>
      <c r="D2" s="19" t="s">
        <v>10</v>
      </c>
      <c r="E2" s="20" t="s">
        <v>11</v>
      </c>
      <c r="F2" s="20" t="s">
        <v>12</v>
      </c>
      <c r="G2" s="19" t="s">
        <v>13</v>
      </c>
      <c r="H2" s="20" t="s">
        <v>14</v>
      </c>
      <c r="I2" s="18" t="s">
        <v>15</v>
      </c>
      <c r="J2" s="21" t="s">
        <v>16</v>
      </c>
      <c r="K2" s="22" t="s">
        <v>17</v>
      </c>
      <c r="L2" s="23" t="s">
        <v>18</v>
      </c>
      <c r="M2" s="24" t="s">
        <v>19</v>
      </c>
      <c r="O2" s="25" t="s">
        <v>20</v>
      </c>
      <c r="P2" s="25" t="s">
        <v>21</v>
      </c>
      <c r="Q2" s="26">
        <v>3962</v>
      </c>
      <c r="R2" s="26"/>
      <c r="S2" s="26">
        <v>3962</v>
      </c>
      <c r="T2" s="26"/>
      <c r="U2" s="26">
        <v>3962</v>
      </c>
      <c r="V2"/>
      <c r="W2"/>
      <c r="X2"/>
      <c r="Y2"/>
      <c r="Z2"/>
      <c r="AA2"/>
      <c r="AB2"/>
      <c r="AC2"/>
      <c r="AD2"/>
      <c r="AE2"/>
    </row>
    <row r="3" s="1" customFormat="1" customHeight="1" spans="1:31">
      <c r="A3" s="8">
        <v>45050</v>
      </c>
      <c r="B3" s="9" t="s">
        <v>22</v>
      </c>
      <c r="C3" s="9" t="s">
        <v>23</v>
      </c>
      <c r="D3" s="9" t="s">
        <v>24</v>
      </c>
      <c r="E3" s="10"/>
      <c r="F3" s="10">
        <v>186</v>
      </c>
      <c r="G3" s="9" t="s">
        <v>25</v>
      </c>
      <c r="H3" s="10"/>
      <c r="I3" s="27"/>
      <c r="J3" s="28"/>
      <c r="K3" s="10">
        <f t="shared" ref="K3:K55" si="0">F3-H3</f>
        <v>186</v>
      </c>
      <c r="L3" s="10"/>
      <c r="M3" s="2">
        <f t="shared" ref="M3:M55" si="1">F3-L3</f>
        <v>186</v>
      </c>
      <c r="O3" s="29"/>
      <c r="P3" s="25" t="s">
        <v>26</v>
      </c>
      <c r="Q3" s="26">
        <v>1194</v>
      </c>
      <c r="R3" s="26"/>
      <c r="S3" s="26">
        <v>1194</v>
      </c>
      <c r="T3" s="26"/>
      <c r="U3" s="26">
        <v>1194</v>
      </c>
      <c r="V3"/>
      <c r="W3"/>
      <c r="X3"/>
      <c r="Y3"/>
      <c r="Z3"/>
      <c r="AA3"/>
      <c r="AB3"/>
      <c r="AC3"/>
      <c r="AD3"/>
      <c r="AE3"/>
    </row>
    <row r="4" s="1" customFormat="1" customHeight="1" spans="1:31">
      <c r="A4" s="8">
        <v>45051</v>
      </c>
      <c r="B4" s="9" t="s">
        <v>22</v>
      </c>
      <c r="C4" s="9" t="s">
        <v>23</v>
      </c>
      <c r="D4" s="9" t="s">
        <v>27</v>
      </c>
      <c r="E4" s="10"/>
      <c r="F4" s="10">
        <v>3776</v>
      </c>
      <c r="G4" s="9" t="s">
        <v>25</v>
      </c>
      <c r="H4" s="10"/>
      <c r="I4" s="27"/>
      <c r="J4" s="28"/>
      <c r="K4" s="10">
        <f t="shared" si="0"/>
        <v>3776</v>
      </c>
      <c r="L4" s="10"/>
      <c r="M4" s="2">
        <f t="shared" si="1"/>
        <v>3776</v>
      </c>
      <c r="O4" s="29"/>
      <c r="P4" s="25" t="s">
        <v>28</v>
      </c>
      <c r="Q4" s="26">
        <v>313</v>
      </c>
      <c r="R4" s="26"/>
      <c r="S4" s="26">
        <v>313</v>
      </c>
      <c r="T4" s="26"/>
      <c r="U4" s="26">
        <v>313</v>
      </c>
      <c r="V4"/>
      <c r="W4"/>
      <c r="X4"/>
      <c r="Y4"/>
      <c r="Z4"/>
      <c r="AA4"/>
      <c r="AB4"/>
      <c r="AC4"/>
      <c r="AD4"/>
      <c r="AE4"/>
    </row>
    <row r="5" s="1" customFormat="1" customHeight="1" spans="1:31">
      <c r="A5" s="8">
        <v>45232</v>
      </c>
      <c r="B5" s="9" t="s">
        <v>22</v>
      </c>
      <c r="C5" s="9" t="s">
        <v>23</v>
      </c>
      <c r="D5" s="9" t="s">
        <v>29</v>
      </c>
      <c r="E5" s="10"/>
      <c r="F5" s="10">
        <v>1194</v>
      </c>
      <c r="G5" s="9" t="s">
        <v>25</v>
      </c>
      <c r="H5" s="10"/>
      <c r="I5" s="27"/>
      <c r="J5" s="28"/>
      <c r="K5" s="10">
        <f t="shared" si="0"/>
        <v>1194</v>
      </c>
      <c r="L5" s="10"/>
      <c r="M5" s="2">
        <f t="shared" si="1"/>
        <v>1194</v>
      </c>
      <c r="O5" s="25" t="s">
        <v>30</v>
      </c>
      <c r="P5" s="29"/>
      <c r="Q5" s="26">
        <v>5469</v>
      </c>
      <c r="R5" s="26"/>
      <c r="S5" s="26">
        <v>5469</v>
      </c>
      <c r="T5" s="26"/>
      <c r="U5" s="26">
        <v>5469</v>
      </c>
      <c r="V5"/>
      <c r="W5"/>
      <c r="X5"/>
      <c r="Y5"/>
      <c r="Z5"/>
      <c r="AA5"/>
      <c r="AB5"/>
      <c r="AC5"/>
      <c r="AD5"/>
      <c r="AE5"/>
    </row>
    <row r="6" s="1" customFormat="1" customHeight="1" spans="1:31">
      <c r="A6" s="8">
        <v>45294</v>
      </c>
      <c r="B6" s="9" t="s">
        <v>22</v>
      </c>
      <c r="C6" s="9" t="s">
        <v>23</v>
      </c>
      <c r="D6" s="9" t="s">
        <v>27</v>
      </c>
      <c r="E6" s="10"/>
      <c r="F6" s="10">
        <v>6304</v>
      </c>
      <c r="G6" s="9" t="s">
        <v>25</v>
      </c>
      <c r="H6" s="10"/>
      <c r="I6" s="27"/>
      <c r="J6" s="28"/>
      <c r="K6" s="10">
        <f t="shared" si="0"/>
        <v>6304</v>
      </c>
      <c r="L6" s="10"/>
      <c r="M6" s="2">
        <f t="shared" si="1"/>
        <v>6304</v>
      </c>
      <c r="O6" s="25" t="s">
        <v>31</v>
      </c>
      <c r="P6" s="25" t="s">
        <v>32</v>
      </c>
      <c r="Q6" s="26">
        <v>6304</v>
      </c>
      <c r="R6" s="26"/>
      <c r="S6" s="26">
        <v>6304</v>
      </c>
      <c r="T6" s="26"/>
      <c r="U6" s="26">
        <v>6304</v>
      </c>
      <c r="V6"/>
      <c r="W6"/>
      <c r="X6"/>
      <c r="Y6"/>
      <c r="Z6"/>
      <c r="AA6"/>
      <c r="AB6"/>
      <c r="AC6"/>
      <c r="AD6"/>
      <c r="AE6"/>
    </row>
    <row r="7" s="1" customFormat="1" customHeight="1" spans="1:31">
      <c r="A7" s="8">
        <v>45361</v>
      </c>
      <c r="B7" s="9" t="s">
        <v>22</v>
      </c>
      <c r="C7" s="9" t="s">
        <v>23</v>
      </c>
      <c r="D7" s="9" t="s">
        <v>33</v>
      </c>
      <c r="E7" s="10"/>
      <c r="F7" s="10">
        <v>192</v>
      </c>
      <c r="G7" s="9" t="s">
        <v>25</v>
      </c>
      <c r="H7" s="10"/>
      <c r="I7" s="27"/>
      <c r="J7" s="28"/>
      <c r="K7" s="10">
        <f t="shared" si="0"/>
        <v>192</v>
      </c>
      <c r="L7" s="10"/>
      <c r="M7" s="2">
        <f t="shared" si="1"/>
        <v>192</v>
      </c>
      <c r="O7" s="29"/>
      <c r="P7" s="25" t="s">
        <v>34</v>
      </c>
      <c r="Q7" s="26">
        <v>5632</v>
      </c>
      <c r="R7" s="26"/>
      <c r="S7" s="26">
        <v>5632</v>
      </c>
      <c r="T7" s="26"/>
      <c r="U7" s="26">
        <v>5632</v>
      </c>
      <c r="V7"/>
      <c r="W7"/>
      <c r="X7"/>
      <c r="Y7"/>
      <c r="Z7"/>
      <c r="AA7"/>
      <c r="AB7"/>
      <c r="AC7"/>
      <c r="AD7"/>
      <c r="AE7"/>
    </row>
    <row r="8" s="1" customFormat="1" customHeight="1" spans="1:31">
      <c r="A8" s="8">
        <v>45380</v>
      </c>
      <c r="B8" s="9" t="s">
        <v>22</v>
      </c>
      <c r="C8" s="9" t="s">
        <v>23</v>
      </c>
      <c r="D8" s="9" t="s">
        <v>35</v>
      </c>
      <c r="E8" s="10"/>
      <c r="F8" s="10">
        <v>5440</v>
      </c>
      <c r="G8" s="9" t="s">
        <v>25</v>
      </c>
      <c r="H8" s="10"/>
      <c r="I8" s="27"/>
      <c r="J8" s="28"/>
      <c r="K8" s="10">
        <f t="shared" si="0"/>
        <v>5440</v>
      </c>
      <c r="L8" s="10"/>
      <c r="M8" s="2">
        <f t="shared" si="1"/>
        <v>5440</v>
      </c>
      <c r="O8" s="29"/>
      <c r="P8" s="25" t="s">
        <v>36</v>
      </c>
      <c r="Q8" s="26">
        <v>793.95</v>
      </c>
      <c r="R8" s="26"/>
      <c r="S8" s="26">
        <v>793.95</v>
      </c>
      <c r="T8" s="26"/>
      <c r="U8" s="26">
        <v>793.95</v>
      </c>
      <c r="V8"/>
      <c r="W8"/>
      <c r="X8"/>
      <c r="Y8"/>
      <c r="Z8"/>
      <c r="AA8"/>
      <c r="AB8"/>
      <c r="AC8"/>
      <c r="AD8"/>
      <c r="AE8"/>
    </row>
    <row r="9" s="1" customFormat="1" customHeight="1" spans="1:31">
      <c r="A9" s="8">
        <v>45403</v>
      </c>
      <c r="B9" s="9" t="s">
        <v>22</v>
      </c>
      <c r="C9" s="9" t="s">
        <v>23</v>
      </c>
      <c r="D9" s="9" t="s">
        <v>37</v>
      </c>
      <c r="E9" s="10"/>
      <c r="F9" s="10">
        <v>793.95</v>
      </c>
      <c r="G9" s="9" t="s">
        <v>38</v>
      </c>
      <c r="H9" s="10"/>
      <c r="I9" s="27"/>
      <c r="J9" s="28"/>
      <c r="K9" s="10">
        <f t="shared" si="0"/>
        <v>793.95</v>
      </c>
      <c r="L9" s="10"/>
      <c r="M9" s="2">
        <f t="shared" si="1"/>
        <v>793.95</v>
      </c>
      <c r="O9" s="29"/>
      <c r="P9" s="25" t="s">
        <v>21</v>
      </c>
      <c r="Q9" s="26">
        <v>7634</v>
      </c>
      <c r="R9" s="26"/>
      <c r="S9" s="26">
        <v>7634</v>
      </c>
      <c r="T9" s="26"/>
      <c r="U9" s="26">
        <v>7634</v>
      </c>
      <c r="V9"/>
      <c r="W9"/>
      <c r="X9"/>
      <c r="Y9"/>
      <c r="Z9"/>
      <c r="AA9"/>
      <c r="AB9"/>
      <c r="AC9"/>
      <c r="AD9"/>
      <c r="AE9"/>
    </row>
    <row r="10" s="1" customFormat="1" customHeight="1" spans="1:31">
      <c r="A10" s="8">
        <v>45420</v>
      </c>
      <c r="B10" s="9" t="s">
        <v>22</v>
      </c>
      <c r="C10" s="9" t="s">
        <v>23</v>
      </c>
      <c r="D10" s="9" t="s">
        <v>39</v>
      </c>
      <c r="E10" s="10"/>
      <c r="F10" s="10">
        <v>550</v>
      </c>
      <c r="G10" s="9" t="s">
        <v>38</v>
      </c>
      <c r="H10" s="10"/>
      <c r="I10" s="27"/>
      <c r="J10" s="28"/>
      <c r="K10" s="10">
        <f t="shared" si="0"/>
        <v>550</v>
      </c>
      <c r="L10" s="10"/>
      <c r="M10" s="2">
        <f t="shared" si="1"/>
        <v>550</v>
      </c>
      <c r="O10" s="29"/>
      <c r="P10" s="25" t="s">
        <v>40</v>
      </c>
      <c r="Q10" s="26">
        <v>8775</v>
      </c>
      <c r="R10" s="26"/>
      <c r="S10" s="26">
        <v>8775</v>
      </c>
      <c r="T10" s="26"/>
      <c r="U10" s="26">
        <v>8775</v>
      </c>
      <c r="V10"/>
      <c r="W10"/>
      <c r="X10"/>
      <c r="Y10"/>
      <c r="Z10"/>
      <c r="AA10"/>
      <c r="AB10"/>
      <c r="AC10"/>
      <c r="AD10"/>
      <c r="AE10"/>
    </row>
    <row r="11" s="1" customFormat="1" customHeight="1" spans="1:31">
      <c r="A11" s="8">
        <v>45421</v>
      </c>
      <c r="B11" s="9" t="s">
        <v>22</v>
      </c>
      <c r="C11" s="9" t="s">
        <v>23</v>
      </c>
      <c r="D11" s="9" t="s">
        <v>41</v>
      </c>
      <c r="E11" s="10"/>
      <c r="F11" s="10">
        <v>152</v>
      </c>
      <c r="G11" s="9" t="s">
        <v>38</v>
      </c>
      <c r="H11" s="10"/>
      <c r="I11" s="27"/>
      <c r="J11" s="28"/>
      <c r="K11" s="10">
        <f t="shared" si="0"/>
        <v>152</v>
      </c>
      <c r="L11" s="10"/>
      <c r="M11" s="2">
        <f t="shared" si="1"/>
        <v>152</v>
      </c>
      <c r="O11" s="29"/>
      <c r="P11" s="25" t="s">
        <v>42</v>
      </c>
      <c r="Q11" s="26">
        <v>18436.27</v>
      </c>
      <c r="R11" s="26"/>
      <c r="S11" s="26">
        <v>18436.27</v>
      </c>
      <c r="T11" s="26"/>
      <c r="U11" s="26">
        <v>18436.27</v>
      </c>
      <c r="V11"/>
      <c r="W11"/>
      <c r="X11"/>
      <c r="Y11"/>
      <c r="Z11"/>
      <c r="AA11"/>
      <c r="AB11"/>
      <c r="AC11"/>
      <c r="AD11"/>
      <c r="AE11"/>
    </row>
    <row r="12" s="1" customFormat="1" customHeight="1" spans="1:31">
      <c r="A12" s="8">
        <v>45424</v>
      </c>
      <c r="B12" s="9" t="s">
        <v>22</v>
      </c>
      <c r="C12" s="9" t="s">
        <v>23</v>
      </c>
      <c r="D12" s="9" t="s">
        <v>43</v>
      </c>
      <c r="E12" s="10"/>
      <c r="F12" s="10">
        <v>6932</v>
      </c>
      <c r="G12" s="9" t="s">
        <v>38</v>
      </c>
      <c r="H12" s="10"/>
      <c r="I12" s="27"/>
      <c r="J12" s="28"/>
      <c r="K12" s="10">
        <f t="shared" si="0"/>
        <v>6932</v>
      </c>
      <c r="L12" s="10"/>
      <c r="M12" s="2">
        <f t="shared" si="1"/>
        <v>6932</v>
      </c>
      <c r="O12" s="29"/>
      <c r="P12" s="25" t="s">
        <v>44</v>
      </c>
      <c r="Q12" s="26">
        <v>80</v>
      </c>
      <c r="R12" s="26"/>
      <c r="S12" s="26">
        <v>80</v>
      </c>
      <c r="T12" s="26"/>
      <c r="U12" s="26">
        <v>80</v>
      </c>
      <c r="V12"/>
      <c r="W12"/>
      <c r="X12"/>
      <c r="Y12"/>
      <c r="Z12"/>
      <c r="AA12"/>
      <c r="AB12"/>
      <c r="AC12"/>
      <c r="AD12"/>
      <c r="AE12"/>
    </row>
    <row r="13" s="1" customFormat="1" customHeight="1" spans="1:31">
      <c r="A13" s="8">
        <v>45445</v>
      </c>
      <c r="B13" s="9" t="s">
        <v>22</v>
      </c>
      <c r="C13" s="9" t="s">
        <v>23</v>
      </c>
      <c r="D13" s="9" t="s">
        <v>45</v>
      </c>
      <c r="E13" s="10"/>
      <c r="F13" s="10">
        <v>4570</v>
      </c>
      <c r="G13" s="9" t="s">
        <v>25</v>
      </c>
      <c r="H13" s="10"/>
      <c r="I13" s="27"/>
      <c r="J13" s="28"/>
      <c r="K13" s="10">
        <f t="shared" si="0"/>
        <v>4570</v>
      </c>
      <c r="L13" s="10"/>
      <c r="M13" s="2">
        <f t="shared" si="1"/>
        <v>4570</v>
      </c>
      <c r="O13" s="29"/>
      <c r="P13" s="25" t="s">
        <v>46</v>
      </c>
      <c r="Q13" s="26">
        <v>443</v>
      </c>
      <c r="R13" s="26"/>
      <c r="S13" s="26">
        <v>443</v>
      </c>
      <c r="T13" s="26"/>
      <c r="U13" s="26">
        <v>443</v>
      </c>
      <c r="V13"/>
      <c r="W13"/>
      <c r="X13"/>
      <c r="Y13"/>
      <c r="Z13"/>
      <c r="AA13"/>
      <c r="AB13"/>
      <c r="AC13"/>
      <c r="AD13"/>
      <c r="AE13"/>
    </row>
    <row r="14" s="1" customFormat="1" customHeight="1" spans="1:31">
      <c r="A14" s="8">
        <v>45451</v>
      </c>
      <c r="B14" s="9" t="s">
        <v>22</v>
      </c>
      <c r="C14" s="9" t="s">
        <v>23</v>
      </c>
      <c r="D14" s="9" t="s">
        <v>45</v>
      </c>
      <c r="E14" s="10"/>
      <c r="F14" s="10">
        <v>2455</v>
      </c>
      <c r="G14" s="9" t="s">
        <v>25</v>
      </c>
      <c r="H14" s="10"/>
      <c r="I14" s="27"/>
      <c r="J14" s="28"/>
      <c r="K14" s="10">
        <f t="shared" si="0"/>
        <v>2455</v>
      </c>
      <c r="L14" s="10"/>
      <c r="M14" s="2">
        <f t="shared" si="1"/>
        <v>2455</v>
      </c>
      <c r="O14" s="29"/>
      <c r="P14" s="25" t="s">
        <v>28</v>
      </c>
      <c r="Q14" s="26">
        <v>13045</v>
      </c>
      <c r="R14" s="26"/>
      <c r="S14" s="26">
        <v>13045</v>
      </c>
      <c r="T14" s="26"/>
      <c r="U14" s="26">
        <v>13045</v>
      </c>
      <c r="V14"/>
      <c r="W14"/>
      <c r="X14"/>
      <c r="Y14"/>
      <c r="Z14"/>
      <c r="AA14"/>
      <c r="AB14"/>
      <c r="AC14"/>
      <c r="AD14"/>
      <c r="AE14"/>
    </row>
    <row r="15" s="1" customFormat="1" customHeight="1" spans="1:31">
      <c r="A15" s="8">
        <v>45453</v>
      </c>
      <c r="B15" s="9" t="s">
        <v>22</v>
      </c>
      <c r="C15" s="9" t="s">
        <v>23</v>
      </c>
      <c r="D15" s="9" t="s">
        <v>47</v>
      </c>
      <c r="E15" s="10"/>
      <c r="F15" s="10">
        <v>400</v>
      </c>
      <c r="G15" s="9" t="s">
        <v>38</v>
      </c>
      <c r="H15" s="10"/>
      <c r="I15" s="27"/>
      <c r="J15" s="28"/>
      <c r="K15" s="10">
        <f t="shared" si="0"/>
        <v>400</v>
      </c>
      <c r="L15" s="10"/>
      <c r="M15" s="2">
        <f t="shared" si="1"/>
        <v>400</v>
      </c>
      <c r="O15" s="25" t="s">
        <v>48</v>
      </c>
      <c r="P15" s="29"/>
      <c r="Q15" s="26">
        <v>61143.22</v>
      </c>
      <c r="R15" s="26"/>
      <c r="S15" s="26">
        <v>61143.22</v>
      </c>
      <c r="T15" s="26"/>
      <c r="U15" s="26">
        <v>61143.22</v>
      </c>
      <c r="V15"/>
      <c r="W15"/>
      <c r="X15"/>
      <c r="Y15"/>
      <c r="Z15"/>
      <c r="AA15"/>
      <c r="AB15"/>
      <c r="AC15"/>
      <c r="AD15"/>
      <c r="AE15"/>
    </row>
    <row r="16" s="1" customFormat="1" customHeight="1" spans="1:31">
      <c r="A16" s="8">
        <v>45455</v>
      </c>
      <c r="B16" s="9" t="s">
        <v>22</v>
      </c>
      <c r="C16" s="9" t="s">
        <v>23</v>
      </c>
      <c r="D16" s="9" t="s">
        <v>49</v>
      </c>
      <c r="E16" s="10"/>
      <c r="F16" s="10">
        <v>1350</v>
      </c>
      <c r="G16" s="9" t="s">
        <v>38</v>
      </c>
      <c r="H16" s="10"/>
      <c r="I16" s="27"/>
      <c r="J16" s="28"/>
      <c r="K16" s="10">
        <f t="shared" si="0"/>
        <v>1350</v>
      </c>
      <c r="L16" s="10"/>
      <c r="M16" s="2">
        <f t="shared" si="1"/>
        <v>1350</v>
      </c>
      <c r="O16" s="25" t="s">
        <v>50</v>
      </c>
      <c r="P16" s="25" t="s">
        <v>34</v>
      </c>
      <c r="Q16" s="26">
        <v>1330</v>
      </c>
      <c r="R16" s="26"/>
      <c r="S16" s="26">
        <v>1330</v>
      </c>
      <c r="T16" s="26"/>
      <c r="U16" s="26">
        <v>1330</v>
      </c>
      <c r="V16"/>
      <c r="W16"/>
      <c r="X16"/>
      <c r="Y16"/>
      <c r="Z16"/>
      <c r="AA16"/>
      <c r="AB16"/>
      <c r="AC16"/>
      <c r="AD16"/>
      <c r="AE16"/>
    </row>
    <row r="17" s="1" customFormat="1" customHeight="1" spans="1:31">
      <c r="A17" s="8">
        <v>45522</v>
      </c>
      <c r="B17" s="9" t="s">
        <v>22</v>
      </c>
      <c r="C17" s="9" t="s">
        <v>23</v>
      </c>
      <c r="D17" s="9" t="s">
        <v>51</v>
      </c>
      <c r="E17" s="10"/>
      <c r="F17" s="10">
        <v>176.27</v>
      </c>
      <c r="G17" s="9" t="s">
        <v>38</v>
      </c>
      <c r="H17" s="10"/>
      <c r="I17" s="27"/>
      <c r="J17" s="28"/>
      <c r="K17" s="10">
        <f t="shared" si="0"/>
        <v>176.27</v>
      </c>
      <c r="L17" s="10"/>
      <c r="M17" s="2">
        <f t="shared" si="1"/>
        <v>176.27</v>
      </c>
      <c r="O17" s="29"/>
      <c r="P17" s="25" t="s">
        <v>36</v>
      </c>
      <c r="Q17" s="26">
        <v>7585</v>
      </c>
      <c r="R17" s="26">
        <v>155</v>
      </c>
      <c r="S17" s="26">
        <v>7430</v>
      </c>
      <c r="T17" s="26"/>
      <c r="U17" s="26">
        <v>7585</v>
      </c>
      <c r="V17"/>
      <c r="W17"/>
      <c r="X17"/>
      <c r="Y17"/>
      <c r="Z17"/>
      <c r="AA17"/>
      <c r="AB17"/>
      <c r="AC17"/>
      <c r="AD17"/>
      <c r="AE17"/>
    </row>
    <row r="18" s="1" customFormat="1" customHeight="1" spans="1:31">
      <c r="A18" s="8">
        <v>45530</v>
      </c>
      <c r="B18" s="9" t="s">
        <v>22</v>
      </c>
      <c r="C18" s="9" t="s">
        <v>23</v>
      </c>
      <c r="D18" s="9" t="s">
        <v>45</v>
      </c>
      <c r="E18" s="10"/>
      <c r="F18" s="10">
        <v>18260</v>
      </c>
      <c r="G18" s="9" t="s">
        <v>25</v>
      </c>
      <c r="H18" s="10"/>
      <c r="I18" s="27"/>
      <c r="J18" s="28"/>
      <c r="K18" s="10">
        <f t="shared" si="0"/>
        <v>18260</v>
      </c>
      <c r="L18" s="10"/>
      <c r="M18" s="2">
        <f t="shared" si="1"/>
        <v>18260</v>
      </c>
      <c r="O18" s="29"/>
      <c r="P18" s="25" t="s">
        <v>21</v>
      </c>
      <c r="Q18" s="26">
        <v>20940</v>
      </c>
      <c r="R18" s="26"/>
      <c r="S18" s="26">
        <v>20940</v>
      </c>
      <c r="T18" s="26"/>
      <c r="U18" s="26">
        <v>20940</v>
      </c>
      <c r="V18"/>
      <c r="W18"/>
      <c r="X18"/>
      <c r="Y18"/>
      <c r="Z18"/>
      <c r="AA18"/>
      <c r="AB18"/>
      <c r="AC18"/>
      <c r="AD18"/>
      <c r="AE18"/>
    </row>
    <row r="19" s="1" customFormat="1" customHeight="1" spans="1:31">
      <c r="A19" s="8">
        <v>45551</v>
      </c>
      <c r="B19" s="9" t="s">
        <v>22</v>
      </c>
      <c r="C19" s="9" t="s">
        <v>23</v>
      </c>
      <c r="D19" s="9" t="s">
        <v>52</v>
      </c>
      <c r="E19" s="10"/>
      <c r="F19" s="10">
        <v>80</v>
      </c>
      <c r="G19" s="9" t="s">
        <v>38</v>
      </c>
      <c r="H19" s="10"/>
      <c r="I19" s="27"/>
      <c r="J19" s="28"/>
      <c r="K19" s="10">
        <f t="shared" si="0"/>
        <v>80</v>
      </c>
      <c r="L19" s="10"/>
      <c r="M19" s="2">
        <f t="shared" si="1"/>
        <v>80</v>
      </c>
      <c r="O19" s="29"/>
      <c r="P19" s="25" t="s">
        <v>40</v>
      </c>
      <c r="Q19" s="26">
        <v>3285.5</v>
      </c>
      <c r="R19" s="26"/>
      <c r="S19" s="26">
        <v>3285.5</v>
      </c>
      <c r="T19" s="26"/>
      <c r="U19" s="26">
        <v>3285.5</v>
      </c>
      <c r="V19"/>
      <c r="W19"/>
      <c r="X19"/>
      <c r="Y19"/>
      <c r="Z19"/>
      <c r="AA19"/>
      <c r="AB19"/>
      <c r="AC19"/>
      <c r="AD19"/>
      <c r="AE19"/>
    </row>
    <row r="20" s="1" customFormat="1" customHeight="1" spans="1:31">
      <c r="A20" s="8">
        <v>45590</v>
      </c>
      <c r="B20" s="9" t="s">
        <v>22</v>
      </c>
      <c r="C20" s="9" t="s">
        <v>23</v>
      </c>
      <c r="D20" s="9" t="s">
        <v>53</v>
      </c>
      <c r="E20" s="10"/>
      <c r="F20" s="10">
        <v>443</v>
      </c>
      <c r="G20" s="9" t="s">
        <v>25</v>
      </c>
      <c r="H20" s="10"/>
      <c r="I20" s="27"/>
      <c r="J20" s="28"/>
      <c r="K20" s="10">
        <f t="shared" si="0"/>
        <v>443</v>
      </c>
      <c r="L20" s="10"/>
      <c r="M20" s="2">
        <f t="shared" si="1"/>
        <v>443</v>
      </c>
      <c r="O20" s="29"/>
      <c r="P20" s="25" t="s">
        <v>44</v>
      </c>
      <c r="Q20" s="26">
        <v>999</v>
      </c>
      <c r="R20" s="26"/>
      <c r="S20" s="26">
        <v>999</v>
      </c>
      <c r="T20" s="26"/>
      <c r="U20" s="26">
        <v>999</v>
      </c>
      <c r="V20"/>
      <c r="W20"/>
      <c r="X20"/>
      <c r="Y20"/>
      <c r="Z20"/>
      <c r="AA20"/>
      <c r="AB20"/>
      <c r="AC20"/>
      <c r="AD20"/>
      <c r="AE20"/>
    </row>
    <row r="21" s="1" customFormat="1" customHeight="1" spans="1:31">
      <c r="A21" s="8">
        <v>45646</v>
      </c>
      <c r="B21" s="9" t="s">
        <v>22</v>
      </c>
      <c r="C21" s="9" t="s">
        <v>23</v>
      </c>
      <c r="D21" s="9" t="s">
        <v>54</v>
      </c>
      <c r="E21" s="10"/>
      <c r="F21" s="10">
        <v>50</v>
      </c>
      <c r="G21" s="9" t="s">
        <v>25</v>
      </c>
      <c r="H21" s="10"/>
      <c r="I21" s="27"/>
      <c r="J21" s="28"/>
      <c r="K21" s="10">
        <f t="shared" si="0"/>
        <v>50</v>
      </c>
      <c r="L21" s="10"/>
      <c r="M21" s="2">
        <f t="shared" si="1"/>
        <v>50</v>
      </c>
      <c r="O21" s="29"/>
      <c r="P21" s="25" t="s">
        <v>26</v>
      </c>
      <c r="Q21" s="26">
        <v>10000</v>
      </c>
      <c r="R21" s="26"/>
      <c r="S21" s="26">
        <v>10000</v>
      </c>
      <c r="T21" s="26"/>
      <c r="U21" s="26">
        <v>10000</v>
      </c>
      <c r="V21"/>
      <c r="W21"/>
      <c r="X21"/>
      <c r="Y21"/>
      <c r="Z21"/>
      <c r="AA21"/>
      <c r="AB21"/>
      <c r="AC21"/>
      <c r="AD21"/>
      <c r="AE21"/>
    </row>
    <row r="22" s="1" customFormat="1" customHeight="1" spans="1:31">
      <c r="A22" s="8">
        <v>45656</v>
      </c>
      <c r="B22" s="9" t="s">
        <v>22</v>
      </c>
      <c r="C22" s="9" t="s">
        <v>23</v>
      </c>
      <c r="D22" s="9" t="s">
        <v>45</v>
      </c>
      <c r="E22" s="10"/>
      <c r="F22" s="10">
        <v>12995</v>
      </c>
      <c r="G22" s="9" t="s">
        <v>25</v>
      </c>
      <c r="H22" s="10"/>
      <c r="I22" s="27"/>
      <c r="J22" s="28"/>
      <c r="K22" s="10">
        <f t="shared" si="0"/>
        <v>12995</v>
      </c>
      <c r="L22" s="10"/>
      <c r="M22" s="2">
        <f t="shared" si="1"/>
        <v>12995</v>
      </c>
      <c r="O22" s="29"/>
      <c r="P22" s="25" t="s">
        <v>28</v>
      </c>
      <c r="Q22" s="26">
        <v>10100</v>
      </c>
      <c r="R22" s="26"/>
      <c r="S22" s="26">
        <v>10100</v>
      </c>
      <c r="T22" s="26"/>
      <c r="U22" s="26">
        <v>10100</v>
      </c>
      <c r="V22"/>
      <c r="W22"/>
      <c r="X22"/>
      <c r="Y22"/>
      <c r="Z22"/>
      <c r="AA22"/>
      <c r="AB22"/>
      <c r="AC22"/>
      <c r="AD22"/>
      <c r="AE22"/>
    </row>
    <row r="23" s="1" customFormat="1" customHeight="1" spans="1:31">
      <c r="A23" s="8">
        <v>45723</v>
      </c>
      <c r="B23" s="9" t="s">
        <v>22</v>
      </c>
      <c r="C23" s="9" t="s">
        <v>23</v>
      </c>
      <c r="D23" s="9" t="s">
        <v>55</v>
      </c>
      <c r="E23" s="10"/>
      <c r="F23" s="10">
        <v>980</v>
      </c>
      <c r="G23" s="9" t="s">
        <v>25</v>
      </c>
      <c r="H23" s="11"/>
      <c r="I23" s="27"/>
      <c r="J23" s="28"/>
      <c r="K23" s="10">
        <f t="shared" si="0"/>
        <v>980</v>
      </c>
      <c r="L23" s="10"/>
      <c r="M23" s="2">
        <f t="shared" si="1"/>
        <v>980</v>
      </c>
      <c r="O23" s="25" t="s">
        <v>56</v>
      </c>
      <c r="P23" s="29"/>
      <c r="Q23" s="26">
        <v>54239.5</v>
      </c>
      <c r="R23" s="26">
        <v>155</v>
      </c>
      <c r="S23" s="26">
        <v>54084.5</v>
      </c>
      <c r="T23" s="26"/>
      <c r="U23" s="26">
        <v>54239.5</v>
      </c>
      <c r="V23"/>
      <c r="W23"/>
      <c r="X23"/>
      <c r="Y23"/>
      <c r="Z23"/>
      <c r="AA23"/>
      <c r="AB23"/>
      <c r="AC23"/>
      <c r="AD23"/>
      <c r="AE23"/>
    </row>
    <row r="24" s="1" customFormat="1" customHeight="1" spans="1:31">
      <c r="A24" s="8">
        <v>45734</v>
      </c>
      <c r="B24" s="9" t="s">
        <v>22</v>
      </c>
      <c r="C24" s="9" t="s">
        <v>23</v>
      </c>
      <c r="D24" s="9" t="s">
        <v>57</v>
      </c>
      <c r="E24" s="10"/>
      <c r="F24" s="10">
        <v>350</v>
      </c>
      <c r="G24" s="9" t="s">
        <v>25</v>
      </c>
      <c r="H24" s="11"/>
      <c r="I24" s="27"/>
      <c r="J24" s="28"/>
      <c r="K24" s="10">
        <f t="shared" si="0"/>
        <v>350</v>
      </c>
      <c r="L24" s="10"/>
      <c r="M24" s="2">
        <f t="shared" si="1"/>
        <v>350</v>
      </c>
      <c r="O24" s="25" t="s">
        <v>58</v>
      </c>
      <c r="P24" s="25" t="s">
        <v>32</v>
      </c>
      <c r="Q24" s="26">
        <v>1350</v>
      </c>
      <c r="R24" s="26">
        <v>450</v>
      </c>
      <c r="S24" s="26">
        <v>900</v>
      </c>
      <c r="T24" s="26"/>
      <c r="U24" s="26">
        <v>1350</v>
      </c>
      <c r="V24"/>
      <c r="W24"/>
      <c r="X24"/>
      <c r="Y24"/>
      <c r="Z24"/>
      <c r="AA24"/>
      <c r="AB24"/>
      <c r="AC24"/>
      <c r="AD24"/>
      <c r="AE24"/>
    </row>
    <row r="25" s="1" customFormat="1" customHeight="1" spans="1:31">
      <c r="A25" s="8">
        <v>45748</v>
      </c>
      <c r="B25" s="9" t="s">
        <v>22</v>
      </c>
      <c r="C25" s="9" t="s">
        <v>23</v>
      </c>
      <c r="D25" s="9" t="s">
        <v>45</v>
      </c>
      <c r="E25" s="10"/>
      <c r="F25" s="10">
        <v>7430</v>
      </c>
      <c r="G25" s="9" t="s">
        <v>25</v>
      </c>
      <c r="H25" s="11"/>
      <c r="I25" s="27"/>
      <c r="J25" s="28"/>
      <c r="K25" s="10">
        <f t="shared" si="0"/>
        <v>7430</v>
      </c>
      <c r="L25" s="10"/>
      <c r="M25" s="2">
        <f t="shared" si="1"/>
        <v>7430</v>
      </c>
      <c r="O25" s="29"/>
      <c r="P25" s="25" t="s">
        <v>59</v>
      </c>
      <c r="Q25" s="26">
        <v>10447</v>
      </c>
      <c r="R25" s="26"/>
      <c r="S25" s="26">
        <v>10447</v>
      </c>
      <c r="T25" s="26"/>
      <c r="U25" s="26">
        <v>10447</v>
      </c>
      <c r="V25"/>
      <c r="W25"/>
      <c r="X25"/>
      <c r="Y25"/>
      <c r="Z25"/>
      <c r="AA25"/>
      <c r="AB25"/>
      <c r="AC25"/>
      <c r="AD25"/>
      <c r="AE25"/>
    </row>
    <row r="26" s="1" customFormat="1" customHeight="1" spans="1:31">
      <c r="A26" s="8">
        <v>45801</v>
      </c>
      <c r="B26" s="9" t="s">
        <v>22</v>
      </c>
      <c r="C26" s="9" t="s">
        <v>23</v>
      </c>
      <c r="D26" s="9" t="s">
        <v>45</v>
      </c>
      <c r="E26" s="10"/>
      <c r="F26" s="10">
        <v>20940</v>
      </c>
      <c r="G26" s="9" t="s">
        <v>25</v>
      </c>
      <c r="H26" s="11"/>
      <c r="I26" s="27"/>
      <c r="J26" s="28"/>
      <c r="K26" s="10">
        <f t="shared" si="0"/>
        <v>20940</v>
      </c>
      <c r="L26" s="10"/>
      <c r="M26" s="2">
        <f t="shared" si="1"/>
        <v>20940</v>
      </c>
      <c r="O26" s="29"/>
      <c r="P26" s="25" t="s">
        <v>34</v>
      </c>
      <c r="Q26" s="26">
        <v>455</v>
      </c>
      <c r="R26" s="26">
        <v>455</v>
      </c>
      <c r="S26" s="26">
        <v>0</v>
      </c>
      <c r="T26" s="26"/>
      <c r="U26" s="26">
        <v>455</v>
      </c>
      <c r="V26"/>
      <c r="W26"/>
      <c r="X26"/>
      <c r="Y26"/>
      <c r="Z26"/>
      <c r="AA26"/>
      <c r="AB26"/>
      <c r="AC26"/>
      <c r="AD26"/>
      <c r="AE26"/>
    </row>
    <row r="27" s="1" customFormat="1" customHeight="1" spans="1:31">
      <c r="A27" s="8">
        <v>45811</v>
      </c>
      <c r="B27" s="9" t="s">
        <v>22</v>
      </c>
      <c r="C27" s="9" t="s">
        <v>23</v>
      </c>
      <c r="D27" s="9" t="s">
        <v>60</v>
      </c>
      <c r="E27" s="10"/>
      <c r="F27" s="10">
        <v>860</v>
      </c>
      <c r="G27" s="9" t="s">
        <v>25</v>
      </c>
      <c r="H27" s="11"/>
      <c r="I27" s="27"/>
      <c r="J27" s="28"/>
      <c r="K27" s="10">
        <f t="shared" si="0"/>
        <v>860</v>
      </c>
      <c r="L27" s="10"/>
      <c r="M27" s="2">
        <f t="shared" si="1"/>
        <v>860</v>
      </c>
      <c r="O27" s="29"/>
      <c r="P27" s="25" t="s">
        <v>21</v>
      </c>
      <c r="Q27" s="26">
        <v>1200</v>
      </c>
      <c r="R27" s="26">
        <v>1200</v>
      </c>
      <c r="S27" s="26">
        <v>0</v>
      </c>
      <c r="T27" s="26"/>
      <c r="U27" s="26">
        <v>1200</v>
      </c>
      <c r="V27"/>
      <c r="W27"/>
      <c r="X27"/>
      <c r="Y27"/>
      <c r="Z27"/>
      <c r="AA27"/>
      <c r="AB27"/>
      <c r="AC27"/>
      <c r="AD27"/>
      <c r="AE27"/>
    </row>
    <row r="28" s="1" customFormat="1" customHeight="1" spans="1:31">
      <c r="A28" s="8">
        <v>45812</v>
      </c>
      <c r="B28" s="9" t="s">
        <v>22</v>
      </c>
      <c r="C28" s="9" t="s">
        <v>23</v>
      </c>
      <c r="D28" s="9" t="s">
        <v>61</v>
      </c>
      <c r="E28" s="10"/>
      <c r="F28" s="10">
        <v>219.5</v>
      </c>
      <c r="G28" s="9" t="s">
        <v>25</v>
      </c>
      <c r="H28" s="11"/>
      <c r="I28" s="27"/>
      <c r="J28" s="28"/>
      <c r="K28" s="10">
        <f t="shared" si="0"/>
        <v>219.5</v>
      </c>
      <c r="L28" s="10"/>
      <c r="M28" s="2">
        <f t="shared" si="1"/>
        <v>219.5</v>
      </c>
      <c r="O28" s="29"/>
      <c r="P28" s="25" t="s">
        <v>40</v>
      </c>
      <c r="Q28" s="26">
        <v>16995.5</v>
      </c>
      <c r="R28" s="26"/>
      <c r="S28" s="26">
        <v>16995.5</v>
      </c>
      <c r="T28" s="26"/>
      <c r="U28" s="26">
        <v>16995.5</v>
      </c>
      <c r="V28"/>
      <c r="W28"/>
      <c r="X28"/>
      <c r="Y28"/>
      <c r="Z28"/>
      <c r="AA28"/>
      <c r="AB28"/>
      <c r="AC28"/>
      <c r="AD28"/>
      <c r="AE28"/>
    </row>
    <row r="29" s="1" customFormat="1" customHeight="1" spans="1:31">
      <c r="A29" s="8">
        <v>45835</v>
      </c>
      <c r="B29" s="9" t="s">
        <v>22</v>
      </c>
      <c r="C29" s="9" t="s">
        <v>23</v>
      </c>
      <c r="D29" s="9" t="s">
        <v>62</v>
      </c>
      <c r="E29" s="10"/>
      <c r="F29" s="10">
        <v>106</v>
      </c>
      <c r="G29" s="9" t="s">
        <v>25</v>
      </c>
      <c r="H29" s="11"/>
      <c r="I29" s="27"/>
      <c r="J29" s="28"/>
      <c r="K29" s="10">
        <f t="shared" si="0"/>
        <v>106</v>
      </c>
      <c r="L29" s="10"/>
      <c r="M29" s="2">
        <f t="shared" si="1"/>
        <v>106</v>
      </c>
      <c r="O29" s="29"/>
      <c r="P29" s="25" t="s">
        <v>42</v>
      </c>
      <c r="Q29" s="26">
        <v>3530</v>
      </c>
      <c r="R29" s="26"/>
      <c r="S29" s="26">
        <v>3530</v>
      </c>
      <c r="T29" s="26"/>
      <c r="U29" s="26">
        <v>3530</v>
      </c>
      <c r="V29"/>
      <c r="W29"/>
      <c r="X29"/>
      <c r="Y29"/>
      <c r="Z29"/>
      <c r="AA29"/>
      <c r="AB29"/>
      <c r="AC29"/>
      <c r="AD29"/>
      <c r="AE29"/>
    </row>
    <row r="30" s="1" customFormat="1" customHeight="1" spans="1:31">
      <c r="A30" s="8">
        <v>45904</v>
      </c>
      <c r="B30" s="9" t="s">
        <v>22</v>
      </c>
      <c r="C30" s="9" t="s">
        <v>23</v>
      </c>
      <c r="D30" s="9" t="s">
        <v>63</v>
      </c>
      <c r="E30" s="10"/>
      <c r="F30" s="10">
        <v>999</v>
      </c>
      <c r="G30" s="9" t="s">
        <v>25</v>
      </c>
      <c r="H30" s="10"/>
      <c r="I30" s="27"/>
      <c r="J30" s="28"/>
      <c r="K30" s="10">
        <f t="shared" si="0"/>
        <v>999</v>
      </c>
      <c r="L30" s="10"/>
      <c r="M30" s="2">
        <f t="shared" si="1"/>
        <v>999</v>
      </c>
      <c r="O30" s="25" t="s">
        <v>64</v>
      </c>
      <c r="P30" s="29"/>
      <c r="Q30" s="26">
        <v>33977.5</v>
      </c>
      <c r="R30" s="26">
        <v>2105</v>
      </c>
      <c r="S30" s="26">
        <v>31872.5</v>
      </c>
      <c r="T30" s="26"/>
      <c r="U30" s="26">
        <v>33977.5</v>
      </c>
      <c r="V30"/>
      <c r="W30"/>
      <c r="X30"/>
      <c r="Y30"/>
      <c r="Z30"/>
      <c r="AA30"/>
      <c r="AB30"/>
      <c r="AC30"/>
      <c r="AD30"/>
      <c r="AE30"/>
    </row>
    <row r="31" s="1" customFormat="1" customHeight="1" spans="1:31">
      <c r="A31" s="8">
        <v>46032</v>
      </c>
      <c r="B31" s="9" t="s">
        <v>22</v>
      </c>
      <c r="C31" s="9" t="s">
        <v>23</v>
      </c>
      <c r="D31" s="9" t="s">
        <v>65</v>
      </c>
      <c r="E31" s="10"/>
      <c r="F31" s="10">
        <v>450</v>
      </c>
      <c r="G31" s="9" t="s">
        <v>25</v>
      </c>
      <c r="H31" s="10">
        <v>450</v>
      </c>
      <c r="I31" s="27">
        <v>46032</v>
      </c>
      <c r="J31" s="28" t="s">
        <v>66</v>
      </c>
      <c r="K31" s="10">
        <f t="shared" si="0"/>
        <v>0</v>
      </c>
      <c r="L31" s="10"/>
      <c r="M31" s="2">
        <f t="shared" si="1"/>
        <v>450</v>
      </c>
      <c r="O31" s="30" t="s">
        <v>67</v>
      </c>
      <c r="P31" s="31"/>
      <c r="Q31" s="26">
        <v>154829.22</v>
      </c>
      <c r="R31" s="26">
        <v>2260</v>
      </c>
      <c r="S31" s="26">
        <v>152569.22</v>
      </c>
      <c r="T31" s="26"/>
      <c r="U31" s="26">
        <v>154829.22</v>
      </c>
      <c r="V31"/>
      <c r="W31"/>
      <c r="X31"/>
      <c r="Y31"/>
      <c r="Z31"/>
      <c r="AA31"/>
      <c r="AB31"/>
      <c r="AC31"/>
      <c r="AD31"/>
      <c r="AE31"/>
    </row>
    <row r="32" s="1" customFormat="1" customHeight="1" spans="1:31">
      <c r="A32" s="8">
        <v>46080</v>
      </c>
      <c r="B32" s="9" t="s">
        <v>22</v>
      </c>
      <c r="C32" s="9" t="s">
        <v>23</v>
      </c>
      <c r="D32" s="9" t="s">
        <v>68</v>
      </c>
      <c r="E32" s="10"/>
      <c r="F32" s="10">
        <v>226</v>
      </c>
      <c r="G32" s="9" t="s">
        <v>25</v>
      </c>
      <c r="H32" s="10"/>
      <c r="I32" s="27"/>
      <c r="J32" s="28"/>
      <c r="K32" s="10">
        <f t="shared" si="0"/>
        <v>226</v>
      </c>
      <c r="L32" s="10"/>
      <c r="M32" s="2">
        <f t="shared" si="1"/>
        <v>226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="1" customFormat="1" customHeight="1" spans="1:31">
      <c r="A33" s="8">
        <v>46096</v>
      </c>
      <c r="B33" s="9" t="s">
        <v>22</v>
      </c>
      <c r="C33" s="9" t="s">
        <v>23</v>
      </c>
      <c r="D33" s="9" t="s">
        <v>69</v>
      </c>
      <c r="E33" s="10"/>
      <c r="F33" s="10">
        <v>455</v>
      </c>
      <c r="G33" s="9" t="s">
        <v>25</v>
      </c>
      <c r="H33" s="10">
        <v>455</v>
      </c>
      <c r="I33" s="27">
        <v>46096</v>
      </c>
      <c r="J33" s="28"/>
      <c r="K33" s="10">
        <f t="shared" si="0"/>
        <v>0</v>
      </c>
      <c r="L33" s="10"/>
      <c r="M33" s="2">
        <f t="shared" si="1"/>
        <v>455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="1" customFormat="1" customHeight="1" spans="1:31">
      <c r="A34" s="8">
        <v>46146</v>
      </c>
      <c r="B34" s="9" t="s">
        <v>22</v>
      </c>
      <c r="C34" s="9" t="s">
        <v>23</v>
      </c>
      <c r="D34" s="9" t="s">
        <v>70</v>
      </c>
      <c r="E34" s="10"/>
      <c r="F34" s="10">
        <v>590</v>
      </c>
      <c r="G34" s="9" t="s">
        <v>25</v>
      </c>
      <c r="H34" s="10">
        <v>590</v>
      </c>
      <c r="I34" s="27">
        <v>46146</v>
      </c>
      <c r="J34" s="28"/>
      <c r="K34" s="10">
        <f t="shared" si="0"/>
        <v>0</v>
      </c>
      <c r="L34" s="10"/>
      <c r="M34" s="2">
        <f t="shared" si="1"/>
        <v>590</v>
      </c>
      <c r="O34"/>
      <c r="P34"/>
      <c r="Q34"/>
      <c r="R34"/>
      <c r="S34"/>
      <c r="T34"/>
      <c r="U34"/>
      <c r="V34"/>
    </row>
    <row r="35" s="1" customFormat="1" customHeight="1" spans="1:31">
      <c r="A35" s="8">
        <v>46148</v>
      </c>
      <c r="B35" s="9" t="s">
        <v>22</v>
      </c>
      <c r="C35" s="9" t="s">
        <v>23</v>
      </c>
      <c r="D35" s="9" t="s">
        <v>70</v>
      </c>
      <c r="E35" s="10"/>
      <c r="F35" s="10">
        <v>320</v>
      </c>
      <c r="G35" s="9" t="s">
        <v>25</v>
      </c>
      <c r="H35" s="10">
        <v>320</v>
      </c>
      <c r="I35" s="27">
        <v>46148</v>
      </c>
      <c r="J35" s="28"/>
      <c r="K35" s="10">
        <f t="shared" si="0"/>
        <v>0</v>
      </c>
      <c r="L35" s="10"/>
      <c r="M35" s="2">
        <f t="shared" si="1"/>
        <v>320</v>
      </c>
      <c r="O35"/>
      <c r="P35"/>
      <c r="Q35"/>
      <c r="R35"/>
      <c r="S35"/>
      <c r="T35"/>
      <c r="U35"/>
      <c r="V35"/>
    </row>
    <row r="36" s="1" customFormat="1" customHeight="1" spans="1:31">
      <c r="A36" s="8">
        <v>46151</v>
      </c>
      <c r="B36" s="9" t="s">
        <v>22</v>
      </c>
      <c r="C36" s="9" t="s">
        <v>23</v>
      </c>
      <c r="D36" s="9" t="s">
        <v>70</v>
      </c>
      <c r="E36" s="10"/>
      <c r="F36" s="10">
        <v>290</v>
      </c>
      <c r="G36" s="9" t="s">
        <v>25</v>
      </c>
      <c r="H36" s="10">
        <v>290</v>
      </c>
      <c r="I36" s="27">
        <v>46151</v>
      </c>
      <c r="J36" s="28"/>
      <c r="K36" s="10">
        <f t="shared" si="0"/>
        <v>0</v>
      </c>
      <c r="L36" s="10"/>
      <c r="M36" s="2">
        <f t="shared" si="1"/>
        <v>290</v>
      </c>
      <c r="O36"/>
      <c r="P36"/>
      <c r="Q36"/>
      <c r="R36"/>
      <c r="S36"/>
      <c r="T36"/>
      <c r="U36"/>
      <c r="V36"/>
    </row>
    <row r="37" customHeight="1" spans="1:31">
      <c r="A37" s="8">
        <v>46184</v>
      </c>
      <c r="B37" s="9" t="s">
        <v>22</v>
      </c>
      <c r="C37" s="9" t="s">
        <v>23</v>
      </c>
      <c r="D37" s="1" t="s">
        <v>71</v>
      </c>
      <c r="F37" s="2">
        <v>1120</v>
      </c>
      <c r="G37" s="9" t="s">
        <v>25</v>
      </c>
      <c r="K37" s="2">
        <f t="shared" si="0"/>
        <v>1120</v>
      </c>
      <c r="M37" s="2">
        <f t="shared" si="1"/>
        <v>1120</v>
      </c>
      <c r="O37"/>
      <c r="P37"/>
      <c r="Q37"/>
      <c r="R37"/>
      <c r="S37"/>
      <c r="T37"/>
      <c r="U37"/>
      <c r="V37"/>
    </row>
    <row r="38" customHeight="1" spans="1:31">
      <c r="A38" s="32">
        <v>45264</v>
      </c>
      <c r="B38" s="1" t="s">
        <v>22</v>
      </c>
      <c r="C38" s="9" t="s">
        <v>23</v>
      </c>
      <c r="D38" s="1" t="s">
        <v>72</v>
      </c>
      <c r="F38" s="2">
        <v>313</v>
      </c>
      <c r="G38" s="9" t="s">
        <v>25</v>
      </c>
      <c r="K38" s="2">
        <f t="shared" si="0"/>
        <v>313</v>
      </c>
      <c r="M38" s="2">
        <f t="shared" si="1"/>
        <v>313</v>
      </c>
      <c r="O38"/>
      <c r="P38"/>
      <c r="Q38"/>
      <c r="R38"/>
      <c r="S38"/>
      <c r="T38"/>
      <c r="U38"/>
      <c r="V38"/>
    </row>
    <row r="39" customHeight="1" spans="1:31">
      <c r="A39" s="32">
        <v>46199</v>
      </c>
      <c r="B39" s="1" t="s">
        <v>22</v>
      </c>
      <c r="C39" s="9" t="s">
        <v>23</v>
      </c>
      <c r="D39" s="1" t="s">
        <v>73</v>
      </c>
      <c r="F39" s="2">
        <v>48.5</v>
      </c>
      <c r="G39" s="9" t="s">
        <v>25</v>
      </c>
      <c r="K39" s="2">
        <f t="shared" si="0"/>
        <v>48.5</v>
      </c>
      <c r="M39" s="2">
        <f t="shared" si="1"/>
        <v>48.5</v>
      </c>
      <c r="O39"/>
      <c r="P39"/>
      <c r="Q39"/>
      <c r="R39"/>
      <c r="S39"/>
      <c r="T39"/>
      <c r="U39"/>
      <c r="V39"/>
    </row>
    <row r="40" customHeight="1" spans="1:31">
      <c r="A40" s="32">
        <v>46196</v>
      </c>
      <c r="B40" s="1" t="s">
        <v>22</v>
      </c>
      <c r="C40" s="9" t="s">
        <v>23</v>
      </c>
      <c r="D40" s="1" t="s">
        <v>70</v>
      </c>
      <c r="F40" s="2">
        <v>844</v>
      </c>
      <c r="G40" s="9" t="s">
        <v>25</v>
      </c>
      <c r="K40" s="2">
        <f t="shared" si="0"/>
        <v>844</v>
      </c>
      <c r="M40" s="2">
        <f t="shared" si="1"/>
        <v>844</v>
      </c>
      <c r="O40"/>
      <c r="P40"/>
      <c r="Q40"/>
      <c r="R40"/>
      <c r="S40"/>
      <c r="T40"/>
      <c r="U40"/>
      <c r="V40"/>
    </row>
    <row r="41" customHeight="1" spans="1:31">
      <c r="A41" s="32">
        <v>46192</v>
      </c>
      <c r="B41" s="1" t="s">
        <v>22</v>
      </c>
      <c r="C41" s="1" t="s">
        <v>23</v>
      </c>
      <c r="D41" s="1" t="s">
        <v>45</v>
      </c>
      <c r="F41" s="2">
        <v>3520</v>
      </c>
      <c r="G41" s="9" t="s">
        <v>25</v>
      </c>
      <c r="K41" s="2">
        <f t="shared" si="0"/>
        <v>3520</v>
      </c>
      <c r="M41" s="2">
        <f t="shared" si="1"/>
        <v>3520</v>
      </c>
      <c r="O41"/>
      <c r="P41"/>
      <c r="Q41"/>
      <c r="R41"/>
      <c r="S41"/>
      <c r="T41"/>
      <c r="U41"/>
      <c r="V41"/>
    </row>
    <row r="42" customHeight="1" spans="1:31">
      <c r="A42" s="32">
        <v>46193</v>
      </c>
      <c r="B42" s="1" t="s">
        <v>22</v>
      </c>
      <c r="C42" s="1" t="s">
        <v>23</v>
      </c>
      <c r="D42" s="1" t="s">
        <v>74</v>
      </c>
      <c r="F42" s="2">
        <v>963</v>
      </c>
      <c r="G42" s="9" t="s">
        <v>25</v>
      </c>
      <c r="K42" s="2">
        <f t="shared" si="0"/>
        <v>963</v>
      </c>
      <c r="M42" s="2">
        <f t="shared" si="1"/>
        <v>963</v>
      </c>
      <c r="O42"/>
      <c r="P42"/>
      <c r="Q42"/>
      <c r="R42"/>
      <c r="S42"/>
      <c r="T42"/>
      <c r="U42"/>
      <c r="V42"/>
    </row>
    <row r="43" customHeight="1" spans="1:31">
      <c r="A43" s="32">
        <v>46194</v>
      </c>
      <c r="B43" s="1" t="s">
        <v>22</v>
      </c>
      <c r="C43" s="1" t="s">
        <v>23</v>
      </c>
      <c r="D43" s="1" t="s">
        <v>75</v>
      </c>
      <c r="F43" s="2">
        <v>500</v>
      </c>
      <c r="G43" s="9" t="s">
        <v>76</v>
      </c>
      <c r="K43" s="2">
        <f t="shared" si="0"/>
        <v>500</v>
      </c>
      <c r="M43" s="2">
        <f t="shared" si="1"/>
        <v>500</v>
      </c>
      <c r="O43"/>
      <c r="P43"/>
      <c r="Q43"/>
      <c r="R43"/>
      <c r="S43"/>
      <c r="T43"/>
      <c r="U43"/>
      <c r="V43"/>
    </row>
    <row r="44" customHeight="1" spans="1:31">
      <c r="A44" s="32">
        <v>45759</v>
      </c>
      <c r="B44" s="1" t="s">
        <v>22</v>
      </c>
      <c r="C44" s="1" t="s">
        <v>23</v>
      </c>
      <c r="D44" s="1" t="s">
        <v>77</v>
      </c>
      <c r="F44" s="2">
        <v>155</v>
      </c>
      <c r="G44" s="1" t="s">
        <v>25</v>
      </c>
      <c r="H44" s="2">
        <v>155</v>
      </c>
      <c r="I44" s="12">
        <v>45759</v>
      </c>
      <c r="K44" s="2">
        <f t="shared" si="0"/>
        <v>0</v>
      </c>
      <c r="M44" s="2">
        <f t="shared" si="1"/>
        <v>155</v>
      </c>
      <c r="O44"/>
      <c r="P44"/>
      <c r="Q44"/>
      <c r="R44"/>
      <c r="S44"/>
      <c r="T44"/>
      <c r="U44"/>
      <c r="V44"/>
    </row>
    <row r="45" customHeight="1" spans="1:31">
      <c r="A45" s="32">
        <v>45811</v>
      </c>
      <c r="B45" s="1" t="s">
        <v>22</v>
      </c>
      <c r="C45" s="1" t="s">
        <v>23</v>
      </c>
      <c r="D45" s="1" t="s">
        <v>78</v>
      </c>
      <c r="F45" s="2">
        <v>2100</v>
      </c>
      <c r="G45" s="1" t="s">
        <v>25</v>
      </c>
      <c r="K45" s="2">
        <f t="shared" si="0"/>
        <v>2100</v>
      </c>
      <c r="M45" s="2">
        <f t="shared" si="1"/>
        <v>2100</v>
      </c>
      <c r="O45"/>
      <c r="P45"/>
      <c r="Q45"/>
      <c r="R45"/>
      <c r="S45"/>
      <c r="T45"/>
      <c r="U45"/>
      <c r="V45"/>
    </row>
    <row r="46" customHeight="1" spans="1:31">
      <c r="A46" s="32">
        <v>46068</v>
      </c>
      <c r="B46" s="1" t="s">
        <v>22</v>
      </c>
      <c r="C46" s="1" t="s">
        <v>23</v>
      </c>
      <c r="D46" s="1" t="s">
        <v>79</v>
      </c>
      <c r="F46" s="2">
        <v>221</v>
      </c>
      <c r="G46" s="1" t="s">
        <v>25</v>
      </c>
      <c r="K46" s="2">
        <f t="shared" si="0"/>
        <v>221</v>
      </c>
      <c r="M46" s="2">
        <f t="shared" si="1"/>
        <v>221</v>
      </c>
      <c r="O46"/>
      <c r="P46"/>
      <c r="Q46"/>
      <c r="R46"/>
      <c r="S46"/>
      <c r="T46"/>
      <c r="U46"/>
      <c r="V46"/>
    </row>
    <row r="47" customHeight="1" spans="1:31">
      <c r="A47" s="32">
        <v>46263</v>
      </c>
      <c r="B47" s="1" t="s">
        <v>22</v>
      </c>
      <c r="C47" s="1" t="s">
        <v>23</v>
      </c>
      <c r="D47" s="1" t="s">
        <v>80</v>
      </c>
      <c r="F47" s="2">
        <v>3430</v>
      </c>
      <c r="G47" s="1" t="s">
        <v>25</v>
      </c>
      <c r="K47" s="2">
        <f t="shared" si="0"/>
        <v>3430</v>
      </c>
      <c r="M47" s="2">
        <f t="shared" si="1"/>
        <v>3430</v>
      </c>
      <c r="O47"/>
      <c r="P47"/>
      <c r="Q47"/>
      <c r="R47"/>
      <c r="S47"/>
      <c r="T47"/>
      <c r="U47"/>
      <c r="V47"/>
    </row>
    <row r="48" customHeight="1" spans="1:31">
      <c r="A48" s="32">
        <v>46264</v>
      </c>
      <c r="B48" s="1" t="s">
        <v>22</v>
      </c>
      <c r="C48" s="1" t="s">
        <v>23</v>
      </c>
      <c r="D48" s="1" t="s">
        <v>73</v>
      </c>
      <c r="F48" s="2">
        <v>100</v>
      </c>
      <c r="G48" s="1" t="s">
        <v>25</v>
      </c>
      <c r="K48" s="2">
        <f t="shared" si="0"/>
        <v>100</v>
      </c>
      <c r="M48" s="2">
        <f t="shared" si="1"/>
        <v>100</v>
      </c>
      <c r="O48"/>
      <c r="P48"/>
      <c r="Q48"/>
      <c r="R48"/>
      <c r="S48"/>
      <c r="T48"/>
      <c r="U48"/>
      <c r="V48"/>
    </row>
    <row r="49" customHeight="1" spans="1:22">
      <c r="A49" s="32">
        <v>45963</v>
      </c>
      <c r="B49" s="1" t="s">
        <v>22</v>
      </c>
      <c r="C49" s="1" t="s">
        <v>23</v>
      </c>
      <c r="D49" s="1" t="s">
        <v>81</v>
      </c>
      <c r="F49" s="2">
        <v>10000</v>
      </c>
      <c r="G49" s="1" t="s">
        <v>82</v>
      </c>
      <c r="K49" s="2">
        <f t="shared" si="0"/>
        <v>10000</v>
      </c>
      <c r="M49" s="2">
        <f t="shared" si="1"/>
        <v>10000</v>
      </c>
      <c r="O49"/>
      <c r="P49"/>
      <c r="Q49"/>
      <c r="R49"/>
      <c r="S49"/>
      <c r="T49"/>
      <c r="U49"/>
      <c r="V49"/>
    </row>
    <row r="50" customHeight="1" spans="1:22">
      <c r="A50" s="32">
        <v>46014</v>
      </c>
      <c r="B50" s="1" t="s">
        <v>22</v>
      </c>
      <c r="C50" s="1" t="s">
        <v>23</v>
      </c>
      <c r="D50" s="1" t="s">
        <v>81</v>
      </c>
      <c r="F50" s="2">
        <v>2100</v>
      </c>
      <c r="G50" s="1" t="s">
        <v>82</v>
      </c>
      <c r="K50" s="2">
        <f t="shared" si="0"/>
        <v>2100</v>
      </c>
      <c r="M50" s="2">
        <f t="shared" si="1"/>
        <v>2100</v>
      </c>
      <c r="O50"/>
      <c r="P50"/>
      <c r="Q50"/>
      <c r="R50"/>
      <c r="S50"/>
      <c r="T50"/>
      <c r="U50"/>
      <c r="V50"/>
    </row>
    <row r="51" customHeight="1" spans="1:22">
      <c r="A51" s="32">
        <v>46176</v>
      </c>
      <c r="B51" s="1" t="s">
        <v>22</v>
      </c>
      <c r="C51" s="1" t="s">
        <v>23</v>
      </c>
      <c r="D51" s="1" t="s">
        <v>83</v>
      </c>
      <c r="F51" s="2">
        <v>10000</v>
      </c>
      <c r="G51" s="1" t="s">
        <v>25</v>
      </c>
      <c r="K51" s="2">
        <f t="shared" si="0"/>
        <v>10000</v>
      </c>
      <c r="M51" s="2">
        <f t="shared" si="1"/>
        <v>10000</v>
      </c>
      <c r="O51"/>
      <c r="P51"/>
      <c r="Q51"/>
      <c r="R51"/>
      <c r="S51"/>
      <c r="T51"/>
      <c r="U51"/>
      <c r="V51"/>
    </row>
    <row r="52" ht="31" customHeight="1" spans="1:22">
      <c r="A52" s="32">
        <v>46051</v>
      </c>
      <c r="B52" s="1" t="s">
        <v>22</v>
      </c>
      <c r="C52" s="1" t="s">
        <v>23</v>
      </c>
      <c r="D52" s="33" t="s">
        <v>84</v>
      </c>
      <c r="F52" s="2">
        <v>900</v>
      </c>
      <c r="G52" s="34" t="s">
        <v>25</v>
      </c>
      <c r="K52" s="2">
        <f t="shared" si="0"/>
        <v>900</v>
      </c>
      <c r="M52" s="2">
        <f t="shared" si="1"/>
        <v>900</v>
      </c>
      <c r="O52"/>
      <c r="P52"/>
      <c r="Q52"/>
      <c r="R52"/>
      <c r="S52"/>
      <c r="T52"/>
      <c r="U52"/>
      <c r="V52"/>
    </row>
    <row r="53" customHeight="1" spans="1:22">
      <c r="A53" s="32">
        <v>45992</v>
      </c>
      <c r="B53" s="1" t="s">
        <v>22</v>
      </c>
      <c r="C53" s="1" t="s">
        <v>23</v>
      </c>
      <c r="D53" s="34" t="s">
        <v>85</v>
      </c>
      <c r="F53" s="2">
        <v>5000</v>
      </c>
      <c r="G53" s="34"/>
      <c r="K53" s="2">
        <f t="shared" si="0"/>
        <v>5000</v>
      </c>
      <c r="M53" s="2">
        <f t="shared" si="1"/>
        <v>5000</v>
      </c>
      <c r="O53"/>
      <c r="P53"/>
      <c r="Q53"/>
      <c r="R53"/>
      <c r="S53"/>
      <c r="T53"/>
      <c r="U53"/>
      <c r="V53"/>
    </row>
    <row r="54" customHeight="1" spans="1:22">
      <c r="A54" s="32">
        <v>46007</v>
      </c>
      <c r="B54" s="1" t="s">
        <v>22</v>
      </c>
      <c r="C54" s="1" t="s">
        <v>23</v>
      </c>
      <c r="D54" s="34" t="s">
        <v>85</v>
      </c>
      <c r="F54" s="2">
        <v>3000</v>
      </c>
      <c r="G54" s="34"/>
      <c r="K54" s="2">
        <f t="shared" si="0"/>
        <v>3000</v>
      </c>
      <c r="M54" s="2">
        <f t="shared" si="1"/>
        <v>3000</v>
      </c>
      <c r="O54"/>
      <c r="P54"/>
      <c r="Q54"/>
      <c r="R54"/>
      <c r="S54"/>
      <c r="T54"/>
      <c r="U54"/>
      <c r="V54"/>
    </row>
    <row r="55" customHeight="1" spans="1:22">
      <c r="A55" s="32">
        <v>46069</v>
      </c>
      <c r="B55" s="1" t="s">
        <v>22</v>
      </c>
      <c r="C55" s="1" t="s">
        <v>23</v>
      </c>
      <c r="D55" s="34" t="s">
        <v>85</v>
      </c>
      <c r="F55" s="2">
        <v>10000</v>
      </c>
      <c r="G55" s="34"/>
      <c r="K55" s="2">
        <f t="shared" si="0"/>
        <v>10000</v>
      </c>
      <c r="M55" s="2">
        <f t="shared" si="1"/>
        <v>10000</v>
      </c>
      <c r="O55"/>
      <c r="P55"/>
      <c r="Q55"/>
      <c r="R55"/>
      <c r="S55"/>
      <c r="T55"/>
      <c r="U55"/>
      <c r="V55"/>
    </row>
    <row r="56" customHeight="1" spans="1:22">
      <c r="O56"/>
      <c r="P56"/>
      <c r="Q56"/>
      <c r="R56"/>
      <c r="S56"/>
      <c r="T56"/>
      <c r="U56"/>
      <c r="V56"/>
    </row>
    <row r="57" customHeight="1" spans="1:22">
      <c r="O57"/>
      <c r="P57"/>
      <c r="Q57"/>
      <c r="R57"/>
      <c r="S57"/>
      <c r="T57"/>
      <c r="U57"/>
      <c r="V57"/>
    </row>
    <row r="58" customHeight="1" spans="1:22">
      <c r="O58"/>
      <c r="P58"/>
      <c r="Q58"/>
      <c r="R58"/>
      <c r="S58"/>
      <c r="T58"/>
      <c r="U58"/>
      <c r="V58"/>
    </row>
  </sheetData>
  <mergeCells count="9">
    <mergeCell ref="O5:P5"/>
    <mergeCell ref="O15:P15"/>
    <mergeCell ref="O23:P23"/>
    <mergeCell ref="O30:P30"/>
    <mergeCell ref="O31:P31"/>
    <mergeCell ref="O2:O4"/>
    <mergeCell ref="O6:O14"/>
    <mergeCell ref="O16:O22"/>
    <mergeCell ref="O24:O29"/>
  </mergeCells>
  <conditionalFormatting sqref="C44:C55">
    <cfRule type="expression" dxfId="92" priority="2">
      <formula>$A43&lt;&gt;""</formula>
    </cfRule>
  </conditionalFormatting>
  <conditionalFormatting sqref="A2:M43 A44:B44 D44:M44 A45:M1132">
    <cfRule type="expression" dxfId="92" priority="1">
      <formula>$A2&lt;&gt;""</formula>
    </cfRule>
  </conditionalFormatting>
  <pageMargins left="0.7" right="0.7" top="0.75" bottom="0.75" header="0.3" footer="0.3"/>
  <pageSetup paperSize="9"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workbookViewId="0">
      <selection activeCell="H15" sqref="H15"/>
    </sheetView>
  </sheetViews>
  <sheetFormatPr defaultColWidth="9" defaultRowHeight="19" customHeight="1"/>
  <cols>
    <col min="1" max="1" width="12.7545454545455" style="1" customWidth="1"/>
    <col min="2" max="2" width="9" style="1" customWidth="1"/>
    <col min="3" max="3" width="9.62727272727273" style="1" customWidth="1"/>
    <col min="4" max="4" width="20.6272727272727" style="1" customWidth="1"/>
    <col min="5" max="5" width="11.8727272727273" style="2" customWidth="1"/>
    <col min="6" max="6" width="12.1272727272727" style="2" customWidth="1"/>
    <col min="7" max="7" width="13.1272727272727" style="1" customWidth="1"/>
    <col min="8" max="9" width="12.7545454545455" style="2" customWidth="1"/>
    <col min="10" max="10" width="12.7545454545455" style="1" customWidth="1"/>
    <col min="11" max="11" width="16.6272727272727" style="1" customWidth="1"/>
    <col min="12" max="12" width="12.7545454545455" style="1" customWidth="1"/>
    <col min="13" max="16384" width="9" style="1"/>
  </cols>
  <sheetData>
    <row r="1" s="1" customFormat="1" ht="35" customHeight="1" spans="1:12">
      <c r="A1" s="3" t="s">
        <v>86</v>
      </c>
      <c r="B1" s="3"/>
      <c r="C1" s="3"/>
      <c r="D1" s="3"/>
      <c r="E1" s="4"/>
      <c r="F1" s="4"/>
      <c r="G1" s="3"/>
      <c r="H1" s="4"/>
      <c r="I1" s="4"/>
      <c r="J1" s="3"/>
      <c r="K1" s="3"/>
      <c r="L1" s="3"/>
    </row>
    <row r="2" s="1" customFormat="1" customHeight="1" spans="1:12">
      <c r="A2" s="5" t="s">
        <v>2</v>
      </c>
      <c r="B2" s="6" t="s">
        <v>8</v>
      </c>
      <c r="C2" s="6" t="s">
        <v>9</v>
      </c>
      <c r="D2" s="6" t="s">
        <v>10</v>
      </c>
      <c r="E2" s="7" t="s">
        <v>11</v>
      </c>
      <c r="F2" s="7" t="s">
        <v>12</v>
      </c>
      <c r="G2" s="6" t="s">
        <v>13</v>
      </c>
      <c r="H2" s="7" t="s">
        <v>14</v>
      </c>
      <c r="I2" s="7" t="s">
        <v>17</v>
      </c>
      <c r="J2" s="6" t="s">
        <v>87</v>
      </c>
      <c r="K2" s="6" t="s">
        <v>88</v>
      </c>
      <c r="L2" s="6" t="s">
        <v>89</v>
      </c>
    </row>
    <row r="3" s="1" customFormat="1" customHeight="1" spans="1:12">
      <c r="A3" s="8"/>
      <c r="B3" s="9"/>
      <c r="C3" s="9"/>
      <c r="D3" s="9"/>
      <c r="E3" s="10"/>
      <c r="F3" s="10"/>
      <c r="G3" s="9"/>
      <c r="H3" s="10"/>
      <c r="I3" s="10"/>
      <c r="J3" s="9"/>
      <c r="K3" s="9"/>
      <c r="L3" s="9"/>
    </row>
    <row r="4" s="1" customFormat="1" customHeight="1" spans="1:12">
      <c r="A4" s="8"/>
      <c r="B4" s="9"/>
      <c r="C4" s="9"/>
      <c r="D4" s="9"/>
      <c r="E4" s="10"/>
      <c r="F4" s="10"/>
      <c r="G4" s="9"/>
      <c r="H4" s="10"/>
      <c r="I4" s="10"/>
      <c r="J4" s="9"/>
      <c r="K4" s="9"/>
      <c r="L4" s="9"/>
    </row>
    <row r="5" s="1" customFormat="1" customHeight="1" spans="1:12">
      <c r="A5" s="8"/>
      <c r="B5" s="9"/>
      <c r="C5" s="9"/>
      <c r="D5" s="9"/>
      <c r="E5" s="10"/>
      <c r="F5" s="10"/>
      <c r="G5" s="9"/>
      <c r="H5" s="10"/>
      <c r="I5" s="10"/>
      <c r="J5" s="9"/>
      <c r="K5" s="9"/>
      <c r="L5" s="9"/>
    </row>
    <row r="6" s="1" customFormat="1" customHeight="1" spans="1:12">
      <c r="A6" s="8"/>
      <c r="B6" s="9"/>
      <c r="C6" s="9"/>
      <c r="D6" s="9"/>
      <c r="E6" s="10"/>
      <c r="F6" s="10"/>
      <c r="G6" s="9"/>
      <c r="H6" s="10"/>
      <c r="I6" s="10"/>
      <c r="J6" s="9"/>
      <c r="K6" s="9"/>
      <c r="L6" s="9"/>
    </row>
    <row r="7" s="1" customFormat="1" customHeight="1" spans="1:12">
      <c r="A7" s="8"/>
      <c r="B7" s="9"/>
      <c r="C7" s="9"/>
      <c r="D7" s="9"/>
      <c r="E7" s="10"/>
      <c r="F7" s="10"/>
      <c r="G7" s="9"/>
      <c r="H7" s="10"/>
      <c r="I7" s="10"/>
      <c r="J7" s="9"/>
      <c r="K7" s="9"/>
      <c r="L7" s="9"/>
    </row>
    <row r="8" s="1" customFormat="1" customHeight="1" spans="1:12">
      <c r="A8" s="8"/>
      <c r="B8" s="9"/>
      <c r="C8" s="9"/>
      <c r="D8" s="9"/>
      <c r="E8" s="10"/>
      <c r="F8" s="10"/>
      <c r="G8" s="9"/>
      <c r="H8" s="10"/>
      <c r="I8" s="10"/>
      <c r="J8" s="9"/>
      <c r="K8" s="9"/>
      <c r="L8" s="9"/>
    </row>
    <row r="9" s="1" customFormat="1" customHeight="1" spans="1:12">
      <c r="A9" s="8"/>
      <c r="B9" s="9"/>
      <c r="C9" s="9"/>
      <c r="D9" s="9"/>
      <c r="E9" s="10"/>
      <c r="F9" s="10"/>
      <c r="G9" s="9"/>
      <c r="H9" s="10"/>
      <c r="I9" s="10"/>
      <c r="J9" s="9"/>
      <c r="K9" s="9"/>
      <c r="L9" s="9"/>
    </row>
    <row r="10" s="1" customFormat="1" customHeight="1" spans="1:12">
      <c r="A10" s="8"/>
      <c r="B10" s="9"/>
      <c r="C10" s="9"/>
      <c r="D10" s="9"/>
      <c r="E10" s="10"/>
      <c r="F10" s="10"/>
      <c r="G10" s="9"/>
      <c r="H10" s="10"/>
      <c r="I10" s="10"/>
      <c r="J10" s="9"/>
      <c r="K10" s="9"/>
      <c r="L10" s="9"/>
    </row>
    <row r="11" s="1" customFormat="1" customHeight="1" spans="1:12">
      <c r="A11" s="8"/>
      <c r="B11" s="9"/>
      <c r="C11" s="9"/>
      <c r="D11" s="9"/>
      <c r="E11" s="10"/>
      <c r="F11" s="10"/>
      <c r="G11" s="9"/>
      <c r="H11" s="10"/>
      <c r="I11" s="10"/>
      <c r="J11" s="9"/>
      <c r="K11" s="9"/>
      <c r="L11" s="9"/>
    </row>
    <row r="12" s="1" customFormat="1" customHeight="1" spans="1:12">
      <c r="A12" s="8"/>
      <c r="B12" s="9"/>
      <c r="C12" s="9"/>
      <c r="D12" s="9"/>
      <c r="E12" s="10"/>
      <c r="F12" s="10"/>
      <c r="G12" s="9"/>
      <c r="H12" s="10"/>
      <c r="I12" s="10"/>
      <c r="J12" s="9"/>
      <c r="K12" s="9"/>
      <c r="L12" s="9"/>
    </row>
    <row r="13" s="1" customFormat="1" customHeight="1" spans="1:12">
      <c r="A13" s="8"/>
      <c r="B13" s="9"/>
      <c r="C13" s="9"/>
      <c r="D13" s="9"/>
      <c r="E13" s="10"/>
      <c r="F13" s="10"/>
      <c r="G13" s="9"/>
      <c r="H13" s="10"/>
      <c r="I13" s="10"/>
      <c r="J13" s="9"/>
      <c r="K13" s="9"/>
      <c r="L13" s="9"/>
    </row>
    <row r="14" s="1" customFormat="1" customHeight="1" spans="1:12">
      <c r="A14" s="8"/>
      <c r="B14" s="9"/>
      <c r="C14" s="9"/>
      <c r="D14" s="9"/>
      <c r="E14" s="10"/>
      <c r="F14" s="10"/>
      <c r="G14" s="9"/>
      <c r="H14" s="10"/>
      <c r="I14" s="10"/>
      <c r="J14" s="9"/>
      <c r="K14" s="9"/>
      <c r="L14" s="9"/>
    </row>
    <row r="15" s="1" customFormat="1" customHeight="1" spans="1:12">
      <c r="A15" s="8"/>
      <c r="B15" s="9"/>
      <c r="C15" s="9"/>
      <c r="D15" s="9"/>
      <c r="E15" s="10"/>
      <c r="F15" s="10"/>
      <c r="G15" s="9"/>
      <c r="H15" s="10"/>
      <c r="I15" s="10"/>
      <c r="J15" s="9"/>
      <c r="K15" s="9"/>
      <c r="L15" s="9"/>
    </row>
    <row r="16" s="1" customFormat="1" customHeight="1" spans="1:12">
      <c r="A16" s="8"/>
      <c r="B16" s="9"/>
      <c r="C16" s="9"/>
      <c r="D16" s="9"/>
      <c r="E16" s="10"/>
      <c r="F16" s="10"/>
      <c r="G16" s="9"/>
      <c r="H16" s="10"/>
      <c r="I16" s="10"/>
      <c r="J16" s="9"/>
      <c r="K16" s="9"/>
      <c r="L16" s="9"/>
    </row>
    <row r="17" s="1" customFormat="1" customHeight="1" spans="1:12">
      <c r="A17" s="8"/>
      <c r="B17" s="9"/>
      <c r="C17" s="9"/>
      <c r="D17" s="9"/>
      <c r="E17" s="10"/>
      <c r="F17" s="10"/>
      <c r="G17" s="9"/>
      <c r="H17" s="10"/>
      <c r="I17" s="10"/>
      <c r="J17" s="9"/>
      <c r="K17" s="9"/>
      <c r="L17" s="9"/>
    </row>
    <row r="18" s="1" customFormat="1" customHeight="1" spans="1:12">
      <c r="A18" s="8"/>
      <c r="B18" s="9"/>
      <c r="C18" s="9"/>
      <c r="D18" s="9"/>
      <c r="E18" s="10"/>
      <c r="F18" s="10"/>
      <c r="G18" s="9"/>
      <c r="H18" s="10"/>
      <c r="I18" s="10"/>
      <c r="J18" s="9"/>
      <c r="K18" s="9"/>
      <c r="L18" s="9"/>
    </row>
    <row r="19" s="1" customFormat="1" customHeight="1" spans="1:12">
      <c r="A19" s="8"/>
      <c r="B19" s="9"/>
      <c r="C19" s="9"/>
      <c r="D19" s="9"/>
      <c r="E19" s="10"/>
      <c r="F19" s="10"/>
      <c r="G19" s="9"/>
      <c r="H19" s="10"/>
      <c r="I19" s="10"/>
      <c r="J19" s="9"/>
      <c r="K19" s="9"/>
      <c r="L19" s="9"/>
    </row>
    <row r="20" s="1" customFormat="1" customHeight="1" spans="1:12">
      <c r="A20" s="8"/>
      <c r="B20" s="9"/>
      <c r="C20" s="9"/>
      <c r="D20" s="9"/>
      <c r="E20" s="10"/>
      <c r="F20" s="10"/>
      <c r="G20" s="9"/>
      <c r="H20" s="10"/>
      <c r="I20" s="10"/>
      <c r="J20" s="9"/>
      <c r="K20" s="9"/>
      <c r="L20" s="9"/>
    </row>
    <row r="21" s="1" customFormat="1" customHeight="1" spans="1:12">
      <c r="A21" s="8"/>
      <c r="B21" s="9"/>
      <c r="C21" s="9"/>
      <c r="D21" s="9"/>
      <c r="E21" s="10"/>
      <c r="F21" s="10"/>
      <c r="G21" s="9"/>
      <c r="H21" s="10"/>
      <c r="I21" s="10"/>
      <c r="J21" s="9"/>
      <c r="K21" s="9"/>
      <c r="L21" s="9"/>
    </row>
    <row r="22" s="1" customFormat="1" customHeight="1" spans="1:12">
      <c r="A22" s="8"/>
      <c r="B22" s="9"/>
      <c r="C22" s="9"/>
      <c r="D22" s="9"/>
      <c r="E22" s="10"/>
      <c r="F22" s="10"/>
      <c r="G22" s="9"/>
      <c r="H22" s="10"/>
      <c r="I22" s="10"/>
      <c r="J22" s="9"/>
      <c r="K22" s="9"/>
      <c r="L22" s="9"/>
    </row>
    <row r="23" s="1" customFormat="1" customHeight="1" spans="1:12">
      <c r="A23" s="8"/>
      <c r="B23" s="9"/>
      <c r="C23" s="9"/>
      <c r="D23" s="9"/>
      <c r="E23" s="10"/>
      <c r="F23" s="10"/>
      <c r="G23" s="9"/>
      <c r="H23" s="11"/>
      <c r="I23" s="10"/>
      <c r="J23" s="9"/>
      <c r="K23" s="9"/>
      <c r="L23" s="9"/>
    </row>
    <row r="24" s="1" customFormat="1" customHeight="1" spans="1:12">
      <c r="A24" s="8"/>
      <c r="B24" s="9"/>
      <c r="C24" s="9"/>
      <c r="D24" s="9"/>
      <c r="E24" s="10"/>
      <c r="F24" s="10"/>
      <c r="G24" s="9"/>
      <c r="H24" s="11"/>
      <c r="I24" s="10"/>
      <c r="J24" s="9"/>
      <c r="K24" s="9"/>
      <c r="L24" s="9"/>
    </row>
    <row r="25" s="1" customFormat="1" customHeight="1" spans="1:12">
      <c r="A25" s="8"/>
      <c r="B25" s="9"/>
      <c r="C25" s="9"/>
      <c r="D25" s="9"/>
      <c r="E25" s="10"/>
      <c r="F25" s="10"/>
      <c r="G25" s="9"/>
      <c r="H25" s="11"/>
      <c r="I25" s="10"/>
      <c r="J25" s="9"/>
      <c r="K25" s="9"/>
      <c r="L25" s="9"/>
    </row>
    <row r="26" s="1" customFormat="1" customHeight="1" spans="1:12">
      <c r="A26" s="8"/>
      <c r="B26" s="9"/>
      <c r="C26" s="9"/>
      <c r="D26" s="9"/>
      <c r="E26" s="10"/>
      <c r="F26" s="10"/>
      <c r="G26" s="9"/>
      <c r="H26" s="11"/>
      <c r="I26" s="10"/>
      <c r="J26" s="9"/>
      <c r="K26" s="9"/>
      <c r="L26" s="9"/>
    </row>
    <row r="27" s="1" customFormat="1" customHeight="1" spans="1:12">
      <c r="A27" s="8"/>
      <c r="B27" s="9"/>
      <c r="C27" s="9"/>
      <c r="D27" s="9"/>
      <c r="E27" s="10"/>
      <c r="F27" s="10"/>
      <c r="G27" s="9"/>
      <c r="H27" s="11"/>
      <c r="I27" s="10"/>
      <c r="J27" s="9"/>
      <c r="K27" s="9"/>
      <c r="L27" s="9"/>
    </row>
    <row r="28" s="1" customFormat="1" customHeight="1" spans="1:12">
      <c r="A28" s="8"/>
      <c r="B28" s="9"/>
      <c r="C28" s="9"/>
      <c r="D28" s="9"/>
      <c r="E28" s="10"/>
      <c r="F28" s="10"/>
      <c r="G28" s="9"/>
      <c r="H28" s="11"/>
      <c r="I28" s="10"/>
      <c r="J28" s="9"/>
      <c r="K28" s="9"/>
      <c r="L28" s="9"/>
    </row>
    <row r="29" s="1" customFormat="1" customHeight="1" spans="1:12">
      <c r="A29" s="8"/>
      <c r="B29" s="9"/>
      <c r="C29" s="9"/>
      <c r="D29" s="9"/>
      <c r="E29" s="10"/>
      <c r="F29" s="10"/>
      <c r="G29" s="9"/>
      <c r="H29" s="11"/>
      <c r="I29" s="10"/>
      <c r="J29" s="9"/>
      <c r="K29" s="9"/>
      <c r="L29" s="9"/>
    </row>
    <row r="30" s="1" customFormat="1" customHeight="1" spans="1:12">
      <c r="A30" s="8"/>
      <c r="B30" s="9"/>
      <c r="C30" s="9"/>
      <c r="D30" s="9"/>
      <c r="E30" s="10"/>
      <c r="F30" s="10"/>
      <c r="G30" s="9"/>
      <c r="H30" s="10"/>
      <c r="I30" s="10"/>
      <c r="J30" s="9"/>
      <c r="K30" s="9"/>
      <c r="L30" s="9"/>
    </row>
    <row r="31" s="1" customFormat="1" customHeight="1" spans="1:12">
      <c r="A31" s="8"/>
      <c r="B31" s="9"/>
      <c r="C31" s="9"/>
      <c r="D31" s="9"/>
      <c r="E31" s="10"/>
      <c r="F31" s="10"/>
      <c r="G31" s="9"/>
      <c r="H31" s="10"/>
      <c r="I31" s="10"/>
      <c r="J31" s="9"/>
      <c r="K31" s="9"/>
      <c r="L31" s="9"/>
    </row>
    <row r="32" s="1" customFormat="1" customHeight="1" spans="1:12">
      <c r="A32" s="8"/>
      <c r="B32" s="9"/>
      <c r="C32" s="9"/>
      <c r="D32" s="9"/>
      <c r="E32" s="10"/>
      <c r="F32" s="10"/>
      <c r="G32" s="9"/>
      <c r="H32" s="10"/>
      <c r="I32" s="10"/>
      <c r="J32" s="9"/>
      <c r="K32" s="9"/>
      <c r="L32" s="9"/>
    </row>
    <row r="33" s="1" customFormat="1" customHeight="1" spans="1:12">
      <c r="A33" s="8"/>
      <c r="B33" s="9"/>
      <c r="C33" s="9"/>
      <c r="D33" s="9"/>
      <c r="E33" s="10"/>
      <c r="F33" s="10"/>
      <c r="G33" s="9"/>
      <c r="H33" s="10"/>
      <c r="I33" s="10"/>
      <c r="J33" s="9"/>
      <c r="K33" s="9"/>
      <c r="L33" s="9"/>
    </row>
    <row r="34" s="1" customFormat="1" customHeight="1" spans="1:12">
      <c r="A34" s="8"/>
      <c r="B34" s="9"/>
      <c r="C34" s="9"/>
      <c r="D34" s="9"/>
      <c r="E34" s="10"/>
      <c r="F34" s="10"/>
      <c r="G34" s="9"/>
      <c r="H34" s="10"/>
      <c r="I34" s="10"/>
      <c r="J34" s="9"/>
      <c r="K34" s="9"/>
      <c r="L34" s="9"/>
    </row>
    <row r="35" s="1" customFormat="1" customHeight="1" spans="1:12">
      <c r="A35" s="8"/>
      <c r="B35" s="9"/>
      <c r="C35" s="9"/>
      <c r="D35" s="9"/>
      <c r="E35" s="10"/>
      <c r="F35" s="10"/>
      <c r="G35" s="9"/>
      <c r="H35" s="10"/>
      <c r="I35" s="10"/>
      <c r="J35" s="9"/>
      <c r="K35" s="9"/>
      <c r="L35" s="9"/>
    </row>
    <row r="36" s="1" customFormat="1" customHeight="1" spans="1:12">
      <c r="A36" s="9"/>
      <c r="B36" s="9"/>
      <c r="C36" s="9"/>
      <c r="D36" s="9"/>
      <c r="E36" s="10"/>
      <c r="F36" s="10"/>
      <c r="G36" s="9"/>
      <c r="H36" s="10"/>
      <c r="I36" s="10"/>
      <c r="J36" s="9"/>
      <c r="K36" s="9"/>
      <c r="L36" s="9"/>
    </row>
    <row r="37" s="1" customFormat="1" customHeight="1" spans="1:12">
      <c r="A37" s="9"/>
      <c r="B37" s="9"/>
      <c r="C37" s="9"/>
      <c r="D37" s="9"/>
      <c r="E37" s="10"/>
      <c r="F37" s="10"/>
      <c r="G37" s="9"/>
      <c r="H37" s="10"/>
      <c r="I37" s="10"/>
      <c r="J37" s="9"/>
      <c r="K37" s="9"/>
      <c r="L37" s="9"/>
    </row>
    <row r="38" s="1" customFormat="1" customHeight="1" spans="1:12">
      <c r="A38" s="9"/>
      <c r="B38" s="9"/>
      <c r="C38" s="9"/>
      <c r="D38" s="9"/>
      <c r="E38" s="10"/>
      <c r="F38" s="10"/>
      <c r="G38" s="9"/>
      <c r="H38" s="10"/>
      <c r="I38" s="10"/>
      <c r="J38" s="9"/>
      <c r="K38" s="9"/>
      <c r="L38" s="9"/>
    </row>
    <row r="39" s="1" customFormat="1" customHeight="1" spans="1:12">
      <c r="A39" s="9"/>
      <c r="B39" s="9"/>
      <c r="C39" s="9"/>
      <c r="D39" s="9"/>
      <c r="E39" s="10"/>
      <c r="F39" s="10"/>
      <c r="G39" s="9"/>
      <c r="H39" s="10"/>
      <c r="I39" s="10">
        <f t="shared" ref="I35:I66" si="0">F39-H39</f>
        <v>0</v>
      </c>
      <c r="J39" s="9"/>
      <c r="K39" s="9"/>
      <c r="L39" s="9"/>
    </row>
    <row r="40" s="1" customFormat="1" customHeight="1" spans="1:12">
      <c r="A40" s="9"/>
      <c r="B40" s="9"/>
      <c r="C40" s="9"/>
      <c r="D40" s="9"/>
      <c r="E40" s="10"/>
      <c r="F40" s="10"/>
      <c r="G40" s="9"/>
      <c r="H40" s="10"/>
      <c r="I40" s="10">
        <f t="shared" si="0"/>
        <v>0</v>
      </c>
      <c r="J40" s="9"/>
      <c r="K40" s="9"/>
      <c r="L40" s="9"/>
    </row>
    <row r="41" s="1" customFormat="1" customHeight="1" spans="1:12">
      <c r="A41" s="9"/>
      <c r="B41" s="9"/>
      <c r="C41" s="9"/>
      <c r="D41" s="9"/>
      <c r="E41" s="10"/>
      <c r="F41" s="10"/>
      <c r="G41" s="9"/>
      <c r="H41" s="10"/>
      <c r="I41" s="10">
        <f t="shared" si="0"/>
        <v>0</v>
      </c>
      <c r="J41" s="9"/>
      <c r="K41" s="9"/>
      <c r="L41" s="9"/>
    </row>
    <row r="42" s="1" customFormat="1" customHeight="1" spans="1:12">
      <c r="A42" s="9"/>
      <c r="B42" s="9"/>
      <c r="C42" s="9"/>
      <c r="D42" s="9"/>
      <c r="E42" s="10"/>
      <c r="F42" s="10"/>
      <c r="G42" s="9"/>
      <c r="H42" s="10"/>
      <c r="I42" s="10">
        <f t="shared" si="0"/>
        <v>0</v>
      </c>
      <c r="J42" s="9"/>
      <c r="K42" s="9"/>
      <c r="L42" s="9"/>
    </row>
    <row r="43" s="1" customFormat="1" customHeight="1" spans="1:12">
      <c r="A43" s="9"/>
      <c r="B43" s="9"/>
      <c r="C43" s="9"/>
      <c r="D43" s="9"/>
      <c r="E43" s="10"/>
      <c r="F43" s="10"/>
      <c r="G43" s="9"/>
      <c r="H43" s="10"/>
      <c r="I43" s="10">
        <f t="shared" si="0"/>
        <v>0</v>
      </c>
      <c r="J43" s="9"/>
      <c r="K43" s="9"/>
      <c r="L43" s="9"/>
    </row>
    <row r="44" s="1" customFormat="1" customHeight="1" spans="1:12">
      <c r="A44" s="9"/>
      <c r="B44" s="9"/>
      <c r="C44" s="9"/>
      <c r="D44" s="9"/>
      <c r="E44" s="10"/>
      <c r="F44" s="10"/>
      <c r="G44" s="9"/>
      <c r="H44" s="10"/>
      <c r="I44" s="10">
        <f t="shared" si="0"/>
        <v>0</v>
      </c>
      <c r="J44" s="9"/>
      <c r="K44" s="9"/>
      <c r="L44" s="9"/>
    </row>
    <row r="45" s="1" customFormat="1" customHeight="1" spans="1:12">
      <c r="A45" s="9"/>
      <c r="B45" s="9"/>
      <c r="C45" s="9"/>
      <c r="D45" s="9"/>
      <c r="E45" s="10"/>
      <c r="F45" s="10"/>
      <c r="G45" s="9"/>
      <c r="H45" s="10"/>
      <c r="I45" s="10">
        <f t="shared" si="0"/>
        <v>0</v>
      </c>
      <c r="J45" s="9"/>
      <c r="K45" s="9"/>
      <c r="L45" s="9"/>
    </row>
    <row r="46" s="1" customFormat="1" customHeight="1" spans="1:12">
      <c r="A46" s="9"/>
      <c r="B46" s="9"/>
      <c r="C46" s="9"/>
      <c r="D46" s="9"/>
      <c r="E46" s="10"/>
      <c r="F46" s="10"/>
      <c r="G46" s="9"/>
      <c r="H46" s="10"/>
      <c r="I46" s="10">
        <f t="shared" si="0"/>
        <v>0</v>
      </c>
      <c r="J46" s="9"/>
      <c r="K46" s="9"/>
      <c r="L46" s="9"/>
    </row>
    <row r="47" s="1" customFormat="1" customHeight="1" spans="1:12">
      <c r="A47" s="9"/>
      <c r="B47" s="9"/>
      <c r="C47" s="9"/>
      <c r="D47" s="9"/>
      <c r="E47" s="10"/>
      <c r="F47" s="10"/>
      <c r="G47" s="9"/>
      <c r="H47" s="10"/>
      <c r="I47" s="10">
        <f t="shared" si="0"/>
        <v>0</v>
      </c>
      <c r="J47" s="9"/>
      <c r="K47" s="9"/>
      <c r="L47" s="9"/>
    </row>
    <row r="48" s="1" customFormat="1" customHeight="1" spans="1:12">
      <c r="A48" s="9"/>
      <c r="B48" s="9"/>
      <c r="C48" s="9"/>
      <c r="D48" s="9"/>
      <c r="E48" s="10"/>
      <c r="F48" s="10"/>
      <c r="G48" s="9"/>
      <c r="H48" s="10"/>
      <c r="I48" s="10">
        <f t="shared" si="0"/>
        <v>0</v>
      </c>
      <c r="J48" s="9"/>
      <c r="K48" s="9"/>
      <c r="L48" s="9"/>
    </row>
    <row r="49" s="1" customFormat="1" customHeight="1" spans="1:12">
      <c r="A49" s="9"/>
      <c r="B49" s="9"/>
      <c r="C49" s="9"/>
      <c r="D49" s="9"/>
      <c r="E49" s="10"/>
      <c r="F49" s="10"/>
      <c r="G49" s="9"/>
      <c r="H49" s="10"/>
      <c r="I49" s="10">
        <f t="shared" si="0"/>
        <v>0</v>
      </c>
      <c r="J49" s="9"/>
      <c r="K49" s="9"/>
      <c r="L49" s="9"/>
    </row>
    <row r="50" s="1" customFormat="1" customHeight="1" spans="1:12">
      <c r="A50" s="9"/>
      <c r="B50" s="9"/>
      <c r="C50" s="9"/>
      <c r="D50" s="9"/>
      <c r="E50" s="10"/>
      <c r="F50" s="10"/>
      <c r="G50" s="9"/>
      <c r="H50" s="10"/>
      <c r="I50" s="10">
        <f t="shared" si="0"/>
        <v>0</v>
      </c>
      <c r="J50" s="9"/>
      <c r="K50" s="9"/>
      <c r="L50" s="9"/>
    </row>
    <row r="51" s="1" customFormat="1" customHeight="1" spans="1:12">
      <c r="A51" s="9"/>
      <c r="B51" s="9"/>
      <c r="C51" s="9"/>
      <c r="D51" s="9"/>
      <c r="E51" s="10"/>
      <c r="F51" s="10"/>
      <c r="G51" s="9"/>
      <c r="H51" s="10"/>
      <c r="I51" s="10">
        <f t="shared" si="0"/>
        <v>0</v>
      </c>
      <c r="J51" s="9"/>
      <c r="K51" s="9"/>
      <c r="L51" s="9"/>
    </row>
    <row r="52" s="1" customFormat="1" customHeight="1" spans="1:12">
      <c r="A52" s="9"/>
      <c r="B52" s="9"/>
      <c r="C52" s="9"/>
      <c r="D52" s="9"/>
      <c r="E52" s="10"/>
      <c r="F52" s="10"/>
      <c r="G52" s="9"/>
      <c r="H52" s="10"/>
      <c r="I52" s="10">
        <f t="shared" si="0"/>
        <v>0</v>
      </c>
      <c r="J52" s="9"/>
      <c r="K52" s="9"/>
      <c r="L52" s="9"/>
    </row>
    <row r="53" s="1" customFormat="1" customHeight="1" spans="1:12">
      <c r="A53" s="9"/>
      <c r="B53" s="9"/>
      <c r="C53" s="9"/>
      <c r="D53" s="9"/>
      <c r="E53" s="10"/>
      <c r="F53" s="10"/>
      <c r="G53" s="9"/>
      <c r="H53" s="10"/>
      <c r="I53" s="10">
        <f t="shared" si="0"/>
        <v>0</v>
      </c>
      <c r="J53" s="9"/>
      <c r="K53" s="9"/>
      <c r="L53" s="9"/>
    </row>
    <row r="54" s="1" customFormat="1" customHeight="1" spans="1:12">
      <c r="A54" s="9"/>
      <c r="B54" s="9"/>
      <c r="C54" s="9"/>
      <c r="D54" s="9"/>
      <c r="E54" s="10"/>
      <c r="F54" s="10"/>
      <c r="G54" s="9"/>
      <c r="H54" s="10"/>
      <c r="I54" s="10">
        <f t="shared" si="0"/>
        <v>0</v>
      </c>
      <c r="J54" s="9"/>
      <c r="K54" s="9"/>
      <c r="L54" s="9"/>
    </row>
    <row r="55" s="1" customFormat="1" customHeight="1" spans="1:12">
      <c r="A55" s="9"/>
      <c r="B55" s="9"/>
      <c r="C55" s="9"/>
      <c r="D55" s="9"/>
      <c r="E55" s="10"/>
      <c r="F55" s="10"/>
      <c r="G55" s="9"/>
      <c r="H55" s="10"/>
      <c r="I55" s="10">
        <f t="shared" si="0"/>
        <v>0</v>
      </c>
      <c r="J55" s="9"/>
      <c r="K55" s="9"/>
      <c r="L55" s="9"/>
    </row>
    <row r="56" s="1" customFormat="1" customHeight="1" spans="1:12">
      <c r="A56" s="9"/>
      <c r="B56" s="9"/>
      <c r="C56" s="9"/>
      <c r="D56" s="9"/>
      <c r="E56" s="10"/>
      <c r="F56" s="10"/>
      <c r="G56" s="9"/>
      <c r="H56" s="10"/>
      <c r="I56" s="10">
        <f t="shared" si="0"/>
        <v>0</v>
      </c>
      <c r="J56" s="9"/>
      <c r="K56" s="9"/>
      <c r="L56" s="9"/>
    </row>
    <row r="57" s="1" customFormat="1" customHeight="1" spans="1:12">
      <c r="A57" s="9"/>
      <c r="B57" s="9"/>
      <c r="C57" s="9"/>
      <c r="D57" s="9"/>
      <c r="E57" s="10"/>
      <c r="F57" s="10"/>
      <c r="G57" s="9"/>
      <c r="H57" s="10"/>
      <c r="I57" s="10">
        <f t="shared" si="0"/>
        <v>0</v>
      </c>
      <c r="J57" s="9"/>
      <c r="K57" s="9"/>
      <c r="L57" s="9"/>
    </row>
    <row r="58" s="1" customFormat="1" customHeight="1" spans="1:12">
      <c r="A58" s="9"/>
      <c r="B58" s="9"/>
      <c r="C58" s="9"/>
      <c r="D58" s="9"/>
      <c r="E58" s="10"/>
      <c r="F58" s="10"/>
      <c r="G58" s="9"/>
      <c r="H58" s="10"/>
      <c r="I58" s="10">
        <f t="shared" si="0"/>
        <v>0</v>
      </c>
      <c r="J58" s="9"/>
      <c r="K58" s="9"/>
      <c r="L58" s="9"/>
    </row>
    <row r="59" s="1" customFormat="1" customHeight="1" spans="1:12">
      <c r="A59" s="9"/>
      <c r="B59" s="9"/>
      <c r="C59" s="9"/>
      <c r="D59" s="9"/>
      <c r="E59" s="10"/>
      <c r="F59" s="10"/>
      <c r="G59" s="9"/>
      <c r="H59" s="10"/>
      <c r="I59" s="10">
        <f t="shared" si="0"/>
        <v>0</v>
      </c>
      <c r="J59" s="9"/>
      <c r="K59" s="9"/>
      <c r="L59" s="9"/>
    </row>
    <row r="60" s="1" customFormat="1" customHeight="1" spans="1:12">
      <c r="A60" s="9"/>
      <c r="B60" s="9"/>
      <c r="C60" s="9"/>
      <c r="D60" s="9"/>
      <c r="E60" s="10"/>
      <c r="F60" s="10"/>
      <c r="G60" s="9"/>
      <c r="H60" s="10"/>
      <c r="I60" s="10">
        <f t="shared" si="0"/>
        <v>0</v>
      </c>
      <c r="J60" s="9"/>
      <c r="K60" s="9"/>
      <c r="L60" s="9"/>
    </row>
    <row r="61" s="1" customFormat="1" customHeight="1" spans="1:12">
      <c r="A61" s="9"/>
      <c r="B61" s="9"/>
      <c r="C61" s="9"/>
      <c r="D61" s="9"/>
      <c r="E61" s="10"/>
      <c r="F61" s="10"/>
      <c r="G61" s="9"/>
      <c r="H61" s="10"/>
      <c r="I61" s="10">
        <f t="shared" si="0"/>
        <v>0</v>
      </c>
      <c r="J61" s="9"/>
      <c r="K61" s="9"/>
      <c r="L61" s="9"/>
    </row>
    <row r="62" s="1" customFormat="1" customHeight="1" spans="1:12">
      <c r="A62" s="9"/>
      <c r="B62" s="9"/>
      <c r="C62" s="9"/>
      <c r="D62" s="9"/>
      <c r="E62" s="10"/>
      <c r="F62" s="10"/>
      <c r="G62" s="9"/>
      <c r="H62" s="10"/>
      <c r="I62" s="10">
        <f t="shared" si="0"/>
        <v>0</v>
      </c>
      <c r="J62" s="9"/>
      <c r="K62" s="9"/>
      <c r="L62" s="9"/>
    </row>
    <row r="63" s="1" customFormat="1" customHeight="1" spans="1:12">
      <c r="A63" s="9"/>
      <c r="B63" s="9"/>
      <c r="C63" s="9"/>
      <c r="D63" s="9"/>
      <c r="E63" s="10"/>
      <c r="F63" s="10"/>
      <c r="G63" s="9"/>
      <c r="H63" s="10"/>
      <c r="I63" s="10">
        <f t="shared" si="0"/>
        <v>0</v>
      </c>
      <c r="J63" s="9"/>
      <c r="K63" s="9"/>
      <c r="L63" s="9"/>
    </row>
    <row r="64" s="1" customFormat="1" customHeight="1" spans="1:12">
      <c r="A64" s="9"/>
      <c r="B64" s="9"/>
      <c r="C64" s="9"/>
      <c r="D64" s="9"/>
      <c r="E64" s="10"/>
      <c r="F64" s="10"/>
      <c r="G64" s="9"/>
      <c r="H64" s="10"/>
      <c r="I64" s="10">
        <f t="shared" si="0"/>
        <v>0</v>
      </c>
      <c r="J64" s="9"/>
      <c r="K64" s="9"/>
      <c r="L64" s="9"/>
    </row>
    <row r="65" s="1" customFormat="1" customHeight="1" spans="1:12">
      <c r="A65" s="9"/>
      <c r="B65" s="9"/>
      <c r="C65" s="9"/>
      <c r="D65" s="9"/>
      <c r="E65" s="10"/>
      <c r="F65" s="10"/>
      <c r="G65" s="9"/>
      <c r="H65" s="10"/>
      <c r="I65" s="10">
        <f t="shared" si="0"/>
        <v>0</v>
      </c>
      <c r="J65" s="9"/>
      <c r="K65" s="9"/>
      <c r="L65" s="9"/>
    </row>
    <row r="66" s="1" customFormat="1" customHeight="1" spans="1:12">
      <c r="A66" s="9"/>
      <c r="B66" s="9"/>
      <c r="C66" s="9"/>
      <c r="D66" s="9"/>
      <c r="E66" s="10"/>
      <c r="F66" s="10"/>
      <c r="G66" s="9"/>
      <c r="H66" s="10"/>
      <c r="I66" s="10">
        <f t="shared" si="0"/>
        <v>0</v>
      </c>
      <c r="J66" s="9"/>
      <c r="K66" s="9"/>
      <c r="L66" s="9"/>
    </row>
    <row r="67" s="1" customFormat="1" customHeight="1" spans="1:12">
      <c r="A67" s="9"/>
      <c r="B67" s="9"/>
      <c r="C67" s="9"/>
      <c r="D67" s="9"/>
      <c r="E67" s="10"/>
      <c r="F67" s="10"/>
      <c r="G67" s="9"/>
      <c r="H67" s="10"/>
      <c r="I67" s="10">
        <f t="shared" ref="I67:I90" si="1">F67-H67</f>
        <v>0</v>
      </c>
      <c r="J67" s="9"/>
      <c r="K67" s="9"/>
      <c r="L67" s="9"/>
    </row>
    <row r="68" s="1" customFormat="1" customHeight="1" spans="1:12">
      <c r="A68" s="9"/>
      <c r="B68" s="9"/>
      <c r="C68" s="9"/>
      <c r="D68" s="9"/>
      <c r="E68" s="10"/>
      <c r="F68" s="10"/>
      <c r="G68" s="9"/>
      <c r="H68" s="10"/>
      <c r="I68" s="10">
        <f t="shared" si="1"/>
        <v>0</v>
      </c>
      <c r="J68" s="9"/>
      <c r="K68" s="9"/>
      <c r="L68" s="9"/>
    </row>
    <row r="69" s="1" customFormat="1" customHeight="1" spans="1:12">
      <c r="A69" s="9"/>
      <c r="B69" s="9"/>
      <c r="C69" s="9"/>
      <c r="D69" s="9"/>
      <c r="E69" s="10"/>
      <c r="F69" s="10"/>
      <c r="G69" s="9"/>
      <c r="H69" s="10"/>
      <c r="I69" s="10">
        <f t="shared" si="1"/>
        <v>0</v>
      </c>
      <c r="J69" s="9"/>
      <c r="K69" s="9"/>
      <c r="L69" s="9"/>
    </row>
    <row r="70" s="1" customFormat="1" customHeight="1" spans="1:12">
      <c r="A70" s="9"/>
      <c r="B70" s="9"/>
      <c r="C70" s="9"/>
      <c r="D70" s="9"/>
      <c r="E70" s="10"/>
      <c r="F70" s="10"/>
      <c r="G70" s="9"/>
      <c r="H70" s="10"/>
      <c r="I70" s="10">
        <f t="shared" si="1"/>
        <v>0</v>
      </c>
      <c r="J70" s="9"/>
      <c r="K70" s="9"/>
      <c r="L70" s="9"/>
    </row>
    <row r="71" s="1" customFormat="1" customHeight="1" spans="1:12">
      <c r="A71" s="9"/>
      <c r="B71" s="9"/>
      <c r="C71" s="9"/>
      <c r="D71" s="9"/>
      <c r="E71" s="10"/>
      <c r="F71" s="10"/>
      <c r="G71" s="9"/>
      <c r="H71" s="10"/>
      <c r="I71" s="10">
        <f t="shared" si="1"/>
        <v>0</v>
      </c>
      <c r="J71" s="9"/>
      <c r="K71" s="9"/>
      <c r="L71" s="9"/>
    </row>
    <row r="72" s="1" customFormat="1" customHeight="1" spans="1:12">
      <c r="A72" s="9"/>
      <c r="B72" s="9"/>
      <c r="C72" s="9"/>
      <c r="D72" s="9"/>
      <c r="E72" s="10"/>
      <c r="F72" s="10"/>
      <c r="G72" s="9"/>
      <c r="H72" s="10"/>
      <c r="I72" s="10">
        <f t="shared" si="1"/>
        <v>0</v>
      </c>
      <c r="J72" s="9"/>
      <c r="K72" s="9"/>
      <c r="L72" s="9"/>
    </row>
    <row r="73" s="1" customFormat="1" customHeight="1" spans="1:12">
      <c r="A73" s="9"/>
      <c r="B73" s="9"/>
      <c r="C73" s="9"/>
      <c r="D73" s="9"/>
      <c r="E73" s="10"/>
      <c r="F73" s="10"/>
      <c r="G73" s="9"/>
      <c r="H73" s="10"/>
      <c r="I73" s="10">
        <f t="shared" si="1"/>
        <v>0</v>
      </c>
      <c r="J73" s="9"/>
      <c r="K73" s="9"/>
      <c r="L73" s="9"/>
    </row>
    <row r="74" s="1" customFormat="1" customHeight="1" spans="1:12">
      <c r="A74" s="9"/>
      <c r="B74" s="9"/>
      <c r="C74" s="9"/>
      <c r="D74" s="9"/>
      <c r="E74" s="10"/>
      <c r="F74" s="10"/>
      <c r="G74" s="9"/>
      <c r="H74" s="10"/>
      <c r="I74" s="10">
        <f t="shared" si="1"/>
        <v>0</v>
      </c>
      <c r="J74" s="9"/>
      <c r="K74" s="9"/>
      <c r="L74" s="9"/>
    </row>
    <row r="75" s="1" customFormat="1" customHeight="1" spans="1:12">
      <c r="A75" s="9"/>
      <c r="B75" s="9"/>
      <c r="C75" s="9"/>
      <c r="D75" s="9"/>
      <c r="E75" s="10"/>
      <c r="F75" s="10"/>
      <c r="G75" s="9"/>
      <c r="H75" s="10"/>
      <c r="I75" s="10">
        <f t="shared" si="1"/>
        <v>0</v>
      </c>
      <c r="J75" s="9"/>
      <c r="K75" s="9"/>
      <c r="L75" s="9"/>
    </row>
    <row r="76" s="1" customFormat="1" customHeight="1" spans="1:12">
      <c r="A76" s="9"/>
      <c r="B76" s="9"/>
      <c r="C76" s="9"/>
      <c r="D76" s="9"/>
      <c r="E76" s="10"/>
      <c r="F76" s="10"/>
      <c r="G76" s="9"/>
      <c r="H76" s="10"/>
      <c r="I76" s="10">
        <f t="shared" si="1"/>
        <v>0</v>
      </c>
      <c r="J76" s="9"/>
      <c r="K76" s="9"/>
      <c r="L76" s="9"/>
    </row>
    <row r="77" s="1" customFormat="1" customHeight="1" spans="1:12">
      <c r="A77" s="9"/>
      <c r="B77" s="9"/>
      <c r="C77" s="9"/>
      <c r="D77" s="9"/>
      <c r="E77" s="10"/>
      <c r="F77" s="10"/>
      <c r="G77" s="9"/>
      <c r="H77" s="10"/>
      <c r="I77" s="10">
        <f t="shared" si="1"/>
        <v>0</v>
      </c>
      <c r="J77" s="9"/>
      <c r="K77" s="9"/>
      <c r="L77" s="9"/>
    </row>
    <row r="78" s="1" customFormat="1" customHeight="1" spans="1:12">
      <c r="A78" s="9"/>
      <c r="B78" s="9"/>
      <c r="C78" s="9"/>
      <c r="D78" s="9"/>
      <c r="E78" s="10"/>
      <c r="F78" s="10"/>
      <c r="G78" s="9"/>
      <c r="H78" s="10"/>
      <c r="I78" s="10">
        <f t="shared" si="1"/>
        <v>0</v>
      </c>
      <c r="J78" s="9"/>
      <c r="K78" s="9"/>
      <c r="L78" s="9"/>
    </row>
    <row r="79" s="1" customFormat="1" customHeight="1" spans="1:12">
      <c r="A79" s="9"/>
      <c r="B79" s="9"/>
      <c r="C79" s="9"/>
      <c r="D79" s="9"/>
      <c r="E79" s="10"/>
      <c r="F79" s="10"/>
      <c r="G79" s="9"/>
      <c r="H79" s="10"/>
      <c r="I79" s="10">
        <f t="shared" si="1"/>
        <v>0</v>
      </c>
      <c r="J79" s="9"/>
      <c r="K79" s="9"/>
      <c r="L79" s="9"/>
    </row>
    <row r="80" s="1" customFormat="1" customHeight="1" spans="1:12">
      <c r="A80" s="9"/>
      <c r="B80" s="9"/>
      <c r="C80" s="9"/>
      <c r="D80" s="9"/>
      <c r="E80" s="10"/>
      <c r="F80" s="10"/>
      <c r="G80" s="9"/>
      <c r="H80" s="10"/>
      <c r="I80" s="10">
        <f t="shared" si="1"/>
        <v>0</v>
      </c>
      <c r="J80" s="9"/>
      <c r="K80" s="9"/>
      <c r="L80" s="9"/>
    </row>
    <row r="81" s="1" customFormat="1" customHeight="1" spans="1:12">
      <c r="A81" s="9"/>
      <c r="B81" s="9"/>
      <c r="C81" s="9"/>
      <c r="D81" s="9"/>
      <c r="E81" s="10"/>
      <c r="F81" s="10"/>
      <c r="G81" s="9"/>
      <c r="H81" s="10"/>
      <c r="I81" s="10">
        <f t="shared" si="1"/>
        <v>0</v>
      </c>
      <c r="J81" s="9"/>
      <c r="K81" s="9"/>
      <c r="L81" s="9"/>
    </row>
    <row r="82" s="1" customFormat="1" customHeight="1" spans="1:12">
      <c r="A82" s="9"/>
      <c r="B82" s="9"/>
      <c r="C82" s="9"/>
      <c r="D82" s="9"/>
      <c r="E82" s="10"/>
      <c r="F82" s="10"/>
      <c r="G82" s="9"/>
      <c r="H82" s="10"/>
      <c r="I82" s="10">
        <f t="shared" si="1"/>
        <v>0</v>
      </c>
      <c r="J82" s="9"/>
      <c r="K82" s="9"/>
      <c r="L82" s="9"/>
    </row>
    <row r="83" s="1" customFormat="1" customHeight="1" spans="1:12">
      <c r="A83" s="9"/>
      <c r="B83" s="9"/>
      <c r="C83" s="9"/>
      <c r="D83" s="9"/>
      <c r="E83" s="10"/>
      <c r="F83" s="10"/>
      <c r="G83" s="9"/>
      <c r="H83" s="10"/>
      <c r="I83" s="10">
        <f t="shared" si="1"/>
        <v>0</v>
      </c>
      <c r="J83" s="9"/>
      <c r="K83" s="9"/>
      <c r="L83" s="9"/>
    </row>
    <row r="84" s="1" customFormat="1" customHeight="1" spans="1:12">
      <c r="A84" s="9"/>
      <c r="B84" s="9"/>
      <c r="C84" s="9"/>
      <c r="D84" s="9"/>
      <c r="E84" s="10"/>
      <c r="F84" s="10"/>
      <c r="G84" s="9"/>
      <c r="H84" s="10"/>
      <c r="I84" s="10">
        <f t="shared" si="1"/>
        <v>0</v>
      </c>
      <c r="J84" s="9"/>
      <c r="K84" s="9"/>
      <c r="L84" s="9"/>
    </row>
    <row r="85" s="1" customFormat="1" customHeight="1" spans="1:12">
      <c r="A85" s="9"/>
      <c r="B85" s="9"/>
      <c r="C85" s="9"/>
      <c r="D85" s="9"/>
      <c r="E85" s="10"/>
      <c r="F85" s="10"/>
      <c r="G85" s="9"/>
      <c r="H85" s="10"/>
      <c r="I85" s="10">
        <f t="shared" si="1"/>
        <v>0</v>
      </c>
      <c r="J85" s="9"/>
      <c r="K85" s="9"/>
      <c r="L85" s="9"/>
    </row>
    <row r="86" s="1" customFormat="1" customHeight="1" spans="1:12">
      <c r="A86" s="9"/>
      <c r="B86" s="9"/>
      <c r="C86" s="9"/>
      <c r="D86" s="9"/>
      <c r="E86" s="10"/>
      <c r="F86" s="10"/>
      <c r="G86" s="9"/>
      <c r="H86" s="10"/>
      <c r="I86" s="10">
        <f t="shared" si="1"/>
        <v>0</v>
      </c>
      <c r="J86" s="9"/>
      <c r="K86" s="9"/>
      <c r="L86" s="9"/>
    </row>
    <row r="87" s="1" customFormat="1" customHeight="1" spans="1:12">
      <c r="A87" s="9"/>
      <c r="B87" s="9"/>
      <c r="C87" s="9"/>
      <c r="D87" s="9"/>
      <c r="E87" s="10"/>
      <c r="F87" s="10"/>
      <c r="G87" s="9"/>
      <c r="H87" s="10"/>
      <c r="I87" s="10">
        <f t="shared" si="1"/>
        <v>0</v>
      </c>
      <c r="J87" s="9"/>
      <c r="K87" s="9"/>
      <c r="L87" s="9"/>
    </row>
    <row r="88" s="1" customFormat="1" customHeight="1" spans="1:12">
      <c r="A88" s="9"/>
      <c r="B88" s="9"/>
      <c r="C88" s="9"/>
      <c r="D88" s="9"/>
      <c r="E88" s="10"/>
      <c r="F88" s="10"/>
      <c r="G88" s="9"/>
      <c r="H88" s="10"/>
      <c r="I88" s="10">
        <f t="shared" si="1"/>
        <v>0</v>
      </c>
      <c r="J88" s="9"/>
      <c r="K88" s="9"/>
      <c r="L88" s="9"/>
    </row>
    <row r="89" s="1" customFormat="1" customHeight="1" spans="1:12">
      <c r="A89" s="9"/>
      <c r="B89" s="9"/>
      <c r="C89" s="9"/>
      <c r="D89" s="9"/>
      <c r="E89" s="10"/>
      <c r="F89" s="10"/>
      <c r="G89" s="9"/>
      <c r="H89" s="10"/>
      <c r="I89" s="10">
        <f t="shared" si="1"/>
        <v>0</v>
      </c>
      <c r="J89" s="9"/>
      <c r="K89" s="9"/>
      <c r="L89" s="9"/>
    </row>
    <row r="90" s="1" customFormat="1" customHeight="1" spans="1:12">
      <c r="A90" s="9"/>
      <c r="B90" s="9"/>
      <c r="C90" s="9"/>
      <c r="D90" s="9"/>
      <c r="E90" s="10"/>
      <c r="F90" s="10"/>
      <c r="G90" s="9"/>
      <c r="H90" s="10"/>
      <c r="I90" s="10">
        <f t="shared" si="1"/>
        <v>0</v>
      </c>
      <c r="J90" s="9"/>
      <c r="K90" s="9"/>
      <c r="L90" s="9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聂辉报销明细</vt:lpstr>
      <vt:lpstr>26年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清禾知晏</cp:lastModifiedBy>
  <dcterms:created xsi:type="dcterms:W3CDTF">2023-05-12T11:15:00Z</dcterms:created>
  <dcterms:modified xsi:type="dcterms:W3CDTF">2026-10-09T00:10:41Z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E09C7155CD434890B6ADC2C84B5416B9_12</vt:lpwstr>
  </property>
  <property fmtid="{D5CDD505-2E9C-101B-9397-08002B2CF9AE}" pid="4" name="CalculationRule">
    <vt:i4>0</vt:i4>
  </property>
</Properties>
</file>