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1925"/>
  </bookViews>
  <sheets>
    <sheet name="收支登记表" sheetId="1" r:id="rId1"/>
  </sheets>
  <externalReferences>
    <externalReference r:id="rId2"/>
  </externalReferences>
  <definedNames>
    <definedName name="_xlnm._FilterDatabase" localSheetId="0" hidden="1">收支登记表!$D$7:$S$5161</definedName>
    <definedName name="采购合同号">OFFSET([1]采购合同!$E$6,,,COUNTA([1]采购合同!$E$6:$E$2000))</definedName>
    <definedName name="发票">OFFSET([1]基础信息!$W$6,,,COUNTA([1]基础信息!$W$4:$W$50))</definedName>
    <definedName name="工程项目">OFFSET([1]基础信息!$Q$6,,,COUNTA([1]基础信息!$Q$6:$Q$1000))</definedName>
    <definedName name="供应商">OFFSET([1]基础信息!$U$6,,,COUNTA([1]基础信息!$U$4:$U$2000))</definedName>
    <definedName name="客户">OFFSET([1]基础信息!$T$6,,,COUNTA([1]基础信息!$T$4:$T$2000))</definedName>
    <definedName name="日期">OFFSET(收支登记表!$D$8,,,COUNTA(收支登记表!$D:$D))</definedName>
    <definedName name="收入">[1]基础信息!$G$6:$G$100</definedName>
    <definedName name="税率">[1]基础信息!$Y$6:$Y$20</definedName>
    <definedName name="销售合同号">OFFSET([1]销售合同!$E$6,,,COUNTA([1]销售合同!$E$6:$E$2000))</definedName>
    <definedName name="员工">OFFSET([1]基础信息!$N$6,,,COUNTA([1]基础信息!$N$4:$N$2000))</definedName>
    <definedName name="账户">OFFSET([1]基础信息!$B$6,,,COUNTA([1]基础信息!$B$4:$B$100))</definedName>
    <definedName name="支出">[1]基础信息!$I$6:$I$100</definedName>
    <definedName name="_xlnm.Print_Area" localSheetId="0">收支登记表!$D:$M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<sst xmlns="http://schemas.openxmlformats.org/spreadsheetml/2006/main" count="6198" uniqueCount="573">
  <si>
    <t>收支登记</t>
  </si>
  <si>
    <t>收入总金额</t>
  </si>
  <si>
    <t>支出总金额</t>
  </si>
  <si>
    <t>收支盈亏</t>
  </si>
  <si>
    <t>客户查询</t>
  </si>
  <si>
    <t>王先生</t>
  </si>
  <si>
    <t>收款金额</t>
  </si>
  <si>
    <t>供应商查询</t>
  </si>
  <si>
    <t>宁波凯瑞</t>
  </si>
  <si>
    <t>付款金额</t>
  </si>
  <si>
    <t>日期</t>
  </si>
  <si>
    <t>凭证号</t>
  </si>
  <si>
    <t>类别</t>
  </si>
  <si>
    <t>账户</t>
  </si>
  <si>
    <t>收支项目</t>
  </si>
  <si>
    <t>业务摘要</t>
  </si>
  <si>
    <t>收入金额</t>
  </si>
  <si>
    <t>支出金额</t>
  </si>
  <si>
    <t>账户结余</t>
  </si>
  <si>
    <t>项目名称</t>
  </si>
  <si>
    <t>负责人</t>
  </si>
  <si>
    <t>客户名称</t>
  </si>
  <si>
    <t>供应商名称</t>
  </si>
  <si>
    <t>销售合同</t>
  </si>
  <si>
    <t>采购合同</t>
  </si>
  <si>
    <t>备注</t>
  </si>
  <si>
    <t>支出</t>
  </si>
  <si>
    <t>九江银行</t>
  </si>
  <si>
    <t>个人借款-聂辉</t>
  </si>
  <si>
    <t>聂辉个人借款</t>
  </si>
  <si>
    <t>个人借款</t>
  </si>
  <si>
    <t>聂辉</t>
  </si>
  <si>
    <t>江西省城市建设高级技术学校</t>
  </si>
  <si>
    <t>办公室-办公费</t>
  </si>
  <si>
    <t>入息</t>
  </si>
  <si>
    <t>办公室</t>
  </si>
  <si>
    <t>聂辉交项目保证金</t>
  </si>
  <si>
    <t>项目-保证金</t>
  </si>
  <si>
    <t>保证金</t>
  </si>
  <si>
    <t>九江欣埠置业有限公司</t>
  </si>
  <si>
    <t>对公跨行汇款费</t>
  </si>
  <si>
    <t>隆世光伏/共青办公楼/德祥工地</t>
  </si>
  <si>
    <t>收入</t>
  </si>
  <si>
    <t>工程款</t>
  </si>
  <si>
    <t>收到劳务费</t>
  </si>
  <si>
    <t>温州盛为装饰工程有限公司</t>
  </si>
  <si>
    <t>项目-劳务费</t>
  </si>
  <si>
    <t>张小朋</t>
  </si>
  <si>
    <t>张亮亮</t>
  </si>
  <si>
    <t>刘洪文</t>
  </si>
  <si>
    <t>张国平</t>
  </si>
  <si>
    <t>彭雪亮</t>
  </si>
  <si>
    <t>张启红</t>
  </si>
  <si>
    <t>办公室-工资</t>
  </si>
  <si>
    <t>解伟康的赔款</t>
  </si>
  <si>
    <t>中国平安财产保险股份有限公司广东分公司</t>
  </si>
  <si>
    <t>张传喜奖金</t>
  </si>
  <si>
    <t>张小朋奖金</t>
  </si>
  <si>
    <t>项目-期间费</t>
  </si>
  <si>
    <t>支付保险费</t>
  </si>
  <si>
    <t>隆世光伏/共青办公楼/德祥工地工程款</t>
  </si>
  <si>
    <t>共青农商行</t>
  </si>
  <si>
    <t>项目-材料费</t>
  </si>
  <si>
    <t>付熊总材料费</t>
  </si>
  <si>
    <t>德安小熊平价钢材店</t>
  </si>
  <si>
    <t>叶焰平</t>
  </si>
  <si>
    <t>何正拥</t>
  </si>
  <si>
    <t>李金平</t>
  </si>
  <si>
    <t>吴志刚</t>
  </si>
  <si>
    <t>成峰</t>
  </si>
  <si>
    <t>何正辉</t>
  </si>
  <si>
    <t>梅时金</t>
  </si>
  <si>
    <t>余水明</t>
  </si>
  <si>
    <t>李银华</t>
  </si>
  <si>
    <t>邓付贞</t>
  </si>
  <si>
    <t>邓石平</t>
  </si>
  <si>
    <t>雷有才</t>
  </si>
  <si>
    <t>王刚</t>
  </si>
  <si>
    <t>金李平</t>
  </si>
  <si>
    <t>消防材料款</t>
  </si>
  <si>
    <t>四川久远智能消防设备有限责任公司</t>
  </si>
  <si>
    <t>员工培训费</t>
  </si>
  <si>
    <t>江西省建安企服通商务咨询有限公司</t>
  </si>
  <si>
    <t>税款</t>
  </si>
  <si>
    <t>缴税款</t>
  </si>
  <si>
    <t>刘海</t>
  </si>
  <si>
    <t>王小刚</t>
  </si>
  <si>
    <t>退回保证金</t>
  </si>
  <si>
    <t>还聂辉个人借款（剩余800000）</t>
  </si>
  <si>
    <t>还聂辉个人借款（剩余310000）</t>
  </si>
  <si>
    <t>西湖区荣晟消防设备营销中心</t>
  </si>
  <si>
    <t>还聂辉个人借款（剩余215000）</t>
  </si>
  <si>
    <t>王伟</t>
  </si>
  <si>
    <t>袁健冬</t>
  </si>
  <si>
    <t>叶炳南</t>
  </si>
  <si>
    <t>杨贤</t>
  </si>
  <si>
    <t>吴长友</t>
  </si>
  <si>
    <t>吴璇</t>
  </si>
  <si>
    <t>张滨</t>
  </si>
  <si>
    <t>服务费</t>
  </si>
  <si>
    <t>北京万账房评估有限公司-上海分公司</t>
  </si>
  <si>
    <t>企业UKEY年费</t>
  </si>
  <si>
    <t>共青办公楼工程款</t>
  </si>
  <si>
    <t>服务费❌️</t>
  </si>
  <si>
    <t>公诚管理咨询有限公司</t>
  </si>
  <si>
    <t>贺琴</t>
  </si>
  <si>
    <t>鑫城五金庄总-材料款</t>
  </si>
  <si>
    <t>德安县鑫城五金店</t>
  </si>
  <si>
    <t>往来款</t>
  </si>
  <si>
    <t>江西赣粤高速公路工程有限责任公司</t>
  </si>
  <si>
    <t>江西瑞航工程劳务服务有限公司</t>
  </si>
  <si>
    <t>赣州项目缴税款</t>
  </si>
  <si>
    <t>赣粤工程款</t>
  </si>
  <si>
    <t>赣粤材料费</t>
  </si>
  <si>
    <t>江西柯源建材有限公司</t>
  </si>
  <si>
    <t>项目-机械费</t>
  </si>
  <si>
    <t>江西安邦设备租赁有限公司</t>
  </si>
  <si>
    <t>张成意</t>
  </si>
  <si>
    <t>邹杨新</t>
  </si>
  <si>
    <t>刘安</t>
  </si>
  <si>
    <t>绿谷嘉园材料款</t>
  </si>
  <si>
    <t>九安架空层</t>
  </si>
  <si>
    <t>江西筑强建材有限公司</t>
  </si>
  <si>
    <t>福晟官邸材料款</t>
  </si>
  <si>
    <t>慧算账代账年费</t>
  </si>
  <si>
    <t>张滨微信</t>
  </si>
  <si>
    <t>星辰宾馆</t>
  </si>
  <si>
    <t>梅秀刚</t>
  </si>
  <si>
    <t>❌</t>
  </si>
  <si>
    <t>梅冰原</t>
  </si>
  <si>
    <t>闵清林</t>
  </si>
  <si>
    <t>袁斌财</t>
  </si>
  <si>
    <t>金南水</t>
  </si>
  <si>
    <t>赵大学</t>
  </si>
  <si>
    <t>郑通文</t>
  </si>
  <si>
    <t>王克松</t>
  </si>
  <si>
    <t>闵杨孝</t>
  </si>
  <si>
    <t>梅卉</t>
  </si>
  <si>
    <t>项目-分包</t>
  </si>
  <si>
    <t>徐怀生分包-向大友</t>
  </si>
  <si>
    <t>向大友</t>
  </si>
  <si>
    <t>徐怀生分包-谭晓华</t>
  </si>
  <si>
    <t>谭晓华</t>
  </si>
  <si>
    <t>徐怀生分包-江跃飞</t>
  </si>
  <si>
    <t>江跃飞</t>
  </si>
  <si>
    <t>徐怀生分包-孔令红</t>
  </si>
  <si>
    <t>孔令红</t>
  </si>
  <si>
    <t>徐怀生分包-刘亚林</t>
  </si>
  <si>
    <t>刘亚林</t>
  </si>
  <si>
    <t>德养工程款</t>
  </si>
  <si>
    <t>德安县养老中心</t>
  </si>
  <si>
    <t>九江浔辉建筑工程有限公司</t>
  </si>
  <si>
    <t>温州冠林物资-镀锌管材料款</t>
  </si>
  <si>
    <t>温州冠林物资有限公司</t>
  </si>
  <si>
    <t>温州创泰-电线款</t>
  </si>
  <si>
    <t>温州创泰电气设备有限公司</t>
  </si>
  <si>
    <t>陈嘉陵</t>
  </si>
  <si>
    <t>张淑平</t>
  </si>
  <si>
    <t>杭风通风设备</t>
  </si>
  <si>
    <t>浙江杭风通风设备有限公司</t>
  </si>
  <si>
    <t>汇款手续费</t>
  </si>
  <si>
    <t>徐怀生分包-徐怀生</t>
  </si>
  <si>
    <t>徐怀生</t>
  </si>
  <si>
    <t>安洋钢材-材料款</t>
  </si>
  <si>
    <t>九江安洋钢材销售有限公司</t>
  </si>
  <si>
    <t>资溪两山工程咨询-服务费</t>
  </si>
  <si>
    <t>抚州资溪养老基地1号楼</t>
  </si>
  <si>
    <t>资溪两山工程咨询有限责任公司</t>
  </si>
  <si>
    <t>张滨-备用金❌</t>
  </si>
  <si>
    <t>聂辉建行6680</t>
  </si>
  <si>
    <t>收款账户-李美坚工商3928</t>
  </si>
  <si>
    <t>竣辉企业所得税</t>
  </si>
  <si>
    <t>平安保险费</t>
  </si>
  <si>
    <t>严程装监控</t>
  </si>
  <si>
    <t>孙总鞋厂</t>
  </si>
  <si>
    <t>跃池建材</t>
  </si>
  <si>
    <t>江西跃池建材有限公司</t>
  </si>
  <si>
    <t>天闽消防科技-消防材料</t>
  </si>
  <si>
    <t>江西天闽消防科技有限公司</t>
  </si>
  <si>
    <t>雷友才</t>
  </si>
  <si>
    <t>张滨报销款（票未到）</t>
  </si>
  <si>
    <t>抚州预缴税</t>
  </si>
  <si>
    <t>抚州1号楼工程款</t>
  </si>
  <si>
    <t>江西揽之建设工程有限公司</t>
  </si>
  <si>
    <t>河南众贝源管</t>
  </si>
  <si>
    <t>河南省众贝源管道制造有限公司</t>
  </si>
  <si>
    <t>恩旗老叶分包-劳务费</t>
  </si>
  <si>
    <t>九江恩旗暖通设备有限公司</t>
  </si>
  <si>
    <t>筑强材料款</t>
  </si>
  <si>
    <t>赣粤高速公路工程款</t>
  </si>
  <si>
    <t>迈腾建筑工程有限公司</t>
  </si>
  <si>
    <t>王伟报销款（票未到）</t>
  </si>
  <si>
    <t>浙江尚杰建材</t>
  </si>
  <si>
    <t>浙江尚杰建材有限公司</t>
  </si>
  <si>
    <t>江西安迪消防器材有限公司</t>
  </si>
  <si>
    <t>柯源建材</t>
  </si>
  <si>
    <t>钱超挖沟，破路</t>
  </si>
  <si>
    <t>王纲火泥水修补工资</t>
  </si>
  <si>
    <t>何正佣</t>
  </si>
  <si>
    <t>烟酒招待款-刘福珍</t>
  </si>
  <si>
    <t>刘福珍</t>
  </si>
  <si>
    <t>徐从国</t>
  </si>
  <si>
    <t>湖北鄂缆电缆</t>
  </si>
  <si>
    <t>湖北鄂缆电缆有限公司</t>
  </si>
  <si>
    <t>个人借款-张淑平</t>
  </si>
  <si>
    <t>张淑平个人借款</t>
  </si>
  <si>
    <t>德安县科创中心</t>
  </si>
  <si>
    <t>恩旗老叶分包-材料款</t>
  </si>
  <si>
    <t>南昌吉易通通风设备有限公司</t>
  </si>
  <si>
    <t>周丽丽水压机款</t>
  </si>
  <si>
    <t>周丽丽</t>
  </si>
  <si>
    <t>喷淋材料款</t>
  </si>
  <si>
    <t>杭州行消物资贸易有限公司</t>
  </si>
  <si>
    <t>个人借款-王伟</t>
  </si>
  <si>
    <t>王伟个人借款</t>
  </si>
  <si>
    <t>共安门业-防火卷帘门材料款</t>
  </si>
  <si>
    <t>江西共安门业有限公司</t>
  </si>
  <si>
    <t>南昌盈厚建材-通风防火包裹材料款</t>
  </si>
  <si>
    <t>南昌盈厚建材有限公司</t>
  </si>
  <si>
    <t>江西图揽金属科技-抗震支架</t>
  </si>
  <si>
    <t>江西图揽金属科技有限公司</t>
  </si>
  <si>
    <t>科创中心工程款</t>
  </si>
  <si>
    <t>德安县市政工程公司</t>
  </si>
  <si>
    <t>共安门业-消防材料款</t>
  </si>
  <si>
    <t>江西允诺消防设备-风机设备款</t>
  </si>
  <si>
    <t>江西允诺消防设备有限公司</t>
  </si>
  <si>
    <t>江西成善科技-抗震支架</t>
  </si>
  <si>
    <t>江西成善科技有限公司</t>
  </si>
  <si>
    <t>龚文坚劳务费-龚文坚</t>
  </si>
  <si>
    <t>龚文坚</t>
  </si>
  <si>
    <t>江西日昌电缆-电线款</t>
  </si>
  <si>
    <t>江西日昌电缆有限公司</t>
  </si>
  <si>
    <t>洪杰预算工资</t>
  </si>
  <si>
    <t>陈松</t>
  </si>
  <si>
    <t>邹桥派出所保证金</t>
  </si>
  <si>
    <t>德安县邹桥派出所</t>
  </si>
  <si>
    <t>挖机台班费</t>
  </si>
  <si>
    <t>九江翌年行建筑工程劳务有限公司</t>
  </si>
  <si>
    <t>吴群分包-劳务费</t>
  </si>
  <si>
    <t>吴群</t>
  </si>
  <si>
    <t>邓德成</t>
  </si>
  <si>
    <t>九江中和安消防-设备款</t>
  </si>
  <si>
    <t>九江市中和安消防科技有限公司</t>
  </si>
  <si>
    <t>浙缆元通控股-电线款</t>
  </si>
  <si>
    <t>浙缆元通电缆控股有限公司</t>
  </si>
  <si>
    <t>上海诚果泵阀-消防泵</t>
  </si>
  <si>
    <t>上海诚果泵阀制造有限公司永嘉分公司</t>
  </si>
  <si>
    <t>瑞安中拓供水设备-水箱款</t>
  </si>
  <si>
    <t>瑞安市中拓供水设备有限公司</t>
  </si>
  <si>
    <t>胡子穹</t>
  </si>
  <si>
    <t>聂峰</t>
  </si>
  <si>
    <t>江西辰南贸易-消防材料款</t>
  </si>
  <si>
    <t>江西省辰南贸易有限公司</t>
  </si>
  <si>
    <t>华翔节能科技-消防材料款</t>
  </si>
  <si>
    <t>江西华翔节能科技有限公司</t>
  </si>
  <si>
    <t>南昌盈厚建材-暖通防火材料款</t>
  </si>
  <si>
    <t>样品费（待报销）</t>
  </si>
  <si>
    <t>湖北鄂缆电缆-电线款</t>
  </si>
  <si>
    <t>九江恒讯消防-设备款</t>
  </si>
  <si>
    <t>九江恒讯消防安装工程有限公司</t>
  </si>
  <si>
    <t>南昌盈厚建材-消防材料款</t>
  </si>
  <si>
    <t>王伟微信</t>
  </si>
  <si>
    <t>江西佩力通风-风机设备款</t>
  </si>
  <si>
    <t>江西佩力通风设备有限公司</t>
  </si>
  <si>
    <t>江西伦川科技-消防设备款</t>
  </si>
  <si>
    <t>江西伦川科技有限公司</t>
  </si>
  <si>
    <t>江西佩力通风-消防设备款</t>
  </si>
  <si>
    <t>祝冬冬分包-劳务费</t>
  </si>
  <si>
    <t>德安县数字产业园</t>
  </si>
  <si>
    <t>祝冬冬</t>
  </si>
  <si>
    <t>熊丽燕</t>
  </si>
  <si>
    <t>聂辉微信</t>
  </si>
  <si>
    <t>恩旗老叶分包-劳务费❌</t>
  </si>
  <si>
    <t>兰有富</t>
  </si>
  <si>
    <t>聂辉转王伟付老叶</t>
  </si>
  <si>
    <t>温州爱思强贸易有限公司</t>
  </si>
  <si>
    <t>筑强材料款-退聂辉</t>
  </si>
  <si>
    <t>四川久远智能消防-设备款</t>
  </si>
  <si>
    <t>四川久远智能消防设备有限公司</t>
  </si>
  <si>
    <t>农民工专户</t>
  </si>
  <si>
    <t>德养工程款-代发工资</t>
  </si>
  <si>
    <t>陈祖隆</t>
  </si>
  <si>
    <t>无考勤</t>
  </si>
  <si>
    <t>陈啟明</t>
  </si>
  <si>
    <t>蒋昌威</t>
  </si>
  <si>
    <t>消防泵材料款</t>
  </si>
  <si>
    <t>邓泽贵</t>
  </si>
  <si>
    <t>中国工商银行</t>
  </si>
  <si>
    <t>工程款-揽之贷款</t>
  </si>
  <si>
    <t>风机材料款</t>
  </si>
  <si>
    <t>朱总分包劳务费-朱模明</t>
  </si>
  <si>
    <t>朱总</t>
  </si>
  <si>
    <t>朱总分包劳务费-余乃年</t>
  </si>
  <si>
    <t>朱总分包劳务费-刘元龙</t>
  </si>
  <si>
    <t>朱总分包劳务费-曹桂兰</t>
  </si>
  <si>
    <t>朱总分包劳务费-桑昌勇</t>
  </si>
  <si>
    <t>朱总分包劳务费-李年付</t>
  </si>
  <si>
    <t>朱总分包劳务费-周玉兴</t>
  </si>
  <si>
    <t>还聂辉26年1月7日借款</t>
  </si>
  <si>
    <t>还聂辉26年1月4日借款</t>
  </si>
  <si>
    <t>跨行汇款手续费</t>
  </si>
  <si>
    <t>何正新</t>
  </si>
  <si>
    <t>梅宝华</t>
  </si>
  <si>
    <t>杨泽友</t>
  </si>
  <si>
    <t>闵期忠</t>
  </si>
  <si>
    <t>陈恭能</t>
  </si>
  <si>
    <t>李强</t>
  </si>
  <si>
    <t>龚文坚劳务费-邹阳</t>
  </si>
  <si>
    <t>龚文坚劳务费-邹陆艳</t>
  </si>
  <si>
    <t>胡家新</t>
  </si>
  <si>
    <t>王贤锦</t>
  </si>
  <si>
    <t>舒诗远</t>
  </si>
  <si>
    <t>万焕和</t>
  </si>
  <si>
    <t>五金工具</t>
  </si>
  <si>
    <t>德安县启航五金机电超市</t>
  </si>
  <si>
    <t>还王伟2025年11月23日借款</t>
  </si>
  <si>
    <t>印花税518.81+企业所得税6200.8</t>
  </si>
  <si>
    <t>抚州资溪养老基地8号楼</t>
  </si>
  <si>
    <t>还王伟2025年10月27日借款</t>
  </si>
  <si>
    <t>还聂辉2025年12月31日借款</t>
  </si>
  <si>
    <t>吴群分包劳务费-吴群</t>
  </si>
  <si>
    <t>吴聪分包-劳务费</t>
  </si>
  <si>
    <t>吴聪</t>
  </si>
  <si>
    <t>张洪华</t>
  </si>
  <si>
    <t>杨永刚</t>
  </si>
  <si>
    <t>陈小民</t>
  </si>
  <si>
    <t>庞灿生</t>
  </si>
  <si>
    <t>张小朋分包劳务费</t>
  </si>
  <si>
    <t>水箱材料费</t>
  </si>
  <si>
    <t>江西沐丰供水设备有限公司</t>
  </si>
  <si>
    <t>阀门井盖款</t>
  </si>
  <si>
    <t>德安县远达建材店</t>
  </si>
  <si>
    <t>还王伟2025年11月26日借款</t>
  </si>
  <si>
    <t>汽车服务费❌️</t>
  </si>
  <si>
    <t>德安县拓客汽车服务有限公司</t>
  </si>
  <si>
    <t>草种子❌️</t>
  </si>
  <si>
    <t>江苏野春种业有限公司</t>
  </si>
  <si>
    <t>赣州预缴税</t>
  </si>
  <si>
    <t>瑞金项目劳务费</t>
  </si>
  <si>
    <t>九江迈腾建筑工程有限公司</t>
  </si>
  <si>
    <t>退税</t>
  </si>
  <si>
    <t>张滨支付宝</t>
  </si>
  <si>
    <t>抚州8号楼工程款</t>
  </si>
  <si>
    <t>数字经济产业园工程款</t>
  </si>
  <si>
    <t>江西中寰建筑装饰有限公司</t>
  </si>
  <si>
    <t>共安门业分包劳务费-徐礼华</t>
  </si>
  <si>
    <t>共安门业分包劳务费-高改兰</t>
  </si>
  <si>
    <t>共安门业分包劳务费-黄建全</t>
  </si>
  <si>
    <t>鑫城五金庄总-消防材料款</t>
  </si>
  <si>
    <t>两笔合计11万</t>
  </si>
  <si>
    <t>浙江寅盾智能消防有限公司</t>
  </si>
  <si>
    <t>龚文坚劳务费-罗来彬</t>
  </si>
  <si>
    <t>龚文坚劳务费-罗腾</t>
  </si>
  <si>
    <t>龚文坚劳务费-毛伟</t>
  </si>
  <si>
    <t>龚文坚劳务费-陈亚平</t>
  </si>
  <si>
    <t>龚文坚劳务费-金胜华</t>
  </si>
  <si>
    <t>龚文坚劳务费-张先峰</t>
  </si>
  <si>
    <t>龚文坚劳务费-龚长英</t>
  </si>
  <si>
    <t>龚文坚劳务费-张彭生</t>
  </si>
  <si>
    <t>龚文坚劳务费-金善洪</t>
  </si>
  <si>
    <t>龚文坚劳务费-罗峰</t>
  </si>
  <si>
    <t>龚文坚劳务费-邹满清</t>
  </si>
  <si>
    <t>龚文坚劳务费-金芳雷</t>
  </si>
  <si>
    <t>龚文坚劳务费-胡志鹏</t>
  </si>
  <si>
    <t>龚文坚劳务费-刘志华</t>
  </si>
  <si>
    <t>龚文坚劳务费-付春平</t>
  </si>
  <si>
    <t>龚文坚劳务费-陈长江</t>
  </si>
  <si>
    <t>杨新星</t>
  </si>
  <si>
    <t>抚州资溪养老基地1号缕</t>
  </si>
  <si>
    <t>九安账户</t>
  </si>
  <si>
    <t>筑强材料款-退爱思强</t>
  </si>
  <si>
    <t>九安工程款-代发工资</t>
  </si>
  <si>
    <t>舒本荣</t>
  </si>
  <si>
    <t>王先礼</t>
  </si>
  <si>
    <t>钱超</t>
  </si>
  <si>
    <t>项目预算费-洪杰</t>
  </si>
  <si>
    <t>朱总分包劳务费-孔凯</t>
  </si>
  <si>
    <t>朱总分包劳务费-孔祥生</t>
  </si>
  <si>
    <t>油漆工-朱金里❌</t>
  </si>
  <si>
    <t>油漆工-梅景枝❌</t>
  </si>
  <si>
    <t>油漆工-徐文元❌</t>
  </si>
  <si>
    <t>油漆工-张友论❌</t>
  </si>
  <si>
    <t>程章赐消电分包</t>
  </si>
  <si>
    <t>恩旗老叶分包劳务费-于月财❌</t>
  </si>
  <si>
    <t>恩旗老叶分包劳务费-潘希火❌</t>
  </si>
  <si>
    <t>叶焰平报销款</t>
  </si>
  <si>
    <t>安南五金和启航五金</t>
  </si>
  <si>
    <t>潘力</t>
  </si>
  <si>
    <t>刘剑分包劳务费-陈雪寅❌</t>
  </si>
  <si>
    <t>潘拥</t>
  </si>
  <si>
    <t>魏建民</t>
  </si>
  <si>
    <t>姚汉舟</t>
  </si>
  <si>
    <t>周国安</t>
  </si>
  <si>
    <t>开孔-胡光友</t>
  </si>
  <si>
    <t>严程</t>
  </si>
  <si>
    <t>梅秀刚-补贴2851</t>
  </si>
  <si>
    <t>科创中心修路灯</t>
  </si>
  <si>
    <t>德安县共安机电配件销售中心</t>
  </si>
  <si>
    <t>机械租赁款</t>
  </si>
  <si>
    <t>湖南开工智合数字技术有限公司</t>
  </si>
  <si>
    <t>中国农业银行</t>
  </si>
  <si>
    <t>农行-本金</t>
  </si>
  <si>
    <t>贷款</t>
  </si>
  <si>
    <t>共安门业分包-材料款</t>
  </si>
  <si>
    <t>付上笔11800转账手续费</t>
  </si>
  <si>
    <t>付上笔2992转账手续费</t>
  </si>
  <si>
    <t>还聂辉2025年12月22日借款</t>
  </si>
  <si>
    <t>江西拓齐钢铁有限公司</t>
  </si>
  <si>
    <t>付上笔50000转账手续费</t>
  </si>
  <si>
    <t>祝冬冬分包-通风材料款</t>
  </si>
  <si>
    <t>电子税务局下载完税证明</t>
  </si>
  <si>
    <t>挡烟垂壁材料款</t>
  </si>
  <si>
    <t>南昌航卓建材装鉓有限公司</t>
  </si>
  <si>
    <t>通风材料款</t>
  </si>
  <si>
    <t>还王伟2025年11月11日借款</t>
  </si>
  <si>
    <t>华翔电缆桥架款</t>
  </si>
  <si>
    <t>共安门业-挡烟垂壁材料款</t>
  </si>
  <si>
    <t>还聂辉2025年11月30日借款</t>
  </si>
  <si>
    <t>还聂辉2025年12月5日借款</t>
  </si>
  <si>
    <t>付上笔5000转账手续费</t>
  </si>
  <si>
    <t>欠费补缴</t>
  </si>
  <si>
    <t>朱博文社保费</t>
  </si>
  <si>
    <t>朱博文</t>
  </si>
  <si>
    <t>税局</t>
  </si>
  <si>
    <t>人才咨询服务费</t>
  </si>
  <si>
    <t>江西建莱企业服务有限公司</t>
  </si>
  <si>
    <t>吴山政府移民项目</t>
  </si>
  <si>
    <t>吴山政府项目</t>
  </si>
  <si>
    <t>德安县水利水电建筑工程有限公司</t>
  </si>
  <si>
    <t>气体灭火装置材料款</t>
  </si>
  <si>
    <t>江西银枫消防科技有限公司</t>
  </si>
  <si>
    <t>江西弘文消防科技有限公司</t>
  </si>
  <si>
    <t>还聂辉个人借款</t>
  </si>
  <si>
    <t>吴群分包劳务费-向勇</t>
  </si>
  <si>
    <t>税金及附加-印花税</t>
  </si>
  <si>
    <t>农行-利息</t>
  </si>
  <si>
    <t>还贷款利息</t>
  </si>
  <si>
    <t>企业网银年服务费</t>
  </si>
  <si>
    <t>对公结算账户维护</t>
  </si>
  <si>
    <t>其他应收款-代扣社保</t>
  </si>
  <si>
    <t>姚俊强社保费</t>
  </si>
  <si>
    <t>姚俊强</t>
  </si>
  <si>
    <t>抚州8号楼工程款-代发工资</t>
  </si>
  <si>
    <t>龚文坚劳务费-陈常青</t>
  </si>
  <si>
    <t>龚文坚劳务费-杨春波</t>
  </si>
  <si>
    <t>龚文坚劳务费-汪友明</t>
  </si>
  <si>
    <t>龚文坚劳务费-王伟</t>
  </si>
  <si>
    <t>龚文坚劳务费-王婉琳</t>
  </si>
  <si>
    <t>龚文坚劳务费-金长将</t>
  </si>
  <si>
    <t>此款转黄健全个人</t>
  </si>
  <si>
    <t>广东坚宝-电线款</t>
  </si>
  <si>
    <t>广东坚宝电缆有限公司</t>
  </si>
  <si>
    <t>购酒款</t>
  </si>
  <si>
    <t>咸宁群泰销售有限公司</t>
  </si>
  <si>
    <t>抚州8号楼异地预缴税</t>
  </si>
  <si>
    <t>抚州8号楼预缴企业所得税</t>
  </si>
  <si>
    <t>代缴员工个税4月</t>
  </si>
  <si>
    <t>叶炳南（3月8000，4月7800）</t>
  </si>
  <si>
    <t>金南水（3月6000，4月9800）</t>
  </si>
  <si>
    <t>吴志刚（3月6000，4月9800）</t>
  </si>
  <si>
    <t>叶焰平（3月6500，4月9800）</t>
  </si>
  <si>
    <t>张滨（3月7200，4月8600）</t>
  </si>
  <si>
    <t>袁斌财（3月8800，4月7000）</t>
  </si>
  <si>
    <t>叶焰平退回</t>
  </si>
  <si>
    <t>金南水退回</t>
  </si>
  <si>
    <t>吴志刚退回</t>
  </si>
  <si>
    <t>叶炳南退回</t>
  </si>
  <si>
    <t>张滨退回</t>
  </si>
  <si>
    <t>袁斌财退回</t>
  </si>
  <si>
    <t>防排烟材料</t>
  </si>
  <si>
    <t>中寰食品加工园投标保证金</t>
  </si>
  <si>
    <t>支付结算款</t>
  </si>
  <si>
    <t>九江财小保代账服务费</t>
  </si>
  <si>
    <t xml:space="preserve">九江财小保企业服务有限公司 </t>
  </si>
  <si>
    <t>汽车空调压缩机维修费</t>
  </si>
  <si>
    <t>德安县诚信修车店</t>
  </si>
  <si>
    <t>朱博文4月份工资</t>
  </si>
  <si>
    <t>朱博文5月份工资</t>
  </si>
  <si>
    <t>邹桥派出所桥架款</t>
  </si>
  <si>
    <t>南昌市西湖区联信大市场敏芬电缆器材经营部</t>
  </si>
  <si>
    <t>员工聚餐</t>
  </si>
  <si>
    <t>德安县斯途餐饮店</t>
  </si>
  <si>
    <t>邹桥派出所检测报告</t>
  </si>
  <si>
    <t>江西安帆消防技术有限公司</t>
  </si>
  <si>
    <t>室外消防阀门井盖</t>
  </si>
  <si>
    <t>隆世光伏检测报告</t>
  </si>
  <si>
    <t>隆世光伏</t>
  </si>
  <si>
    <t>平安保险费退回</t>
  </si>
  <si>
    <t>中国平安保险股份有限公司</t>
  </si>
  <si>
    <t>邹桥工程款-代发工资</t>
  </si>
  <si>
    <t>个人借款-张滨</t>
  </si>
  <si>
    <t>张滨个人借款（支付贷款利息）</t>
  </si>
  <si>
    <t>张滨转入</t>
  </si>
  <si>
    <t>支付贷款利息</t>
  </si>
  <si>
    <t>德养工程款-承兑汇票</t>
  </si>
  <si>
    <t>九江银行-利息</t>
  </si>
  <si>
    <t>支付承兑汇票利息</t>
  </si>
  <si>
    <t>支付启航材料费</t>
  </si>
  <si>
    <t>公司门头装修费</t>
  </si>
  <si>
    <t>德安县小张装饰店</t>
  </si>
  <si>
    <t>浔阳楼电线款</t>
  </si>
  <si>
    <t>江西双帝电线有限公司</t>
  </si>
  <si>
    <t>皮卡车维修费</t>
  </si>
  <si>
    <t>德安县一九九二汽车服务</t>
  </si>
  <si>
    <t>杨明定</t>
  </si>
  <si>
    <t>程章赐</t>
  </si>
  <si>
    <t>程章材</t>
  </si>
  <si>
    <t>现金</t>
  </si>
  <si>
    <t>代收姚俊强社保费</t>
  </si>
  <si>
    <t>邹桥工程款-承兑汇票</t>
  </si>
  <si>
    <t>九江财小保企业服务服限公司</t>
  </si>
  <si>
    <t>高征坤</t>
  </si>
  <si>
    <t>王兴姣</t>
  </si>
  <si>
    <t>油漆费</t>
  </si>
  <si>
    <t>孙法炳</t>
  </si>
  <si>
    <t>德安农商行挖机费</t>
  </si>
  <si>
    <t>德安总部共青农商行</t>
  </si>
  <si>
    <t>舒文龙</t>
  </si>
  <si>
    <t>王兴蛟</t>
  </si>
  <si>
    <t>代缴员工个税6月（闵清林，邓泽贵）</t>
  </si>
  <si>
    <t>还王伟2025年11月9日借款</t>
  </si>
  <si>
    <t>还聂辉2025年1月28日6万
还聂辉2025年11月2日1万</t>
  </si>
  <si>
    <t>吴山政府项目材料费</t>
  </si>
  <si>
    <t>德养消防检测报告</t>
  </si>
  <si>
    <t>科创中心挖机费</t>
  </si>
  <si>
    <t>邹桥派出所屋面保温棉搬运费
张洪林（已扣80个税）</t>
  </si>
  <si>
    <t>张洪林</t>
  </si>
  <si>
    <t>茶叶款（陈先琴）</t>
  </si>
  <si>
    <t>陈德银</t>
  </si>
  <si>
    <t>抚州8号楼购买售后产品</t>
  </si>
  <si>
    <t>中国联项目工程款</t>
  </si>
  <si>
    <t>中国联通项目</t>
  </si>
  <si>
    <t>联通（江西）产业互联网有限公司</t>
  </si>
  <si>
    <t>抚州2号楼工程款</t>
  </si>
  <si>
    <t>抚州资溪养老基地2号楼</t>
  </si>
  <si>
    <t>抚州2号楼预缴企业所得税</t>
  </si>
  <si>
    <t>抚州2号楼预缴增值税939.45
城市维护建设税23.48</t>
  </si>
  <si>
    <t>抚州8号楼祝冬冬分包-劳务费</t>
  </si>
  <si>
    <t>江西东端暖通设备有限公司</t>
  </si>
  <si>
    <t>占善庆</t>
  </si>
  <si>
    <t>高新区标准厂房保证金</t>
  </si>
  <si>
    <t>丰林高新区标准厂房</t>
  </si>
  <si>
    <t>还王伟个人借款</t>
  </si>
  <si>
    <t>科创中心桥架款</t>
  </si>
  <si>
    <t>博河科创中心预付款</t>
  </si>
  <si>
    <t>博河科创中心</t>
  </si>
  <si>
    <t>德安县博河产业控股集团有限公司</t>
  </si>
  <si>
    <t>恒达钢材材料款</t>
  </si>
  <si>
    <t>标准厂房保函服务费</t>
  </si>
  <si>
    <t>江西盛鑫泰工程担保有限公司南昌分公司</t>
  </si>
  <si>
    <t>德安农商行总部工程款</t>
  </si>
  <si>
    <t>张洪林代扣80</t>
  </si>
  <si>
    <t>代缴员工个税（吴长友）</t>
  </si>
  <si>
    <t>吴山政府项目机械费</t>
  </si>
  <si>
    <t>九江正鑫建筑劳务有限公司</t>
  </si>
  <si>
    <t>德安县弘升建筑工程有限公司</t>
  </si>
  <si>
    <t>高新区标准厂房保证金退还</t>
  </si>
  <si>
    <t>朱博文9月社保/王伟9月社保</t>
  </si>
  <si>
    <t>朱博文/王伟</t>
  </si>
  <si>
    <t>桂木生</t>
  </si>
  <si>
    <t>赵晶晶</t>
  </si>
  <si>
    <t>消防资料代跑服务费</t>
  </si>
  <si>
    <t>郭梦婷</t>
  </si>
  <si>
    <t>徐翠平</t>
  </si>
  <si>
    <t>张小友</t>
  </si>
  <si>
    <t>曹买生</t>
  </si>
  <si>
    <t>刘桂水</t>
  </si>
  <si>
    <t>安全员咨询服务费</t>
  </si>
  <si>
    <t>材料款</t>
  </si>
  <si>
    <t>温州洪殿项目E02地块</t>
  </si>
  <si>
    <t>温州萧通物资有限公司</t>
  </si>
  <si>
    <t>江西诚斯通信科技有限公司</t>
  </si>
  <si>
    <t>邹桥派出所工程款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</si>
</sst>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￥&quot;#,##0.00_);[Red]\(&quot;￥&quot;#,##0.00\)"/>
    <numFmt numFmtId="178" formatCode="\¥#,##0.00;\¥\-#,##0.00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sz val="16"/>
      <name val="宋体"/>
      <charset val="134"/>
    </font>
    <font>
      <b/>
      <sz val="48"/>
      <color theme="0"/>
      <name val="宋体"/>
      <charset val="134"/>
    </font>
    <font>
      <b/>
      <sz val="14"/>
      <color theme="0"/>
      <name val="宋体"/>
      <charset val="134"/>
    </font>
    <font>
      <b/>
      <sz val="16"/>
      <color theme="0"/>
      <name val="宋体"/>
      <charset val="134"/>
    </font>
    <font>
      <b/>
      <sz val="12"/>
      <color theme="0"/>
      <name val="宋体"/>
      <charset val="134"/>
    </font>
    <font>
      <b/>
      <sz val="12"/>
      <color rgb="FFFFFF00"/>
      <name val="宋体"/>
      <charset val="134"/>
    </font>
    <font>
      <b/>
      <sz val="16"/>
      <color rgb="FFFFFF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EF5EF"/>
        <bgColor indexed="64"/>
      </patternFill>
    </fill>
    <fill>
      <patternFill patternType="solid">
        <fgColor rgb="FF34AC8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149632251960814"/>
      </left>
      <right/>
      <top style="thin">
        <color theme="0" tint="-0.149632251960814"/>
      </top>
      <bottom style="thin">
        <color theme="0" tint="-0.14963225196081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6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75">
    <xf numFmtId="0" fontId="0" fillId="0" borderId="0" xfId="0">
      <alignment vertical="center"/>
    </xf>
    <xf numFmtId="0" fontId="1" fillId="2" borderId="0" xfId="49" applyFont="1" applyFill="1" applyAlignment="1" applyProtection="1">
      <alignment horizontal="center" vertical="center"/>
      <protection locked="0"/>
    </xf>
    <xf numFmtId="0" fontId="1" fillId="2" borderId="0" xfId="0" applyFont="1" applyFill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1" fillId="2" borderId="1" xfId="49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Protection="1">
      <alignment vertical="center"/>
      <protection locked="0"/>
    </xf>
    <xf numFmtId="0" fontId="1" fillId="2" borderId="0" xfId="0" applyNumberFormat="1" applyFont="1" applyFill="1" applyBorder="1" applyProtection="1">
      <alignment vertical="center"/>
      <protection locked="0"/>
    </xf>
    <xf numFmtId="176" fontId="1" fillId="2" borderId="0" xfId="0" applyNumberFormat="1" applyFont="1" applyFill="1" applyBorder="1" applyProtection="1">
      <alignment vertical="center"/>
      <protection locked="0"/>
    </xf>
    <xf numFmtId="0" fontId="3" fillId="2" borderId="0" xfId="0" applyNumberFormat="1" applyFont="1" applyFill="1" applyBorder="1" applyProtection="1">
      <alignment vertical="center"/>
      <protection locked="0"/>
    </xf>
    <xf numFmtId="0" fontId="3" fillId="2" borderId="0" xfId="0" applyNumberFormat="1" applyFont="1" applyFill="1" applyBorder="1" applyAlignment="1" applyProtection="1">
      <alignment vertical="center" wrapText="1"/>
      <protection locked="0"/>
    </xf>
    <xf numFmtId="177" fontId="1" fillId="2" borderId="0" xfId="0" applyNumberFormat="1" applyFont="1" applyFill="1" applyBorder="1" applyProtection="1">
      <alignment vertical="center"/>
      <protection locked="0"/>
    </xf>
    <xf numFmtId="178" fontId="1" fillId="2" borderId="0" xfId="0" applyNumberFormat="1" applyFont="1" applyFill="1" applyBorder="1" applyProtection="1">
      <alignment vertical="center"/>
      <protection locked="0"/>
    </xf>
    <xf numFmtId="0" fontId="4" fillId="2" borderId="0" xfId="0" applyNumberFormat="1" applyFont="1" applyFill="1" applyBorder="1" applyProtection="1">
      <alignment vertical="center"/>
      <protection locked="0"/>
    </xf>
    <xf numFmtId="0" fontId="5" fillId="2" borderId="0" xfId="0" applyFont="1" applyFill="1" applyBorder="1" applyProtection="1">
      <alignment vertical="center"/>
      <protection locked="0"/>
    </xf>
    <xf numFmtId="0" fontId="5" fillId="2" borderId="0" xfId="49" applyFont="1" applyFill="1" applyBorder="1" applyAlignment="1" applyProtection="1">
      <alignment horizontal="center" vertical="center"/>
      <protection locked="0"/>
    </xf>
    <xf numFmtId="0" fontId="1" fillId="3" borderId="0" xfId="49" applyFont="1" applyFill="1" applyAlignment="1" applyProtection="1">
      <alignment horizontal="center" vertical="center"/>
      <protection locked="0"/>
    </xf>
    <xf numFmtId="0" fontId="1" fillId="2" borderId="0" xfId="49" applyNumberFormat="1" applyFont="1" applyFill="1" applyAlignment="1" applyProtection="1">
      <alignment horizontal="center" vertical="center"/>
      <protection locked="0"/>
    </xf>
    <xf numFmtId="176" fontId="1" fillId="3" borderId="0" xfId="49" applyNumberFormat="1" applyFont="1" applyFill="1" applyAlignment="1" applyProtection="1">
      <alignment horizontal="center" vertical="center"/>
      <protection locked="0"/>
    </xf>
    <xf numFmtId="0" fontId="1" fillId="3" borderId="0" xfId="49" applyNumberFormat="1" applyFont="1" applyFill="1" applyAlignment="1" applyProtection="1">
      <alignment horizontal="center" vertical="center"/>
      <protection locked="0"/>
    </xf>
    <xf numFmtId="0" fontId="3" fillId="3" borderId="0" xfId="49" applyNumberFormat="1" applyFont="1" applyFill="1" applyAlignment="1" applyProtection="1">
      <alignment horizontal="center" vertical="center"/>
      <protection locked="0"/>
    </xf>
    <xf numFmtId="0" fontId="4" fillId="3" borderId="0" xfId="49" applyNumberFormat="1" applyFont="1" applyFill="1" applyAlignment="1" applyProtection="1">
      <alignment horizontal="center" vertical="center" wrapText="1"/>
      <protection locked="0"/>
    </xf>
    <xf numFmtId="177" fontId="1" fillId="3" borderId="0" xfId="49" applyNumberFormat="1" applyFont="1" applyFill="1" applyAlignment="1" applyProtection="1">
      <alignment horizontal="center" vertical="center"/>
      <protection locked="0"/>
    </xf>
    <xf numFmtId="178" fontId="1" fillId="3" borderId="0" xfId="49" applyNumberFormat="1" applyFont="1" applyFill="1" applyAlignment="1" applyProtection="1">
      <alignment horizontal="center" vertical="center"/>
      <protection locked="0"/>
    </xf>
    <xf numFmtId="0" fontId="4" fillId="3" borderId="0" xfId="49" applyNumberFormat="1" applyFont="1" applyFill="1" applyAlignment="1" applyProtection="1">
      <alignment horizontal="center" vertical="center"/>
      <protection locked="0"/>
    </xf>
    <xf numFmtId="176" fontId="1" fillId="2" borderId="0" xfId="49" applyNumberFormat="1" applyFont="1" applyFill="1" applyAlignment="1" applyProtection="1">
      <alignment horizontal="center" vertical="center"/>
      <protection locked="0"/>
    </xf>
    <xf numFmtId="0" fontId="3" fillId="2" borderId="0" xfId="49" applyNumberFormat="1" applyFont="1" applyFill="1" applyAlignment="1" applyProtection="1">
      <alignment horizontal="center" vertical="center"/>
      <protection locked="0"/>
    </xf>
    <xf numFmtId="0" fontId="3" fillId="2" borderId="0" xfId="49" applyNumberFormat="1" applyFont="1" applyFill="1" applyAlignment="1" applyProtection="1">
      <alignment horizontal="center" vertical="center" wrapText="1"/>
      <protection locked="0"/>
    </xf>
    <xf numFmtId="177" fontId="1" fillId="2" borderId="0" xfId="49" applyNumberFormat="1" applyFont="1" applyFill="1" applyAlignment="1" applyProtection="1">
      <alignment horizontal="center" vertical="center"/>
      <protection locked="0"/>
    </xf>
    <xf numFmtId="178" fontId="1" fillId="2" borderId="0" xfId="49" applyNumberFormat="1" applyFont="1" applyFill="1" applyAlignment="1" applyProtection="1">
      <alignment horizontal="center" vertical="center"/>
      <protection locked="0"/>
    </xf>
    <xf numFmtId="0" fontId="4" fillId="2" borderId="0" xfId="49" applyNumberFormat="1" applyFont="1" applyFill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2" borderId="0" xfId="0" applyNumberFormat="1" applyFont="1" applyFill="1" applyBorder="1" applyAlignment="1" applyProtection="1">
      <alignment horizontal="center" vertical="center"/>
      <protection locked="0"/>
    </xf>
    <xf numFmtId="176" fontId="6" fillId="4" borderId="2" xfId="0" applyNumberFormat="1" applyFont="1" applyFill="1" applyBorder="1" applyAlignment="1" applyProtection="1">
      <alignment horizontal="center" vertical="center"/>
      <protection locked="0"/>
    </xf>
    <xf numFmtId="176" fontId="7" fillId="4" borderId="2" xfId="0" applyNumberFormat="1" applyFont="1" applyFill="1" applyBorder="1" applyAlignment="1" applyProtection="1">
      <alignment horizontal="center" vertical="center"/>
      <protection locked="0"/>
    </xf>
    <xf numFmtId="176" fontId="7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49" applyNumberFormat="1" applyFont="1" applyFill="1" applyBorder="1" applyAlignment="1" applyProtection="1">
      <alignment horizontal="center" vertical="center"/>
      <protection locked="0"/>
    </xf>
    <xf numFmtId="0" fontId="9" fillId="4" borderId="5" xfId="49" applyNumberFormat="1" applyFont="1" applyFill="1" applyBorder="1" applyAlignment="1" applyProtection="1">
      <alignment horizontal="center" vertical="center"/>
      <protection locked="0"/>
    </xf>
    <xf numFmtId="177" fontId="10" fillId="4" borderId="4" xfId="0" applyNumberFormat="1" applyFont="1" applyFill="1" applyBorder="1" applyAlignment="1" applyProtection="1">
      <alignment horizontal="center" vertical="center"/>
      <protection locked="0"/>
    </xf>
    <xf numFmtId="0" fontId="9" fillId="4" borderId="4" xfId="49" applyNumberFormat="1" applyFont="1" applyFill="1" applyBorder="1" applyAlignment="1" applyProtection="1">
      <alignment horizontal="center" vertical="center"/>
      <protection locked="0"/>
    </xf>
    <xf numFmtId="43" fontId="11" fillId="4" borderId="4" xfId="0" applyNumberFormat="1" applyFont="1" applyFill="1" applyBorder="1" applyAlignment="1" applyProtection="1">
      <alignment horizontal="center" vertical="center"/>
    </xf>
    <xf numFmtId="0" fontId="8" fillId="4" borderId="5" xfId="49" applyNumberFormat="1" applyFont="1" applyFill="1" applyBorder="1" applyAlignment="1" applyProtection="1">
      <alignment vertical="center"/>
      <protection locked="0"/>
    </xf>
    <xf numFmtId="0" fontId="2" fillId="2" borderId="0" xfId="0" applyNumberFormat="1" applyFont="1" applyFill="1" applyBorder="1" applyAlignment="1" applyProtection="1">
      <alignment horizontal="left" vertical="center"/>
      <protection locked="0"/>
    </xf>
    <xf numFmtId="176" fontId="6" fillId="4" borderId="6" xfId="0" applyNumberFormat="1" applyFont="1" applyFill="1" applyBorder="1" applyAlignment="1" applyProtection="1">
      <alignment horizontal="center" vertical="center"/>
      <protection locked="0"/>
    </xf>
    <xf numFmtId="176" fontId="7" fillId="4" borderId="6" xfId="0" applyNumberFormat="1" applyFont="1" applyFill="1" applyBorder="1" applyAlignment="1" applyProtection="1">
      <alignment horizontal="center" vertical="center"/>
      <protection locked="0"/>
    </xf>
    <xf numFmtId="176" fontId="7" fillId="4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8" xfId="49" applyNumberFormat="1" applyFont="1" applyFill="1" applyBorder="1" applyAlignment="1" applyProtection="1">
      <alignment horizontal="center" vertical="center"/>
      <protection locked="0"/>
    </xf>
    <xf numFmtId="0" fontId="8" fillId="4" borderId="9" xfId="49" applyNumberFormat="1" applyFont="1" applyFill="1" applyBorder="1" applyAlignment="1" applyProtection="1">
      <alignment vertical="center"/>
      <protection locked="0"/>
    </xf>
    <xf numFmtId="0" fontId="2" fillId="3" borderId="0" xfId="49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2" borderId="10" xfId="49" applyNumberFormat="1" applyFont="1" applyFill="1" applyBorder="1" applyAlignment="1" applyProtection="1">
      <alignment horizontal="center" vertical="center"/>
      <protection locked="0"/>
    </xf>
    <xf numFmtId="176" fontId="8" fillId="4" borderId="4" xfId="49" applyNumberFormat="1" applyFont="1" applyFill="1" applyBorder="1" applyAlignment="1" applyProtection="1">
      <alignment horizontal="center" vertical="center"/>
      <protection locked="0"/>
    </xf>
    <xf numFmtId="0" fontId="7" fillId="4" borderId="4" xfId="49" applyNumberFormat="1" applyFont="1" applyFill="1" applyBorder="1" applyAlignment="1" applyProtection="1">
      <alignment horizontal="center" vertical="center"/>
      <protection locked="0"/>
    </xf>
    <xf numFmtId="0" fontId="7" fillId="4" borderId="11" xfId="49" applyNumberFormat="1" applyFont="1" applyFill="1" applyBorder="1" applyAlignment="1" applyProtection="1">
      <alignment horizontal="center" vertical="center" wrapText="1"/>
      <protection locked="0"/>
    </xf>
    <xf numFmtId="177" fontId="8" fillId="4" borderId="4" xfId="49" applyNumberFormat="1" applyFont="1" applyFill="1" applyBorder="1" applyAlignment="1" applyProtection="1">
      <alignment horizontal="center" vertical="center"/>
      <protection locked="0"/>
    </xf>
    <xf numFmtId="178" fontId="8" fillId="4" borderId="4" xfId="49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2" borderId="10" xfId="49" applyNumberFormat="1" applyFont="1" applyFill="1" applyBorder="1" applyAlignment="1" applyProtection="1">
      <alignment horizontal="center" vertical="center"/>
      <protection hidden="1"/>
    </xf>
    <xf numFmtId="176" fontId="1" fillId="2" borderId="12" xfId="49" applyNumberFormat="1" applyFont="1" applyFill="1" applyBorder="1" applyAlignment="1" applyProtection="1">
      <alignment horizontal="center" vertical="center"/>
      <protection locked="0"/>
    </xf>
    <xf numFmtId="0" fontId="1" fillId="2" borderId="12" xfId="49" applyNumberFormat="1" applyFont="1" applyFill="1" applyBorder="1" applyAlignment="1" applyProtection="1">
      <alignment horizontal="center" vertical="center"/>
      <protection locked="0"/>
    </xf>
    <xf numFmtId="0" fontId="3" fillId="2" borderId="12" xfId="49" applyNumberFormat="1" applyFont="1" applyFill="1" applyBorder="1" applyAlignment="1" applyProtection="1">
      <alignment horizontal="center" vertical="center"/>
      <protection locked="0"/>
    </xf>
    <xf numFmtId="0" fontId="4" fillId="2" borderId="12" xfId="49" applyNumberFormat="1" applyFont="1" applyFill="1" applyBorder="1" applyAlignment="1" applyProtection="1">
      <alignment horizontal="center" vertical="center" wrapText="1"/>
      <protection locked="0"/>
    </xf>
    <xf numFmtId="43" fontId="1" fillId="2" borderId="12" xfId="49" applyNumberFormat="1" applyFont="1" applyFill="1" applyBorder="1" applyAlignment="1" applyProtection="1">
      <alignment horizontal="center" vertical="center"/>
      <protection locked="0"/>
    </xf>
    <xf numFmtId="43" fontId="1" fillId="2" borderId="12" xfId="49" applyNumberFormat="1" applyFont="1" applyFill="1" applyBorder="1" applyAlignment="1" applyProtection="1">
      <alignment horizontal="center" vertical="center"/>
      <protection hidden="1"/>
    </xf>
    <xf numFmtId="0" fontId="4" fillId="2" borderId="12" xfId="49" applyNumberFormat="1" applyFont="1" applyFill="1" applyBorder="1" applyAlignment="1" applyProtection="1">
      <alignment horizontal="center" vertical="center"/>
      <protection locked="0"/>
    </xf>
    <xf numFmtId="0" fontId="4" fillId="2" borderId="2" xfId="49" applyNumberFormat="1" applyFont="1" applyFill="1" applyBorder="1" applyAlignment="1" applyProtection="1">
      <alignment horizontal="center" vertical="center"/>
      <protection locked="0"/>
    </xf>
    <xf numFmtId="0" fontId="3" fillId="2" borderId="2" xfId="49" applyNumberFormat="1" applyFont="1" applyFill="1" applyBorder="1" applyAlignment="1" applyProtection="1">
      <alignment horizontal="center" vertical="center"/>
      <protection locked="0"/>
    </xf>
    <xf numFmtId="0" fontId="4" fillId="5" borderId="12" xfId="49" applyNumberFormat="1" applyFont="1" applyFill="1" applyBorder="1" applyAlignment="1" applyProtection="1">
      <alignment horizontal="center" vertical="center" wrapText="1"/>
      <protection locked="0"/>
    </xf>
    <xf numFmtId="43" fontId="1" fillId="5" borderId="12" xfId="49" applyNumberFormat="1" applyFont="1" applyFill="1" applyBorder="1" applyAlignment="1" applyProtection="1">
      <alignment horizontal="center" vertical="center"/>
      <protection locked="0"/>
    </xf>
    <xf numFmtId="176" fontId="1" fillId="2" borderId="2" xfId="49" applyNumberFormat="1" applyFont="1" applyFill="1" applyBorder="1" applyAlignment="1" applyProtection="1">
      <alignment horizontal="center" vertical="center"/>
      <protection locked="0"/>
    </xf>
    <xf numFmtId="0" fontId="1" fillId="2" borderId="2" xfId="49" applyNumberFormat="1" applyFont="1" applyFill="1" applyBorder="1" applyAlignment="1" applyProtection="1">
      <alignment horizontal="center" vertical="center"/>
      <protection locked="0"/>
    </xf>
    <xf numFmtId="0" fontId="4" fillId="2" borderId="2" xfId="49" applyNumberFormat="1" applyFont="1" applyFill="1" applyBorder="1" applyAlignment="1" applyProtection="1">
      <alignment horizontal="center" vertical="center" wrapText="1"/>
      <protection locked="0"/>
    </xf>
    <xf numFmtId="43" fontId="1" fillId="2" borderId="2" xfId="49" applyNumberFormat="1" applyFont="1" applyFill="1" applyBorder="1" applyAlignment="1" applyProtection="1">
      <alignment horizontal="center" vertical="center"/>
      <protection locked="0"/>
    </xf>
    <xf numFmtId="43" fontId="1" fillId="2" borderId="2" xfId="49" applyNumberFormat="1" applyFont="1" applyFill="1" applyBorder="1" applyAlignment="1" applyProtection="1">
      <alignment horizontal="center" vertical="center"/>
      <protection hidden="1"/>
    </xf>
    <xf numFmtId="0" fontId="3" fillId="2" borderId="2" xfId="49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NumberFormat="1" applyFont="1" applyFill="1" applyBorder="1" applyAlignment="1" applyProtection="1">
      <alignment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9">
    <dxf>
      <font>
        <color theme="1"/>
      </font>
      <fill>
        <patternFill patternType="solid">
          <bgColor theme="7" tint="0.799951170384838"/>
        </patternFill>
      </fill>
    </dxf>
    <dxf>
      <font>
        <color auto="1"/>
      </font>
      <fill>
        <patternFill patternType="solid">
          <bgColor theme="4" tint="0.79995117038483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9318;&#39029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17</xdr:col>
      <xdr:colOff>324485</xdr:colOff>
      <xdr:row>4</xdr:row>
      <xdr:rowOff>241935</xdr:rowOff>
    </xdr:from>
    <xdr:to>
      <xdr:col>18</xdr:col>
      <xdr:colOff>86360</xdr:colOff>
      <xdr:row>5</xdr:row>
      <xdr:rowOff>230030</xdr:rowOff>
    </xdr:to>
    <xdr:sp>
      <xdr:nvSpPr>
        <xdr:cNvPr id="2" name=" 74">
          <a:hlinkClick xmlns:r="http://schemas.openxmlformats.org/officeDocument/2006/relationships" r:id="rId1"/>
        </xdr:cNvPr>
        <xdr:cNvSpPr/>
      </xdr:nvSpPr>
      <xdr:spPr>
        <a:xfrm>
          <a:off x="20103465" y="241935"/>
          <a:ext cx="1085850" cy="457200"/>
        </a:xfrm>
        <a:prstGeom prst="roundRect">
          <a:avLst>
            <a:gd name="adj" fmla="val 50000"/>
          </a:avLst>
        </a:prstGeom>
        <a:solidFill>
          <a:srgbClr val="4BACC6"/>
        </a:solidFill>
        <a:ln>
          <a:gradFill>
            <a:gsLst>
              <a:gs pos="0">
                <a:schemeClr val="accent3">
                  <a:lumMod val="50000"/>
                </a:schemeClr>
              </a:gs>
              <a:gs pos="100000">
                <a:schemeClr val="bg1">
                  <a:lumMod val="85000"/>
                </a:schemeClr>
              </a:gs>
            </a:gsLst>
            <a:lin ang="5400000" scaled="1"/>
          </a:gradFill>
        </a:ln>
        <a:effectLst>
          <a:innerShdw blurRad="88900" dist="76200" dir="16200000">
            <a:prstClr val="black">
              <a:alpha val="32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none" lIns="0" tIns="36195" rIns="0" bIns="0" numCol="1" spcCol="0" rtlCol="0" fromWordArt="0" anchor="ctr" anchorCtr="0" forceAA="0" compatLnSpc="1">
          <a:noAutofit/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14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返回主页</a:t>
          </a:r>
          <a:endParaRPr lang="zh-CN" altLang="en-US" sz="14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21</xdr:col>
      <xdr:colOff>128270</xdr:colOff>
      <xdr:row>7</xdr:row>
      <xdr:rowOff>210185</xdr:rowOff>
    </xdr:from>
    <xdr:to>
      <xdr:col>25</xdr:col>
      <xdr:colOff>299720</xdr:colOff>
      <xdr:row>181</xdr:row>
      <xdr:rowOff>135255</xdr:rowOff>
    </xdr:to>
    <xdr:sp>
      <xdr:nvSpPr>
        <xdr:cNvPr id="3" name="TextBox 1"/>
        <xdr:cNvSpPr txBox="1"/>
      </xdr:nvSpPr>
      <xdr:spPr>
        <a:xfrm>
          <a:off x="22955250" y="1416050"/>
          <a:ext cx="2914650" cy="550595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1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、除日期、摘要、收支金额、备注</a:t>
          </a:r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 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需要手工录入，其他下拉框选择</a:t>
          </a:r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  <a:sym typeface="+mn-ea"/>
            </a:rPr>
            <a:t>(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  <a:sym typeface="+mn-ea"/>
            </a:rPr>
            <a:t>账户结余自动</a:t>
          </a:r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  <a:sym typeface="+mn-ea"/>
            </a:rPr>
            <a:t>)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（选择的内容在前面设置表添加）</a:t>
          </a:r>
          <a:endParaRPr lang="zh-CN" altLang="en-US" sz="2000">
            <a:solidFill>
              <a:srgbClr val="FF0000"/>
            </a:solidFill>
            <a:latin typeface="楷体" panose="02010609060101010101" charset="-122"/>
            <a:ea typeface="楷体" panose="02010609060101010101" charset="-122"/>
          </a:endParaRPr>
        </a:p>
        <a:p>
          <a:endParaRPr lang="zh-CN" altLang="en-US" sz="2000">
            <a:solidFill>
              <a:srgbClr val="FF0000"/>
            </a:solidFill>
            <a:latin typeface="楷体" panose="02010609060101010101" charset="-122"/>
            <a:ea typeface="楷体" panose="02010609060101010101" charset="-122"/>
          </a:endParaRPr>
        </a:p>
        <a:p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2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、数据录入、类别、收支项目、收入填写收入金额、支出填写支出金额，数据归属项目填写所需项目</a:t>
          </a:r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  </a:t>
          </a:r>
          <a:endParaRPr lang="en-US" altLang="zh-CN" sz="2000">
            <a:solidFill>
              <a:srgbClr val="FF0000"/>
            </a:solidFill>
            <a:latin typeface="楷体" panose="02010609060101010101" charset="-122"/>
            <a:ea typeface="楷体" panose="02010609060101010101" charset="-122"/>
          </a:endParaRPr>
        </a:p>
        <a:p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3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、合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  <a:sym typeface="+mn-ea"/>
            </a:rPr>
            <a:t>同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的相关金额在后面销售采购合同设置好合同号，</a:t>
          </a:r>
          <a:r>
            <a:rPr lang="en-US" altLang="zh-CN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 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这里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  <a:sym typeface="+mn-ea"/>
            </a:rPr>
            <a:t>下拉框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</a:rPr>
            <a:t>选择</a:t>
          </a:r>
          <a:r>
            <a:rPr lang="zh-CN" altLang="en-US" sz="2000">
              <a:solidFill>
                <a:srgbClr val="FF0000"/>
              </a:solidFill>
              <a:latin typeface="楷体" panose="02010609060101010101" charset="-122"/>
              <a:ea typeface="楷体" panose="02010609060101010101" charset="-122"/>
              <a:sym typeface="+mn-ea"/>
            </a:rPr>
            <a:t>对应的合同号和客户名称供应商名称</a:t>
          </a:r>
          <a:endParaRPr lang="zh-CN" altLang="en-US" sz="2000">
            <a:solidFill>
              <a:srgbClr val="FF0000"/>
            </a:solidFill>
            <a:latin typeface="楷体" panose="02010609060101010101" charset="-122"/>
            <a:ea typeface="楷体" panose="02010609060101010101" charset="-122"/>
          </a:endParaRPr>
        </a:p>
        <a:p>
          <a:endParaRPr lang="zh-CN" altLang="en-US" sz="2000">
            <a:solidFill>
              <a:srgbClr val="FF0000"/>
            </a:solidFill>
            <a:latin typeface="楷体" panose="02010609060101010101" charset="-122"/>
            <a:ea typeface="楷体" panose="02010609060101010101" charset="-122"/>
          </a:endParaRPr>
        </a:p>
        <a:p>
          <a:endParaRPr lang="zh-CN" altLang="en-US" sz="2000">
            <a:solidFill>
              <a:srgbClr val="FF0000"/>
            </a:solidFill>
            <a:latin typeface="楷体" panose="02010609060101010101" charset="-122"/>
            <a:ea typeface="楷体" panose="02010609060101010101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1459;&#36745;&#20844;&#21496;\24-26&#21512;&#24182;&#29256;&#24037;&#31243;&#31995;&#32479;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基础信息"/>
      <sheetName val="收支登记表"/>
      <sheetName val="内部转账"/>
      <sheetName val="账户统计"/>
      <sheetName val="应收登记"/>
      <sheetName val="应付登记"/>
      <sheetName val="销售合同"/>
      <sheetName val="采购合同"/>
      <sheetName val="销项发票登记"/>
      <sheetName val="进项发票登记"/>
      <sheetName val="成本核算明细"/>
      <sheetName val="收入核算明细"/>
      <sheetName val="利润表"/>
      <sheetName val="往来报表"/>
      <sheetName val="员工借款"/>
      <sheetName val="工程项目明细"/>
      <sheetName val="任意时段报表"/>
      <sheetName val="员工统计"/>
      <sheetName val="项目收支统计"/>
      <sheetName val="项目汇总"/>
      <sheetName val="考勤表"/>
      <sheetName val="收入汇总"/>
      <sheetName val="支出汇总"/>
      <sheetName val="年度汇总"/>
      <sheetName val="工资表"/>
    </sheetNames>
    <sheetDataSet>
      <sheetData sheetId="0"/>
      <sheetData sheetId="1">
        <row r="1">
          <cell r="B1" t="str">
            <v>警告：本表格系统不允许剪切不允许直接直接粘贴数据。如果要粘贴，点鼠标右键，点选择性粘贴，粘贴为数值！！！！！（本表格不许删除单元格，可清除内容修改）</v>
          </cell>
        </row>
        <row r="4">
          <cell r="B4" t="str">
            <v>建账日期：</v>
          </cell>
          <cell r="C4">
            <v>45296</v>
          </cell>
        </row>
        <row r="5">
          <cell r="B5" t="str">
            <v>账户</v>
          </cell>
          <cell r="C5" t="str">
            <v>期初金额</v>
          </cell>
        </row>
        <row r="6">
          <cell r="B6" t="str">
            <v>九江银行</v>
          </cell>
          <cell r="C6">
            <v>0</v>
          </cell>
        </row>
        <row r="7">
          <cell r="B7" t="str">
            <v>中国工商银行</v>
          </cell>
        </row>
        <row r="8">
          <cell r="B8" t="str">
            <v>中国农业银行</v>
          </cell>
        </row>
        <row r="9">
          <cell r="B9" t="str">
            <v>备用金</v>
          </cell>
        </row>
        <row r="10">
          <cell r="B10" t="str">
            <v>农民工专户</v>
          </cell>
        </row>
        <row r="11">
          <cell r="B11" t="str">
            <v>王伟微信</v>
          </cell>
        </row>
        <row r="12">
          <cell r="B12" t="str">
            <v>聂辉微信</v>
          </cell>
        </row>
        <row r="13">
          <cell r="B13" t="str">
            <v>张滨微信</v>
          </cell>
        </row>
        <row r="14">
          <cell r="B14" t="str">
            <v>聂辉建行6680</v>
          </cell>
          <cell r="C14">
            <v>0</v>
          </cell>
        </row>
        <row r="15">
          <cell r="B15" t="str">
            <v>九安账户</v>
          </cell>
        </row>
        <row r="16">
          <cell r="B16" t="str">
            <v>温州爱思强贸易有限公司</v>
          </cell>
        </row>
        <row r="17">
          <cell r="B17" t="str">
            <v>张滨支付宝</v>
          </cell>
        </row>
        <row r="18">
          <cell r="B18" t="str">
            <v>现金</v>
          </cell>
        </row>
        <row r="19">
          <cell r="B19" t="str">
            <v>张滨建行卡</v>
          </cell>
        </row>
      </sheetData>
      <sheetData sheetId="2"/>
      <sheetData sheetId="3">
        <row r="3">
          <cell r="C3" t="str">
            <v>自己的账户互转明细</v>
          </cell>
        </row>
        <row r="3">
          <cell r="G3" t="str">
            <v>金额合计</v>
          </cell>
        </row>
        <row r="4">
          <cell r="G4">
            <v>368900</v>
          </cell>
        </row>
        <row r="6">
          <cell r="C6" t="str">
            <v>日期</v>
          </cell>
        </row>
        <row r="6">
          <cell r="E6" t="str">
            <v>转入账户</v>
          </cell>
          <cell r="F6" t="str">
            <v>转出账户</v>
          </cell>
          <cell r="G6" t="str">
            <v>金额</v>
          </cell>
        </row>
        <row r="7">
          <cell r="C7">
            <v>46091</v>
          </cell>
        </row>
        <row r="7">
          <cell r="E7" t="str">
            <v>九江银行</v>
          </cell>
          <cell r="F7" t="str">
            <v>中国农业银行</v>
          </cell>
          <cell r="G7">
            <v>50000</v>
          </cell>
        </row>
        <row r="8">
          <cell r="C8">
            <v>46091</v>
          </cell>
        </row>
        <row r="8">
          <cell r="E8" t="str">
            <v>九江银行</v>
          </cell>
          <cell r="F8" t="str">
            <v>中国农业银行</v>
          </cell>
          <cell r="G8">
            <v>100000</v>
          </cell>
        </row>
        <row r="9">
          <cell r="C9">
            <v>46093</v>
          </cell>
        </row>
        <row r="9">
          <cell r="E9" t="str">
            <v>九江银行</v>
          </cell>
          <cell r="F9" t="str">
            <v>中国农业银行</v>
          </cell>
          <cell r="G9">
            <v>30000</v>
          </cell>
        </row>
        <row r="10">
          <cell r="C10">
            <v>46100</v>
          </cell>
        </row>
        <row r="10">
          <cell r="E10" t="str">
            <v>九江银行</v>
          </cell>
          <cell r="F10" t="str">
            <v>中国农业银行</v>
          </cell>
          <cell r="G10">
            <v>100000</v>
          </cell>
        </row>
        <row r="11">
          <cell r="C11">
            <v>46156</v>
          </cell>
        </row>
        <row r="11">
          <cell r="E11" t="str">
            <v>聂辉微信</v>
          </cell>
          <cell r="F11" t="str">
            <v>张滨微信</v>
          </cell>
          <cell r="G11">
            <v>70500</v>
          </cell>
        </row>
        <row r="12">
          <cell r="C12">
            <v>46156</v>
          </cell>
        </row>
        <row r="12">
          <cell r="E12" t="str">
            <v>聂辉微信</v>
          </cell>
          <cell r="F12" t="str">
            <v>张滨微信</v>
          </cell>
          <cell r="G12">
            <v>10000</v>
          </cell>
        </row>
        <row r="13">
          <cell r="C13">
            <v>46191</v>
          </cell>
        </row>
        <row r="13">
          <cell r="E13" t="str">
            <v>聂辉微信</v>
          </cell>
          <cell r="F13" t="str">
            <v>张滨微信</v>
          </cell>
          <cell r="G13">
            <v>5700</v>
          </cell>
        </row>
        <row r="14">
          <cell r="C14">
            <v>46193</v>
          </cell>
        </row>
        <row r="14">
          <cell r="E14" t="str">
            <v>张滨微信</v>
          </cell>
          <cell r="F14" t="str">
            <v>聂辉微信</v>
          </cell>
          <cell r="G14">
            <v>500</v>
          </cell>
        </row>
        <row r="15">
          <cell r="C15">
            <v>46222</v>
          </cell>
        </row>
        <row r="15">
          <cell r="E15" t="str">
            <v>张滨微信</v>
          </cell>
          <cell r="F15" t="str">
            <v>聂辉微信</v>
          </cell>
          <cell r="G15">
            <v>1100</v>
          </cell>
        </row>
        <row r="16">
          <cell r="C16">
            <v>46253</v>
          </cell>
        </row>
        <row r="16">
          <cell r="E16" t="str">
            <v>张滨微信</v>
          </cell>
          <cell r="F16" t="str">
            <v>聂辉微信</v>
          </cell>
          <cell r="G16">
            <v>1100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S5165"/>
  <sheetViews>
    <sheetView showGridLines="0" tabSelected="1" zoomScale="62" zoomScaleNormal="62" zoomScaleSheetLayoutView="55" workbookViewId="0">
      <pane ySplit="7" topLeftCell="A8" activePane="bottomLeft" state="frozen"/>
      <selection/>
      <selection pane="bottomLeft" activeCell="H28" sqref="H28"/>
    </sheetView>
  </sheetViews>
  <sheetFormatPr defaultColWidth="9" defaultRowHeight="20.25"/>
  <cols>
    <col min="1" max="1" width="5.25833333333333" style="4" hidden="1" customWidth="1"/>
    <col min="2" max="2" width="5.125" style="5" hidden="1" customWidth="1"/>
    <col min="3" max="3" width="1.125" style="6" customWidth="1"/>
    <col min="4" max="4" width="15.625" style="7" customWidth="1"/>
    <col min="5" max="5" width="7.34166666666667" style="6" hidden="1" customWidth="1"/>
    <col min="6" max="6" width="9" style="6" customWidth="1"/>
    <col min="7" max="7" width="13.625" style="8" customWidth="1"/>
    <col min="8" max="8" width="25.0666666666667" style="8" customWidth="1"/>
    <col min="9" max="9" width="31.9666666666667" style="9" customWidth="1"/>
    <col min="10" max="10" width="24.0416666666667" style="10" customWidth="1"/>
    <col min="11" max="11" width="25.6583333333333" style="10" customWidth="1"/>
    <col min="12" max="12" width="26.0916666666667" style="11" customWidth="1"/>
    <col min="13" max="13" width="22.9666666666667" style="12" customWidth="1"/>
    <col min="14" max="14" width="12.8916666666667" style="6" customWidth="1"/>
    <col min="15" max="15" width="16.7583333333333" style="12" customWidth="1"/>
    <col min="16" max="16" width="17.125" style="12" customWidth="1"/>
    <col min="17" max="17" width="17.625" style="6" customWidth="1"/>
    <col min="18" max="19" width="17.375" style="6" customWidth="1"/>
    <col min="20" max="20" width="2.625" style="13" customWidth="1"/>
    <col min="21" max="21" width="2.625" style="14" customWidth="1"/>
    <col min="22" max="16384" width="9" style="5"/>
  </cols>
  <sheetData>
    <row r="1" s="1" customFormat="1" ht="9.95" hidden="1" customHeight="1" spans="1:19">
      <c r="A1" s="15"/>
      <c r="B1" s="15"/>
      <c r="C1" s="16"/>
      <c r="D1" s="17"/>
      <c r="E1" s="18"/>
      <c r="F1" s="18"/>
      <c r="G1" s="19"/>
      <c r="H1" s="19"/>
      <c r="I1" s="20"/>
      <c r="J1" s="21"/>
      <c r="K1" s="21"/>
      <c r="L1" s="22"/>
      <c r="M1" s="23"/>
      <c r="N1" s="18"/>
      <c r="O1" s="23"/>
      <c r="P1" s="23"/>
      <c r="Q1" s="18"/>
      <c r="R1" s="18"/>
      <c r="S1" s="18"/>
    </row>
    <row r="2" s="1" customFormat="1" ht="9.95" hidden="1" customHeight="1" spans="1:19">
      <c r="A2" s="15"/>
      <c r="B2" s="15"/>
      <c r="C2" s="16"/>
      <c r="D2" s="17"/>
      <c r="E2" s="18"/>
      <c r="F2" s="18"/>
      <c r="G2" s="19"/>
      <c r="H2" s="19"/>
      <c r="I2" s="20"/>
      <c r="J2" s="21"/>
      <c r="K2" s="21"/>
      <c r="L2" s="22"/>
      <c r="M2" s="23"/>
      <c r="N2" s="18"/>
      <c r="O2" s="23"/>
      <c r="P2" s="23"/>
      <c r="Q2" s="18"/>
      <c r="R2" s="18"/>
      <c r="S2" s="18"/>
    </row>
    <row r="3" s="1" customFormat="1" ht="9.95" hidden="1" customHeight="1" spans="1:19">
      <c r="A3" s="15"/>
      <c r="B3" s="15"/>
      <c r="C3" s="16"/>
      <c r="D3" s="17"/>
      <c r="E3" s="18"/>
      <c r="F3" s="18"/>
      <c r="G3" s="19"/>
      <c r="H3" s="19"/>
      <c r="I3" s="20"/>
      <c r="J3" s="21"/>
      <c r="K3" s="21"/>
      <c r="L3" s="22"/>
      <c r="M3" s="23"/>
      <c r="N3" s="18"/>
      <c r="O3" s="23"/>
      <c r="P3" s="23"/>
      <c r="Q3" s="18"/>
      <c r="R3" s="18"/>
      <c r="S3" s="18"/>
    </row>
    <row r="4" s="1" customFormat="1" ht="15.95" hidden="1" customHeight="1" spans="1:19">
      <c r="C4" s="16"/>
      <c r="D4" s="24"/>
      <c r="E4" s="16"/>
      <c r="F4" s="16"/>
      <c r="G4" s="25"/>
      <c r="H4" s="25"/>
      <c r="I4" s="26"/>
      <c r="J4" s="27"/>
      <c r="K4" s="27"/>
      <c r="L4" s="28"/>
      <c r="M4" s="29"/>
      <c r="N4" s="16"/>
      <c r="O4" s="29"/>
      <c r="P4" s="29"/>
      <c r="Q4" s="16"/>
      <c r="R4" s="16"/>
      <c r="S4" s="16"/>
    </row>
    <row r="5" s="2" customFormat="1" ht="36.95" customHeight="1" spans="1:19">
      <c r="A5" s="15"/>
      <c r="B5" s="30"/>
      <c r="C5" s="31"/>
      <c r="D5" s="32" t="s">
        <v>0</v>
      </c>
      <c r="E5" s="32"/>
      <c r="F5" s="32"/>
      <c r="G5" s="33"/>
      <c r="H5" s="33"/>
      <c r="I5" s="34"/>
      <c r="J5" s="35" t="s">
        <v>1</v>
      </c>
      <c r="K5" s="35" t="s">
        <v>2</v>
      </c>
      <c r="L5" s="35" t="s">
        <v>3</v>
      </c>
      <c r="M5" s="36"/>
      <c r="N5" s="35" t="s">
        <v>4</v>
      </c>
      <c r="O5" s="37" t="s">
        <v>5</v>
      </c>
      <c r="P5" s="38" t="s">
        <v>6</v>
      </c>
      <c r="Q5" s="39">
        <f>SUMIF($O$8:$O$5161,O5,$J$8:$J$5161)</f>
        <v>0</v>
      </c>
      <c r="R5" s="40"/>
      <c r="S5" s="40"/>
    </row>
    <row r="6" s="2" customFormat="1" ht="28" customHeight="1" spans="1:19">
      <c r="A6" s="15"/>
      <c r="B6" s="30"/>
      <c r="C6" s="41"/>
      <c r="D6" s="42"/>
      <c r="E6" s="42"/>
      <c r="F6" s="42"/>
      <c r="G6" s="43"/>
      <c r="H6" s="43"/>
      <c r="I6" s="44"/>
      <c r="J6" s="39">
        <f>SUBTOTAL(9,J8:J5161)</f>
        <v>8908368.24</v>
      </c>
      <c r="K6" s="39">
        <f>SUBTOTAL(9,K8:K5161)</f>
        <v>8744363.73000001</v>
      </c>
      <c r="L6" s="39">
        <f>J6-K6</f>
        <v>164004.509999994</v>
      </c>
      <c r="M6" s="45"/>
      <c r="N6" s="35" t="s">
        <v>7</v>
      </c>
      <c r="O6" s="37" t="s">
        <v>8</v>
      </c>
      <c r="P6" s="38" t="s">
        <v>9</v>
      </c>
      <c r="Q6" s="39">
        <f>SUMIF($P$8:$P$5161,$O$6,$K$8:$K$5161)</f>
        <v>0</v>
      </c>
      <c r="R6" s="40"/>
      <c r="S6" s="46"/>
    </row>
    <row r="7" s="3" customFormat="1" ht="30" customHeight="1" spans="1:19">
      <c r="A7" s="47"/>
      <c r="B7" s="48"/>
      <c r="C7" s="49"/>
      <c r="D7" s="50" t="s">
        <v>10</v>
      </c>
      <c r="E7" s="35" t="s">
        <v>11</v>
      </c>
      <c r="F7" s="35" t="s">
        <v>12</v>
      </c>
      <c r="G7" s="51" t="s">
        <v>13</v>
      </c>
      <c r="H7" s="51" t="s">
        <v>14</v>
      </c>
      <c r="I7" s="52" t="s">
        <v>15</v>
      </c>
      <c r="J7" s="53" t="s">
        <v>16</v>
      </c>
      <c r="K7" s="53" t="s">
        <v>17</v>
      </c>
      <c r="L7" s="54" t="s">
        <v>18</v>
      </c>
      <c r="M7" s="38" t="s">
        <v>19</v>
      </c>
      <c r="N7" s="35" t="s">
        <v>20</v>
      </c>
      <c r="O7" s="38" t="s">
        <v>21</v>
      </c>
      <c r="P7" s="38" t="s">
        <v>22</v>
      </c>
      <c r="Q7" s="35" t="s">
        <v>23</v>
      </c>
      <c r="R7" s="35" t="s">
        <v>24</v>
      </c>
      <c r="S7" s="35" t="s">
        <v>25</v>
      </c>
    </row>
    <row r="8" s="2" customFormat="1" ht="24.95" customHeight="1" spans="1:19">
      <c r="A8" s="15"/>
      <c r="B8" s="55"/>
      <c r="C8" s="56"/>
      <c r="D8" s="57">
        <v>45271</v>
      </c>
      <c r="E8" s="58"/>
      <c r="F8" s="58" t="s">
        <v>26</v>
      </c>
      <c r="G8" s="59" t="s">
        <v>27</v>
      </c>
      <c r="H8" s="59" t="s">
        <v>28</v>
      </c>
      <c r="I8" s="60" t="s">
        <v>29</v>
      </c>
      <c r="J8" s="61"/>
      <c r="K8" s="61">
        <v>-1668</v>
      </c>
      <c r="L8" s="62">
        <f>IFERROR(IF(G8="","",VLOOKUP($G8,[1]基础信息!$B:$C,2,FALSE)+SUMIF(G$8:G8,G8,J$8:J8)-SUMIF(G$8:G8,G8,K$8:K8)+SUMIFS([1]内部转账!$G:$G,[1]内部转账!$C:$C,"&lt;="&amp;$D8,[1]内部转账!$E:$E,$G8)-SUMIFS([1]内部转账!$G:$G,[1]内部转账!$C:$C,"&lt;="&amp;$D8,[1]内部转账!$F:$F,$G8)),"")</f>
        <v>1668</v>
      </c>
      <c r="M8" s="63" t="s">
        <v>30</v>
      </c>
      <c r="N8" s="58" t="s">
        <v>31</v>
      </c>
      <c r="O8" s="63"/>
      <c r="P8" s="63" t="s">
        <v>31</v>
      </c>
      <c r="Q8" s="58"/>
      <c r="R8" s="58"/>
      <c r="S8" s="58"/>
    </row>
    <row r="9" s="2" customFormat="1" ht="24.95" customHeight="1" spans="1:19">
      <c r="A9" s="15"/>
      <c r="B9" s="55"/>
      <c r="C9" s="56"/>
      <c r="D9" s="57">
        <v>45271</v>
      </c>
      <c r="E9" s="58"/>
      <c r="F9" s="58" t="s">
        <v>26</v>
      </c>
      <c r="G9" s="59" t="s">
        <v>27</v>
      </c>
      <c r="H9" s="59"/>
      <c r="I9" s="60"/>
      <c r="J9" s="61"/>
      <c r="K9" s="61">
        <v>240</v>
      </c>
      <c r="L9" s="62">
        <f>IFERROR(IF(G9="","",VLOOKUP($G9,[1]基础信息!$B:$C,2,FALSE)+SUMIF(G$8:G9,G9,J$8:J9)-SUMIF(G$8:G9,G9,K$8:K9)+SUMIFS([1]内部转账!$G:$G,[1]内部转账!$C:$C,"&lt;="&amp;$D9,[1]内部转账!$E:$E,$G9)-SUMIFS([1]内部转账!$G:$G,[1]内部转账!$C:$C,"&lt;="&amp;$D9,[1]内部转账!$F:$F,$G9)),"")</f>
        <v>1428</v>
      </c>
      <c r="M9" s="63"/>
      <c r="N9" s="58"/>
      <c r="O9" s="63"/>
      <c r="P9" s="63" t="s">
        <v>32</v>
      </c>
      <c r="Q9" s="58"/>
      <c r="R9" s="58"/>
      <c r="S9" s="58"/>
    </row>
    <row r="10" s="2" customFormat="1" ht="24.95" customHeight="1" spans="1:19">
      <c r="A10" s="15"/>
      <c r="B10" s="55"/>
      <c r="C10" s="56"/>
      <c r="D10" s="57">
        <v>45281</v>
      </c>
      <c r="E10" s="58"/>
      <c r="F10" s="58" t="s">
        <v>26</v>
      </c>
      <c r="G10" s="59" t="s">
        <v>27</v>
      </c>
      <c r="H10" s="59" t="s">
        <v>33</v>
      </c>
      <c r="I10" s="60" t="s">
        <v>34</v>
      </c>
      <c r="J10" s="61"/>
      <c r="K10" s="61">
        <v>-0.08</v>
      </c>
      <c r="L10" s="62">
        <f>IFERROR(IF(G10="","",VLOOKUP($G10,[1]基础信息!$B:$C,2,FALSE)+SUMIF(G$8:G10,G10,J$8:J10)-SUMIF(G$8:G10,G10,K$8:K10)+SUMIFS([1]内部转账!$G:$G,[1]内部转账!$C:$C,"&lt;="&amp;$D10,[1]内部转账!$E:$E,$G10)-SUMIFS([1]内部转账!$G:$G,[1]内部转账!$C:$C,"&lt;="&amp;$D10,[1]内部转账!$F:$F,$G10)),"")</f>
        <v>1428.08</v>
      </c>
      <c r="M10" s="63" t="s">
        <v>35</v>
      </c>
      <c r="N10" s="58"/>
      <c r="O10" s="63"/>
      <c r="P10" s="63"/>
      <c r="Q10" s="58"/>
      <c r="R10" s="58"/>
      <c r="S10" s="58"/>
    </row>
    <row r="11" s="2" customFormat="1" ht="24.95" customHeight="1" spans="1:19">
      <c r="A11" s="15"/>
      <c r="B11" s="55"/>
      <c r="C11" s="56"/>
      <c r="D11" s="57">
        <v>45308</v>
      </c>
      <c r="E11" s="58"/>
      <c r="F11" s="58" t="s">
        <v>26</v>
      </c>
      <c r="G11" s="59" t="s">
        <v>27</v>
      </c>
      <c r="H11" s="59" t="s">
        <v>28</v>
      </c>
      <c r="I11" s="60" t="s">
        <v>36</v>
      </c>
      <c r="J11" s="61"/>
      <c r="K11" s="61">
        <v>-500000</v>
      </c>
      <c r="L11" s="62">
        <f>IFERROR(IF(G11="","",VLOOKUP($G11,[1]基础信息!$B:$C,2,FALSE)+SUMIF(G$8:G11,G11,J$8:J11)-SUMIF(G$8:G11,G11,K$8:K11)+SUMIFS([1]内部转账!$G:$G,[1]内部转账!$C:$C,"&lt;="&amp;$D11,[1]内部转账!$E:$E,$G11)-SUMIFS([1]内部转账!$G:$G,[1]内部转账!$C:$C,"&lt;="&amp;$D11,[1]内部转账!$F:$F,$G11)),"")</f>
        <v>501428.08</v>
      </c>
      <c r="M11" s="63" t="s">
        <v>30</v>
      </c>
      <c r="N11" s="58" t="s">
        <v>31</v>
      </c>
      <c r="O11" s="63"/>
      <c r="P11" s="63" t="s">
        <v>31</v>
      </c>
      <c r="Q11" s="58"/>
      <c r="R11" s="58"/>
      <c r="S11" s="58"/>
    </row>
    <row r="12" s="2" customFormat="1" ht="24.95" customHeight="1" spans="1:19">
      <c r="A12" s="15"/>
      <c r="B12" s="55"/>
      <c r="C12" s="56"/>
      <c r="D12" s="57">
        <v>45308</v>
      </c>
      <c r="E12" s="58"/>
      <c r="F12" s="58" t="s">
        <v>26</v>
      </c>
      <c r="G12" s="59" t="s">
        <v>27</v>
      </c>
      <c r="H12" s="59" t="s">
        <v>37</v>
      </c>
      <c r="I12" s="60" t="s">
        <v>38</v>
      </c>
      <c r="J12" s="61"/>
      <c r="K12" s="61">
        <v>500000</v>
      </c>
      <c r="L12" s="62">
        <f>IFERROR(IF(G12="","",VLOOKUP($G12,[1]基础信息!$B:$C,2,FALSE)+SUMIF(G$8:G12,G12,J$8:J12)-SUMIF(G$8:G12,G12,K$8:K12)+SUMIFS([1]内部转账!$G:$G,[1]内部转账!$C:$C,"&lt;="&amp;$D12,[1]内部转账!$E:$E,$G12)-SUMIFS([1]内部转账!$G:$G,[1]内部转账!$C:$C,"&lt;="&amp;$D12,[1]内部转账!$F:$F,$G12)),"")</f>
        <v>1428.08000000002</v>
      </c>
      <c r="M12" s="63" t="s">
        <v>39</v>
      </c>
      <c r="N12" s="58"/>
      <c r="O12" s="63"/>
      <c r="P12" s="63"/>
      <c r="Q12" s="58"/>
      <c r="R12" s="58"/>
      <c r="S12" s="58"/>
    </row>
    <row r="13" s="2" customFormat="1" ht="24.95" customHeight="1" spans="1:19">
      <c r="A13" s="15"/>
      <c r="B13" s="55"/>
      <c r="C13" s="56"/>
      <c r="D13" s="57">
        <v>45308</v>
      </c>
      <c r="E13" s="58"/>
      <c r="F13" s="58" t="s">
        <v>26</v>
      </c>
      <c r="G13" s="59" t="s">
        <v>27</v>
      </c>
      <c r="H13" s="59" t="s">
        <v>33</v>
      </c>
      <c r="I13" s="60" t="s">
        <v>40</v>
      </c>
      <c r="J13" s="61"/>
      <c r="K13" s="61">
        <v>15</v>
      </c>
      <c r="L13" s="62">
        <f>IFERROR(IF(G13="","",VLOOKUP($G13,[1]基础信息!$B:$C,2,FALSE)+SUMIF(G$8:G13,G13,J$8:J13)-SUMIF(G$8:G13,G13,K$8:K13)+SUMIFS([1]内部转账!$G:$G,[1]内部转账!$C:$C,"&lt;="&amp;$D13,[1]内部转账!$E:$E,$G13)-SUMIFS([1]内部转账!$G:$G,[1]内部转账!$C:$C,"&lt;="&amp;$D13,[1]内部转账!$F:$F,$G13)),"")</f>
        <v>1413.08000000002</v>
      </c>
      <c r="M13" s="63" t="s">
        <v>41</v>
      </c>
      <c r="N13" s="58"/>
      <c r="O13" s="63"/>
      <c r="P13" s="63"/>
      <c r="Q13" s="58"/>
      <c r="R13" s="58"/>
      <c r="S13" s="58"/>
    </row>
    <row r="14" s="2" customFormat="1" ht="24.95" customHeight="1" spans="1:19">
      <c r="A14" s="15"/>
      <c r="B14" s="55"/>
      <c r="C14" s="56"/>
      <c r="D14" s="57">
        <v>45310</v>
      </c>
      <c r="E14" s="58"/>
      <c r="F14" s="58" t="s">
        <v>26</v>
      </c>
      <c r="G14" s="59" t="s">
        <v>27</v>
      </c>
      <c r="H14" s="59" t="s">
        <v>28</v>
      </c>
      <c r="I14" s="60" t="s">
        <v>36</v>
      </c>
      <c r="J14" s="61"/>
      <c r="K14" s="61">
        <v>-500000</v>
      </c>
      <c r="L14" s="62">
        <f>IFERROR(IF(G14="","",VLOOKUP($G14,[1]基础信息!$B:$C,2,FALSE)+SUMIF(G$8:G14,G14,J$8:J14)-SUMIF(G$8:G14,G14,K$8:K14)+SUMIFS([1]内部转账!$G:$G,[1]内部转账!$C:$C,"&lt;="&amp;$D14,[1]内部转账!$E:$E,$G14)-SUMIFS([1]内部转账!$G:$G,[1]内部转账!$C:$C,"&lt;="&amp;$D14,[1]内部转账!$F:$F,$G14)),"")</f>
        <v>501413.08</v>
      </c>
      <c r="M14" s="63" t="s">
        <v>30</v>
      </c>
      <c r="N14" s="58" t="s">
        <v>31</v>
      </c>
      <c r="O14" s="63"/>
      <c r="P14" s="63" t="s">
        <v>31</v>
      </c>
      <c r="Q14" s="58"/>
      <c r="R14" s="58"/>
      <c r="S14" s="58"/>
    </row>
    <row r="15" s="2" customFormat="1" ht="24.95" customHeight="1" spans="1:19">
      <c r="A15" s="15"/>
      <c r="B15" s="55"/>
      <c r="C15" s="56"/>
      <c r="D15" s="57">
        <v>45310</v>
      </c>
      <c r="E15" s="58"/>
      <c r="F15" s="58" t="s">
        <v>26</v>
      </c>
      <c r="G15" s="59" t="s">
        <v>27</v>
      </c>
      <c r="H15" s="59" t="s">
        <v>37</v>
      </c>
      <c r="I15" s="60" t="s">
        <v>38</v>
      </c>
      <c r="J15" s="61"/>
      <c r="K15" s="61">
        <v>500000</v>
      </c>
      <c r="L15" s="62">
        <f>IFERROR(IF(G15="","",VLOOKUP($G15,[1]基础信息!$B:$C,2,FALSE)+SUMIF(G$8:G15,G15,J$8:J15)-SUMIF(G$8:G15,G15,K$8:K15)+SUMIFS([1]内部转账!$G:$G,[1]内部转账!$C:$C,"&lt;="&amp;$D15,[1]内部转账!$E:$E,$G15)-SUMIFS([1]内部转账!$G:$G,[1]内部转账!$C:$C,"&lt;="&amp;$D15,[1]内部转账!$F:$F,$G15)),"")</f>
        <v>1413.08000000002</v>
      </c>
      <c r="M15" s="63" t="s">
        <v>39</v>
      </c>
      <c r="N15" s="58"/>
      <c r="O15" s="63"/>
      <c r="P15" s="63"/>
      <c r="Q15" s="58"/>
      <c r="R15" s="58"/>
      <c r="S15" s="58"/>
    </row>
    <row r="16" s="2" customFormat="1" ht="24.95" customHeight="1" spans="1:19">
      <c r="A16" s="15"/>
      <c r="B16" s="55"/>
      <c r="C16" s="56"/>
      <c r="D16" s="57">
        <v>45324</v>
      </c>
      <c r="E16" s="58"/>
      <c r="F16" s="58" t="s">
        <v>42</v>
      </c>
      <c r="G16" s="59" t="s">
        <v>27</v>
      </c>
      <c r="H16" s="59" t="s">
        <v>43</v>
      </c>
      <c r="I16" s="60" t="s">
        <v>44</v>
      </c>
      <c r="J16" s="61">
        <v>71000</v>
      </c>
      <c r="K16" s="61"/>
      <c r="L16" s="62">
        <f>IFERROR(IF(G16="","",VLOOKUP($G16,[1]基础信息!$B:$C,2,FALSE)+SUMIF(G$8:G16,G16,J$8:J16)-SUMIF(G$8:G16,G16,K$8:K16)+SUMIFS([1]内部转账!$G:$G,[1]内部转账!$C:$C,"&lt;="&amp;$D16,[1]内部转账!$E:$E,$G16)-SUMIFS([1]内部转账!$G:$G,[1]内部转账!$C:$C,"&lt;="&amp;$D16,[1]内部转账!$F:$F,$G16)),"")</f>
        <v>72413.08</v>
      </c>
      <c r="M16" s="63" t="s">
        <v>45</v>
      </c>
      <c r="N16" s="58"/>
      <c r="O16" s="63" t="s">
        <v>45</v>
      </c>
      <c r="P16" s="63"/>
      <c r="Q16" s="58"/>
      <c r="R16" s="58"/>
      <c r="S16" s="58"/>
    </row>
    <row r="17" s="2" customFormat="1" ht="24.95" customHeight="1" spans="1:19">
      <c r="A17" s="15"/>
      <c r="B17" s="55"/>
      <c r="C17" s="56"/>
      <c r="D17" s="57">
        <v>45329</v>
      </c>
      <c r="E17" s="58"/>
      <c r="F17" s="58" t="s">
        <v>26</v>
      </c>
      <c r="G17" s="59" t="s">
        <v>27</v>
      </c>
      <c r="H17" s="59" t="s">
        <v>46</v>
      </c>
      <c r="I17" s="60" t="s">
        <v>47</v>
      </c>
      <c r="J17" s="61"/>
      <c r="K17" s="61">
        <v>5000</v>
      </c>
      <c r="L17" s="62">
        <f>IFERROR(IF(G17="","",VLOOKUP($G17,[1]基础信息!$B:$C,2,FALSE)+SUMIF(G$8:G17,G17,J$8:J17)-SUMIF(G$8:G17,G17,K$8:K17)+SUMIFS([1]内部转账!$G:$G,[1]内部转账!$C:$C,"&lt;="&amp;$D17,[1]内部转账!$E:$E,$G17)-SUMIFS([1]内部转账!$G:$G,[1]内部转账!$C:$C,"&lt;="&amp;$D17,[1]内部转账!$F:$F,$G17)),"")</f>
        <v>67413.08</v>
      </c>
      <c r="M17" s="63" t="s">
        <v>45</v>
      </c>
      <c r="N17" s="58"/>
      <c r="O17" s="63"/>
      <c r="P17" s="64" t="s">
        <v>47</v>
      </c>
      <c r="Q17" s="58"/>
      <c r="R17" s="58"/>
      <c r="S17" s="58"/>
    </row>
    <row r="18" s="2" customFormat="1" ht="24.95" customHeight="1" spans="1:19">
      <c r="A18" s="15"/>
      <c r="B18" s="55"/>
      <c r="C18" s="56"/>
      <c r="D18" s="57">
        <v>45329</v>
      </c>
      <c r="E18" s="58"/>
      <c r="F18" s="58" t="s">
        <v>26</v>
      </c>
      <c r="G18" s="59" t="s">
        <v>27</v>
      </c>
      <c r="H18" s="59" t="s">
        <v>46</v>
      </c>
      <c r="I18" s="60" t="s">
        <v>48</v>
      </c>
      <c r="J18" s="61"/>
      <c r="K18" s="61">
        <v>10000</v>
      </c>
      <c r="L18" s="62">
        <f>IFERROR(IF(G18="","",VLOOKUP($G18,[1]基础信息!$B:$C,2,FALSE)+SUMIF(G$8:G18,G18,J$8:J18)-SUMIF(G$8:G18,G18,K$8:K18)+SUMIFS([1]内部转账!$G:$G,[1]内部转账!$C:$C,"&lt;="&amp;$D18,[1]内部转账!$E:$E,$G18)-SUMIFS([1]内部转账!$G:$G,[1]内部转账!$C:$C,"&lt;="&amp;$D18,[1]内部转账!$F:$F,$G18)),"")</f>
        <v>57413.08</v>
      </c>
      <c r="M18" s="63" t="s">
        <v>45</v>
      </c>
      <c r="N18" s="58"/>
      <c r="O18" s="63"/>
      <c r="P18" s="63"/>
      <c r="Q18" s="58"/>
      <c r="R18" s="58"/>
      <c r="S18" s="58"/>
    </row>
    <row r="19" s="2" customFormat="1" ht="24.95" customHeight="1" spans="1:19">
      <c r="A19" s="15"/>
      <c r="B19" s="55"/>
      <c r="C19" s="56"/>
      <c r="D19" s="57">
        <v>45329</v>
      </c>
      <c r="E19" s="58"/>
      <c r="F19" s="58" t="s">
        <v>26</v>
      </c>
      <c r="G19" s="59" t="s">
        <v>27</v>
      </c>
      <c r="H19" s="59" t="s">
        <v>46</v>
      </c>
      <c r="I19" s="60" t="s">
        <v>49</v>
      </c>
      <c r="J19" s="61"/>
      <c r="K19" s="61">
        <v>7000</v>
      </c>
      <c r="L19" s="62">
        <f>IFERROR(IF(G19="","",VLOOKUP($G19,[1]基础信息!$B:$C,2,FALSE)+SUMIF(G$8:G19,G19,J$8:J19)-SUMIF(G$8:G19,G19,K$8:K19)+SUMIFS([1]内部转账!$G:$G,[1]内部转账!$C:$C,"&lt;="&amp;$D19,[1]内部转账!$E:$E,$G19)-SUMIFS([1]内部转账!$G:$G,[1]内部转账!$C:$C,"&lt;="&amp;$D19,[1]内部转账!$F:$F,$G19)),"")</f>
        <v>50413.08</v>
      </c>
      <c r="M19" s="63" t="s">
        <v>45</v>
      </c>
      <c r="N19" s="58"/>
      <c r="O19" s="63"/>
      <c r="P19" s="63"/>
      <c r="Q19" s="58"/>
      <c r="R19" s="58"/>
      <c r="S19" s="58"/>
    </row>
    <row r="20" s="2" customFormat="1" ht="24.95" customHeight="1" spans="1:19">
      <c r="A20" s="15"/>
      <c r="B20" s="55"/>
      <c r="C20" s="56"/>
      <c r="D20" s="57">
        <v>45329</v>
      </c>
      <c r="E20" s="58"/>
      <c r="F20" s="58" t="s">
        <v>26</v>
      </c>
      <c r="G20" s="59" t="s">
        <v>27</v>
      </c>
      <c r="H20" s="59" t="s">
        <v>46</v>
      </c>
      <c r="I20" s="60" t="s">
        <v>50</v>
      </c>
      <c r="J20" s="61"/>
      <c r="K20" s="61">
        <v>10000</v>
      </c>
      <c r="L20" s="62">
        <f>IFERROR(IF(G20="","",VLOOKUP($G20,[1]基础信息!$B:$C,2,FALSE)+SUMIF(G$8:G20,G20,J$8:J20)-SUMIF(G$8:G20,G20,K$8:K20)+SUMIFS([1]内部转账!$G:$G,[1]内部转账!$C:$C,"&lt;="&amp;$D20,[1]内部转账!$E:$E,$G20)-SUMIFS([1]内部转账!$G:$G,[1]内部转账!$C:$C,"&lt;="&amp;$D20,[1]内部转账!$F:$F,$G20)),"")</f>
        <v>40413.08</v>
      </c>
      <c r="M20" s="63" t="s">
        <v>45</v>
      </c>
      <c r="N20" s="58"/>
      <c r="O20" s="63"/>
      <c r="P20" s="63"/>
      <c r="Q20" s="58"/>
      <c r="R20" s="58"/>
      <c r="S20" s="58"/>
    </row>
    <row r="21" s="2" customFormat="1" ht="24.95" customHeight="1" spans="1:19">
      <c r="A21" s="15"/>
      <c r="B21" s="55"/>
      <c r="C21" s="56"/>
      <c r="D21" s="57">
        <v>45329</v>
      </c>
      <c r="E21" s="58"/>
      <c r="F21" s="58" t="s">
        <v>26</v>
      </c>
      <c r="G21" s="59" t="s">
        <v>27</v>
      </c>
      <c r="H21" s="59" t="s">
        <v>46</v>
      </c>
      <c r="I21" s="60" t="s">
        <v>51</v>
      </c>
      <c r="J21" s="61"/>
      <c r="K21" s="61">
        <v>5000</v>
      </c>
      <c r="L21" s="62">
        <f>IFERROR(IF(G21="","",VLOOKUP($G21,[1]基础信息!$B:$C,2,FALSE)+SUMIF(G$8:G21,G21,J$8:J21)-SUMIF(G$8:G21,G21,K$8:K21)+SUMIFS([1]内部转账!$G:$G,[1]内部转账!$C:$C,"&lt;="&amp;$D21,[1]内部转账!$E:$E,$G21)-SUMIFS([1]内部转账!$G:$G,[1]内部转账!$C:$C,"&lt;="&amp;$D21,[1]内部转账!$F:$F,$G21)),"")</f>
        <v>35413.08</v>
      </c>
      <c r="M21" s="63" t="s">
        <v>45</v>
      </c>
      <c r="N21" s="58"/>
      <c r="O21" s="63"/>
      <c r="P21" s="63"/>
      <c r="Q21" s="58"/>
      <c r="R21" s="58"/>
      <c r="S21" s="58"/>
    </row>
    <row r="22" s="2" customFormat="1" ht="24.95" customHeight="1" spans="1:19">
      <c r="A22" s="15"/>
      <c r="B22" s="55"/>
      <c r="C22" s="56"/>
      <c r="D22" s="57">
        <v>45329</v>
      </c>
      <c r="E22" s="58"/>
      <c r="F22" s="58" t="s">
        <v>26</v>
      </c>
      <c r="G22" s="59" t="s">
        <v>27</v>
      </c>
      <c r="H22" s="59" t="s">
        <v>46</v>
      </c>
      <c r="I22" s="60" t="s">
        <v>52</v>
      </c>
      <c r="J22" s="61"/>
      <c r="K22" s="61">
        <v>7000</v>
      </c>
      <c r="L22" s="62">
        <f>IFERROR(IF(G22="","",VLOOKUP($G22,[1]基础信息!$B:$C,2,FALSE)+SUMIF(G$8:G22,G22,J$8:J22)-SUMIF(G$8:G22,G22,K$8:K22)+SUMIFS([1]内部转账!$G:$G,[1]内部转账!$C:$C,"&lt;="&amp;$D22,[1]内部转账!$E:$E,$G22)-SUMIFS([1]内部转账!$G:$G,[1]内部转账!$C:$C,"&lt;="&amp;$D22,[1]内部转账!$F:$F,$G22)),"")</f>
        <v>28413.08</v>
      </c>
      <c r="M22" s="63" t="s">
        <v>45</v>
      </c>
      <c r="N22" s="58"/>
      <c r="O22" s="63"/>
      <c r="P22" s="63"/>
      <c r="Q22" s="58"/>
      <c r="R22" s="58"/>
      <c r="S22" s="58"/>
    </row>
    <row r="23" s="2" customFormat="1" ht="24.95" customHeight="1" spans="1:19">
      <c r="A23" s="15"/>
      <c r="B23" s="55"/>
      <c r="C23" s="56"/>
      <c r="D23" s="57">
        <v>45329</v>
      </c>
      <c r="E23" s="58"/>
      <c r="F23" s="58" t="s">
        <v>26</v>
      </c>
      <c r="G23" s="59" t="s">
        <v>27</v>
      </c>
      <c r="H23" s="65" t="s">
        <v>53</v>
      </c>
      <c r="I23" s="60" t="s">
        <v>31</v>
      </c>
      <c r="J23" s="61"/>
      <c r="K23" s="61">
        <v>10000</v>
      </c>
      <c r="L23" s="62">
        <f>IFERROR(IF(G23="","",VLOOKUP($G23,[1]基础信息!$B:$C,2,FALSE)+SUMIF(G$8:G23,G23,J$8:J23)-SUMIF(G$8:G23,G23,K$8:K23)+SUMIFS([1]内部转账!$G:$G,[1]内部转账!$C:$C,"&lt;="&amp;$D23,[1]内部转账!$E:$E,$G23)-SUMIFS([1]内部转账!$G:$G,[1]内部转账!$C:$C,"&lt;="&amp;$D23,[1]内部转账!$F:$F,$G23)),"")</f>
        <v>18413.08</v>
      </c>
      <c r="M23" s="63" t="s">
        <v>45</v>
      </c>
      <c r="N23" s="58" t="s">
        <v>31</v>
      </c>
      <c r="O23" s="63"/>
      <c r="P23" s="63"/>
      <c r="Q23" s="58"/>
      <c r="R23" s="58"/>
      <c r="S23" s="58"/>
    </row>
    <row r="24" s="2" customFormat="1" ht="24.95" customHeight="1" spans="1:19">
      <c r="A24" s="15"/>
      <c r="B24" s="55"/>
      <c r="C24" s="56"/>
      <c r="D24" s="57">
        <v>45372</v>
      </c>
      <c r="E24" s="58"/>
      <c r="F24" s="58" t="s">
        <v>26</v>
      </c>
      <c r="G24" s="59" t="s">
        <v>27</v>
      </c>
      <c r="H24" s="59" t="s">
        <v>33</v>
      </c>
      <c r="I24" s="60" t="s">
        <v>34</v>
      </c>
      <c r="J24" s="61"/>
      <c r="K24" s="61">
        <v>-5.15</v>
      </c>
      <c r="L24" s="62">
        <f>IFERROR(IF(G24="","",VLOOKUP($G24,[1]基础信息!$B:$C,2,FALSE)+SUMIF(G$8:G24,G24,J$8:J24)-SUMIF(G$8:G24,G24,K$8:K24)+SUMIFS([1]内部转账!$G:$G,[1]内部转账!$C:$C,"&lt;="&amp;$D24,[1]内部转账!$E:$E,$G24)-SUMIFS([1]内部转账!$G:$G,[1]内部转账!$C:$C,"&lt;="&amp;$D24,[1]内部转账!$F:$F,$G24)),"")</f>
        <v>18418.23</v>
      </c>
      <c r="M24" s="63" t="s">
        <v>35</v>
      </c>
      <c r="N24" s="58"/>
      <c r="O24" s="63"/>
      <c r="P24" s="63"/>
      <c r="Q24" s="58"/>
      <c r="R24" s="58"/>
      <c r="S24" s="58"/>
    </row>
    <row r="25" s="2" customFormat="1" ht="24.95" customHeight="1" spans="1:19">
      <c r="A25" s="15"/>
      <c r="B25" s="55"/>
      <c r="C25" s="56"/>
      <c r="D25" s="57">
        <v>45404</v>
      </c>
      <c r="E25" s="58"/>
      <c r="F25" s="58" t="s">
        <v>26</v>
      </c>
      <c r="G25" s="59" t="s">
        <v>27</v>
      </c>
      <c r="H25" s="59" t="s">
        <v>33</v>
      </c>
      <c r="I25" s="60" t="s">
        <v>54</v>
      </c>
      <c r="J25" s="61"/>
      <c r="K25" s="61">
        <v>-4000</v>
      </c>
      <c r="L25" s="62">
        <f>IFERROR(IF(G25="","",VLOOKUP($G25,[1]基础信息!$B:$C,2,FALSE)+SUMIF(G$8:G25,G25,J$8:J25)-SUMIF(G$8:G25,G25,K$8:K25)+SUMIFS([1]内部转账!$G:$G,[1]内部转账!$C:$C,"&lt;="&amp;$D25,[1]内部转账!$E:$E,$G25)-SUMIFS([1]内部转账!$G:$G,[1]内部转账!$C:$C,"&lt;="&amp;$D25,[1]内部转账!$F:$F,$G25)),"")</f>
        <v>22418.23</v>
      </c>
      <c r="M25" s="63" t="s">
        <v>45</v>
      </c>
      <c r="N25" s="58"/>
      <c r="O25" s="63"/>
      <c r="P25" s="63" t="s">
        <v>55</v>
      </c>
      <c r="Q25" s="58"/>
      <c r="R25" s="58"/>
      <c r="S25" s="58"/>
    </row>
    <row r="26" s="2" customFormat="1" ht="24.95" customHeight="1" spans="1:19">
      <c r="A26" s="15"/>
      <c r="B26" s="55"/>
      <c r="C26" s="56"/>
      <c r="D26" s="57">
        <v>45426</v>
      </c>
      <c r="E26" s="58"/>
      <c r="F26" s="58" t="s">
        <v>26</v>
      </c>
      <c r="G26" s="59" t="s">
        <v>27</v>
      </c>
      <c r="H26" s="59" t="s">
        <v>46</v>
      </c>
      <c r="I26" s="60" t="s">
        <v>56</v>
      </c>
      <c r="J26" s="61"/>
      <c r="K26" s="61">
        <v>9200</v>
      </c>
      <c r="L26" s="62">
        <f>IFERROR(IF(G26="","",VLOOKUP($G26,[1]基础信息!$B:$C,2,FALSE)+SUMIF(G$8:G26,G26,J$8:J26)-SUMIF(G$8:G26,G26,K$8:K26)+SUMIFS([1]内部转账!$G:$G,[1]内部转账!$C:$C,"&lt;="&amp;$D26,[1]内部转账!$E:$E,$G26)-SUMIFS([1]内部转账!$G:$G,[1]内部转账!$C:$C,"&lt;="&amp;$D26,[1]内部转账!$F:$F,$G26)),"")</f>
        <v>13218.23</v>
      </c>
      <c r="M26" s="63" t="s">
        <v>45</v>
      </c>
      <c r="N26" s="58"/>
      <c r="O26" s="63"/>
      <c r="P26" s="63"/>
      <c r="Q26" s="58"/>
      <c r="R26" s="58"/>
      <c r="S26" s="58"/>
    </row>
    <row r="27" s="2" customFormat="1" ht="24.95" customHeight="1" spans="1:19">
      <c r="A27" s="15"/>
      <c r="B27" s="55"/>
      <c r="C27" s="56"/>
      <c r="D27" s="57">
        <v>45426</v>
      </c>
      <c r="E27" s="58"/>
      <c r="F27" s="58" t="s">
        <v>26</v>
      </c>
      <c r="G27" s="59" t="s">
        <v>27</v>
      </c>
      <c r="H27" s="59" t="s">
        <v>46</v>
      </c>
      <c r="I27" s="60" t="s">
        <v>57</v>
      </c>
      <c r="J27" s="61"/>
      <c r="K27" s="61">
        <v>9500</v>
      </c>
      <c r="L27" s="62">
        <f>IFERROR(IF(G27="","",VLOOKUP($G27,[1]基础信息!$B:$C,2,FALSE)+SUMIF(G$8:G27,G27,J$8:J27)-SUMIF(G$8:G27,G27,K$8:K27)+SUMIFS([1]内部转账!$G:$G,[1]内部转账!$C:$C,"&lt;="&amp;$D27,[1]内部转账!$E:$E,$G27)-SUMIFS([1]内部转账!$G:$G,[1]内部转账!$C:$C,"&lt;="&amp;$D27,[1]内部转账!$F:$F,$G27)),"")</f>
        <v>3718.23000000001</v>
      </c>
      <c r="M27" s="63" t="s">
        <v>45</v>
      </c>
      <c r="N27" s="58"/>
      <c r="O27" s="63"/>
      <c r="P27" s="64" t="s">
        <v>47</v>
      </c>
      <c r="Q27" s="58"/>
      <c r="R27" s="58"/>
      <c r="S27" s="58"/>
    </row>
    <row r="28" s="2" customFormat="1" ht="24.95" customHeight="1" spans="1:19">
      <c r="A28" s="15"/>
      <c r="B28" s="55"/>
      <c r="C28" s="56"/>
      <c r="D28" s="57">
        <v>45429</v>
      </c>
      <c r="E28" s="58"/>
      <c r="F28" s="58" t="s">
        <v>26</v>
      </c>
      <c r="G28" s="59" t="s">
        <v>27</v>
      </c>
      <c r="H28" s="59" t="s">
        <v>58</v>
      </c>
      <c r="I28" s="60" t="s">
        <v>59</v>
      </c>
      <c r="J28" s="61"/>
      <c r="K28" s="61">
        <v>2310</v>
      </c>
      <c r="L28" s="62">
        <f>IFERROR(IF(G28="","",VLOOKUP($G28,[1]基础信息!$B:$C,2,FALSE)+SUMIF(G$8:G28,G28,J$8:J28)-SUMIF(G$8:G28,G28,K$8:K28)+SUMIFS([1]内部转账!$G:$G,[1]内部转账!$C:$C,"&lt;="&amp;$D28,[1]内部转账!$E:$E,$G28)-SUMIFS([1]内部转账!$G:$G,[1]内部转账!$C:$C,"&lt;="&amp;$D28,[1]内部转账!$F:$F,$G28)),"")</f>
        <v>1408.23000000001</v>
      </c>
      <c r="M28" s="63" t="s">
        <v>41</v>
      </c>
      <c r="N28" s="58"/>
      <c r="O28" s="63"/>
      <c r="P28" s="63" t="s">
        <v>55</v>
      </c>
      <c r="Q28" s="58"/>
      <c r="R28" s="58"/>
      <c r="S28" s="58"/>
    </row>
    <row r="29" s="2" customFormat="1" ht="24.95" customHeight="1" spans="1:19">
      <c r="A29" s="15"/>
      <c r="B29" s="55"/>
      <c r="C29" s="56"/>
      <c r="D29" s="57">
        <v>45449</v>
      </c>
      <c r="E29" s="58"/>
      <c r="F29" s="58" t="s">
        <v>42</v>
      </c>
      <c r="G29" s="59" t="s">
        <v>27</v>
      </c>
      <c r="H29" s="59" t="s">
        <v>43</v>
      </c>
      <c r="I29" s="60" t="s">
        <v>60</v>
      </c>
      <c r="J29" s="61">
        <v>300000</v>
      </c>
      <c r="K29" s="61"/>
      <c r="L29" s="62">
        <f>IFERROR(IF(G29="","",VLOOKUP($G29,[1]基础信息!$B:$C,2,FALSE)+SUMIF(G$8:G29,G29,J$8:J29)-SUMIF(G$8:G29,G29,K$8:K29)+SUMIFS([1]内部转账!$G:$G,[1]内部转账!$C:$C,"&lt;="&amp;$D29,[1]内部转账!$E:$E,$G29)-SUMIFS([1]内部转账!$G:$G,[1]内部转账!$C:$C,"&lt;="&amp;$D29,[1]内部转账!$F:$F,$G29)),"")</f>
        <v>301408.23</v>
      </c>
      <c r="M29" s="63" t="s">
        <v>41</v>
      </c>
      <c r="N29" s="58"/>
      <c r="O29" s="63" t="s">
        <v>61</v>
      </c>
      <c r="P29" s="63"/>
      <c r="Q29" s="58"/>
      <c r="R29" s="58"/>
      <c r="S29" s="58"/>
    </row>
    <row r="30" s="2" customFormat="1" ht="24.95" customHeight="1" spans="1:19">
      <c r="A30" s="15"/>
      <c r="B30" s="55"/>
      <c r="C30" s="56"/>
      <c r="D30" s="57">
        <v>45449</v>
      </c>
      <c r="E30" s="58"/>
      <c r="F30" s="58" t="s">
        <v>26</v>
      </c>
      <c r="G30" s="59" t="s">
        <v>27</v>
      </c>
      <c r="H30" s="59" t="s">
        <v>62</v>
      </c>
      <c r="I30" s="60" t="s">
        <v>63</v>
      </c>
      <c r="J30" s="61"/>
      <c r="K30" s="61">
        <v>5146</v>
      </c>
      <c r="L30" s="62">
        <f>IFERROR(IF(G30="","",VLOOKUP($G30,[1]基础信息!$B:$C,2,FALSE)+SUMIF(G$8:G30,G30,J$8:J30)-SUMIF(G$8:G30,G30,K$8:K30)+SUMIFS([1]内部转账!$G:$G,[1]内部转账!$C:$C,"&lt;="&amp;$D30,[1]内部转账!$E:$E,$G30)-SUMIFS([1]内部转账!$G:$G,[1]内部转账!$C:$C,"&lt;="&amp;$D30,[1]内部转账!$F:$F,$G30)),"")</f>
        <v>296262.23</v>
      </c>
      <c r="M30" s="63" t="s">
        <v>41</v>
      </c>
      <c r="N30" s="58"/>
      <c r="O30" s="63"/>
      <c r="P30" s="63" t="s">
        <v>64</v>
      </c>
      <c r="Q30" s="58"/>
      <c r="R30" s="58"/>
      <c r="S30" s="58"/>
    </row>
    <row r="31" s="2" customFormat="1" ht="24.95" customHeight="1" spans="1:19">
      <c r="A31" s="15"/>
      <c r="B31" s="55"/>
      <c r="C31" s="56"/>
      <c r="D31" s="57">
        <v>45449</v>
      </c>
      <c r="E31" s="58"/>
      <c r="F31" s="58" t="s">
        <v>26</v>
      </c>
      <c r="G31" s="59" t="s">
        <v>27</v>
      </c>
      <c r="H31" s="59" t="s">
        <v>62</v>
      </c>
      <c r="I31" s="60" t="s">
        <v>63</v>
      </c>
      <c r="J31" s="61"/>
      <c r="K31" s="61">
        <v>-5146</v>
      </c>
      <c r="L31" s="62">
        <f>IFERROR(IF(G31="","",VLOOKUP($G31,[1]基础信息!$B:$C,2,FALSE)+SUMIF(G$8:G31,G31,J$8:J31)-SUMIF(G$8:G31,G31,K$8:K31)+SUMIFS([1]内部转账!$G:$G,[1]内部转账!$C:$C,"&lt;="&amp;$D31,[1]内部转账!$E:$E,$G31)-SUMIFS([1]内部转账!$G:$G,[1]内部转账!$C:$C,"&lt;="&amp;$D31,[1]内部转账!$F:$F,$G31)),"")</f>
        <v>301408.23</v>
      </c>
      <c r="M31" s="63" t="s">
        <v>41</v>
      </c>
      <c r="N31" s="58"/>
      <c r="O31" s="63"/>
      <c r="P31" s="63" t="s">
        <v>64</v>
      </c>
      <c r="Q31" s="58"/>
      <c r="R31" s="58"/>
      <c r="S31" s="58"/>
    </row>
    <row r="32" s="2" customFormat="1" ht="24.95" customHeight="1" spans="1:19">
      <c r="A32" s="15"/>
      <c r="B32" s="55"/>
      <c r="C32" s="56"/>
      <c r="D32" s="57">
        <v>45449</v>
      </c>
      <c r="E32" s="58"/>
      <c r="F32" s="58" t="s">
        <v>26</v>
      </c>
      <c r="G32" s="59" t="s">
        <v>27</v>
      </c>
      <c r="H32" s="59" t="s">
        <v>62</v>
      </c>
      <c r="I32" s="60" t="s">
        <v>63</v>
      </c>
      <c r="J32" s="61"/>
      <c r="K32" s="61">
        <v>5146</v>
      </c>
      <c r="L32" s="62">
        <f>IFERROR(IF(G32="","",VLOOKUP($G32,[1]基础信息!$B:$C,2,FALSE)+SUMIF(G$8:G32,G32,J$8:J32)-SUMIF(G$8:G32,G32,K$8:K32)+SUMIFS([1]内部转账!$G:$G,[1]内部转账!$C:$C,"&lt;="&amp;$D32,[1]内部转账!$E:$E,$G32)-SUMIFS([1]内部转账!$G:$G,[1]内部转账!$C:$C,"&lt;="&amp;$D32,[1]内部转账!$F:$F,$G32)),"")</f>
        <v>296262.23</v>
      </c>
      <c r="M32" s="63" t="s">
        <v>41</v>
      </c>
      <c r="N32" s="58"/>
      <c r="O32" s="63"/>
      <c r="P32" s="63" t="s">
        <v>64</v>
      </c>
      <c r="Q32" s="58"/>
      <c r="R32" s="58"/>
      <c r="S32" s="58"/>
    </row>
    <row r="33" s="2" customFormat="1" ht="24.95" customHeight="1" spans="1:19">
      <c r="A33" s="15"/>
      <c r="B33" s="55"/>
      <c r="C33" s="56"/>
      <c r="D33" s="57">
        <v>45449</v>
      </c>
      <c r="E33" s="58"/>
      <c r="F33" s="58" t="s">
        <v>26</v>
      </c>
      <c r="G33" s="59" t="s">
        <v>27</v>
      </c>
      <c r="H33" s="59" t="s">
        <v>62</v>
      </c>
      <c r="I33" s="60" t="s">
        <v>63</v>
      </c>
      <c r="J33" s="61"/>
      <c r="K33" s="61">
        <v>130000</v>
      </c>
      <c r="L33" s="62">
        <f>IFERROR(IF(G33="","",VLOOKUP($G33,[1]基础信息!$B:$C,2,FALSE)+SUMIF(G$8:G33,G33,J$8:J33)-SUMIF(G$8:G33,G33,K$8:K33)+SUMIFS([1]内部转账!$G:$G,[1]内部转账!$C:$C,"&lt;="&amp;$D33,[1]内部转账!$E:$E,$G33)-SUMIFS([1]内部转账!$G:$G,[1]内部转账!$C:$C,"&lt;="&amp;$D33,[1]内部转账!$F:$F,$G33)),"")</f>
        <v>166262.23</v>
      </c>
      <c r="M33" s="63" t="s">
        <v>41</v>
      </c>
      <c r="N33" s="58"/>
      <c r="O33" s="63"/>
      <c r="P33" s="63" t="s">
        <v>64</v>
      </c>
      <c r="Q33" s="58"/>
      <c r="R33" s="58"/>
      <c r="S33" s="58"/>
    </row>
    <row r="34" s="2" customFormat="1" ht="24.95" customHeight="1" spans="1:19">
      <c r="A34" s="15"/>
      <c r="B34" s="55"/>
      <c r="C34" s="56"/>
      <c r="D34" s="57">
        <v>45449</v>
      </c>
      <c r="E34" s="58"/>
      <c r="F34" s="58" t="s">
        <v>26</v>
      </c>
      <c r="G34" s="59" t="s">
        <v>27</v>
      </c>
      <c r="H34" s="59" t="s">
        <v>62</v>
      </c>
      <c r="I34" s="60" t="s">
        <v>63</v>
      </c>
      <c r="J34" s="61"/>
      <c r="K34" s="61">
        <v>20000</v>
      </c>
      <c r="L34" s="62">
        <f>IFERROR(IF(G34="","",VLOOKUP($G34,[1]基础信息!$B:$C,2,FALSE)+SUMIF(G$8:G34,G34,J$8:J34)-SUMIF(G$8:G34,G34,K$8:K34)+SUMIFS([1]内部转账!$G:$G,[1]内部转账!$C:$C,"&lt;="&amp;$D34,[1]内部转账!$E:$E,$G34)-SUMIFS([1]内部转账!$G:$G,[1]内部转账!$C:$C,"&lt;="&amp;$D34,[1]内部转账!$F:$F,$G34)),"")</f>
        <v>146262.23</v>
      </c>
      <c r="M34" s="63" t="s">
        <v>41</v>
      </c>
      <c r="N34" s="58"/>
      <c r="O34" s="63"/>
      <c r="P34" s="63" t="s">
        <v>64</v>
      </c>
      <c r="Q34" s="58"/>
      <c r="R34" s="58"/>
      <c r="S34" s="58"/>
    </row>
    <row r="35" s="2" customFormat="1" ht="24.95" customHeight="1" spans="1:19">
      <c r="A35" s="15"/>
      <c r="B35" s="55"/>
      <c r="C35" s="56"/>
      <c r="D35" s="57">
        <v>45451</v>
      </c>
      <c r="E35" s="58"/>
      <c r="F35" s="58" t="s">
        <v>26</v>
      </c>
      <c r="G35" s="59" t="s">
        <v>27</v>
      </c>
      <c r="H35" s="59" t="s">
        <v>46</v>
      </c>
      <c r="I35" s="60" t="s">
        <v>65</v>
      </c>
      <c r="J35" s="61"/>
      <c r="K35" s="61">
        <v>5000</v>
      </c>
      <c r="L35" s="62">
        <f>IFERROR(IF(G35="","",VLOOKUP($G35,[1]基础信息!$B:$C,2,FALSE)+SUMIF(G$8:G35,G35,J$8:J35)-SUMIF(G$8:G35,G35,K$8:K35)+SUMIFS([1]内部转账!$G:$G,[1]内部转账!$C:$C,"&lt;="&amp;$D35,[1]内部转账!$E:$E,$G35)-SUMIFS([1]内部转账!$G:$G,[1]内部转账!$C:$C,"&lt;="&amp;$D35,[1]内部转账!$F:$F,$G35)),"")</f>
        <v>141262.23</v>
      </c>
      <c r="M35" s="63" t="s">
        <v>41</v>
      </c>
      <c r="N35" s="58"/>
      <c r="O35" s="63"/>
      <c r="P35" s="63"/>
      <c r="Q35" s="58"/>
      <c r="R35" s="58"/>
      <c r="S35" s="58"/>
    </row>
    <row r="36" s="2" customFormat="1" ht="24.95" customHeight="1" spans="1:19">
      <c r="A36" s="15"/>
      <c r="B36" s="55"/>
      <c r="C36" s="56"/>
      <c r="D36" s="57">
        <v>45451</v>
      </c>
      <c r="E36" s="58"/>
      <c r="F36" s="58" t="s">
        <v>26</v>
      </c>
      <c r="G36" s="59" t="s">
        <v>27</v>
      </c>
      <c r="H36" s="59" t="s">
        <v>46</v>
      </c>
      <c r="I36" s="60" t="s">
        <v>66</v>
      </c>
      <c r="J36" s="61"/>
      <c r="K36" s="61">
        <v>5000</v>
      </c>
      <c r="L36" s="62">
        <f>IFERROR(IF(G36="","",VLOOKUP($G36,[1]基础信息!$B:$C,2,FALSE)+SUMIF(G$8:G36,G36,J$8:J36)-SUMIF(G$8:G36,G36,K$8:K36)+SUMIFS([1]内部转账!$G:$G,[1]内部转账!$C:$C,"&lt;="&amp;$D36,[1]内部转账!$E:$E,$G36)-SUMIFS([1]内部转账!$G:$G,[1]内部转账!$C:$C,"&lt;="&amp;$D36,[1]内部转账!$F:$F,$G36)),"")</f>
        <v>136262.23</v>
      </c>
      <c r="M36" s="63" t="s">
        <v>41</v>
      </c>
      <c r="N36" s="58"/>
      <c r="O36" s="63"/>
      <c r="P36" s="63"/>
      <c r="Q36" s="58"/>
      <c r="R36" s="58"/>
      <c r="S36" s="58"/>
    </row>
    <row r="37" s="2" customFormat="1" ht="24.95" customHeight="1" spans="1:19">
      <c r="A37" s="15"/>
      <c r="B37" s="55"/>
      <c r="C37" s="56"/>
      <c r="D37" s="57">
        <v>45451</v>
      </c>
      <c r="E37" s="58"/>
      <c r="F37" s="58" t="s">
        <v>26</v>
      </c>
      <c r="G37" s="59" t="s">
        <v>27</v>
      </c>
      <c r="H37" s="59" t="s">
        <v>46</v>
      </c>
      <c r="I37" s="60" t="s">
        <v>67</v>
      </c>
      <c r="J37" s="61"/>
      <c r="K37" s="61">
        <v>5000</v>
      </c>
      <c r="L37" s="62">
        <f>IFERROR(IF(G37="","",VLOOKUP($G37,[1]基础信息!$B:$C,2,FALSE)+SUMIF(G$8:G37,G37,J$8:J37)-SUMIF(G$8:G37,G37,K$8:K37)+SUMIFS([1]内部转账!$G:$G,[1]内部转账!$C:$C,"&lt;="&amp;$D37,[1]内部转账!$E:$E,$G37)-SUMIFS([1]内部转账!$G:$G,[1]内部转账!$C:$C,"&lt;="&amp;$D37,[1]内部转账!$F:$F,$G37)),"")</f>
        <v>131262.23</v>
      </c>
      <c r="M37" s="63" t="s">
        <v>41</v>
      </c>
      <c r="N37" s="58"/>
      <c r="O37" s="63"/>
      <c r="P37" s="63"/>
      <c r="Q37" s="58"/>
      <c r="R37" s="58"/>
      <c r="S37" s="58"/>
    </row>
    <row r="38" s="2" customFormat="1" ht="24.95" customHeight="1" spans="1:19">
      <c r="A38" s="15"/>
      <c r="B38" s="55"/>
      <c r="C38" s="56"/>
      <c r="D38" s="57">
        <v>45451</v>
      </c>
      <c r="E38" s="58"/>
      <c r="F38" s="58" t="s">
        <v>26</v>
      </c>
      <c r="G38" s="59" t="s">
        <v>27</v>
      </c>
      <c r="H38" s="59" t="s">
        <v>46</v>
      </c>
      <c r="I38" s="60" t="s">
        <v>67</v>
      </c>
      <c r="J38" s="61"/>
      <c r="K38" s="61">
        <v>-5000</v>
      </c>
      <c r="L38" s="62">
        <f>IFERROR(IF(G38="","",VLOOKUP($G38,[1]基础信息!$B:$C,2,FALSE)+SUMIF(G$8:G38,G38,J$8:J38)-SUMIF(G$8:G38,G38,K$8:K38)+SUMIFS([1]内部转账!$G:$G,[1]内部转账!$C:$C,"&lt;="&amp;$D38,[1]内部转账!$E:$E,$G38)-SUMIFS([1]内部转账!$G:$G,[1]内部转账!$C:$C,"&lt;="&amp;$D38,[1]内部转账!$F:$F,$G38)),"")</f>
        <v>136262.23</v>
      </c>
      <c r="M38" s="63" t="s">
        <v>41</v>
      </c>
      <c r="N38" s="58"/>
      <c r="O38" s="63"/>
      <c r="P38" s="63"/>
      <c r="Q38" s="58"/>
      <c r="R38" s="58"/>
      <c r="S38" s="58"/>
    </row>
    <row r="39" s="2" customFormat="1" ht="24.95" customHeight="1" spans="1:19">
      <c r="A39" s="15"/>
      <c r="B39" s="55"/>
      <c r="C39" s="56"/>
      <c r="D39" s="57">
        <v>45451</v>
      </c>
      <c r="E39" s="58"/>
      <c r="F39" s="58" t="s">
        <v>26</v>
      </c>
      <c r="G39" s="59" t="s">
        <v>27</v>
      </c>
      <c r="H39" s="59" t="s">
        <v>46</v>
      </c>
      <c r="I39" s="60" t="s">
        <v>68</v>
      </c>
      <c r="J39" s="61"/>
      <c r="K39" s="61">
        <v>5000</v>
      </c>
      <c r="L39" s="62">
        <f>IFERROR(IF(G39="","",VLOOKUP($G39,[1]基础信息!$B:$C,2,FALSE)+SUMIF(G$8:G39,G39,J$8:J39)-SUMIF(G$8:G39,G39,K$8:K39)+SUMIFS([1]内部转账!$G:$G,[1]内部转账!$C:$C,"&lt;="&amp;$D39,[1]内部转账!$E:$E,$G39)-SUMIFS([1]内部转账!$G:$G,[1]内部转账!$C:$C,"&lt;="&amp;$D39,[1]内部转账!$F:$F,$G39)),"")</f>
        <v>131262.23</v>
      </c>
      <c r="M39" s="63" t="s">
        <v>41</v>
      </c>
      <c r="N39" s="58"/>
      <c r="O39" s="63"/>
      <c r="P39" s="63"/>
      <c r="Q39" s="58"/>
      <c r="R39" s="58"/>
      <c r="S39" s="58"/>
    </row>
    <row r="40" s="2" customFormat="1" ht="24.95" customHeight="1" spans="1:19">
      <c r="A40" s="15"/>
      <c r="B40" s="55"/>
      <c r="C40" s="56"/>
      <c r="D40" s="57">
        <v>45451</v>
      </c>
      <c r="E40" s="58"/>
      <c r="F40" s="58" t="s">
        <v>26</v>
      </c>
      <c r="G40" s="59" t="s">
        <v>27</v>
      </c>
      <c r="H40" s="59" t="s">
        <v>46</v>
      </c>
      <c r="I40" s="60" t="s">
        <v>69</v>
      </c>
      <c r="J40" s="61"/>
      <c r="K40" s="61">
        <v>5000</v>
      </c>
      <c r="L40" s="62">
        <f>IFERROR(IF(G40="","",VLOOKUP($G40,[1]基础信息!$B:$C,2,FALSE)+SUMIF(G$8:G40,G40,J$8:J40)-SUMIF(G$8:G40,G40,K$8:K40)+SUMIFS([1]内部转账!$G:$G,[1]内部转账!$C:$C,"&lt;="&amp;$D40,[1]内部转账!$E:$E,$G40)-SUMIFS([1]内部转账!$G:$G,[1]内部转账!$C:$C,"&lt;="&amp;$D40,[1]内部转账!$F:$F,$G40)),"")</f>
        <v>126262.23</v>
      </c>
      <c r="M40" s="63" t="s">
        <v>41</v>
      </c>
      <c r="N40" s="58"/>
      <c r="O40" s="63"/>
      <c r="P40" s="63"/>
      <c r="Q40" s="58"/>
      <c r="R40" s="58"/>
      <c r="S40" s="58"/>
    </row>
    <row r="41" s="2" customFormat="1" ht="24.95" customHeight="1" spans="1:19">
      <c r="A41" s="15"/>
      <c r="B41" s="55"/>
      <c r="C41" s="56"/>
      <c r="D41" s="57">
        <v>45451</v>
      </c>
      <c r="E41" s="58"/>
      <c r="F41" s="58" t="s">
        <v>26</v>
      </c>
      <c r="G41" s="59" t="s">
        <v>27</v>
      </c>
      <c r="H41" s="59" t="s">
        <v>46</v>
      </c>
      <c r="I41" s="60" t="s">
        <v>70</v>
      </c>
      <c r="J41" s="61"/>
      <c r="K41" s="61">
        <v>5000</v>
      </c>
      <c r="L41" s="62">
        <f>IFERROR(IF(G41="","",VLOOKUP($G41,[1]基础信息!$B:$C,2,FALSE)+SUMIF(G$8:G41,G41,J$8:J41)-SUMIF(G$8:G41,G41,K$8:K41)+SUMIFS([1]内部转账!$G:$G,[1]内部转账!$C:$C,"&lt;="&amp;$D41,[1]内部转账!$E:$E,$G41)-SUMIFS([1]内部转账!$G:$G,[1]内部转账!$C:$C,"&lt;="&amp;$D41,[1]内部转账!$F:$F,$G41)),"")</f>
        <v>121262.23</v>
      </c>
      <c r="M41" s="63" t="s">
        <v>41</v>
      </c>
      <c r="N41" s="58"/>
      <c r="O41" s="63"/>
      <c r="P41" s="63"/>
      <c r="Q41" s="58"/>
      <c r="R41" s="58"/>
      <c r="S41" s="58"/>
    </row>
    <row r="42" s="2" customFormat="1" ht="24.95" customHeight="1" spans="1:19">
      <c r="A42" s="15"/>
      <c r="B42" s="55"/>
      <c r="C42" s="56"/>
      <c r="D42" s="57">
        <v>45451</v>
      </c>
      <c r="E42" s="58"/>
      <c r="F42" s="58" t="s">
        <v>26</v>
      </c>
      <c r="G42" s="59" t="s">
        <v>27</v>
      </c>
      <c r="H42" s="59" t="s">
        <v>46</v>
      </c>
      <c r="I42" s="60" t="s">
        <v>71</v>
      </c>
      <c r="J42" s="61"/>
      <c r="K42" s="61">
        <v>5000</v>
      </c>
      <c r="L42" s="62">
        <f>IFERROR(IF(G42="","",VLOOKUP($G42,[1]基础信息!$B:$C,2,FALSE)+SUMIF(G$8:G42,G42,J$8:J42)-SUMIF(G$8:G42,G42,K$8:K42)+SUMIFS([1]内部转账!$G:$G,[1]内部转账!$C:$C,"&lt;="&amp;$D42,[1]内部转账!$E:$E,$G42)-SUMIFS([1]内部转账!$G:$G,[1]内部转账!$C:$C,"&lt;="&amp;$D42,[1]内部转账!$F:$F,$G42)),"")</f>
        <v>116262.23</v>
      </c>
      <c r="M42" s="63" t="s">
        <v>41</v>
      </c>
      <c r="N42" s="58"/>
      <c r="O42" s="63"/>
      <c r="P42" s="63"/>
      <c r="Q42" s="58"/>
      <c r="R42" s="58"/>
      <c r="S42" s="58"/>
    </row>
    <row r="43" s="2" customFormat="1" ht="24.95" customHeight="1" spans="1:19">
      <c r="A43" s="15"/>
      <c r="B43" s="55"/>
      <c r="C43" s="56"/>
      <c r="D43" s="57">
        <v>45451</v>
      </c>
      <c r="E43" s="58"/>
      <c r="F43" s="58" t="s">
        <v>26</v>
      </c>
      <c r="G43" s="59" t="s">
        <v>27</v>
      </c>
      <c r="H43" s="59" t="s">
        <v>46</v>
      </c>
      <c r="I43" s="60" t="s">
        <v>72</v>
      </c>
      <c r="J43" s="61"/>
      <c r="K43" s="61">
        <v>1500</v>
      </c>
      <c r="L43" s="62">
        <f>IFERROR(IF(G43="","",VLOOKUP($G43,[1]基础信息!$B:$C,2,FALSE)+SUMIF(G$8:G43,G43,J$8:J43)-SUMIF(G$8:G43,G43,K$8:K43)+SUMIFS([1]内部转账!$G:$G,[1]内部转账!$C:$C,"&lt;="&amp;$D43,[1]内部转账!$E:$E,$G43)-SUMIFS([1]内部转账!$G:$G,[1]内部转账!$C:$C,"&lt;="&amp;$D43,[1]内部转账!$F:$F,$G43)),"")</f>
        <v>114762.23</v>
      </c>
      <c r="M43" s="63" t="s">
        <v>41</v>
      </c>
      <c r="N43" s="58"/>
      <c r="O43" s="63"/>
      <c r="P43" s="63"/>
      <c r="Q43" s="58"/>
      <c r="R43" s="58"/>
      <c r="S43" s="58"/>
    </row>
    <row r="44" s="2" customFormat="1" ht="24.95" customHeight="1" spans="1:19">
      <c r="A44" s="15"/>
      <c r="B44" s="55"/>
      <c r="C44" s="56"/>
      <c r="D44" s="57">
        <v>45451</v>
      </c>
      <c r="E44" s="58"/>
      <c r="F44" s="58" t="s">
        <v>26</v>
      </c>
      <c r="G44" s="59" t="s">
        <v>27</v>
      </c>
      <c r="H44" s="59" t="s">
        <v>46</v>
      </c>
      <c r="I44" s="60" t="s">
        <v>73</v>
      </c>
      <c r="J44" s="61"/>
      <c r="K44" s="61">
        <v>5000</v>
      </c>
      <c r="L44" s="62">
        <f>IFERROR(IF(G44="","",VLOOKUP($G44,[1]基础信息!$B:$C,2,FALSE)+SUMIF(G$8:G44,G44,J$8:J44)-SUMIF(G$8:G44,G44,K$8:K44)+SUMIFS([1]内部转账!$G:$G,[1]内部转账!$C:$C,"&lt;="&amp;$D44,[1]内部转账!$E:$E,$G44)-SUMIFS([1]内部转账!$G:$G,[1]内部转账!$C:$C,"&lt;="&amp;$D44,[1]内部转账!$F:$F,$G44)),"")</f>
        <v>109762.23</v>
      </c>
      <c r="M44" s="63" t="s">
        <v>41</v>
      </c>
      <c r="N44" s="58"/>
      <c r="O44" s="63"/>
      <c r="P44" s="63"/>
      <c r="Q44" s="58"/>
      <c r="R44" s="58"/>
      <c r="S44" s="58"/>
    </row>
    <row r="45" s="2" customFormat="1" ht="24.95" customHeight="1" spans="1:19">
      <c r="A45" s="15"/>
      <c r="B45" s="55"/>
      <c r="C45" s="56"/>
      <c r="D45" s="57">
        <v>45451</v>
      </c>
      <c r="E45" s="58"/>
      <c r="F45" s="58" t="s">
        <v>26</v>
      </c>
      <c r="G45" s="59" t="s">
        <v>27</v>
      </c>
      <c r="H45" s="59" t="s">
        <v>46</v>
      </c>
      <c r="I45" s="60" t="s">
        <v>47</v>
      </c>
      <c r="J45" s="61"/>
      <c r="K45" s="61">
        <v>5000</v>
      </c>
      <c r="L45" s="62">
        <f>IFERROR(IF(G45="","",VLOOKUP($G45,[1]基础信息!$B:$C,2,FALSE)+SUMIF(G$8:G45,G45,J$8:J45)-SUMIF(G$8:G45,G45,K$8:K45)+SUMIFS([1]内部转账!$G:$G,[1]内部转账!$C:$C,"&lt;="&amp;$D45,[1]内部转账!$E:$E,$G45)-SUMIFS([1]内部转账!$G:$G,[1]内部转账!$C:$C,"&lt;="&amp;$D45,[1]内部转账!$F:$F,$G45)),"")</f>
        <v>104762.23</v>
      </c>
      <c r="M45" s="63" t="s">
        <v>41</v>
      </c>
      <c r="N45" s="58"/>
      <c r="O45" s="63"/>
      <c r="P45" s="64" t="s">
        <v>47</v>
      </c>
      <c r="Q45" s="58"/>
      <c r="R45" s="58"/>
      <c r="S45" s="58"/>
    </row>
    <row r="46" s="2" customFormat="1" ht="24.95" customHeight="1" spans="1:19">
      <c r="A46" s="15"/>
      <c r="B46" s="55"/>
      <c r="C46" s="56"/>
      <c r="D46" s="57">
        <v>45451</v>
      </c>
      <c r="E46" s="58"/>
      <c r="F46" s="58" t="s">
        <v>26</v>
      </c>
      <c r="G46" s="59" t="s">
        <v>27</v>
      </c>
      <c r="H46" s="59" t="s">
        <v>46</v>
      </c>
      <c r="I46" s="60" t="s">
        <v>74</v>
      </c>
      <c r="J46" s="61"/>
      <c r="K46" s="61">
        <v>5000</v>
      </c>
      <c r="L46" s="62">
        <f>IFERROR(IF(G46="","",VLOOKUP($G46,[1]基础信息!$B:$C,2,FALSE)+SUMIF(G$8:G46,G46,J$8:J46)-SUMIF(G$8:G46,G46,K$8:K46)+SUMIFS([1]内部转账!$G:$G,[1]内部转账!$C:$C,"&lt;="&amp;$D46,[1]内部转账!$E:$E,$G46)-SUMIFS([1]内部转账!$G:$G,[1]内部转账!$C:$C,"&lt;="&amp;$D46,[1]内部转账!$F:$F,$G46)),"")</f>
        <v>99762.23</v>
      </c>
      <c r="M46" s="63" t="s">
        <v>41</v>
      </c>
      <c r="N46" s="58"/>
      <c r="O46" s="63"/>
      <c r="P46" s="63"/>
      <c r="Q46" s="58"/>
      <c r="R46" s="58"/>
      <c r="S46" s="58"/>
    </row>
    <row r="47" s="2" customFormat="1" ht="24.95" customHeight="1" spans="1:19">
      <c r="A47" s="15"/>
      <c r="B47" s="55"/>
      <c r="C47" s="56"/>
      <c r="D47" s="57">
        <v>45451</v>
      </c>
      <c r="E47" s="58"/>
      <c r="F47" s="58" t="s">
        <v>26</v>
      </c>
      <c r="G47" s="59" t="s">
        <v>27</v>
      </c>
      <c r="H47" s="59" t="s">
        <v>46</v>
      </c>
      <c r="I47" s="60" t="s">
        <v>75</v>
      </c>
      <c r="J47" s="61"/>
      <c r="K47" s="61">
        <v>5000</v>
      </c>
      <c r="L47" s="62">
        <f>IFERROR(IF(G47="","",VLOOKUP($G47,[1]基础信息!$B:$C,2,FALSE)+SUMIF(G$8:G47,G47,J$8:J47)-SUMIF(G$8:G47,G47,K$8:K47)+SUMIFS([1]内部转账!$G:$G,[1]内部转账!$C:$C,"&lt;="&amp;$D47,[1]内部转账!$E:$E,$G47)-SUMIFS([1]内部转账!$G:$G,[1]内部转账!$C:$C,"&lt;="&amp;$D47,[1]内部转账!$F:$F,$G47)),"")</f>
        <v>94762.23</v>
      </c>
      <c r="M47" s="63" t="s">
        <v>41</v>
      </c>
      <c r="N47" s="58"/>
      <c r="O47" s="63"/>
      <c r="P47" s="63"/>
      <c r="Q47" s="58"/>
      <c r="R47" s="58"/>
      <c r="S47" s="58"/>
    </row>
    <row r="48" s="2" customFormat="1" ht="24.95" customHeight="1" spans="1:19">
      <c r="A48" s="15"/>
      <c r="B48" s="55"/>
      <c r="C48" s="56"/>
      <c r="D48" s="57">
        <v>45451</v>
      </c>
      <c r="E48" s="58"/>
      <c r="F48" s="58" t="s">
        <v>26</v>
      </c>
      <c r="G48" s="59" t="s">
        <v>27</v>
      </c>
      <c r="H48" s="59" t="s">
        <v>46</v>
      </c>
      <c r="I48" s="60" t="s">
        <v>76</v>
      </c>
      <c r="J48" s="61"/>
      <c r="K48" s="61">
        <v>5000</v>
      </c>
      <c r="L48" s="62">
        <f>IFERROR(IF(G48="","",VLOOKUP($G48,[1]基础信息!$B:$C,2,FALSE)+SUMIF(G$8:G48,G48,J$8:J48)-SUMIF(G$8:G48,G48,K$8:K48)+SUMIFS([1]内部转账!$G:$G,[1]内部转账!$C:$C,"&lt;="&amp;$D48,[1]内部转账!$E:$E,$G48)-SUMIFS([1]内部转账!$G:$G,[1]内部转账!$C:$C,"&lt;="&amp;$D48,[1]内部转账!$F:$F,$G48)),"")</f>
        <v>89762.23</v>
      </c>
      <c r="M48" s="63" t="s">
        <v>41</v>
      </c>
      <c r="N48" s="58"/>
      <c r="O48" s="63"/>
      <c r="P48" s="63"/>
      <c r="Q48" s="58"/>
      <c r="R48" s="58"/>
      <c r="S48" s="58"/>
    </row>
    <row r="49" s="2" customFormat="1" ht="24.95" customHeight="1" spans="1:19">
      <c r="A49" s="15"/>
      <c r="B49" s="55"/>
      <c r="C49" s="56"/>
      <c r="D49" s="57">
        <v>45451</v>
      </c>
      <c r="E49" s="58"/>
      <c r="F49" s="58" t="s">
        <v>26</v>
      </c>
      <c r="G49" s="59" t="s">
        <v>27</v>
      </c>
      <c r="H49" s="59" t="s">
        <v>46</v>
      </c>
      <c r="I49" s="60" t="s">
        <v>76</v>
      </c>
      <c r="J49" s="61"/>
      <c r="K49" s="61">
        <v>-5000</v>
      </c>
      <c r="L49" s="62">
        <f>IFERROR(IF(G49="","",VLOOKUP($G49,[1]基础信息!$B:$C,2,FALSE)+SUMIF(G$8:G49,G49,J$8:J49)-SUMIF(G$8:G49,G49,K$8:K49)+SUMIFS([1]内部转账!$G:$G,[1]内部转账!$C:$C,"&lt;="&amp;$D49,[1]内部转账!$E:$E,$G49)-SUMIFS([1]内部转账!$G:$G,[1]内部转账!$C:$C,"&lt;="&amp;$D49,[1]内部转账!$F:$F,$G49)),"")</f>
        <v>94762.23</v>
      </c>
      <c r="M49" s="63" t="s">
        <v>41</v>
      </c>
      <c r="N49" s="58"/>
      <c r="O49" s="63"/>
      <c r="P49" s="63"/>
      <c r="Q49" s="58"/>
      <c r="R49" s="58"/>
      <c r="S49" s="58"/>
    </row>
    <row r="50" s="2" customFormat="1" ht="24.95" customHeight="1" spans="1:19">
      <c r="A50" s="15"/>
      <c r="B50" s="55"/>
      <c r="C50" s="56"/>
      <c r="D50" s="57">
        <v>45451</v>
      </c>
      <c r="E50" s="58"/>
      <c r="F50" s="58" t="s">
        <v>26</v>
      </c>
      <c r="G50" s="59" t="s">
        <v>27</v>
      </c>
      <c r="H50" s="59" t="s">
        <v>46</v>
      </c>
      <c r="I50" s="60" t="s">
        <v>77</v>
      </c>
      <c r="J50" s="61"/>
      <c r="K50" s="61">
        <v>3000</v>
      </c>
      <c r="L50" s="62">
        <f>IFERROR(IF(G50="","",VLOOKUP($G50,[1]基础信息!$B:$C,2,FALSE)+SUMIF(G$8:G50,G50,J$8:J50)-SUMIF(G$8:G50,G50,K$8:K50)+SUMIFS([1]内部转账!$G:$G,[1]内部转账!$C:$C,"&lt;="&amp;$D50,[1]内部转账!$E:$E,$G50)-SUMIFS([1]内部转账!$G:$G,[1]内部转账!$C:$C,"&lt;="&amp;$D50,[1]内部转账!$F:$F,$G50)),"")</f>
        <v>91762.23</v>
      </c>
      <c r="M50" s="63" t="s">
        <v>41</v>
      </c>
      <c r="N50" s="58"/>
      <c r="O50" s="63"/>
      <c r="P50" s="63"/>
      <c r="Q50" s="58"/>
      <c r="R50" s="58"/>
      <c r="S50" s="58"/>
    </row>
    <row r="51" s="2" customFormat="1" ht="24.95" customHeight="1" spans="1:19">
      <c r="A51" s="15"/>
      <c r="B51" s="55"/>
      <c r="C51" s="56"/>
      <c r="D51" s="57">
        <v>45451</v>
      </c>
      <c r="E51" s="58"/>
      <c r="F51" s="58" t="s">
        <v>26</v>
      </c>
      <c r="G51" s="59" t="s">
        <v>27</v>
      </c>
      <c r="H51" s="59" t="s">
        <v>46</v>
      </c>
      <c r="I51" s="60" t="s">
        <v>78</v>
      </c>
      <c r="J51" s="61"/>
      <c r="K51" s="61">
        <v>5000</v>
      </c>
      <c r="L51" s="62">
        <f>IFERROR(IF(G51="","",VLOOKUP($G51,[1]基础信息!$B:$C,2,FALSE)+SUMIF(G$8:G51,G51,J$8:J51)-SUMIF(G$8:G51,G51,K$8:K51)+SUMIFS([1]内部转账!$G:$G,[1]内部转账!$C:$C,"&lt;="&amp;$D51,[1]内部转账!$E:$E,$G51)-SUMIFS([1]内部转账!$G:$G,[1]内部转账!$C:$C,"&lt;="&amp;$D51,[1]内部转账!$F:$F,$G51)),"")</f>
        <v>86762.23</v>
      </c>
      <c r="M51" s="63" t="s">
        <v>41</v>
      </c>
      <c r="N51" s="58"/>
      <c r="O51" s="63"/>
      <c r="P51" s="63"/>
      <c r="Q51" s="58"/>
      <c r="R51" s="58"/>
      <c r="S51" s="58"/>
    </row>
    <row r="52" s="2" customFormat="1" ht="24.95" customHeight="1" spans="1:19">
      <c r="A52" s="15"/>
      <c r="B52" s="55"/>
      <c r="C52" s="56"/>
      <c r="D52" s="57">
        <v>45454</v>
      </c>
      <c r="E52" s="58"/>
      <c r="F52" s="58" t="s">
        <v>26</v>
      </c>
      <c r="G52" s="59" t="s">
        <v>27</v>
      </c>
      <c r="H52" s="59" t="s">
        <v>62</v>
      </c>
      <c r="I52" s="60" t="s">
        <v>79</v>
      </c>
      <c r="J52" s="61"/>
      <c r="K52" s="61">
        <v>21926</v>
      </c>
      <c r="L52" s="62">
        <f>IFERROR(IF(G52="","",VLOOKUP($G52,[1]基础信息!$B:$C,2,FALSE)+SUMIF(G$8:G52,G52,J$8:J52)-SUMIF(G$8:G52,G52,K$8:K52)+SUMIFS([1]内部转账!$G:$G,[1]内部转账!$C:$C,"&lt;="&amp;$D52,[1]内部转账!$E:$E,$G52)-SUMIFS([1]内部转账!$G:$G,[1]内部转账!$C:$C,"&lt;="&amp;$D52,[1]内部转账!$F:$F,$G52)),"")</f>
        <v>64836.23</v>
      </c>
      <c r="M52" s="63" t="s">
        <v>41</v>
      </c>
      <c r="N52" s="58"/>
      <c r="O52" s="63"/>
      <c r="P52" s="63" t="s">
        <v>80</v>
      </c>
      <c r="Q52" s="58"/>
      <c r="R52" s="58"/>
      <c r="S52" s="58"/>
    </row>
    <row r="53" s="2" customFormat="1" ht="24.95" customHeight="1" spans="1:19">
      <c r="A53" s="15"/>
      <c r="B53" s="55"/>
      <c r="C53" s="56"/>
      <c r="D53" s="57">
        <v>45455</v>
      </c>
      <c r="E53" s="58"/>
      <c r="F53" s="58" t="s">
        <v>26</v>
      </c>
      <c r="G53" s="59" t="s">
        <v>27</v>
      </c>
      <c r="H53" s="59" t="s">
        <v>62</v>
      </c>
      <c r="I53" s="60" t="s">
        <v>63</v>
      </c>
      <c r="J53" s="61"/>
      <c r="K53" s="61">
        <v>17500</v>
      </c>
      <c r="L53" s="62">
        <f>IFERROR(IF(G53="","",VLOOKUP($G53,[1]基础信息!$B:$C,2,FALSE)+SUMIF(G$8:G53,G53,J$8:J53)-SUMIF(G$8:G53,G53,K$8:K53)+SUMIFS([1]内部转账!$G:$G,[1]内部转账!$C:$C,"&lt;="&amp;$D53,[1]内部转账!$E:$E,$G53)-SUMIFS([1]内部转账!$G:$G,[1]内部转账!$C:$C,"&lt;="&amp;$D53,[1]内部转账!$F:$F,$G53)),"")</f>
        <v>47336.23</v>
      </c>
      <c r="M53" s="63" t="s">
        <v>41</v>
      </c>
      <c r="N53" s="58"/>
      <c r="O53" s="63"/>
      <c r="P53" s="63" t="s">
        <v>64</v>
      </c>
      <c r="Q53" s="58"/>
      <c r="R53" s="58"/>
      <c r="S53" s="58"/>
    </row>
    <row r="54" s="2" customFormat="1" ht="24.95" customHeight="1" spans="1:19">
      <c r="A54" s="15"/>
      <c r="B54" s="55"/>
      <c r="C54" s="56"/>
      <c r="D54" s="57">
        <v>45457</v>
      </c>
      <c r="E54" s="58"/>
      <c r="F54" s="58" t="s">
        <v>26</v>
      </c>
      <c r="G54" s="59" t="s">
        <v>27</v>
      </c>
      <c r="H54" s="59" t="s">
        <v>46</v>
      </c>
      <c r="I54" s="60" t="s">
        <v>72</v>
      </c>
      <c r="J54" s="61"/>
      <c r="K54" s="61">
        <v>15000</v>
      </c>
      <c r="L54" s="62">
        <f>IFERROR(IF(G54="","",VLOOKUP($G54,[1]基础信息!$B:$C,2,FALSE)+SUMIF(G$8:G54,G54,J$8:J54)-SUMIF(G$8:G54,G54,K$8:K54)+SUMIFS([1]内部转账!$G:$G,[1]内部转账!$C:$C,"&lt;="&amp;$D54,[1]内部转账!$E:$E,$G54)-SUMIFS([1]内部转账!$G:$G,[1]内部转账!$C:$C,"&lt;="&amp;$D54,[1]内部转账!$F:$F,$G54)),"")</f>
        <v>32336.23</v>
      </c>
      <c r="M54" s="63" t="s">
        <v>41</v>
      </c>
      <c r="N54" s="58"/>
      <c r="O54" s="63"/>
      <c r="P54" s="63"/>
      <c r="Q54" s="58"/>
      <c r="R54" s="58"/>
      <c r="S54" s="58"/>
    </row>
    <row r="55" s="2" customFormat="1" ht="24.95" customHeight="1" spans="1:19">
      <c r="A55" s="15"/>
      <c r="B55" s="55"/>
      <c r="C55" s="56"/>
      <c r="D55" s="57">
        <v>45458</v>
      </c>
      <c r="E55" s="58"/>
      <c r="F55" s="58" t="s">
        <v>26</v>
      </c>
      <c r="G55" s="59" t="s">
        <v>27</v>
      </c>
      <c r="H55" s="59" t="s">
        <v>62</v>
      </c>
      <c r="I55" s="60" t="s">
        <v>63</v>
      </c>
      <c r="J55" s="61"/>
      <c r="K55" s="61">
        <v>3432</v>
      </c>
      <c r="L55" s="62">
        <f>IFERROR(IF(G55="","",VLOOKUP($G55,[1]基础信息!$B:$C,2,FALSE)+SUMIF(G$8:G55,G55,J$8:J55)-SUMIF(G$8:G55,G55,K$8:K55)+SUMIFS([1]内部转账!$G:$G,[1]内部转账!$C:$C,"&lt;="&amp;$D55,[1]内部转账!$E:$E,$G55)-SUMIFS([1]内部转账!$G:$G,[1]内部转账!$C:$C,"&lt;="&amp;$D55,[1]内部转账!$F:$F,$G55)),"")</f>
        <v>28904.23</v>
      </c>
      <c r="M55" s="63" t="s">
        <v>41</v>
      </c>
      <c r="N55" s="58"/>
      <c r="O55" s="63"/>
      <c r="P55" s="63" t="s">
        <v>64</v>
      </c>
      <c r="Q55" s="58"/>
      <c r="R55" s="58"/>
      <c r="S55" s="58"/>
    </row>
    <row r="56" s="2" customFormat="1" ht="24.95" customHeight="1" spans="1:19">
      <c r="A56" s="15"/>
      <c r="B56" s="55"/>
      <c r="C56" s="56"/>
      <c r="D56" s="57">
        <v>45462</v>
      </c>
      <c r="E56" s="58"/>
      <c r="F56" s="58" t="s">
        <v>26</v>
      </c>
      <c r="G56" s="59" t="s">
        <v>27</v>
      </c>
      <c r="H56" s="59" t="s">
        <v>62</v>
      </c>
      <c r="I56" s="60" t="s">
        <v>63</v>
      </c>
      <c r="J56" s="61"/>
      <c r="K56" s="61">
        <v>2850</v>
      </c>
      <c r="L56" s="62">
        <f>IFERROR(IF(G56="","",VLOOKUP($G56,[1]基础信息!$B:$C,2,FALSE)+SUMIF(G$8:G56,G56,J$8:J56)-SUMIF(G$8:G56,G56,K$8:K56)+SUMIFS([1]内部转账!$G:$G,[1]内部转账!$C:$C,"&lt;="&amp;$D56,[1]内部转账!$E:$E,$G56)-SUMIFS([1]内部转账!$G:$G,[1]内部转账!$C:$C,"&lt;="&amp;$D56,[1]内部转账!$F:$F,$G56)),"")</f>
        <v>26054.23</v>
      </c>
      <c r="M56" s="63" t="s">
        <v>41</v>
      </c>
      <c r="N56" s="58"/>
      <c r="O56" s="63"/>
      <c r="P56" s="63" t="s">
        <v>64</v>
      </c>
      <c r="Q56" s="58"/>
      <c r="R56" s="58"/>
      <c r="S56" s="58"/>
    </row>
    <row r="57" s="2" customFormat="1" ht="24.95" customHeight="1" spans="1:19">
      <c r="A57" s="15"/>
      <c r="B57" s="55"/>
      <c r="C57" s="56"/>
      <c r="D57" s="57">
        <v>45464</v>
      </c>
      <c r="E57" s="58"/>
      <c r="F57" s="58" t="s">
        <v>26</v>
      </c>
      <c r="G57" s="59" t="s">
        <v>27</v>
      </c>
      <c r="H57" s="59" t="s">
        <v>33</v>
      </c>
      <c r="I57" s="60" t="s">
        <v>34</v>
      </c>
      <c r="J57" s="61"/>
      <c r="K57" s="61">
        <v>-8.48</v>
      </c>
      <c r="L57" s="62">
        <f>IFERROR(IF(G57="","",VLOOKUP($G57,[1]基础信息!$B:$C,2,FALSE)+SUMIF(G$8:G57,G57,J$8:J57)-SUMIF(G$8:G57,G57,K$8:K57)+SUMIFS([1]内部转账!$G:$G,[1]内部转账!$C:$C,"&lt;="&amp;$D57,[1]内部转账!$E:$E,$G57)-SUMIFS([1]内部转账!$G:$G,[1]内部转账!$C:$C,"&lt;="&amp;$D57,[1]内部转账!$F:$F,$G57)),"")</f>
        <v>26062.71</v>
      </c>
      <c r="M57" s="63" t="s">
        <v>35</v>
      </c>
      <c r="N57" s="58"/>
      <c r="O57" s="63"/>
      <c r="P57" s="63"/>
      <c r="Q57" s="58"/>
      <c r="R57" s="58"/>
      <c r="S57" s="58"/>
    </row>
    <row r="58" s="2" customFormat="1" ht="24.95" customHeight="1" spans="1:19">
      <c r="A58" s="15"/>
      <c r="B58" s="55"/>
      <c r="C58" s="56"/>
      <c r="D58" s="57">
        <v>45464</v>
      </c>
      <c r="E58" s="58"/>
      <c r="F58" s="58" t="s">
        <v>26</v>
      </c>
      <c r="G58" s="59" t="s">
        <v>27</v>
      </c>
      <c r="H58" s="59" t="s">
        <v>58</v>
      </c>
      <c r="I58" s="60" t="s">
        <v>81</v>
      </c>
      <c r="J58" s="61"/>
      <c r="K58" s="61">
        <v>3500</v>
      </c>
      <c r="L58" s="62">
        <f>IFERROR(IF(G58="","",VLOOKUP($G58,[1]基础信息!$B:$C,2,FALSE)+SUMIF(G$8:G58,G58,J$8:J58)-SUMIF(G$8:G58,G58,K$8:K58)+SUMIFS([1]内部转账!$G:$G,[1]内部转账!$C:$C,"&lt;="&amp;$D58,[1]内部转账!$E:$E,$G58)-SUMIFS([1]内部转账!$G:$G,[1]内部转账!$C:$C,"&lt;="&amp;$D58,[1]内部转账!$F:$F,$G58)),"")</f>
        <v>22562.71</v>
      </c>
      <c r="M58" s="63" t="s">
        <v>41</v>
      </c>
      <c r="N58" s="58"/>
      <c r="O58" s="63"/>
      <c r="P58" s="63" t="s">
        <v>82</v>
      </c>
      <c r="Q58" s="58"/>
      <c r="R58" s="58"/>
      <c r="S58" s="58"/>
    </row>
    <row r="59" s="2" customFormat="1" ht="24.95" customHeight="1" spans="1:19">
      <c r="A59" s="15"/>
      <c r="B59" s="55"/>
      <c r="C59" s="56"/>
      <c r="D59" s="57">
        <v>45464</v>
      </c>
      <c r="E59" s="58"/>
      <c r="F59" s="58" t="s">
        <v>26</v>
      </c>
      <c r="G59" s="59" t="s">
        <v>27</v>
      </c>
      <c r="H59" s="59" t="s">
        <v>58</v>
      </c>
      <c r="I59" s="60" t="s">
        <v>81</v>
      </c>
      <c r="J59" s="61"/>
      <c r="K59" s="61">
        <v>-3500</v>
      </c>
      <c r="L59" s="62">
        <f>IFERROR(IF(G59="","",VLOOKUP($G59,[1]基础信息!$B:$C,2,FALSE)+SUMIF(G$8:G59,G59,J$8:J59)-SUMIF(G$8:G59,G59,K$8:K59)+SUMIFS([1]内部转账!$G:$G,[1]内部转账!$C:$C,"&lt;="&amp;$D59,[1]内部转账!$E:$E,$G59)-SUMIFS([1]内部转账!$G:$G,[1]内部转账!$C:$C,"&lt;="&amp;$D59,[1]内部转账!$F:$F,$G59)),"")</f>
        <v>26062.71</v>
      </c>
      <c r="M59" s="63" t="s">
        <v>41</v>
      </c>
      <c r="N59" s="58"/>
      <c r="O59" s="63"/>
      <c r="P59" s="63" t="s">
        <v>82</v>
      </c>
      <c r="Q59" s="58"/>
      <c r="R59" s="58"/>
      <c r="S59" s="58"/>
    </row>
    <row r="60" s="2" customFormat="1" ht="24.95" customHeight="1" spans="1:19">
      <c r="A60" s="15"/>
      <c r="B60" s="55"/>
      <c r="C60" s="56"/>
      <c r="D60" s="57">
        <v>45464</v>
      </c>
      <c r="E60" s="58"/>
      <c r="F60" s="58" t="s">
        <v>26</v>
      </c>
      <c r="G60" s="59" t="s">
        <v>27</v>
      </c>
      <c r="H60" s="59" t="s">
        <v>62</v>
      </c>
      <c r="I60" s="60" t="s">
        <v>63</v>
      </c>
      <c r="J60" s="61"/>
      <c r="K60" s="61">
        <v>4818</v>
      </c>
      <c r="L60" s="62">
        <f>IFERROR(IF(G60="","",VLOOKUP($G60,[1]基础信息!$B:$C,2,FALSE)+SUMIF(G$8:G60,G60,J$8:J60)-SUMIF(G$8:G60,G60,K$8:K60)+SUMIFS([1]内部转账!$G:$G,[1]内部转账!$C:$C,"&lt;="&amp;$D60,[1]内部转账!$E:$E,$G60)-SUMIFS([1]内部转账!$G:$G,[1]内部转账!$C:$C,"&lt;="&amp;$D60,[1]内部转账!$F:$F,$G60)),"")</f>
        <v>21244.71</v>
      </c>
      <c r="M60" s="63" t="s">
        <v>41</v>
      </c>
      <c r="N60" s="58"/>
      <c r="O60" s="63"/>
      <c r="P60" s="63" t="s">
        <v>64</v>
      </c>
      <c r="Q60" s="58"/>
      <c r="R60" s="58"/>
      <c r="S60" s="58"/>
    </row>
    <row r="61" s="2" customFormat="1" ht="24.95" customHeight="1" spans="1:19">
      <c r="A61" s="15"/>
      <c r="B61" s="55"/>
      <c r="C61" s="56"/>
      <c r="D61" s="57">
        <v>45464</v>
      </c>
      <c r="E61" s="58"/>
      <c r="F61" s="58" t="s">
        <v>26</v>
      </c>
      <c r="G61" s="59" t="s">
        <v>27</v>
      </c>
      <c r="H61" s="59" t="s">
        <v>58</v>
      </c>
      <c r="I61" s="60" t="s">
        <v>81</v>
      </c>
      <c r="J61" s="61"/>
      <c r="K61" s="61">
        <v>3500</v>
      </c>
      <c r="L61" s="62">
        <f>IFERROR(IF(G61="","",VLOOKUP($G61,[1]基础信息!$B:$C,2,FALSE)+SUMIF(G$8:G61,G61,J$8:J61)-SUMIF(G$8:G61,G61,K$8:K61)+SUMIFS([1]内部转账!$G:$G,[1]内部转账!$C:$C,"&lt;="&amp;$D61,[1]内部转账!$E:$E,$G61)-SUMIFS([1]内部转账!$G:$G,[1]内部转账!$C:$C,"&lt;="&amp;$D61,[1]内部转账!$F:$F,$G61)),"")</f>
        <v>17744.71</v>
      </c>
      <c r="M61" s="63" t="s">
        <v>41</v>
      </c>
      <c r="N61" s="58"/>
      <c r="O61" s="63"/>
      <c r="P61" s="63" t="s">
        <v>82</v>
      </c>
      <c r="Q61" s="58"/>
      <c r="R61" s="58"/>
      <c r="S61" s="58"/>
    </row>
    <row r="62" s="2" customFormat="1" ht="24.95" customHeight="1" spans="1:19">
      <c r="A62" s="15"/>
      <c r="B62" s="55"/>
      <c r="C62" s="56"/>
      <c r="D62" s="57">
        <v>45471</v>
      </c>
      <c r="E62" s="58"/>
      <c r="F62" s="58" t="s">
        <v>26</v>
      </c>
      <c r="G62" s="59" t="s">
        <v>27</v>
      </c>
      <c r="H62" s="59" t="s">
        <v>46</v>
      </c>
      <c r="I62" s="60" t="s">
        <v>76</v>
      </c>
      <c r="J62" s="61"/>
      <c r="K62" s="61">
        <v>6000</v>
      </c>
      <c r="L62" s="62">
        <f>IFERROR(IF(G62="","",VLOOKUP($G62,[1]基础信息!$B:$C,2,FALSE)+SUMIF(G$8:G62,G62,J$8:J62)-SUMIF(G$8:G62,G62,K$8:K62)+SUMIFS([1]内部转账!$G:$G,[1]内部转账!$C:$C,"&lt;="&amp;$D62,[1]内部转账!$E:$E,$G62)-SUMIFS([1]内部转账!$G:$G,[1]内部转账!$C:$C,"&lt;="&amp;$D62,[1]内部转账!$F:$F,$G62)),"")</f>
        <v>11744.71</v>
      </c>
      <c r="M62" s="63" t="s">
        <v>41</v>
      </c>
      <c r="N62" s="58"/>
      <c r="O62" s="63"/>
      <c r="P62" s="63"/>
      <c r="Q62" s="58"/>
      <c r="R62" s="58"/>
      <c r="S62" s="58"/>
    </row>
    <row r="63" s="2" customFormat="1" ht="24.95" customHeight="1" spans="1:19">
      <c r="A63" s="15"/>
      <c r="B63" s="55"/>
      <c r="C63" s="56"/>
      <c r="D63" s="57">
        <v>45471</v>
      </c>
      <c r="E63" s="58"/>
      <c r="F63" s="58" t="s">
        <v>26</v>
      </c>
      <c r="G63" s="59" t="s">
        <v>27</v>
      </c>
      <c r="H63" s="59" t="s">
        <v>46</v>
      </c>
      <c r="I63" s="60" t="s">
        <v>76</v>
      </c>
      <c r="J63" s="61"/>
      <c r="K63" s="61">
        <v>-6000</v>
      </c>
      <c r="L63" s="62">
        <f>IFERROR(IF(G63="","",VLOOKUP($G63,[1]基础信息!$B:$C,2,FALSE)+SUMIF(G$8:G63,G63,J$8:J63)-SUMIF(G$8:G63,G63,K$8:K63)+SUMIFS([1]内部转账!$G:$G,[1]内部转账!$C:$C,"&lt;="&amp;$D63,[1]内部转账!$E:$E,$G63)-SUMIFS([1]内部转账!$G:$G,[1]内部转账!$C:$C,"&lt;="&amp;$D63,[1]内部转账!$F:$F,$G63)),"")</f>
        <v>17744.71</v>
      </c>
      <c r="M63" s="63" t="s">
        <v>41</v>
      </c>
      <c r="N63" s="58"/>
      <c r="O63" s="63"/>
      <c r="P63" s="63"/>
      <c r="Q63" s="58"/>
      <c r="R63" s="58"/>
      <c r="S63" s="58"/>
    </row>
    <row r="64" s="2" customFormat="1" ht="24.95" customHeight="1" spans="1:19">
      <c r="A64" s="15"/>
      <c r="B64" s="55"/>
      <c r="C64" s="56"/>
      <c r="D64" s="57">
        <v>45471</v>
      </c>
      <c r="E64" s="58"/>
      <c r="F64" s="58" t="s">
        <v>26</v>
      </c>
      <c r="G64" s="59" t="s">
        <v>27</v>
      </c>
      <c r="H64" s="59" t="s">
        <v>46</v>
      </c>
      <c r="I64" s="60" t="s">
        <v>76</v>
      </c>
      <c r="J64" s="61"/>
      <c r="K64" s="61">
        <v>5000</v>
      </c>
      <c r="L64" s="62">
        <f>IFERROR(IF(G64="","",VLOOKUP($G64,[1]基础信息!$B:$C,2,FALSE)+SUMIF(G$8:G64,G64,J$8:J64)-SUMIF(G$8:G64,G64,K$8:K64)+SUMIFS([1]内部转账!$G:$G,[1]内部转账!$C:$C,"&lt;="&amp;$D64,[1]内部转账!$E:$E,$G64)-SUMIFS([1]内部转账!$G:$G,[1]内部转账!$C:$C,"&lt;="&amp;$D64,[1]内部转账!$F:$F,$G64)),"")</f>
        <v>12744.71</v>
      </c>
      <c r="M64" s="63" t="s">
        <v>41</v>
      </c>
      <c r="N64" s="58"/>
      <c r="O64" s="63"/>
      <c r="P64" s="63"/>
      <c r="Q64" s="58"/>
      <c r="R64" s="58"/>
      <c r="S64" s="58"/>
    </row>
    <row r="65" s="2" customFormat="1" ht="24.95" customHeight="1" spans="1:19">
      <c r="A65" s="15"/>
      <c r="B65" s="55"/>
      <c r="C65" s="56"/>
      <c r="D65" s="57">
        <v>45473</v>
      </c>
      <c r="E65" s="58"/>
      <c r="F65" s="58" t="s">
        <v>26</v>
      </c>
      <c r="G65" s="59" t="s">
        <v>27</v>
      </c>
      <c r="H65" s="59" t="s">
        <v>62</v>
      </c>
      <c r="I65" s="60" t="s">
        <v>63</v>
      </c>
      <c r="J65" s="61"/>
      <c r="K65" s="61">
        <v>5990</v>
      </c>
      <c r="L65" s="62">
        <f>IFERROR(IF(G65="","",VLOOKUP($G65,[1]基础信息!$B:$C,2,FALSE)+SUMIF(G$8:G65,G65,J$8:J65)-SUMIF(G$8:G65,G65,K$8:K65)+SUMIFS([1]内部转账!$G:$G,[1]内部转账!$C:$C,"&lt;="&amp;$D65,[1]内部转账!$E:$E,$G65)-SUMIFS([1]内部转账!$G:$G,[1]内部转账!$C:$C,"&lt;="&amp;$D65,[1]内部转账!$F:$F,$G65)),"")</f>
        <v>6754.70999999996</v>
      </c>
      <c r="M65" s="63" t="s">
        <v>41</v>
      </c>
      <c r="N65" s="58"/>
      <c r="O65" s="63"/>
      <c r="P65" s="63" t="s">
        <v>64</v>
      </c>
      <c r="Q65" s="58"/>
      <c r="R65" s="58"/>
      <c r="S65" s="58"/>
    </row>
    <row r="66" s="2" customFormat="1" ht="24.95" customHeight="1" spans="1:19">
      <c r="A66" s="15"/>
      <c r="B66" s="55"/>
      <c r="C66" s="56"/>
      <c r="D66" s="57">
        <v>45484</v>
      </c>
      <c r="E66" s="58"/>
      <c r="F66" s="58" t="s">
        <v>26</v>
      </c>
      <c r="G66" s="59" t="s">
        <v>27</v>
      </c>
      <c r="H66" s="59" t="s">
        <v>83</v>
      </c>
      <c r="I66" s="60" t="s">
        <v>84</v>
      </c>
      <c r="J66" s="61"/>
      <c r="K66" s="61">
        <v>971.01</v>
      </c>
      <c r="L66" s="62">
        <f>IFERROR(IF(G66="","",VLOOKUP($G66,[1]基础信息!$B:$C,2,FALSE)+SUMIF(G$8:G66,G66,J$8:J66)-SUMIF(G$8:G66,G66,K$8:K66)+SUMIFS([1]内部转账!$G:$G,[1]内部转账!$C:$C,"&lt;="&amp;$D66,[1]内部转账!$E:$E,$G66)-SUMIFS([1]内部转账!$G:$G,[1]内部转账!$C:$C,"&lt;="&amp;$D66,[1]内部转账!$F:$F,$G66)),"")</f>
        <v>5783.69999999995</v>
      </c>
      <c r="M66" s="63" t="s">
        <v>41</v>
      </c>
      <c r="N66" s="58"/>
      <c r="O66" s="63"/>
      <c r="P66" s="63"/>
      <c r="Q66" s="58"/>
      <c r="R66" s="58"/>
      <c r="S66" s="58"/>
    </row>
    <row r="67" s="2" customFormat="1" ht="24.95" customHeight="1" spans="1:19">
      <c r="A67" s="15"/>
      <c r="B67" s="55"/>
      <c r="C67" s="56"/>
      <c r="D67" s="57">
        <v>45485</v>
      </c>
      <c r="E67" s="58"/>
      <c r="F67" s="58" t="s">
        <v>26</v>
      </c>
      <c r="G67" s="59" t="s">
        <v>27</v>
      </c>
      <c r="H67" s="59" t="s">
        <v>62</v>
      </c>
      <c r="I67" s="60" t="s">
        <v>63</v>
      </c>
      <c r="J67" s="61"/>
      <c r="K67" s="61">
        <v>4700</v>
      </c>
      <c r="L67" s="62">
        <f>IFERROR(IF(G67="","",VLOOKUP($G67,[1]基础信息!$B:$C,2,FALSE)+SUMIF(G$8:G67,G67,J$8:J67)-SUMIF(G$8:G67,G67,K$8:K67)+SUMIFS([1]内部转账!$G:$G,[1]内部转账!$C:$C,"&lt;="&amp;$D67,[1]内部转账!$E:$E,$G67)-SUMIFS([1]内部转账!$G:$G,[1]内部转账!$C:$C,"&lt;="&amp;$D67,[1]内部转账!$F:$F,$G67)),"")</f>
        <v>1083.69999999995</v>
      </c>
      <c r="M67" s="63" t="s">
        <v>41</v>
      </c>
      <c r="N67" s="58"/>
      <c r="O67" s="63"/>
      <c r="P67" s="63" t="s">
        <v>64</v>
      </c>
      <c r="Q67" s="58"/>
      <c r="R67" s="58"/>
      <c r="S67" s="58"/>
    </row>
    <row r="68" s="2" customFormat="1" ht="24.95" customHeight="1" spans="1:19">
      <c r="A68" s="15"/>
      <c r="B68" s="55"/>
      <c r="C68" s="56"/>
      <c r="D68" s="57">
        <v>45485</v>
      </c>
      <c r="E68" s="58"/>
      <c r="F68" s="58" t="s">
        <v>26</v>
      </c>
      <c r="G68" s="59" t="s">
        <v>27</v>
      </c>
      <c r="H68" s="59" t="s">
        <v>46</v>
      </c>
      <c r="I68" s="60" t="s">
        <v>85</v>
      </c>
      <c r="J68" s="61"/>
      <c r="K68" s="61">
        <v>1000</v>
      </c>
      <c r="L68" s="62">
        <f>IFERROR(IF(G68="","",VLOOKUP($G68,[1]基础信息!$B:$C,2,FALSE)+SUMIF(G$8:G68,G68,J$8:J68)-SUMIF(G$8:G68,G68,K$8:K68)+SUMIFS([1]内部转账!$G:$G,[1]内部转账!$C:$C,"&lt;="&amp;$D68,[1]内部转账!$E:$E,$G68)-SUMIFS([1]内部转账!$G:$G,[1]内部转账!$C:$C,"&lt;="&amp;$D68,[1]内部转账!$F:$F,$G68)),"")</f>
        <v>83.6999999999534</v>
      </c>
      <c r="M68" s="63" t="s">
        <v>41</v>
      </c>
      <c r="N68" s="58"/>
      <c r="O68" s="63"/>
      <c r="P68" s="63"/>
      <c r="Q68" s="58"/>
      <c r="R68" s="58"/>
      <c r="S68" s="58"/>
    </row>
    <row r="69" s="2" customFormat="1" ht="24.95" customHeight="1" spans="1:19">
      <c r="A69" s="15"/>
      <c r="B69" s="55"/>
      <c r="C69" s="56"/>
      <c r="D69" s="57">
        <v>45509</v>
      </c>
      <c r="E69" s="58"/>
      <c r="F69" s="58" t="s">
        <v>26</v>
      </c>
      <c r="G69" s="59" t="s">
        <v>27</v>
      </c>
      <c r="H69" s="59" t="s">
        <v>28</v>
      </c>
      <c r="I69" s="60" t="s">
        <v>29</v>
      </c>
      <c r="J69" s="61"/>
      <c r="K69" s="61">
        <v>-5000</v>
      </c>
      <c r="L69" s="62">
        <f>IFERROR(IF(G69="","",VLOOKUP($G69,[1]基础信息!$B:$C,2,FALSE)+SUMIF(G$8:G69,G69,J$8:J69)-SUMIF(G$8:G69,G69,K$8:K69)+SUMIFS([1]内部转账!$G:$G,[1]内部转账!$C:$C,"&lt;="&amp;$D69,[1]内部转账!$E:$E,$G69)-SUMIFS([1]内部转账!$G:$G,[1]内部转账!$C:$C,"&lt;="&amp;$D69,[1]内部转账!$F:$F,$G69)),"")</f>
        <v>5083.69999999995</v>
      </c>
      <c r="M69" s="63" t="s">
        <v>30</v>
      </c>
      <c r="N69" s="58" t="s">
        <v>31</v>
      </c>
      <c r="O69" s="63"/>
      <c r="P69" s="63" t="s">
        <v>31</v>
      </c>
      <c r="Q69" s="58"/>
      <c r="R69" s="58"/>
      <c r="S69" s="58"/>
    </row>
    <row r="70" s="2" customFormat="1" ht="24.95" customHeight="1" spans="1:19">
      <c r="A70" s="15"/>
      <c r="B70" s="55"/>
      <c r="C70" s="56"/>
      <c r="D70" s="57">
        <v>45509</v>
      </c>
      <c r="E70" s="58"/>
      <c r="F70" s="58" t="s">
        <v>26</v>
      </c>
      <c r="G70" s="59" t="s">
        <v>27</v>
      </c>
      <c r="H70" s="59" t="s">
        <v>46</v>
      </c>
      <c r="I70" s="60" t="s">
        <v>86</v>
      </c>
      <c r="J70" s="61"/>
      <c r="K70" s="61">
        <v>2800</v>
      </c>
      <c r="L70" s="62">
        <f>IFERROR(IF(G70="","",VLOOKUP($G70,[1]基础信息!$B:$C,2,FALSE)+SUMIF(G$8:G70,G70,J$8:J70)-SUMIF(G$8:G70,G70,K$8:K70)+SUMIFS([1]内部转账!$G:$G,[1]内部转账!$C:$C,"&lt;="&amp;$D70,[1]内部转账!$E:$E,$G70)-SUMIFS([1]内部转账!$G:$G,[1]内部转账!$C:$C,"&lt;="&amp;$D70,[1]内部转账!$F:$F,$G70)),"")</f>
        <v>2283.69999999995</v>
      </c>
      <c r="M70" s="63" t="s">
        <v>41</v>
      </c>
      <c r="N70" s="58"/>
      <c r="O70" s="63"/>
      <c r="P70" s="63"/>
      <c r="Q70" s="58"/>
      <c r="R70" s="58"/>
      <c r="S70" s="58"/>
    </row>
    <row r="71" s="2" customFormat="1" ht="24.95" customHeight="1" spans="1:19">
      <c r="A71" s="15"/>
      <c r="B71" s="55"/>
      <c r="C71" s="56"/>
      <c r="D71" s="57">
        <v>45523</v>
      </c>
      <c r="E71" s="58"/>
      <c r="F71" s="58" t="s">
        <v>26</v>
      </c>
      <c r="G71" s="59" t="s">
        <v>27</v>
      </c>
      <c r="H71" s="59" t="s">
        <v>37</v>
      </c>
      <c r="I71" s="60" t="s">
        <v>87</v>
      </c>
      <c r="J71" s="61"/>
      <c r="K71" s="61">
        <v>-1000000</v>
      </c>
      <c r="L71" s="62">
        <f>IFERROR(IF(G71="","",VLOOKUP($G71,[1]基础信息!$B:$C,2,FALSE)+SUMIF(G$8:G71,G71,J$8:J71)-SUMIF(G$8:G71,G71,K$8:K71)+SUMIFS([1]内部转账!$G:$G,[1]内部转账!$C:$C,"&lt;="&amp;$D71,[1]内部转账!$E:$E,$G71)-SUMIFS([1]内部转账!$G:$G,[1]内部转账!$C:$C,"&lt;="&amp;$D71,[1]内部转账!$F:$F,$G71)),"")</f>
        <v>1002283.7</v>
      </c>
      <c r="M71" s="63" t="s">
        <v>39</v>
      </c>
      <c r="N71" s="58"/>
      <c r="O71" s="63"/>
      <c r="P71" s="63"/>
      <c r="Q71" s="58"/>
      <c r="R71" s="58"/>
      <c r="S71" s="58"/>
    </row>
    <row r="72" s="2" customFormat="1" ht="24.95" customHeight="1" spans="1:19">
      <c r="A72" s="15"/>
      <c r="B72" s="55"/>
      <c r="C72" s="56"/>
      <c r="D72" s="57">
        <v>45523</v>
      </c>
      <c r="E72" s="58"/>
      <c r="F72" s="58" t="s">
        <v>26</v>
      </c>
      <c r="G72" s="59" t="s">
        <v>27</v>
      </c>
      <c r="H72" s="59" t="s">
        <v>28</v>
      </c>
      <c r="I72" s="60" t="s">
        <v>88</v>
      </c>
      <c r="J72" s="61"/>
      <c r="K72" s="61">
        <v>200000</v>
      </c>
      <c r="L72" s="62">
        <f>IFERROR(IF(G72="","",VLOOKUP($G72,[1]基础信息!$B:$C,2,FALSE)+SUMIF(G$8:G72,G72,J$8:J72)-SUMIF(G$8:G72,G72,K$8:K72)+SUMIFS([1]内部转账!$G:$G,[1]内部转账!$C:$C,"&lt;="&amp;$D72,[1]内部转账!$E:$E,$G72)-SUMIFS([1]内部转账!$G:$G,[1]内部转账!$C:$C,"&lt;="&amp;$D72,[1]内部转账!$F:$F,$G72)),"")</f>
        <v>802283.7</v>
      </c>
      <c r="M72" s="63" t="s">
        <v>30</v>
      </c>
      <c r="N72" s="58" t="s">
        <v>31</v>
      </c>
      <c r="O72" s="63"/>
      <c r="P72" s="63" t="s">
        <v>31</v>
      </c>
      <c r="Q72" s="58"/>
      <c r="R72" s="58"/>
      <c r="S72" s="58"/>
    </row>
    <row r="73" s="2" customFormat="1" ht="24.95" customHeight="1" spans="1:19">
      <c r="A73" s="15"/>
      <c r="B73" s="55"/>
      <c r="C73" s="56"/>
      <c r="D73" s="57">
        <v>45524</v>
      </c>
      <c r="E73" s="58"/>
      <c r="F73" s="58" t="s">
        <v>26</v>
      </c>
      <c r="G73" s="59" t="s">
        <v>27</v>
      </c>
      <c r="H73" s="59" t="s">
        <v>62</v>
      </c>
      <c r="I73" s="60" t="s">
        <v>79</v>
      </c>
      <c r="J73" s="61"/>
      <c r="K73" s="61">
        <v>1789</v>
      </c>
      <c r="L73" s="62">
        <f>IFERROR(IF(G73="","",VLOOKUP($G73,[1]基础信息!$B:$C,2,FALSE)+SUMIF(G$8:G73,G73,J$8:J73)-SUMIF(G$8:G73,G73,K$8:K73)+SUMIFS([1]内部转账!$G:$G,[1]内部转账!$C:$C,"&lt;="&amp;$D73,[1]内部转账!$E:$E,$G73)-SUMIFS([1]内部转账!$G:$G,[1]内部转账!$C:$C,"&lt;="&amp;$D73,[1]内部转账!$F:$F,$G73)),"")</f>
        <v>800494.7</v>
      </c>
      <c r="M73" s="63" t="s">
        <v>41</v>
      </c>
      <c r="N73" s="58"/>
      <c r="O73" s="63"/>
      <c r="P73" s="63" t="s">
        <v>80</v>
      </c>
      <c r="Q73" s="58"/>
      <c r="R73" s="58"/>
      <c r="S73" s="58"/>
    </row>
    <row r="74" s="2" customFormat="1" ht="24.95" customHeight="1" spans="1:19">
      <c r="A74" s="15"/>
      <c r="B74" s="55"/>
      <c r="C74" s="56"/>
      <c r="D74" s="57">
        <v>45524</v>
      </c>
      <c r="E74" s="58"/>
      <c r="F74" s="58" t="s">
        <v>26</v>
      </c>
      <c r="G74" s="59" t="s">
        <v>27</v>
      </c>
      <c r="H74" s="59" t="s">
        <v>28</v>
      </c>
      <c r="I74" s="60" t="s">
        <v>89</v>
      </c>
      <c r="J74" s="61"/>
      <c r="K74" s="61">
        <v>490000</v>
      </c>
      <c r="L74" s="62">
        <f>IFERROR(IF(G74="","",VLOOKUP($G74,[1]基础信息!$B:$C,2,FALSE)+SUMIF(G$8:G74,G74,J$8:J74)-SUMIF(G$8:G74,G74,K$8:K74)+SUMIFS([1]内部转账!$G:$G,[1]内部转账!$C:$C,"&lt;="&amp;$D74,[1]内部转账!$E:$E,$G74)-SUMIFS([1]内部转账!$G:$G,[1]内部转账!$C:$C,"&lt;="&amp;$D74,[1]内部转账!$F:$F,$G74)),"")</f>
        <v>310494.7</v>
      </c>
      <c r="M74" s="63" t="s">
        <v>30</v>
      </c>
      <c r="N74" s="58" t="s">
        <v>31</v>
      </c>
      <c r="O74" s="63"/>
      <c r="P74" s="63" t="s">
        <v>31</v>
      </c>
      <c r="Q74" s="58"/>
      <c r="R74" s="58"/>
      <c r="S74" s="58"/>
    </row>
    <row r="75" s="2" customFormat="1" ht="24.95" customHeight="1" spans="1:19">
      <c r="A75" s="15"/>
      <c r="B75" s="55"/>
      <c r="C75" s="56"/>
      <c r="D75" s="57">
        <v>45530</v>
      </c>
      <c r="E75" s="58"/>
      <c r="F75" s="58" t="s">
        <v>26</v>
      </c>
      <c r="G75" s="59" t="s">
        <v>27</v>
      </c>
      <c r="H75" s="59" t="s">
        <v>62</v>
      </c>
      <c r="I75" s="60" t="s">
        <v>79</v>
      </c>
      <c r="J75" s="61"/>
      <c r="K75" s="61">
        <v>15000</v>
      </c>
      <c r="L75" s="62">
        <f>IFERROR(IF(G75="","",VLOOKUP($G75,[1]基础信息!$B:$C,2,FALSE)+SUMIF(G$8:G75,G75,J$8:J75)-SUMIF(G$8:G75,G75,K$8:K75)+SUMIFS([1]内部转账!$G:$G,[1]内部转账!$C:$C,"&lt;="&amp;$D75,[1]内部转账!$E:$E,$G75)-SUMIFS([1]内部转账!$G:$G,[1]内部转账!$C:$C,"&lt;="&amp;$D75,[1]内部转账!$F:$F,$G75)),"")</f>
        <v>295494.7</v>
      </c>
      <c r="M75" s="63" t="s">
        <v>41</v>
      </c>
      <c r="N75" s="58"/>
      <c r="O75" s="63"/>
      <c r="P75" s="63" t="s">
        <v>90</v>
      </c>
      <c r="Q75" s="58"/>
      <c r="R75" s="58"/>
      <c r="S75" s="58"/>
    </row>
    <row r="76" s="2" customFormat="1" ht="24.95" customHeight="1" spans="1:19">
      <c r="A76" s="15"/>
      <c r="B76" s="55"/>
      <c r="C76" s="56"/>
      <c r="D76" s="57">
        <v>45530</v>
      </c>
      <c r="E76" s="58"/>
      <c r="F76" s="58" t="s">
        <v>26</v>
      </c>
      <c r="G76" s="59" t="s">
        <v>27</v>
      </c>
      <c r="H76" s="59" t="s">
        <v>28</v>
      </c>
      <c r="I76" s="60" t="s">
        <v>91</v>
      </c>
      <c r="J76" s="61"/>
      <c r="K76" s="61">
        <v>95000</v>
      </c>
      <c r="L76" s="62">
        <f>IFERROR(IF(G76="","",VLOOKUP($G76,[1]基础信息!$B:$C,2,FALSE)+SUMIF(G$8:G76,G76,J$8:J76)-SUMIF(G$8:G76,G76,K$8:K76)+SUMIFS([1]内部转账!$G:$G,[1]内部转账!$C:$C,"&lt;="&amp;$D76,[1]内部转账!$E:$E,$G76)-SUMIFS([1]内部转账!$G:$G,[1]内部转账!$C:$C,"&lt;="&amp;$D76,[1]内部转账!$F:$F,$G76)),"")</f>
        <v>200494.7</v>
      </c>
      <c r="M76" s="63" t="s">
        <v>30</v>
      </c>
      <c r="N76" s="58" t="s">
        <v>31</v>
      </c>
      <c r="O76" s="63"/>
      <c r="P76" s="63" t="s">
        <v>31</v>
      </c>
      <c r="Q76" s="58"/>
      <c r="R76" s="58"/>
      <c r="S76" s="58"/>
    </row>
    <row r="77" s="2" customFormat="1" ht="24.95" customHeight="1" spans="1:19">
      <c r="A77" s="15"/>
      <c r="B77" s="55"/>
      <c r="C77" s="56"/>
      <c r="D77" s="57">
        <v>45531</v>
      </c>
      <c r="E77" s="58"/>
      <c r="F77" s="58" t="s">
        <v>26</v>
      </c>
      <c r="G77" s="59" t="s">
        <v>27</v>
      </c>
      <c r="H77" s="59" t="s">
        <v>46</v>
      </c>
      <c r="I77" s="60" t="s">
        <v>68</v>
      </c>
      <c r="J77" s="61"/>
      <c r="K77" s="61">
        <v>10000</v>
      </c>
      <c r="L77" s="62">
        <f>IFERROR(IF(G77="","",VLOOKUP($G77,[1]基础信息!$B:$C,2,FALSE)+SUMIF(G$8:G77,G77,J$8:J77)-SUMIF(G$8:G77,G77,K$8:K77)+SUMIFS([1]内部转账!$G:$G,[1]内部转账!$C:$C,"&lt;="&amp;$D77,[1]内部转账!$E:$E,$G77)-SUMIFS([1]内部转账!$G:$G,[1]内部转账!$C:$C,"&lt;="&amp;$D77,[1]内部转账!$F:$F,$G77)),"")</f>
        <v>190494.7</v>
      </c>
      <c r="M77" s="63" t="s">
        <v>41</v>
      </c>
      <c r="N77" s="58"/>
      <c r="O77" s="63"/>
      <c r="P77" s="63"/>
      <c r="Q77" s="58"/>
      <c r="R77" s="58"/>
      <c r="S77" s="58"/>
    </row>
    <row r="78" s="2" customFormat="1" ht="24.95" customHeight="1" spans="1:19">
      <c r="A78" s="15"/>
      <c r="B78" s="55"/>
      <c r="C78" s="56"/>
      <c r="D78" s="57">
        <v>45531</v>
      </c>
      <c r="E78" s="58"/>
      <c r="F78" s="58" t="s">
        <v>26</v>
      </c>
      <c r="G78" s="59" t="s">
        <v>27</v>
      </c>
      <c r="H78" s="59" t="s">
        <v>46</v>
      </c>
      <c r="I78" s="60" t="s">
        <v>65</v>
      </c>
      <c r="J78" s="61"/>
      <c r="K78" s="61">
        <v>10000</v>
      </c>
      <c r="L78" s="62">
        <f>IFERROR(IF(G78="","",VLOOKUP($G78,[1]基础信息!$B:$C,2,FALSE)+SUMIF(G$8:G78,G78,J$8:J78)-SUMIF(G$8:G78,G78,K$8:K78)+SUMIFS([1]内部转账!$G:$G,[1]内部转账!$C:$C,"&lt;="&amp;$D78,[1]内部转账!$E:$E,$G78)-SUMIFS([1]内部转账!$G:$G,[1]内部转账!$C:$C,"&lt;="&amp;$D78,[1]内部转账!$F:$F,$G78)),"")</f>
        <v>180494.7</v>
      </c>
      <c r="M78" s="63" t="s">
        <v>41</v>
      </c>
      <c r="N78" s="58"/>
      <c r="O78" s="63"/>
      <c r="P78" s="63"/>
      <c r="Q78" s="58"/>
      <c r="R78" s="58"/>
      <c r="S78" s="58"/>
    </row>
    <row r="79" s="2" customFormat="1" ht="24.95" customHeight="1" spans="1:19">
      <c r="A79" s="15"/>
      <c r="B79" s="55"/>
      <c r="C79" s="56"/>
      <c r="D79" s="57">
        <v>45531</v>
      </c>
      <c r="E79" s="58"/>
      <c r="F79" s="58" t="s">
        <v>26</v>
      </c>
      <c r="G79" s="59" t="s">
        <v>27</v>
      </c>
      <c r="H79" s="59" t="s">
        <v>46</v>
      </c>
      <c r="I79" s="60" t="s">
        <v>73</v>
      </c>
      <c r="J79" s="61"/>
      <c r="K79" s="61">
        <v>10000</v>
      </c>
      <c r="L79" s="62">
        <f>IFERROR(IF(G79="","",VLOOKUP($G79,[1]基础信息!$B:$C,2,FALSE)+SUMIF(G$8:G79,G79,J$8:J79)-SUMIF(G$8:G79,G79,K$8:K79)+SUMIFS([1]内部转账!$G:$G,[1]内部转账!$C:$C,"&lt;="&amp;$D79,[1]内部转账!$E:$E,$G79)-SUMIFS([1]内部转账!$G:$G,[1]内部转账!$C:$C,"&lt;="&amp;$D79,[1]内部转账!$F:$F,$G79)),"")</f>
        <v>170494.7</v>
      </c>
      <c r="M79" s="63" t="s">
        <v>41</v>
      </c>
      <c r="N79" s="58"/>
      <c r="O79" s="63"/>
      <c r="P79" s="63"/>
      <c r="Q79" s="58"/>
      <c r="R79" s="58"/>
      <c r="S79" s="58"/>
    </row>
    <row r="80" s="2" customFormat="1" ht="24.95" customHeight="1" spans="1:19">
      <c r="A80" s="15"/>
      <c r="B80" s="55"/>
      <c r="C80" s="56"/>
      <c r="D80" s="57">
        <v>45531</v>
      </c>
      <c r="E80" s="58"/>
      <c r="F80" s="58" t="s">
        <v>26</v>
      </c>
      <c r="G80" s="59" t="s">
        <v>27</v>
      </c>
      <c r="H80" s="59" t="s">
        <v>46</v>
      </c>
      <c r="I80" s="60" t="s">
        <v>76</v>
      </c>
      <c r="J80" s="61"/>
      <c r="K80" s="61">
        <v>5000</v>
      </c>
      <c r="L80" s="62">
        <f>IFERROR(IF(G80="","",VLOOKUP($G80,[1]基础信息!$B:$C,2,FALSE)+SUMIF(G$8:G80,G80,J$8:J80)-SUMIF(G$8:G80,G80,K$8:K80)+SUMIFS([1]内部转账!$G:$G,[1]内部转账!$C:$C,"&lt;="&amp;$D80,[1]内部转账!$E:$E,$G80)-SUMIFS([1]内部转账!$G:$G,[1]内部转账!$C:$C,"&lt;="&amp;$D80,[1]内部转账!$F:$F,$G80)),"")</f>
        <v>165494.7</v>
      </c>
      <c r="M80" s="63" t="s">
        <v>41</v>
      </c>
      <c r="N80" s="58"/>
      <c r="O80" s="63"/>
      <c r="P80" s="63"/>
      <c r="Q80" s="58"/>
      <c r="R80" s="58"/>
      <c r="S80" s="58"/>
    </row>
    <row r="81" s="2" customFormat="1" ht="24.95" customHeight="1" spans="1:19">
      <c r="A81" s="15"/>
      <c r="B81" s="55"/>
      <c r="C81" s="56"/>
      <c r="D81" s="57">
        <v>45531</v>
      </c>
      <c r="E81" s="58"/>
      <c r="F81" s="58" t="s">
        <v>26</v>
      </c>
      <c r="G81" s="59" t="s">
        <v>27</v>
      </c>
      <c r="H81" s="59" t="s">
        <v>46</v>
      </c>
      <c r="I81" s="60" t="s">
        <v>47</v>
      </c>
      <c r="J81" s="61"/>
      <c r="K81" s="61">
        <v>10000</v>
      </c>
      <c r="L81" s="62">
        <f>IFERROR(IF(G81="","",VLOOKUP($G81,[1]基础信息!$B:$C,2,FALSE)+SUMIF(G$8:G81,G81,J$8:J81)-SUMIF(G$8:G81,G81,K$8:K81)+SUMIFS([1]内部转账!$G:$G,[1]内部转账!$C:$C,"&lt;="&amp;$D81,[1]内部转账!$E:$E,$G81)-SUMIFS([1]内部转账!$G:$G,[1]内部转账!$C:$C,"&lt;="&amp;$D81,[1]内部转账!$F:$F,$G81)),"")</f>
        <v>155494.7</v>
      </c>
      <c r="M81" s="63" t="s">
        <v>41</v>
      </c>
      <c r="N81" s="58"/>
      <c r="O81" s="63"/>
      <c r="P81" s="64" t="s">
        <v>47</v>
      </c>
      <c r="Q81" s="58"/>
      <c r="R81" s="58"/>
      <c r="S81" s="58"/>
    </row>
    <row r="82" s="2" customFormat="1" ht="24.95" customHeight="1" spans="1:19">
      <c r="A82" s="15"/>
      <c r="B82" s="55"/>
      <c r="C82" s="56"/>
      <c r="D82" s="57">
        <v>45531</v>
      </c>
      <c r="E82" s="58"/>
      <c r="F82" s="58" t="s">
        <v>26</v>
      </c>
      <c r="G82" s="59" t="s">
        <v>27</v>
      </c>
      <c r="H82" s="59" t="s">
        <v>46</v>
      </c>
      <c r="I82" s="60" t="s">
        <v>69</v>
      </c>
      <c r="J82" s="61"/>
      <c r="K82" s="61">
        <v>10000</v>
      </c>
      <c r="L82" s="62">
        <f>IFERROR(IF(G82="","",VLOOKUP($G82,[1]基础信息!$B:$C,2,FALSE)+SUMIF(G$8:G82,G82,J$8:J82)-SUMIF(G$8:G82,G82,K$8:K82)+SUMIFS([1]内部转账!$G:$G,[1]内部转账!$C:$C,"&lt;="&amp;$D82,[1]内部转账!$E:$E,$G82)-SUMIFS([1]内部转账!$G:$G,[1]内部转账!$C:$C,"&lt;="&amp;$D82,[1]内部转账!$F:$F,$G82)),"")</f>
        <v>145494.7</v>
      </c>
      <c r="M82" s="63" t="s">
        <v>41</v>
      </c>
      <c r="N82" s="58"/>
      <c r="O82" s="63"/>
      <c r="P82" s="63"/>
      <c r="Q82" s="58"/>
      <c r="R82" s="58"/>
      <c r="S82" s="58"/>
    </row>
    <row r="83" s="2" customFormat="1" ht="24.95" customHeight="1" spans="1:19">
      <c r="A83" s="15"/>
      <c r="B83" s="55"/>
      <c r="C83" s="56"/>
      <c r="D83" s="57">
        <v>45531</v>
      </c>
      <c r="E83" s="58"/>
      <c r="F83" s="58" t="s">
        <v>26</v>
      </c>
      <c r="G83" s="59" t="s">
        <v>27</v>
      </c>
      <c r="H83" s="59" t="s">
        <v>46</v>
      </c>
      <c r="I83" s="60" t="s">
        <v>74</v>
      </c>
      <c r="J83" s="61"/>
      <c r="K83" s="61">
        <v>10000</v>
      </c>
      <c r="L83" s="62">
        <f>IFERROR(IF(G83="","",VLOOKUP($G83,[1]基础信息!$B:$C,2,FALSE)+SUMIF(G$8:G83,G83,J$8:J83)-SUMIF(G$8:G83,G83,K$8:K83)+SUMIFS([1]内部转账!$G:$G,[1]内部转账!$C:$C,"&lt;="&amp;$D83,[1]内部转账!$E:$E,$G83)-SUMIFS([1]内部转账!$G:$G,[1]内部转账!$C:$C,"&lt;="&amp;$D83,[1]内部转账!$F:$F,$G83)),"")</f>
        <v>135494.7</v>
      </c>
      <c r="M83" s="63" t="s">
        <v>41</v>
      </c>
      <c r="N83" s="58"/>
      <c r="O83" s="63"/>
      <c r="P83" s="63"/>
      <c r="Q83" s="58"/>
      <c r="R83" s="58"/>
      <c r="S83" s="58"/>
    </row>
    <row r="84" s="2" customFormat="1" ht="24.95" customHeight="1" spans="1:19">
      <c r="A84" s="15"/>
      <c r="B84" s="55"/>
      <c r="C84" s="56"/>
      <c r="D84" s="57">
        <v>45531</v>
      </c>
      <c r="E84" s="58"/>
      <c r="F84" s="58" t="s">
        <v>26</v>
      </c>
      <c r="G84" s="59" t="s">
        <v>27</v>
      </c>
      <c r="H84" s="59" t="s">
        <v>46</v>
      </c>
      <c r="I84" s="60" t="s">
        <v>66</v>
      </c>
      <c r="J84" s="61"/>
      <c r="K84" s="61">
        <v>5000</v>
      </c>
      <c r="L84" s="62">
        <f>IFERROR(IF(G84="","",VLOOKUP($G84,[1]基础信息!$B:$C,2,FALSE)+SUMIF(G$8:G84,G84,J$8:J84)-SUMIF(G$8:G84,G84,K$8:K84)+SUMIFS([1]内部转账!$G:$G,[1]内部转账!$C:$C,"&lt;="&amp;$D84,[1]内部转账!$E:$E,$G84)-SUMIFS([1]内部转账!$G:$G,[1]内部转账!$C:$C,"&lt;="&amp;$D84,[1]内部转账!$F:$F,$G84)),"")</f>
        <v>130494.7</v>
      </c>
      <c r="M84" s="63" t="s">
        <v>41</v>
      </c>
      <c r="N84" s="58"/>
      <c r="O84" s="63"/>
      <c r="P84" s="63"/>
      <c r="Q84" s="58"/>
      <c r="R84" s="58"/>
      <c r="S84" s="58"/>
    </row>
    <row r="85" s="2" customFormat="1" ht="24.95" customHeight="1" spans="1:19">
      <c r="A85" s="15"/>
      <c r="B85" s="55"/>
      <c r="C85" s="56"/>
      <c r="D85" s="57">
        <v>45531</v>
      </c>
      <c r="E85" s="58"/>
      <c r="F85" s="58" t="s">
        <v>26</v>
      </c>
      <c r="G85" s="59" t="s">
        <v>27</v>
      </c>
      <c r="H85" s="59" t="s">
        <v>46</v>
      </c>
      <c r="I85" s="60" t="s">
        <v>78</v>
      </c>
      <c r="J85" s="61"/>
      <c r="K85" s="61">
        <v>5000</v>
      </c>
      <c r="L85" s="62">
        <f>IFERROR(IF(G85="","",VLOOKUP($G85,[1]基础信息!$B:$C,2,FALSE)+SUMIF(G$8:G85,G85,J$8:J85)-SUMIF(G$8:G85,G85,K$8:K85)+SUMIFS([1]内部转账!$G:$G,[1]内部转账!$C:$C,"&lt;="&amp;$D85,[1]内部转账!$E:$E,$G85)-SUMIFS([1]内部转账!$G:$G,[1]内部转账!$C:$C,"&lt;="&amp;$D85,[1]内部转账!$F:$F,$G85)),"")</f>
        <v>125494.7</v>
      </c>
      <c r="M85" s="63" t="s">
        <v>41</v>
      </c>
      <c r="N85" s="58"/>
      <c r="O85" s="63"/>
      <c r="P85" s="63"/>
      <c r="Q85" s="58"/>
      <c r="R85" s="58"/>
      <c r="S85" s="58"/>
    </row>
    <row r="86" s="2" customFormat="1" ht="24.95" customHeight="1" spans="1:19">
      <c r="A86" s="15"/>
      <c r="B86" s="55"/>
      <c r="C86" s="56"/>
      <c r="D86" s="57">
        <v>45531</v>
      </c>
      <c r="E86" s="58"/>
      <c r="F86" s="58" t="s">
        <v>26</v>
      </c>
      <c r="G86" s="59" t="s">
        <v>27</v>
      </c>
      <c r="H86" s="59" t="s">
        <v>46</v>
      </c>
      <c r="I86" s="60" t="s">
        <v>92</v>
      </c>
      <c r="J86" s="61"/>
      <c r="K86" s="61">
        <v>30000</v>
      </c>
      <c r="L86" s="62">
        <f>IFERROR(IF(G86="","",VLOOKUP($G86,[1]基础信息!$B:$C,2,FALSE)+SUMIF(G$8:G86,G86,J$8:J86)-SUMIF(G$8:G86,G86,K$8:K86)+SUMIFS([1]内部转账!$G:$G,[1]内部转账!$C:$C,"&lt;="&amp;$D86,[1]内部转账!$E:$E,$G86)-SUMIFS([1]内部转账!$G:$G,[1]内部转账!$C:$C,"&lt;="&amp;$D86,[1]内部转账!$F:$F,$G86)),"")</f>
        <v>95494.7</v>
      </c>
      <c r="M86" s="63" t="s">
        <v>41</v>
      </c>
      <c r="N86" s="58" t="s">
        <v>92</v>
      </c>
      <c r="O86" s="63"/>
      <c r="P86" s="63"/>
      <c r="Q86" s="58"/>
      <c r="R86" s="58"/>
      <c r="S86" s="58"/>
    </row>
    <row r="87" s="2" customFormat="1" ht="24.95" customHeight="1" spans="1:19">
      <c r="A87" s="15"/>
      <c r="B87" s="55"/>
      <c r="C87" s="56"/>
      <c r="D87" s="57">
        <v>45532</v>
      </c>
      <c r="E87" s="58"/>
      <c r="F87" s="58" t="s">
        <v>26</v>
      </c>
      <c r="G87" s="59" t="s">
        <v>27</v>
      </c>
      <c r="H87" s="59" t="s">
        <v>46</v>
      </c>
      <c r="I87" s="60" t="s">
        <v>85</v>
      </c>
      <c r="J87" s="61"/>
      <c r="K87" s="61">
        <v>5000</v>
      </c>
      <c r="L87" s="62">
        <f>IFERROR(IF(G87="","",VLOOKUP($G87,[1]基础信息!$B:$C,2,FALSE)+SUMIF(G$8:G87,G87,J$8:J87)-SUMIF(G$8:G87,G87,K$8:K87)+SUMIFS([1]内部转账!$G:$G,[1]内部转账!$C:$C,"&lt;="&amp;$D87,[1]内部转账!$E:$E,$G87)-SUMIFS([1]内部转账!$G:$G,[1]内部转账!$C:$C,"&lt;="&amp;$D87,[1]内部转账!$F:$F,$G87)),"")</f>
        <v>90494.7</v>
      </c>
      <c r="M87" s="63" t="s">
        <v>41</v>
      </c>
      <c r="N87" s="58"/>
      <c r="O87" s="63"/>
      <c r="P87" s="63"/>
      <c r="Q87" s="58"/>
      <c r="R87" s="58"/>
      <c r="S87" s="58"/>
    </row>
    <row r="88" s="2" customFormat="1" ht="24.95" customHeight="1" spans="1:19">
      <c r="A88" s="15"/>
      <c r="B88" s="55"/>
      <c r="C88" s="56"/>
      <c r="D88" s="57">
        <v>45532</v>
      </c>
      <c r="E88" s="58"/>
      <c r="F88" s="58" t="s">
        <v>26</v>
      </c>
      <c r="G88" s="59" t="s">
        <v>27</v>
      </c>
      <c r="H88" s="59" t="s">
        <v>46</v>
      </c>
      <c r="I88" s="60" t="s">
        <v>70</v>
      </c>
      <c r="J88" s="61"/>
      <c r="K88" s="61">
        <v>8000</v>
      </c>
      <c r="L88" s="62">
        <f>IFERROR(IF(G88="","",VLOOKUP($G88,[1]基础信息!$B:$C,2,FALSE)+SUMIF(G$8:G88,G88,J$8:J88)-SUMIF(G$8:G88,G88,K$8:K88)+SUMIFS([1]内部转账!$G:$G,[1]内部转账!$C:$C,"&lt;="&amp;$D88,[1]内部转账!$E:$E,$G88)-SUMIFS([1]内部转账!$G:$G,[1]内部转账!$C:$C,"&lt;="&amp;$D88,[1]内部转账!$F:$F,$G88)),"")</f>
        <v>82494.7</v>
      </c>
      <c r="M88" s="63" t="s">
        <v>41</v>
      </c>
      <c r="N88" s="58"/>
      <c r="O88" s="63"/>
      <c r="P88" s="63"/>
      <c r="Q88" s="58"/>
      <c r="R88" s="58"/>
      <c r="S88" s="58"/>
    </row>
    <row r="89" s="2" customFormat="1" ht="24.95" customHeight="1" spans="1:19">
      <c r="A89" s="15"/>
      <c r="B89" s="55"/>
      <c r="C89" s="56"/>
      <c r="D89" s="57">
        <v>45532</v>
      </c>
      <c r="E89" s="58"/>
      <c r="F89" s="58" t="s">
        <v>26</v>
      </c>
      <c r="G89" s="59" t="s">
        <v>27</v>
      </c>
      <c r="H89" s="59" t="s">
        <v>46</v>
      </c>
      <c r="I89" s="60" t="s">
        <v>93</v>
      </c>
      <c r="J89" s="61"/>
      <c r="K89" s="61">
        <v>5890</v>
      </c>
      <c r="L89" s="62">
        <f>IFERROR(IF(G89="","",VLOOKUP($G89,[1]基础信息!$B:$C,2,FALSE)+SUMIF(G$8:G89,G89,J$8:J89)-SUMIF(G$8:G89,G89,K$8:K89)+SUMIFS([1]内部转账!$G:$G,[1]内部转账!$C:$C,"&lt;="&amp;$D89,[1]内部转账!$E:$E,$G89)-SUMIFS([1]内部转账!$G:$G,[1]内部转账!$C:$C,"&lt;="&amp;$D89,[1]内部转账!$F:$F,$G89)),"")</f>
        <v>76604.7</v>
      </c>
      <c r="M89" s="63" t="s">
        <v>41</v>
      </c>
      <c r="N89" s="58"/>
      <c r="O89" s="63"/>
      <c r="P89" s="63"/>
      <c r="Q89" s="58"/>
      <c r="R89" s="58"/>
      <c r="S89" s="58"/>
    </row>
    <row r="90" s="2" customFormat="1" ht="24.95" customHeight="1" spans="1:19">
      <c r="A90" s="15"/>
      <c r="B90" s="55"/>
      <c r="C90" s="56"/>
      <c r="D90" s="57">
        <v>45532</v>
      </c>
      <c r="E90" s="58"/>
      <c r="F90" s="58" t="s">
        <v>26</v>
      </c>
      <c r="G90" s="59" t="s">
        <v>27</v>
      </c>
      <c r="H90" s="59" t="s">
        <v>46</v>
      </c>
      <c r="I90" s="60" t="s">
        <v>94</v>
      </c>
      <c r="J90" s="61"/>
      <c r="K90" s="61">
        <v>10000</v>
      </c>
      <c r="L90" s="62">
        <f>IFERROR(IF(G90="","",VLOOKUP($G90,[1]基础信息!$B:$C,2,FALSE)+SUMIF(G$8:G90,G90,J$8:J90)-SUMIF(G$8:G90,G90,K$8:K90)+SUMIFS([1]内部转账!$G:$G,[1]内部转账!$C:$C,"&lt;="&amp;$D90,[1]内部转账!$E:$E,$G90)-SUMIFS([1]内部转账!$G:$G,[1]内部转账!$C:$C,"&lt;="&amp;$D90,[1]内部转账!$F:$F,$G90)),"")</f>
        <v>66604.7</v>
      </c>
      <c r="M90" s="63" t="s">
        <v>41</v>
      </c>
      <c r="N90" s="58"/>
      <c r="O90" s="63"/>
      <c r="P90" s="63"/>
      <c r="Q90" s="58"/>
      <c r="R90" s="58"/>
      <c r="S90" s="58"/>
    </row>
    <row r="91" s="2" customFormat="1" ht="24.95" customHeight="1" spans="1:19">
      <c r="A91" s="15"/>
      <c r="B91" s="55"/>
      <c r="C91" s="56"/>
      <c r="D91" s="57">
        <v>45532</v>
      </c>
      <c r="E91" s="58"/>
      <c r="F91" s="58" t="s">
        <v>26</v>
      </c>
      <c r="G91" s="59" t="s">
        <v>27</v>
      </c>
      <c r="H91" s="59" t="s">
        <v>46</v>
      </c>
      <c r="I91" s="60" t="s">
        <v>95</v>
      </c>
      <c r="J91" s="61"/>
      <c r="K91" s="61">
        <v>4400</v>
      </c>
      <c r="L91" s="62">
        <f>IFERROR(IF(G91="","",VLOOKUP($G91,[1]基础信息!$B:$C,2,FALSE)+SUMIF(G$8:G91,G91,J$8:J91)-SUMIF(G$8:G91,G91,K$8:K91)+SUMIFS([1]内部转账!$G:$G,[1]内部转账!$C:$C,"&lt;="&amp;$D91,[1]内部转账!$E:$E,$G91)-SUMIFS([1]内部转账!$G:$G,[1]内部转账!$C:$C,"&lt;="&amp;$D91,[1]内部转账!$F:$F,$G91)),"")</f>
        <v>62204.7</v>
      </c>
      <c r="M91" s="63" t="s">
        <v>41</v>
      </c>
      <c r="N91" s="58"/>
      <c r="O91" s="63"/>
      <c r="P91" s="63"/>
      <c r="Q91" s="58"/>
      <c r="R91" s="58"/>
      <c r="S91" s="58"/>
    </row>
    <row r="92" s="2" customFormat="1" ht="24.95" customHeight="1" spans="1:19">
      <c r="A92" s="15"/>
      <c r="B92" s="55"/>
      <c r="C92" s="56"/>
      <c r="D92" s="57">
        <v>45532</v>
      </c>
      <c r="E92" s="58"/>
      <c r="F92" s="58" t="s">
        <v>26</v>
      </c>
      <c r="G92" s="59" t="s">
        <v>27</v>
      </c>
      <c r="H92" s="59" t="s">
        <v>46</v>
      </c>
      <c r="I92" s="60" t="s">
        <v>71</v>
      </c>
      <c r="J92" s="61"/>
      <c r="K92" s="61">
        <v>10000</v>
      </c>
      <c r="L92" s="62">
        <f>IFERROR(IF(G92="","",VLOOKUP($G92,[1]基础信息!$B:$C,2,FALSE)+SUMIF(G$8:G92,G92,J$8:J92)-SUMIF(G$8:G92,G92,K$8:K92)+SUMIFS([1]内部转账!$G:$G,[1]内部转账!$C:$C,"&lt;="&amp;$D92,[1]内部转账!$E:$E,$G92)-SUMIFS([1]内部转账!$G:$G,[1]内部转账!$C:$C,"&lt;="&amp;$D92,[1]内部转账!$F:$F,$G92)),"")</f>
        <v>52204.7</v>
      </c>
      <c r="M92" s="63" t="s">
        <v>41</v>
      </c>
      <c r="N92" s="58"/>
      <c r="O92" s="63"/>
      <c r="P92" s="63"/>
      <c r="Q92" s="58"/>
      <c r="R92" s="58"/>
      <c r="S92" s="58"/>
    </row>
    <row r="93" s="2" customFormat="1" ht="24.95" customHeight="1" spans="1:19">
      <c r="A93" s="15"/>
      <c r="B93" s="55"/>
      <c r="C93" s="56"/>
      <c r="D93" s="57">
        <v>45532</v>
      </c>
      <c r="E93" s="58"/>
      <c r="F93" s="58" t="s">
        <v>26</v>
      </c>
      <c r="G93" s="59" t="s">
        <v>27</v>
      </c>
      <c r="H93" s="59" t="s">
        <v>46</v>
      </c>
      <c r="I93" s="60" t="s">
        <v>78</v>
      </c>
      <c r="J93" s="61"/>
      <c r="K93" s="61">
        <v>5000</v>
      </c>
      <c r="L93" s="62">
        <f>IFERROR(IF(G93="","",VLOOKUP($G93,[1]基础信息!$B:$C,2,FALSE)+SUMIF(G$8:G93,G93,J$8:J93)-SUMIF(G$8:G93,G93,K$8:K93)+SUMIFS([1]内部转账!$G:$G,[1]内部转账!$C:$C,"&lt;="&amp;$D93,[1]内部转账!$E:$E,$G93)-SUMIFS([1]内部转账!$G:$G,[1]内部转账!$C:$C,"&lt;="&amp;$D93,[1]内部转账!$F:$F,$G93)),"")</f>
        <v>47204.7</v>
      </c>
      <c r="M93" s="63" t="s">
        <v>41</v>
      </c>
      <c r="N93" s="58"/>
      <c r="O93" s="63"/>
      <c r="P93" s="63"/>
      <c r="Q93" s="58"/>
      <c r="R93" s="58"/>
      <c r="S93" s="58"/>
    </row>
    <row r="94" s="2" customFormat="1" ht="24.95" customHeight="1" spans="1:19">
      <c r="A94" s="15"/>
      <c r="B94" s="55"/>
      <c r="C94" s="56"/>
      <c r="D94" s="57">
        <v>45532</v>
      </c>
      <c r="E94" s="58"/>
      <c r="F94" s="58" t="s">
        <v>26</v>
      </c>
      <c r="G94" s="59" t="s">
        <v>27</v>
      </c>
      <c r="H94" s="65" t="s">
        <v>53</v>
      </c>
      <c r="I94" s="60" t="s">
        <v>31</v>
      </c>
      <c r="J94" s="61"/>
      <c r="K94" s="61">
        <v>20000</v>
      </c>
      <c r="L94" s="62">
        <f>IFERROR(IF(G94="","",VLOOKUP($G94,[1]基础信息!$B:$C,2,FALSE)+SUMIF(G$8:G94,G94,J$8:J94)-SUMIF(G$8:G94,G94,K$8:K94)+SUMIFS([1]内部转账!$G:$G,[1]内部转账!$C:$C,"&lt;="&amp;$D94,[1]内部转账!$E:$E,$G94)-SUMIFS([1]内部转账!$G:$G,[1]内部转账!$C:$C,"&lt;="&amp;$D94,[1]内部转账!$F:$F,$G94)),"")</f>
        <v>27204.7</v>
      </c>
      <c r="M94" s="63" t="s">
        <v>41</v>
      </c>
      <c r="N94" s="58" t="s">
        <v>31</v>
      </c>
      <c r="O94" s="63"/>
      <c r="P94" s="63"/>
      <c r="Q94" s="58"/>
      <c r="R94" s="58"/>
      <c r="S94" s="58"/>
    </row>
    <row r="95" s="2" customFormat="1" ht="24.95" customHeight="1" spans="1:19">
      <c r="A95" s="15"/>
      <c r="B95" s="55"/>
      <c r="C95" s="56"/>
      <c r="D95" s="57">
        <v>45534</v>
      </c>
      <c r="E95" s="58"/>
      <c r="F95" s="58" t="s">
        <v>26</v>
      </c>
      <c r="G95" s="59" t="s">
        <v>27</v>
      </c>
      <c r="H95" s="59" t="s">
        <v>46</v>
      </c>
      <c r="I95" s="60" t="s">
        <v>96</v>
      </c>
      <c r="J95" s="61"/>
      <c r="K95" s="61">
        <v>8000</v>
      </c>
      <c r="L95" s="62">
        <f>IFERROR(IF(G95="","",VLOOKUP($G95,[1]基础信息!$B:$C,2,FALSE)+SUMIF(G$8:G95,G95,J$8:J95)-SUMIF(G$8:G95,G95,K$8:K95)+SUMIFS([1]内部转账!$G:$G,[1]内部转账!$C:$C,"&lt;="&amp;$D95,[1]内部转账!$E:$E,$G95)-SUMIFS([1]内部转账!$G:$G,[1]内部转账!$C:$C,"&lt;="&amp;$D95,[1]内部转账!$F:$F,$G95)),"")</f>
        <v>19204.7</v>
      </c>
      <c r="M95" s="63" t="s">
        <v>41</v>
      </c>
      <c r="N95" s="58"/>
      <c r="O95" s="63"/>
      <c r="P95" s="63"/>
      <c r="Q95" s="58"/>
      <c r="R95" s="58"/>
      <c r="S95" s="58"/>
    </row>
    <row r="96" s="2" customFormat="1" ht="24.95" customHeight="1" spans="1:19">
      <c r="A96" s="15"/>
      <c r="B96" s="55"/>
      <c r="C96" s="56"/>
      <c r="D96" s="57">
        <v>45534</v>
      </c>
      <c r="E96" s="58"/>
      <c r="F96" s="58" t="s">
        <v>26</v>
      </c>
      <c r="G96" s="59" t="s">
        <v>27</v>
      </c>
      <c r="H96" s="59" t="s">
        <v>46</v>
      </c>
      <c r="I96" s="60" t="s">
        <v>96</v>
      </c>
      <c r="J96" s="61"/>
      <c r="K96" s="61">
        <v>-8000</v>
      </c>
      <c r="L96" s="62">
        <f>IFERROR(IF(G96="","",VLOOKUP($G96,[1]基础信息!$B:$C,2,FALSE)+SUMIF(G$8:G96,G96,J$8:J96)-SUMIF(G$8:G96,G96,K$8:K96)+SUMIFS([1]内部转账!$G:$G,[1]内部转账!$C:$C,"&lt;="&amp;$D96,[1]内部转账!$E:$E,$G96)-SUMIFS([1]内部转账!$G:$G,[1]内部转账!$C:$C,"&lt;="&amp;$D96,[1]内部转账!$F:$F,$G96)),"")</f>
        <v>27204.7</v>
      </c>
      <c r="M96" s="63" t="s">
        <v>41</v>
      </c>
      <c r="N96" s="58"/>
      <c r="O96" s="63"/>
      <c r="P96" s="63"/>
      <c r="Q96" s="58"/>
      <c r="R96" s="58"/>
      <c r="S96" s="58"/>
    </row>
    <row r="97" s="2" customFormat="1" ht="24.95" customHeight="1" spans="1:19">
      <c r="A97" s="15"/>
      <c r="B97" s="55"/>
      <c r="C97" s="56"/>
      <c r="D97" s="57">
        <v>45534</v>
      </c>
      <c r="E97" s="58"/>
      <c r="F97" s="58" t="s">
        <v>26</v>
      </c>
      <c r="G97" s="59" t="s">
        <v>27</v>
      </c>
      <c r="H97" s="59" t="s">
        <v>46</v>
      </c>
      <c r="I97" s="60" t="s">
        <v>97</v>
      </c>
      <c r="J97" s="61"/>
      <c r="K97" s="61">
        <v>8000</v>
      </c>
      <c r="L97" s="62">
        <f>IFERROR(IF(G97="","",VLOOKUP($G97,[1]基础信息!$B:$C,2,FALSE)+SUMIF(G$8:G97,G97,J$8:J97)-SUMIF(G$8:G97,G97,K$8:K97)+SUMIFS([1]内部转账!$G:$G,[1]内部转账!$C:$C,"&lt;="&amp;$D97,[1]内部转账!$E:$E,$G97)-SUMIFS([1]内部转账!$G:$G,[1]内部转账!$C:$C,"&lt;="&amp;$D97,[1]内部转账!$F:$F,$G97)),"")</f>
        <v>19204.7</v>
      </c>
      <c r="M97" s="63" t="s">
        <v>41</v>
      </c>
      <c r="N97" s="58"/>
      <c r="O97" s="63"/>
      <c r="P97" s="63"/>
      <c r="Q97" s="58"/>
      <c r="R97" s="58"/>
      <c r="S97" s="58"/>
    </row>
    <row r="98" s="2" customFormat="1" ht="24.95" customHeight="1" spans="1:19">
      <c r="A98" s="15"/>
      <c r="B98" s="55"/>
      <c r="C98" s="56"/>
      <c r="D98" s="57">
        <v>45534</v>
      </c>
      <c r="E98" s="58"/>
      <c r="F98" s="58" t="s">
        <v>26</v>
      </c>
      <c r="G98" s="59" t="s">
        <v>27</v>
      </c>
      <c r="H98" s="59" t="s">
        <v>46</v>
      </c>
      <c r="I98" s="60" t="s">
        <v>96</v>
      </c>
      <c r="J98" s="61"/>
      <c r="K98" s="61">
        <v>8000</v>
      </c>
      <c r="L98" s="62">
        <f>IFERROR(IF(G98="","",VLOOKUP($G98,[1]基础信息!$B:$C,2,FALSE)+SUMIF(G$8:G98,G98,J$8:J98)-SUMIF(G$8:G98,G98,K$8:K98)+SUMIFS([1]内部转账!$G:$G,[1]内部转账!$C:$C,"&lt;="&amp;$D98,[1]内部转账!$E:$E,$G98)-SUMIFS([1]内部转账!$G:$G,[1]内部转账!$C:$C,"&lt;="&amp;$D98,[1]内部转账!$F:$F,$G98)),"")</f>
        <v>11204.7</v>
      </c>
      <c r="M98" s="63" t="s">
        <v>41</v>
      </c>
      <c r="N98" s="58"/>
      <c r="O98" s="63"/>
      <c r="P98" s="63"/>
      <c r="Q98" s="58"/>
      <c r="R98" s="58"/>
      <c r="S98" s="58"/>
    </row>
    <row r="99" s="2" customFormat="1" ht="24.95" customHeight="1" spans="1:19">
      <c r="A99" s="15"/>
      <c r="B99" s="55"/>
      <c r="C99" s="56"/>
      <c r="D99" s="57">
        <v>45534</v>
      </c>
      <c r="E99" s="58"/>
      <c r="F99" s="58" t="s">
        <v>26</v>
      </c>
      <c r="G99" s="59" t="s">
        <v>27</v>
      </c>
      <c r="H99" s="59" t="s">
        <v>46</v>
      </c>
      <c r="I99" s="60" t="s">
        <v>66</v>
      </c>
      <c r="J99" s="61"/>
      <c r="K99" s="61">
        <v>5000</v>
      </c>
      <c r="L99" s="62">
        <f>IFERROR(IF(G99="","",VLOOKUP($G99,[1]基础信息!$B:$C,2,FALSE)+SUMIF(G$8:G99,G99,J$8:J99)-SUMIF(G$8:G99,G99,K$8:K99)+SUMIFS([1]内部转账!$G:$G,[1]内部转账!$C:$C,"&lt;="&amp;$D99,[1]内部转账!$E:$E,$G99)-SUMIFS([1]内部转账!$G:$G,[1]内部转账!$C:$C,"&lt;="&amp;$D99,[1]内部转账!$F:$F,$G99)),"")</f>
        <v>6204.69999999995</v>
      </c>
      <c r="M99" s="63" t="s">
        <v>41</v>
      </c>
      <c r="N99" s="58"/>
      <c r="O99" s="63"/>
      <c r="P99" s="63"/>
      <c r="Q99" s="58"/>
      <c r="R99" s="58"/>
      <c r="S99" s="58"/>
    </row>
    <row r="100" s="2" customFormat="1" ht="24.95" customHeight="1" spans="1:19">
      <c r="A100" s="15"/>
      <c r="B100" s="55"/>
      <c r="C100" s="56"/>
      <c r="D100" s="57">
        <v>45534</v>
      </c>
      <c r="E100" s="58"/>
      <c r="F100" s="58" t="s">
        <v>26</v>
      </c>
      <c r="G100" s="59" t="s">
        <v>27</v>
      </c>
      <c r="H100" s="59" t="s">
        <v>46</v>
      </c>
      <c r="I100" s="60" t="s">
        <v>76</v>
      </c>
      <c r="J100" s="61"/>
      <c r="K100" s="61">
        <v>3000</v>
      </c>
      <c r="L100" s="62">
        <f>IFERROR(IF(G100="","",VLOOKUP($G100,[1]基础信息!$B:$C,2,FALSE)+SUMIF(G$8:G100,G100,J$8:J100)-SUMIF(G$8:G100,G100,K$8:K100)+SUMIFS([1]内部转账!$G:$G,[1]内部转账!$C:$C,"&lt;="&amp;$D100,[1]内部转账!$E:$E,$G100)-SUMIFS([1]内部转账!$G:$G,[1]内部转账!$C:$C,"&lt;="&amp;$D100,[1]内部转账!$F:$F,$G100)),"")</f>
        <v>3204.69999999995</v>
      </c>
      <c r="M100" s="63" t="s">
        <v>41</v>
      </c>
      <c r="N100" s="58"/>
      <c r="O100" s="63"/>
      <c r="P100" s="63"/>
      <c r="Q100" s="58"/>
      <c r="R100" s="58"/>
      <c r="S100" s="58"/>
    </row>
    <row r="101" s="2" customFormat="1" ht="24.95" customHeight="1" spans="1:19">
      <c r="A101" s="15"/>
      <c r="B101" s="55"/>
      <c r="C101" s="56"/>
      <c r="D101" s="57">
        <v>45541</v>
      </c>
      <c r="E101" s="58"/>
      <c r="F101" s="58" t="s">
        <v>26</v>
      </c>
      <c r="G101" s="59" t="s">
        <v>27</v>
      </c>
      <c r="H101" s="59" t="s">
        <v>46</v>
      </c>
      <c r="I101" s="60" t="s">
        <v>76</v>
      </c>
      <c r="J101" s="61"/>
      <c r="K101" s="61">
        <v>2000</v>
      </c>
      <c r="L101" s="62">
        <f>IFERROR(IF(G101="","",VLOOKUP($G101,[1]基础信息!$B:$C,2,FALSE)+SUMIF(G$8:G101,G101,J$8:J101)-SUMIF(G$8:G101,G101,K$8:K101)+SUMIFS([1]内部转账!$G:$G,[1]内部转账!$C:$C,"&lt;="&amp;$D101,[1]内部转账!$E:$E,$G101)-SUMIFS([1]内部转账!$G:$G,[1]内部转账!$C:$C,"&lt;="&amp;$D101,[1]内部转账!$F:$F,$G101)),"")</f>
        <v>1204.69999999995</v>
      </c>
      <c r="M101" s="63" t="s">
        <v>41</v>
      </c>
      <c r="N101" s="58"/>
      <c r="O101" s="63"/>
      <c r="P101" s="63"/>
      <c r="Q101" s="58"/>
      <c r="R101" s="58"/>
      <c r="S101" s="58"/>
    </row>
    <row r="102" s="2" customFormat="1" ht="24.95" customHeight="1" spans="1:19">
      <c r="A102" s="15"/>
      <c r="B102" s="55"/>
      <c r="C102" s="56"/>
      <c r="D102" s="57">
        <v>45556</v>
      </c>
      <c r="E102" s="58"/>
      <c r="F102" s="58" t="s">
        <v>26</v>
      </c>
      <c r="G102" s="59" t="s">
        <v>27</v>
      </c>
      <c r="H102" s="59" t="s">
        <v>33</v>
      </c>
      <c r="I102" s="60" t="s">
        <v>34</v>
      </c>
      <c r="J102" s="61"/>
      <c r="K102" s="61">
        <v>-13.83</v>
      </c>
      <c r="L102" s="62">
        <f>IFERROR(IF(G102="","",VLOOKUP($G102,[1]基础信息!$B:$C,2,FALSE)+SUMIF(G$8:G102,G102,J$8:J102)-SUMIF(G$8:G102,G102,K$8:K102)+SUMIFS([1]内部转账!$G:$G,[1]内部转账!$C:$C,"&lt;="&amp;$D102,[1]内部转账!$E:$E,$G102)-SUMIFS([1]内部转账!$G:$G,[1]内部转账!$C:$C,"&lt;="&amp;$D102,[1]内部转账!$F:$F,$G102)),"")</f>
        <v>1218.52999999997</v>
      </c>
      <c r="M102" s="63" t="s">
        <v>35</v>
      </c>
      <c r="N102" s="58"/>
      <c r="O102" s="63"/>
      <c r="P102" s="63"/>
      <c r="Q102" s="58"/>
      <c r="R102" s="58"/>
      <c r="S102" s="58"/>
    </row>
    <row r="103" s="2" customFormat="1" ht="24.95" customHeight="1" spans="1:19">
      <c r="A103" s="15"/>
      <c r="B103" s="55"/>
      <c r="C103" s="56"/>
      <c r="D103" s="57">
        <v>45567</v>
      </c>
      <c r="E103" s="58"/>
      <c r="F103" s="58" t="s">
        <v>26</v>
      </c>
      <c r="G103" s="59" t="s">
        <v>27</v>
      </c>
      <c r="H103" s="59" t="s">
        <v>28</v>
      </c>
      <c r="I103" s="60" t="s">
        <v>29</v>
      </c>
      <c r="J103" s="61"/>
      <c r="K103" s="61">
        <v>-10000</v>
      </c>
      <c r="L103" s="62">
        <f>IFERROR(IF(G103="","",VLOOKUP($G103,[1]基础信息!$B:$C,2,FALSE)+SUMIF(G$8:G103,G103,J$8:J103)-SUMIF(G$8:G103,G103,K$8:K103)+SUMIFS([1]内部转账!$G:$G,[1]内部转账!$C:$C,"&lt;="&amp;$D103,[1]内部转账!$E:$E,$G103)-SUMIFS([1]内部转账!$G:$G,[1]内部转账!$C:$C,"&lt;="&amp;$D103,[1]内部转账!$F:$F,$G103)),"")</f>
        <v>11218.53</v>
      </c>
      <c r="M103" s="63" t="s">
        <v>30</v>
      </c>
      <c r="N103" s="58" t="s">
        <v>31</v>
      </c>
      <c r="O103" s="63"/>
      <c r="P103" s="63" t="s">
        <v>31</v>
      </c>
      <c r="Q103" s="58"/>
      <c r="R103" s="58"/>
      <c r="S103" s="58"/>
    </row>
    <row r="104" s="2" customFormat="1" ht="24.95" customHeight="1" spans="1:19">
      <c r="A104" s="15"/>
      <c r="B104" s="55"/>
      <c r="C104" s="56"/>
      <c r="D104" s="57">
        <v>45567</v>
      </c>
      <c r="E104" s="58"/>
      <c r="F104" s="58" t="s">
        <v>26</v>
      </c>
      <c r="G104" s="59" t="s">
        <v>27</v>
      </c>
      <c r="H104" s="59" t="s">
        <v>53</v>
      </c>
      <c r="I104" s="60" t="s">
        <v>98</v>
      </c>
      <c r="J104" s="61"/>
      <c r="K104" s="61">
        <v>10000</v>
      </c>
      <c r="L104" s="62">
        <f>IFERROR(IF(G104="","",VLOOKUP($G104,[1]基础信息!$B:$C,2,FALSE)+SUMIF(G$8:G104,G104,J$8:J104)-SUMIF(G$8:G104,G104,K$8:K104)+SUMIFS([1]内部转账!$G:$G,[1]内部转账!$C:$C,"&lt;="&amp;$D104,[1]内部转账!$E:$E,$G104)-SUMIFS([1]内部转账!$G:$G,[1]内部转账!$C:$C,"&lt;="&amp;$D104,[1]内部转账!$F:$F,$G104)),"")</f>
        <v>1218.52999999997</v>
      </c>
      <c r="M104" s="63" t="s">
        <v>41</v>
      </c>
      <c r="N104" s="58" t="s">
        <v>98</v>
      </c>
      <c r="O104" s="63"/>
      <c r="P104" s="63"/>
      <c r="Q104" s="58"/>
      <c r="R104" s="58"/>
      <c r="S104" s="58"/>
    </row>
    <row r="105" s="2" customFormat="1" ht="24.95" customHeight="1" spans="1:19">
      <c r="A105" s="15"/>
      <c r="B105" s="55"/>
      <c r="C105" s="56"/>
      <c r="D105" s="57">
        <v>45574</v>
      </c>
      <c r="E105" s="58"/>
      <c r="F105" s="58" t="s">
        <v>26</v>
      </c>
      <c r="G105" s="59" t="s">
        <v>27</v>
      </c>
      <c r="H105" s="59" t="s">
        <v>83</v>
      </c>
      <c r="I105" s="60" t="s">
        <v>84</v>
      </c>
      <c r="J105" s="61"/>
      <c r="K105" s="61">
        <v>4</v>
      </c>
      <c r="L105" s="62">
        <f>IFERROR(IF(G105="","",VLOOKUP($G105,[1]基础信息!$B:$C,2,FALSE)+SUMIF(G$8:G105,G105,J$8:J105)-SUMIF(G$8:G105,G105,K$8:K105)+SUMIFS([1]内部转账!$G:$G,[1]内部转账!$C:$C,"&lt;="&amp;$D105,[1]内部转账!$E:$E,$G105)-SUMIFS([1]内部转账!$G:$G,[1]内部转账!$C:$C,"&lt;="&amp;$D105,[1]内部转账!$F:$F,$G105)),"")</f>
        <v>1214.52999999997</v>
      </c>
      <c r="M105" s="63"/>
      <c r="N105" s="58"/>
      <c r="O105" s="63"/>
      <c r="P105" s="63"/>
      <c r="Q105" s="58"/>
      <c r="R105" s="58"/>
      <c r="S105" s="58"/>
    </row>
    <row r="106" s="2" customFormat="1" ht="24.95" customHeight="1" spans="1:19">
      <c r="A106" s="15"/>
      <c r="B106" s="55"/>
      <c r="C106" s="56"/>
      <c r="D106" s="57">
        <v>45574</v>
      </c>
      <c r="E106" s="58"/>
      <c r="F106" s="58" t="s">
        <v>26</v>
      </c>
      <c r="G106" s="59" t="s">
        <v>27</v>
      </c>
      <c r="H106" s="59" t="s">
        <v>83</v>
      </c>
      <c r="I106" s="60" t="s">
        <v>84</v>
      </c>
      <c r="J106" s="61"/>
      <c r="K106" s="61">
        <v>999.69</v>
      </c>
      <c r="L106" s="62">
        <f>IFERROR(IF(G106="","",VLOOKUP($G106,[1]基础信息!$B:$C,2,FALSE)+SUMIF(G$8:G106,G106,J$8:J106)-SUMIF(G$8:G106,G106,K$8:K106)+SUMIFS([1]内部转账!$G:$G,[1]内部转账!$C:$C,"&lt;="&amp;$D106,[1]内部转账!$E:$E,$G106)-SUMIFS([1]内部转账!$G:$G,[1]内部转账!$C:$C,"&lt;="&amp;$D106,[1]内部转账!$F:$F,$G106)),"")</f>
        <v>214.839999999967</v>
      </c>
      <c r="M106" s="63"/>
      <c r="N106" s="58"/>
      <c r="O106" s="63"/>
      <c r="P106" s="63"/>
      <c r="Q106" s="58"/>
      <c r="R106" s="58"/>
      <c r="S106" s="58"/>
    </row>
    <row r="107" s="2" customFormat="1" ht="24.95" customHeight="1" spans="1:19">
      <c r="A107" s="15"/>
      <c r="B107" s="55"/>
      <c r="C107" s="56"/>
      <c r="D107" s="57">
        <v>45575</v>
      </c>
      <c r="E107" s="58"/>
      <c r="F107" s="58" t="s">
        <v>26</v>
      </c>
      <c r="G107" s="59" t="s">
        <v>27</v>
      </c>
      <c r="H107" s="59" t="s">
        <v>28</v>
      </c>
      <c r="I107" s="60" t="s">
        <v>29</v>
      </c>
      <c r="J107" s="61"/>
      <c r="K107" s="61">
        <v>-1000</v>
      </c>
      <c r="L107" s="62">
        <f>IFERROR(IF(G107="","",VLOOKUP($G107,[1]基础信息!$B:$C,2,FALSE)+SUMIF(G$8:G107,G107,J$8:J107)-SUMIF(G$8:G107,G107,K$8:K107)+SUMIFS([1]内部转账!$G:$G,[1]内部转账!$C:$C,"&lt;="&amp;$D107,[1]内部转账!$E:$E,$G107)-SUMIFS([1]内部转账!$G:$G,[1]内部转账!$C:$C,"&lt;="&amp;$D107,[1]内部转账!$F:$F,$G107)),"")</f>
        <v>1214.83999999997</v>
      </c>
      <c r="M107" s="63" t="s">
        <v>30</v>
      </c>
      <c r="N107" s="58" t="s">
        <v>31</v>
      </c>
      <c r="O107" s="63"/>
      <c r="P107" s="63" t="s">
        <v>31</v>
      </c>
      <c r="Q107" s="58"/>
      <c r="R107" s="58"/>
      <c r="S107" s="58"/>
    </row>
    <row r="108" s="2" customFormat="1" ht="24.95" customHeight="1" spans="1:19">
      <c r="A108" s="15"/>
      <c r="B108" s="55"/>
      <c r="C108" s="56"/>
      <c r="D108" s="57">
        <v>45593</v>
      </c>
      <c r="E108" s="58"/>
      <c r="F108" s="58" t="s">
        <v>26</v>
      </c>
      <c r="G108" s="59" t="s">
        <v>27</v>
      </c>
      <c r="H108" s="59" t="s">
        <v>28</v>
      </c>
      <c r="I108" s="60" t="s">
        <v>29</v>
      </c>
      <c r="J108" s="61"/>
      <c r="K108" s="61">
        <v>-5000</v>
      </c>
      <c r="L108" s="62">
        <f>IFERROR(IF(G108="","",VLOOKUP($G108,[1]基础信息!$B:$C,2,FALSE)+SUMIF(G$8:G108,G108,J$8:J108)-SUMIF(G$8:G108,G108,K$8:K108)+SUMIFS([1]内部转账!$G:$G,[1]内部转账!$C:$C,"&lt;="&amp;$D108,[1]内部转账!$E:$E,$G108)-SUMIFS([1]内部转账!$G:$G,[1]内部转账!$C:$C,"&lt;="&amp;$D108,[1]内部转账!$F:$F,$G108)),"")</f>
        <v>6214.83999999997</v>
      </c>
      <c r="M108" s="63" t="s">
        <v>30</v>
      </c>
      <c r="N108" s="58" t="s">
        <v>31</v>
      </c>
      <c r="O108" s="63"/>
      <c r="P108" s="63" t="s">
        <v>31</v>
      </c>
      <c r="Q108" s="58"/>
      <c r="R108" s="58"/>
      <c r="S108" s="58"/>
    </row>
    <row r="109" s="2" customFormat="1" ht="24.95" customHeight="1" spans="1:19">
      <c r="A109" s="15"/>
      <c r="B109" s="55"/>
      <c r="C109" s="56"/>
      <c r="D109" s="57">
        <v>45594</v>
      </c>
      <c r="E109" s="58"/>
      <c r="F109" s="58" t="s">
        <v>26</v>
      </c>
      <c r="G109" s="59" t="s">
        <v>27</v>
      </c>
      <c r="H109" s="59" t="s">
        <v>33</v>
      </c>
      <c r="I109" s="60" t="s">
        <v>99</v>
      </c>
      <c r="J109" s="61"/>
      <c r="K109" s="61">
        <v>1000</v>
      </c>
      <c r="L109" s="62">
        <f>IFERROR(IF(G109="","",VLOOKUP($G109,[1]基础信息!$B:$C,2,FALSE)+SUMIF(G$8:G109,G109,J$8:J109)-SUMIF(G$8:G109,G109,K$8:K109)+SUMIFS([1]内部转账!$G:$G,[1]内部转账!$C:$C,"&lt;="&amp;$D109,[1]内部转账!$E:$E,$G109)-SUMIFS([1]内部转账!$G:$G,[1]内部转账!$C:$C,"&lt;="&amp;$D109,[1]内部转账!$F:$F,$G109)),"")</f>
        <v>5214.83999999997</v>
      </c>
      <c r="M109" s="63" t="s">
        <v>35</v>
      </c>
      <c r="N109" s="58"/>
      <c r="O109" s="63"/>
      <c r="P109" s="63" t="s">
        <v>100</v>
      </c>
      <c r="Q109" s="58"/>
      <c r="R109" s="58"/>
      <c r="S109" s="58"/>
    </row>
    <row r="110" s="2" customFormat="1" ht="24.95" customHeight="1" spans="1:19">
      <c r="A110" s="15"/>
      <c r="B110" s="55"/>
      <c r="C110" s="56"/>
      <c r="D110" s="57">
        <v>45595</v>
      </c>
      <c r="E110" s="58"/>
      <c r="F110" s="58" t="s">
        <v>26</v>
      </c>
      <c r="G110" s="59" t="s">
        <v>27</v>
      </c>
      <c r="H110" s="59" t="s">
        <v>83</v>
      </c>
      <c r="I110" s="60" t="s">
        <v>84</v>
      </c>
      <c r="J110" s="61"/>
      <c r="K110" s="61">
        <v>546.95</v>
      </c>
      <c r="L110" s="62">
        <f>IFERROR(IF(G110="","",VLOOKUP($G110,[1]基础信息!$B:$C,2,FALSE)+SUMIF(G$8:G110,G110,J$8:J110)-SUMIF(G$8:G110,G110,K$8:K110)+SUMIFS([1]内部转账!$G:$G,[1]内部转账!$C:$C,"&lt;="&amp;$D110,[1]内部转账!$E:$E,$G110)-SUMIFS([1]内部转账!$G:$G,[1]内部转账!$C:$C,"&lt;="&amp;$D110,[1]内部转账!$F:$F,$G110)),"")</f>
        <v>4667.88999999996</v>
      </c>
      <c r="M110" s="63" t="s">
        <v>41</v>
      </c>
      <c r="N110" s="58"/>
      <c r="O110" s="63"/>
      <c r="P110" s="63"/>
      <c r="Q110" s="58"/>
      <c r="R110" s="58"/>
      <c r="S110" s="58"/>
    </row>
    <row r="111" s="2" customFormat="1" ht="24.95" customHeight="1" spans="1:19">
      <c r="A111" s="15"/>
      <c r="B111" s="55"/>
      <c r="C111" s="56"/>
      <c r="D111" s="57">
        <v>45596</v>
      </c>
      <c r="E111" s="58"/>
      <c r="F111" s="58" t="s">
        <v>26</v>
      </c>
      <c r="G111" s="59" t="s">
        <v>27</v>
      </c>
      <c r="H111" s="59" t="s">
        <v>62</v>
      </c>
      <c r="I111" s="60" t="s">
        <v>79</v>
      </c>
      <c r="J111" s="61"/>
      <c r="K111" s="61">
        <v>4000</v>
      </c>
      <c r="L111" s="62">
        <f>IFERROR(IF(G111="","",VLOOKUP($G111,[1]基础信息!$B:$C,2,FALSE)+SUMIF(G$8:G111,G111,J$8:J111)-SUMIF(G$8:G111,G111,K$8:K111)+SUMIFS([1]内部转账!$G:$G,[1]内部转账!$C:$C,"&lt;="&amp;$D111,[1]内部转账!$E:$E,$G111)-SUMIFS([1]内部转账!$G:$G,[1]内部转账!$C:$C,"&lt;="&amp;$D111,[1]内部转账!$F:$F,$G111)),"")</f>
        <v>667.889999999956</v>
      </c>
      <c r="M111" s="63" t="s">
        <v>41</v>
      </c>
      <c r="N111" s="58"/>
      <c r="O111" s="63"/>
      <c r="P111" s="63" t="s">
        <v>80</v>
      </c>
      <c r="Q111" s="58"/>
      <c r="R111" s="58"/>
      <c r="S111" s="58"/>
    </row>
    <row r="112" s="2" customFormat="1" ht="24.95" customHeight="1" spans="1:19">
      <c r="A112" s="15"/>
      <c r="B112" s="55"/>
      <c r="C112" s="56"/>
      <c r="D112" s="57">
        <v>45637</v>
      </c>
      <c r="E112" s="58"/>
      <c r="F112" s="58" t="s">
        <v>26</v>
      </c>
      <c r="G112" s="59" t="s">
        <v>27</v>
      </c>
      <c r="H112" s="59" t="s">
        <v>33</v>
      </c>
      <c r="I112" s="60" t="s">
        <v>101</v>
      </c>
      <c r="J112" s="61"/>
      <c r="K112" s="61">
        <v>80</v>
      </c>
      <c r="L112" s="62">
        <f>IFERROR(IF(G112="","",VLOOKUP($G112,[1]基础信息!$B:$C,2,FALSE)+SUMIF(G$8:G112,G112,J$8:J112)-SUMIF(G$8:G112,G112,K$8:K112)+SUMIFS([1]内部转账!$G:$G,[1]内部转账!$C:$C,"&lt;="&amp;$D112,[1]内部转账!$E:$E,$G112)-SUMIFS([1]内部转账!$G:$G,[1]内部转账!$C:$C,"&lt;="&amp;$D112,[1]内部转账!$F:$F,$G112)),"")</f>
        <v>587.889999999956</v>
      </c>
      <c r="M112" s="63" t="s">
        <v>35</v>
      </c>
      <c r="N112" s="58"/>
      <c r="O112" s="63"/>
      <c r="P112" s="63"/>
      <c r="Q112" s="58"/>
      <c r="R112" s="58"/>
      <c r="S112" s="58"/>
    </row>
    <row r="113" s="2" customFormat="1" ht="24.95" customHeight="1" spans="1:19">
      <c r="A113" s="15"/>
      <c r="B113" s="55"/>
      <c r="C113" s="56"/>
      <c r="D113" s="57">
        <v>45646</v>
      </c>
      <c r="E113" s="58"/>
      <c r="F113" s="58" t="s">
        <v>42</v>
      </c>
      <c r="G113" s="59" t="s">
        <v>27</v>
      </c>
      <c r="H113" s="59" t="s">
        <v>43</v>
      </c>
      <c r="I113" s="60" t="s">
        <v>102</v>
      </c>
      <c r="J113" s="61">
        <v>85738</v>
      </c>
      <c r="K113" s="61"/>
      <c r="L113" s="62">
        <f>IFERROR(IF(G113="","",VLOOKUP($G113,[1]基础信息!$B:$C,2,FALSE)+SUMIF(G$8:G113,G113,J$8:J113)-SUMIF(G$8:G113,G113,K$8:K113)+SUMIFS([1]内部转账!$G:$G,[1]内部转账!$C:$C,"&lt;="&amp;$D113,[1]内部转账!$E:$E,$G113)-SUMIFS([1]内部转账!$G:$G,[1]内部转账!$C:$C,"&lt;="&amp;$D113,[1]内部转账!$F:$F,$G113)),"")</f>
        <v>86325.89</v>
      </c>
      <c r="M113" s="63" t="s">
        <v>41</v>
      </c>
      <c r="N113" s="58"/>
      <c r="O113" s="63" t="s">
        <v>61</v>
      </c>
      <c r="P113" s="63"/>
      <c r="Q113" s="58"/>
      <c r="R113" s="58"/>
      <c r="S113" s="58"/>
    </row>
    <row r="114" s="2" customFormat="1" ht="24.95" customHeight="1" spans="1:19">
      <c r="A114" s="15"/>
      <c r="B114" s="55"/>
      <c r="C114" s="56"/>
      <c r="D114" s="57">
        <v>45647</v>
      </c>
      <c r="E114" s="58"/>
      <c r="F114" s="58" t="s">
        <v>26</v>
      </c>
      <c r="G114" s="59" t="s">
        <v>27</v>
      </c>
      <c r="H114" s="59" t="s">
        <v>33</v>
      </c>
      <c r="I114" s="60" t="s">
        <v>34</v>
      </c>
      <c r="J114" s="61"/>
      <c r="K114" s="61">
        <v>-0.57</v>
      </c>
      <c r="L114" s="62">
        <f>IFERROR(IF(G114="","",VLOOKUP($G114,[1]基础信息!$B:$C,2,FALSE)+SUMIF(G$8:G114,G114,J$8:J114)-SUMIF(G$8:G114,G114,K$8:K114)+SUMIFS([1]内部转账!$G:$G,[1]内部转账!$C:$C,"&lt;="&amp;$D114,[1]内部转账!$E:$E,$G114)-SUMIFS([1]内部转账!$G:$G,[1]内部转账!$C:$C,"&lt;="&amp;$D114,[1]内部转账!$F:$F,$G114)),"")</f>
        <v>86326.46</v>
      </c>
      <c r="M114" s="63" t="s">
        <v>35</v>
      </c>
      <c r="N114" s="58"/>
      <c r="O114" s="63"/>
      <c r="P114" s="63"/>
      <c r="Q114" s="58"/>
      <c r="R114" s="58"/>
      <c r="S114" s="58"/>
    </row>
    <row r="115" s="2" customFormat="1" ht="24.95" customHeight="1" spans="1:19">
      <c r="A115" s="15"/>
      <c r="B115" s="55"/>
      <c r="C115" s="56"/>
      <c r="D115" s="57">
        <v>45654</v>
      </c>
      <c r="E115" s="58"/>
      <c r="F115" s="58" t="s">
        <v>42</v>
      </c>
      <c r="G115" s="59" t="s">
        <v>27</v>
      </c>
      <c r="H115" s="59" t="s">
        <v>43</v>
      </c>
      <c r="I115" s="60" t="s">
        <v>60</v>
      </c>
      <c r="J115" s="61">
        <v>180000</v>
      </c>
      <c r="K115" s="61"/>
      <c r="L115" s="62">
        <f>IFERROR(IF(G115="","",VLOOKUP($G115,[1]基础信息!$B:$C,2,FALSE)+SUMIF(G$8:G115,G115,J$8:J115)-SUMIF(G$8:G115,G115,K$8:K115)+SUMIFS([1]内部转账!$G:$G,[1]内部转账!$C:$C,"&lt;="&amp;$D115,[1]内部转账!$E:$E,$G115)-SUMIFS([1]内部转账!$G:$G,[1]内部转账!$C:$C,"&lt;="&amp;$D115,[1]内部转账!$F:$F,$G115)),"")</f>
        <v>266326.46</v>
      </c>
      <c r="M115" s="63" t="s">
        <v>41</v>
      </c>
      <c r="N115" s="58"/>
      <c r="O115" s="63" t="s">
        <v>61</v>
      </c>
      <c r="P115" s="63"/>
      <c r="Q115" s="58"/>
      <c r="R115" s="58"/>
      <c r="S115" s="58"/>
    </row>
    <row r="116" s="2" customFormat="1" ht="24.95" customHeight="1" spans="1:19">
      <c r="A116" s="15"/>
      <c r="B116" s="55"/>
      <c r="C116" s="56"/>
      <c r="D116" s="57">
        <v>45656</v>
      </c>
      <c r="E116" s="58"/>
      <c r="F116" s="58" t="s">
        <v>26</v>
      </c>
      <c r="G116" s="59" t="s">
        <v>27</v>
      </c>
      <c r="H116" s="59" t="s">
        <v>53</v>
      </c>
      <c r="I116" s="60" t="s">
        <v>98</v>
      </c>
      <c r="J116" s="61"/>
      <c r="K116" s="61">
        <v>10000</v>
      </c>
      <c r="L116" s="62">
        <f>IFERROR(IF(G116="","",VLOOKUP($G116,[1]基础信息!$B:$C,2,FALSE)+SUMIF(G$8:G116,G116,J$8:J116)-SUMIF(G$8:G116,G116,K$8:K116)+SUMIFS([1]内部转账!$G:$G,[1]内部转账!$C:$C,"&lt;="&amp;$D116,[1]内部转账!$E:$E,$G116)-SUMIFS([1]内部转账!$G:$G,[1]内部转账!$C:$C,"&lt;="&amp;$D116,[1]内部转账!$F:$F,$G116)),"")</f>
        <v>256326.46</v>
      </c>
      <c r="M116" s="63" t="s">
        <v>41</v>
      </c>
      <c r="N116" s="58" t="s">
        <v>98</v>
      </c>
      <c r="O116" s="63"/>
      <c r="P116" s="63"/>
      <c r="Q116" s="58"/>
      <c r="R116" s="58"/>
      <c r="S116" s="58"/>
    </row>
    <row r="117" s="2" customFormat="1" ht="24.95" customHeight="1" spans="1:19">
      <c r="A117" s="15"/>
      <c r="B117" s="55"/>
      <c r="C117" s="56"/>
      <c r="D117" s="57">
        <v>45656</v>
      </c>
      <c r="E117" s="58"/>
      <c r="F117" s="58" t="s">
        <v>26</v>
      </c>
      <c r="G117" s="59" t="s">
        <v>27</v>
      </c>
      <c r="H117" s="59" t="s">
        <v>62</v>
      </c>
      <c r="I117" s="60" t="s">
        <v>79</v>
      </c>
      <c r="J117" s="61"/>
      <c r="K117" s="61">
        <v>1798</v>
      </c>
      <c r="L117" s="62">
        <f>IFERROR(IF(G117="","",VLOOKUP($G117,[1]基础信息!$B:$C,2,FALSE)+SUMIF(G$8:G117,G117,J$8:J117)-SUMIF(G$8:G117,G117,K$8:K117)+SUMIFS([1]内部转账!$G:$G,[1]内部转账!$C:$C,"&lt;="&amp;$D117,[1]内部转账!$E:$E,$G117)-SUMIFS([1]内部转账!$G:$G,[1]内部转账!$C:$C,"&lt;="&amp;$D117,[1]内部转账!$F:$F,$G117)),"")</f>
        <v>254528.46</v>
      </c>
      <c r="M117" s="63" t="s">
        <v>41</v>
      </c>
      <c r="N117" s="58"/>
      <c r="O117" s="63"/>
      <c r="P117" s="63" t="s">
        <v>80</v>
      </c>
      <c r="Q117" s="58"/>
      <c r="R117" s="58"/>
      <c r="S117" s="58"/>
    </row>
    <row r="118" s="2" customFormat="1" ht="24.95" customHeight="1" spans="1:19">
      <c r="A118" s="15"/>
      <c r="B118" s="55"/>
      <c r="C118" s="56"/>
      <c r="D118" s="57">
        <v>45656</v>
      </c>
      <c r="E118" s="58"/>
      <c r="F118" s="58" t="s">
        <v>26</v>
      </c>
      <c r="G118" s="59" t="s">
        <v>27</v>
      </c>
      <c r="H118" s="59" t="s">
        <v>62</v>
      </c>
      <c r="I118" s="60" t="s">
        <v>79</v>
      </c>
      <c r="J118" s="61"/>
      <c r="K118" s="61">
        <v>12800</v>
      </c>
      <c r="L118" s="62">
        <f>IFERROR(IF(G118="","",VLOOKUP($G118,[1]基础信息!$B:$C,2,FALSE)+SUMIF(G$8:G118,G118,J$8:J118)-SUMIF(G$8:G118,G118,K$8:K118)+SUMIFS([1]内部转账!$G:$G,[1]内部转账!$C:$C,"&lt;="&amp;$D118,[1]内部转账!$E:$E,$G118)-SUMIFS([1]内部转账!$G:$G,[1]内部转账!$C:$C,"&lt;="&amp;$D118,[1]内部转账!$F:$F,$G118)),"")</f>
        <v>241728.46</v>
      </c>
      <c r="M118" s="63" t="s">
        <v>41</v>
      </c>
      <c r="N118" s="58"/>
      <c r="O118" s="63"/>
      <c r="P118" s="63" t="s">
        <v>80</v>
      </c>
      <c r="Q118" s="58"/>
      <c r="R118" s="58"/>
      <c r="S118" s="58"/>
    </row>
    <row r="119" s="2" customFormat="1" ht="24.95" customHeight="1" spans="1:19">
      <c r="A119" s="15"/>
      <c r="B119" s="55"/>
      <c r="C119" s="56"/>
      <c r="D119" s="57">
        <v>45659</v>
      </c>
      <c r="E119" s="58"/>
      <c r="F119" s="58" t="s">
        <v>26</v>
      </c>
      <c r="G119" s="59" t="s">
        <v>27</v>
      </c>
      <c r="H119" s="59" t="s">
        <v>53</v>
      </c>
      <c r="I119" s="60" t="s">
        <v>98</v>
      </c>
      <c r="J119" s="61"/>
      <c r="K119" s="61">
        <v>10000</v>
      </c>
      <c r="L119" s="62">
        <f>IFERROR(IF(G119="","",VLOOKUP($G119,[1]基础信息!$B:$C,2,FALSE)+SUMIF(G$8:G119,G119,J$8:J119)-SUMIF(G$8:G119,G119,K$8:K119)+SUMIFS([1]内部转账!$G:$G,[1]内部转账!$C:$C,"&lt;="&amp;$D119,[1]内部转账!$E:$E,$G119)-SUMIFS([1]内部转账!$G:$G,[1]内部转账!$C:$C,"&lt;="&amp;$D119,[1]内部转账!$F:$F,$G119)),"")</f>
        <v>231728.46</v>
      </c>
      <c r="M119" s="63" t="s">
        <v>41</v>
      </c>
      <c r="N119" s="58" t="s">
        <v>98</v>
      </c>
      <c r="O119" s="63"/>
      <c r="P119" s="63"/>
      <c r="Q119" s="58"/>
      <c r="R119" s="58"/>
      <c r="S119" s="58"/>
    </row>
    <row r="120" s="2" customFormat="1" ht="24.95" customHeight="1" spans="1:19">
      <c r="A120" s="15"/>
      <c r="B120" s="55"/>
      <c r="C120" s="56"/>
      <c r="D120" s="57">
        <v>45659</v>
      </c>
      <c r="E120" s="58"/>
      <c r="F120" s="58" t="s">
        <v>26</v>
      </c>
      <c r="G120" s="59" t="s">
        <v>27</v>
      </c>
      <c r="H120" s="65" t="s">
        <v>53</v>
      </c>
      <c r="I120" s="60" t="s">
        <v>31</v>
      </c>
      <c r="J120" s="61"/>
      <c r="K120" s="61">
        <v>80000</v>
      </c>
      <c r="L120" s="62">
        <f>IFERROR(IF(G120="","",VLOOKUP($G120,[1]基础信息!$B:$C,2,FALSE)+SUMIF(G$8:G120,G120,J$8:J120)-SUMIF(G$8:G120,G120,K$8:K120)+SUMIFS([1]内部转账!$G:$G,[1]内部转账!$C:$C,"&lt;="&amp;$D120,[1]内部转账!$E:$E,$G120)-SUMIFS([1]内部转账!$G:$G,[1]内部转账!$C:$C,"&lt;="&amp;$D120,[1]内部转账!$F:$F,$G120)),"")</f>
        <v>151728.46</v>
      </c>
      <c r="M120" s="63" t="s">
        <v>41</v>
      </c>
      <c r="N120" s="58" t="s">
        <v>31</v>
      </c>
      <c r="O120" s="63"/>
      <c r="P120" s="63"/>
      <c r="Q120" s="58"/>
      <c r="R120" s="58"/>
      <c r="S120" s="58"/>
    </row>
    <row r="121" s="2" customFormat="1" ht="24.95" customHeight="1" spans="1:19">
      <c r="A121" s="15"/>
      <c r="B121" s="55"/>
      <c r="C121" s="56"/>
      <c r="D121" s="57">
        <v>45665</v>
      </c>
      <c r="E121" s="58"/>
      <c r="F121" s="58" t="s">
        <v>26</v>
      </c>
      <c r="G121" s="59" t="s">
        <v>27</v>
      </c>
      <c r="H121" s="59" t="s">
        <v>58</v>
      </c>
      <c r="I121" s="60" t="s">
        <v>103</v>
      </c>
      <c r="J121" s="61"/>
      <c r="K121" s="61">
        <v>825</v>
      </c>
      <c r="L121" s="62">
        <f>IFERROR(IF(G121="","",VLOOKUP($G121,[1]基础信息!$B:$C,2,FALSE)+SUMIF(G$8:G121,G121,J$8:J121)-SUMIF(G$8:G121,G121,K$8:K121)+SUMIFS([1]内部转账!$G:$G,[1]内部转账!$C:$C,"&lt;="&amp;$D121,[1]内部转账!$E:$E,$G121)-SUMIFS([1]内部转账!$G:$G,[1]内部转账!$C:$C,"&lt;="&amp;$D121,[1]内部转账!$F:$F,$G121)),"")</f>
        <v>150903.46</v>
      </c>
      <c r="M121" s="63" t="s">
        <v>41</v>
      </c>
      <c r="N121" s="58"/>
      <c r="O121" s="63"/>
      <c r="P121" s="63" t="s">
        <v>104</v>
      </c>
      <c r="Q121" s="58"/>
      <c r="R121" s="58"/>
      <c r="S121" s="58"/>
    </row>
    <row r="122" s="2" customFormat="1" ht="24.95" customHeight="1" spans="1:19">
      <c r="A122" s="15"/>
      <c r="B122" s="55"/>
      <c r="C122" s="56"/>
      <c r="D122" s="57">
        <v>45666</v>
      </c>
      <c r="E122" s="58"/>
      <c r="F122" s="58" t="s">
        <v>26</v>
      </c>
      <c r="G122" s="59" t="s">
        <v>27</v>
      </c>
      <c r="H122" s="59" t="s">
        <v>46</v>
      </c>
      <c r="I122" s="60" t="s">
        <v>105</v>
      </c>
      <c r="J122" s="61"/>
      <c r="K122" s="61">
        <v>1800</v>
      </c>
      <c r="L122" s="62">
        <f>IFERROR(IF(G122="","",VLOOKUP($G122,[1]基础信息!$B:$C,2,FALSE)+SUMIF(G$8:G122,G122,J$8:J122)-SUMIF(G$8:G122,G122,K$8:K122)+SUMIFS([1]内部转账!$G:$G,[1]内部转账!$C:$C,"&lt;="&amp;$D122,[1]内部转账!$E:$E,$G122)-SUMIFS([1]内部转账!$G:$G,[1]内部转账!$C:$C,"&lt;="&amp;$D122,[1]内部转账!$F:$F,$G122)),"")</f>
        <v>149103.46</v>
      </c>
      <c r="M122" s="63" t="s">
        <v>41</v>
      </c>
      <c r="N122" s="58"/>
      <c r="O122" s="63"/>
      <c r="P122" s="63"/>
      <c r="Q122" s="58"/>
      <c r="R122" s="58"/>
      <c r="S122" s="58"/>
    </row>
    <row r="123" s="2" customFormat="1" ht="24.95" customHeight="1" spans="1:19">
      <c r="A123" s="15"/>
      <c r="B123" s="55"/>
      <c r="C123" s="56"/>
      <c r="D123" s="57">
        <v>45667</v>
      </c>
      <c r="E123" s="58"/>
      <c r="F123" s="58" t="s">
        <v>26</v>
      </c>
      <c r="G123" s="59" t="s">
        <v>27</v>
      </c>
      <c r="H123" s="59" t="s">
        <v>62</v>
      </c>
      <c r="I123" s="60" t="s">
        <v>106</v>
      </c>
      <c r="J123" s="61"/>
      <c r="K123" s="61">
        <v>19240</v>
      </c>
      <c r="L123" s="62">
        <f>IFERROR(IF(G123="","",VLOOKUP($G123,[1]基础信息!$B:$C,2,FALSE)+SUMIF(G$8:G123,G123,J$8:J123)-SUMIF(G$8:G123,G123,K$8:K123)+SUMIFS([1]内部转账!$G:$G,[1]内部转账!$C:$C,"&lt;="&amp;$D123,[1]内部转账!$E:$E,$G123)-SUMIFS([1]内部转账!$G:$G,[1]内部转账!$C:$C,"&lt;="&amp;$D123,[1]内部转账!$F:$F,$G123)),"")</f>
        <v>129863.46</v>
      </c>
      <c r="M123" s="63" t="s">
        <v>41</v>
      </c>
      <c r="N123" s="58"/>
      <c r="O123" s="63"/>
      <c r="P123" s="63" t="s">
        <v>107</v>
      </c>
      <c r="Q123" s="58"/>
      <c r="R123" s="58"/>
      <c r="S123" s="58"/>
    </row>
    <row r="124" s="2" customFormat="1" ht="24.95" customHeight="1" spans="1:19">
      <c r="A124" s="15"/>
      <c r="B124" s="55"/>
      <c r="C124" s="56"/>
      <c r="D124" s="57">
        <v>45670</v>
      </c>
      <c r="E124" s="58"/>
      <c r="F124" s="58" t="s">
        <v>26</v>
      </c>
      <c r="G124" s="59" t="s">
        <v>27</v>
      </c>
      <c r="H124" s="59" t="s">
        <v>108</v>
      </c>
      <c r="I124" s="60" t="s">
        <v>108</v>
      </c>
      <c r="J124" s="61"/>
      <c r="K124" s="61">
        <v>-18452</v>
      </c>
      <c r="L124" s="62">
        <f>IFERROR(IF(G124="","",VLOOKUP($G124,[1]基础信息!$B:$C,2,FALSE)+SUMIF(G$8:G124,G124,J$8:J124)-SUMIF(G$8:G124,G124,K$8:K124)+SUMIFS([1]内部转账!$G:$G,[1]内部转账!$C:$C,"&lt;="&amp;$D124,[1]内部转账!$E:$E,$G124)-SUMIFS([1]内部转账!$G:$G,[1]内部转账!$C:$C,"&lt;="&amp;$D124,[1]内部转账!$F:$F,$G124)),"")</f>
        <v>148315.46</v>
      </c>
      <c r="M124" s="63" t="s">
        <v>109</v>
      </c>
      <c r="N124" s="58"/>
      <c r="O124" s="63"/>
      <c r="P124" s="63" t="s">
        <v>110</v>
      </c>
      <c r="Q124" s="58"/>
      <c r="R124" s="58"/>
      <c r="S124" s="58"/>
    </row>
    <row r="125" s="2" customFormat="1" ht="24.95" customHeight="1" spans="1:19">
      <c r="A125" s="15"/>
      <c r="B125" s="55"/>
      <c r="C125" s="56"/>
      <c r="D125" s="57">
        <v>45670</v>
      </c>
      <c r="E125" s="58"/>
      <c r="F125" s="58" t="s">
        <v>26</v>
      </c>
      <c r="G125" s="59" t="s">
        <v>27</v>
      </c>
      <c r="H125" s="59" t="s">
        <v>108</v>
      </c>
      <c r="I125" s="66" t="s">
        <v>111</v>
      </c>
      <c r="J125" s="61"/>
      <c r="K125" s="67">
        <v>18451.81</v>
      </c>
      <c r="L125" s="62">
        <f>IFERROR(IF(G125="","",VLOOKUP($G125,[1]基础信息!$B:$C,2,FALSE)+SUMIF(G$8:G125,G125,J$8:J125)-SUMIF(G$8:G125,G125,K$8:K125)+SUMIFS([1]内部转账!$G:$G,[1]内部转账!$C:$C,"&lt;="&amp;$D125,[1]内部转账!$E:$E,$G125)-SUMIFS([1]内部转账!$G:$G,[1]内部转账!$C:$C,"&lt;="&amp;$D125,[1]内部转账!$F:$F,$G125)),"")</f>
        <v>129863.65</v>
      </c>
      <c r="M125" s="63" t="s">
        <v>109</v>
      </c>
      <c r="N125" s="58"/>
      <c r="O125" s="63"/>
      <c r="P125" s="63"/>
      <c r="Q125" s="58"/>
      <c r="R125" s="58"/>
      <c r="S125" s="58"/>
    </row>
    <row r="126" s="2" customFormat="1" ht="24.95" customHeight="1" spans="1:19">
      <c r="A126" s="15"/>
      <c r="B126" s="55"/>
      <c r="C126" s="56"/>
      <c r="D126" s="57">
        <v>45670</v>
      </c>
      <c r="E126" s="58"/>
      <c r="F126" s="58" t="s">
        <v>26</v>
      </c>
      <c r="G126" s="59" t="s">
        <v>27</v>
      </c>
      <c r="H126" s="59" t="s">
        <v>46</v>
      </c>
      <c r="I126" s="60" t="s">
        <v>105</v>
      </c>
      <c r="J126" s="61"/>
      <c r="K126" s="61">
        <v>200</v>
      </c>
      <c r="L126" s="62">
        <f>IFERROR(IF(G126="","",VLOOKUP($G126,[1]基础信息!$B:$C,2,FALSE)+SUMIF(G$8:G126,G126,J$8:J126)-SUMIF(G$8:G126,G126,K$8:K126)+SUMIFS([1]内部转账!$G:$G,[1]内部转账!$C:$C,"&lt;="&amp;$D126,[1]内部转账!$E:$E,$G126)-SUMIFS([1]内部转账!$G:$G,[1]内部转账!$C:$C,"&lt;="&amp;$D126,[1]内部转账!$F:$F,$G126)),"")</f>
        <v>129663.65</v>
      </c>
      <c r="M126" s="63" t="s">
        <v>41</v>
      </c>
      <c r="N126" s="58"/>
      <c r="O126" s="63"/>
      <c r="P126" s="63"/>
      <c r="Q126" s="58"/>
      <c r="R126" s="58"/>
      <c r="S126" s="58"/>
    </row>
    <row r="127" s="2" customFormat="1" ht="24.95" customHeight="1" spans="1:19">
      <c r="A127" s="15"/>
      <c r="B127" s="55"/>
      <c r="C127" s="56"/>
      <c r="D127" s="57">
        <v>45672</v>
      </c>
      <c r="E127" s="58"/>
      <c r="F127" s="58" t="s">
        <v>26</v>
      </c>
      <c r="G127" s="59" t="s">
        <v>27</v>
      </c>
      <c r="H127" s="59" t="s">
        <v>46</v>
      </c>
      <c r="I127" s="60" t="s">
        <v>47</v>
      </c>
      <c r="J127" s="61"/>
      <c r="K127" s="61">
        <v>10000</v>
      </c>
      <c r="L127" s="62">
        <f>IFERROR(IF(G127="","",VLOOKUP($G127,[1]基础信息!$B:$C,2,FALSE)+SUMIF(G$8:G127,G127,J$8:J127)-SUMIF(G$8:G127,G127,K$8:K127)+SUMIFS([1]内部转账!$G:$G,[1]内部转账!$C:$C,"&lt;="&amp;$D127,[1]内部转账!$E:$E,$G127)-SUMIFS([1]内部转账!$G:$G,[1]内部转账!$C:$C,"&lt;="&amp;$D127,[1]内部转账!$F:$F,$G127)),"")</f>
        <v>119663.65</v>
      </c>
      <c r="M127" s="63" t="s">
        <v>41</v>
      </c>
      <c r="N127" s="58"/>
      <c r="O127" s="63"/>
      <c r="P127" s="64" t="s">
        <v>47</v>
      </c>
      <c r="Q127" s="58"/>
      <c r="R127" s="58"/>
      <c r="S127" s="58"/>
    </row>
    <row r="128" s="2" customFormat="1" ht="24.95" customHeight="1" spans="1:19">
      <c r="A128" s="15"/>
      <c r="B128" s="55"/>
      <c r="C128" s="56"/>
      <c r="D128" s="57">
        <v>45672</v>
      </c>
      <c r="E128" s="58"/>
      <c r="F128" s="58" t="s">
        <v>26</v>
      </c>
      <c r="G128" s="59" t="s">
        <v>27</v>
      </c>
      <c r="H128" s="59" t="s">
        <v>46</v>
      </c>
      <c r="I128" s="60" t="s">
        <v>48</v>
      </c>
      <c r="J128" s="61"/>
      <c r="K128" s="61">
        <v>10000</v>
      </c>
      <c r="L128" s="62">
        <f>IFERROR(IF(G128="","",VLOOKUP($G128,[1]基础信息!$B:$C,2,FALSE)+SUMIF(G$8:G128,G128,J$8:J128)-SUMIF(G$8:G128,G128,K$8:K128)+SUMIFS([1]内部转账!$G:$G,[1]内部转账!$C:$C,"&lt;="&amp;$D128,[1]内部转账!$E:$E,$G128)-SUMIFS([1]内部转账!$G:$G,[1]内部转账!$C:$C,"&lt;="&amp;$D128,[1]内部转账!$F:$F,$G128)),"")</f>
        <v>109663.65</v>
      </c>
      <c r="M128" s="63" t="s">
        <v>41</v>
      </c>
      <c r="N128" s="58"/>
      <c r="O128" s="63"/>
      <c r="P128" s="63"/>
      <c r="Q128" s="58"/>
      <c r="R128" s="58"/>
      <c r="S128" s="58"/>
    </row>
    <row r="129" s="2" customFormat="1" ht="24.95" customHeight="1" spans="1:19">
      <c r="A129" s="15"/>
      <c r="B129" s="55"/>
      <c r="C129" s="56"/>
      <c r="D129" s="57">
        <v>45674</v>
      </c>
      <c r="E129" s="58"/>
      <c r="F129" s="58" t="s">
        <v>42</v>
      </c>
      <c r="G129" s="59" t="s">
        <v>27</v>
      </c>
      <c r="H129" s="59" t="s">
        <v>43</v>
      </c>
      <c r="I129" s="60" t="s">
        <v>112</v>
      </c>
      <c r="J129" s="61">
        <v>372272.27</v>
      </c>
      <c r="K129" s="61"/>
      <c r="L129" s="62">
        <f>IFERROR(IF(G129="","",VLOOKUP($G129,[1]基础信息!$B:$C,2,FALSE)+SUMIF(G$8:G129,G129,J$8:J129)-SUMIF(G$8:G129,G129,K$8:K129)+SUMIFS([1]内部转账!$G:$G,[1]内部转账!$C:$C,"&lt;="&amp;$D129,[1]内部转账!$E:$E,$G129)-SUMIFS([1]内部转账!$G:$G,[1]内部转账!$C:$C,"&lt;="&amp;$D129,[1]内部转账!$F:$F,$G129)),"")</f>
        <v>481935.92</v>
      </c>
      <c r="M129" s="63" t="s">
        <v>109</v>
      </c>
      <c r="N129" s="58"/>
      <c r="O129" s="63"/>
      <c r="P129" s="63"/>
      <c r="Q129" s="58"/>
      <c r="R129" s="58"/>
      <c r="S129" s="58"/>
    </row>
    <row r="130" s="2" customFormat="1" ht="24.95" customHeight="1" spans="1:19">
      <c r="A130" s="15"/>
      <c r="B130" s="55"/>
      <c r="C130" s="56"/>
      <c r="D130" s="57">
        <v>45680</v>
      </c>
      <c r="E130" s="58"/>
      <c r="F130" s="58" t="s">
        <v>26</v>
      </c>
      <c r="G130" s="59" t="s">
        <v>27</v>
      </c>
      <c r="H130" s="59" t="s">
        <v>62</v>
      </c>
      <c r="I130" s="60" t="s">
        <v>113</v>
      </c>
      <c r="J130" s="61"/>
      <c r="K130" s="61">
        <v>172272.27</v>
      </c>
      <c r="L130" s="62">
        <f>IFERROR(IF(G130="","",VLOOKUP($G130,[1]基础信息!$B:$C,2,FALSE)+SUMIF(G$8:G130,G130,J$8:J130)-SUMIF(G$8:G130,G130,K$8:K130)+SUMIFS([1]内部转账!$G:$G,[1]内部转账!$C:$C,"&lt;="&amp;$D130,[1]内部转账!$E:$E,$G130)-SUMIFS([1]内部转账!$G:$G,[1]内部转账!$C:$C,"&lt;="&amp;$D130,[1]内部转账!$F:$F,$G130)),"")</f>
        <v>309663.65</v>
      </c>
      <c r="M130" s="63" t="s">
        <v>109</v>
      </c>
      <c r="N130" s="58"/>
      <c r="O130" s="63"/>
      <c r="P130" s="63" t="s">
        <v>114</v>
      </c>
      <c r="Q130" s="58"/>
      <c r="R130" s="58"/>
      <c r="S130" s="58"/>
    </row>
    <row r="131" s="2" customFormat="1" ht="24.95" customHeight="1" spans="1:19">
      <c r="A131" s="15"/>
      <c r="B131" s="55"/>
      <c r="C131" s="56"/>
      <c r="D131" s="57">
        <v>45680</v>
      </c>
      <c r="E131" s="58"/>
      <c r="F131" s="58" t="s">
        <v>26</v>
      </c>
      <c r="G131" s="59" t="s">
        <v>27</v>
      </c>
      <c r="H131" s="59" t="s">
        <v>115</v>
      </c>
      <c r="I131" s="60" t="s">
        <v>113</v>
      </c>
      <c r="J131" s="61"/>
      <c r="K131" s="61">
        <v>200000</v>
      </c>
      <c r="L131" s="62">
        <f>IFERROR(IF(G131="","",VLOOKUP($G131,[1]基础信息!$B:$C,2,FALSE)+SUMIF(G$8:G131,G131,J$8:J131)-SUMIF(G$8:G131,G131,K$8:K131)+SUMIFS([1]内部转账!$G:$G,[1]内部转账!$C:$C,"&lt;="&amp;$D131,[1]内部转账!$E:$E,$G131)-SUMIFS([1]内部转账!$G:$G,[1]内部转账!$C:$C,"&lt;="&amp;$D131,[1]内部转账!$F:$F,$G131)),"")</f>
        <v>109663.65</v>
      </c>
      <c r="M131" s="63" t="s">
        <v>109</v>
      </c>
      <c r="N131" s="58"/>
      <c r="O131" s="63"/>
      <c r="P131" s="63" t="s">
        <v>116</v>
      </c>
      <c r="Q131" s="58"/>
      <c r="R131" s="58"/>
      <c r="S131" s="58"/>
    </row>
    <row r="132" s="2" customFormat="1" ht="24.95" customHeight="1" spans="1:19">
      <c r="A132" s="15"/>
      <c r="B132" s="55"/>
      <c r="C132" s="56"/>
      <c r="D132" s="57">
        <v>45683</v>
      </c>
      <c r="E132" s="58"/>
      <c r="F132" s="58" t="s">
        <v>26</v>
      </c>
      <c r="G132" s="59" t="s">
        <v>27</v>
      </c>
      <c r="H132" s="59" t="s">
        <v>46</v>
      </c>
      <c r="I132" s="60" t="s">
        <v>117</v>
      </c>
      <c r="J132" s="61"/>
      <c r="K132" s="61">
        <v>13000</v>
      </c>
      <c r="L132" s="62">
        <f>IFERROR(IF(G132="","",VLOOKUP($G132,[1]基础信息!$B:$C,2,FALSE)+SUMIF(G$8:G132,G132,J$8:J132)-SUMIF(G$8:G132,G132,K$8:K132)+SUMIFS([1]内部转账!$G:$G,[1]内部转账!$C:$C,"&lt;="&amp;$D132,[1]内部转账!$E:$E,$G132)-SUMIFS([1]内部转账!$G:$G,[1]内部转账!$C:$C,"&lt;="&amp;$D132,[1]内部转账!$F:$F,$G132)),"")</f>
        <v>96663.6499999999</v>
      </c>
      <c r="M132" s="63" t="s">
        <v>41</v>
      </c>
      <c r="N132" s="58"/>
      <c r="O132" s="63"/>
      <c r="P132" s="63"/>
      <c r="Q132" s="58"/>
      <c r="R132" s="58"/>
      <c r="S132" s="58"/>
    </row>
    <row r="133" s="2" customFormat="1" ht="24.95" customHeight="1" spans="1:19">
      <c r="A133" s="15"/>
      <c r="B133" s="55"/>
      <c r="C133" s="56"/>
      <c r="D133" s="57">
        <v>45683</v>
      </c>
      <c r="E133" s="58"/>
      <c r="F133" s="58" t="s">
        <v>26</v>
      </c>
      <c r="G133" s="59" t="s">
        <v>27</v>
      </c>
      <c r="H133" s="59" t="s">
        <v>46</v>
      </c>
      <c r="I133" s="60" t="s">
        <v>118</v>
      </c>
      <c r="J133" s="61"/>
      <c r="K133" s="61">
        <v>10858</v>
      </c>
      <c r="L133" s="62">
        <f>IFERROR(IF(G133="","",VLOOKUP($G133,[1]基础信息!$B:$C,2,FALSE)+SUMIF(G$8:G133,G133,J$8:J133)-SUMIF(G$8:G133,G133,K$8:K133)+SUMIFS([1]内部转账!$G:$G,[1]内部转账!$C:$C,"&lt;="&amp;$D133,[1]内部转账!$E:$E,$G133)-SUMIFS([1]内部转账!$G:$G,[1]内部转账!$C:$C,"&lt;="&amp;$D133,[1]内部转账!$F:$F,$G133)),"")</f>
        <v>85805.6499999999</v>
      </c>
      <c r="M133" s="63" t="s">
        <v>41</v>
      </c>
      <c r="N133" s="58"/>
      <c r="O133" s="63"/>
      <c r="P133" s="63"/>
      <c r="Q133" s="58"/>
      <c r="R133" s="58"/>
      <c r="S133" s="58"/>
    </row>
    <row r="134" s="2" customFormat="1" ht="24.95" customHeight="1" spans="1:19">
      <c r="A134" s="15"/>
      <c r="B134" s="55"/>
      <c r="C134" s="56"/>
      <c r="D134" s="57">
        <v>45683</v>
      </c>
      <c r="E134" s="58"/>
      <c r="F134" s="58" t="s">
        <v>26</v>
      </c>
      <c r="G134" s="59" t="s">
        <v>27</v>
      </c>
      <c r="H134" s="59" t="s">
        <v>46</v>
      </c>
      <c r="I134" s="60" t="s">
        <v>85</v>
      </c>
      <c r="J134" s="61"/>
      <c r="K134" s="61">
        <v>3250</v>
      </c>
      <c r="L134" s="62">
        <f>IFERROR(IF(G134="","",VLOOKUP($G134,[1]基础信息!$B:$C,2,FALSE)+SUMIF(G$8:G134,G134,J$8:J134)-SUMIF(G$8:G134,G134,K$8:K134)+SUMIFS([1]内部转账!$G:$G,[1]内部转账!$C:$C,"&lt;="&amp;$D134,[1]内部转账!$E:$E,$G134)-SUMIFS([1]内部转账!$G:$G,[1]内部转账!$C:$C,"&lt;="&amp;$D134,[1]内部转账!$F:$F,$G134)),"")</f>
        <v>82555.6499999999</v>
      </c>
      <c r="M134" s="63" t="s">
        <v>41</v>
      </c>
      <c r="N134" s="58"/>
      <c r="O134" s="63"/>
      <c r="P134" s="63"/>
      <c r="Q134" s="58"/>
      <c r="R134" s="58"/>
      <c r="S134" s="58"/>
    </row>
    <row r="135" s="2" customFormat="1" ht="24.95" customHeight="1" spans="1:19">
      <c r="A135" s="15"/>
      <c r="B135" s="55"/>
      <c r="C135" s="56"/>
      <c r="D135" s="57">
        <v>45683</v>
      </c>
      <c r="E135" s="58"/>
      <c r="F135" s="58" t="s">
        <v>26</v>
      </c>
      <c r="G135" s="59" t="s">
        <v>27</v>
      </c>
      <c r="H135" s="59" t="s">
        <v>46</v>
      </c>
      <c r="I135" s="60" t="s">
        <v>71</v>
      </c>
      <c r="J135" s="61"/>
      <c r="K135" s="61">
        <v>14760</v>
      </c>
      <c r="L135" s="62">
        <f>IFERROR(IF(G135="","",VLOOKUP($G135,[1]基础信息!$B:$C,2,FALSE)+SUMIF(G$8:G135,G135,J$8:J135)-SUMIF(G$8:G135,G135,K$8:K135)+SUMIFS([1]内部转账!$G:$G,[1]内部转账!$C:$C,"&lt;="&amp;$D135,[1]内部转账!$E:$E,$G135)-SUMIFS([1]内部转账!$G:$G,[1]内部转账!$C:$C,"&lt;="&amp;$D135,[1]内部转账!$F:$F,$G135)),"")</f>
        <v>67795.6499999999</v>
      </c>
      <c r="M135" s="63" t="s">
        <v>41</v>
      </c>
      <c r="N135" s="58"/>
      <c r="O135" s="63"/>
      <c r="P135" s="63"/>
      <c r="Q135" s="58"/>
      <c r="R135" s="58"/>
      <c r="S135" s="58"/>
    </row>
    <row r="136" s="2" customFormat="1" ht="24.95" customHeight="1" spans="1:19">
      <c r="A136" s="15"/>
      <c r="B136" s="55"/>
      <c r="C136" s="56"/>
      <c r="D136" s="57">
        <v>45683</v>
      </c>
      <c r="E136" s="58"/>
      <c r="F136" s="58" t="s">
        <v>26</v>
      </c>
      <c r="G136" s="59" t="s">
        <v>27</v>
      </c>
      <c r="H136" s="59" t="s">
        <v>46</v>
      </c>
      <c r="I136" s="60" t="s">
        <v>94</v>
      </c>
      <c r="J136" s="61"/>
      <c r="K136" s="61">
        <v>3260</v>
      </c>
      <c r="L136" s="62">
        <f>IFERROR(IF(G136="","",VLOOKUP($G136,[1]基础信息!$B:$C,2,FALSE)+SUMIF(G$8:G136,G136,J$8:J136)-SUMIF(G$8:G136,G136,K$8:K136)+SUMIFS([1]内部转账!$G:$G,[1]内部转账!$C:$C,"&lt;="&amp;$D136,[1]内部转账!$E:$E,$G136)-SUMIFS([1]内部转账!$G:$G,[1]内部转账!$C:$C,"&lt;="&amp;$D136,[1]内部转账!$F:$F,$G136)),"")</f>
        <v>64535.6499999999</v>
      </c>
      <c r="M136" s="63" t="s">
        <v>41</v>
      </c>
      <c r="N136" s="58"/>
      <c r="O136" s="63"/>
      <c r="P136" s="63"/>
      <c r="Q136" s="58"/>
      <c r="R136" s="58"/>
      <c r="S136" s="58"/>
    </row>
    <row r="137" s="2" customFormat="1" ht="24.95" customHeight="1" spans="1:19">
      <c r="A137" s="15"/>
      <c r="B137" s="55"/>
      <c r="C137" s="56"/>
      <c r="D137" s="57">
        <v>45683</v>
      </c>
      <c r="E137" s="58"/>
      <c r="F137" s="58" t="s">
        <v>26</v>
      </c>
      <c r="G137" s="59" t="s">
        <v>27</v>
      </c>
      <c r="H137" s="59" t="s">
        <v>46</v>
      </c>
      <c r="I137" s="60" t="s">
        <v>71</v>
      </c>
      <c r="J137" s="61"/>
      <c r="K137" s="61">
        <v>640</v>
      </c>
      <c r="L137" s="62">
        <f>IFERROR(IF(G137="","",VLOOKUP($G137,[1]基础信息!$B:$C,2,FALSE)+SUMIF(G$8:G137,G137,J$8:J137)-SUMIF(G$8:G137,G137,K$8:K137)+SUMIFS([1]内部转账!$G:$G,[1]内部转账!$C:$C,"&lt;="&amp;$D137,[1]内部转账!$E:$E,$G137)-SUMIFS([1]内部转账!$G:$G,[1]内部转账!$C:$C,"&lt;="&amp;$D137,[1]内部转账!$F:$F,$G137)),"")</f>
        <v>63895.6499999999</v>
      </c>
      <c r="M137" s="63" t="s">
        <v>41</v>
      </c>
      <c r="N137" s="58"/>
      <c r="O137" s="63"/>
      <c r="P137" s="63"/>
      <c r="Q137" s="58"/>
      <c r="R137" s="58"/>
      <c r="S137" s="58"/>
    </row>
    <row r="138" s="2" customFormat="1" ht="24.95" customHeight="1" spans="1:19">
      <c r="A138" s="15"/>
      <c r="B138" s="55"/>
      <c r="C138" s="56"/>
      <c r="D138" s="57">
        <v>45684</v>
      </c>
      <c r="E138" s="58"/>
      <c r="F138" s="58" t="s">
        <v>26</v>
      </c>
      <c r="G138" s="59" t="s">
        <v>27</v>
      </c>
      <c r="H138" s="59" t="s">
        <v>46</v>
      </c>
      <c r="I138" s="60" t="s">
        <v>47</v>
      </c>
      <c r="J138" s="61"/>
      <c r="K138" s="61">
        <v>10000</v>
      </c>
      <c r="L138" s="62">
        <f>IFERROR(IF(G138="","",VLOOKUP($G138,[1]基础信息!$B:$C,2,FALSE)+SUMIF(G$8:G138,G138,J$8:J138)-SUMIF(G$8:G138,G138,K$8:K138)+SUMIFS([1]内部转账!$G:$G,[1]内部转账!$C:$C,"&lt;="&amp;$D138,[1]内部转账!$E:$E,$G138)-SUMIFS([1]内部转账!$G:$G,[1]内部转账!$C:$C,"&lt;="&amp;$D138,[1]内部转账!$F:$F,$G138)),"")</f>
        <v>53895.6499999999</v>
      </c>
      <c r="M138" s="63" t="s">
        <v>41</v>
      </c>
      <c r="N138" s="58"/>
      <c r="O138" s="63"/>
      <c r="P138" s="64" t="s">
        <v>47</v>
      </c>
      <c r="Q138" s="58"/>
      <c r="R138" s="58"/>
      <c r="S138" s="58"/>
    </row>
    <row r="139" s="2" customFormat="1" ht="24.95" customHeight="1" spans="1:19">
      <c r="A139" s="15"/>
      <c r="B139" s="55"/>
      <c r="C139" s="56"/>
      <c r="D139" s="57">
        <v>45684</v>
      </c>
      <c r="E139" s="58"/>
      <c r="F139" s="58" t="s">
        <v>26</v>
      </c>
      <c r="G139" s="59" t="s">
        <v>27</v>
      </c>
      <c r="H139" s="59" t="s">
        <v>46</v>
      </c>
      <c r="I139" s="60" t="s">
        <v>48</v>
      </c>
      <c r="J139" s="61"/>
      <c r="K139" s="61">
        <v>7610</v>
      </c>
      <c r="L139" s="62">
        <f>IFERROR(IF(G139="","",VLOOKUP($G139,[1]基础信息!$B:$C,2,FALSE)+SUMIF(G$8:G139,G139,J$8:J139)-SUMIF(G$8:G139,G139,K$8:K139)+SUMIFS([1]内部转账!$G:$G,[1]内部转账!$C:$C,"&lt;="&amp;$D139,[1]内部转账!$E:$E,$G139)-SUMIFS([1]内部转账!$G:$G,[1]内部转账!$C:$C,"&lt;="&amp;$D139,[1]内部转账!$F:$F,$G139)),"")</f>
        <v>46285.6499999999</v>
      </c>
      <c r="M139" s="63" t="s">
        <v>41</v>
      </c>
      <c r="N139" s="58"/>
      <c r="O139" s="63"/>
      <c r="P139" s="63"/>
      <c r="Q139" s="58"/>
      <c r="R139" s="58"/>
      <c r="S139" s="58"/>
    </row>
    <row r="140" s="2" customFormat="1" ht="24.95" customHeight="1" spans="1:19">
      <c r="A140" s="15"/>
      <c r="B140" s="55"/>
      <c r="C140" s="56"/>
      <c r="D140" s="57">
        <v>45684</v>
      </c>
      <c r="E140" s="58"/>
      <c r="F140" s="58" t="s">
        <v>26</v>
      </c>
      <c r="G140" s="59" t="s">
        <v>27</v>
      </c>
      <c r="H140" s="59" t="s">
        <v>46</v>
      </c>
      <c r="I140" s="60" t="s">
        <v>97</v>
      </c>
      <c r="J140" s="61"/>
      <c r="K140" s="61">
        <v>10590</v>
      </c>
      <c r="L140" s="62">
        <f>IFERROR(IF(G140="","",VLOOKUP($G140,[1]基础信息!$B:$C,2,FALSE)+SUMIF(G$8:G140,G140,J$8:J140)-SUMIF(G$8:G140,G140,K$8:K140)+SUMIFS([1]内部转账!$G:$G,[1]内部转账!$C:$C,"&lt;="&amp;$D140,[1]内部转账!$E:$E,$G140)-SUMIFS([1]内部转账!$G:$G,[1]内部转账!$C:$C,"&lt;="&amp;$D140,[1]内部转账!$F:$F,$G140)),"")</f>
        <v>35695.6499999999</v>
      </c>
      <c r="M140" s="63" t="s">
        <v>41</v>
      </c>
      <c r="N140" s="58"/>
      <c r="O140" s="63"/>
      <c r="P140" s="63"/>
      <c r="Q140" s="58"/>
      <c r="R140" s="58"/>
      <c r="S140" s="58"/>
    </row>
    <row r="141" s="2" customFormat="1" ht="24.95" customHeight="1" spans="1:19">
      <c r="A141" s="15"/>
      <c r="B141" s="55"/>
      <c r="C141" s="56"/>
      <c r="D141" s="57">
        <v>45684</v>
      </c>
      <c r="E141" s="58"/>
      <c r="F141" s="58" t="s">
        <v>26</v>
      </c>
      <c r="G141" s="59" t="s">
        <v>27</v>
      </c>
      <c r="H141" s="59" t="s">
        <v>46</v>
      </c>
      <c r="I141" s="60" t="s">
        <v>96</v>
      </c>
      <c r="J141" s="61"/>
      <c r="K141" s="61">
        <v>10645</v>
      </c>
      <c r="L141" s="62">
        <f>IFERROR(IF(G141="","",VLOOKUP($G141,[1]基础信息!$B:$C,2,FALSE)+SUMIF(G$8:G141,G141,J$8:J141)-SUMIF(G$8:G141,G141,K$8:K141)+SUMIFS([1]内部转账!$G:$G,[1]内部转账!$C:$C,"&lt;="&amp;$D141,[1]内部转账!$E:$E,$G141)-SUMIFS([1]内部转账!$G:$G,[1]内部转账!$C:$C,"&lt;="&amp;$D141,[1]内部转账!$F:$F,$G141)),"")</f>
        <v>25050.6499999999</v>
      </c>
      <c r="M141" s="63" t="s">
        <v>41</v>
      </c>
      <c r="N141" s="58"/>
      <c r="O141" s="63"/>
      <c r="P141" s="63"/>
      <c r="Q141" s="58"/>
      <c r="R141" s="58"/>
      <c r="S141" s="58"/>
    </row>
    <row r="142" s="2" customFormat="1" ht="24.95" customHeight="1" spans="1:19">
      <c r="A142" s="15"/>
      <c r="B142" s="55"/>
      <c r="C142" s="56"/>
      <c r="D142" s="57">
        <v>45684</v>
      </c>
      <c r="E142" s="58"/>
      <c r="F142" s="58" t="s">
        <v>26</v>
      </c>
      <c r="G142" s="59" t="s">
        <v>27</v>
      </c>
      <c r="H142" s="59" t="s">
        <v>46</v>
      </c>
      <c r="I142" s="60" t="s">
        <v>66</v>
      </c>
      <c r="J142" s="61"/>
      <c r="K142" s="61">
        <v>3300</v>
      </c>
      <c r="L142" s="62">
        <f>IFERROR(IF(G142="","",VLOOKUP($G142,[1]基础信息!$B:$C,2,FALSE)+SUMIF(G$8:G142,G142,J$8:J142)-SUMIF(G$8:G142,G142,K$8:K142)+SUMIFS([1]内部转账!$G:$G,[1]内部转账!$C:$C,"&lt;="&amp;$D142,[1]内部转账!$E:$E,$G142)-SUMIFS([1]内部转账!$G:$G,[1]内部转账!$C:$C,"&lt;="&amp;$D142,[1]内部转账!$F:$F,$G142)),"")</f>
        <v>21750.6499999999</v>
      </c>
      <c r="M142" s="63" t="s">
        <v>41</v>
      </c>
      <c r="N142" s="58"/>
      <c r="O142" s="63"/>
      <c r="P142" s="63"/>
      <c r="Q142" s="58"/>
      <c r="R142" s="58"/>
      <c r="S142" s="58"/>
    </row>
    <row r="143" s="2" customFormat="1" ht="24.95" customHeight="1" spans="1:19">
      <c r="A143" s="15"/>
      <c r="B143" s="55"/>
      <c r="C143" s="56"/>
      <c r="D143" s="57">
        <v>45684</v>
      </c>
      <c r="E143" s="58"/>
      <c r="F143" s="58" t="s">
        <v>26</v>
      </c>
      <c r="G143" s="59" t="s">
        <v>27</v>
      </c>
      <c r="H143" s="59" t="s">
        <v>46</v>
      </c>
      <c r="I143" s="60" t="s">
        <v>70</v>
      </c>
      <c r="J143" s="61"/>
      <c r="K143" s="61">
        <v>1170</v>
      </c>
      <c r="L143" s="62">
        <f>IFERROR(IF(G143="","",VLOOKUP($G143,[1]基础信息!$B:$C,2,FALSE)+SUMIF(G$8:G143,G143,J$8:J143)-SUMIF(G$8:G143,G143,K$8:K143)+SUMIFS([1]内部转账!$G:$G,[1]内部转账!$C:$C,"&lt;="&amp;$D143,[1]内部转账!$E:$E,$G143)-SUMIFS([1]内部转账!$G:$G,[1]内部转账!$C:$C,"&lt;="&amp;$D143,[1]内部转账!$F:$F,$G143)),"")</f>
        <v>20580.6499999999</v>
      </c>
      <c r="M143" s="63" t="s">
        <v>41</v>
      </c>
      <c r="N143" s="58"/>
      <c r="O143" s="63"/>
      <c r="P143" s="63"/>
      <c r="Q143" s="58"/>
      <c r="R143" s="58"/>
      <c r="S143" s="58"/>
    </row>
    <row r="144" s="2" customFormat="1" ht="24.95" customHeight="1" spans="1:19">
      <c r="A144" s="15"/>
      <c r="B144" s="55"/>
      <c r="C144" s="56"/>
      <c r="D144" s="57">
        <v>45684</v>
      </c>
      <c r="E144" s="58"/>
      <c r="F144" s="58" t="s">
        <v>26</v>
      </c>
      <c r="G144" s="59" t="s">
        <v>27</v>
      </c>
      <c r="H144" s="59" t="s">
        <v>46</v>
      </c>
      <c r="I144" s="60" t="s">
        <v>69</v>
      </c>
      <c r="J144" s="61"/>
      <c r="K144" s="61">
        <v>1835</v>
      </c>
      <c r="L144" s="62">
        <f>IFERROR(IF(G144="","",VLOOKUP($G144,[1]基础信息!$B:$C,2,FALSE)+SUMIF(G$8:G144,G144,J$8:J144)-SUMIF(G$8:G144,G144,K$8:K144)+SUMIFS([1]内部转账!$G:$G,[1]内部转账!$C:$C,"&lt;="&amp;$D144,[1]内部转账!$E:$E,$G144)-SUMIFS([1]内部转账!$G:$G,[1]内部转账!$C:$C,"&lt;="&amp;$D144,[1]内部转账!$F:$F,$G144)),"")</f>
        <v>18745.6499999999</v>
      </c>
      <c r="M144" s="63" t="s">
        <v>41</v>
      </c>
      <c r="N144" s="58"/>
      <c r="O144" s="63"/>
      <c r="P144" s="63"/>
      <c r="Q144" s="58"/>
      <c r="R144" s="58"/>
      <c r="S144" s="58"/>
    </row>
    <row r="145" s="2" customFormat="1" ht="24.95" customHeight="1" spans="1:19">
      <c r="A145" s="15"/>
      <c r="B145" s="55"/>
      <c r="C145" s="56"/>
      <c r="D145" s="57">
        <v>45684</v>
      </c>
      <c r="E145" s="58"/>
      <c r="F145" s="58" t="s">
        <v>26</v>
      </c>
      <c r="G145" s="59" t="s">
        <v>27</v>
      </c>
      <c r="H145" s="59" t="s">
        <v>46</v>
      </c>
      <c r="I145" s="60" t="s">
        <v>93</v>
      </c>
      <c r="J145" s="61"/>
      <c r="K145" s="61">
        <v>300</v>
      </c>
      <c r="L145" s="62">
        <f>IFERROR(IF(G145="","",VLOOKUP($G145,[1]基础信息!$B:$C,2,FALSE)+SUMIF(G$8:G145,G145,J$8:J145)-SUMIF(G$8:G145,G145,K$8:K145)+SUMIFS([1]内部转账!$G:$G,[1]内部转账!$C:$C,"&lt;="&amp;$D145,[1]内部转账!$E:$E,$G145)-SUMIFS([1]内部转账!$G:$G,[1]内部转账!$C:$C,"&lt;="&amp;$D145,[1]内部转账!$F:$F,$G145)),"")</f>
        <v>18445.6499999999</v>
      </c>
      <c r="M145" s="63" t="s">
        <v>41</v>
      </c>
      <c r="N145" s="58"/>
      <c r="O145" s="63"/>
      <c r="P145" s="63"/>
      <c r="Q145" s="58"/>
      <c r="R145" s="58"/>
      <c r="S145" s="58"/>
    </row>
    <row r="146" s="2" customFormat="1" ht="24.95" customHeight="1" spans="1:19">
      <c r="A146" s="15"/>
      <c r="B146" s="55"/>
      <c r="C146" s="56"/>
      <c r="D146" s="57">
        <v>45684</v>
      </c>
      <c r="E146" s="58"/>
      <c r="F146" s="58" t="s">
        <v>26</v>
      </c>
      <c r="G146" s="59" t="s">
        <v>27</v>
      </c>
      <c r="H146" s="59" t="s">
        <v>46</v>
      </c>
      <c r="I146" s="60" t="s">
        <v>69</v>
      </c>
      <c r="J146" s="61"/>
      <c r="K146" s="61">
        <v>793.95</v>
      </c>
      <c r="L146" s="62">
        <f>IFERROR(IF(G146="","",VLOOKUP($G146,[1]基础信息!$B:$C,2,FALSE)+SUMIF(G$8:G146,G146,J$8:J146)-SUMIF(G$8:G146,G146,K$8:K146)+SUMIFS([1]内部转账!$G:$G,[1]内部转账!$C:$C,"&lt;="&amp;$D146,[1]内部转账!$E:$E,$G146)-SUMIFS([1]内部转账!$G:$G,[1]内部转账!$C:$C,"&lt;="&amp;$D146,[1]内部转账!$F:$F,$G146)),"")</f>
        <v>17651.7</v>
      </c>
      <c r="M146" s="63" t="s">
        <v>41</v>
      </c>
      <c r="N146" s="58"/>
      <c r="O146" s="63"/>
      <c r="P146" s="63"/>
      <c r="Q146" s="58"/>
      <c r="R146" s="58"/>
      <c r="S146" s="58"/>
    </row>
    <row r="147" s="2" customFormat="1" ht="24.95" customHeight="1" spans="1:19">
      <c r="A147" s="15"/>
      <c r="B147" s="55"/>
      <c r="C147" s="56"/>
      <c r="D147" s="57">
        <v>45684</v>
      </c>
      <c r="E147" s="58"/>
      <c r="F147" s="58" t="s">
        <v>26</v>
      </c>
      <c r="G147" s="59" t="s">
        <v>27</v>
      </c>
      <c r="H147" s="59" t="s">
        <v>46</v>
      </c>
      <c r="I147" s="60" t="s">
        <v>68</v>
      </c>
      <c r="J147" s="61"/>
      <c r="K147" s="61">
        <v>1000</v>
      </c>
      <c r="L147" s="62">
        <f>IFERROR(IF(G147="","",VLOOKUP($G147,[1]基础信息!$B:$C,2,FALSE)+SUMIF(G$8:G147,G147,J$8:J147)-SUMIF(G$8:G147,G147,K$8:K147)+SUMIFS([1]内部转账!$G:$G,[1]内部转账!$C:$C,"&lt;="&amp;$D147,[1]内部转账!$E:$E,$G147)-SUMIFS([1]内部转账!$G:$G,[1]内部转账!$C:$C,"&lt;="&amp;$D147,[1]内部转账!$F:$F,$G147)),"")</f>
        <v>16651.7</v>
      </c>
      <c r="M147" s="63" t="s">
        <v>41</v>
      </c>
      <c r="N147" s="58"/>
      <c r="O147" s="63"/>
      <c r="P147" s="63"/>
      <c r="Q147" s="58"/>
      <c r="R147" s="58"/>
      <c r="S147" s="58"/>
    </row>
    <row r="148" s="2" customFormat="1" ht="24.95" customHeight="1" spans="1:19">
      <c r="A148" s="15"/>
      <c r="B148" s="55"/>
      <c r="C148" s="56"/>
      <c r="D148" s="57">
        <v>45684</v>
      </c>
      <c r="E148" s="58"/>
      <c r="F148" s="58" t="s">
        <v>26</v>
      </c>
      <c r="G148" s="59" t="s">
        <v>27</v>
      </c>
      <c r="H148" s="59" t="s">
        <v>46</v>
      </c>
      <c r="I148" s="60" t="s">
        <v>65</v>
      </c>
      <c r="J148" s="61"/>
      <c r="K148" s="61">
        <v>576</v>
      </c>
      <c r="L148" s="62">
        <f>IFERROR(IF(G148="","",VLOOKUP($G148,[1]基础信息!$B:$C,2,FALSE)+SUMIF(G$8:G148,G148,J$8:J148)-SUMIF(G$8:G148,G148,K$8:K148)+SUMIFS([1]内部转账!$G:$G,[1]内部转账!$C:$C,"&lt;="&amp;$D148,[1]内部转账!$E:$E,$G148)-SUMIFS([1]内部转账!$G:$G,[1]内部转账!$C:$C,"&lt;="&amp;$D148,[1]内部转账!$F:$F,$G148)),"")</f>
        <v>16075.7</v>
      </c>
      <c r="M148" s="63" t="s">
        <v>41</v>
      </c>
      <c r="N148" s="58"/>
      <c r="O148" s="63"/>
      <c r="P148" s="63"/>
      <c r="Q148" s="58"/>
      <c r="R148" s="58"/>
      <c r="S148" s="58"/>
    </row>
    <row r="149" s="2" customFormat="1" ht="24.95" customHeight="1" spans="1:19">
      <c r="A149" s="15"/>
      <c r="B149" s="55"/>
      <c r="C149" s="56"/>
      <c r="D149" s="57">
        <v>45684</v>
      </c>
      <c r="E149" s="58"/>
      <c r="F149" s="58" t="s">
        <v>26</v>
      </c>
      <c r="G149" s="59" t="s">
        <v>27</v>
      </c>
      <c r="H149" s="59" t="s">
        <v>46</v>
      </c>
      <c r="I149" s="60" t="s">
        <v>97</v>
      </c>
      <c r="J149" s="61"/>
      <c r="K149" s="61">
        <v>50</v>
      </c>
      <c r="L149" s="62">
        <f>IFERROR(IF(G149="","",VLOOKUP($G149,[1]基础信息!$B:$C,2,FALSE)+SUMIF(G$8:G149,G149,J$8:J149)-SUMIF(G$8:G149,G149,K$8:K149)+SUMIFS([1]内部转账!$G:$G,[1]内部转账!$C:$C,"&lt;="&amp;$D149,[1]内部转账!$E:$E,$G149)-SUMIFS([1]内部转账!$G:$G,[1]内部转账!$C:$C,"&lt;="&amp;$D149,[1]内部转账!$F:$F,$G149)),"")</f>
        <v>16025.7</v>
      </c>
      <c r="M149" s="63" t="s">
        <v>41</v>
      </c>
      <c r="N149" s="58"/>
      <c r="O149" s="63"/>
      <c r="P149" s="63"/>
      <c r="Q149" s="58"/>
      <c r="R149" s="58"/>
      <c r="S149" s="58"/>
    </row>
    <row r="150" s="2" customFormat="1" ht="24.95" customHeight="1" spans="1:19">
      <c r="A150" s="15"/>
      <c r="B150" s="55"/>
      <c r="C150" s="56"/>
      <c r="D150" s="57">
        <v>45684</v>
      </c>
      <c r="E150" s="58"/>
      <c r="F150" s="58" t="s">
        <v>26</v>
      </c>
      <c r="G150" s="59" t="s">
        <v>27</v>
      </c>
      <c r="H150" s="59" t="s">
        <v>46</v>
      </c>
      <c r="I150" s="60" t="s">
        <v>119</v>
      </c>
      <c r="J150" s="61"/>
      <c r="K150" s="61">
        <v>8142</v>
      </c>
      <c r="L150" s="62">
        <f>IFERROR(IF(G150="","",VLOOKUP($G150,[1]基础信息!$B:$C,2,FALSE)+SUMIF(G$8:G150,G150,J$8:J150)-SUMIF(G$8:G150,G150,K$8:K150)+SUMIFS([1]内部转账!$G:$G,[1]内部转账!$C:$C,"&lt;="&amp;$D150,[1]内部转账!$E:$E,$G150)-SUMIFS([1]内部转账!$G:$G,[1]内部转账!$C:$C,"&lt;="&amp;$D150,[1]内部转账!$F:$F,$G150)),"")</f>
        <v>7883.69999999995</v>
      </c>
      <c r="M150" s="63" t="s">
        <v>41</v>
      </c>
      <c r="N150" s="58"/>
      <c r="O150" s="63"/>
      <c r="P150" s="63"/>
      <c r="Q150" s="58"/>
      <c r="R150" s="58"/>
      <c r="S150" s="58"/>
    </row>
    <row r="151" s="2" customFormat="1" ht="24.95" customHeight="1" spans="1:19">
      <c r="A151" s="15"/>
      <c r="B151" s="55"/>
      <c r="C151" s="56"/>
      <c r="D151" s="57">
        <v>45685</v>
      </c>
      <c r="E151" s="58"/>
      <c r="F151" s="58" t="s">
        <v>26</v>
      </c>
      <c r="G151" s="59" t="s">
        <v>27</v>
      </c>
      <c r="H151" s="59" t="s">
        <v>28</v>
      </c>
      <c r="I151" s="60" t="s">
        <v>29</v>
      </c>
      <c r="J151" s="61"/>
      <c r="K151" s="61">
        <v>-60000</v>
      </c>
      <c r="L151" s="62">
        <f>IFERROR(IF(G151="","",VLOOKUP($G151,[1]基础信息!$B:$C,2,FALSE)+SUMIF(G$8:G151,G151,J$8:J151)-SUMIF(G$8:G151,G151,K$8:K151)+SUMIFS([1]内部转账!$G:$G,[1]内部转账!$C:$C,"&lt;="&amp;$D151,[1]内部转账!$E:$E,$G151)-SUMIFS([1]内部转账!$G:$G,[1]内部转账!$C:$C,"&lt;="&amp;$D151,[1]内部转账!$F:$F,$G151)),"")</f>
        <v>67883.7</v>
      </c>
      <c r="M151" s="63" t="s">
        <v>30</v>
      </c>
      <c r="N151" s="58" t="s">
        <v>31</v>
      </c>
      <c r="O151" s="63"/>
      <c r="P151" s="63" t="s">
        <v>31</v>
      </c>
      <c r="Q151" s="58"/>
      <c r="R151" s="58"/>
      <c r="S151" s="58"/>
    </row>
    <row r="152" s="2" customFormat="1" ht="24.95" customHeight="1" spans="1:19">
      <c r="A152" s="15"/>
      <c r="B152" s="55"/>
      <c r="C152" s="56"/>
      <c r="D152" s="57">
        <v>45685</v>
      </c>
      <c r="E152" s="58"/>
      <c r="F152" s="58" t="s">
        <v>26</v>
      </c>
      <c r="G152" s="59" t="s">
        <v>27</v>
      </c>
      <c r="H152" s="59" t="s">
        <v>46</v>
      </c>
      <c r="I152" s="60" t="s">
        <v>74</v>
      </c>
      <c r="J152" s="61"/>
      <c r="K152" s="61">
        <v>8520</v>
      </c>
      <c r="L152" s="62">
        <f>IFERROR(IF(G152="","",VLOOKUP($G152,[1]基础信息!$B:$C,2,FALSE)+SUMIF(G$8:G152,G152,J$8:J152)-SUMIF(G$8:G152,G152,K$8:K152)+SUMIFS([1]内部转账!$G:$G,[1]内部转账!$C:$C,"&lt;="&amp;$D152,[1]内部转账!$E:$E,$G152)-SUMIFS([1]内部转账!$G:$G,[1]内部转账!$C:$C,"&lt;="&amp;$D152,[1]内部转账!$F:$F,$G152)),"")</f>
        <v>59363.7</v>
      </c>
      <c r="M152" s="63" t="s">
        <v>41</v>
      </c>
      <c r="N152" s="58"/>
      <c r="O152" s="63"/>
      <c r="P152" s="63"/>
      <c r="Q152" s="58"/>
      <c r="R152" s="58"/>
      <c r="S152" s="58"/>
    </row>
    <row r="153" s="2" customFormat="1" ht="24.95" customHeight="1" spans="1:19">
      <c r="A153" s="15"/>
      <c r="B153" s="55"/>
      <c r="C153" s="56"/>
      <c r="D153" s="57">
        <v>45685</v>
      </c>
      <c r="E153" s="58"/>
      <c r="F153" s="58" t="s">
        <v>26</v>
      </c>
      <c r="G153" s="59" t="s">
        <v>27</v>
      </c>
      <c r="H153" s="59" t="s">
        <v>46</v>
      </c>
      <c r="I153" s="60" t="s">
        <v>75</v>
      </c>
      <c r="J153" s="61"/>
      <c r="K153" s="61">
        <v>5800</v>
      </c>
      <c r="L153" s="62">
        <f>IFERROR(IF(G153="","",VLOOKUP($G153,[1]基础信息!$B:$C,2,FALSE)+SUMIF(G$8:G153,G153,J$8:J153)-SUMIF(G$8:G153,G153,K$8:K153)+SUMIFS([1]内部转账!$G:$G,[1]内部转账!$C:$C,"&lt;="&amp;$D153,[1]内部转账!$E:$E,$G153)-SUMIFS([1]内部转账!$G:$G,[1]内部转账!$C:$C,"&lt;="&amp;$D153,[1]内部转账!$F:$F,$G153)),"")</f>
        <v>53563.7</v>
      </c>
      <c r="M153" s="63" t="s">
        <v>41</v>
      </c>
      <c r="N153" s="58"/>
      <c r="O153" s="63"/>
      <c r="P153" s="63"/>
      <c r="Q153" s="58"/>
      <c r="R153" s="58"/>
      <c r="S153" s="58"/>
    </row>
    <row r="154" s="2" customFormat="1" ht="24.95" customHeight="1" spans="1:19">
      <c r="A154" s="15"/>
      <c r="B154" s="55"/>
      <c r="C154" s="56"/>
      <c r="D154" s="57">
        <v>45685</v>
      </c>
      <c r="E154" s="58"/>
      <c r="F154" s="58" t="s">
        <v>26</v>
      </c>
      <c r="G154" s="59" t="s">
        <v>27</v>
      </c>
      <c r="H154" s="59" t="s">
        <v>46</v>
      </c>
      <c r="I154" s="60" t="s">
        <v>78</v>
      </c>
      <c r="J154" s="61"/>
      <c r="K154" s="61">
        <v>21205</v>
      </c>
      <c r="L154" s="62">
        <f>IFERROR(IF(G154="","",VLOOKUP($G154,[1]基础信息!$B:$C,2,FALSE)+SUMIF(G$8:G154,G154,J$8:J154)-SUMIF(G$8:G154,G154,K$8:K154)+SUMIFS([1]内部转账!$G:$G,[1]内部转账!$C:$C,"&lt;="&amp;$D154,[1]内部转账!$E:$E,$G154)-SUMIFS([1]内部转账!$G:$G,[1]内部转账!$C:$C,"&lt;="&amp;$D154,[1]内部转账!$F:$F,$G154)),"")</f>
        <v>32358.7</v>
      </c>
      <c r="M154" s="63" t="s">
        <v>41</v>
      </c>
      <c r="N154" s="58"/>
      <c r="O154" s="63"/>
      <c r="P154" s="63"/>
      <c r="Q154" s="58"/>
      <c r="R154" s="58"/>
      <c r="S154" s="58"/>
    </row>
    <row r="155" s="2" customFormat="1" ht="24.95" customHeight="1" spans="1:19">
      <c r="A155" s="15"/>
      <c r="B155" s="55"/>
      <c r="C155" s="56"/>
      <c r="D155" s="57">
        <v>45685</v>
      </c>
      <c r="E155" s="58"/>
      <c r="F155" s="58" t="s">
        <v>26</v>
      </c>
      <c r="G155" s="59" t="s">
        <v>27</v>
      </c>
      <c r="H155" s="59" t="s">
        <v>46</v>
      </c>
      <c r="I155" s="60" t="s">
        <v>73</v>
      </c>
      <c r="J155" s="61"/>
      <c r="K155" s="61">
        <v>19720</v>
      </c>
      <c r="L155" s="62">
        <f>IFERROR(IF(G155="","",VLOOKUP($G155,[1]基础信息!$B:$C,2,FALSE)+SUMIF(G$8:G155,G155,J$8:J155)-SUMIF(G$8:G155,G155,K$8:K155)+SUMIFS([1]内部转账!$G:$G,[1]内部转账!$C:$C,"&lt;="&amp;$D155,[1]内部转账!$E:$E,$G155)-SUMIFS([1]内部转账!$G:$G,[1]内部转账!$C:$C,"&lt;="&amp;$D155,[1]内部转账!$F:$F,$G155)),"")</f>
        <v>12638.7</v>
      </c>
      <c r="M155" s="63" t="s">
        <v>41</v>
      </c>
      <c r="N155" s="58"/>
      <c r="O155" s="63"/>
      <c r="P155" s="63"/>
      <c r="Q155" s="58"/>
      <c r="R155" s="58"/>
      <c r="S155" s="58"/>
    </row>
    <row r="156" s="2" customFormat="1" ht="24.95" customHeight="1" spans="1:19">
      <c r="A156" s="15"/>
      <c r="B156" s="55"/>
      <c r="C156" s="56"/>
      <c r="D156" s="57">
        <v>45685</v>
      </c>
      <c r="E156" s="58"/>
      <c r="F156" s="58" t="s">
        <v>26</v>
      </c>
      <c r="G156" s="59" t="s">
        <v>27</v>
      </c>
      <c r="H156" s="59" t="s">
        <v>28</v>
      </c>
      <c r="I156" s="60" t="s">
        <v>29</v>
      </c>
      <c r="J156" s="61"/>
      <c r="K156" s="61">
        <v>-21000</v>
      </c>
      <c r="L156" s="62">
        <f>IFERROR(IF(G156="","",VLOOKUP($G156,[1]基础信息!$B:$C,2,FALSE)+SUMIF(G$8:G156,G156,J$8:J156)-SUMIF(G$8:G156,G156,K$8:K156)+SUMIFS([1]内部转账!$G:$G,[1]内部转账!$C:$C,"&lt;="&amp;$D156,[1]内部转账!$E:$E,$G156)-SUMIFS([1]内部转账!$G:$G,[1]内部转账!$C:$C,"&lt;="&amp;$D156,[1]内部转账!$F:$F,$G156)),"")</f>
        <v>33638.7</v>
      </c>
      <c r="M156" s="63" t="s">
        <v>30</v>
      </c>
      <c r="N156" s="58" t="s">
        <v>31</v>
      </c>
      <c r="O156" s="63"/>
      <c r="P156" s="63" t="s">
        <v>31</v>
      </c>
      <c r="Q156" s="58"/>
      <c r="R156" s="58"/>
      <c r="S156" s="58"/>
    </row>
    <row r="157" s="2" customFormat="1" ht="24.95" customHeight="1" spans="1:19">
      <c r="A157" s="15"/>
      <c r="B157" s="55"/>
      <c r="C157" s="56"/>
      <c r="D157" s="57">
        <v>45685</v>
      </c>
      <c r="E157" s="58"/>
      <c r="F157" s="58" t="s">
        <v>26</v>
      </c>
      <c r="G157" s="59" t="s">
        <v>27</v>
      </c>
      <c r="H157" s="59" t="s">
        <v>28</v>
      </c>
      <c r="I157" s="60" t="s">
        <v>29</v>
      </c>
      <c r="J157" s="61"/>
      <c r="K157" s="61">
        <v>-4000</v>
      </c>
      <c r="L157" s="62">
        <f>IFERROR(IF(G157="","",VLOOKUP($G157,[1]基础信息!$B:$C,2,FALSE)+SUMIF(G$8:G157,G157,J$8:J157)-SUMIF(G$8:G157,G157,K$8:K157)+SUMIFS([1]内部转账!$G:$G,[1]内部转账!$C:$C,"&lt;="&amp;$D157,[1]内部转账!$E:$E,$G157)-SUMIFS([1]内部转账!$G:$G,[1]内部转账!$C:$C,"&lt;="&amp;$D157,[1]内部转账!$F:$F,$G157)),"")</f>
        <v>37638.7</v>
      </c>
      <c r="M157" s="63" t="s">
        <v>30</v>
      </c>
      <c r="N157" s="58" t="s">
        <v>31</v>
      </c>
      <c r="O157" s="63"/>
      <c r="P157" s="63" t="s">
        <v>31</v>
      </c>
      <c r="Q157" s="58"/>
      <c r="R157" s="58"/>
      <c r="S157" s="58"/>
    </row>
    <row r="158" s="2" customFormat="1" ht="24.95" customHeight="1" spans="1:19">
      <c r="A158" s="15"/>
      <c r="B158" s="55"/>
      <c r="C158" s="56"/>
      <c r="D158" s="57">
        <v>45685</v>
      </c>
      <c r="E158" s="58"/>
      <c r="F158" s="58" t="s">
        <v>26</v>
      </c>
      <c r="G158" s="59" t="s">
        <v>27</v>
      </c>
      <c r="H158" s="59" t="s">
        <v>46</v>
      </c>
      <c r="I158" s="60" t="s">
        <v>68</v>
      </c>
      <c r="J158" s="61"/>
      <c r="K158" s="61">
        <v>35750</v>
      </c>
      <c r="L158" s="62">
        <f>IFERROR(IF(G158="","",VLOOKUP($G158,[1]基础信息!$B:$C,2,FALSE)+SUMIF(G$8:G158,G158,J$8:J158)-SUMIF(G$8:G158,G158,K$8:K158)+SUMIFS([1]内部转账!$G:$G,[1]内部转账!$C:$C,"&lt;="&amp;$D158,[1]内部转账!$E:$E,$G158)-SUMIFS([1]内部转账!$G:$G,[1]内部转账!$C:$C,"&lt;="&amp;$D158,[1]内部转账!$F:$F,$G158)),"")</f>
        <v>1888.69999999995</v>
      </c>
      <c r="M158" s="63" t="s">
        <v>41</v>
      </c>
      <c r="N158" s="58"/>
      <c r="O158" s="63"/>
      <c r="P158" s="63"/>
      <c r="Q158" s="58"/>
      <c r="R158" s="58"/>
      <c r="S158" s="58"/>
    </row>
    <row r="159" s="2" customFormat="1" ht="24.95" customHeight="1" spans="1:19">
      <c r="A159" s="15"/>
      <c r="B159" s="55"/>
      <c r="C159" s="56"/>
      <c r="D159" s="57">
        <v>45685</v>
      </c>
      <c r="E159" s="58"/>
      <c r="F159" s="58" t="s">
        <v>26</v>
      </c>
      <c r="G159" s="59" t="s">
        <v>27</v>
      </c>
      <c r="H159" s="59" t="s">
        <v>28</v>
      </c>
      <c r="I159" s="60" t="s">
        <v>29</v>
      </c>
      <c r="J159" s="61"/>
      <c r="K159" s="61">
        <v>-14750</v>
      </c>
      <c r="L159" s="62">
        <f>IFERROR(IF(G159="","",VLOOKUP($G159,[1]基础信息!$B:$C,2,FALSE)+SUMIF(G$8:G159,G159,J$8:J159)-SUMIF(G$8:G159,G159,K$8:K159)+SUMIFS([1]内部转账!$G:$G,[1]内部转账!$C:$C,"&lt;="&amp;$D159,[1]内部转账!$E:$E,$G159)-SUMIFS([1]内部转账!$G:$G,[1]内部转账!$C:$C,"&lt;="&amp;$D159,[1]内部转账!$F:$F,$G159)),"")</f>
        <v>16638.7</v>
      </c>
      <c r="M159" s="63" t="s">
        <v>30</v>
      </c>
      <c r="N159" s="58" t="s">
        <v>31</v>
      </c>
      <c r="O159" s="63"/>
      <c r="P159" s="63" t="s">
        <v>31</v>
      </c>
      <c r="Q159" s="58"/>
      <c r="R159" s="58"/>
      <c r="S159" s="58"/>
    </row>
    <row r="160" s="2" customFormat="1" ht="24.95" customHeight="1" spans="1:19">
      <c r="A160" s="15"/>
      <c r="B160" s="55"/>
      <c r="C160" s="56"/>
      <c r="D160" s="57">
        <v>45685</v>
      </c>
      <c r="E160" s="58"/>
      <c r="F160" s="58" t="s">
        <v>26</v>
      </c>
      <c r="G160" s="59" t="s">
        <v>27</v>
      </c>
      <c r="H160" s="59" t="s">
        <v>46</v>
      </c>
      <c r="I160" s="60" t="s">
        <v>65</v>
      </c>
      <c r="J160" s="61"/>
      <c r="K160" s="61">
        <v>13750</v>
      </c>
      <c r="L160" s="62">
        <f>IFERROR(IF(G160="","",VLOOKUP($G160,[1]基础信息!$B:$C,2,FALSE)+SUMIF(G$8:G160,G160,J$8:J160)-SUMIF(G$8:G160,G160,K$8:K160)+SUMIFS([1]内部转账!$G:$G,[1]内部转账!$C:$C,"&lt;="&amp;$D160,[1]内部转账!$E:$E,$G160)-SUMIFS([1]内部转账!$G:$G,[1]内部转账!$C:$C,"&lt;="&amp;$D160,[1]内部转账!$F:$F,$G160)),"")</f>
        <v>2888.69999999995</v>
      </c>
      <c r="M160" s="63" t="s">
        <v>41</v>
      </c>
      <c r="N160" s="58"/>
      <c r="O160" s="63"/>
      <c r="P160" s="63"/>
      <c r="Q160" s="58"/>
      <c r="R160" s="58"/>
      <c r="S160" s="58"/>
    </row>
    <row r="161" s="2" customFormat="1" ht="24.95" customHeight="1" spans="1:19">
      <c r="A161" s="15"/>
      <c r="B161" s="55"/>
      <c r="C161" s="56"/>
      <c r="D161" s="57">
        <v>45685</v>
      </c>
      <c r="E161" s="58"/>
      <c r="F161" s="58" t="s">
        <v>26</v>
      </c>
      <c r="G161" s="59" t="s">
        <v>27</v>
      </c>
      <c r="H161" s="59" t="s">
        <v>46</v>
      </c>
      <c r="I161" s="60" t="s">
        <v>48</v>
      </c>
      <c r="J161" s="61"/>
      <c r="K161" s="61">
        <v>1000</v>
      </c>
      <c r="L161" s="62">
        <f>IFERROR(IF(G161="","",VLOOKUP($G161,[1]基础信息!$B:$C,2,FALSE)+SUMIF(G$8:G161,G161,J$8:J161)-SUMIF(G$8:G161,G161,K$8:K161)+SUMIFS([1]内部转账!$G:$G,[1]内部转账!$C:$C,"&lt;="&amp;$D161,[1]内部转账!$E:$E,$G161)-SUMIFS([1]内部转账!$G:$G,[1]内部转账!$C:$C,"&lt;="&amp;$D161,[1]内部转账!$F:$F,$G161)),"")</f>
        <v>1888.69999999995</v>
      </c>
      <c r="M161" s="63" t="s">
        <v>41</v>
      </c>
      <c r="N161" s="58"/>
      <c r="O161" s="63"/>
      <c r="P161" s="63"/>
      <c r="Q161" s="58"/>
      <c r="R161" s="58"/>
      <c r="S161" s="58"/>
    </row>
    <row r="162" s="2" customFormat="1" ht="24.95" customHeight="1" spans="1:19">
      <c r="A162" s="15"/>
      <c r="B162" s="55"/>
      <c r="C162" s="56"/>
      <c r="D162" s="57">
        <v>45701</v>
      </c>
      <c r="E162" s="58"/>
      <c r="F162" s="58" t="s">
        <v>26</v>
      </c>
      <c r="G162" s="59" t="s">
        <v>27</v>
      </c>
      <c r="H162" s="59" t="s">
        <v>46</v>
      </c>
      <c r="I162" s="60" t="s">
        <v>85</v>
      </c>
      <c r="J162" s="61"/>
      <c r="K162" s="61">
        <v>125</v>
      </c>
      <c r="L162" s="62">
        <f>IFERROR(IF(G162="","",VLOOKUP($G162,[1]基础信息!$B:$C,2,FALSE)+SUMIF(G$8:G162,G162,J$8:J162)-SUMIF(G$8:G162,G162,K$8:K162)+SUMIFS([1]内部转账!$G:$G,[1]内部转账!$C:$C,"&lt;="&amp;$D162,[1]内部转账!$E:$E,$G162)-SUMIFS([1]内部转账!$G:$G,[1]内部转账!$C:$C,"&lt;="&amp;$D162,[1]内部转账!$F:$F,$G162)),"")</f>
        <v>1763.69999999995</v>
      </c>
      <c r="M162" s="63" t="s">
        <v>41</v>
      </c>
      <c r="N162" s="58"/>
      <c r="O162" s="63"/>
      <c r="P162" s="63"/>
      <c r="Q162" s="58"/>
      <c r="R162" s="58"/>
      <c r="S162" s="58"/>
    </row>
    <row r="163" s="2" customFormat="1" ht="24.95" customHeight="1" spans="1:19">
      <c r="A163" s="15"/>
      <c r="B163" s="55"/>
      <c r="C163" s="56"/>
      <c r="D163" s="68">
        <v>45721</v>
      </c>
      <c r="E163" s="69"/>
      <c r="F163" s="69" t="s">
        <v>26</v>
      </c>
      <c r="G163" s="65" t="s">
        <v>27</v>
      </c>
      <c r="H163" s="65" t="s">
        <v>28</v>
      </c>
      <c r="I163" s="70" t="s">
        <v>29</v>
      </c>
      <c r="J163" s="71"/>
      <c r="K163" s="71">
        <v>-5000</v>
      </c>
      <c r="L163" s="72">
        <f>IFERROR(IF(G163="","",VLOOKUP($G163,[1]基础信息!$B:$C,2,FALSE)+SUMIF(G$8:G163,G163,J$8:J163)-SUMIF(G$8:G163,G163,K$8:K163)+SUMIFS([1]内部转账!$G:$G,[1]内部转账!$C:$C,"&lt;="&amp;$D163,[1]内部转账!$E:$E,$G163)-SUMIFS([1]内部转账!$G:$G,[1]内部转账!$C:$C,"&lt;="&amp;$D163,[1]内部转账!$F:$F,$G163)),"")</f>
        <v>6763.69999999995</v>
      </c>
      <c r="M163" s="63" t="s">
        <v>30</v>
      </c>
      <c r="N163" s="58" t="s">
        <v>31</v>
      </c>
      <c r="O163" s="64"/>
      <c r="P163" s="64" t="s">
        <v>31</v>
      </c>
      <c r="Q163" s="69"/>
      <c r="R163" s="69"/>
      <c r="S163" s="69"/>
    </row>
    <row r="164" s="2" customFormat="1" ht="24.95" customHeight="1" spans="1:19">
      <c r="A164" s="15"/>
      <c r="B164" s="55"/>
      <c r="C164" s="56"/>
      <c r="D164" s="68">
        <v>45721</v>
      </c>
      <c r="E164" s="69"/>
      <c r="F164" s="69" t="s">
        <v>26</v>
      </c>
      <c r="G164" s="65" t="s">
        <v>27</v>
      </c>
      <c r="H164" s="65" t="s">
        <v>83</v>
      </c>
      <c r="I164" s="70" t="s">
        <v>84</v>
      </c>
      <c r="J164" s="71"/>
      <c r="K164" s="71">
        <v>16</v>
      </c>
      <c r="L164" s="72">
        <f>IFERROR(IF(G164="","",VLOOKUP($G164,[1]基础信息!$B:$C,2,FALSE)+SUMIF(G$8:G164,G164,J$8:J164)-SUMIF(G$8:G164,G164,K$8:K164)+SUMIFS([1]内部转账!$G:$G,[1]内部转账!$C:$C,"&lt;="&amp;$D164,[1]内部转账!$E:$E,$G164)-SUMIFS([1]内部转账!$G:$G,[1]内部转账!$C:$C,"&lt;="&amp;$D164,[1]内部转账!$F:$F,$G164)),"")</f>
        <v>6747.69999999995</v>
      </c>
      <c r="M164" s="63" t="s">
        <v>41</v>
      </c>
      <c r="N164" s="69"/>
      <c r="O164" s="64"/>
      <c r="P164" s="64"/>
      <c r="Q164" s="69"/>
      <c r="R164" s="69"/>
      <c r="S164" s="69"/>
    </row>
    <row r="165" s="2" customFormat="1" ht="24.95" customHeight="1" spans="1:19">
      <c r="A165" s="15"/>
      <c r="B165" s="55"/>
      <c r="C165" s="56"/>
      <c r="D165" s="68">
        <v>45721</v>
      </c>
      <c r="E165" s="69"/>
      <c r="F165" s="69" t="s">
        <v>26</v>
      </c>
      <c r="G165" s="65" t="s">
        <v>27</v>
      </c>
      <c r="H165" s="65" t="s">
        <v>83</v>
      </c>
      <c r="I165" s="70" t="s">
        <v>84</v>
      </c>
      <c r="J165" s="71"/>
      <c r="K165" s="71">
        <v>3998.76</v>
      </c>
      <c r="L165" s="72">
        <f>IFERROR(IF(G165="","",VLOOKUP($G165,[1]基础信息!$B:$C,2,FALSE)+SUMIF(G$8:G165,G165,J$8:J165)-SUMIF(G$8:G165,G165,K$8:K165)+SUMIFS([1]内部转账!$G:$G,[1]内部转账!$C:$C,"&lt;="&amp;$D165,[1]内部转账!$E:$E,$G165)-SUMIFS([1]内部转账!$G:$G,[1]内部转账!$C:$C,"&lt;="&amp;$D165,[1]内部转账!$F:$F,$G165)),"")</f>
        <v>2748.93999999994</v>
      </c>
      <c r="M165" s="64" t="s">
        <v>41</v>
      </c>
      <c r="N165" s="69"/>
      <c r="O165" s="64"/>
      <c r="P165" s="64"/>
      <c r="Q165" s="69"/>
      <c r="R165" s="69"/>
      <c r="S165" s="69"/>
    </row>
    <row r="166" s="2" customFormat="1" ht="24.95" customHeight="1" spans="1:19">
      <c r="A166" s="15"/>
      <c r="B166" s="55"/>
      <c r="C166" s="56"/>
      <c r="D166" s="68">
        <v>45724</v>
      </c>
      <c r="E166" s="69"/>
      <c r="F166" s="69" t="s">
        <v>26</v>
      </c>
      <c r="G166" s="65" t="s">
        <v>27</v>
      </c>
      <c r="H166" s="65" t="s">
        <v>28</v>
      </c>
      <c r="I166" s="70" t="s">
        <v>29</v>
      </c>
      <c r="J166" s="71"/>
      <c r="K166" s="71">
        <v>-3000</v>
      </c>
      <c r="L166" s="72">
        <f>IFERROR(IF(G166="","",VLOOKUP($G166,[1]基础信息!$B:$C,2,FALSE)+SUMIF(G$8:G166,G166,J$8:J166)-SUMIF(G$8:G166,G166,K$8:K166)+SUMIFS([1]内部转账!$G:$G,[1]内部转账!$C:$C,"&lt;="&amp;$D166,[1]内部转账!$E:$E,$G166)-SUMIFS([1]内部转账!$G:$G,[1]内部转账!$C:$C,"&lt;="&amp;$D166,[1]内部转账!$F:$F,$G166)),"")</f>
        <v>5748.93999999994</v>
      </c>
      <c r="M166" s="64" t="s">
        <v>30</v>
      </c>
      <c r="N166" s="58" t="s">
        <v>31</v>
      </c>
      <c r="O166" s="64"/>
      <c r="P166" s="64" t="s">
        <v>31</v>
      </c>
      <c r="Q166" s="69"/>
      <c r="R166" s="69"/>
      <c r="S166" s="69"/>
    </row>
    <row r="167" s="2" customFormat="1" ht="24.95" customHeight="1" spans="1:19">
      <c r="A167" s="15"/>
      <c r="B167" s="55"/>
      <c r="C167" s="56"/>
      <c r="D167" s="68">
        <v>45724</v>
      </c>
      <c r="E167" s="69"/>
      <c r="F167" s="69" t="s">
        <v>26</v>
      </c>
      <c r="G167" s="65" t="s">
        <v>27</v>
      </c>
      <c r="H167" s="65" t="s">
        <v>62</v>
      </c>
      <c r="I167" s="70" t="s">
        <v>120</v>
      </c>
      <c r="J167" s="71"/>
      <c r="K167" s="71">
        <v>2000</v>
      </c>
      <c r="L167" s="72">
        <f>IFERROR(IF(G167="","",VLOOKUP($G167,[1]基础信息!$B:$C,2,FALSE)+SUMIF(G$8:G167,G167,J$8:J167)-SUMIF(G$8:G167,G167,K$8:K167)+SUMIFS([1]内部转账!$G:$G,[1]内部转账!$C:$C,"&lt;="&amp;$D167,[1]内部转账!$E:$E,$G167)-SUMIFS([1]内部转账!$G:$G,[1]内部转账!$C:$C,"&lt;="&amp;$D167,[1]内部转账!$F:$F,$G167)),"")</f>
        <v>3748.93999999994</v>
      </c>
      <c r="M167" s="64" t="s">
        <v>121</v>
      </c>
      <c r="N167" s="69"/>
      <c r="O167" s="64"/>
      <c r="P167" s="64" t="s">
        <v>122</v>
      </c>
      <c r="Q167" s="69"/>
      <c r="R167" s="69"/>
      <c r="S167" s="69"/>
    </row>
    <row r="168" s="2" customFormat="1" ht="24.95" customHeight="1" spans="1:19">
      <c r="A168" s="15"/>
      <c r="B168" s="55"/>
      <c r="C168" s="56"/>
      <c r="D168" s="68">
        <v>45724</v>
      </c>
      <c r="E168" s="69"/>
      <c r="F168" s="69" t="s">
        <v>26</v>
      </c>
      <c r="G168" s="65" t="s">
        <v>27</v>
      </c>
      <c r="H168" s="65" t="s">
        <v>28</v>
      </c>
      <c r="I168" s="70" t="s">
        <v>29</v>
      </c>
      <c r="J168" s="71"/>
      <c r="K168" s="71">
        <v>-17000</v>
      </c>
      <c r="L168" s="72">
        <f>IFERROR(IF(G168="","",VLOOKUP($G168,[1]基础信息!$B:$C,2,FALSE)+SUMIF(G$8:G168,G168,J$8:J168)-SUMIF(G$8:G168,G168,K$8:K168)+SUMIFS([1]内部转账!$G:$G,[1]内部转账!$C:$C,"&lt;="&amp;$D168,[1]内部转账!$E:$E,$G168)-SUMIFS([1]内部转账!$G:$G,[1]内部转账!$C:$C,"&lt;="&amp;$D168,[1]内部转账!$F:$F,$G168)),"")</f>
        <v>20748.9399999999</v>
      </c>
      <c r="M168" s="64" t="s">
        <v>30</v>
      </c>
      <c r="N168" s="58" t="s">
        <v>31</v>
      </c>
      <c r="O168" s="64"/>
      <c r="P168" s="64" t="s">
        <v>31</v>
      </c>
      <c r="Q168" s="69"/>
      <c r="R168" s="69"/>
      <c r="S168" s="69"/>
    </row>
    <row r="169" s="2" customFormat="1" ht="24.95" customHeight="1" spans="1:19">
      <c r="A169" s="15"/>
      <c r="B169" s="55"/>
      <c r="C169" s="56"/>
      <c r="D169" s="68">
        <v>45724</v>
      </c>
      <c r="E169" s="69"/>
      <c r="F169" s="69" t="s">
        <v>26</v>
      </c>
      <c r="G169" s="65" t="s">
        <v>27</v>
      </c>
      <c r="H169" s="65" t="s">
        <v>62</v>
      </c>
      <c r="I169" s="70" t="s">
        <v>123</v>
      </c>
      <c r="J169" s="71"/>
      <c r="K169" s="71">
        <v>9600</v>
      </c>
      <c r="L169" s="72">
        <f>IFERROR(IF(G169="","",VLOOKUP($G169,[1]基础信息!$B:$C,2,FALSE)+SUMIF(G$8:G169,G169,J$8:J169)-SUMIF(G$8:G169,G169,K$8:K169)+SUMIFS([1]内部转账!$G:$G,[1]内部转账!$C:$C,"&lt;="&amp;$D169,[1]内部转账!$E:$E,$G169)-SUMIFS([1]内部转账!$G:$G,[1]内部转账!$C:$C,"&lt;="&amp;$D169,[1]内部转账!$F:$F,$G169)),"")</f>
        <v>11148.9399999999</v>
      </c>
      <c r="M169" s="64" t="s">
        <v>121</v>
      </c>
      <c r="N169" s="69"/>
      <c r="O169" s="64"/>
      <c r="P169" s="64" t="s">
        <v>122</v>
      </c>
      <c r="Q169" s="69"/>
      <c r="R169" s="69"/>
      <c r="S169" s="69"/>
    </row>
    <row r="170" s="2" customFormat="1" ht="24.95" customHeight="1" spans="1:19">
      <c r="A170" s="15"/>
      <c r="B170" s="55"/>
      <c r="C170" s="56"/>
      <c r="D170" s="68">
        <v>45724</v>
      </c>
      <c r="E170" s="69"/>
      <c r="F170" s="69" t="s">
        <v>26</v>
      </c>
      <c r="G170" s="65" t="s">
        <v>27</v>
      </c>
      <c r="H170" s="65" t="s">
        <v>62</v>
      </c>
      <c r="I170" s="70" t="s">
        <v>120</v>
      </c>
      <c r="J170" s="71"/>
      <c r="K170" s="71">
        <v>6900</v>
      </c>
      <c r="L170" s="72">
        <f>IFERROR(IF(G170="","",VLOOKUP($G170,[1]基础信息!$B:$C,2,FALSE)+SUMIF(G$8:G170,G170,J$8:J170)-SUMIF(G$8:G170,G170,K$8:K170)+SUMIFS([1]内部转账!$G:$G,[1]内部转账!$C:$C,"&lt;="&amp;$D170,[1]内部转账!$E:$E,$G170)-SUMIFS([1]内部转账!$G:$G,[1]内部转账!$C:$C,"&lt;="&amp;$D170,[1]内部转账!$F:$F,$G170)),"")</f>
        <v>4248.93999999994</v>
      </c>
      <c r="M170" s="64" t="s">
        <v>121</v>
      </c>
      <c r="N170" s="69"/>
      <c r="O170" s="64"/>
      <c r="P170" s="64" t="s">
        <v>122</v>
      </c>
      <c r="Q170" s="69"/>
      <c r="R170" s="69"/>
      <c r="S170" s="69"/>
    </row>
    <row r="171" s="2" customFormat="1" ht="24.95" customHeight="1" spans="1:19">
      <c r="A171" s="15"/>
      <c r="B171" s="55"/>
      <c r="C171" s="56"/>
      <c r="D171" s="68">
        <v>45727</v>
      </c>
      <c r="E171" s="69"/>
      <c r="F171" s="69" t="s">
        <v>26</v>
      </c>
      <c r="G171" s="65" t="s">
        <v>27</v>
      </c>
      <c r="H171" s="65" t="s">
        <v>62</v>
      </c>
      <c r="I171" s="70" t="s">
        <v>120</v>
      </c>
      <c r="J171" s="71"/>
      <c r="K171" s="71">
        <v>3800</v>
      </c>
      <c r="L171" s="72">
        <f>IFERROR(IF(G171="","",VLOOKUP($G171,[1]基础信息!$B:$C,2,FALSE)+SUMIF(G$8:G171,G171,J$8:J171)-SUMIF(G$8:G171,G171,K$8:K171)+SUMIFS([1]内部转账!$G:$G,[1]内部转账!$C:$C,"&lt;="&amp;$D171,[1]内部转账!$E:$E,$G171)-SUMIFS([1]内部转账!$G:$G,[1]内部转账!$C:$C,"&lt;="&amp;$D171,[1]内部转账!$F:$F,$G171)),"")</f>
        <v>448.939999999944</v>
      </c>
      <c r="M171" s="64" t="s">
        <v>121</v>
      </c>
      <c r="N171" s="69"/>
      <c r="O171" s="64"/>
      <c r="P171" s="64" t="s">
        <v>122</v>
      </c>
      <c r="Q171" s="69"/>
      <c r="R171" s="69"/>
      <c r="S171" s="69"/>
    </row>
    <row r="172" s="2" customFormat="1" ht="24.95" customHeight="1" spans="1:19">
      <c r="A172" s="15"/>
      <c r="B172" s="55"/>
      <c r="C172" s="56"/>
      <c r="D172" s="68">
        <v>45728</v>
      </c>
      <c r="E172" s="69"/>
      <c r="F172" s="69" t="s">
        <v>26</v>
      </c>
      <c r="G172" s="65" t="s">
        <v>27</v>
      </c>
      <c r="H172" s="65" t="s">
        <v>28</v>
      </c>
      <c r="I172" s="70" t="s">
        <v>29</v>
      </c>
      <c r="J172" s="71"/>
      <c r="K172" s="71">
        <v>-15000</v>
      </c>
      <c r="L172" s="72">
        <f>IFERROR(IF(G172="","",VLOOKUP($G172,[1]基础信息!$B:$C,2,FALSE)+SUMIF(G$8:G172,G172,J$8:J172)-SUMIF(G$8:G172,G172,K$8:K172)+SUMIFS([1]内部转账!$G:$G,[1]内部转账!$C:$C,"&lt;="&amp;$D172,[1]内部转账!$E:$E,$G172)-SUMIFS([1]内部转账!$G:$G,[1]内部转账!$C:$C,"&lt;="&amp;$D172,[1]内部转账!$F:$F,$G172)),"")</f>
        <v>15448.9399999999</v>
      </c>
      <c r="M172" s="64" t="s">
        <v>30</v>
      </c>
      <c r="N172" s="58" t="s">
        <v>31</v>
      </c>
      <c r="O172" s="64"/>
      <c r="P172" s="64" t="s">
        <v>31</v>
      </c>
      <c r="Q172" s="69"/>
      <c r="R172" s="69"/>
      <c r="S172" s="69"/>
    </row>
    <row r="173" s="2" customFormat="1" ht="24.95" customHeight="1" spans="1:19">
      <c r="A173" s="15"/>
      <c r="B173" s="55"/>
      <c r="C173" s="56"/>
      <c r="D173" s="68">
        <v>45729</v>
      </c>
      <c r="E173" s="69"/>
      <c r="F173" s="69" t="s">
        <v>26</v>
      </c>
      <c r="G173" s="65" t="s">
        <v>27</v>
      </c>
      <c r="H173" s="65" t="s">
        <v>83</v>
      </c>
      <c r="I173" s="70" t="s">
        <v>84</v>
      </c>
      <c r="J173" s="71"/>
      <c r="K173" s="71">
        <v>56</v>
      </c>
      <c r="L173" s="72">
        <f>IFERROR(IF(G173="","",VLOOKUP($G173,[1]基础信息!$B:$C,2,FALSE)+SUMIF(G$8:G173,G173,J$8:J173)-SUMIF(G$8:G173,G173,K$8:K173)+SUMIFS([1]内部转账!$G:$G,[1]内部转账!$C:$C,"&lt;="&amp;$D173,[1]内部转账!$E:$E,$G173)-SUMIFS([1]内部转账!$G:$G,[1]内部转账!$C:$C,"&lt;="&amp;$D173,[1]内部转账!$F:$F,$G173)),"")</f>
        <v>15392.9399999999</v>
      </c>
      <c r="M173" s="64" t="s">
        <v>109</v>
      </c>
      <c r="N173" s="69"/>
      <c r="O173" s="64"/>
      <c r="P173" s="64"/>
      <c r="Q173" s="69"/>
      <c r="R173" s="69"/>
      <c r="S173" s="69"/>
    </row>
    <row r="174" s="2" customFormat="1" ht="24.95" customHeight="1" spans="1:19">
      <c r="A174" s="15"/>
      <c r="B174" s="55"/>
      <c r="C174" s="56"/>
      <c r="D174" s="68">
        <v>45729</v>
      </c>
      <c r="E174" s="69"/>
      <c r="F174" s="69" t="s">
        <v>26</v>
      </c>
      <c r="G174" s="65" t="s">
        <v>27</v>
      </c>
      <c r="H174" s="65" t="s">
        <v>83</v>
      </c>
      <c r="I174" s="70" t="s">
        <v>84</v>
      </c>
      <c r="J174" s="71"/>
      <c r="K174" s="71">
        <v>13995.66</v>
      </c>
      <c r="L174" s="72">
        <f>IFERROR(IF(G174="","",VLOOKUP($G174,[1]基础信息!$B:$C,2,FALSE)+SUMIF(G$8:G174,G174,J$8:J174)-SUMIF(G$8:G174,G174,K$8:K174)+SUMIFS([1]内部转账!$G:$G,[1]内部转账!$C:$C,"&lt;="&amp;$D174,[1]内部转账!$E:$E,$G174)-SUMIFS([1]内部转账!$G:$G,[1]内部转账!$C:$C,"&lt;="&amp;$D174,[1]内部转账!$F:$F,$G174)),"")</f>
        <v>1397.27999999991</v>
      </c>
      <c r="M174" s="64" t="s">
        <v>109</v>
      </c>
      <c r="N174" s="69"/>
      <c r="O174" s="64"/>
      <c r="P174" s="64"/>
      <c r="Q174" s="69"/>
      <c r="R174" s="69"/>
      <c r="S174" s="69"/>
    </row>
    <row r="175" s="2" customFormat="1" ht="24.95" customHeight="1" spans="1:19">
      <c r="A175" s="15"/>
      <c r="B175" s="55"/>
      <c r="C175" s="56"/>
      <c r="D175" s="68">
        <v>45730</v>
      </c>
      <c r="E175" s="69"/>
      <c r="F175" s="69" t="s">
        <v>26</v>
      </c>
      <c r="G175" s="65" t="s">
        <v>27</v>
      </c>
      <c r="H175" s="65" t="s">
        <v>62</v>
      </c>
      <c r="I175" s="70" t="s">
        <v>120</v>
      </c>
      <c r="J175" s="71"/>
      <c r="K175" s="71">
        <v>-1189.27</v>
      </c>
      <c r="L175" s="72">
        <f>IFERROR(IF(G175="","",VLOOKUP($G175,[1]基础信息!$B:$C,2,FALSE)+SUMIF(G$8:G175,G175,J$8:J175)-SUMIF(G$8:G175,G175,K$8:K175)+SUMIFS([1]内部转账!$G:$G,[1]内部转账!$C:$C,"&lt;="&amp;$D175,[1]内部转账!$E:$E,$G175)-SUMIFS([1]内部转账!$G:$G,[1]内部转账!$C:$C,"&lt;="&amp;$D175,[1]内部转账!$F:$F,$G175)),"")</f>
        <v>2586.54999999993</v>
      </c>
      <c r="M175" s="64" t="s">
        <v>121</v>
      </c>
      <c r="N175" s="69"/>
      <c r="O175" s="64"/>
      <c r="P175" s="64" t="s">
        <v>122</v>
      </c>
      <c r="Q175" s="69"/>
      <c r="R175" s="69"/>
      <c r="S175" s="69"/>
    </row>
    <row r="176" s="2" customFormat="1" ht="24.95" customHeight="1" spans="1:19">
      <c r="A176" s="15"/>
      <c r="B176" s="55"/>
      <c r="C176" s="56"/>
      <c r="D176" s="68">
        <v>45737</v>
      </c>
      <c r="E176" s="69"/>
      <c r="F176" s="69" t="s">
        <v>26</v>
      </c>
      <c r="G176" s="65" t="s">
        <v>27</v>
      </c>
      <c r="H176" s="65" t="s">
        <v>33</v>
      </c>
      <c r="I176" s="70" t="s">
        <v>34</v>
      </c>
      <c r="J176" s="71"/>
      <c r="K176" s="71">
        <v>-20.43</v>
      </c>
      <c r="L176" s="72">
        <f>IFERROR(IF(G176="","",VLOOKUP($G176,[1]基础信息!$B:$C,2,FALSE)+SUMIF(G$8:G176,G176,J$8:J176)-SUMIF(G$8:G176,G176,K$8:K176)+SUMIFS([1]内部转账!$G:$G,[1]内部转账!$C:$C,"&lt;="&amp;$D176,[1]内部转账!$E:$E,$G176)-SUMIFS([1]内部转账!$G:$G,[1]内部转账!$C:$C,"&lt;="&amp;$D176,[1]内部转账!$F:$F,$G176)),"")</f>
        <v>2606.97999999998</v>
      </c>
      <c r="M176" s="64" t="s">
        <v>35</v>
      </c>
      <c r="N176" s="69"/>
      <c r="O176" s="64"/>
      <c r="P176" s="64"/>
      <c r="Q176" s="69"/>
      <c r="R176" s="69"/>
      <c r="S176" s="69"/>
    </row>
    <row r="177" s="2" customFormat="1" ht="24.95" customHeight="1" spans="1:19">
      <c r="A177" s="15"/>
      <c r="B177" s="55"/>
      <c r="C177" s="56"/>
      <c r="D177" s="68">
        <v>45747</v>
      </c>
      <c r="E177" s="69"/>
      <c r="F177" s="69" t="s">
        <v>26</v>
      </c>
      <c r="G177" s="65" t="s">
        <v>27</v>
      </c>
      <c r="H177" s="65" t="s">
        <v>28</v>
      </c>
      <c r="I177" s="70" t="s">
        <v>29</v>
      </c>
      <c r="J177" s="71"/>
      <c r="K177" s="71">
        <v>-26800</v>
      </c>
      <c r="L177" s="72">
        <f>IFERROR(IF(G177="","",VLOOKUP($G177,[1]基础信息!$B:$C,2,FALSE)+SUMIF(G$8:G177,G177,J$8:J177)-SUMIF(G$8:G177,G177,K$8:K177)+SUMIFS([1]内部转账!$G:$G,[1]内部转账!$C:$C,"&lt;="&amp;$D177,[1]内部转账!$E:$E,$G177)-SUMIFS([1]内部转账!$G:$G,[1]内部转账!$C:$C,"&lt;="&amp;$D177,[1]内部转账!$F:$F,$G177)),"")</f>
        <v>29406.98</v>
      </c>
      <c r="M177" s="64" t="s">
        <v>30</v>
      </c>
      <c r="N177" s="58" t="s">
        <v>31</v>
      </c>
      <c r="O177" s="64"/>
      <c r="P177" s="64" t="s">
        <v>31</v>
      </c>
      <c r="Q177" s="69"/>
      <c r="R177" s="69"/>
      <c r="S177" s="69"/>
    </row>
    <row r="178" s="2" customFormat="1" ht="24.95" customHeight="1" spans="1:19">
      <c r="A178" s="15"/>
      <c r="B178" s="55"/>
      <c r="C178" s="56"/>
      <c r="D178" s="68">
        <v>45747</v>
      </c>
      <c r="E178" s="69"/>
      <c r="F178" s="69" t="s">
        <v>26</v>
      </c>
      <c r="G178" s="65" t="s">
        <v>27</v>
      </c>
      <c r="H178" s="65" t="s">
        <v>53</v>
      </c>
      <c r="I178" s="70" t="s">
        <v>98</v>
      </c>
      <c r="J178" s="71"/>
      <c r="K178" s="71">
        <v>10000</v>
      </c>
      <c r="L178" s="72">
        <f>IFERROR(IF(G178="","",VLOOKUP($G178,[1]基础信息!$B:$C,2,FALSE)+SUMIF(G$8:G178,G178,J$8:J178)-SUMIF(G$8:G178,G178,K$8:K178)+SUMIFS([1]内部转账!$G:$G,[1]内部转账!$C:$C,"&lt;="&amp;$D178,[1]内部转账!$E:$E,$G178)-SUMIFS([1]内部转账!$G:$G,[1]内部转账!$C:$C,"&lt;="&amp;$D178,[1]内部转账!$F:$F,$G178)),"")</f>
        <v>19406.98</v>
      </c>
      <c r="M178" s="64" t="s">
        <v>35</v>
      </c>
      <c r="N178" s="69" t="s">
        <v>98</v>
      </c>
      <c r="O178" s="64"/>
      <c r="P178" s="64"/>
      <c r="Q178" s="69"/>
      <c r="R178" s="69"/>
      <c r="S178" s="69"/>
    </row>
    <row r="179" s="2" customFormat="1" ht="24.95" customHeight="1" spans="1:19">
      <c r="A179" s="15"/>
      <c r="B179" s="55"/>
      <c r="C179" s="56"/>
      <c r="D179" s="68">
        <v>45749</v>
      </c>
      <c r="E179" s="69"/>
      <c r="F179" s="69" t="s">
        <v>26</v>
      </c>
      <c r="G179" s="65" t="s">
        <v>27</v>
      </c>
      <c r="H179" s="65" t="s">
        <v>53</v>
      </c>
      <c r="I179" s="70" t="s">
        <v>98</v>
      </c>
      <c r="J179" s="71"/>
      <c r="K179" s="71">
        <v>10000</v>
      </c>
      <c r="L179" s="72">
        <f>IFERROR(IF(G179="","",VLOOKUP($G179,[1]基础信息!$B:$C,2,FALSE)+SUMIF(G$8:G179,G179,J$8:J179)-SUMIF(G$8:G179,G179,K$8:K179)+SUMIFS([1]内部转账!$G:$G,[1]内部转账!$C:$C,"&lt;="&amp;$D179,[1]内部转账!$E:$E,$G179)-SUMIFS([1]内部转账!$G:$G,[1]内部转账!$C:$C,"&lt;="&amp;$D179,[1]内部转账!$F:$F,$G179)),"")</f>
        <v>9406.97999999998</v>
      </c>
      <c r="M179" s="64" t="s">
        <v>35</v>
      </c>
      <c r="N179" s="69" t="s">
        <v>98</v>
      </c>
      <c r="O179" s="64"/>
      <c r="P179" s="64"/>
      <c r="Q179" s="69"/>
      <c r="R179" s="69"/>
      <c r="S179" s="69"/>
    </row>
    <row r="180" s="2" customFormat="1" ht="24.95" customHeight="1" spans="1:19">
      <c r="A180" s="15"/>
      <c r="B180" s="55"/>
      <c r="C180" s="56"/>
      <c r="D180" s="68">
        <v>45759</v>
      </c>
      <c r="E180" s="69"/>
      <c r="F180" s="69" t="s">
        <v>26</v>
      </c>
      <c r="G180" s="65" t="s">
        <v>27</v>
      </c>
      <c r="H180" s="65" t="s">
        <v>33</v>
      </c>
      <c r="I180" s="70" t="s">
        <v>124</v>
      </c>
      <c r="J180" s="71"/>
      <c r="K180" s="71">
        <v>6200</v>
      </c>
      <c r="L180" s="72">
        <f>IFERROR(IF(G180="","",VLOOKUP($G180,[1]基础信息!$B:$C,2,FALSE)+SUMIF(G$8:G180,G180,J$8:J180)-SUMIF(G$8:G180,G180,K$8:K180)+SUMIFS([1]内部转账!$G:$G,[1]内部转账!$C:$C,"&lt;="&amp;$D180,[1]内部转账!$E:$E,$G180)-SUMIFS([1]内部转账!$G:$G,[1]内部转账!$C:$C,"&lt;="&amp;$D180,[1]内部转账!$F:$F,$G180)),"")</f>
        <v>3206.97999999998</v>
      </c>
      <c r="M180" s="64" t="s">
        <v>35</v>
      </c>
      <c r="N180" s="69"/>
      <c r="O180" s="64"/>
      <c r="P180" s="64"/>
      <c r="Q180" s="69"/>
      <c r="R180" s="69"/>
      <c r="S180" s="69"/>
    </row>
    <row r="181" s="2" customFormat="1" ht="24.95" customHeight="1" spans="1:19">
      <c r="A181" s="15"/>
      <c r="B181" s="55"/>
      <c r="C181" s="56"/>
      <c r="D181" s="68">
        <v>45768</v>
      </c>
      <c r="E181" s="69"/>
      <c r="F181" s="69" t="s">
        <v>42</v>
      </c>
      <c r="G181" s="65" t="s">
        <v>125</v>
      </c>
      <c r="H181" s="65" t="s">
        <v>43</v>
      </c>
      <c r="I181" s="70" t="s">
        <v>43</v>
      </c>
      <c r="J181" s="71">
        <v>700</v>
      </c>
      <c r="K181" s="71"/>
      <c r="L181" s="72">
        <f>IFERROR(IF(G181="","",VLOOKUP($G181,[1]基础信息!$B:$C,2,FALSE)+SUMIF(G$8:G181,G181,J$8:J181)-SUMIF(G$8:G181,G181,K$8:K181)+SUMIFS([1]内部转账!$G:$G,[1]内部转账!$C:$C,"&lt;="&amp;$D181,[1]内部转账!$E:$E,$G181)-SUMIFS([1]内部转账!$G:$G,[1]内部转账!$C:$C,"&lt;="&amp;$D181,[1]内部转账!$F:$F,$G181)),"")</f>
        <v>700</v>
      </c>
      <c r="M181" s="64" t="s">
        <v>126</v>
      </c>
      <c r="N181" s="69" t="s">
        <v>98</v>
      </c>
      <c r="O181" s="64"/>
      <c r="P181" s="64"/>
      <c r="Q181" s="69"/>
      <c r="R181" s="69"/>
      <c r="S181" s="69"/>
    </row>
    <row r="182" s="2" customFormat="1" ht="24.95" customHeight="1" spans="1:19">
      <c r="A182" s="15"/>
      <c r="B182" s="55"/>
      <c r="C182" s="56"/>
      <c r="D182" s="68">
        <v>45777</v>
      </c>
      <c r="E182" s="69"/>
      <c r="F182" s="69" t="s">
        <v>26</v>
      </c>
      <c r="G182" s="65" t="s">
        <v>27</v>
      </c>
      <c r="H182" s="65" t="s">
        <v>28</v>
      </c>
      <c r="I182" s="70" t="s">
        <v>29</v>
      </c>
      <c r="J182" s="71"/>
      <c r="K182" s="71">
        <v>-50000</v>
      </c>
      <c r="L182" s="72">
        <f>IFERROR(IF(G182="","",VLOOKUP($G182,[1]基础信息!$B:$C,2,FALSE)+SUMIF(G$8:G182,G182,J$8:J182)-SUMIF(G$8:G182,G182,K$8:K182)+SUMIFS([1]内部转账!$G:$G,[1]内部转账!$C:$C,"&lt;="&amp;$D182,[1]内部转账!$E:$E,$G182)-SUMIFS([1]内部转账!$G:$G,[1]内部转账!$C:$C,"&lt;="&amp;$D182,[1]内部转账!$F:$F,$G182)),"")</f>
        <v>53206.98</v>
      </c>
      <c r="M182" s="64" t="s">
        <v>30</v>
      </c>
      <c r="N182" s="58" t="s">
        <v>31</v>
      </c>
      <c r="O182" s="64"/>
      <c r="P182" s="64" t="s">
        <v>31</v>
      </c>
      <c r="Q182" s="69"/>
      <c r="R182" s="69"/>
      <c r="S182" s="69"/>
    </row>
    <row r="183" s="2" customFormat="1" ht="24.95" customHeight="1" spans="1:19">
      <c r="A183" s="15"/>
      <c r="B183" s="55"/>
      <c r="C183" s="56"/>
      <c r="D183" s="68">
        <v>45777</v>
      </c>
      <c r="E183" s="69"/>
      <c r="F183" s="69" t="s">
        <v>26</v>
      </c>
      <c r="G183" s="65" t="s">
        <v>27</v>
      </c>
      <c r="H183" s="65" t="s">
        <v>46</v>
      </c>
      <c r="I183" s="70" t="s">
        <v>127</v>
      </c>
      <c r="J183" s="71"/>
      <c r="K183" s="71">
        <v>3000</v>
      </c>
      <c r="L183" s="72">
        <f>IFERROR(IF(G183="","",VLOOKUP($G183,[1]基础信息!$B:$C,2,FALSE)+SUMIF(G$8:G183,G183,J$8:J183)-SUMIF(G$8:G183,G183,K$8:K183)+SUMIFS([1]内部转账!$G:$G,[1]内部转账!$C:$C,"&lt;="&amp;$D183,[1]内部转账!$E:$E,$G183)-SUMIFS([1]内部转账!$G:$G,[1]内部转账!$C:$C,"&lt;="&amp;$D183,[1]内部转账!$F:$F,$G183)),"")</f>
        <v>50206.98</v>
      </c>
      <c r="M183" s="64" t="s">
        <v>121</v>
      </c>
      <c r="N183" s="69" t="s">
        <v>128</v>
      </c>
      <c r="O183" s="64"/>
      <c r="P183" s="64"/>
      <c r="Q183" s="69"/>
      <c r="R183" s="69"/>
      <c r="S183" s="69"/>
    </row>
    <row r="184" s="2" customFormat="1" ht="24.95" customHeight="1" spans="1:19">
      <c r="A184" s="15"/>
      <c r="B184" s="55"/>
      <c r="C184" s="56"/>
      <c r="D184" s="68">
        <v>45777</v>
      </c>
      <c r="E184" s="69"/>
      <c r="F184" s="69" t="s">
        <v>26</v>
      </c>
      <c r="G184" s="65" t="s">
        <v>27</v>
      </c>
      <c r="H184" s="65" t="s">
        <v>46</v>
      </c>
      <c r="I184" s="70" t="s">
        <v>129</v>
      </c>
      <c r="J184" s="71"/>
      <c r="K184" s="71">
        <v>2000</v>
      </c>
      <c r="L184" s="72">
        <f>IFERROR(IF(G184="","",VLOOKUP($G184,[1]基础信息!$B:$C,2,FALSE)+SUMIF(G$8:G184,G184,J$8:J184)-SUMIF(G$8:G184,G184,K$8:K184)+SUMIFS([1]内部转账!$G:$G,[1]内部转账!$C:$C,"&lt;="&amp;$D184,[1]内部转账!$E:$E,$G184)-SUMIFS([1]内部转账!$G:$G,[1]内部转账!$C:$C,"&lt;="&amp;$D184,[1]内部转账!$F:$F,$G184)),"")</f>
        <v>48206.98</v>
      </c>
      <c r="M184" s="64" t="s">
        <v>121</v>
      </c>
      <c r="N184" s="69" t="s">
        <v>128</v>
      </c>
      <c r="O184" s="64"/>
      <c r="P184" s="64"/>
      <c r="Q184" s="69"/>
      <c r="R184" s="69"/>
      <c r="S184" s="69"/>
    </row>
    <row r="185" s="2" customFormat="1" ht="24.95" customHeight="1" spans="1:19">
      <c r="A185" s="15"/>
      <c r="B185" s="55"/>
      <c r="C185" s="56"/>
      <c r="D185" s="68">
        <v>45777</v>
      </c>
      <c r="E185" s="69"/>
      <c r="F185" s="69" t="s">
        <v>26</v>
      </c>
      <c r="G185" s="65" t="s">
        <v>27</v>
      </c>
      <c r="H185" s="65" t="s">
        <v>46</v>
      </c>
      <c r="I185" s="70" t="s">
        <v>130</v>
      </c>
      <c r="J185" s="71"/>
      <c r="K185" s="71">
        <v>2000</v>
      </c>
      <c r="L185" s="72">
        <f>IFERROR(IF(G185="","",VLOOKUP($G185,[1]基础信息!$B:$C,2,FALSE)+SUMIF(G$8:G185,G185,J$8:J185)-SUMIF(G$8:G185,G185,K$8:K185)+SUMIFS([1]内部转账!$G:$G,[1]内部转账!$C:$C,"&lt;="&amp;$D185,[1]内部转账!$E:$E,$G185)-SUMIFS([1]内部转账!$G:$G,[1]内部转账!$C:$C,"&lt;="&amp;$D185,[1]内部转账!$F:$F,$G185)),"")</f>
        <v>46206.98</v>
      </c>
      <c r="M185" s="64" t="s">
        <v>121</v>
      </c>
      <c r="N185" s="69" t="s">
        <v>128</v>
      </c>
      <c r="O185" s="64"/>
      <c r="P185" s="64"/>
      <c r="Q185" s="69"/>
      <c r="R185" s="69"/>
      <c r="S185" s="69"/>
    </row>
    <row r="186" s="2" customFormat="1" ht="24.95" customHeight="1" spans="1:19">
      <c r="A186" s="15"/>
      <c r="B186" s="55"/>
      <c r="C186" s="56"/>
      <c r="D186" s="68">
        <v>45777</v>
      </c>
      <c r="E186" s="69"/>
      <c r="F186" s="69" t="s">
        <v>26</v>
      </c>
      <c r="G186" s="65" t="s">
        <v>27</v>
      </c>
      <c r="H186" s="65" t="s">
        <v>46</v>
      </c>
      <c r="I186" s="70" t="s">
        <v>131</v>
      </c>
      <c r="J186" s="71"/>
      <c r="K186" s="71">
        <v>3000</v>
      </c>
      <c r="L186" s="72">
        <f>IFERROR(IF(G186="","",VLOOKUP($G186,[1]基础信息!$B:$C,2,FALSE)+SUMIF(G$8:G186,G186,J$8:J186)-SUMIF(G$8:G186,G186,K$8:K186)+SUMIFS([1]内部转账!$G:$G,[1]内部转账!$C:$C,"&lt;="&amp;$D186,[1]内部转账!$E:$E,$G186)-SUMIFS([1]内部转账!$G:$G,[1]内部转账!$C:$C,"&lt;="&amp;$D186,[1]内部转账!$F:$F,$G186)),"")</f>
        <v>43206.98</v>
      </c>
      <c r="M186" s="64" t="s">
        <v>121</v>
      </c>
      <c r="N186" s="69" t="s">
        <v>128</v>
      </c>
      <c r="O186" s="64"/>
      <c r="P186" s="64"/>
      <c r="Q186" s="69"/>
      <c r="R186" s="69"/>
      <c r="S186" s="69"/>
    </row>
    <row r="187" s="2" customFormat="1" ht="24.95" customHeight="1" spans="1:19">
      <c r="A187" s="15"/>
      <c r="B187" s="55"/>
      <c r="C187" s="56"/>
      <c r="D187" s="68">
        <v>45777</v>
      </c>
      <c r="E187" s="69"/>
      <c r="F187" s="69" t="s">
        <v>26</v>
      </c>
      <c r="G187" s="65" t="s">
        <v>27</v>
      </c>
      <c r="H187" s="65" t="s">
        <v>46</v>
      </c>
      <c r="I187" s="70" t="s">
        <v>94</v>
      </c>
      <c r="J187" s="71"/>
      <c r="K187" s="71">
        <v>1000</v>
      </c>
      <c r="L187" s="72">
        <f>IFERROR(IF(G187="","",VLOOKUP($G187,[1]基础信息!$B:$C,2,FALSE)+SUMIF(G$8:G187,G187,J$8:J187)-SUMIF(G$8:G187,G187,K$8:K187)+SUMIFS([1]内部转账!$G:$G,[1]内部转账!$C:$C,"&lt;="&amp;$D187,[1]内部转账!$E:$E,$G187)-SUMIFS([1]内部转账!$G:$G,[1]内部转账!$C:$C,"&lt;="&amp;$D187,[1]内部转账!$F:$F,$G187)),"")</f>
        <v>42206.98</v>
      </c>
      <c r="M187" s="64" t="s">
        <v>121</v>
      </c>
      <c r="N187" s="69" t="s">
        <v>128</v>
      </c>
      <c r="O187" s="64"/>
      <c r="P187" s="64"/>
      <c r="Q187" s="69"/>
      <c r="R187" s="69"/>
      <c r="S187" s="69"/>
    </row>
    <row r="188" s="2" customFormat="1" ht="24.95" customHeight="1" spans="1:19">
      <c r="A188" s="15"/>
      <c r="B188" s="55"/>
      <c r="C188" s="56"/>
      <c r="D188" s="68">
        <v>45780</v>
      </c>
      <c r="E188" s="69"/>
      <c r="F188" s="69" t="s">
        <v>26</v>
      </c>
      <c r="G188" s="65" t="s">
        <v>27</v>
      </c>
      <c r="H188" s="65" t="s">
        <v>46</v>
      </c>
      <c r="I188" s="70" t="s">
        <v>132</v>
      </c>
      <c r="J188" s="71"/>
      <c r="K188" s="71">
        <v>3000</v>
      </c>
      <c r="L188" s="72">
        <f>IFERROR(IF(G188="","",VLOOKUP($G188,[1]基础信息!$B:$C,2,FALSE)+SUMIF(G$8:G188,G188,J$8:J188)-SUMIF(G$8:G188,G188,K$8:K188)+SUMIFS([1]内部转账!$G:$G,[1]内部转账!$C:$C,"&lt;="&amp;$D188,[1]内部转账!$E:$E,$G188)-SUMIFS([1]内部转账!$G:$G,[1]内部转账!$C:$C,"&lt;="&amp;$D188,[1]内部转账!$F:$F,$G188)),"")</f>
        <v>39206.98</v>
      </c>
      <c r="M188" s="64" t="s">
        <v>121</v>
      </c>
      <c r="N188" s="69" t="s">
        <v>128</v>
      </c>
      <c r="O188" s="64"/>
      <c r="P188" s="64"/>
      <c r="Q188" s="69"/>
      <c r="R188" s="69"/>
      <c r="S188" s="69"/>
    </row>
    <row r="189" s="2" customFormat="1" ht="24.95" customHeight="1" spans="1:19">
      <c r="A189" s="15"/>
      <c r="B189" s="55"/>
      <c r="C189" s="56"/>
      <c r="D189" s="68">
        <v>45780</v>
      </c>
      <c r="E189" s="69"/>
      <c r="F189" s="69" t="s">
        <v>26</v>
      </c>
      <c r="G189" s="65" t="s">
        <v>27</v>
      </c>
      <c r="H189" s="65" t="s">
        <v>46</v>
      </c>
      <c r="I189" s="70" t="s">
        <v>133</v>
      </c>
      <c r="J189" s="71"/>
      <c r="K189" s="71">
        <v>1000</v>
      </c>
      <c r="L189" s="72">
        <f>IFERROR(IF(G189="","",VLOOKUP($G189,[1]基础信息!$B:$C,2,FALSE)+SUMIF(G$8:G189,G189,J$8:J189)-SUMIF(G$8:G189,G189,K$8:K189)+SUMIFS([1]内部转账!$G:$G,[1]内部转账!$C:$C,"&lt;="&amp;$D189,[1]内部转账!$E:$E,$G189)-SUMIFS([1]内部转账!$G:$G,[1]内部转账!$C:$C,"&lt;="&amp;$D189,[1]内部转账!$F:$F,$G189)),"")</f>
        <v>38206.98</v>
      </c>
      <c r="M189" s="64" t="s">
        <v>121</v>
      </c>
      <c r="N189" s="69" t="s">
        <v>128</v>
      </c>
      <c r="O189" s="64"/>
      <c r="P189" s="64"/>
      <c r="Q189" s="69"/>
      <c r="R189" s="69"/>
      <c r="S189" s="69"/>
    </row>
    <row r="190" s="2" customFormat="1" ht="24.95" customHeight="1" spans="1:19">
      <c r="A190" s="15"/>
      <c r="B190" s="55"/>
      <c r="C190" s="56"/>
      <c r="D190" s="68">
        <v>45780</v>
      </c>
      <c r="E190" s="69"/>
      <c r="F190" s="69" t="s">
        <v>26</v>
      </c>
      <c r="G190" s="65" t="s">
        <v>27</v>
      </c>
      <c r="H190" s="65" t="s">
        <v>46</v>
      </c>
      <c r="I190" s="70" t="s">
        <v>85</v>
      </c>
      <c r="J190" s="71"/>
      <c r="K190" s="71">
        <v>800</v>
      </c>
      <c r="L190" s="72">
        <f>IFERROR(IF(G190="","",VLOOKUP($G190,[1]基础信息!$B:$C,2,FALSE)+SUMIF(G$8:G190,G190,J$8:J190)-SUMIF(G$8:G190,G190,K$8:K190)+SUMIFS([1]内部转账!$G:$G,[1]内部转账!$C:$C,"&lt;="&amp;$D190,[1]内部转账!$E:$E,$G190)-SUMIFS([1]内部转账!$G:$G,[1]内部转账!$C:$C,"&lt;="&amp;$D190,[1]内部转账!$F:$F,$G190)),"")</f>
        <v>37406.98</v>
      </c>
      <c r="M190" s="64" t="s">
        <v>121</v>
      </c>
      <c r="N190" s="69" t="s">
        <v>128</v>
      </c>
      <c r="O190" s="64"/>
      <c r="P190" s="64"/>
      <c r="Q190" s="69"/>
      <c r="R190" s="69"/>
      <c r="S190" s="69"/>
    </row>
    <row r="191" s="2" customFormat="1" ht="24.95" customHeight="1" spans="1:19">
      <c r="A191" s="15"/>
      <c r="B191" s="55"/>
      <c r="C191" s="56"/>
      <c r="D191" s="68">
        <v>45780</v>
      </c>
      <c r="E191" s="69"/>
      <c r="F191" s="69" t="s">
        <v>26</v>
      </c>
      <c r="G191" s="65" t="s">
        <v>27</v>
      </c>
      <c r="H191" s="65" t="s">
        <v>46</v>
      </c>
      <c r="I191" s="70" t="s">
        <v>134</v>
      </c>
      <c r="J191" s="71"/>
      <c r="K191" s="71">
        <v>500</v>
      </c>
      <c r="L191" s="72">
        <f>IFERROR(IF(G191="","",VLOOKUP($G191,[1]基础信息!$B:$C,2,FALSE)+SUMIF(G$8:G191,G191,J$8:J191)-SUMIF(G$8:G191,G191,K$8:K191)+SUMIFS([1]内部转账!$G:$G,[1]内部转账!$C:$C,"&lt;="&amp;$D191,[1]内部转账!$E:$E,$G191)-SUMIFS([1]内部转账!$G:$G,[1]内部转账!$C:$C,"&lt;="&amp;$D191,[1]内部转账!$F:$F,$G191)),"")</f>
        <v>36906.98</v>
      </c>
      <c r="M191" s="64" t="s">
        <v>121</v>
      </c>
      <c r="N191" s="69" t="s">
        <v>128</v>
      </c>
      <c r="O191" s="64"/>
      <c r="P191" s="64"/>
      <c r="Q191" s="69"/>
      <c r="R191" s="69"/>
      <c r="S191" s="69"/>
    </row>
    <row r="192" s="2" customFormat="1" ht="24.95" customHeight="1" spans="1:19">
      <c r="A192" s="15"/>
      <c r="B192" s="55"/>
      <c r="C192" s="56"/>
      <c r="D192" s="68">
        <v>45780</v>
      </c>
      <c r="E192" s="69"/>
      <c r="F192" s="69" t="s">
        <v>26</v>
      </c>
      <c r="G192" s="65" t="s">
        <v>27</v>
      </c>
      <c r="H192" s="65" t="s">
        <v>46</v>
      </c>
      <c r="I192" s="70" t="s">
        <v>135</v>
      </c>
      <c r="J192" s="71"/>
      <c r="K192" s="71">
        <v>500</v>
      </c>
      <c r="L192" s="72">
        <f>IFERROR(IF(G192="","",VLOOKUP($G192,[1]基础信息!$B:$C,2,FALSE)+SUMIF(G$8:G192,G192,J$8:J192)-SUMIF(G$8:G192,G192,K$8:K192)+SUMIFS([1]内部转账!$G:$G,[1]内部转账!$C:$C,"&lt;="&amp;$D192,[1]内部转账!$E:$E,$G192)-SUMIFS([1]内部转账!$G:$G,[1]内部转账!$C:$C,"&lt;="&amp;$D192,[1]内部转账!$F:$F,$G192)),"")</f>
        <v>36406.98</v>
      </c>
      <c r="M192" s="64" t="s">
        <v>121</v>
      </c>
      <c r="N192" s="69" t="s">
        <v>128</v>
      </c>
      <c r="O192" s="64"/>
      <c r="P192" s="64"/>
      <c r="Q192" s="69"/>
      <c r="R192" s="69"/>
      <c r="S192" s="69"/>
    </row>
    <row r="193" s="2" customFormat="1" ht="24.95" customHeight="1" spans="1:19">
      <c r="A193" s="15"/>
      <c r="B193" s="55"/>
      <c r="C193" s="56"/>
      <c r="D193" s="68">
        <v>45780</v>
      </c>
      <c r="E193" s="69"/>
      <c r="F193" s="69" t="s">
        <v>26</v>
      </c>
      <c r="G193" s="65" t="s">
        <v>27</v>
      </c>
      <c r="H193" s="65" t="s">
        <v>46</v>
      </c>
      <c r="I193" s="70" t="s">
        <v>135</v>
      </c>
      <c r="J193" s="71"/>
      <c r="K193" s="71">
        <v>-500</v>
      </c>
      <c r="L193" s="72">
        <f>IFERROR(IF(G193="","",VLOOKUP($G193,[1]基础信息!$B:$C,2,FALSE)+SUMIF(G$8:G193,G193,J$8:J193)-SUMIF(G$8:G193,G193,K$8:K193)+SUMIFS([1]内部转账!$G:$G,[1]内部转账!$C:$C,"&lt;="&amp;$D193,[1]内部转账!$E:$E,$G193)-SUMIFS([1]内部转账!$G:$G,[1]内部转账!$C:$C,"&lt;="&amp;$D193,[1]内部转账!$F:$F,$G193)),"")</f>
        <v>36906.98</v>
      </c>
      <c r="M193" s="64" t="s">
        <v>121</v>
      </c>
      <c r="N193" s="69" t="s">
        <v>128</v>
      </c>
      <c r="O193" s="64"/>
      <c r="P193" s="64"/>
      <c r="Q193" s="69"/>
      <c r="R193" s="69"/>
      <c r="S193" s="69"/>
    </row>
    <row r="194" s="2" customFormat="1" ht="24.95" customHeight="1" spans="1:19">
      <c r="A194" s="15"/>
      <c r="B194" s="55"/>
      <c r="C194" s="56"/>
      <c r="D194" s="68">
        <v>45780</v>
      </c>
      <c r="E194" s="69"/>
      <c r="F194" s="69" t="s">
        <v>26</v>
      </c>
      <c r="G194" s="65" t="s">
        <v>27</v>
      </c>
      <c r="H194" s="65" t="s">
        <v>46</v>
      </c>
      <c r="I194" s="70" t="s">
        <v>135</v>
      </c>
      <c r="J194" s="71"/>
      <c r="K194" s="71">
        <v>500</v>
      </c>
      <c r="L194" s="72">
        <f>IFERROR(IF(G194="","",VLOOKUP($G194,[1]基础信息!$B:$C,2,FALSE)+SUMIF(G$8:G194,G194,J$8:J194)-SUMIF(G$8:G194,G194,K$8:K194)+SUMIFS([1]内部转账!$G:$G,[1]内部转账!$C:$C,"&lt;="&amp;$D194,[1]内部转账!$E:$E,$G194)-SUMIFS([1]内部转账!$G:$G,[1]内部转账!$C:$C,"&lt;="&amp;$D194,[1]内部转账!$F:$F,$G194)),"")</f>
        <v>36406.98</v>
      </c>
      <c r="M194" s="64" t="s">
        <v>121</v>
      </c>
      <c r="N194" s="69" t="s">
        <v>128</v>
      </c>
      <c r="O194" s="64"/>
      <c r="P194" s="64"/>
      <c r="Q194" s="69"/>
      <c r="R194" s="69"/>
      <c r="S194" s="69"/>
    </row>
    <row r="195" s="2" customFormat="1" ht="24.95" customHeight="1" spans="1:19">
      <c r="A195" s="15"/>
      <c r="B195" s="55"/>
      <c r="C195" s="56"/>
      <c r="D195" s="68">
        <v>45780</v>
      </c>
      <c r="E195" s="69"/>
      <c r="F195" s="69" t="s">
        <v>26</v>
      </c>
      <c r="G195" s="65" t="s">
        <v>27</v>
      </c>
      <c r="H195" s="65" t="s">
        <v>46</v>
      </c>
      <c r="I195" s="70" t="s">
        <v>136</v>
      </c>
      <c r="J195" s="71"/>
      <c r="K195" s="71">
        <v>500</v>
      </c>
      <c r="L195" s="72">
        <f>IFERROR(IF(G195="","",VLOOKUP($G195,[1]基础信息!$B:$C,2,FALSE)+SUMIF(G$8:G195,G195,J$8:J195)-SUMIF(G$8:G195,G195,K$8:K195)+SUMIFS([1]内部转账!$G:$G,[1]内部转账!$C:$C,"&lt;="&amp;$D195,[1]内部转账!$E:$E,$G195)-SUMIFS([1]内部转账!$G:$G,[1]内部转账!$C:$C,"&lt;="&amp;$D195,[1]内部转账!$F:$F,$G195)),"")</f>
        <v>35906.98</v>
      </c>
      <c r="M195" s="64" t="s">
        <v>121</v>
      </c>
      <c r="N195" s="69" t="s">
        <v>128</v>
      </c>
      <c r="O195" s="64"/>
      <c r="P195" s="64"/>
      <c r="Q195" s="69"/>
      <c r="R195" s="69"/>
      <c r="S195" s="69"/>
    </row>
    <row r="196" s="2" customFormat="1" ht="24.95" customHeight="1" spans="1:19">
      <c r="A196" s="15"/>
      <c r="B196" s="55"/>
      <c r="C196" s="56"/>
      <c r="D196" s="68">
        <v>45780</v>
      </c>
      <c r="E196" s="69"/>
      <c r="F196" s="69" t="s">
        <v>26</v>
      </c>
      <c r="G196" s="65" t="s">
        <v>27</v>
      </c>
      <c r="H196" s="65" t="s">
        <v>46</v>
      </c>
      <c r="I196" s="70" t="s">
        <v>137</v>
      </c>
      <c r="J196" s="71"/>
      <c r="K196" s="71">
        <v>1000</v>
      </c>
      <c r="L196" s="72">
        <f>IFERROR(IF(G196="","",VLOOKUP($G196,[1]基础信息!$B:$C,2,FALSE)+SUMIF(G$8:G196,G196,J$8:J196)-SUMIF(G$8:G196,G196,K$8:K196)+SUMIFS([1]内部转账!$G:$G,[1]内部转账!$C:$C,"&lt;="&amp;$D196,[1]内部转账!$E:$E,$G196)-SUMIFS([1]内部转账!$G:$G,[1]内部转账!$C:$C,"&lt;="&amp;$D196,[1]内部转账!$F:$F,$G196)),"")</f>
        <v>34906.98</v>
      </c>
      <c r="M196" s="64" t="s">
        <v>121</v>
      </c>
      <c r="N196" s="69" t="s">
        <v>128</v>
      </c>
      <c r="O196" s="64"/>
      <c r="P196" s="64"/>
      <c r="Q196" s="69"/>
      <c r="R196" s="69"/>
      <c r="S196" s="69"/>
    </row>
    <row r="197" s="2" customFormat="1" ht="24.95" customHeight="1" spans="1:19">
      <c r="A197" s="15"/>
      <c r="B197" s="55"/>
      <c r="C197" s="56"/>
      <c r="D197" s="68">
        <v>45780</v>
      </c>
      <c r="E197" s="69"/>
      <c r="F197" s="69" t="s">
        <v>26</v>
      </c>
      <c r="G197" s="65" t="s">
        <v>27</v>
      </c>
      <c r="H197" s="65" t="s">
        <v>138</v>
      </c>
      <c r="I197" s="70" t="s">
        <v>139</v>
      </c>
      <c r="J197" s="71"/>
      <c r="K197" s="71">
        <v>2000</v>
      </c>
      <c r="L197" s="72">
        <f>IFERROR(IF(G197="","",VLOOKUP($G197,[1]基础信息!$B:$C,2,FALSE)+SUMIF(G$8:G197,G197,J$8:J197)-SUMIF(G$8:G197,G197,K$8:K197)+SUMIFS([1]内部转账!$G:$G,[1]内部转账!$C:$C,"&lt;="&amp;$D197,[1]内部转账!$E:$E,$G197)-SUMIFS([1]内部转账!$G:$G,[1]内部转账!$C:$C,"&lt;="&amp;$D197,[1]内部转账!$F:$F,$G197)),"")</f>
        <v>32906.98</v>
      </c>
      <c r="M197" s="64" t="s">
        <v>121</v>
      </c>
      <c r="N197" s="69" t="s">
        <v>128</v>
      </c>
      <c r="O197" s="64"/>
      <c r="P197" s="64" t="s">
        <v>140</v>
      </c>
      <c r="Q197" s="69"/>
      <c r="R197" s="69"/>
      <c r="S197" s="69"/>
    </row>
    <row r="198" s="2" customFormat="1" ht="24.95" customHeight="1" spans="1:19">
      <c r="A198" s="15"/>
      <c r="B198" s="55"/>
      <c r="C198" s="56"/>
      <c r="D198" s="68">
        <v>45780</v>
      </c>
      <c r="E198" s="69"/>
      <c r="F198" s="69" t="s">
        <v>26</v>
      </c>
      <c r="G198" s="65" t="s">
        <v>27</v>
      </c>
      <c r="H198" s="65" t="s">
        <v>138</v>
      </c>
      <c r="I198" s="70" t="s">
        <v>141</v>
      </c>
      <c r="J198" s="71"/>
      <c r="K198" s="71">
        <v>2000</v>
      </c>
      <c r="L198" s="72">
        <f>IFERROR(IF(G198="","",VLOOKUP($G198,[1]基础信息!$B:$C,2,FALSE)+SUMIF(G$8:G198,G198,J$8:J198)-SUMIF(G$8:G198,G198,K$8:K198)+SUMIFS([1]内部转账!$G:$G,[1]内部转账!$C:$C,"&lt;="&amp;$D198,[1]内部转账!$E:$E,$G198)-SUMIFS([1]内部转账!$G:$G,[1]内部转账!$C:$C,"&lt;="&amp;$D198,[1]内部转账!$F:$F,$G198)),"")</f>
        <v>30906.98</v>
      </c>
      <c r="M198" s="64" t="s">
        <v>121</v>
      </c>
      <c r="N198" s="69" t="s">
        <v>128</v>
      </c>
      <c r="O198" s="64"/>
      <c r="P198" s="64" t="s">
        <v>142</v>
      </c>
      <c r="Q198" s="69"/>
      <c r="R198" s="69"/>
      <c r="S198" s="69"/>
    </row>
    <row r="199" s="2" customFormat="1" ht="24.95" customHeight="1" spans="1:19">
      <c r="A199" s="15"/>
      <c r="B199" s="55"/>
      <c r="C199" s="56"/>
      <c r="D199" s="68">
        <v>45780</v>
      </c>
      <c r="E199" s="69"/>
      <c r="F199" s="69" t="s">
        <v>26</v>
      </c>
      <c r="G199" s="65" t="s">
        <v>27</v>
      </c>
      <c r="H199" s="65" t="s">
        <v>138</v>
      </c>
      <c r="I199" s="70" t="s">
        <v>143</v>
      </c>
      <c r="J199" s="71"/>
      <c r="K199" s="71">
        <v>2000</v>
      </c>
      <c r="L199" s="72">
        <f>IFERROR(IF(G199="","",VLOOKUP($G199,[1]基础信息!$B:$C,2,FALSE)+SUMIF(G$8:G199,G199,J$8:J199)-SUMIF(G$8:G199,G199,K$8:K199)+SUMIFS([1]内部转账!$G:$G,[1]内部转账!$C:$C,"&lt;="&amp;$D199,[1]内部转账!$E:$E,$G199)-SUMIFS([1]内部转账!$G:$G,[1]内部转账!$C:$C,"&lt;="&amp;$D199,[1]内部转账!$F:$F,$G199)),"")</f>
        <v>28906.98</v>
      </c>
      <c r="M199" s="64" t="s">
        <v>121</v>
      </c>
      <c r="N199" s="69" t="s">
        <v>128</v>
      </c>
      <c r="O199" s="64"/>
      <c r="P199" s="64" t="s">
        <v>144</v>
      </c>
      <c r="Q199" s="69"/>
      <c r="R199" s="69"/>
      <c r="S199" s="69"/>
    </row>
    <row r="200" s="2" customFormat="1" ht="24.95" customHeight="1" spans="1:19">
      <c r="A200" s="15"/>
      <c r="B200" s="55"/>
      <c r="C200" s="56"/>
      <c r="D200" s="68">
        <v>45780</v>
      </c>
      <c r="E200" s="69"/>
      <c r="F200" s="69" t="s">
        <v>26</v>
      </c>
      <c r="G200" s="65" t="s">
        <v>27</v>
      </c>
      <c r="H200" s="65" t="s">
        <v>138</v>
      </c>
      <c r="I200" s="70" t="s">
        <v>145</v>
      </c>
      <c r="J200" s="71"/>
      <c r="K200" s="71">
        <v>2000</v>
      </c>
      <c r="L200" s="72">
        <f>IFERROR(IF(G200="","",VLOOKUP($G200,[1]基础信息!$B:$C,2,FALSE)+SUMIF(G$8:G200,G200,J$8:J200)-SUMIF(G$8:G200,G200,K$8:K200)+SUMIFS([1]内部转账!$G:$G,[1]内部转账!$C:$C,"&lt;="&amp;$D200,[1]内部转账!$E:$E,$G200)-SUMIFS([1]内部转账!$G:$G,[1]内部转账!$C:$C,"&lt;="&amp;$D200,[1]内部转账!$F:$F,$G200)),"")</f>
        <v>26906.98</v>
      </c>
      <c r="M200" s="64" t="s">
        <v>121</v>
      </c>
      <c r="N200" s="69" t="s">
        <v>128</v>
      </c>
      <c r="O200" s="64"/>
      <c r="P200" s="64" t="s">
        <v>146</v>
      </c>
      <c r="Q200" s="69"/>
      <c r="R200" s="69"/>
      <c r="S200" s="69"/>
    </row>
    <row r="201" s="2" customFormat="1" ht="24.95" customHeight="1" spans="1:19">
      <c r="A201" s="15"/>
      <c r="B201" s="55"/>
      <c r="C201" s="56"/>
      <c r="D201" s="68">
        <v>45780</v>
      </c>
      <c r="E201" s="69"/>
      <c r="F201" s="69" t="s">
        <v>26</v>
      </c>
      <c r="G201" s="65" t="s">
        <v>27</v>
      </c>
      <c r="H201" s="65" t="s">
        <v>138</v>
      </c>
      <c r="I201" s="70" t="s">
        <v>147</v>
      </c>
      <c r="J201" s="71"/>
      <c r="K201" s="71">
        <v>2000</v>
      </c>
      <c r="L201" s="72">
        <f>IFERROR(IF(G201="","",VLOOKUP($G201,[1]基础信息!$B:$C,2,FALSE)+SUMIF(G$8:G201,G201,J$8:J201)-SUMIF(G$8:G201,G201,K$8:K201)+SUMIFS([1]内部转账!$G:$G,[1]内部转账!$C:$C,"&lt;="&amp;$D201,[1]内部转账!$E:$E,$G201)-SUMIFS([1]内部转账!$G:$G,[1]内部转账!$C:$C,"&lt;="&amp;$D201,[1]内部转账!$F:$F,$G201)),"")</f>
        <v>24906.98</v>
      </c>
      <c r="M201" s="64" t="s">
        <v>121</v>
      </c>
      <c r="N201" s="69" t="s">
        <v>128</v>
      </c>
      <c r="O201" s="64"/>
      <c r="P201" s="64" t="s">
        <v>148</v>
      </c>
      <c r="Q201" s="69"/>
      <c r="R201" s="69"/>
      <c r="S201" s="69"/>
    </row>
    <row r="202" s="2" customFormat="1" ht="24.95" customHeight="1" spans="1:19">
      <c r="A202" s="15"/>
      <c r="B202" s="55"/>
      <c r="C202" s="56"/>
      <c r="D202" s="68">
        <v>45803</v>
      </c>
      <c r="E202" s="69"/>
      <c r="F202" s="69" t="s">
        <v>26</v>
      </c>
      <c r="G202" s="65" t="s">
        <v>27</v>
      </c>
      <c r="H202" s="65" t="s">
        <v>53</v>
      </c>
      <c r="I202" s="70" t="s">
        <v>92</v>
      </c>
      <c r="J202" s="71"/>
      <c r="K202" s="71">
        <v>10000</v>
      </c>
      <c r="L202" s="72">
        <f>IFERROR(IF(G202="","",VLOOKUP($G202,[1]基础信息!$B:$C,2,FALSE)+SUMIF(G$8:G202,G202,J$8:J202)-SUMIF(G$8:G202,G202,K$8:K202)+SUMIFS([1]内部转账!$G:$G,[1]内部转账!$C:$C,"&lt;="&amp;$D202,[1]内部转账!$E:$E,$G202)-SUMIFS([1]内部转账!$G:$G,[1]内部转账!$C:$C,"&lt;="&amp;$D202,[1]内部转账!$F:$F,$G202)),"")</f>
        <v>14906.98</v>
      </c>
      <c r="M202" s="64" t="s">
        <v>35</v>
      </c>
      <c r="N202" s="69" t="s">
        <v>92</v>
      </c>
      <c r="O202" s="64"/>
      <c r="P202" s="64"/>
      <c r="Q202" s="69"/>
      <c r="R202" s="69"/>
      <c r="S202" s="69"/>
    </row>
    <row r="203" s="2" customFormat="1" ht="24.95" customHeight="1" spans="1:19">
      <c r="A203" s="15"/>
      <c r="B203" s="55"/>
      <c r="C203" s="56"/>
      <c r="D203" s="68">
        <v>45803</v>
      </c>
      <c r="E203" s="69"/>
      <c r="F203" s="69" t="s">
        <v>26</v>
      </c>
      <c r="G203" s="65" t="s">
        <v>27</v>
      </c>
      <c r="H203" s="65" t="s">
        <v>53</v>
      </c>
      <c r="I203" s="70" t="s">
        <v>98</v>
      </c>
      <c r="J203" s="71"/>
      <c r="K203" s="71">
        <v>10000</v>
      </c>
      <c r="L203" s="72">
        <f>IFERROR(IF(G203="","",VLOOKUP($G203,[1]基础信息!$B:$C,2,FALSE)+SUMIF(G$8:G203,G203,J$8:J203)-SUMIF(G$8:G203,G203,K$8:K203)+SUMIFS([1]内部转账!$G:$G,[1]内部转账!$C:$C,"&lt;="&amp;$D203,[1]内部转账!$E:$E,$G203)-SUMIFS([1]内部转账!$G:$G,[1]内部转账!$C:$C,"&lt;="&amp;$D203,[1]内部转账!$F:$F,$G203)),"")</f>
        <v>4906.97999999998</v>
      </c>
      <c r="M203" s="64" t="s">
        <v>35</v>
      </c>
      <c r="N203" s="69" t="s">
        <v>98</v>
      </c>
      <c r="O203" s="64"/>
      <c r="P203" s="64"/>
      <c r="Q203" s="69"/>
      <c r="R203" s="69"/>
      <c r="S203" s="69"/>
    </row>
    <row r="204" s="2" customFormat="1" ht="24.95" customHeight="1" spans="1:19">
      <c r="A204" s="15"/>
      <c r="B204" s="55"/>
      <c r="C204" s="56"/>
      <c r="D204" s="68">
        <v>45806</v>
      </c>
      <c r="E204" s="69"/>
      <c r="F204" s="69" t="s">
        <v>42</v>
      </c>
      <c r="G204" s="65" t="s">
        <v>27</v>
      </c>
      <c r="H204" s="65" t="s">
        <v>43</v>
      </c>
      <c r="I204" s="70" t="s">
        <v>149</v>
      </c>
      <c r="J204" s="71">
        <v>760000</v>
      </c>
      <c r="K204" s="71"/>
      <c r="L204" s="72">
        <f>IFERROR(IF(G204="","",VLOOKUP($G204,[1]基础信息!$B:$C,2,FALSE)+SUMIF(G$8:G204,G204,J$8:J204)-SUMIF(G$8:G204,G204,K$8:K204)+SUMIFS([1]内部转账!$G:$G,[1]内部转账!$C:$C,"&lt;="&amp;$D204,[1]内部转账!$E:$E,$G204)-SUMIFS([1]内部转账!$G:$G,[1]内部转账!$C:$C,"&lt;="&amp;$D204,[1]内部转账!$F:$F,$G204)),"")</f>
        <v>764906.98</v>
      </c>
      <c r="M204" s="64" t="s">
        <v>150</v>
      </c>
      <c r="N204" s="69"/>
      <c r="O204" s="64" t="s">
        <v>151</v>
      </c>
      <c r="P204" s="64"/>
      <c r="Q204" s="69">
        <v>1001</v>
      </c>
      <c r="R204" s="69"/>
      <c r="S204" s="69"/>
    </row>
    <row r="205" s="2" customFormat="1" ht="26.1" customHeight="1" spans="1:19">
      <c r="A205" s="15"/>
      <c r="B205" s="55"/>
      <c r="C205" s="56"/>
      <c r="D205" s="68">
        <v>45807</v>
      </c>
      <c r="E205" s="69"/>
      <c r="F205" s="69" t="s">
        <v>26</v>
      </c>
      <c r="G205" s="65" t="s">
        <v>27</v>
      </c>
      <c r="H205" s="65" t="s">
        <v>62</v>
      </c>
      <c r="I205" s="70" t="s">
        <v>152</v>
      </c>
      <c r="J205" s="71"/>
      <c r="K205" s="71">
        <v>150880</v>
      </c>
      <c r="L205" s="72">
        <f>IFERROR(IF(G205="","",VLOOKUP($G205,[1]基础信息!$B:$C,2,FALSE)+SUMIF(G$8:G205,G205,J$8:J205)-SUMIF(G$8:G205,G205,K$8:K205)+SUMIFS([1]内部转账!$G:$G,[1]内部转账!$C:$C,"&lt;="&amp;$D205,[1]内部转账!$E:$E,$G205)-SUMIFS([1]内部转账!$G:$G,[1]内部转账!$C:$C,"&lt;="&amp;$D205,[1]内部转账!$F:$F,$G205)),"")</f>
        <v>614026.98</v>
      </c>
      <c r="M205" s="64" t="s">
        <v>150</v>
      </c>
      <c r="N205" s="69"/>
      <c r="O205" s="64"/>
      <c r="P205" s="64" t="s">
        <v>153</v>
      </c>
      <c r="Q205" s="69"/>
      <c r="R205" s="69"/>
      <c r="S205" s="69"/>
    </row>
    <row r="206" s="2" customFormat="1" ht="24.95" customHeight="1" spans="1:19">
      <c r="A206" s="15"/>
      <c r="B206" s="55"/>
      <c r="C206" s="56"/>
      <c r="D206" s="68">
        <v>45807</v>
      </c>
      <c r="E206" s="69"/>
      <c r="F206" s="69" t="s">
        <v>26</v>
      </c>
      <c r="G206" s="65" t="s">
        <v>27</v>
      </c>
      <c r="H206" s="65" t="s">
        <v>62</v>
      </c>
      <c r="I206" s="70" t="s">
        <v>154</v>
      </c>
      <c r="J206" s="71"/>
      <c r="K206" s="71">
        <v>150008</v>
      </c>
      <c r="L206" s="72">
        <f>IFERROR(IF(G206="","",VLOOKUP($G206,[1]基础信息!$B:$C,2,FALSE)+SUMIF(G$8:G206,G206,J$8:J206)-SUMIF(G$8:G206,G206,K$8:K206)+SUMIFS([1]内部转账!$G:$G,[1]内部转账!$C:$C,"&lt;="&amp;$D206,[1]内部转账!$E:$E,$G206)-SUMIFS([1]内部转账!$G:$G,[1]内部转账!$C:$C,"&lt;="&amp;$D206,[1]内部转账!$F:$F,$G206)),"")</f>
        <v>464018.98</v>
      </c>
      <c r="M206" s="63" t="s">
        <v>150</v>
      </c>
      <c r="N206" s="69"/>
      <c r="O206" s="64"/>
      <c r="P206" s="64" t="s">
        <v>155</v>
      </c>
      <c r="Q206" s="69"/>
      <c r="R206" s="69"/>
      <c r="S206" s="69"/>
    </row>
    <row r="207" s="2" customFormat="1" ht="24.95" customHeight="1" spans="1:19">
      <c r="A207" s="15"/>
      <c r="B207" s="55"/>
      <c r="C207" s="56"/>
      <c r="D207" s="68">
        <v>45808</v>
      </c>
      <c r="E207" s="69"/>
      <c r="F207" s="69" t="s">
        <v>26</v>
      </c>
      <c r="G207" s="65" t="s">
        <v>27</v>
      </c>
      <c r="H207" s="65" t="s">
        <v>46</v>
      </c>
      <c r="I207" s="70" t="s">
        <v>127</v>
      </c>
      <c r="J207" s="71"/>
      <c r="K207" s="71">
        <v>5000</v>
      </c>
      <c r="L207" s="72">
        <f>IFERROR(IF(G207="","",VLOOKUP($G207,[1]基础信息!$B:$C,2,FALSE)+SUMIF(G$8:G207,G207,J$8:J207)-SUMIF(G$8:G207,G207,K$8:K207)+SUMIFS([1]内部转账!$G:$G,[1]内部转账!$C:$C,"&lt;="&amp;$D207,[1]内部转账!$E:$E,$G207)-SUMIFS([1]内部转账!$G:$G,[1]内部转账!$C:$C,"&lt;="&amp;$D207,[1]内部转账!$F:$F,$G207)),"")</f>
        <v>459018.98</v>
      </c>
      <c r="M207" s="63" t="s">
        <v>150</v>
      </c>
      <c r="N207" s="69" t="s">
        <v>128</v>
      </c>
      <c r="O207" s="64"/>
      <c r="P207" s="64"/>
      <c r="Q207" s="69"/>
      <c r="R207" s="69"/>
      <c r="S207" s="69"/>
    </row>
    <row r="208" s="2" customFormat="1" ht="24.95" customHeight="1" spans="1:19">
      <c r="A208" s="15"/>
      <c r="B208" s="55"/>
      <c r="C208" s="56"/>
      <c r="D208" s="68">
        <v>45808</v>
      </c>
      <c r="E208" s="69"/>
      <c r="F208" s="69" t="s">
        <v>26</v>
      </c>
      <c r="G208" s="65" t="s">
        <v>27</v>
      </c>
      <c r="H208" s="65" t="s">
        <v>46</v>
      </c>
      <c r="I208" s="70" t="s">
        <v>132</v>
      </c>
      <c r="J208" s="71"/>
      <c r="K208" s="71">
        <v>2855</v>
      </c>
      <c r="L208" s="72">
        <f>IFERROR(IF(G208="","",VLOOKUP($G208,[1]基础信息!$B:$C,2,FALSE)+SUMIF(G$8:G208,G208,J$8:J208)-SUMIF(G$8:G208,G208,K$8:K208)+SUMIFS([1]内部转账!$G:$G,[1]内部转账!$C:$C,"&lt;="&amp;$D208,[1]内部转账!$E:$E,$G208)-SUMIFS([1]内部转账!$G:$G,[1]内部转账!$C:$C,"&lt;="&amp;$D208,[1]内部转账!$F:$F,$G208)),"")</f>
        <v>456163.98</v>
      </c>
      <c r="M208" s="63" t="s">
        <v>150</v>
      </c>
      <c r="N208" s="69" t="s">
        <v>128</v>
      </c>
      <c r="O208" s="64"/>
      <c r="P208" s="64"/>
      <c r="Q208" s="69"/>
      <c r="R208" s="69"/>
      <c r="S208" s="69"/>
    </row>
    <row r="209" s="2" customFormat="1" ht="24.95" customHeight="1" spans="1:19">
      <c r="A209" s="15"/>
      <c r="B209" s="55"/>
      <c r="C209" s="56"/>
      <c r="D209" s="68">
        <v>45808</v>
      </c>
      <c r="E209" s="69"/>
      <c r="F209" s="69" t="s">
        <v>26</v>
      </c>
      <c r="G209" s="65" t="s">
        <v>27</v>
      </c>
      <c r="H209" s="65" t="s">
        <v>46</v>
      </c>
      <c r="I209" s="70" t="s">
        <v>129</v>
      </c>
      <c r="J209" s="71"/>
      <c r="K209" s="71">
        <v>2000</v>
      </c>
      <c r="L209" s="72">
        <f>IFERROR(IF(G209="","",VLOOKUP($G209,[1]基础信息!$B:$C,2,FALSE)+SUMIF(G$8:G209,G209,J$8:J209)-SUMIF(G$8:G209,G209,K$8:K209)+SUMIFS([1]内部转账!$G:$G,[1]内部转账!$C:$C,"&lt;="&amp;$D209,[1]内部转账!$E:$E,$G209)-SUMIFS([1]内部转账!$G:$G,[1]内部转账!$C:$C,"&lt;="&amp;$D209,[1]内部转账!$F:$F,$G209)),"")</f>
        <v>454163.98</v>
      </c>
      <c r="M209" s="63" t="s">
        <v>150</v>
      </c>
      <c r="N209" s="69" t="s">
        <v>128</v>
      </c>
      <c r="O209" s="64"/>
      <c r="P209" s="64"/>
      <c r="Q209" s="69"/>
      <c r="R209" s="69"/>
      <c r="S209" s="69"/>
    </row>
    <row r="210" s="2" customFormat="1" ht="24.95" customHeight="1" spans="1:19">
      <c r="A210" s="15"/>
      <c r="B210" s="55"/>
      <c r="C210" s="56"/>
      <c r="D210" s="68">
        <v>45808</v>
      </c>
      <c r="E210" s="58"/>
      <c r="F210" s="69" t="s">
        <v>26</v>
      </c>
      <c r="G210" s="65" t="s">
        <v>27</v>
      </c>
      <c r="H210" s="65" t="s">
        <v>46</v>
      </c>
      <c r="I210" s="60" t="s">
        <v>130</v>
      </c>
      <c r="J210" s="61"/>
      <c r="K210" s="61">
        <v>2850</v>
      </c>
      <c r="L210" s="72">
        <f>IFERROR(IF(G210="","",VLOOKUP($G210,[1]基础信息!$B:$C,2,FALSE)+SUMIF(G$8:G210,G210,J$8:J210)-SUMIF(G$8:G210,G210,K$8:K210)+SUMIFS([1]内部转账!$G:$G,[1]内部转账!$C:$C,"&lt;="&amp;$D210,[1]内部转账!$E:$E,$G210)-SUMIFS([1]内部转账!$G:$G,[1]内部转账!$C:$C,"&lt;="&amp;$D210,[1]内部转账!$F:$F,$G210)),"")</f>
        <v>451313.98</v>
      </c>
      <c r="M210" s="63" t="s">
        <v>150</v>
      </c>
      <c r="N210" s="69" t="s">
        <v>128</v>
      </c>
      <c r="O210" s="63"/>
      <c r="P210" s="63"/>
      <c r="Q210" s="58"/>
      <c r="R210" s="58"/>
      <c r="S210" s="58"/>
    </row>
    <row r="211" s="2" customFormat="1" ht="24.95" customHeight="1" spans="1:19">
      <c r="A211" s="15"/>
      <c r="B211" s="55"/>
      <c r="C211" s="56"/>
      <c r="D211" s="68">
        <v>45808</v>
      </c>
      <c r="E211" s="69"/>
      <c r="F211" s="69" t="s">
        <v>26</v>
      </c>
      <c r="G211" s="65" t="s">
        <v>27</v>
      </c>
      <c r="H211" s="65" t="s">
        <v>46</v>
      </c>
      <c r="I211" s="70" t="s">
        <v>130</v>
      </c>
      <c r="J211" s="71"/>
      <c r="K211" s="71">
        <v>150</v>
      </c>
      <c r="L211" s="72">
        <f>IFERROR(IF(G211="","",VLOOKUP($G211,[1]基础信息!$B:$C,2,FALSE)+SUMIF(G$8:G211,G211,J$8:J211)-SUMIF(G$8:G211,G211,K$8:K211)+SUMIFS([1]内部转账!$G:$G,[1]内部转账!$C:$C,"&lt;="&amp;$D211,[1]内部转账!$E:$E,$G211)-SUMIFS([1]内部转账!$G:$G,[1]内部转账!$C:$C,"&lt;="&amp;$D211,[1]内部转账!$F:$F,$G211)),"")</f>
        <v>451163.98</v>
      </c>
      <c r="M211" s="64" t="s">
        <v>126</v>
      </c>
      <c r="N211" s="69" t="s">
        <v>128</v>
      </c>
      <c r="O211" s="64"/>
      <c r="P211" s="64"/>
      <c r="Q211" s="69"/>
      <c r="R211" s="69"/>
      <c r="S211" s="69"/>
    </row>
    <row r="212" s="2" customFormat="1" ht="24.95" customHeight="1" spans="1:19">
      <c r="A212" s="15"/>
      <c r="B212" s="55"/>
      <c r="C212" s="56"/>
      <c r="D212" s="68">
        <v>45808</v>
      </c>
      <c r="E212" s="69"/>
      <c r="F212" s="69" t="s">
        <v>26</v>
      </c>
      <c r="G212" s="65" t="s">
        <v>27</v>
      </c>
      <c r="H212" s="65" t="s">
        <v>46</v>
      </c>
      <c r="I212" s="70" t="s">
        <v>131</v>
      </c>
      <c r="J212" s="71"/>
      <c r="K212" s="71">
        <v>5000</v>
      </c>
      <c r="L212" s="72">
        <f>IFERROR(IF(G212="","",VLOOKUP($G212,[1]基础信息!$B:$C,2,FALSE)+SUMIF(G$8:G212,G212,J$8:J212)-SUMIF(G$8:G212,G212,K$8:K212)+SUMIFS([1]内部转账!$G:$G,[1]内部转账!$C:$C,"&lt;="&amp;$D212,[1]内部转账!$E:$E,$G212)-SUMIFS([1]内部转账!$G:$G,[1]内部转账!$C:$C,"&lt;="&amp;$D212,[1]内部转账!$F:$F,$G212)),"")</f>
        <v>446163.98</v>
      </c>
      <c r="M212" s="64" t="s">
        <v>150</v>
      </c>
      <c r="N212" s="69" t="s">
        <v>128</v>
      </c>
      <c r="O212" s="64"/>
      <c r="P212" s="64"/>
      <c r="Q212" s="69"/>
      <c r="R212" s="69"/>
      <c r="S212" s="69"/>
    </row>
    <row r="213" s="2" customFormat="1" ht="24.95" customHeight="1" spans="1:19">
      <c r="A213" s="15"/>
      <c r="B213" s="55"/>
      <c r="C213" s="56"/>
      <c r="D213" s="68">
        <v>45808</v>
      </c>
      <c r="E213" s="69"/>
      <c r="F213" s="69" t="s">
        <v>26</v>
      </c>
      <c r="G213" s="65" t="s">
        <v>27</v>
      </c>
      <c r="H213" s="65" t="s">
        <v>46</v>
      </c>
      <c r="I213" s="70" t="s">
        <v>94</v>
      </c>
      <c r="J213" s="71"/>
      <c r="K213" s="71">
        <v>2000</v>
      </c>
      <c r="L213" s="72">
        <f>IFERROR(IF(G213="","",VLOOKUP($G213,[1]基础信息!$B:$C,2,FALSE)+SUMIF(G$8:G213,G213,J$8:J213)-SUMIF(G$8:G213,G213,K$8:K213)+SUMIFS([1]内部转账!$G:$G,[1]内部转账!$C:$C,"&lt;="&amp;$D213,[1]内部转账!$E:$E,$G213)-SUMIFS([1]内部转账!$G:$G,[1]内部转账!$C:$C,"&lt;="&amp;$D213,[1]内部转账!$F:$F,$G213)),"")</f>
        <v>444163.98</v>
      </c>
      <c r="M213" s="64" t="s">
        <v>150</v>
      </c>
      <c r="N213" s="69" t="s">
        <v>128</v>
      </c>
      <c r="O213" s="64"/>
      <c r="P213" s="64"/>
      <c r="Q213" s="69"/>
      <c r="R213" s="69"/>
      <c r="S213" s="69"/>
    </row>
    <row r="214" s="2" customFormat="1" ht="24.95" customHeight="1" spans="1:19">
      <c r="A214" s="15"/>
      <c r="B214" s="55"/>
      <c r="C214" s="56"/>
      <c r="D214" s="68">
        <v>45808</v>
      </c>
      <c r="E214" s="69"/>
      <c r="F214" s="69" t="s">
        <v>26</v>
      </c>
      <c r="G214" s="65" t="s">
        <v>27</v>
      </c>
      <c r="H214" s="65" t="s">
        <v>46</v>
      </c>
      <c r="I214" s="70" t="s">
        <v>133</v>
      </c>
      <c r="J214" s="71"/>
      <c r="K214" s="71">
        <v>2000</v>
      </c>
      <c r="L214" s="72">
        <f>IFERROR(IF(G214="","",VLOOKUP($G214,[1]基础信息!$B:$C,2,FALSE)+SUMIF(G$8:G214,G214,J$8:J214)-SUMIF(G$8:G214,G214,K$8:K214)+SUMIFS([1]内部转账!$G:$G,[1]内部转账!$C:$C,"&lt;="&amp;$D214,[1]内部转账!$E:$E,$G214)-SUMIFS([1]内部转账!$G:$G,[1]内部转账!$C:$C,"&lt;="&amp;$D214,[1]内部转账!$F:$F,$G214)),"")</f>
        <v>442163.98</v>
      </c>
      <c r="M214" s="64" t="s">
        <v>150</v>
      </c>
      <c r="N214" s="69" t="s">
        <v>128</v>
      </c>
      <c r="O214" s="64"/>
      <c r="P214" s="64"/>
      <c r="Q214" s="69"/>
      <c r="R214" s="69"/>
      <c r="S214" s="69"/>
    </row>
    <row r="215" s="2" customFormat="1" ht="24.95" customHeight="1" spans="1:19">
      <c r="A215" s="15"/>
      <c r="B215" s="55"/>
      <c r="C215" s="56"/>
      <c r="D215" s="68">
        <v>45808</v>
      </c>
      <c r="E215" s="69"/>
      <c r="F215" s="69" t="s">
        <v>26</v>
      </c>
      <c r="G215" s="65" t="s">
        <v>27</v>
      </c>
      <c r="H215" s="65" t="s">
        <v>46</v>
      </c>
      <c r="I215" s="70" t="s">
        <v>85</v>
      </c>
      <c r="J215" s="71"/>
      <c r="K215" s="71">
        <v>2000</v>
      </c>
      <c r="L215" s="72">
        <f>IFERROR(IF(G215="","",VLOOKUP($G215,[1]基础信息!$B:$C,2,FALSE)+SUMIF(G$8:G215,G215,J$8:J215)-SUMIF(G$8:G215,G215,K$8:K215)+SUMIFS([1]内部转账!$G:$G,[1]内部转账!$C:$C,"&lt;="&amp;$D215,[1]内部转账!$E:$E,$G215)-SUMIFS([1]内部转账!$G:$G,[1]内部转账!$C:$C,"&lt;="&amp;$D215,[1]内部转账!$F:$F,$G215)),"")</f>
        <v>440163.98</v>
      </c>
      <c r="M215" s="64" t="s">
        <v>150</v>
      </c>
      <c r="N215" s="69" t="s">
        <v>128</v>
      </c>
      <c r="O215" s="64"/>
      <c r="P215" s="64"/>
      <c r="Q215" s="69"/>
      <c r="R215" s="69"/>
      <c r="S215" s="69"/>
    </row>
    <row r="216" s="2" customFormat="1" ht="24.95" customHeight="1" spans="1:19">
      <c r="A216" s="15"/>
      <c r="B216" s="55"/>
      <c r="C216" s="56"/>
      <c r="D216" s="68">
        <v>45808</v>
      </c>
      <c r="E216" s="69"/>
      <c r="F216" s="69" t="s">
        <v>26</v>
      </c>
      <c r="G216" s="65" t="s">
        <v>27</v>
      </c>
      <c r="H216" s="65" t="s">
        <v>46</v>
      </c>
      <c r="I216" s="70" t="s">
        <v>134</v>
      </c>
      <c r="J216" s="71"/>
      <c r="K216" s="71">
        <v>2000</v>
      </c>
      <c r="L216" s="72">
        <f>IFERROR(IF(G216="","",VLOOKUP($G216,[1]基础信息!$B:$C,2,FALSE)+SUMIF(G$8:G216,G216,J$8:J216)-SUMIF(G$8:G216,G216,K$8:K216)+SUMIFS([1]内部转账!$G:$G,[1]内部转账!$C:$C,"&lt;="&amp;$D216,[1]内部转账!$E:$E,$G216)-SUMIFS([1]内部转账!$G:$G,[1]内部转账!$C:$C,"&lt;="&amp;$D216,[1]内部转账!$F:$F,$G216)),"")</f>
        <v>438163.98</v>
      </c>
      <c r="M216" s="64" t="s">
        <v>150</v>
      </c>
      <c r="N216" s="69" t="s">
        <v>128</v>
      </c>
      <c r="O216" s="64"/>
      <c r="P216" s="64"/>
      <c r="Q216" s="69"/>
      <c r="R216" s="69"/>
      <c r="S216" s="69"/>
    </row>
    <row r="217" s="2" customFormat="1" ht="24.95" customHeight="1" spans="1:19">
      <c r="A217" s="15"/>
      <c r="B217" s="55"/>
      <c r="C217" s="56"/>
      <c r="D217" s="68">
        <v>45808</v>
      </c>
      <c r="E217" s="69"/>
      <c r="F217" s="69" t="s">
        <v>26</v>
      </c>
      <c r="G217" s="65" t="s">
        <v>27</v>
      </c>
      <c r="H217" s="65" t="s">
        <v>46</v>
      </c>
      <c r="I217" s="70" t="s">
        <v>135</v>
      </c>
      <c r="J217" s="71"/>
      <c r="K217" s="71">
        <v>2000</v>
      </c>
      <c r="L217" s="72">
        <f>IFERROR(IF(G217="","",VLOOKUP($G217,[1]基础信息!$B:$C,2,FALSE)+SUMIF(G$8:G217,G217,J$8:J217)-SUMIF(G$8:G217,G217,K$8:K217)+SUMIFS([1]内部转账!$G:$G,[1]内部转账!$C:$C,"&lt;="&amp;$D217,[1]内部转账!$E:$E,$G217)-SUMIFS([1]内部转账!$G:$G,[1]内部转账!$C:$C,"&lt;="&amp;$D217,[1]内部转账!$F:$F,$G217)),"")</f>
        <v>436163.98</v>
      </c>
      <c r="M217" s="64" t="s">
        <v>150</v>
      </c>
      <c r="N217" s="69" t="s">
        <v>128</v>
      </c>
      <c r="O217" s="64"/>
      <c r="P217" s="64"/>
      <c r="Q217" s="69"/>
      <c r="R217" s="69"/>
      <c r="S217" s="69"/>
    </row>
    <row r="218" s="2" customFormat="1" ht="24.95" customHeight="1" spans="1:19">
      <c r="A218" s="15"/>
      <c r="B218" s="55"/>
      <c r="C218" s="56"/>
      <c r="D218" s="68">
        <v>45808</v>
      </c>
      <c r="E218" s="69"/>
      <c r="F218" s="69" t="s">
        <v>26</v>
      </c>
      <c r="G218" s="65" t="s">
        <v>27</v>
      </c>
      <c r="H218" s="65" t="s">
        <v>46</v>
      </c>
      <c r="I218" s="70" t="s">
        <v>156</v>
      </c>
      <c r="J218" s="71"/>
      <c r="K218" s="71">
        <v>1000</v>
      </c>
      <c r="L218" s="72">
        <f>IFERROR(IF(G218="","",VLOOKUP($G218,[1]基础信息!$B:$C,2,FALSE)+SUMIF(G$8:G218,G218,J$8:J218)-SUMIF(G$8:G218,G218,K$8:K218)+SUMIFS([1]内部转账!$G:$G,[1]内部转账!$C:$C,"&lt;="&amp;$D218,[1]内部转账!$E:$E,$G218)-SUMIFS([1]内部转账!$G:$G,[1]内部转账!$C:$C,"&lt;="&amp;$D218,[1]内部转账!$F:$F,$G218)),"")</f>
        <v>435163.98</v>
      </c>
      <c r="M218" s="64" t="s">
        <v>150</v>
      </c>
      <c r="N218" s="69" t="s">
        <v>128</v>
      </c>
      <c r="O218" s="64"/>
      <c r="P218" s="64"/>
      <c r="Q218" s="69"/>
      <c r="R218" s="69"/>
      <c r="S218" s="69"/>
    </row>
    <row r="219" s="2" customFormat="1" ht="24.95" customHeight="1" spans="1:19">
      <c r="A219" s="15"/>
      <c r="B219" s="55"/>
      <c r="C219" s="56"/>
      <c r="D219" s="68">
        <v>45808</v>
      </c>
      <c r="E219" s="69"/>
      <c r="F219" s="69" t="s">
        <v>26</v>
      </c>
      <c r="G219" s="65" t="s">
        <v>27</v>
      </c>
      <c r="H219" s="65" t="s">
        <v>53</v>
      </c>
      <c r="I219" s="70" t="s">
        <v>157</v>
      </c>
      <c r="J219" s="71"/>
      <c r="K219" s="71">
        <v>5000</v>
      </c>
      <c r="L219" s="72">
        <f>IFERROR(IF(G219="","",VLOOKUP($G219,[1]基础信息!$B:$C,2,FALSE)+SUMIF(G$8:G219,G219,J$8:J219)-SUMIF(G$8:G219,G219,K$8:K219)+SUMIFS([1]内部转账!$G:$G,[1]内部转账!$C:$C,"&lt;="&amp;$D219,[1]内部转账!$E:$E,$G219)-SUMIFS([1]内部转账!$G:$G,[1]内部转账!$C:$C,"&lt;="&amp;$D219,[1]内部转账!$F:$F,$G219)),"")</f>
        <v>430163.98</v>
      </c>
      <c r="M219" s="64" t="s">
        <v>35</v>
      </c>
      <c r="N219" s="69" t="s">
        <v>128</v>
      </c>
      <c r="O219" s="64"/>
      <c r="P219" s="64"/>
      <c r="Q219" s="69"/>
      <c r="R219" s="69"/>
      <c r="S219" s="69"/>
    </row>
    <row r="220" s="2" customFormat="1" ht="24.95" customHeight="1" spans="1:19">
      <c r="A220" s="15"/>
      <c r="B220" s="55"/>
      <c r="C220" s="56"/>
      <c r="D220" s="68">
        <v>45808</v>
      </c>
      <c r="E220" s="69"/>
      <c r="F220" s="69" t="s">
        <v>26</v>
      </c>
      <c r="G220" s="65" t="s">
        <v>27</v>
      </c>
      <c r="H220" s="65" t="s">
        <v>53</v>
      </c>
      <c r="I220" s="70" t="s">
        <v>31</v>
      </c>
      <c r="J220" s="71"/>
      <c r="K220" s="71">
        <v>10000</v>
      </c>
      <c r="L220" s="72">
        <f>IFERROR(IF(G220="","",VLOOKUP($G220,[1]基础信息!$B:$C,2,FALSE)+SUMIF(G$8:G220,G220,J$8:J220)-SUMIF(G$8:G220,G220,K$8:K220)+SUMIFS([1]内部转账!$G:$G,[1]内部转账!$C:$C,"&lt;="&amp;$D220,[1]内部转账!$E:$E,$G220)-SUMIFS([1]内部转账!$G:$G,[1]内部转账!$C:$C,"&lt;="&amp;$D220,[1]内部转账!$F:$F,$G220)),"")</f>
        <v>420163.98</v>
      </c>
      <c r="M220" s="64" t="s">
        <v>35</v>
      </c>
      <c r="N220" s="58" t="s">
        <v>31</v>
      </c>
      <c r="O220" s="64"/>
      <c r="P220" s="64"/>
      <c r="Q220" s="69"/>
      <c r="R220" s="69"/>
      <c r="S220" s="69"/>
    </row>
    <row r="221" s="2" customFormat="1" ht="24.95" customHeight="1" spans="1:19">
      <c r="A221" s="15"/>
      <c r="B221" s="55"/>
      <c r="C221" s="56"/>
      <c r="D221" s="68">
        <v>45808</v>
      </c>
      <c r="E221" s="69"/>
      <c r="F221" s="69" t="s">
        <v>26</v>
      </c>
      <c r="G221" s="65" t="s">
        <v>27</v>
      </c>
      <c r="H221" s="65" t="s">
        <v>46</v>
      </c>
      <c r="I221" s="70" t="s">
        <v>137</v>
      </c>
      <c r="J221" s="71"/>
      <c r="K221" s="71">
        <v>2000</v>
      </c>
      <c r="L221" s="72">
        <f>IFERROR(IF(G221="","",VLOOKUP($G221,[1]基础信息!$B:$C,2,FALSE)+SUMIF(G$8:G221,G221,J$8:J221)-SUMIF(G$8:G221,G221,K$8:K221)+SUMIFS([1]内部转账!$G:$G,[1]内部转账!$C:$C,"&lt;="&amp;$D221,[1]内部转账!$E:$E,$G221)-SUMIFS([1]内部转账!$G:$G,[1]内部转账!$C:$C,"&lt;="&amp;$D221,[1]内部转账!$F:$F,$G221)),"")</f>
        <v>418163.98</v>
      </c>
      <c r="M221" s="64" t="s">
        <v>150</v>
      </c>
      <c r="N221" s="69" t="s">
        <v>128</v>
      </c>
      <c r="O221" s="64"/>
      <c r="P221" s="64"/>
      <c r="Q221" s="69"/>
      <c r="R221" s="69"/>
      <c r="S221" s="69"/>
    </row>
    <row r="222" s="2" customFormat="1" ht="24.95" customHeight="1" spans="1:19">
      <c r="A222" s="15"/>
      <c r="B222" s="55"/>
      <c r="C222" s="56"/>
      <c r="D222" s="68">
        <v>45809</v>
      </c>
      <c r="E222" s="69"/>
      <c r="F222" s="69" t="s">
        <v>26</v>
      </c>
      <c r="G222" s="65" t="s">
        <v>27</v>
      </c>
      <c r="H222" s="65" t="s">
        <v>46</v>
      </c>
      <c r="I222" s="70" t="s">
        <v>132</v>
      </c>
      <c r="J222" s="71"/>
      <c r="K222" s="71">
        <v>145</v>
      </c>
      <c r="L222" s="72">
        <f>IFERROR(IF(G222="","",VLOOKUP($G222,[1]基础信息!$B:$C,2,FALSE)+SUMIF(G$8:G222,G222,J$8:J222)-SUMIF(G$8:G222,G222,K$8:K222)+SUMIFS([1]内部转账!$G:$G,[1]内部转账!$C:$C,"&lt;="&amp;$D222,[1]内部转账!$E:$E,$G222)-SUMIFS([1]内部转账!$G:$G,[1]内部转账!$C:$C,"&lt;="&amp;$D222,[1]内部转账!$F:$F,$G222)),"")</f>
        <v>418018.98</v>
      </c>
      <c r="M222" s="64" t="s">
        <v>126</v>
      </c>
      <c r="N222" s="69" t="s">
        <v>128</v>
      </c>
      <c r="O222" s="64"/>
      <c r="P222" s="64"/>
      <c r="Q222" s="69"/>
      <c r="R222" s="69"/>
      <c r="S222" s="69"/>
    </row>
    <row r="223" s="2" customFormat="1" ht="24.95" customHeight="1" spans="1:19">
      <c r="A223" s="15"/>
      <c r="B223" s="55"/>
      <c r="C223" s="56"/>
      <c r="D223" s="68">
        <v>45813</v>
      </c>
      <c r="E223" s="69"/>
      <c r="F223" s="69" t="s">
        <v>26</v>
      </c>
      <c r="G223" s="65" t="s">
        <v>27</v>
      </c>
      <c r="H223" s="65" t="s">
        <v>83</v>
      </c>
      <c r="I223" s="70" t="s">
        <v>84</v>
      </c>
      <c r="J223" s="71"/>
      <c r="K223" s="71">
        <v>221.02</v>
      </c>
      <c r="L223" s="72">
        <f>IFERROR(IF(G223="","",VLOOKUP($G223,[1]基础信息!$B:$C,2,FALSE)+SUMIF(G$8:G223,G223,J$8:J223)-SUMIF(G$8:G223,G223,K$8:K223)+SUMIFS([1]内部转账!$G:$G,[1]内部转账!$C:$C,"&lt;="&amp;$D223,[1]内部转账!$E:$E,$G223)-SUMIFS([1]内部转账!$G:$G,[1]内部转账!$C:$C,"&lt;="&amp;$D223,[1]内部转账!$F:$F,$G223)),"")</f>
        <v>417797.96</v>
      </c>
      <c r="M223" s="64" t="s">
        <v>35</v>
      </c>
      <c r="N223" s="69"/>
      <c r="O223" s="64"/>
      <c r="P223" s="64"/>
      <c r="Q223" s="69"/>
      <c r="R223" s="69"/>
      <c r="S223" s="69"/>
    </row>
    <row r="224" s="2" customFormat="1" ht="24.95" customHeight="1" spans="1:19">
      <c r="A224" s="15"/>
      <c r="B224" s="55"/>
      <c r="C224" s="56"/>
      <c r="D224" s="68">
        <v>45814</v>
      </c>
      <c r="E224" s="69"/>
      <c r="F224" s="69" t="s">
        <v>26</v>
      </c>
      <c r="G224" s="65" t="s">
        <v>27</v>
      </c>
      <c r="H224" s="65" t="s">
        <v>62</v>
      </c>
      <c r="I224" s="70" t="s">
        <v>120</v>
      </c>
      <c r="J224" s="71"/>
      <c r="K224" s="71">
        <v>10881</v>
      </c>
      <c r="L224" s="72">
        <f>IFERROR(IF(G224="","",VLOOKUP($G224,[1]基础信息!$B:$C,2,FALSE)+SUMIF(G$8:G224,G224,J$8:J224)-SUMIF(G$8:G224,G224,K$8:K224)+SUMIFS([1]内部转账!$G:$G,[1]内部转账!$C:$C,"&lt;="&amp;$D224,[1]内部转账!$E:$E,$G224)-SUMIFS([1]内部转账!$G:$G,[1]内部转账!$C:$C,"&lt;="&amp;$D224,[1]内部转账!$F:$F,$G224)),"")</f>
        <v>406916.96</v>
      </c>
      <c r="M224" s="64" t="s">
        <v>121</v>
      </c>
      <c r="N224" s="69"/>
      <c r="O224" s="64"/>
      <c r="P224" s="64" t="s">
        <v>122</v>
      </c>
      <c r="Q224" s="69"/>
      <c r="R224" s="69"/>
      <c r="S224" s="69"/>
    </row>
    <row r="225" s="2" customFormat="1" ht="24.95" customHeight="1" spans="1:19">
      <c r="A225" s="15"/>
      <c r="B225" s="55"/>
      <c r="C225" s="56"/>
      <c r="D225" s="68">
        <v>45814</v>
      </c>
      <c r="E225" s="69"/>
      <c r="F225" s="69" t="s">
        <v>26</v>
      </c>
      <c r="G225" s="65" t="s">
        <v>27</v>
      </c>
      <c r="H225" s="65" t="s">
        <v>62</v>
      </c>
      <c r="I225" s="70" t="s">
        <v>158</v>
      </c>
      <c r="J225" s="71"/>
      <c r="K225" s="71">
        <v>25678.29</v>
      </c>
      <c r="L225" s="72">
        <f>IFERROR(IF(G225="","",VLOOKUP($G225,[1]基础信息!$B:$C,2,FALSE)+SUMIF(G$8:G225,G225,J$8:J225)-SUMIF(G$8:G225,G225,K$8:K225)+SUMIFS([1]内部转账!$G:$G,[1]内部转账!$C:$C,"&lt;="&amp;$D225,[1]内部转账!$E:$E,$G225)-SUMIFS([1]内部转账!$G:$G,[1]内部转账!$C:$C,"&lt;="&amp;$D225,[1]内部转账!$F:$F,$G225)),"")</f>
        <v>381238.67</v>
      </c>
      <c r="M225" s="64" t="s">
        <v>150</v>
      </c>
      <c r="N225" s="69" t="s">
        <v>128</v>
      </c>
      <c r="O225" s="64"/>
      <c r="P225" s="64" t="s">
        <v>159</v>
      </c>
      <c r="Q225" s="69"/>
      <c r="R225" s="69"/>
      <c r="S225" s="69"/>
    </row>
    <row r="226" s="2" customFormat="1" ht="24.95" customHeight="1" spans="1:19">
      <c r="A226" s="15"/>
      <c r="B226" s="55"/>
      <c r="C226" s="56"/>
      <c r="D226" s="68">
        <v>45814</v>
      </c>
      <c r="E226" s="69"/>
      <c r="F226" s="69" t="s">
        <v>26</v>
      </c>
      <c r="G226" s="65" t="s">
        <v>27</v>
      </c>
      <c r="H226" s="65" t="s">
        <v>33</v>
      </c>
      <c r="I226" s="70" t="s">
        <v>160</v>
      </c>
      <c r="J226" s="71"/>
      <c r="K226" s="71">
        <v>9</v>
      </c>
      <c r="L226" s="72">
        <f>IFERROR(IF(G226="","",VLOOKUP($G226,[1]基础信息!$B:$C,2,FALSE)+SUMIF(G$8:G226,G226,J$8:J226)-SUMIF(G$8:G226,G226,K$8:K226)+SUMIFS([1]内部转账!$G:$G,[1]内部转账!$C:$C,"&lt;="&amp;$D226,[1]内部转账!$E:$E,$G226)-SUMIFS([1]内部转账!$G:$G,[1]内部转账!$C:$C,"&lt;="&amp;$D226,[1]内部转账!$F:$F,$G226)),"")</f>
        <v>381229.67</v>
      </c>
      <c r="M226" s="64" t="s">
        <v>35</v>
      </c>
      <c r="N226" s="69"/>
      <c r="O226" s="64"/>
      <c r="P226" s="64"/>
      <c r="Q226" s="69"/>
      <c r="R226" s="69"/>
      <c r="S226" s="69"/>
    </row>
    <row r="227" s="2" customFormat="1" ht="24.95" customHeight="1" spans="1:19">
      <c r="A227" s="15"/>
      <c r="B227" s="55"/>
      <c r="C227" s="56"/>
      <c r="D227" s="68">
        <v>45814</v>
      </c>
      <c r="E227" s="69"/>
      <c r="F227" s="69" t="s">
        <v>26</v>
      </c>
      <c r="G227" s="65" t="s">
        <v>27</v>
      </c>
      <c r="H227" s="65" t="s">
        <v>108</v>
      </c>
      <c r="I227" s="70" t="s">
        <v>108</v>
      </c>
      <c r="J227" s="71"/>
      <c r="K227" s="71">
        <v>127890</v>
      </c>
      <c r="L227" s="72">
        <f>IFERROR(IF(G227="","",VLOOKUP($G227,[1]基础信息!$B:$C,2,FALSE)+SUMIF(G$8:G227,G227,J$8:J227)-SUMIF(G$8:G227,G227,K$8:K227)+SUMIFS([1]内部转账!$G:$G,[1]内部转账!$C:$C,"&lt;="&amp;$D227,[1]内部转账!$E:$E,$G227)-SUMIFS([1]内部转账!$G:$G,[1]内部转账!$C:$C,"&lt;="&amp;$D227,[1]内部转账!$F:$F,$G227)),"")</f>
        <v>253339.67</v>
      </c>
      <c r="M227" s="64"/>
      <c r="N227" s="69" t="s">
        <v>128</v>
      </c>
      <c r="O227" s="64"/>
      <c r="P227" s="64"/>
      <c r="Q227" s="69"/>
      <c r="R227" s="69"/>
      <c r="S227" s="69"/>
    </row>
    <row r="228" s="2" customFormat="1" ht="24.95" customHeight="1" spans="1:19">
      <c r="A228" s="15"/>
      <c r="B228" s="55"/>
      <c r="C228" s="56"/>
      <c r="D228" s="68">
        <v>45814</v>
      </c>
      <c r="E228" s="69"/>
      <c r="F228" s="69" t="s">
        <v>26</v>
      </c>
      <c r="G228" s="65" t="s">
        <v>27</v>
      </c>
      <c r="H228" s="65" t="s">
        <v>33</v>
      </c>
      <c r="I228" s="70" t="s">
        <v>160</v>
      </c>
      <c r="J228" s="71"/>
      <c r="K228" s="71">
        <v>15</v>
      </c>
      <c r="L228" s="72">
        <f>IFERROR(IF(G228="","",VLOOKUP($G228,[1]基础信息!$B:$C,2,FALSE)+SUMIF(G$8:G228,G228,J$8:J228)-SUMIF(G$8:G228,G228,K$8:K228)+SUMIFS([1]内部转账!$G:$G,[1]内部转账!$C:$C,"&lt;="&amp;$D228,[1]内部转账!$E:$E,$G228)-SUMIFS([1]内部转账!$G:$G,[1]内部转账!$C:$C,"&lt;="&amp;$D228,[1]内部转账!$F:$F,$G228)),"")</f>
        <v>253324.67</v>
      </c>
      <c r="M228" s="64" t="s">
        <v>35</v>
      </c>
      <c r="N228" s="69"/>
      <c r="O228" s="64"/>
      <c r="P228" s="64"/>
      <c r="Q228" s="69"/>
      <c r="R228" s="69"/>
      <c r="S228" s="69"/>
    </row>
    <row r="229" s="2" customFormat="1" ht="24.95" customHeight="1" spans="1:19">
      <c r="A229" s="15"/>
      <c r="B229" s="55"/>
      <c r="C229" s="56"/>
      <c r="D229" s="68">
        <v>45814</v>
      </c>
      <c r="E229" s="69"/>
      <c r="F229" s="69" t="s">
        <v>26</v>
      </c>
      <c r="G229" s="65" t="s">
        <v>27</v>
      </c>
      <c r="H229" s="65" t="s">
        <v>108</v>
      </c>
      <c r="I229" s="70" t="s">
        <v>108</v>
      </c>
      <c r="J229" s="71"/>
      <c r="K229" s="71">
        <v>-127890</v>
      </c>
      <c r="L229" s="72">
        <f>IFERROR(IF(G229="","",VLOOKUP($G229,[1]基础信息!$B:$C,2,FALSE)+SUMIF(G$8:G229,G229,J$8:J229)-SUMIF(G$8:G229,G229,K$8:K229)+SUMIFS([1]内部转账!$G:$G,[1]内部转账!$C:$C,"&lt;="&amp;$D229,[1]内部转账!$E:$E,$G229)-SUMIFS([1]内部转账!$G:$G,[1]内部转账!$C:$C,"&lt;="&amp;$D229,[1]内部转账!$F:$F,$G229)),"")</f>
        <v>381214.67</v>
      </c>
      <c r="M229" s="64"/>
      <c r="N229" s="69"/>
      <c r="O229" s="64"/>
      <c r="P229" s="64"/>
      <c r="Q229" s="69"/>
      <c r="R229" s="69"/>
      <c r="S229" s="69"/>
    </row>
    <row r="230" s="2" customFormat="1" ht="24.95" customHeight="1" spans="1:19">
      <c r="A230" s="15"/>
      <c r="B230" s="55"/>
      <c r="C230" s="56"/>
      <c r="D230" s="68">
        <v>45820</v>
      </c>
      <c r="E230" s="69"/>
      <c r="F230" s="69" t="s">
        <v>26</v>
      </c>
      <c r="G230" s="65" t="s">
        <v>27</v>
      </c>
      <c r="H230" s="65" t="s">
        <v>138</v>
      </c>
      <c r="I230" s="70" t="s">
        <v>139</v>
      </c>
      <c r="J230" s="71"/>
      <c r="K230" s="71">
        <v>2000</v>
      </c>
      <c r="L230" s="72">
        <f>IFERROR(IF(G230="","",VLOOKUP($G230,[1]基础信息!$B:$C,2,FALSE)+SUMIF(G$8:G230,G230,J$8:J230)-SUMIF(G$8:G230,G230,K$8:K230)+SUMIFS([1]内部转账!$G:$G,[1]内部转账!$C:$C,"&lt;="&amp;$D230,[1]内部转账!$E:$E,$G230)-SUMIFS([1]内部转账!$G:$G,[1]内部转账!$C:$C,"&lt;="&amp;$D230,[1]内部转账!$F:$F,$G230)),"")</f>
        <v>379214.67</v>
      </c>
      <c r="M230" s="64" t="s">
        <v>121</v>
      </c>
      <c r="N230" s="69" t="s">
        <v>128</v>
      </c>
      <c r="O230" s="64"/>
      <c r="P230" s="64" t="s">
        <v>140</v>
      </c>
      <c r="Q230" s="69"/>
      <c r="R230" s="69"/>
      <c r="S230" s="69"/>
    </row>
    <row r="231" s="2" customFormat="1" ht="24.95" customHeight="1" spans="1:19">
      <c r="A231" s="15"/>
      <c r="B231" s="55"/>
      <c r="C231" s="56"/>
      <c r="D231" s="68">
        <v>45820</v>
      </c>
      <c r="E231" s="69"/>
      <c r="F231" s="69" t="s">
        <v>26</v>
      </c>
      <c r="G231" s="65" t="s">
        <v>27</v>
      </c>
      <c r="H231" s="65" t="s">
        <v>138</v>
      </c>
      <c r="I231" s="70" t="s">
        <v>141</v>
      </c>
      <c r="J231" s="71"/>
      <c r="K231" s="71">
        <v>2000</v>
      </c>
      <c r="L231" s="72">
        <f>IFERROR(IF(G231="","",VLOOKUP($G231,[1]基础信息!$B:$C,2,FALSE)+SUMIF(G$8:G231,G231,J$8:J231)-SUMIF(G$8:G231,G231,K$8:K231)+SUMIFS([1]内部转账!$G:$G,[1]内部转账!$C:$C,"&lt;="&amp;$D231,[1]内部转账!$E:$E,$G231)-SUMIFS([1]内部转账!$G:$G,[1]内部转账!$C:$C,"&lt;="&amp;$D231,[1]内部转账!$F:$F,$G231)),"")</f>
        <v>377214.67</v>
      </c>
      <c r="M231" s="64" t="s">
        <v>121</v>
      </c>
      <c r="N231" s="69" t="s">
        <v>128</v>
      </c>
      <c r="O231" s="64"/>
      <c r="P231" s="64" t="s">
        <v>142</v>
      </c>
      <c r="Q231" s="69"/>
      <c r="R231" s="69"/>
      <c r="S231" s="69"/>
    </row>
    <row r="232" s="2" customFormat="1" ht="24.95" customHeight="1" spans="1:19">
      <c r="A232" s="15"/>
      <c r="B232" s="55"/>
      <c r="C232" s="56"/>
      <c r="D232" s="68">
        <v>45820</v>
      </c>
      <c r="E232" s="69"/>
      <c r="F232" s="69" t="s">
        <v>26</v>
      </c>
      <c r="G232" s="65" t="s">
        <v>27</v>
      </c>
      <c r="H232" s="65" t="s">
        <v>138</v>
      </c>
      <c r="I232" s="70" t="s">
        <v>143</v>
      </c>
      <c r="J232" s="71"/>
      <c r="K232" s="71">
        <v>2000</v>
      </c>
      <c r="L232" s="72">
        <f>IFERROR(IF(G232="","",VLOOKUP($G232,[1]基础信息!$B:$C,2,FALSE)+SUMIF(G$8:G232,G232,J$8:J232)-SUMIF(G$8:G232,G232,K$8:K232)+SUMIFS([1]内部转账!$G:$G,[1]内部转账!$C:$C,"&lt;="&amp;$D232,[1]内部转账!$E:$E,$G232)-SUMIFS([1]内部转账!$G:$G,[1]内部转账!$C:$C,"&lt;="&amp;$D232,[1]内部转账!$F:$F,$G232)),"")</f>
        <v>375214.67</v>
      </c>
      <c r="M232" s="64" t="s">
        <v>121</v>
      </c>
      <c r="N232" s="69" t="s">
        <v>128</v>
      </c>
      <c r="O232" s="64"/>
      <c r="P232" s="64" t="s">
        <v>144</v>
      </c>
      <c r="Q232" s="69"/>
      <c r="R232" s="69"/>
      <c r="S232" s="69"/>
    </row>
    <row r="233" s="2" customFormat="1" ht="24.95" customHeight="1" spans="1:19">
      <c r="A233" s="15"/>
      <c r="B233" s="55"/>
      <c r="C233" s="56"/>
      <c r="D233" s="68">
        <v>45820</v>
      </c>
      <c r="E233" s="69"/>
      <c r="F233" s="69" t="s">
        <v>26</v>
      </c>
      <c r="G233" s="65" t="s">
        <v>27</v>
      </c>
      <c r="H233" s="65" t="s">
        <v>138</v>
      </c>
      <c r="I233" s="70" t="s">
        <v>145</v>
      </c>
      <c r="J233" s="71"/>
      <c r="K233" s="71">
        <v>3000</v>
      </c>
      <c r="L233" s="72">
        <f>IFERROR(IF(G233="","",VLOOKUP($G233,[1]基础信息!$B:$C,2,FALSE)+SUMIF(G$8:G233,G233,J$8:J233)-SUMIF(G$8:G233,G233,K$8:K233)+SUMIFS([1]内部转账!$G:$G,[1]内部转账!$C:$C,"&lt;="&amp;$D233,[1]内部转账!$E:$E,$G233)-SUMIFS([1]内部转账!$G:$G,[1]内部转账!$C:$C,"&lt;="&amp;$D233,[1]内部转账!$F:$F,$G233)),"")</f>
        <v>372214.67</v>
      </c>
      <c r="M233" s="64" t="s">
        <v>121</v>
      </c>
      <c r="N233" s="69" t="s">
        <v>128</v>
      </c>
      <c r="O233" s="64"/>
      <c r="P233" s="64" t="s">
        <v>146</v>
      </c>
      <c r="Q233" s="69"/>
      <c r="R233" s="69"/>
      <c r="S233" s="69"/>
    </row>
    <row r="234" s="2" customFormat="1" ht="24.95" customHeight="1" spans="1:19">
      <c r="A234" s="15"/>
      <c r="B234" s="55"/>
      <c r="C234" s="56"/>
      <c r="D234" s="68">
        <v>45820</v>
      </c>
      <c r="E234" s="69"/>
      <c r="F234" s="69" t="s">
        <v>26</v>
      </c>
      <c r="G234" s="65" t="s">
        <v>27</v>
      </c>
      <c r="H234" s="65" t="s">
        <v>138</v>
      </c>
      <c r="I234" s="70" t="s">
        <v>147</v>
      </c>
      <c r="J234" s="71"/>
      <c r="K234" s="71">
        <v>2000</v>
      </c>
      <c r="L234" s="72">
        <f>IFERROR(IF(G234="","",VLOOKUP($G234,[1]基础信息!$B:$C,2,FALSE)+SUMIF(G$8:G234,G234,J$8:J234)-SUMIF(G$8:G234,G234,K$8:K234)+SUMIFS([1]内部转账!$G:$G,[1]内部转账!$C:$C,"&lt;="&amp;$D234,[1]内部转账!$E:$E,$G234)-SUMIFS([1]内部转账!$G:$G,[1]内部转账!$C:$C,"&lt;="&amp;$D234,[1]内部转账!$F:$F,$G234)),"")</f>
        <v>370214.67</v>
      </c>
      <c r="M234" s="64" t="s">
        <v>121</v>
      </c>
      <c r="N234" s="69" t="s">
        <v>128</v>
      </c>
      <c r="O234" s="64"/>
      <c r="P234" s="64" t="s">
        <v>148</v>
      </c>
      <c r="Q234" s="69"/>
      <c r="R234" s="69"/>
      <c r="S234" s="69"/>
    </row>
    <row r="235" s="2" customFormat="1" ht="24.95" customHeight="1" spans="1:19">
      <c r="A235" s="15"/>
      <c r="B235" s="55"/>
      <c r="C235" s="56"/>
      <c r="D235" s="68">
        <v>45820</v>
      </c>
      <c r="E235" s="69"/>
      <c r="F235" s="69" t="s">
        <v>26</v>
      </c>
      <c r="G235" s="65" t="s">
        <v>27</v>
      </c>
      <c r="H235" s="65" t="s">
        <v>138</v>
      </c>
      <c r="I235" s="70" t="s">
        <v>161</v>
      </c>
      <c r="J235" s="71"/>
      <c r="K235" s="71">
        <v>4960</v>
      </c>
      <c r="L235" s="72">
        <f>IFERROR(IF(G235="","",VLOOKUP($G235,[1]基础信息!$B:$C,2,FALSE)+SUMIF(G$8:G235,G235,J$8:J235)-SUMIF(G$8:G235,G235,K$8:K235)+SUMIFS([1]内部转账!$G:$G,[1]内部转账!$C:$C,"&lt;="&amp;$D235,[1]内部转账!$E:$E,$G235)-SUMIFS([1]内部转账!$G:$G,[1]内部转账!$C:$C,"&lt;="&amp;$D235,[1]内部转账!$F:$F,$G235)),"")</f>
        <v>365254.67</v>
      </c>
      <c r="M235" s="64" t="s">
        <v>121</v>
      </c>
      <c r="N235" s="69" t="s">
        <v>128</v>
      </c>
      <c r="O235" s="64"/>
      <c r="P235" s="64" t="s">
        <v>162</v>
      </c>
      <c r="Q235" s="69"/>
      <c r="R235" s="69"/>
      <c r="S235" s="69"/>
    </row>
    <row r="236" s="2" customFormat="1" ht="24.95" customHeight="1" spans="1:19">
      <c r="A236" s="15"/>
      <c r="B236" s="55"/>
      <c r="C236" s="56"/>
      <c r="D236" s="68">
        <v>45827</v>
      </c>
      <c r="E236" s="69"/>
      <c r="F236" s="69" t="s">
        <v>26</v>
      </c>
      <c r="G236" s="65" t="s">
        <v>27</v>
      </c>
      <c r="H236" s="65" t="s">
        <v>62</v>
      </c>
      <c r="I236" s="70" t="s">
        <v>163</v>
      </c>
      <c r="J236" s="71"/>
      <c r="K236" s="71">
        <v>96296.9</v>
      </c>
      <c r="L236" s="72">
        <f>IFERROR(IF(G236="","",VLOOKUP($G236,[1]基础信息!$B:$C,2,FALSE)+SUMIF(G$8:G236,G236,J$8:J236)-SUMIF(G$8:G236,G236,K$8:K236)+SUMIFS([1]内部转账!$G:$G,[1]内部转账!$C:$C,"&lt;="&amp;$D236,[1]内部转账!$E:$E,$G236)-SUMIFS([1]内部转账!$G:$G,[1]内部转账!$C:$C,"&lt;="&amp;$D236,[1]内部转账!$F:$F,$G236)),"")</f>
        <v>268957.77</v>
      </c>
      <c r="M236" s="64" t="s">
        <v>150</v>
      </c>
      <c r="N236" s="69"/>
      <c r="O236" s="64"/>
      <c r="P236" s="64" t="s">
        <v>164</v>
      </c>
      <c r="Q236" s="69"/>
      <c r="R236" s="69"/>
      <c r="S236" s="69"/>
    </row>
    <row r="237" s="2" customFormat="1" ht="24.95" customHeight="1" spans="1:19">
      <c r="A237" s="15"/>
      <c r="B237" s="55"/>
      <c r="C237" s="56"/>
      <c r="D237" s="68">
        <v>45829</v>
      </c>
      <c r="E237" s="69"/>
      <c r="F237" s="69" t="s">
        <v>26</v>
      </c>
      <c r="G237" s="65" t="s">
        <v>27</v>
      </c>
      <c r="H237" s="65" t="s">
        <v>33</v>
      </c>
      <c r="I237" s="70" t="s">
        <v>34</v>
      </c>
      <c r="J237" s="71"/>
      <c r="K237" s="71">
        <v>-16.31</v>
      </c>
      <c r="L237" s="72">
        <f>IFERROR(IF(G237="","",VLOOKUP($G237,[1]基础信息!$B:$C,2,FALSE)+SUMIF(G$8:G237,G237,J$8:J237)-SUMIF(G$8:G237,G237,K$8:K237)+SUMIFS([1]内部转账!$G:$G,[1]内部转账!$C:$C,"&lt;="&amp;$D237,[1]内部转账!$E:$E,$G237)-SUMIFS([1]内部转账!$G:$G,[1]内部转账!$C:$C,"&lt;="&amp;$D237,[1]内部转账!$F:$F,$G237)),"")</f>
        <v>268974.08</v>
      </c>
      <c r="M237" s="64" t="s">
        <v>35</v>
      </c>
      <c r="N237" s="69"/>
      <c r="O237" s="64"/>
      <c r="P237" s="64"/>
      <c r="Q237" s="69"/>
      <c r="R237" s="69"/>
      <c r="S237" s="69"/>
    </row>
    <row r="238" s="2" customFormat="1" ht="24.95" customHeight="1" spans="1:19">
      <c r="A238" s="15"/>
      <c r="B238" s="55"/>
      <c r="C238" s="56"/>
      <c r="D238" s="68">
        <v>45829</v>
      </c>
      <c r="E238" s="69"/>
      <c r="F238" s="69" t="s">
        <v>26</v>
      </c>
      <c r="G238" s="65" t="s">
        <v>27</v>
      </c>
      <c r="H238" s="65" t="s">
        <v>28</v>
      </c>
      <c r="I238" s="70" t="s">
        <v>29</v>
      </c>
      <c r="J238" s="71"/>
      <c r="K238" s="71">
        <v>50000</v>
      </c>
      <c r="L238" s="72">
        <f>IFERROR(IF(G238="","",VLOOKUP($G238,[1]基础信息!$B:$C,2,FALSE)+SUMIF(G$8:G238,G238,J$8:J238)-SUMIF(G$8:G238,G238,K$8:K238)+SUMIFS([1]内部转账!$G:$G,[1]内部转账!$C:$C,"&lt;="&amp;$D238,[1]内部转账!$E:$E,$G238)-SUMIFS([1]内部转账!$G:$G,[1]内部转账!$C:$C,"&lt;="&amp;$D238,[1]内部转账!$F:$F,$G238)),"")</f>
        <v>218974.08</v>
      </c>
      <c r="M238" s="64" t="s">
        <v>30</v>
      </c>
      <c r="N238" s="58" t="s">
        <v>31</v>
      </c>
      <c r="O238" s="64"/>
      <c r="P238" s="64" t="s">
        <v>31</v>
      </c>
      <c r="Q238" s="69"/>
      <c r="R238" s="69"/>
      <c r="S238" s="69"/>
    </row>
    <row r="239" s="2" customFormat="1" ht="24.95" customHeight="1" spans="1:19">
      <c r="A239" s="15"/>
      <c r="B239" s="55"/>
      <c r="C239" s="56"/>
      <c r="D239" s="68">
        <v>45832</v>
      </c>
      <c r="E239" s="69"/>
      <c r="F239" s="69" t="s">
        <v>26</v>
      </c>
      <c r="G239" s="65" t="s">
        <v>27</v>
      </c>
      <c r="H239" s="65" t="s">
        <v>62</v>
      </c>
      <c r="I239" s="70" t="s">
        <v>163</v>
      </c>
      <c r="J239" s="71"/>
      <c r="K239" s="71">
        <v>17044.19</v>
      </c>
      <c r="L239" s="72">
        <f>IFERROR(IF(G239="","",VLOOKUP($G239,[1]基础信息!$B:$C,2,FALSE)+SUMIF(G$8:G239,G239,J$8:J239)-SUMIF(G$8:G239,G239,K$8:K239)+SUMIFS([1]内部转账!$G:$G,[1]内部转账!$C:$C,"&lt;="&amp;$D239,[1]内部转账!$E:$E,$G239)-SUMIFS([1]内部转账!$G:$G,[1]内部转账!$C:$C,"&lt;="&amp;$D239,[1]内部转账!$F:$F,$G239)),"")</f>
        <v>201929.89</v>
      </c>
      <c r="M239" s="64" t="s">
        <v>150</v>
      </c>
      <c r="N239" s="69"/>
      <c r="O239" s="64"/>
      <c r="P239" s="64" t="s">
        <v>164</v>
      </c>
      <c r="Q239" s="69"/>
      <c r="R239" s="69"/>
      <c r="S239" s="69"/>
    </row>
    <row r="240" s="2" customFormat="1" ht="24.95" customHeight="1" spans="1:19">
      <c r="A240" s="15"/>
      <c r="B240" s="55"/>
      <c r="C240" s="56"/>
      <c r="D240" s="68">
        <v>45838</v>
      </c>
      <c r="E240" s="69"/>
      <c r="F240" s="69" t="s">
        <v>26</v>
      </c>
      <c r="G240" s="65" t="s">
        <v>27</v>
      </c>
      <c r="H240" s="65" t="s">
        <v>58</v>
      </c>
      <c r="I240" s="70" t="s">
        <v>165</v>
      </c>
      <c r="J240" s="71"/>
      <c r="K240" s="71">
        <v>2500</v>
      </c>
      <c r="L240" s="72">
        <f>IFERROR(IF(G240="","",VLOOKUP($G240,[1]基础信息!$B:$C,2,FALSE)+SUMIF(G$8:G240,G240,J$8:J240)-SUMIF(G$8:G240,G240,K$8:K240)+SUMIFS([1]内部转账!$G:$G,[1]内部转账!$C:$C,"&lt;="&amp;$D240,[1]内部转账!$E:$E,$G240)-SUMIFS([1]内部转账!$G:$G,[1]内部转账!$C:$C,"&lt;="&amp;$D240,[1]内部转账!$F:$F,$G240)),"")</f>
        <v>199429.89</v>
      </c>
      <c r="M240" s="64" t="s">
        <v>166</v>
      </c>
      <c r="N240" s="69" t="s">
        <v>128</v>
      </c>
      <c r="O240" s="64"/>
      <c r="P240" s="64" t="s">
        <v>167</v>
      </c>
      <c r="Q240" s="69"/>
      <c r="R240" s="69"/>
      <c r="S240" s="69"/>
    </row>
    <row r="241" s="2" customFormat="1" ht="24.95" customHeight="1" spans="1:19">
      <c r="A241" s="15"/>
      <c r="B241" s="55"/>
      <c r="C241" s="56"/>
      <c r="D241" s="68">
        <v>45838</v>
      </c>
      <c r="E241" s="69"/>
      <c r="F241" s="69" t="s">
        <v>26</v>
      </c>
      <c r="G241" s="65" t="s">
        <v>27</v>
      </c>
      <c r="H241" s="65" t="s">
        <v>62</v>
      </c>
      <c r="I241" s="70" t="s">
        <v>163</v>
      </c>
      <c r="J241" s="71"/>
      <c r="K241" s="71">
        <v>43009.8</v>
      </c>
      <c r="L241" s="72">
        <f>IFERROR(IF(G241="","",VLOOKUP($G241,[1]基础信息!$B:$C,2,FALSE)+SUMIF(G$8:G241,G241,J$8:J241)-SUMIF(G$8:G241,G241,K$8:K241)+SUMIFS([1]内部转账!$G:$G,[1]内部转账!$C:$C,"&lt;="&amp;$D241,[1]内部转账!$E:$E,$G241)-SUMIFS([1]内部转账!$G:$G,[1]内部转账!$C:$C,"&lt;="&amp;$D241,[1]内部转账!$F:$F,$G241)),"")</f>
        <v>156420.09</v>
      </c>
      <c r="M241" s="64" t="s">
        <v>150</v>
      </c>
      <c r="N241" s="69"/>
      <c r="O241" s="64"/>
      <c r="P241" s="64" t="s">
        <v>164</v>
      </c>
      <c r="Q241" s="69"/>
      <c r="R241" s="69"/>
      <c r="S241" s="69"/>
    </row>
    <row r="242" s="2" customFormat="1" ht="24.95" customHeight="1" spans="1:19">
      <c r="A242" s="15"/>
      <c r="B242" s="55"/>
      <c r="C242" s="56"/>
      <c r="D242" s="68">
        <v>45838</v>
      </c>
      <c r="E242" s="69"/>
      <c r="F242" s="69" t="s">
        <v>26</v>
      </c>
      <c r="G242" s="65" t="s">
        <v>27</v>
      </c>
      <c r="H242" s="65" t="s">
        <v>53</v>
      </c>
      <c r="I242" s="70" t="s">
        <v>98</v>
      </c>
      <c r="J242" s="71"/>
      <c r="K242" s="71">
        <v>10000</v>
      </c>
      <c r="L242" s="72">
        <f>IFERROR(IF(G242="","",VLOOKUP($G242,[1]基础信息!$B:$C,2,FALSE)+SUMIF(G$8:G242,G242,J$8:J242)-SUMIF(G$8:G242,G242,K$8:K242)+SUMIFS([1]内部转账!$G:$G,[1]内部转账!$C:$C,"&lt;="&amp;$D242,[1]内部转账!$E:$E,$G242)-SUMIFS([1]内部转账!$G:$G,[1]内部转账!$C:$C,"&lt;="&amp;$D242,[1]内部转账!$F:$F,$G242)),"")</f>
        <v>146420.09</v>
      </c>
      <c r="M242" s="64" t="s">
        <v>35</v>
      </c>
      <c r="N242" s="69" t="s">
        <v>98</v>
      </c>
      <c r="O242" s="64"/>
      <c r="P242" s="64"/>
      <c r="Q242" s="69"/>
      <c r="R242" s="69"/>
      <c r="S242" s="69"/>
    </row>
    <row r="243" s="2" customFormat="1" ht="24.95" customHeight="1" spans="1:19">
      <c r="A243" s="15"/>
      <c r="B243" s="55"/>
      <c r="C243" s="56"/>
      <c r="D243" s="68">
        <v>45838</v>
      </c>
      <c r="E243" s="69"/>
      <c r="F243" s="69" t="s">
        <v>26</v>
      </c>
      <c r="G243" s="65" t="s">
        <v>27</v>
      </c>
      <c r="H243" s="65" t="s">
        <v>53</v>
      </c>
      <c r="I243" s="70" t="s">
        <v>98</v>
      </c>
      <c r="J243" s="71"/>
      <c r="K243" s="71">
        <v>10000</v>
      </c>
      <c r="L243" s="72">
        <f>IFERROR(IF(G243="","",VLOOKUP($G243,[1]基础信息!$B:$C,2,FALSE)+SUMIF(G$8:G243,G243,J$8:J243)-SUMIF(G$8:G243,G243,K$8:K243)+SUMIFS([1]内部转账!$G:$G,[1]内部转账!$C:$C,"&lt;="&amp;$D243,[1]内部转账!$E:$E,$G243)-SUMIFS([1]内部转账!$G:$G,[1]内部转账!$C:$C,"&lt;="&amp;$D243,[1]内部转账!$F:$F,$G243)),"")</f>
        <v>136420.09</v>
      </c>
      <c r="M243" s="64" t="s">
        <v>35</v>
      </c>
      <c r="N243" s="69" t="s">
        <v>98</v>
      </c>
      <c r="O243" s="64"/>
      <c r="P243" s="64"/>
      <c r="Q243" s="69"/>
      <c r="R243" s="69"/>
      <c r="S243" s="69"/>
    </row>
    <row r="244" s="2" customFormat="1" ht="24.95" customHeight="1" spans="1:19">
      <c r="A244" s="15"/>
      <c r="B244" s="55"/>
      <c r="C244" s="56"/>
      <c r="D244" s="68">
        <v>45839</v>
      </c>
      <c r="E244" s="69"/>
      <c r="F244" s="69" t="s">
        <v>26</v>
      </c>
      <c r="G244" s="65" t="s">
        <v>27</v>
      </c>
      <c r="H244" s="65" t="s">
        <v>58</v>
      </c>
      <c r="I244" s="70" t="s">
        <v>168</v>
      </c>
      <c r="J244" s="71"/>
      <c r="K244" s="71">
        <v>60000</v>
      </c>
      <c r="L244" s="72">
        <f>IFERROR(IF(G244="","",VLOOKUP($G244,[1]基础信息!$B:$C,2,FALSE)+SUMIF(G$8:G244,G244,J$8:J244)-SUMIF(G$8:G244,G244,K$8:K244)+SUMIFS([1]内部转账!$G:$G,[1]内部转账!$C:$C,"&lt;="&amp;$D244,[1]内部转账!$E:$E,$G244)-SUMIFS([1]内部转账!$G:$G,[1]内部转账!$C:$C,"&lt;="&amp;$D244,[1]内部转账!$F:$F,$G244)),"")</f>
        <v>76420.0900000001</v>
      </c>
      <c r="M244" s="64" t="s">
        <v>166</v>
      </c>
      <c r="N244" s="69" t="s">
        <v>98</v>
      </c>
      <c r="O244" s="64"/>
      <c r="P244" s="64"/>
      <c r="Q244" s="69"/>
      <c r="R244" s="69"/>
      <c r="S244" s="69"/>
    </row>
    <row r="245" s="2" customFormat="1" ht="24.95" customHeight="1" spans="1:19">
      <c r="A245" s="15"/>
      <c r="B245" s="55"/>
      <c r="C245" s="56"/>
      <c r="D245" s="68">
        <v>45842</v>
      </c>
      <c r="E245" s="69"/>
      <c r="F245" s="69" t="s">
        <v>26</v>
      </c>
      <c r="G245" s="65" t="s">
        <v>169</v>
      </c>
      <c r="H245" s="65" t="s">
        <v>62</v>
      </c>
      <c r="I245" s="70" t="s">
        <v>106</v>
      </c>
      <c r="J245" s="71"/>
      <c r="K245" s="71">
        <v>50000</v>
      </c>
      <c r="L245" s="72">
        <f>IFERROR(IF(G245="","",VLOOKUP($G245,[1]基础信息!$B:$C,2,FALSE)+SUMIF(G$8:G245,G245,J$8:J245)-SUMIF(G$8:G245,G245,K$8:K245)+SUMIFS([1]内部转账!$G:$G,[1]内部转账!$C:$C,"&lt;="&amp;$D245,[1]内部转账!$E:$E,$G245)-SUMIFS([1]内部转账!$G:$G,[1]内部转账!$C:$C,"&lt;="&amp;$D245,[1]内部转账!$F:$F,$G245)),"")</f>
        <v>-50000</v>
      </c>
      <c r="M245" s="64" t="s">
        <v>121</v>
      </c>
      <c r="N245" s="69" t="s">
        <v>31</v>
      </c>
      <c r="O245" s="64"/>
      <c r="P245" s="64" t="s">
        <v>107</v>
      </c>
      <c r="Q245" s="69" t="s">
        <v>170</v>
      </c>
      <c r="R245" s="69"/>
      <c r="S245" s="69"/>
    </row>
    <row r="246" s="2" customFormat="1" ht="24.95" customHeight="1" spans="1:19">
      <c r="A246" s="15"/>
      <c r="B246" s="55"/>
      <c r="C246" s="56"/>
      <c r="D246" s="68">
        <v>45852</v>
      </c>
      <c r="E246" s="69"/>
      <c r="F246" s="69" t="s">
        <v>26</v>
      </c>
      <c r="G246" s="65" t="s">
        <v>27</v>
      </c>
      <c r="H246" s="65" t="s">
        <v>83</v>
      </c>
      <c r="I246" s="70" t="s">
        <v>171</v>
      </c>
      <c r="J246" s="71"/>
      <c r="K246" s="71">
        <v>3685.18</v>
      </c>
      <c r="L246" s="72">
        <f>IFERROR(IF(G246="","",VLOOKUP($G246,[1]基础信息!$B:$C,2,FALSE)+SUMIF(G$8:G246,G246,J$8:J246)-SUMIF(G$8:G246,G246,K$8:K246)+SUMIFS([1]内部转账!$G:$G,[1]内部转账!$C:$C,"&lt;="&amp;$D246,[1]内部转账!$E:$E,$G246)-SUMIFS([1]内部转账!$G:$G,[1]内部转账!$C:$C,"&lt;="&amp;$D246,[1]内部转账!$F:$F,$G246)),"")</f>
        <v>72734.9100000001</v>
      </c>
      <c r="M246" s="64" t="s">
        <v>35</v>
      </c>
      <c r="N246" s="69"/>
      <c r="O246" s="64"/>
      <c r="P246" s="64"/>
      <c r="Q246" s="69"/>
      <c r="R246" s="69"/>
      <c r="S246" s="69"/>
    </row>
    <row r="247" s="2" customFormat="1" ht="24.95" customHeight="1" spans="1:19">
      <c r="A247" s="15"/>
      <c r="B247" s="55"/>
      <c r="C247" s="56"/>
      <c r="D247" s="68">
        <v>45854</v>
      </c>
      <c r="E247" s="69"/>
      <c r="F247" s="69" t="s">
        <v>26</v>
      </c>
      <c r="G247" s="65" t="s">
        <v>27</v>
      </c>
      <c r="H247" s="65" t="s">
        <v>46</v>
      </c>
      <c r="I247" s="70" t="s">
        <v>127</v>
      </c>
      <c r="J247" s="71"/>
      <c r="K247" s="71">
        <v>4000</v>
      </c>
      <c r="L247" s="72">
        <f>IFERROR(IF(G247="","",VLOOKUP($G247,[1]基础信息!$B:$C,2,FALSE)+SUMIF(G$8:G247,G247,J$8:J247)-SUMIF(G$8:G247,G247,K$8:K247)+SUMIFS([1]内部转账!$G:$G,[1]内部转账!$C:$C,"&lt;="&amp;$D247,[1]内部转账!$E:$E,$G247)-SUMIFS([1]内部转账!$G:$G,[1]内部转账!$C:$C,"&lt;="&amp;$D247,[1]内部转账!$F:$F,$G247)),"")</f>
        <v>68734.9100000001</v>
      </c>
      <c r="M247" s="64" t="s">
        <v>150</v>
      </c>
      <c r="N247" s="69"/>
      <c r="O247" s="64"/>
      <c r="P247" s="64"/>
      <c r="Q247" s="69"/>
      <c r="R247" s="69"/>
      <c r="S247" s="69"/>
    </row>
    <row r="248" s="2" customFormat="1" ht="24.95" customHeight="1" spans="1:19">
      <c r="A248" s="15"/>
      <c r="B248" s="55"/>
      <c r="C248" s="56"/>
      <c r="D248" s="68">
        <v>45854</v>
      </c>
      <c r="E248" s="69"/>
      <c r="F248" s="69" t="s">
        <v>26</v>
      </c>
      <c r="G248" s="65" t="s">
        <v>27</v>
      </c>
      <c r="H248" s="65" t="s">
        <v>46</v>
      </c>
      <c r="I248" s="70" t="s">
        <v>129</v>
      </c>
      <c r="J248" s="71"/>
      <c r="K248" s="71">
        <v>1500</v>
      </c>
      <c r="L248" s="72">
        <f>IFERROR(IF(G248="","",VLOOKUP($G248,[1]基础信息!$B:$C,2,FALSE)+SUMIF(G$8:G248,G248,J$8:J248)-SUMIF(G$8:G248,G248,K$8:K248)+SUMIFS([1]内部转账!$G:$G,[1]内部转账!$C:$C,"&lt;="&amp;$D248,[1]内部转账!$E:$E,$G248)-SUMIFS([1]内部转账!$G:$G,[1]内部转账!$C:$C,"&lt;="&amp;$D248,[1]内部转账!$F:$F,$G248)),"")</f>
        <v>67234.9100000001</v>
      </c>
      <c r="M248" s="64" t="s">
        <v>150</v>
      </c>
      <c r="N248" s="69"/>
      <c r="O248" s="64"/>
      <c r="P248" s="64"/>
      <c r="Q248" s="69"/>
      <c r="R248" s="69"/>
      <c r="S248" s="69"/>
    </row>
    <row r="249" s="2" customFormat="1" ht="24.95" customHeight="1" spans="1:19">
      <c r="A249" s="15"/>
      <c r="B249" s="55"/>
      <c r="C249" s="56"/>
      <c r="D249" s="68">
        <v>45854</v>
      </c>
      <c r="E249" s="69"/>
      <c r="F249" s="69" t="s">
        <v>26</v>
      </c>
      <c r="G249" s="65" t="s">
        <v>27</v>
      </c>
      <c r="H249" s="65" t="s">
        <v>46</v>
      </c>
      <c r="I249" s="70" t="s">
        <v>137</v>
      </c>
      <c r="J249" s="71"/>
      <c r="K249" s="71">
        <v>3500</v>
      </c>
      <c r="L249" s="72">
        <f>IFERROR(IF(G249="","",VLOOKUP($G249,[1]基础信息!$B:$C,2,FALSE)+SUMIF(G$8:G249,G249,J$8:J249)-SUMIF(G$8:G249,G249,K$8:K249)+SUMIFS([1]内部转账!$G:$G,[1]内部转账!$C:$C,"&lt;="&amp;$D249,[1]内部转账!$E:$E,$G249)-SUMIFS([1]内部转账!$G:$G,[1]内部转账!$C:$C,"&lt;="&amp;$D249,[1]内部转账!$F:$F,$G249)),"")</f>
        <v>63734.9100000001</v>
      </c>
      <c r="M249" s="64" t="s">
        <v>150</v>
      </c>
      <c r="N249" s="69"/>
      <c r="O249" s="64"/>
      <c r="P249" s="64"/>
      <c r="Q249" s="69"/>
      <c r="R249" s="69"/>
      <c r="S249" s="69"/>
    </row>
    <row r="250" s="2" customFormat="1" ht="24.95" customHeight="1" spans="1:19">
      <c r="A250" s="15"/>
      <c r="B250" s="55"/>
      <c r="C250" s="56"/>
      <c r="D250" s="68">
        <v>45854</v>
      </c>
      <c r="E250" s="69"/>
      <c r="F250" s="69" t="s">
        <v>26</v>
      </c>
      <c r="G250" s="65" t="s">
        <v>27</v>
      </c>
      <c r="H250" s="65" t="s">
        <v>46</v>
      </c>
      <c r="I250" s="70" t="s">
        <v>130</v>
      </c>
      <c r="J250" s="71"/>
      <c r="K250" s="71">
        <v>3500</v>
      </c>
      <c r="L250" s="72">
        <f>IFERROR(IF(G250="","",VLOOKUP($G250,[1]基础信息!$B:$C,2,FALSE)+SUMIF(G$8:G250,G250,J$8:J250)-SUMIF(G$8:G250,G250,K$8:K250)+SUMIFS([1]内部转账!$G:$G,[1]内部转账!$C:$C,"&lt;="&amp;$D250,[1]内部转账!$E:$E,$G250)-SUMIFS([1]内部转账!$G:$G,[1]内部转账!$C:$C,"&lt;="&amp;$D250,[1]内部转账!$F:$F,$G250)),"")</f>
        <v>60234.9100000001</v>
      </c>
      <c r="M250" s="64" t="s">
        <v>150</v>
      </c>
      <c r="N250" s="69"/>
      <c r="O250" s="64"/>
      <c r="P250" s="64"/>
      <c r="Q250" s="69"/>
      <c r="R250" s="69"/>
      <c r="S250" s="69"/>
    </row>
    <row r="251" s="2" customFormat="1" ht="24.95" customHeight="1" spans="1:19">
      <c r="A251" s="15"/>
      <c r="B251" s="55"/>
      <c r="C251" s="56"/>
      <c r="D251" s="68">
        <v>45854</v>
      </c>
      <c r="E251" s="69"/>
      <c r="F251" s="69" t="s">
        <v>26</v>
      </c>
      <c r="G251" s="65" t="s">
        <v>27</v>
      </c>
      <c r="H251" s="65" t="s">
        <v>46</v>
      </c>
      <c r="I251" s="70" t="s">
        <v>131</v>
      </c>
      <c r="J251" s="71"/>
      <c r="K251" s="71">
        <v>4000</v>
      </c>
      <c r="L251" s="72">
        <f>IFERROR(IF(G251="","",VLOOKUP($G251,[1]基础信息!$B:$C,2,FALSE)+SUMIF(G$8:G251,G251,J$8:J251)-SUMIF(G$8:G251,G251,K$8:K251)+SUMIFS([1]内部转账!$G:$G,[1]内部转账!$C:$C,"&lt;="&amp;$D251,[1]内部转账!$E:$E,$G251)-SUMIFS([1]内部转账!$G:$G,[1]内部转账!$C:$C,"&lt;="&amp;$D251,[1]内部转账!$F:$F,$G251)),"")</f>
        <v>56234.9100000001</v>
      </c>
      <c r="M251" s="64" t="s">
        <v>150</v>
      </c>
      <c r="N251" s="69"/>
      <c r="O251" s="64"/>
      <c r="P251" s="64"/>
      <c r="Q251" s="69"/>
      <c r="R251" s="69"/>
      <c r="S251" s="69"/>
    </row>
    <row r="252" s="2" customFormat="1" ht="24.95" customHeight="1" spans="1:19">
      <c r="A252" s="15"/>
      <c r="B252" s="55"/>
      <c r="C252" s="56"/>
      <c r="D252" s="68">
        <v>45854</v>
      </c>
      <c r="E252" s="69"/>
      <c r="F252" s="69" t="s">
        <v>26</v>
      </c>
      <c r="G252" s="65" t="s">
        <v>27</v>
      </c>
      <c r="H252" s="65" t="s">
        <v>46</v>
      </c>
      <c r="I252" s="70" t="s">
        <v>132</v>
      </c>
      <c r="J252" s="71"/>
      <c r="K252" s="71">
        <v>3500</v>
      </c>
      <c r="L252" s="72">
        <f>IFERROR(IF(G252="","",VLOOKUP($G252,[1]基础信息!$B:$C,2,FALSE)+SUMIF(G$8:G252,G252,J$8:J252)-SUMIF(G$8:G252,G252,K$8:K252)+SUMIFS([1]内部转账!$G:$G,[1]内部转账!$C:$C,"&lt;="&amp;$D252,[1]内部转账!$E:$E,$G252)-SUMIFS([1]内部转账!$G:$G,[1]内部转账!$C:$C,"&lt;="&amp;$D252,[1]内部转账!$F:$F,$G252)),"")</f>
        <v>52734.9100000001</v>
      </c>
      <c r="M252" s="64" t="s">
        <v>150</v>
      </c>
      <c r="N252" s="69"/>
      <c r="O252" s="64"/>
      <c r="P252" s="64"/>
      <c r="Q252" s="69"/>
      <c r="R252" s="69"/>
      <c r="S252" s="69"/>
    </row>
    <row r="253" s="2" customFormat="1" ht="24.95" customHeight="1" spans="1:19">
      <c r="A253" s="15"/>
      <c r="B253" s="55"/>
      <c r="C253" s="56"/>
      <c r="D253" s="68">
        <v>45854</v>
      </c>
      <c r="E253" s="69"/>
      <c r="F253" s="69" t="s">
        <v>26</v>
      </c>
      <c r="G253" s="65" t="s">
        <v>27</v>
      </c>
      <c r="H253" s="65" t="s">
        <v>46</v>
      </c>
      <c r="I253" s="70" t="s">
        <v>134</v>
      </c>
      <c r="J253" s="71"/>
      <c r="K253" s="71">
        <v>3500</v>
      </c>
      <c r="L253" s="72">
        <f>IFERROR(IF(G253="","",VLOOKUP($G253,[1]基础信息!$B:$C,2,FALSE)+SUMIF(G$8:G253,G253,J$8:J253)-SUMIF(G$8:G253,G253,K$8:K253)+SUMIFS([1]内部转账!$G:$G,[1]内部转账!$C:$C,"&lt;="&amp;$D253,[1]内部转账!$E:$E,$G253)-SUMIFS([1]内部转账!$G:$G,[1]内部转账!$C:$C,"&lt;="&amp;$D253,[1]内部转账!$F:$F,$G253)),"")</f>
        <v>49234.9100000001</v>
      </c>
      <c r="M253" s="64" t="s">
        <v>150</v>
      </c>
      <c r="N253" s="69"/>
      <c r="O253" s="64"/>
      <c r="P253" s="64"/>
      <c r="Q253" s="69"/>
      <c r="R253" s="69"/>
      <c r="S253" s="69"/>
    </row>
    <row r="254" s="2" customFormat="1" ht="24.95" customHeight="1" spans="1:19">
      <c r="A254" s="15"/>
      <c r="B254" s="55"/>
      <c r="C254" s="56"/>
      <c r="D254" s="68">
        <v>45854</v>
      </c>
      <c r="E254" s="69"/>
      <c r="F254" s="69" t="s">
        <v>26</v>
      </c>
      <c r="G254" s="65" t="s">
        <v>27</v>
      </c>
      <c r="H254" s="65" t="s">
        <v>46</v>
      </c>
      <c r="I254" s="70" t="s">
        <v>156</v>
      </c>
      <c r="J254" s="71"/>
      <c r="K254" s="71">
        <v>800</v>
      </c>
      <c r="L254" s="72">
        <f>IFERROR(IF(G254="","",VLOOKUP($G254,[1]基础信息!$B:$C,2,FALSE)+SUMIF(G$8:G254,G254,J$8:J254)-SUMIF(G$8:G254,G254,K$8:K254)+SUMIFS([1]内部转账!$G:$G,[1]内部转账!$C:$C,"&lt;="&amp;$D254,[1]内部转账!$E:$E,$G254)-SUMIFS([1]内部转账!$G:$G,[1]内部转账!$C:$C,"&lt;="&amp;$D254,[1]内部转账!$F:$F,$G254)),"")</f>
        <v>48434.9100000001</v>
      </c>
      <c r="M254" s="64" t="s">
        <v>150</v>
      </c>
      <c r="N254" s="69"/>
      <c r="O254" s="64"/>
      <c r="P254" s="64"/>
      <c r="Q254" s="69"/>
      <c r="R254" s="69"/>
      <c r="S254" s="69"/>
    </row>
    <row r="255" s="2" customFormat="1" ht="24.95" customHeight="1" spans="1:19">
      <c r="A255" s="15"/>
      <c r="B255" s="55"/>
      <c r="C255" s="56"/>
      <c r="D255" s="68">
        <v>45854</v>
      </c>
      <c r="E255" s="69"/>
      <c r="F255" s="69" t="s">
        <v>26</v>
      </c>
      <c r="G255" s="65" t="s">
        <v>27</v>
      </c>
      <c r="H255" s="65" t="s">
        <v>53</v>
      </c>
      <c r="I255" s="70" t="s">
        <v>157</v>
      </c>
      <c r="J255" s="71"/>
      <c r="K255" s="71">
        <v>5000</v>
      </c>
      <c r="L255" s="72">
        <f>IFERROR(IF(G255="","",VLOOKUP($G255,[1]基础信息!$B:$C,2,FALSE)+SUMIF(G$8:G255,G255,J$8:J255)-SUMIF(G$8:G255,G255,K$8:K255)+SUMIFS([1]内部转账!$G:$G,[1]内部转账!$C:$C,"&lt;="&amp;$D255,[1]内部转账!$E:$E,$G255)-SUMIFS([1]内部转账!$G:$G,[1]内部转账!$C:$C,"&lt;="&amp;$D255,[1]内部转账!$F:$F,$G255)),"")</f>
        <v>43434.9100000001</v>
      </c>
      <c r="M255" s="64" t="s">
        <v>35</v>
      </c>
      <c r="N255" s="69" t="s">
        <v>157</v>
      </c>
      <c r="O255" s="64"/>
      <c r="P255" s="64" t="s">
        <v>150</v>
      </c>
      <c r="Q255" s="69"/>
      <c r="R255" s="69"/>
      <c r="S255" s="69"/>
    </row>
    <row r="256" s="2" customFormat="1" ht="24.95" customHeight="1" spans="1:19">
      <c r="A256" s="15"/>
      <c r="B256" s="55"/>
      <c r="C256" s="56"/>
      <c r="D256" s="68">
        <v>45854</v>
      </c>
      <c r="E256" s="69"/>
      <c r="F256" s="69" t="s">
        <v>26</v>
      </c>
      <c r="G256" s="65" t="s">
        <v>27</v>
      </c>
      <c r="H256" s="65" t="s">
        <v>46</v>
      </c>
      <c r="I256" s="70" t="s">
        <v>74</v>
      </c>
      <c r="J256" s="71"/>
      <c r="K256" s="71">
        <v>1500</v>
      </c>
      <c r="L256" s="72">
        <f>IFERROR(IF(G256="","",VLOOKUP($G256,[1]基础信息!$B:$C,2,FALSE)+SUMIF(G$8:G256,G256,J$8:J256)-SUMIF(G$8:G256,G256,K$8:K256)+SUMIFS([1]内部转账!$G:$G,[1]内部转账!$C:$C,"&lt;="&amp;$D256,[1]内部转账!$E:$E,$G256)-SUMIFS([1]内部转账!$G:$G,[1]内部转账!$C:$C,"&lt;="&amp;$D256,[1]内部转账!$F:$F,$G256)),"")</f>
        <v>41934.9100000001</v>
      </c>
      <c r="M256" s="64" t="s">
        <v>150</v>
      </c>
      <c r="N256" s="69"/>
      <c r="O256" s="64"/>
      <c r="P256" s="64"/>
      <c r="Q256" s="69"/>
      <c r="R256" s="69"/>
      <c r="S256" s="69"/>
    </row>
    <row r="257" s="2" customFormat="1" ht="24.95" customHeight="1" spans="1:19">
      <c r="A257" s="15"/>
      <c r="B257" s="55"/>
      <c r="C257" s="56"/>
      <c r="D257" s="68">
        <v>45854</v>
      </c>
      <c r="E257" s="69"/>
      <c r="F257" s="69" t="s">
        <v>26</v>
      </c>
      <c r="G257" s="65" t="s">
        <v>27</v>
      </c>
      <c r="H257" s="65" t="s">
        <v>46</v>
      </c>
      <c r="I257" s="70" t="s">
        <v>74</v>
      </c>
      <c r="J257" s="71"/>
      <c r="K257" s="71">
        <v>-1500</v>
      </c>
      <c r="L257" s="72">
        <f>IFERROR(IF(G257="","",VLOOKUP($G257,[1]基础信息!$B:$C,2,FALSE)+SUMIF(G$8:G257,G257,J$8:J257)-SUMIF(G$8:G257,G257,K$8:K257)+SUMIFS([1]内部转账!$G:$G,[1]内部转账!$C:$C,"&lt;="&amp;$D257,[1]内部转账!$E:$E,$G257)-SUMIFS([1]内部转账!$G:$G,[1]内部转账!$C:$C,"&lt;="&amp;$D257,[1]内部转账!$F:$F,$G257)),"")</f>
        <v>43434.9100000001</v>
      </c>
      <c r="M257" s="64" t="s">
        <v>150</v>
      </c>
      <c r="N257" s="69"/>
      <c r="O257" s="64"/>
      <c r="P257" s="64"/>
      <c r="Q257" s="69"/>
      <c r="R257" s="69"/>
      <c r="S257" s="69"/>
    </row>
    <row r="258" s="2" customFormat="1" ht="24.95" customHeight="1" spans="1:19">
      <c r="A258" s="15"/>
      <c r="B258" s="55"/>
      <c r="C258" s="56"/>
      <c r="D258" s="68">
        <v>45854</v>
      </c>
      <c r="E258" s="69"/>
      <c r="F258" s="69" t="s">
        <v>26</v>
      </c>
      <c r="G258" s="65" t="s">
        <v>27</v>
      </c>
      <c r="H258" s="65" t="s">
        <v>46</v>
      </c>
      <c r="I258" s="70" t="s">
        <v>74</v>
      </c>
      <c r="J258" s="71"/>
      <c r="K258" s="71">
        <v>1500</v>
      </c>
      <c r="L258" s="72">
        <f>IFERROR(IF(G258="","",VLOOKUP($G258,[1]基础信息!$B:$C,2,FALSE)+SUMIF(G$8:G258,G258,J$8:J258)-SUMIF(G$8:G258,G258,K$8:K258)+SUMIFS([1]内部转账!$G:$G,[1]内部转账!$C:$C,"&lt;="&amp;$D258,[1]内部转账!$E:$E,$G258)-SUMIFS([1]内部转账!$G:$G,[1]内部转账!$C:$C,"&lt;="&amp;$D258,[1]内部转账!$F:$F,$G258)),"")</f>
        <v>41934.9100000001</v>
      </c>
      <c r="M258" s="64" t="s">
        <v>150</v>
      </c>
      <c r="N258" s="69"/>
      <c r="O258" s="64"/>
      <c r="P258" s="64"/>
      <c r="Q258" s="69"/>
      <c r="R258" s="69"/>
      <c r="S258" s="69"/>
    </row>
    <row r="259" s="2" customFormat="1" ht="24.95" customHeight="1" spans="1:19">
      <c r="A259" s="15"/>
      <c r="B259" s="55"/>
      <c r="C259" s="56"/>
      <c r="D259" s="68">
        <v>45855</v>
      </c>
      <c r="E259" s="69"/>
      <c r="F259" s="69" t="s">
        <v>26</v>
      </c>
      <c r="G259" s="65" t="s">
        <v>27</v>
      </c>
      <c r="H259" s="65" t="s">
        <v>33</v>
      </c>
      <c r="I259" s="70" t="s">
        <v>172</v>
      </c>
      <c r="J259" s="71"/>
      <c r="K259" s="71">
        <v>22854</v>
      </c>
      <c r="L259" s="72">
        <f>IFERROR(IF(G259="","",VLOOKUP($G259,[1]基础信息!$B:$C,2,FALSE)+SUMIF(G$8:G259,G259,J$8:J259)-SUMIF(G$8:G259,G259,K$8:K259)+SUMIFS([1]内部转账!$G:$G,[1]内部转账!$C:$C,"&lt;="&amp;$D259,[1]内部转账!$E:$E,$G259)-SUMIFS([1]内部转账!$G:$G,[1]内部转账!$C:$C,"&lt;="&amp;$D259,[1]内部转账!$F:$F,$G259)),"")</f>
        <v>19080.9100000001</v>
      </c>
      <c r="M259" s="64" t="s">
        <v>35</v>
      </c>
      <c r="N259" s="69"/>
      <c r="O259" s="64" t="s">
        <v>128</v>
      </c>
      <c r="P259" s="64" t="s">
        <v>55</v>
      </c>
      <c r="Q259" s="69"/>
      <c r="R259" s="69"/>
      <c r="S259" s="69"/>
    </row>
    <row r="260" s="2" customFormat="1" ht="24.95" customHeight="1" spans="1:19">
      <c r="A260" s="15"/>
      <c r="B260" s="55"/>
      <c r="C260" s="56"/>
      <c r="D260" s="68">
        <v>45855</v>
      </c>
      <c r="E260" s="69"/>
      <c r="F260" s="69" t="s">
        <v>26</v>
      </c>
      <c r="G260" s="65" t="s">
        <v>27</v>
      </c>
      <c r="H260" s="65" t="s">
        <v>46</v>
      </c>
      <c r="I260" s="70" t="s">
        <v>75</v>
      </c>
      <c r="J260" s="71"/>
      <c r="K260" s="71">
        <v>1500</v>
      </c>
      <c r="L260" s="72">
        <f>IFERROR(IF(G260="","",VLOOKUP($G260,[1]基础信息!$B:$C,2,FALSE)+SUMIF(G$8:G260,G260,J$8:J260)-SUMIF(G$8:G260,G260,K$8:K260)+SUMIFS([1]内部转账!$G:$G,[1]内部转账!$C:$C,"&lt;="&amp;$D260,[1]内部转账!$E:$E,$G260)-SUMIFS([1]内部转账!$G:$G,[1]内部转账!$C:$C,"&lt;="&amp;$D260,[1]内部转账!$F:$F,$G260)),"")</f>
        <v>17580.9100000001</v>
      </c>
      <c r="M260" s="64" t="s">
        <v>150</v>
      </c>
      <c r="N260" s="69"/>
      <c r="O260" s="64"/>
      <c r="P260" s="64"/>
      <c r="Q260" s="69"/>
      <c r="R260" s="69"/>
      <c r="S260" s="69"/>
    </row>
    <row r="261" s="2" customFormat="1" ht="24.95" customHeight="1" spans="1:19">
      <c r="A261" s="15"/>
      <c r="B261" s="55"/>
      <c r="C261" s="56"/>
      <c r="D261" s="68">
        <v>45855</v>
      </c>
      <c r="E261" s="69"/>
      <c r="F261" s="69" t="s">
        <v>26</v>
      </c>
      <c r="G261" s="65" t="s">
        <v>27</v>
      </c>
      <c r="H261" s="65" t="s">
        <v>138</v>
      </c>
      <c r="I261" s="70" t="s">
        <v>173</v>
      </c>
      <c r="J261" s="71"/>
      <c r="K261" s="71">
        <v>6300</v>
      </c>
      <c r="L261" s="72">
        <f>IFERROR(IF(G261="","",VLOOKUP($G261,[1]基础信息!$B:$C,2,FALSE)+SUMIF(G$8:G261,G261,J$8:J261)-SUMIF(G$8:G261,G261,K$8:K261)+SUMIFS([1]内部转账!$G:$G,[1]内部转账!$C:$C,"&lt;="&amp;$D261,[1]内部转账!$E:$E,$G261)-SUMIFS([1]内部转账!$G:$G,[1]内部转账!$C:$C,"&lt;="&amp;$D261,[1]内部转账!$F:$F,$G261)),"")</f>
        <v>11280.9100000001</v>
      </c>
      <c r="M261" s="64" t="s">
        <v>174</v>
      </c>
      <c r="N261" s="69"/>
      <c r="O261" s="64"/>
      <c r="P261" s="64"/>
      <c r="Q261" s="69"/>
      <c r="R261" s="69"/>
      <c r="S261" s="69"/>
    </row>
    <row r="262" s="2" customFormat="1" ht="24.95" customHeight="1" spans="1:19">
      <c r="A262" s="15"/>
      <c r="B262" s="55"/>
      <c r="C262" s="56"/>
      <c r="D262" s="68">
        <v>45862</v>
      </c>
      <c r="E262" s="69"/>
      <c r="F262" s="69" t="s">
        <v>26</v>
      </c>
      <c r="G262" s="65" t="s">
        <v>27</v>
      </c>
      <c r="H262" s="65" t="s">
        <v>28</v>
      </c>
      <c r="I262" s="70" t="s">
        <v>29</v>
      </c>
      <c r="J262" s="71"/>
      <c r="K262" s="71">
        <v>-100000</v>
      </c>
      <c r="L262" s="72">
        <f>IFERROR(IF(G262="","",VLOOKUP($G262,[1]基础信息!$B:$C,2,FALSE)+SUMIF(G$8:G262,G262,J$8:J262)-SUMIF(G$8:G262,G262,K$8:K262)+SUMIFS([1]内部转账!$G:$G,[1]内部转账!$C:$C,"&lt;="&amp;$D262,[1]内部转账!$E:$E,$G262)-SUMIFS([1]内部转账!$G:$G,[1]内部转账!$C:$C,"&lt;="&amp;$D262,[1]内部转账!$F:$F,$G262)),"")</f>
        <v>111280.91</v>
      </c>
      <c r="M262" s="64" t="s">
        <v>30</v>
      </c>
      <c r="N262" s="58" t="s">
        <v>31</v>
      </c>
      <c r="O262" s="64"/>
      <c r="P262" s="64" t="s">
        <v>31</v>
      </c>
      <c r="Q262" s="69"/>
      <c r="R262" s="69"/>
      <c r="S262" s="69"/>
    </row>
    <row r="263" s="2" customFormat="1" ht="24.95" customHeight="1" spans="1:19">
      <c r="A263" s="15"/>
      <c r="B263" s="55"/>
      <c r="C263" s="56"/>
      <c r="D263" s="68">
        <v>45862</v>
      </c>
      <c r="E263" s="69"/>
      <c r="F263" s="69" t="s">
        <v>26</v>
      </c>
      <c r="G263" s="65" t="s">
        <v>27</v>
      </c>
      <c r="H263" s="65" t="s">
        <v>62</v>
      </c>
      <c r="I263" s="70" t="s">
        <v>175</v>
      </c>
      <c r="J263" s="71"/>
      <c r="K263" s="71">
        <v>49997.52</v>
      </c>
      <c r="L263" s="72">
        <f>IFERROR(IF(G263="","",VLOOKUP($G263,[1]基础信息!$B:$C,2,FALSE)+SUMIF(G$8:G263,G263,J$8:J263)-SUMIF(G$8:G263,G263,K$8:K263)+SUMIFS([1]内部转账!$G:$G,[1]内部转账!$C:$C,"&lt;="&amp;$D263,[1]内部转账!$E:$E,$G263)-SUMIFS([1]内部转账!$G:$G,[1]内部转账!$C:$C,"&lt;="&amp;$D263,[1]内部转账!$F:$F,$G263)),"")</f>
        <v>61283.3900000001</v>
      </c>
      <c r="M263" s="64" t="s">
        <v>150</v>
      </c>
      <c r="N263" s="69"/>
      <c r="O263" s="64"/>
      <c r="P263" s="64" t="s">
        <v>176</v>
      </c>
      <c r="Q263" s="69"/>
      <c r="R263" s="69"/>
      <c r="S263" s="69"/>
    </row>
    <row r="264" s="2" customFormat="1" ht="24.95" customHeight="1" spans="1:19">
      <c r="A264" s="15"/>
      <c r="B264" s="55"/>
      <c r="C264" s="56"/>
      <c r="D264" s="68">
        <v>45862</v>
      </c>
      <c r="E264" s="69"/>
      <c r="F264" s="69" t="s">
        <v>26</v>
      </c>
      <c r="G264" s="65" t="s">
        <v>27</v>
      </c>
      <c r="H264" s="65" t="s">
        <v>62</v>
      </c>
      <c r="I264" s="70" t="s">
        <v>175</v>
      </c>
      <c r="J264" s="71"/>
      <c r="K264" s="71">
        <v>-49997.52</v>
      </c>
      <c r="L264" s="72">
        <f>IFERROR(IF(G264="","",VLOOKUP($G264,[1]基础信息!$B:$C,2,FALSE)+SUMIF(G$8:G264,G264,J$8:J264)-SUMIF(G$8:G264,G264,K$8:K264)+SUMIFS([1]内部转账!$G:$G,[1]内部转账!$C:$C,"&lt;="&amp;$D264,[1]内部转账!$E:$E,$G264)-SUMIFS([1]内部转账!$G:$G,[1]内部转账!$C:$C,"&lt;="&amp;$D264,[1]内部转账!$F:$F,$G264)),"")</f>
        <v>111280.91</v>
      </c>
      <c r="M264" s="64" t="s">
        <v>150</v>
      </c>
      <c r="N264" s="69"/>
      <c r="O264" s="64"/>
      <c r="P264" s="64" t="s">
        <v>176</v>
      </c>
      <c r="Q264" s="69"/>
      <c r="R264" s="69"/>
      <c r="S264" s="69"/>
    </row>
    <row r="265" s="2" customFormat="1" ht="24.95" customHeight="1" spans="1:19">
      <c r="A265" s="15"/>
      <c r="B265" s="55"/>
      <c r="C265" s="56"/>
      <c r="D265" s="68">
        <v>45862</v>
      </c>
      <c r="E265" s="69"/>
      <c r="F265" s="69" t="s">
        <v>26</v>
      </c>
      <c r="G265" s="65" t="s">
        <v>27</v>
      </c>
      <c r="H265" s="65" t="s">
        <v>62</v>
      </c>
      <c r="I265" s="70" t="s">
        <v>175</v>
      </c>
      <c r="J265" s="71"/>
      <c r="K265" s="71">
        <v>49997.52</v>
      </c>
      <c r="L265" s="72">
        <f>IFERROR(IF(G265="","",VLOOKUP($G265,[1]基础信息!$B:$C,2,FALSE)+SUMIF(G$8:G265,G265,J$8:J265)-SUMIF(G$8:G265,G265,K$8:K265)+SUMIFS([1]内部转账!$G:$G,[1]内部转账!$C:$C,"&lt;="&amp;$D265,[1]内部转账!$E:$E,$G265)-SUMIFS([1]内部转账!$G:$G,[1]内部转账!$C:$C,"&lt;="&amp;$D265,[1]内部转账!$F:$F,$G265)),"")</f>
        <v>61283.3900000001</v>
      </c>
      <c r="M265" s="64" t="s">
        <v>150</v>
      </c>
      <c r="N265" s="69"/>
      <c r="O265" s="64"/>
      <c r="P265" s="64" t="s">
        <v>176</v>
      </c>
      <c r="Q265" s="69"/>
      <c r="R265" s="69"/>
      <c r="S265" s="69"/>
    </row>
    <row r="266" s="2" customFormat="1" ht="24.95" customHeight="1" spans="1:19">
      <c r="A266" s="15"/>
      <c r="B266" s="55"/>
      <c r="C266" s="56"/>
      <c r="D266" s="68">
        <v>45862</v>
      </c>
      <c r="E266" s="69"/>
      <c r="F266" s="69" t="s">
        <v>26</v>
      </c>
      <c r="G266" s="65" t="s">
        <v>27</v>
      </c>
      <c r="H266" s="65" t="s">
        <v>62</v>
      </c>
      <c r="I266" s="70" t="s">
        <v>175</v>
      </c>
      <c r="J266" s="71"/>
      <c r="K266" s="71">
        <v>-49997.52</v>
      </c>
      <c r="L266" s="72">
        <f>IFERROR(IF(G266="","",VLOOKUP($G266,[1]基础信息!$B:$C,2,FALSE)+SUMIF(G$8:G266,G266,J$8:J266)-SUMIF(G$8:G266,G266,K$8:K266)+SUMIFS([1]内部转账!$G:$G,[1]内部转账!$C:$C,"&lt;="&amp;$D266,[1]内部转账!$E:$E,$G266)-SUMIFS([1]内部转账!$G:$G,[1]内部转账!$C:$C,"&lt;="&amp;$D266,[1]内部转账!$F:$F,$G266)),"")</f>
        <v>111280.91</v>
      </c>
      <c r="M266" s="64" t="s">
        <v>150</v>
      </c>
      <c r="N266" s="69"/>
      <c r="O266" s="64"/>
      <c r="P266" s="64" t="s">
        <v>176</v>
      </c>
      <c r="Q266" s="69"/>
      <c r="R266" s="69"/>
      <c r="S266" s="69"/>
    </row>
    <row r="267" s="2" customFormat="1" ht="24.95" customHeight="1" spans="1:19">
      <c r="A267" s="15"/>
      <c r="B267" s="55"/>
      <c r="C267" s="56"/>
      <c r="D267" s="68">
        <v>45862</v>
      </c>
      <c r="E267" s="69"/>
      <c r="F267" s="69" t="s">
        <v>26</v>
      </c>
      <c r="G267" s="65" t="s">
        <v>27</v>
      </c>
      <c r="H267" s="65" t="s">
        <v>62</v>
      </c>
      <c r="I267" s="70" t="s">
        <v>175</v>
      </c>
      <c r="J267" s="71"/>
      <c r="K267" s="71">
        <v>49997.52</v>
      </c>
      <c r="L267" s="72">
        <f>IFERROR(IF(G267="","",VLOOKUP($G267,[1]基础信息!$B:$C,2,FALSE)+SUMIF(G$8:G267,G267,J$8:J267)-SUMIF(G$8:G267,G267,K$8:K267)+SUMIFS([1]内部转账!$G:$G,[1]内部转账!$C:$C,"&lt;="&amp;$D267,[1]内部转账!$E:$E,$G267)-SUMIFS([1]内部转账!$G:$G,[1]内部转账!$C:$C,"&lt;="&amp;$D267,[1]内部转账!$F:$F,$G267)),"")</f>
        <v>61283.3900000001</v>
      </c>
      <c r="M267" s="64" t="s">
        <v>150</v>
      </c>
      <c r="N267" s="69"/>
      <c r="O267" s="64"/>
      <c r="P267" s="64" t="s">
        <v>176</v>
      </c>
      <c r="Q267" s="69"/>
      <c r="R267" s="69"/>
      <c r="S267" s="69"/>
    </row>
    <row r="268" s="2" customFormat="1" ht="24.95" customHeight="1" spans="1:19">
      <c r="A268" s="15"/>
      <c r="B268" s="55"/>
      <c r="C268" s="56"/>
      <c r="D268" s="68">
        <v>45863</v>
      </c>
      <c r="E268" s="69"/>
      <c r="F268" s="69" t="s">
        <v>26</v>
      </c>
      <c r="G268" s="65" t="s">
        <v>27</v>
      </c>
      <c r="H268" s="65" t="s">
        <v>62</v>
      </c>
      <c r="I268" s="70" t="s">
        <v>163</v>
      </c>
      <c r="J268" s="71"/>
      <c r="K268" s="71">
        <v>45466.47</v>
      </c>
      <c r="L268" s="72">
        <f>IFERROR(IF(G268="","",VLOOKUP($G268,[1]基础信息!$B:$C,2,FALSE)+SUMIF(G$8:G268,G268,J$8:J268)-SUMIF(G$8:G268,G268,K$8:K268)+SUMIFS([1]内部转账!$G:$G,[1]内部转账!$C:$C,"&lt;="&amp;$D268,[1]内部转账!$E:$E,$G268)-SUMIFS([1]内部转账!$G:$G,[1]内部转账!$C:$C,"&lt;="&amp;$D268,[1]内部转账!$F:$F,$G268)),"")</f>
        <v>15816.9200000002</v>
      </c>
      <c r="M268" s="64" t="s">
        <v>150</v>
      </c>
      <c r="N268" s="69"/>
      <c r="O268" s="64"/>
      <c r="P268" s="64" t="s">
        <v>164</v>
      </c>
      <c r="Q268" s="69"/>
      <c r="R268" s="69"/>
      <c r="S268" s="69"/>
    </row>
    <row r="269" s="2" customFormat="1" ht="24.95" customHeight="1" spans="1:19">
      <c r="A269" s="15"/>
      <c r="B269" s="55"/>
      <c r="C269" s="56"/>
      <c r="D269" s="68">
        <v>45866</v>
      </c>
      <c r="E269" s="69"/>
      <c r="F269" s="69" t="s">
        <v>26</v>
      </c>
      <c r="G269" s="65" t="s">
        <v>27</v>
      </c>
      <c r="H269" s="65" t="s">
        <v>33</v>
      </c>
      <c r="I269" s="70" t="s">
        <v>172</v>
      </c>
      <c r="J269" s="71"/>
      <c r="K269" s="71">
        <v>5115.06</v>
      </c>
      <c r="L269" s="72">
        <f>IFERROR(IF(G269="","",VLOOKUP($G269,[1]基础信息!$B:$C,2,FALSE)+SUMIF(G$8:G269,G269,J$8:J269)-SUMIF(G$8:G269,G269,K$8:K269)+SUMIFS([1]内部转账!$G:$G,[1]内部转账!$C:$C,"&lt;="&amp;$D269,[1]内部转账!$E:$E,$G269)-SUMIFS([1]内部转账!$G:$G,[1]内部转账!$C:$C,"&lt;="&amp;$D269,[1]内部转账!$F:$F,$G269)),"")</f>
        <v>10701.8600000001</v>
      </c>
      <c r="M269" s="64" t="s">
        <v>35</v>
      </c>
      <c r="N269" s="69"/>
      <c r="O269" s="64" t="s">
        <v>128</v>
      </c>
      <c r="P269" s="64" t="s">
        <v>55</v>
      </c>
      <c r="Q269" s="69"/>
      <c r="R269" s="69"/>
      <c r="S269" s="69"/>
    </row>
    <row r="270" s="2" customFormat="1" ht="24.95" customHeight="1" spans="1:19">
      <c r="A270" s="15"/>
      <c r="B270" s="55"/>
      <c r="C270" s="56"/>
      <c r="D270" s="68">
        <v>45867</v>
      </c>
      <c r="E270" s="69"/>
      <c r="F270" s="69" t="s">
        <v>26</v>
      </c>
      <c r="G270" s="65" t="s">
        <v>27</v>
      </c>
      <c r="H270" s="65" t="s">
        <v>28</v>
      </c>
      <c r="I270" s="70" t="s">
        <v>29</v>
      </c>
      <c r="J270" s="71"/>
      <c r="K270" s="71">
        <v>-30000</v>
      </c>
      <c r="L270" s="72">
        <f>IFERROR(IF(G270="","",VLOOKUP($G270,[1]基础信息!$B:$C,2,FALSE)+SUMIF(G$8:G270,G270,J$8:J270)-SUMIF(G$8:G270,G270,K$8:K270)+SUMIFS([1]内部转账!$G:$G,[1]内部转账!$C:$C,"&lt;="&amp;$D270,[1]内部转账!$E:$E,$G270)-SUMIFS([1]内部转账!$G:$G,[1]内部转账!$C:$C,"&lt;="&amp;$D270,[1]内部转账!$F:$F,$G270)),"")</f>
        <v>40701.8600000001</v>
      </c>
      <c r="M270" s="64" t="s">
        <v>30</v>
      </c>
      <c r="N270" s="58" t="s">
        <v>31</v>
      </c>
      <c r="O270" s="64"/>
      <c r="P270" s="64" t="s">
        <v>31</v>
      </c>
      <c r="Q270" s="69"/>
      <c r="R270" s="69"/>
      <c r="S270" s="69"/>
    </row>
    <row r="271" s="2" customFormat="1" ht="24.95" customHeight="1" spans="1:19">
      <c r="A271" s="15"/>
      <c r="B271" s="55"/>
      <c r="C271" s="56"/>
      <c r="D271" s="68">
        <v>45867</v>
      </c>
      <c r="E271" s="69"/>
      <c r="F271" s="69" t="s">
        <v>26</v>
      </c>
      <c r="G271" s="65" t="s">
        <v>27</v>
      </c>
      <c r="H271" s="65" t="s">
        <v>62</v>
      </c>
      <c r="I271" s="70" t="s">
        <v>177</v>
      </c>
      <c r="J271" s="71"/>
      <c r="K271" s="71">
        <v>11776</v>
      </c>
      <c r="L271" s="72">
        <f>IFERROR(IF(G271="","",VLOOKUP($G271,[1]基础信息!$B:$C,2,FALSE)+SUMIF(G$8:G271,G271,J$8:J271)-SUMIF(G$8:G271,G271,K$8:K271)+SUMIFS([1]内部转账!$G:$G,[1]内部转账!$C:$C,"&lt;="&amp;$D271,[1]内部转账!$E:$E,$G271)-SUMIFS([1]内部转账!$G:$G,[1]内部转账!$C:$C,"&lt;="&amp;$D271,[1]内部转账!$F:$F,$G271)),"")</f>
        <v>28925.8600000001</v>
      </c>
      <c r="M271" s="64" t="s">
        <v>150</v>
      </c>
      <c r="N271" s="69"/>
      <c r="O271" s="64"/>
      <c r="P271" s="64" t="s">
        <v>178</v>
      </c>
      <c r="Q271" s="69"/>
      <c r="R271" s="69"/>
      <c r="S271" s="69"/>
    </row>
    <row r="272" s="2" customFormat="1" ht="24.95" customHeight="1" spans="1:19">
      <c r="A272" s="15"/>
      <c r="B272" s="55"/>
      <c r="C272" s="56"/>
      <c r="D272" s="68">
        <v>45885</v>
      </c>
      <c r="E272" s="69"/>
      <c r="F272" s="69" t="s">
        <v>26</v>
      </c>
      <c r="G272" s="65" t="s">
        <v>27</v>
      </c>
      <c r="H272" s="65" t="s">
        <v>46</v>
      </c>
      <c r="I272" s="70" t="s">
        <v>179</v>
      </c>
      <c r="J272" s="71"/>
      <c r="K272" s="71">
        <v>5000</v>
      </c>
      <c r="L272" s="72">
        <f>IFERROR(IF(G272="","",VLOOKUP($G272,[1]基础信息!$B:$C,2,FALSE)+SUMIF(G$8:G272,G272,J$8:J272)-SUMIF(G$8:G272,G272,K$8:K272)+SUMIFS([1]内部转账!$G:$G,[1]内部转账!$C:$C,"&lt;="&amp;$D272,[1]内部转账!$E:$E,$G272)-SUMIFS([1]内部转账!$G:$G,[1]内部转账!$C:$C,"&lt;="&amp;$D272,[1]内部转账!$F:$F,$G272)),"")</f>
        <v>23925.8600000001</v>
      </c>
      <c r="M272" s="64" t="s">
        <v>150</v>
      </c>
      <c r="N272" s="69"/>
      <c r="O272" s="64"/>
      <c r="P272" s="64"/>
      <c r="Q272" s="69"/>
      <c r="R272" s="69"/>
      <c r="S272" s="69"/>
    </row>
    <row r="273" s="2" customFormat="1" ht="24.95" customHeight="1" spans="1:19">
      <c r="A273" s="15"/>
      <c r="B273" s="55"/>
      <c r="C273" s="56"/>
      <c r="D273" s="68">
        <v>45888</v>
      </c>
      <c r="E273" s="69"/>
      <c r="F273" s="69" t="s">
        <v>26</v>
      </c>
      <c r="G273" s="65" t="s">
        <v>27</v>
      </c>
      <c r="H273" s="65" t="s">
        <v>46</v>
      </c>
      <c r="I273" s="70" t="s">
        <v>132</v>
      </c>
      <c r="J273" s="71"/>
      <c r="K273" s="71">
        <v>3500</v>
      </c>
      <c r="L273" s="72">
        <f>IFERROR(IF(G273="","",VLOOKUP($G273,[1]基础信息!$B:$C,2,FALSE)+SUMIF(G$8:G273,G273,J$8:J273)-SUMIF(G$8:G273,G273,K$8:K273)+SUMIFS([1]内部转账!$G:$G,[1]内部转账!$C:$C,"&lt;="&amp;$D273,[1]内部转账!$E:$E,$G273)-SUMIFS([1]内部转账!$G:$G,[1]内部转账!$C:$C,"&lt;="&amp;$D273,[1]内部转账!$F:$F,$G273)),"")</f>
        <v>20425.8600000001</v>
      </c>
      <c r="M273" s="64" t="s">
        <v>150</v>
      </c>
      <c r="N273" s="69"/>
      <c r="O273" s="64"/>
      <c r="P273" s="64"/>
      <c r="Q273" s="69"/>
      <c r="R273" s="69"/>
      <c r="S273" s="69"/>
    </row>
    <row r="274" s="2" customFormat="1" ht="24.95" customHeight="1" spans="1:19">
      <c r="A274" s="15"/>
      <c r="B274" s="55"/>
      <c r="C274" s="56"/>
      <c r="D274" s="68">
        <v>45888</v>
      </c>
      <c r="E274" s="69"/>
      <c r="F274" s="69" t="s">
        <v>26</v>
      </c>
      <c r="G274" s="65" t="s">
        <v>27</v>
      </c>
      <c r="H274" s="65" t="s">
        <v>46</v>
      </c>
      <c r="I274" s="70" t="s">
        <v>74</v>
      </c>
      <c r="J274" s="71"/>
      <c r="K274" s="71">
        <v>4000</v>
      </c>
      <c r="L274" s="72">
        <f>IFERROR(IF(G274="","",VLOOKUP($G274,[1]基础信息!$B:$C,2,FALSE)+SUMIF(G$8:G274,G274,J$8:J274)-SUMIF(G$8:G274,G274,K$8:K274)+SUMIFS([1]内部转账!$G:$G,[1]内部转账!$C:$C,"&lt;="&amp;$D274,[1]内部转账!$E:$E,$G274)-SUMIFS([1]内部转账!$G:$G,[1]内部转账!$C:$C,"&lt;="&amp;$D274,[1]内部转账!$F:$F,$G274)),"")</f>
        <v>16425.8600000001</v>
      </c>
      <c r="M274" s="64" t="s">
        <v>150</v>
      </c>
      <c r="N274" s="69"/>
      <c r="O274" s="64"/>
      <c r="P274" s="64"/>
      <c r="Q274" s="69"/>
      <c r="R274" s="69"/>
      <c r="S274" s="69"/>
    </row>
    <row r="275" s="2" customFormat="1" ht="24.95" customHeight="1" spans="1:19">
      <c r="A275" s="15"/>
      <c r="B275" s="55"/>
      <c r="C275" s="56"/>
      <c r="D275" s="68">
        <v>45888</v>
      </c>
      <c r="E275" s="69"/>
      <c r="F275" s="69" t="s">
        <v>26</v>
      </c>
      <c r="G275" s="65" t="s">
        <v>27</v>
      </c>
      <c r="H275" s="65" t="s">
        <v>46</v>
      </c>
      <c r="I275" s="70" t="s">
        <v>134</v>
      </c>
      <c r="J275" s="71"/>
      <c r="K275" s="71">
        <v>3500</v>
      </c>
      <c r="L275" s="72">
        <f>IFERROR(IF(G275="","",VLOOKUP($G275,[1]基础信息!$B:$C,2,FALSE)+SUMIF(G$8:G275,G275,J$8:J275)-SUMIF(G$8:G275,G275,K$8:K275)+SUMIFS([1]内部转账!$G:$G,[1]内部转账!$C:$C,"&lt;="&amp;$D275,[1]内部转账!$E:$E,$G275)-SUMIFS([1]内部转账!$G:$G,[1]内部转账!$C:$C,"&lt;="&amp;$D275,[1]内部转账!$F:$F,$G275)),"")</f>
        <v>12925.8600000001</v>
      </c>
      <c r="M275" s="64" t="s">
        <v>150</v>
      </c>
      <c r="N275" s="69"/>
      <c r="O275" s="64"/>
      <c r="P275" s="64"/>
      <c r="Q275" s="69"/>
      <c r="R275" s="69"/>
      <c r="S275" s="69"/>
    </row>
    <row r="276" s="2" customFormat="1" ht="24.95" customHeight="1" spans="1:19">
      <c r="A276" s="15"/>
      <c r="B276" s="55"/>
      <c r="C276" s="56"/>
      <c r="D276" s="68">
        <v>45888</v>
      </c>
      <c r="E276" s="69"/>
      <c r="F276" s="69" t="s">
        <v>26</v>
      </c>
      <c r="G276" s="65" t="s">
        <v>27</v>
      </c>
      <c r="H276" s="65" t="s">
        <v>46</v>
      </c>
      <c r="I276" s="70" t="s">
        <v>131</v>
      </c>
      <c r="J276" s="71"/>
      <c r="K276" s="71">
        <v>4000</v>
      </c>
      <c r="L276" s="72">
        <f>IFERROR(IF(G276="","",VLOOKUP($G276,[1]基础信息!$B:$C,2,FALSE)+SUMIF(G$8:G276,G276,J$8:J276)-SUMIF(G$8:G276,G276,K$8:K276)+SUMIFS([1]内部转账!$G:$G,[1]内部转账!$C:$C,"&lt;="&amp;$D276,[1]内部转账!$E:$E,$G276)-SUMIFS([1]内部转账!$G:$G,[1]内部转账!$C:$C,"&lt;="&amp;$D276,[1]内部转账!$F:$F,$G276)),"")</f>
        <v>8925.8600000001</v>
      </c>
      <c r="M276" s="64" t="s">
        <v>150</v>
      </c>
      <c r="N276" s="69"/>
      <c r="O276" s="64"/>
      <c r="P276" s="64"/>
      <c r="Q276" s="69"/>
      <c r="R276" s="69"/>
      <c r="S276" s="69"/>
    </row>
    <row r="277" s="2" customFormat="1" ht="24.95" customHeight="1" spans="1:19">
      <c r="A277" s="15"/>
      <c r="B277" s="55"/>
      <c r="C277" s="56"/>
      <c r="D277" s="68">
        <v>45888</v>
      </c>
      <c r="E277" s="69"/>
      <c r="F277" s="69" t="s">
        <v>26</v>
      </c>
      <c r="G277" s="65" t="s">
        <v>27</v>
      </c>
      <c r="H277" s="65" t="s">
        <v>46</v>
      </c>
      <c r="I277" s="70" t="s">
        <v>130</v>
      </c>
      <c r="J277" s="71"/>
      <c r="K277" s="71">
        <v>3500</v>
      </c>
      <c r="L277" s="72">
        <f>IFERROR(IF(G277="","",VLOOKUP($G277,[1]基础信息!$B:$C,2,FALSE)+SUMIF(G$8:G277,G277,J$8:J277)-SUMIF(G$8:G277,G277,K$8:K277)+SUMIFS([1]内部转账!$G:$G,[1]内部转账!$C:$C,"&lt;="&amp;$D277,[1]内部转账!$E:$E,$G277)-SUMIFS([1]内部转账!$G:$G,[1]内部转账!$C:$C,"&lt;="&amp;$D277,[1]内部转账!$F:$F,$G277)),"")</f>
        <v>5425.8600000001</v>
      </c>
      <c r="M277" s="64" t="s">
        <v>150</v>
      </c>
      <c r="N277" s="69"/>
      <c r="O277" s="64"/>
      <c r="P277" s="64"/>
      <c r="Q277" s="69"/>
      <c r="R277" s="69"/>
      <c r="S277" s="69"/>
    </row>
    <row r="278" s="2" customFormat="1" ht="24.95" customHeight="1" spans="1:19">
      <c r="A278" s="15"/>
      <c r="B278" s="55"/>
      <c r="C278" s="56"/>
      <c r="D278" s="68">
        <v>45888</v>
      </c>
      <c r="E278" s="69"/>
      <c r="F278" s="69" t="s">
        <v>26</v>
      </c>
      <c r="G278" s="65" t="s">
        <v>27</v>
      </c>
      <c r="H278" s="65" t="s">
        <v>46</v>
      </c>
      <c r="I278" s="70" t="s">
        <v>137</v>
      </c>
      <c r="J278" s="71"/>
      <c r="K278" s="71">
        <v>3500</v>
      </c>
      <c r="L278" s="72">
        <f>IFERROR(IF(G278="","",VLOOKUP($G278,[1]基础信息!$B:$C,2,FALSE)+SUMIF(G$8:G278,G278,J$8:J278)-SUMIF(G$8:G278,G278,K$8:K278)+SUMIFS([1]内部转账!$G:$G,[1]内部转账!$C:$C,"&lt;="&amp;$D278,[1]内部转账!$E:$E,$G278)-SUMIFS([1]内部转账!$G:$G,[1]内部转账!$C:$C,"&lt;="&amp;$D278,[1]内部转账!$F:$F,$G278)),"")</f>
        <v>1925.8600000001</v>
      </c>
      <c r="M278" s="64" t="s">
        <v>150</v>
      </c>
      <c r="N278" s="69"/>
      <c r="O278" s="64"/>
      <c r="P278" s="64"/>
      <c r="Q278" s="69"/>
      <c r="R278" s="69"/>
      <c r="S278" s="69"/>
    </row>
    <row r="279" s="2" customFormat="1" ht="24.95" customHeight="1" spans="1:19">
      <c r="A279" s="15"/>
      <c r="B279" s="55"/>
      <c r="C279" s="56"/>
      <c r="D279" s="68">
        <v>45888</v>
      </c>
      <c r="E279" s="69"/>
      <c r="F279" s="69" t="s">
        <v>26</v>
      </c>
      <c r="G279" s="65" t="s">
        <v>27</v>
      </c>
      <c r="H279" s="65" t="s">
        <v>28</v>
      </c>
      <c r="I279" s="70" t="s">
        <v>29</v>
      </c>
      <c r="J279" s="71"/>
      <c r="K279" s="71">
        <v>-30000</v>
      </c>
      <c r="L279" s="72">
        <f>IFERROR(IF(G279="","",VLOOKUP($G279,[1]基础信息!$B:$C,2,FALSE)+SUMIF(G$8:G279,G279,J$8:J279)-SUMIF(G$8:G279,G279,K$8:K279)+SUMIFS([1]内部转账!$G:$G,[1]内部转账!$C:$C,"&lt;="&amp;$D279,[1]内部转账!$E:$E,$G279)-SUMIFS([1]内部转账!$G:$G,[1]内部转账!$C:$C,"&lt;="&amp;$D279,[1]内部转账!$F:$F,$G279)),"")</f>
        <v>31925.8600000001</v>
      </c>
      <c r="M279" s="64" t="s">
        <v>30</v>
      </c>
      <c r="N279" s="58" t="s">
        <v>31</v>
      </c>
      <c r="O279" s="64"/>
      <c r="P279" s="64" t="s">
        <v>31</v>
      </c>
      <c r="Q279" s="69"/>
      <c r="R279" s="69"/>
      <c r="S279" s="69"/>
    </row>
    <row r="280" s="2" customFormat="1" ht="24.95" customHeight="1" spans="1:19">
      <c r="A280" s="15"/>
      <c r="B280" s="55"/>
      <c r="C280" s="56"/>
      <c r="D280" s="68">
        <v>45888</v>
      </c>
      <c r="E280" s="69"/>
      <c r="F280" s="69" t="s">
        <v>26</v>
      </c>
      <c r="G280" s="65" t="s">
        <v>27</v>
      </c>
      <c r="H280" s="65" t="s">
        <v>46</v>
      </c>
      <c r="I280" s="70" t="s">
        <v>127</v>
      </c>
      <c r="J280" s="71"/>
      <c r="K280" s="71">
        <v>4000</v>
      </c>
      <c r="L280" s="72">
        <f>IFERROR(IF(G280="","",VLOOKUP($G280,[1]基础信息!$B:$C,2,FALSE)+SUMIF(G$8:G280,G280,J$8:J280)-SUMIF(G$8:G280,G280,K$8:K280)+SUMIFS([1]内部转账!$G:$G,[1]内部转账!$C:$C,"&lt;="&amp;$D280,[1]内部转账!$E:$E,$G280)-SUMIFS([1]内部转账!$G:$G,[1]内部转账!$C:$C,"&lt;="&amp;$D280,[1]内部转账!$F:$F,$G280)),"")</f>
        <v>27925.8600000001</v>
      </c>
      <c r="M280" s="64" t="s">
        <v>150</v>
      </c>
      <c r="N280" s="69"/>
      <c r="O280" s="64"/>
      <c r="P280" s="64"/>
      <c r="Q280" s="69"/>
      <c r="R280" s="69"/>
      <c r="S280" s="69"/>
    </row>
    <row r="281" s="2" customFormat="1" ht="24.95" customHeight="1" spans="1:19">
      <c r="A281" s="15"/>
      <c r="B281" s="55"/>
      <c r="C281" s="56"/>
      <c r="D281" s="68">
        <v>45888</v>
      </c>
      <c r="E281" s="69"/>
      <c r="F281" s="69" t="s">
        <v>26</v>
      </c>
      <c r="G281" s="65" t="s">
        <v>27</v>
      </c>
      <c r="H281" s="65" t="s">
        <v>46</v>
      </c>
      <c r="I281" s="70" t="s">
        <v>65</v>
      </c>
      <c r="J281" s="71"/>
      <c r="K281" s="71">
        <v>4000</v>
      </c>
      <c r="L281" s="72">
        <f>IFERROR(IF(G281="","",VLOOKUP($G281,[1]基础信息!$B:$C,2,FALSE)+SUMIF(G$8:G281,G281,J$8:J281)-SUMIF(G$8:G281,G281,K$8:K281)+SUMIFS([1]内部转账!$G:$G,[1]内部转账!$C:$C,"&lt;="&amp;$D281,[1]内部转账!$E:$E,$G281)-SUMIFS([1]内部转账!$G:$G,[1]内部转账!$C:$C,"&lt;="&amp;$D281,[1]内部转账!$F:$F,$G281)),"")</f>
        <v>23925.8600000001</v>
      </c>
      <c r="M281" s="64" t="s">
        <v>150</v>
      </c>
      <c r="N281" s="69"/>
      <c r="O281" s="64"/>
      <c r="P281" s="64"/>
      <c r="Q281" s="69"/>
      <c r="R281" s="69"/>
      <c r="S281" s="69"/>
    </row>
    <row r="282" s="2" customFormat="1" ht="24.95" customHeight="1" spans="1:19">
      <c r="A282" s="15"/>
      <c r="B282" s="55"/>
      <c r="C282" s="56"/>
      <c r="D282" s="68">
        <v>45888</v>
      </c>
      <c r="E282" s="69"/>
      <c r="F282" s="69" t="s">
        <v>26</v>
      </c>
      <c r="G282" s="65" t="s">
        <v>27</v>
      </c>
      <c r="H282" s="65" t="s">
        <v>53</v>
      </c>
      <c r="I282" s="70" t="s">
        <v>98</v>
      </c>
      <c r="J282" s="71"/>
      <c r="K282" s="71">
        <v>5000</v>
      </c>
      <c r="L282" s="72">
        <f>IFERROR(IF(G282="","",VLOOKUP($G282,[1]基础信息!$B:$C,2,FALSE)+SUMIF(G$8:G282,G282,J$8:J282)-SUMIF(G$8:G282,G282,K$8:K282)+SUMIFS([1]内部转账!$G:$G,[1]内部转账!$C:$C,"&lt;="&amp;$D282,[1]内部转账!$E:$E,$G282)-SUMIFS([1]内部转账!$G:$G,[1]内部转账!$C:$C,"&lt;="&amp;$D282,[1]内部转账!$F:$F,$G282)),"")</f>
        <v>18925.8600000001</v>
      </c>
      <c r="M282" s="64" t="s">
        <v>35</v>
      </c>
      <c r="N282" s="69" t="s">
        <v>98</v>
      </c>
      <c r="O282" s="64"/>
      <c r="P282" s="64" t="s">
        <v>150</v>
      </c>
      <c r="Q282" s="69"/>
      <c r="R282" s="69"/>
      <c r="S282" s="69"/>
    </row>
    <row r="283" s="2" customFormat="1" ht="24.95" customHeight="1" spans="1:19">
      <c r="A283" s="15"/>
      <c r="B283" s="55"/>
      <c r="C283" s="56"/>
      <c r="D283" s="68">
        <v>45888</v>
      </c>
      <c r="E283" s="69"/>
      <c r="F283" s="69" t="s">
        <v>26</v>
      </c>
      <c r="G283" s="65" t="s">
        <v>27</v>
      </c>
      <c r="H283" s="65" t="s">
        <v>53</v>
      </c>
      <c r="I283" s="70" t="s">
        <v>157</v>
      </c>
      <c r="J283" s="71"/>
      <c r="K283" s="71">
        <v>5000</v>
      </c>
      <c r="L283" s="72">
        <f>IFERROR(IF(G283="","",VLOOKUP($G283,[1]基础信息!$B:$C,2,FALSE)+SUMIF(G$8:G283,G283,J$8:J283)-SUMIF(G$8:G283,G283,K$8:K283)+SUMIFS([1]内部转账!$G:$G,[1]内部转账!$C:$C,"&lt;="&amp;$D283,[1]内部转账!$E:$E,$G283)-SUMIFS([1]内部转账!$G:$G,[1]内部转账!$C:$C,"&lt;="&amp;$D283,[1]内部转账!$F:$F,$G283)),"")</f>
        <v>13925.8600000001</v>
      </c>
      <c r="M283" s="64" t="s">
        <v>35</v>
      </c>
      <c r="N283" s="69" t="s">
        <v>157</v>
      </c>
      <c r="O283" s="64"/>
      <c r="P283" s="64" t="s">
        <v>150</v>
      </c>
      <c r="Q283" s="69"/>
      <c r="R283" s="69"/>
      <c r="S283" s="69"/>
    </row>
    <row r="284" s="2" customFormat="1" ht="24.95" customHeight="1" spans="1:19">
      <c r="A284" s="15"/>
      <c r="B284" s="55"/>
      <c r="C284" s="56"/>
      <c r="D284" s="68">
        <v>45892</v>
      </c>
      <c r="E284" s="69"/>
      <c r="F284" s="69" t="s">
        <v>26</v>
      </c>
      <c r="G284" s="65" t="s">
        <v>27</v>
      </c>
      <c r="H284" s="65" t="s">
        <v>33</v>
      </c>
      <c r="I284" s="70" t="s">
        <v>172</v>
      </c>
      <c r="J284" s="71"/>
      <c r="K284" s="71">
        <v>4753.82</v>
      </c>
      <c r="L284" s="72">
        <f>IFERROR(IF(G284="","",VLOOKUP($G284,[1]基础信息!$B:$C,2,FALSE)+SUMIF(G$8:G284,G284,J$8:J284)-SUMIF(G$8:G284,G284,K$8:K284)+SUMIFS([1]内部转账!$G:$G,[1]内部转账!$C:$C,"&lt;="&amp;$D284,[1]内部转账!$E:$E,$G284)-SUMIFS([1]内部转账!$G:$G,[1]内部转账!$C:$C,"&lt;="&amp;$D284,[1]内部转账!$F:$F,$G284)),"")</f>
        <v>9172.04000000004</v>
      </c>
      <c r="M284" s="64" t="s">
        <v>35</v>
      </c>
      <c r="N284" s="69" t="s">
        <v>128</v>
      </c>
      <c r="O284" s="64"/>
      <c r="P284" s="64" t="s">
        <v>55</v>
      </c>
      <c r="Q284" s="69"/>
      <c r="R284" s="69"/>
      <c r="S284" s="69"/>
    </row>
    <row r="285" s="2" customFormat="1" ht="24.95" customHeight="1" spans="1:19">
      <c r="A285" s="15"/>
      <c r="B285" s="55"/>
      <c r="C285" s="56"/>
      <c r="D285" s="68">
        <v>45900</v>
      </c>
      <c r="E285" s="69"/>
      <c r="F285" s="69" t="s">
        <v>26</v>
      </c>
      <c r="G285" s="65" t="s">
        <v>27</v>
      </c>
      <c r="H285" s="65" t="s">
        <v>28</v>
      </c>
      <c r="I285" s="70" t="s">
        <v>29</v>
      </c>
      <c r="J285" s="71"/>
      <c r="K285" s="71">
        <v>-5000</v>
      </c>
      <c r="L285" s="72">
        <f>IFERROR(IF(G285="","",VLOOKUP($G285,[1]基础信息!$B:$C,2,FALSE)+SUMIF(G$8:G285,G285,J$8:J285)-SUMIF(G$8:G285,G285,K$8:K285)+SUMIFS([1]内部转账!$G:$G,[1]内部转账!$C:$C,"&lt;="&amp;$D285,[1]内部转账!$E:$E,$G285)-SUMIFS([1]内部转账!$G:$G,[1]内部转账!$C:$C,"&lt;="&amp;$D285,[1]内部转账!$F:$F,$G285)),"")</f>
        <v>14172.04</v>
      </c>
      <c r="M285" s="64" t="s">
        <v>30</v>
      </c>
      <c r="N285" s="58" t="s">
        <v>31</v>
      </c>
      <c r="O285" s="64"/>
      <c r="P285" s="64" t="s">
        <v>31</v>
      </c>
      <c r="Q285" s="69"/>
      <c r="R285" s="69"/>
      <c r="S285" s="69"/>
    </row>
    <row r="286" s="2" customFormat="1" ht="24.95" customHeight="1" spans="1:19">
      <c r="A286" s="15"/>
      <c r="B286" s="55"/>
      <c r="C286" s="56"/>
      <c r="D286" s="68">
        <v>45900</v>
      </c>
      <c r="E286" s="69"/>
      <c r="F286" s="69" t="s">
        <v>26</v>
      </c>
      <c r="G286" s="65" t="s">
        <v>27</v>
      </c>
      <c r="H286" s="65" t="s">
        <v>33</v>
      </c>
      <c r="I286" s="70" t="s">
        <v>180</v>
      </c>
      <c r="J286" s="71"/>
      <c r="K286" s="71">
        <v>10000</v>
      </c>
      <c r="L286" s="72">
        <f>IFERROR(IF(G286="","",VLOOKUP($G286,[1]基础信息!$B:$C,2,FALSE)+SUMIF(G$8:G286,G286,J$8:J286)-SUMIF(G$8:G286,G286,K$8:K286)+SUMIFS([1]内部转账!$G:$G,[1]内部转账!$C:$C,"&lt;="&amp;$D286,[1]内部转账!$E:$E,$G286)-SUMIFS([1]内部转账!$G:$G,[1]内部转账!$C:$C,"&lt;="&amp;$D286,[1]内部转账!$F:$F,$G286)),"")</f>
        <v>4172.04000000004</v>
      </c>
      <c r="M286" s="64" t="s">
        <v>35</v>
      </c>
      <c r="N286" s="69" t="s">
        <v>98</v>
      </c>
      <c r="O286" s="64"/>
      <c r="P286" s="64"/>
      <c r="Q286" s="69"/>
      <c r="R286" s="69"/>
      <c r="S286" s="69"/>
    </row>
    <row r="287" s="2" customFormat="1" ht="24.95" customHeight="1" spans="1:19">
      <c r="A287" s="15"/>
      <c r="B287" s="55"/>
      <c r="C287" s="56"/>
      <c r="D287" s="68">
        <v>45902</v>
      </c>
      <c r="E287" s="69"/>
      <c r="F287" s="69" t="s">
        <v>26</v>
      </c>
      <c r="G287" s="65" t="s">
        <v>27</v>
      </c>
      <c r="H287" s="65" t="s">
        <v>28</v>
      </c>
      <c r="I287" s="70" t="s">
        <v>29</v>
      </c>
      <c r="J287" s="71"/>
      <c r="K287" s="71">
        <v>-55000</v>
      </c>
      <c r="L287" s="72">
        <f>IFERROR(IF(G287="","",VLOOKUP($G287,[1]基础信息!$B:$C,2,FALSE)+SUMIF(G$8:G287,G287,J$8:J287)-SUMIF(G$8:G287,G287,K$8:K287)+SUMIFS([1]内部转账!$G:$G,[1]内部转账!$C:$C,"&lt;="&amp;$D287,[1]内部转账!$E:$E,$G287)-SUMIFS([1]内部转账!$G:$G,[1]内部转账!$C:$C,"&lt;="&amp;$D287,[1]内部转账!$F:$F,$G287)),"")</f>
        <v>59172.04</v>
      </c>
      <c r="M287" s="64" t="s">
        <v>30</v>
      </c>
      <c r="N287" s="58" t="s">
        <v>31</v>
      </c>
      <c r="O287" s="64"/>
      <c r="P287" s="64" t="s">
        <v>31</v>
      </c>
      <c r="Q287" s="69"/>
      <c r="R287" s="69"/>
      <c r="S287" s="69"/>
    </row>
    <row r="288" s="2" customFormat="1" ht="24.95" customHeight="1" spans="1:19">
      <c r="A288" s="15"/>
      <c r="B288" s="55"/>
      <c r="C288" s="56"/>
      <c r="D288" s="68">
        <v>45902</v>
      </c>
      <c r="E288" s="69"/>
      <c r="F288" s="69" t="s">
        <v>26</v>
      </c>
      <c r="G288" s="65" t="s">
        <v>27</v>
      </c>
      <c r="H288" s="65" t="s">
        <v>62</v>
      </c>
      <c r="I288" s="70" t="s">
        <v>163</v>
      </c>
      <c r="J288" s="71"/>
      <c r="K288" s="71">
        <v>52791</v>
      </c>
      <c r="L288" s="72">
        <f>IFERROR(IF(G288="","",VLOOKUP($G288,[1]基础信息!$B:$C,2,FALSE)+SUMIF(G$8:G288,G288,J$8:J288)-SUMIF(G$8:G288,G288,K$8:K288)+SUMIFS([1]内部转账!$G:$G,[1]内部转账!$C:$C,"&lt;="&amp;$D288,[1]内部转账!$E:$E,$G288)-SUMIFS([1]内部转账!$G:$G,[1]内部转账!$C:$C,"&lt;="&amp;$D288,[1]内部转账!$F:$F,$G288)),"")</f>
        <v>6381.04000000004</v>
      </c>
      <c r="M288" s="64" t="s">
        <v>150</v>
      </c>
      <c r="N288" s="69"/>
      <c r="O288" s="64"/>
      <c r="P288" s="64" t="s">
        <v>164</v>
      </c>
      <c r="Q288" s="69"/>
      <c r="R288" s="69"/>
      <c r="S288" s="69"/>
    </row>
    <row r="289" s="2" customFormat="1" ht="24.95" customHeight="1" spans="1:19">
      <c r="A289" s="15"/>
      <c r="B289" s="55"/>
      <c r="C289" s="56"/>
      <c r="D289" s="68">
        <v>45909</v>
      </c>
      <c r="E289" s="69"/>
      <c r="F289" s="69" t="s">
        <v>26</v>
      </c>
      <c r="G289" s="65" t="s">
        <v>27</v>
      </c>
      <c r="H289" s="65" t="s">
        <v>83</v>
      </c>
      <c r="I289" s="70" t="s">
        <v>181</v>
      </c>
      <c r="J289" s="71"/>
      <c r="K289" s="71">
        <v>515.87</v>
      </c>
      <c r="L289" s="72">
        <f>IFERROR(IF(G289="","",VLOOKUP($G289,[1]基础信息!$B:$C,2,FALSE)+SUMIF(G$8:G289,G289,J$8:J289)-SUMIF(G$8:G289,G289,K$8:K289)+SUMIFS([1]内部转账!$G:$G,[1]内部转账!$C:$C,"&lt;="&amp;$D289,[1]内部转账!$E:$E,$G289)-SUMIFS([1]内部转账!$G:$G,[1]内部转账!$C:$C,"&lt;="&amp;$D289,[1]内部转账!$F:$F,$G289)),"")</f>
        <v>5865.16999999993</v>
      </c>
      <c r="M289" s="64" t="s">
        <v>166</v>
      </c>
      <c r="N289" s="69"/>
      <c r="O289" s="64"/>
      <c r="P289" s="64"/>
      <c r="Q289" s="69"/>
      <c r="R289" s="69"/>
      <c r="S289" s="69"/>
    </row>
    <row r="290" s="2" customFormat="1" ht="24.95" customHeight="1" spans="1:19">
      <c r="A290" s="15"/>
      <c r="B290" s="55"/>
      <c r="C290" s="56"/>
      <c r="D290" s="68">
        <v>45909</v>
      </c>
      <c r="E290" s="69"/>
      <c r="F290" s="69" t="s">
        <v>26</v>
      </c>
      <c r="G290" s="65" t="s">
        <v>27</v>
      </c>
      <c r="H290" s="65" t="s">
        <v>83</v>
      </c>
      <c r="I290" s="70" t="s">
        <v>181</v>
      </c>
      <c r="J290" s="71"/>
      <c r="K290" s="71">
        <v>5416.6</v>
      </c>
      <c r="L290" s="72">
        <f>IFERROR(IF(G290="","",VLOOKUP($G290,[1]基础信息!$B:$C,2,FALSE)+SUMIF(G$8:G290,G290,J$8:J290)-SUMIF(G$8:G290,G290,K$8:K290)+SUMIFS([1]内部转账!$G:$G,[1]内部转账!$C:$C,"&lt;="&amp;$D290,[1]内部转账!$E:$E,$G290)-SUMIFS([1]内部转账!$G:$G,[1]内部转账!$C:$C,"&lt;="&amp;$D290,[1]内部转账!$F:$F,$G290)),"")</f>
        <v>448.569999999832</v>
      </c>
      <c r="M290" s="64" t="s">
        <v>166</v>
      </c>
      <c r="N290" s="69"/>
      <c r="O290" s="64"/>
      <c r="P290" s="64"/>
      <c r="Q290" s="69"/>
      <c r="R290" s="69"/>
      <c r="S290" s="69"/>
    </row>
    <row r="291" s="2" customFormat="1" ht="24.95" customHeight="1" spans="1:19">
      <c r="A291" s="15"/>
      <c r="B291" s="55"/>
      <c r="C291" s="56"/>
      <c r="D291" s="68">
        <v>45910</v>
      </c>
      <c r="E291" s="69"/>
      <c r="F291" s="69" t="s">
        <v>42</v>
      </c>
      <c r="G291" s="65" t="s">
        <v>27</v>
      </c>
      <c r="H291" s="65" t="s">
        <v>43</v>
      </c>
      <c r="I291" s="70" t="s">
        <v>182</v>
      </c>
      <c r="J291" s="71">
        <v>281148</v>
      </c>
      <c r="K291" s="71"/>
      <c r="L291" s="72">
        <f>IFERROR(IF(G291="","",VLOOKUP($G291,[1]基础信息!$B:$C,2,FALSE)+SUMIF(G$8:G291,G291,J$8:J291)-SUMIF(G$8:G291,G291,K$8:K291)+SUMIFS([1]内部转账!$G:$G,[1]内部转账!$C:$C,"&lt;="&amp;$D291,[1]内部转账!$E:$E,$G291)-SUMIFS([1]内部转账!$G:$G,[1]内部转账!$C:$C,"&lt;="&amp;$D291,[1]内部转账!$F:$F,$G291)),"")</f>
        <v>281596.57</v>
      </c>
      <c r="M291" s="64" t="s">
        <v>166</v>
      </c>
      <c r="N291" s="69"/>
      <c r="O291" s="64" t="s">
        <v>183</v>
      </c>
      <c r="P291" s="64"/>
      <c r="Q291" s="69"/>
      <c r="R291" s="69"/>
      <c r="S291" s="69"/>
    </row>
    <row r="292" s="2" customFormat="1" ht="24.95" customHeight="1" spans="1:19">
      <c r="A292" s="15"/>
      <c r="B292" s="55"/>
      <c r="C292" s="56"/>
      <c r="D292" s="68">
        <v>45911</v>
      </c>
      <c r="E292" s="69"/>
      <c r="F292" s="69" t="s">
        <v>26</v>
      </c>
      <c r="G292" s="65" t="s">
        <v>27</v>
      </c>
      <c r="H292" s="65" t="s">
        <v>33</v>
      </c>
      <c r="I292" s="70" t="s">
        <v>180</v>
      </c>
      <c r="J292" s="71"/>
      <c r="K292" s="71">
        <v>9850</v>
      </c>
      <c r="L292" s="72">
        <f>IFERROR(IF(G292="","",VLOOKUP($G292,[1]基础信息!$B:$C,2,FALSE)+SUMIF(G$8:G292,G292,J$8:J292)-SUMIF(G$8:G292,G292,K$8:K292)+SUMIFS([1]内部转账!$G:$G,[1]内部转账!$C:$C,"&lt;="&amp;$D292,[1]内部转账!$E:$E,$G292)-SUMIFS([1]内部转账!$G:$G,[1]内部转账!$C:$C,"&lt;="&amp;$D292,[1]内部转账!$F:$F,$G292)),"")</f>
        <v>271746.57</v>
      </c>
      <c r="M292" s="64" t="s">
        <v>35</v>
      </c>
      <c r="N292" s="69" t="s">
        <v>98</v>
      </c>
      <c r="O292" s="64"/>
      <c r="P292" s="64"/>
      <c r="Q292" s="69"/>
      <c r="R292" s="69"/>
      <c r="S292" s="69"/>
    </row>
    <row r="293" s="2" customFormat="1" ht="24.95" customHeight="1" spans="1:19">
      <c r="A293" s="15"/>
      <c r="B293" s="55"/>
      <c r="C293" s="56"/>
      <c r="D293" s="68">
        <v>45911</v>
      </c>
      <c r="E293" s="69"/>
      <c r="F293" s="69" t="s">
        <v>26</v>
      </c>
      <c r="G293" s="65" t="s">
        <v>27</v>
      </c>
      <c r="H293" s="65" t="s">
        <v>53</v>
      </c>
      <c r="I293" s="70" t="s">
        <v>31</v>
      </c>
      <c r="J293" s="71"/>
      <c r="K293" s="71">
        <v>10000</v>
      </c>
      <c r="L293" s="72">
        <f>IFERROR(IF(G293="","",VLOOKUP($G293,[1]基础信息!$B:$C,2,FALSE)+SUMIF(G$8:G293,G293,J$8:J293)-SUMIF(G$8:G293,G293,K$8:K293)+SUMIFS([1]内部转账!$G:$G,[1]内部转账!$C:$C,"&lt;="&amp;$D293,[1]内部转账!$E:$E,$G293)-SUMIFS([1]内部转账!$G:$G,[1]内部转账!$C:$C,"&lt;="&amp;$D293,[1]内部转账!$F:$F,$G293)),"")</f>
        <v>261746.57</v>
      </c>
      <c r="M293" s="64" t="s">
        <v>35</v>
      </c>
      <c r="N293" s="58" t="s">
        <v>31</v>
      </c>
      <c r="O293" s="64"/>
      <c r="P293" s="64" t="s">
        <v>150</v>
      </c>
      <c r="Q293" s="69"/>
      <c r="R293" s="69"/>
      <c r="S293" s="69"/>
    </row>
    <row r="294" s="2" customFormat="1" ht="24.95" customHeight="1" spans="1:19">
      <c r="A294" s="15"/>
      <c r="B294" s="55"/>
      <c r="C294" s="56"/>
      <c r="D294" s="68">
        <v>45912</v>
      </c>
      <c r="E294" s="69"/>
      <c r="F294" s="69" t="s">
        <v>26</v>
      </c>
      <c r="G294" s="65" t="s">
        <v>27</v>
      </c>
      <c r="H294" s="65" t="s">
        <v>33</v>
      </c>
      <c r="I294" s="70" t="s">
        <v>172</v>
      </c>
      <c r="J294" s="71"/>
      <c r="K294" s="71">
        <v>4508.19</v>
      </c>
      <c r="L294" s="72">
        <f>IFERROR(IF(G294="","",VLOOKUP($G294,[1]基础信息!$B:$C,2,FALSE)+SUMIF(G$8:G294,G294,J$8:J294)-SUMIF(G$8:G294,G294,K$8:K294)+SUMIFS([1]内部转账!$G:$G,[1]内部转账!$C:$C,"&lt;="&amp;$D294,[1]内部转账!$E:$E,$G294)-SUMIFS([1]内部转账!$G:$G,[1]内部转账!$C:$C,"&lt;="&amp;$D294,[1]内部转账!$F:$F,$G294)),"")</f>
        <v>257238.38</v>
      </c>
      <c r="M294" s="64" t="s">
        <v>35</v>
      </c>
      <c r="N294" s="69" t="s">
        <v>128</v>
      </c>
      <c r="O294" s="64"/>
      <c r="P294" s="64" t="s">
        <v>55</v>
      </c>
      <c r="Q294" s="69"/>
      <c r="R294" s="69"/>
      <c r="S294" s="69"/>
    </row>
    <row r="295" s="2" customFormat="1" ht="24.95" customHeight="1" spans="1:19">
      <c r="A295" s="15"/>
      <c r="B295" s="55"/>
      <c r="C295" s="56"/>
      <c r="D295" s="68">
        <v>45912</v>
      </c>
      <c r="E295" s="69"/>
      <c r="F295" s="69" t="s">
        <v>26</v>
      </c>
      <c r="G295" s="65" t="s">
        <v>27</v>
      </c>
      <c r="H295" s="65" t="s">
        <v>46</v>
      </c>
      <c r="I295" s="70" t="s">
        <v>127</v>
      </c>
      <c r="J295" s="71"/>
      <c r="K295" s="71">
        <v>5000</v>
      </c>
      <c r="L295" s="72">
        <f>IFERROR(IF(G295="","",VLOOKUP($G295,[1]基础信息!$B:$C,2,FALSE)+SUMIF(G$8:G295,G295,J$8:J295)-SUMIF(G$8:G295,G295,K$8:K295)+SUMIFS([1]内部转账!$G:$G,[1]内部转账!$C:$C,"&lt;="&amp;$D295,[1]内部转账!$E:$E,$G295)-SUMIFS([1]内部转账!$G:$G,[1]内部转账!$C:$C,"&lt;="&amp;$D295,[1]内部转账!$F:$F,$G295)),"")</f>
        <v>252238.38</v>
      </c>
      <c r="M295" s="64" t="s">
        <v>150</v>
      </c>
      <c r="N295" s="69"/>
      <c r="O295" s="64"/>
      <c r="P295" s="64"/>
      <c r="Q295" s="69"/>
      <c r="R295" s="69"/>
      <c r="S295" s="69"/>
    </row>
    <row r="296" s="2" customFormat="1" ht="24.95" customHeight="1" spans="1:19">
      <c r="A296" s="15"/>
      <c r="B296" s="55"/>
      <c r="C296" s="56"/>
      <c r="D296" s="68">
        <v>45912</v>
      </c>
      <c r="E296" s="69"/>
      <c r="F296" s="69" t="s">
        <v>26</v>
      </c>
      <c r="G296" s="65" t="s">
        <v>27</v>
      </c>
      <c r="H296" s="65" t="s">
        <v>46</v>
      </c>
      <c r="I296" s="70" t="s">
        <v>137</v>
      </c>
      <c r="J296" s="71"/>
      <c r="K296" s="71">
        <v>3000</v>
      </c>
      <c r="L296" s="72">
        <f>IFERROR(IF(G296="","",VLOOKUP($G296,[1]基础信息!$B:$C,2,FALSE)+SUMIF(G$8:G296,G296,J$8:J296)-SUMIF(G$8:G296,G296,K$8:K296)+SUMIFS([1]内部转账!$G:$G,[1]内部转账!$C:$C,"&lt;="&amp;$D296,[1]内部转账!$E:$E,$G296)-SUMIFS([1]内部转账!$G:$G,[1]内部转账!$C:$C,"&lt;="&amp;$D296,[1]内部转账!$F:$F,$G296)),"")</f>
        <v>249238.38</v>
      </c>
      <c r="M296" s="64" t="s">
        <v>150</v>
      </c>
      <c r="N296" s="69"/>
      <c r="O296" s="64"/>
      <c r="P296" s="64"/>
      <c r="Q296" s="69"/>
      <c r="R296" s="69"/>
      <c r="S296" s="69"/>
    </row>
    <row r="297" s="2" customFormat="1" ht="24.95" customHeight="1" spans="1:19">
      <c r="A297" s="15"/>
      <c r="B297" s="55"/>
      <c r="C297" s="56"/>
      <c r="D297" s="68">
        <v>45912</v>
      </c>
      <c r="E297" s="69"/>
      <c r="F297" s="69" t="s">
        <v>26</v>
      </c>
      <c r="G297" s="65" t="s">
        <v>27</v>
      </c>
      <c r="H297" s="65" t="s">
        <v>83</v>
      </c>
      <c r="I297" s="70" t="s">
        <v>84</v>
      </c>
      <c r="J297" s="71"/>
      <c r="K297" s="71">
        <v>150</v>
      </c>
      <c r="L297" s="72">
        <f>IFERROR(IF(G297="","",VLOOKUP($G297,[1]基础信息!$B:$C,2,FALSE)+SUMIF(G$8:G297,G297,J$8:J297)-SUMIF(G$8:G297,G297,K$8:K297)+SUMIFS([1]内部转账!$G:$G,[1]内部转账!$C:$C,"&lt;="&amp;$D297,[1]内部转账!$E:$E,$G297)-SUMIFS([1]内部转账!$G:$G,[1]内部转账!$C:$C,"&lt;="&amp;$D297,[1]内部转账!$F:$F,$G297)),"")</f>
        <v>249088.38</v>
      </c>
      <c r="M297" s="64" t="s">
        <v>35</v>
      </c>
      <c r="N297" s="69"/>
      <c r="O297" s="64"/>
      <c r="P297" s="64"/>
      <c r="Q297" s="69"/>
      <c r="R297" s="69"/>
      <c r="S297" s="69"/>
    </row>
    <row r="298" s="2" customFormat="1" ht="24.95" customHeight="1" spans="1:19">
      <c r="A298" s="15"/>
      <c r="B298" s="55"/>
      <c r="C298" s="56"/>
      <c r="D298" s="68">
        <v>45915</v>
      </c>
      <c r="E298" s="69"/>
      <c r="F298" s="69" t="s">
        <v>26</v>
      </c>
      <c r="G298" s="65" t="s">
        <v>27</v>
      </c>
      <c r="H298" s="65" t="s">
        <v>46</v>
      </c>
      <c r="I298" s="70" t="s">
        <v>74</v>
      </c>
      <c r="J298" s="71"/>
      <c r="K298" s="71">
        <v>4000</v>
      </c>
      <c r="L298" s="72">
        <f>IFERROR(IF(G298="","",VLOOKUP($G298,[1]基础信息!$B:$C,2,FALSE)+SUMIF(G$8:G298,G298,J$8:J298)-SUMIF(G$8:G298,G298,K$8:K298)+SUMIFS([1]内部转账!$G:$G,[1]内部转账!$C:$C,"&lt;="&amp;$D298,[1]内部转账!$E:$E,$G298)-SUMIFS([1]内部转账!$G:$G,[1]内部转账!$C:$C,"&lt;="&amp;$D298,[1]内部转账!$F:$F,$G298)),"")</f>
        <v>245088.38</v>
      </c>
      <c r="M298" s="64" t="s">
        <v>150</v>
      </c>
      <c r="N298" s="69"/>
      <c r="O298" s="64"/>
      <c r="P298" s="64"/>
      <c r="Q298" s="69"/>
      <c r="R298" s="69"/>
      <c r="S298" s="69"/>
    </row>
    <row r="299" s="2" customFormat="1" ht="24.95" customHeight="1" spans="1:19">
      <c r="A299" s="15"/>
      <c r="B299" s="55"/>
      <c r="C299" s="56"/>
      <c r="D299" s="68">
        <v>45915</v>
      </c>
      <c r="E299" s="69"/>
      <c r="F299" s="69" t="s">
        <v>26</v>
      </c>
      <c r="G299" s="65" t="s">
        <v>27</v>
      </c>
      <c r="H299" s="65" t="s">
        <v>46</v>
      </c>
      <c r="I299" s="70" t="s">
        <v>75</v>
      </c>
      <c r="J299" s="71"/>
      <c r="K299" s="71">
        <v>2500</v>
      </c>
      <c r="L299" s="72">
        <f>IFERROR(IF(G299="","",VLOOKUP($G299,[1]基础信息!$B:$C,2,FALSE)+SUMIF(G$8:G299,G299,J$8:J299)-SUMIF(G$8:G299,G299,K$8:K299)+SUMIFS([1]内部转账!$G:$G,[1]内部转账!$C:$C,"&lt;="&amp;$D299,[1]内部转账!$E:$E,$G299)-SUMIFS([1]内部转账!$G:$G,[1]内部转账!$C:$C,"&lt;="&amp;$D299,[1]内部转账!$F:$F,$G299)),"")</f>
        <v>242588.38</v>
      </c>
      <c r="M299" s="64" t="s">
        <v>150</v>
      </c>
      <c r="N299" s="69"/>
      <c r="O299" s="64"/>
      <c r="P299" s="64"/>
      <c r="Q299" s="69"/>
      <c r="R299" s="69"/>
      <c r="S299" s="69"/>
    </row>
    <row r="300" s="2" customFormat="1" ht="24.95" customHeight="1" spans="1:19">
      <c r="A300" s="15"/>
      <c r="B300" s="55"/>
      <c r="C300" s="56"/>
      <c r="D300" s="68">
        <v>45915</v>
      </c>
      <c r="E300" s="69"/>
      <c r="F300" s="69" t="s">
        <v>26</v>
      </c>
      <c r="G300" s="65" t="s">
        <v>27</v>
      </c>
      <c r="H300" s="65" t="s">
        <v>46</v>
      </c>
      <c r="I300" s="70" t="s">
        <v>132</v>
      </c>
      <c r="J300" s="71"/>
      <c r="K300" s="71">
        <v>3500</v>
      </c>
      <c r="L300" s="72">
        <f>IFERROR(IF(G300="","",VLOOKUP($G300,[1]基础信息!$B:$C,2,FALSE)+SUMIF(G$8:G300,G300,J$8:J300)-SUMIF(G$8:G300,G300,K$8:K300)+SUMIFS([1]内部转账!$G:$G,[1]内部转账!$C:$C,"&lt;="&amp;$D300,[1]内部转账!$E:$E,$G300)-SUMIFS([1]内部转账!$G:$G,[1]内部转账!$C:$C,"&lt;="&amp;$D300,[1]内部转账!$F:$F,$G300)),"")</f>
        <v>239088.38</v>
      </c>
      <c r="M300" s="64" t="s">
        <v>150</v>
      </c>
      <c r="N300" s="69"/>
      <c r="O300" s="64"/>
      <c r="P300" s="64"/>
      <c r="Q300" s="69"/>
      <c r="R300" s="69"/>
      <c r="S300" s="69"/>
    </row>
    <row r="301" s="2" customFormat="1" ht="24.95" customHeight="1" spans="1:19">
      <c r="A301" s="15"/>
      <c r="B301" s="55"/>
      <c r="C301" s="56"/>
      <c r="D301" s="68">
        <v>45915</v>
      </c>
      <c r="E301" s="69"/>
      <c r="F301" s="69" t="s">
        <v>26</v>
      </c>
      <c r="G301" s="65" t="s">
        <v>27</v>
      </c>
      <c r="H301" s="65" t="s">
        <v>46</v>
      </c>
      <c r="I301" s="70" t="s">
        <v>131</v>
      </c>
      <c r="J301" s="71"/>
      <c r="K301" s="71">
        <v>4000</v>
      </c>
      <c r="L301" s="72">
        <f>IFERROR(IF(G301="","",VLOOKUP($G301,[1]基础信息!$B:$C,2,FALSE)+SUMIF(G$8:G301,G301,J$8:J301)-SUMIF(G$8:G301,G301,K$8:K301)+SUMIFS([1]内部转账!$G:$G,[1]内部转账!$C:$C,"&lt;="&amp;$D301,[1]内部转账!$E:$E,$G301)-SUMIFS([1]内部转账!$G:$G,[1]内部转账!$C:$C,"&lt;="&amp;$D301,[1]内部转账!$F:$F,$G301)),"")</f>
        <v>235088.38</v>
      </c>
      <c r="M301" s="64" t="s">
        <v>150</v>
      </c>
      <c r="N301" s="69"/>
      <c r="O301" s="64"/>
      <c r="P301" s="64"/>
      <c r="Q301" s="69"/>
      <c r="R301" s="69"/>
      <c r="S301" s="69"/>
    </row>
    <row r="302" s="2" customFormat="1" ht="24.95" customHeight="1" spans="1:19">
      <c r="A302" s="15"/>
      <c r="B302" s="55"/>
      <c r="C302" s="56"/>
      <c r="D302" s="68">
        <v>45915</v>
      </c>
      <c r="E302" s="69"/>
      <c r="F302" s="69" t="s">
        <v>26</v>
      </c>
      <c r="G302" s="65" t="s">
        <v>27</v>
      </c>
      <c r="H302" s="65" t="s">
        <v>46</v>
      </c>
      <c r="I302" s="70" t="s">
        <v>130</v>
      </c>
      <c r="J302" s="71"/>
      <c r="K302" s="71">
        <v>3500</v>
      </c>
      <c r="L302" s="72">
        <f>IFERROR(IF(G302="","",VLOOKUP($G302,[1]基础信息!$B:$C,2,FALSE)+SUMIF(G$8:G302,G302,J$8:J302)-SUMIF(G$8:G302,G302,K$8:K302)+SUMIFS([1]内部转账!$G:$G,[1]内部转账!$C:$C,"&lt;="&amp;$D302,[1]内部转账!$E:$E,$G302)-SUMIFS([1]内部转账!$G:$G,[1]内部转账!$C:$C,"&lt;="&amp;$D302,[1]内部转账!$F:$F,$G302)),"")</f>
        <v>231588.38</v>
      </c>
      <c r="M302" s="64" t="s">
        <v>150</v>
      </c>
      <c r="N302" s="69"/>
      <c r="O302" s="64"/>
      <c r="P302" s="64"/>
      <c r="Q302" s="69"/>
      <c r="R302" s="69"/>
      <c r="S302" s="69"/>
    </row>
    <row r="303" s="2" customFormat="1" ht="24.95" customHeight="1" spans="1:19">
      <c r="A303" s="15"/>
      <c r="B303" s="55"/>
      <c r="C303" s="56"/>
      <c r="D303" s="68">
        <v>45915</v>
      </c>
      <c r="E303" s="69"/>
      <c r="F303" s="69" t="s">
        <v>26</v>
      </c>
      <c r="G303" s="65" t="s">
        <v>27</v>
      </c>
      <c r="H303" s="65" t="s">
        <v>46</v>
      </c>
      <c r="I303" s="70" t="s">
        <v>134</v>
      </c>
      <c r="J303" s="71"/>
      <c r="K303" s="71">
        <v>3500</v>
      </c>
      <c r="L303" s="72">
        <f>IFERROR(IF(G303="","",VLOOKUP($G303,[1]基础信息!$B:$C,2,FALSE)+SUMIF(G$8:G303,G303,J$8:J303)-SUMIF(G$8:G303,G303,K$8:K303)+SUMIFS([1]内部转账!$G:$G,[1]内部转账!$C:$C,"&lt;="&amp;$D303,[1]内部转账!$E:$E,$G303)-SUMIFS([1]内部转账!$G:$G,[1]内部转账!$C:$C,"&lt;="&amp;$D303,[1]内部转账!$F:$F,$G303)),"")</f>
        <v>228088.38</v>
      </c>
      <c r="M303" s="64" t="s">
        <v>150</v>
      </c>
      <c r="N303" s="69"/>
      <c r="O303" s="64"/>
      <c r="P303" s="64"/>
      <c r="Q303" s="69"/>
      <c r="R303" s="69"/>
      <c r="S303" s="69"/>
    </row>
    <row r="304" s="2" customFormat="1" ht="24.95" customHeight="1" spans="1:19">
      <c r="A304" s="15"/>
      <c r="B304" s="55"/>
      <c r="C304" s="56"/>
      <c r="D304" s="68">
        <v>45915</v>
      </c>
      <c r="E304" s="69"/>
      <c r="F304" s="69" t="s">
        <v>26</v>
      </c>
      <c r="G304" s="65" t="s">
        <v>27</v>
      </c>
      <c r="H304" s="65" t="s">
        <v>46</v>
      </c>
      <c r="I304" s="70" t="s">
        <v>65</v>
      </c>
      <c r="J304" s="71"/>
      <c r="K304" s="71">
        <v>4000</v>
      </c>
      <c r="L304" s="72">
        <f>IFERROR(IF(G304="","",VLOOKUP($G304,[1]基础信息!$B:$C,2,FALSE)+SUMIF(G$8:G304,G304,J$8:J304)-SUMIF(G$8:G304,G304,K$8:K304)+SUMIFS([1]内部转账!$G:$G,[1]内部转账!$C:$C,"&lt;="&amp;$D304,[1]内部转账!$E:$E,$G304)-SUMIFS([1]内部转账!$G:$G,[1]内部转账!$C:$C,"&lt;="&amp;$D304,[1]内部转账!$F:$F,$G304)),"")</f>
        <v>224088.38</v>
      </c>
      <c r="M304" s="64" t="s">
        <v>150</v>
      </c>
      <c r="N304" s="69"/>
      <c r="O304" s="64"/>
      <c r="P304" s="64"/>
      <c r="Q304" s="69"/>
      <c r="R304" s="69"/>
      <c r="S304" s="69"/>
    </row>
    <row r="305" s="2" customFormat="1" ht="24.95" customHeight="1" spans="1:19">
      <c r="A305" s="15"/>
      <c r="B305" s="55"/>
      <c r="C305" s="56"/>
      <c r="D305" s="68">
        <v>45915</v>
      </c>
      <c r="E305" s="69"/>
      <c r="F305" s="69" t="s">
        <v>26</v>
      </c>
      <c r="G305" s="65" t="s">
        <v>27</v>
      </c>
      <c r="H305" s="65" t="s">
        <v>53</v>
      </c>
      <c r="I305" s="70" t="s">
        <v>157</v>
      </c>
      <c r="J305" s="71"/>
      <c r="K305" s="71">
        <v>5000</v>
      </c>
      <c r="L305" s="72">
        <f>IFERROR(IF(G305="","",VLOOKUP($G305,[1]基础信息!$B:$C,2,FALSE)+SUMIF(G$8:G305,G305,J$8:J305)-SUMIF(G$8:G305,G305,K$8:K305)+SUMIFS([1]内部转账!$G:$G,[1]内部转账!$C:$C,"&lt;="&amp;$D305,[1]内部转账!$E:$E,$G305)-SUMIFS([1]内部转账!$G:$G,[1]内部转账!$C:$C,"&lt;="&amp;$D305,[1]内部转账!$F:$F,$G305)),"")</f>
        <v>219088.38</v>
      </c>
      <c r="M305" s="64" t="s">
        <v>35</v>
      </c>
      <c r="N305" s="69" t="s">
        <v>157</v>
      </c>
      <c r="O305" s="64"/>
      <c r="P305" s="64" t="s">
        <v>150</v>
      </c>
      <c r="Q305" s="69"/>
      <c r="R305" s="69"/>
      <c r="S305" s="69"/>
    </row>
    <row r="306" s="2" customFormat="1" ht="24.95" customHeight="1" spans="1:19">
      <c r="A306" s="15"/>
      <c r="B306" s="55"/>
      <c r="C306" s="56"/>
      <c r="D306" s="68">
        <v>45916</v>
      </c>
      <c r="E306" s="69"/>
      <c r="F306" s="69" t="s">
        <v>26</v>
      </c>
      <c r="G306" s="65" t="s">
        <v>27</v>
      </c>
      <c r="H306" s="65" t="s">
        <v>62</v>
      </c>
      <c r="I306" s="70" t="s">
        <v>184</v>
      </c>
      <c r="J306" s="71"/>
      <c r="K306" s="71">
        <v>1110</v>
      </c>
      <c r="L306" s="72">
        <f>IFERROR(IF(G306="","",VLOOKUP($G306,[1]基础信息!$B:$C,2,FALSE)+SUMIF(G$8:G306,G306,J$8:J306)-SUMIF(G$8:G306,G306,K$8:K306)+SUMIFS([1]内部转账!$G:$G,[1]内部转账!$C:$C,"&lt;="&amp;$D306,[1]内部转账!$E:$E,$G306)-SUMIFS([1]内部转账!$G:$G,[1]内部转账!$C:$C,"&lt;="&amp;$D306,[1]内部转账!$F:$F,$G306)),"")</f>
        <v>217978.38</v>
      </c>
      <c r="M306" s="64" t="s">
        <v>150</v>
      </c>
      <c r="N306" s="69"/>
      <c r="O306" s="64"/>
      <c r="P306" s="64" t="s">
        <v>185</v>
      </c>
      <c r="Q306" s="69"/>
      <c r="R306" s="69"/>
      <c r="S306" s="69"/>
    </row>
    <row r="307" s="2" customFormat="1" ht="24.95" customHeight="1" spans="1:19">
      <c r="A307" s="15"/>
      <c r="B307" s="55"/>
      <c r="C307" s="56"/>
      <c r="D307" s="68">
        <v>45916</v>
      </c>
      <c r="E307" s="69"/>
      <c r="F307" s="69" t="s">
        <v>26</v>
      </c>
      <c r="G307" s="65" t="s">
        <v>27</v>
      </c>
      <c r="H307" s="65" t="s">
        <v>62</v>
      </c>
      <c r="I307" s="70" t="s">
        <v>184</v>
      </c>
      <c r="J307" s="71"/>
      <c r="K307" s="71">
        <v>90</v>
      </c>
      <c r="L307" s="72">
        <f>IFERROR(IF(G307="","",VLOOKUP($G307,[1]基础信息!$B:$C,2,FALSE)+SUMIF(G$8:G307,G307,J$8:J307)-SUMIF(G$8:G307,G307,K$8:K307)+SUMIFS([1]内部转账!$G:$G,[1]内部转账!$C:$C,"&lt;="&amp;$D307,[1]内部转账!$E:$E,$G307)-SUMIFS([1]内部转账!$G:$G,[1]内部转账!$C:$C,"&lt;="&amp;$D307,[1]内部转账!$F:$F,$G307)),"")</f>
        <v>217888.38</v>
      </c>
      <c r="M307" s="64" t="s">
        <v>150</v>
      </c>
      <c r="N307" s="69"/>
      <c r="O307" s="64"/>
      <c r="P307" s="64" t="s">
        <v>185</v>
      </c>
      <c r="Q307" s="69"/>
      <c r="R307" s="69"/>
      <c r="S307" s="69"/>
    </row>
    <row r="308" s="2" customFormat="1" ht="24.95" customHeight="1" spans="1:19">
      <c r="A308" s="15"/>
      <c r="B308" s="55"/>
      <c r="C308" s="56"/>
      <c r="D308" s="68">
        <v>45916</v>
      </c>
      <c r="E308" s="69"/>
      <c r="F308" s="69" t="s">
        <v>26</v>
      </c>
      <c r="G308" s="65" t="s">
        <v>27</v>
      </c>
      <c r="H308" s="65" t="s">
        <v>46</v>
      </c>
      <c r="I308" s="70" t="s">
        <v>179</v>
      </c>
      <c r="J308" s="71"/>
      <c r="K308" s="71">
        <v>4000</v>
      </c>
      <c r="L308" s="72">
        <f>IFERROR(IF(G308="","",VLOOKUP($G308,[1]基础信息!$B:$C,2,FALSE)+SUMIF(G$8:G308,G308,J$8:J308)-SUMIF(G$8:G308,G308,K$8:K308)+SUMIFS([1]内部转账!$G:$G,[1]内部转账!$C:$C,"&lt;="&amp;$D308,[1]内部转账!$E:$E,$G308)-SUMIFS([1]内部转账!$G:$G,[1]内部转账!$C:$C,"&lt;="&amp;$D308,[1]内部转账!$F:$F,$G308)),"")</f>
        <v>213888.38</v>
      </c>
      <c r="M308" s="64" t="s">
        <v>150</v>
      </c>
      <c r="N308" s="69"/>
      <c r="O308" s="64"/>
      <c r="P308" s="64"/>
      <c r="Q308" s="69"/>
      <c r="R308" s="69"/>
      <c r="S308" s="69"/>
    </row>
    <row r="309" s="2" customFormat="1" ht="24.95" customHeight="1" spans="1:19">
      <c r="A309" s="15"/>
      <c r="B309" s="55"/>
      <c r="C309" s="56"/>
      <c r="D309" s="68">
        <v>45916</v>
      </c>
      <c r="E309" s="69"/>
      <c r="F309" s="69" t="s">
        <v>26</v>
      </c>
      <c r="G309" s="65" t="s">
        <v>27</v>
      </c>
      <c r="H309" s="65" t="s">
        <v>138</v>
      </c>
      <c r="I309" s="70" t="s">
        <v>186</v>
      </c>
      <c r="J309" s="71"/>
      <c r="K309" s="71">
        <v>10000</v>
      </c>
      <c r="L309" s="72">
        <f>IFERROR(IF(G309="","",VLOOKUP($G309,[1]基础信息!$B:$C,2,FALSE)+SUMIF(G$8:G309,G309,J$8:J309)-SUMIF(G$8:G309,G309,K$8:K309)+SUMIFS([1]内部转账!$G:$G,[1]内部转账!$C:$C,"&lt;="&amp;$D309,[1]内部转账!$E:$E,$G309)-SUMIFS([1]内部转账!$G:$G,[1]内部转账!$C:$C,"&lt;="&amp;$D309,[1]内部转账!$F:$F,$G309)),"")</f>
        <v>203888.38</v>
      </c>
      <c r="M309" s="64" t="s">
        <v>150</v>
      </c>
      <c r="N309" s="69"/>
      <c r="O309" s="64"/>
      <c r="P309" s="64" t="s">
        <v>187</v>
      </c>
      <c r="Q309" s="69"/>
      <c r="R309" s="69"/>
      <c r="S309" s="69"/>
    </row>
    <row r="310" s="2" customFormat="1" ht="24.95" customHeight="1" spans="1:19">
      <c r="A310" s="15"/>
      <c r="B310" s="55"/>
      <c r="C310" s="56"/>
      <c r="D310" s="68">
        <v>45916</v>
      </c>
      <c r="E310" s="69"/>
      <c r="F310" s="69" t="s">
        <v>26</v>
      </c>
      <c r="G310" s="65" t="s">
        <v>27</v>
      </c>
      <c r="H310" s="65" t="s">
        <v>138</v>
      </c>
      <c r="I310" s="70" t="s">
        <v>186</v>
      </c>
      <c r="J310" s="71"/>
      <c r="K310" s="71">
        <v>-10000</v>
      </c>
      <c r="L310" s="72">
        <f>IFERROR(IF(G310="","",VLOOKUP($G310,[1]基础信息!$B:$C,2,FALSE)+SUMIF(G$8:G310,G310,J$8:J310)-SUMIF(G$8:G310,G310,K$8:K310)+SUMIFS([1]内部转账!$G:$G,[1]内部转账!$C:$C,"&lt;="&amp;$D310,[1]内部转账!$E:$E,$G310)-SUMIFS([1]内部转账!$G:$G,[1]内部转账!$C:$C,"&lt;="&amp;$D310,[1]内部转账!$F:$F,$G310)),"")</f>
        <v>213888.38</v>
      </c>
      <c r="M310" s="64" t="s">
        <v>150</v>
      </c>
      <c r="N310" s="69"/>
      <c r="O310" s="64"/>
      <c r="P310" s="64" t="s">
        <v>187</v>
      </c>
      <c r="Q310" s="69"/>
      <c r="R310" s="69"/>
      <c r="S310" s="69"/>
    </row>
    <row r="311" s="2" customFormat="1" ht="24.95" customHeight="1" spans="1:19">
      <c r="A311" s="15"/>
      <c r="B311" s="55"/>
      <c r="C311" s="56"/>
      <c r="D311" s="68">
        <v>45916</v>
      </c>
      <c r="E311" s="69"/>
      <c r="F311" s="69" t="s">
        <v>26</v>
      </c>
      <c r="G311" s="65" t="s">
        <v>27</v>
      </c>
      <c r="H311" s="65" t="s">
        <v>138</v>
      </c>
      <c r="I311" s="70" t="s">
        <v>186</v>
      </c>
      <c r="J311" s="71"/>
      <c r="K311" s="71">
        <v>10000</v>
      </c>
      <c r="L311" s="72">
        <f>IFERROR(IF(G311="","",VLOOKUP($G311,[1]基础信息!$B:$C,2,FALSE)+SUMIF(G$8:G311,G311,J$8:J311)-SUMIF(G$8:G311,G311,K$8:K311)+SUMIFS([1]内部转账!$G:$G,[1]内部转账!$C:$C,"&lt;="&amp;$D311,[1]内部转账!$E:$E,$G311)-SUMIFS([1]内部转账!$G:$G,[1]内部转账!$C:$C,"&lt;="&amp;$D311,[1]内部转账!$F:$F,$G311)),"")</f>
        <v>203888.38</v>
      </c>
      <c r="M311" s="64" t="s">
        <v>150</v>
      </c>
      <c r="N311" s="69"/>
      <c r="O311" s="64"/>
      <c r="P311" s="64" t="s">
        <v>187</v>
      </c>
      <c r="Q311" s="69"/>
      <c r="R311" s="69"/>
      <c r="S311" s="69"/>
    </row>
    <row r="312" s="2" customFormat="1" ht="24.95" customHeight="1" spans="1:19">
      <c r="A312" s="15"/>
      <c r="B312" s="55"/>
      <c r="C312" s="56"/>
      <c r="D312" s="68">
        <v>45918</v>
      </c>
      <c r="E312" s="69"/>
      <c r="F312" s="69" t="s">
        <v>26</v>
      </c>
      <c r="G312" s="65" t="s">
        <v>27</v>
      </c>
      <c r="H312" s="65" t="s">
        <v>46</v>
      </c>
      <c r="I312" s="70" t="s">
        <v>47</v>
      </c>
      <c r="J312" s="71"/>
      <c r="K312" s="71">
        <v>5000</v>
      </c>
      <c r="L312" s="72">
        <f>IFERROR(IF(G312="","",VLOOKUP($G312,[1]基础信息!$B:$C,2,FALSE)+SUMIF(G$8:G312,G312,J$8:J312)-SUMIF(G$8:G312,G312,K$8:K312)+SUMIFS([1]内部转账!$G:$G,[1]内部转账!$C:$C,"&lt;="&amp;$D312,[1]内部转账!$E:$E,$G312)-SUMIFS([1]内部转账!$G:$G,[1]内部转账!$C:$C,"&lt;="&amp;$D312,[1]内部转账!$F:$F,$G312)),"")</f>
        <v>198888.38</v>
      </c>
      <c r="M312" s="64" t="s">
        <v>150</v>
      </c>
      <c r="N312" s="69"/>
      <c r="O312" s="64"/>
      <c r="P312" s="64" t="s">
        <v>47</v>
      </c>
      <c r="Q312" s="69"/>
      <c r="R312" s="69"/>
      <c r="S312" s="69"/>
    </row>
    <row r="313" s="2" customFormat="1" ht="24.95" customHeight="1" spans="1:19">
      <c r="A313" s="15"/>
      <c r="B313" s="55"/>
      <c r="C313" s="56"/>
      <c r="D313" s="68">
        <v>45918</v>
      </c>
      <c r="E313" s="69"/>
      <c r="F313" s="69" t="s">
        <v>26</v>
      </c>
      <c r="G313" s="65" t="s">
        <v>27</v>
      </c>
      <c r="H313" s="65" t="s">
        <v>28</v>
      </c>
      <c r="I313" s="70" t="s">
        <v>29</v>
      </c>
      <c r="J313" s="71"/>
      <c r="K313" s="71">
        <v>50000</v>
      </c>
      <c r="L313" s="72">
        <f>IFERROR(IF(G313="","",VLOOKUP($G313,[1]基础信息!$B:$C,2,FALSE)+SUMIF(G$8:G313,G313,J$8:J313)-SUMIF(G$8:G313,G313,K$8:K313)+SUMIFS([1]内部转账!$G:$G,[1]内部转账!$C:$C,"&lt;="&amp;$D313,[1]内部转账!$E:$E,$G313)-SUMIFS([1]内部转账!$G:$G,[1]内部转账!$C:$C,"&lt;="&amp;$D313,[1]内部转账!$F:$F,$G313)),"")</f>
        <v>148888.38</v>
      </c>
      <c r="M313" s="64" t="s">
        <v>30</v>
      </c>
      <c r="N313" s="58" t="s">
        <v>31</v>
      </c>
      <c r="O313" s="64"/>
      <c r="P313" s="64" t="s">
        <v>31</v>
      </c>
      <c r="Q313" s="69"/>
      <c r="R313" s="69"/>
      <c r="S313" s="69"/>
    </row>
    <row r="314" s="2" customFormat="1" ht="24.95" customHeight="1" spans="1:19">
      <c r="A314" s="15"/>
      <c r="B314" s="55"/>
      <c r="C314" s="56"/>
      <c r="D314" s="68">
        <v>45921</v>
      </c>
      <c r="E314" s="69"/>
      <c r="F314" s="69" t="s">
        <v>26</v>
      </c>
      <c r="G314" s="65" t="s">
        <v>27</v>
      </c>
      <c r="H314" s="65" t="s">
        <v>33</v>
      </c>
      <c r="I314" s="70" t="s">
        <v>34</v>
      </c>
      <c r="J314" s="71"/>
      <c r="K314" s="71">
        <v>-9.06</v>
      </c>
      <c r="L314" s="72">
        <f>IFERROR(IF(G314="","",VLOOKUP($G314,[1]基础信息!$B:$C,2,FALSE)+SUMIF(G$8:G314,G314,J$8:J314)-SUMIF(G$8:G314,G314,K$8:K314)+SUMIFS([1]内部转账!$G:$G,[1]内部转账!$C:$C,"&lt;="&amp;$D314,[1]内部转账!$E:$E,$G314)-SUMIFS([1]内部转账!$G:$G,[1]内部转账!$C:$C,"&lt;="&amp;$D314,[1]内部转账!$F:$F,$G314)),"")</f>
        <v>148897.44</v>
      </c>
      <c r="M314" s="64" t="s">
        <v>35</v>
      </c>
      <c r="N314" s="69"/>
      <c r="O314" s="64"/>
      <c r="P314" s="64"/>
      <c r="Q314" s="69"/>
      <c r="R314" s="69"/>
      <c r="S314" s="69"/>
    </row>
    <row r="315" s="2" customFormat="1" ht="24.95" customHeight="1" spans="1:19">
      <c r="A315" s="15"/>
      <c r="B315" s="55"/>
      <c r="C315" s="56"/>
      <c r="D315" s="68">
        <v>45922</v>
      </c>
      <c r="E315" s="69"/>
      <c r="F315" s="69" t="s">
        <v>26</v>
      </c>
      <c r="G315" s="65" t="s">
        <v>27</v>
      </c>
      <c r="H315" s="65" t="s">
        <v>62</v>
      </c>
      <c r="I315" s="70" t="s">
        <v>188</v>
      </c>
      <c r="J315" s="71"/>
      <c r="K315" s="71">
        <v>71575.38</v>
      </c>
      <c r="L315" s="72">
        <f>IFERROR(IF(G315="","",VLOOKUP($G315,[1]基础信息!$B:$C,2,FALSE)+SUMIF(G$8:G315,G315,J$8:J315)-SUMIF(G$8:G315,G315,K$8:K315)+SUMIFS([1]内部转账!$G:$G,[1]内部转账!$C:$C,"&lt;="&amp;$D315,[1]内部转账!$E:$E,$G315)-SUMIFS([1]内部转账!$G:$G,[1]内部转账!$C:$C,"&lt;="&amp;$D315,[1]内部转账!$F:$F,$G315)),"")</f>
        <v>77322.0600000001</v>
      </c>
      <c r="M315" s="64" t="s">
        <v>150</v>
      </c>
      <c r="N315" s="69"/>
      <c r="O315" s="64"/>
      <c r="P315" s="64" t="s">
        <v>122</v>
      </c>
      <c r="Q315" s="69"/>
      <c r="R315" s="69"/>
      <c r="S315" s="69"/>
    </row>
    <row r="316" s="2" customFormat="1" ht="24.95" customHeight="1" spans="1:19">
      <c r="A316" s="15"/>
      <c r="B316" s="55"/>
      <c r="C316" s="56"/>
      <c r="D316" s="68">
        <v>45923</v>
      </c>
      <c r="E316" s="69"/>
      <c r="F316" s="69" t="s">
        <v>26</v>
      </c>
      <c r="G316" s="65" t="s">
        <v>27</v>
      </c>
      <c r="H316" s="65" t="s">
        <v>33</v>
      </c>
      <c r="I316" s="70" t="s">
        <v>180</v>
      </c>
      <c r="J316" s="71"/>
      <c r="K316" s="71">
        <v>9000</v>
      </c>
      <c r="L316" s="72">
        <f>IFERROR(IF(G316="","",VLOOKUP($G316,[1]基础信息!$B:$C,2,FALSE)+SUMIF(G$8:G316,G316,J$8:J316)-SUMIF(G$8:G316,G316,K$8:K316)+SUMIFS([1]内部转账!$G:$G,[1]内部转账!$C:$C,"&lt;="&amp;$D316,[1]内部转账!$E:$E,$G316)-SUMIFS([1]内部转账!$G:$G,[1]内部转账!$C:$C,"&lt;="&amp;$D316,[1]内部转账!$F:$F,$G316)),"")</f>
        <v>68322.0600000001</v>
      </c>
      <c r="M316" s="64" t="s">
        <v>35</v>
      </c>
      <c r="N316" s="69" t="s">
        <v>98</v>
      </c>
      <c r="O316" s="64"/>
      <c r="P316" s="64"/>
      <c r="Q316" s="69"/>
      <c r="R316" s="69"/>
      <c r="S316" s="69"/>
    </row>
    <row r="317" s="2" customFormat="1" ht="24.95" customHeight="1" spans="1:19">
      <c r="A317" s="15"/>
      <c r="B317" s="55"/>
      <c r="C317" s="56"/>
      <c r="D317" s="68">
        <v>45924</v>
      </c>
      <c r="E317" s="69"/>
      <c r="F317" s="69" t="s">
        <v>42</v>
      </c>
      <c r="G317" s="65" t="s">
        <v>27</v>
      </c>
      <c r="H317" s="65" t="s">
        <v>43</v>
      </c>
      <c r="I317" s="70" t="s">
        <v>189</v>
      </c>
      <c r="J317" s="71">
        <v>412092.76</v>
      </c>
      <c r="K317" s="71"/>
      <c r="L317" s="72">
        <f>IFERROR(IF(G317="","",VLOOKUP($G317,[1]基础信息!$B:$C,2,FALSE)+SUMIF(G$8:G317,G317,J$8:J317)-SUMIF(G$8:G317,G317,K$8:K317)+SUMIFS([1]内部转账!$G:$G,[1]内部转账!$C:$C,"&lt;="&amp;$D317,[1]内部转账!$E:$E,$G317)-SUMIFS([1]内部转账!$G:$G,[1]内部转账!$C:$C,"&lt;="&amp;$D317,[1]内部转账!$F:$F,$G317)),"")</f>
        <v>480414.82</v>
      </c>
      <c r="M317" s="64" t="s">
        <v>109</v>
      </c>
      <c r="N317" s="69"/>
      <c r="O317" s="64"/>
      <c r="P317" s="64"/>
      <c r="Q317" s="69"/>
      <c r="R317" s="69"/>
      <c r="S317" s="69"/>
    </row>
    <row r="318" s="2" customFormat="1" ht="24.95" customHeight="1" spans="1:19">
      <c r="A318" s="15"/>
      <c r="B318" s="55"/>
      <c r="C318" s="56"/>
      <c r="D318" s="68">
        <v>45926</v>
      </c>
      <c r="E318" s="69"/>
      <c r="F318" s="69" t="s">
        <v>26</v>
      </c>
      <c r="G318" s="65" t="s">
        <v>27</v>
      </c>
      <c r="H318" s="65" t="s">
        <v>62</v>
      </c>
      <c r="I318" s="70" t="s">
        <v>188</v>
      </c>
      <c r="J318" s="71"/>
      <c r="K318" s="71">
        <v>3937.66</v>
      </c>
      <c r="L318" s="72">
        <f>IFERROR(IF(G318="","",VLOOKUP($G318,[1]基础信息!$B:$C,2,FALSE)+SUMIF(G$8:G318,G318,J$8:J318)-SUMIF(G$8:G318,G318,K$8:K318)+SUMIFS([1]内部转账!$G:$G,[1]内部转账!$C:$C,"&lt;="&amp;$D318,[1]内部转账!$E:$E,$G318)-SUMIFS([1]内部转账!$G:$G,[1]内部转账!$C:$C,"&lt;="&amp;$D318,[1]内部转账!$F:$F,$G318)),"")</f>
        <v>476477.16</v>
      </c>
      <c r="M318" s="64" t="s">
        <v>150</v>
      </c>
      <c r="N318" s="69"/>
      <c r="O318" s="64"/>
      <c r="P318" s="64" t="s">
        <v>122</v>
      </c>
      <c r="Q318" s="69"/>
      <c r="R318" s="69"/>
      <c r="S318" s="69"/>
    </row>
    <row r="319" s="2" customFormat="1" ht="24.95" customHeight="1" spans="1:19">
      <c r="A319" s="15"/>
      <c r="B319" s="55"/>
      <c r="C319" s="56"/>
      <c r="D319" s="68">
        <v>45926</v>
      </c>
      <c r="E319" s="69"/>
      <c r="F319" s="69" t="s">
        <v>26</v>
      </c>
      <c r="G319" s="65" t="s">
        <v>27</v>
      </c>
      <c r="H319" s="65" t="s">
        <v>46</v>
      </c>
      <c r="I319" s="70" t="s">
        <v>190</v>
      </c>
      <c r="J319" s="71"/>
      <c r="K319" s="71">
        <v>108000</v>
      </c>
      <c r="L319" s="72">
        <f>IFERROR(IF(G319="","",VLOOKUP($G319,[1]基础信息!$B:$C,2,FALSE)+SUMIF(G$8:G319,G319,J$8:J319)-SUMIF(G$8:G319,G319,K$8:K319)+SUMIFS([1]内部转账!$G:$G,[1]内部转账!$C:$C,"&lt;="&amp;$D319,[1]内部转账!$E:$E,$G319)-SUMIFS([1]内部转账!$G:$G,[1]内部转账!$C:$C,"&lt;="&amp;$D319,[1]内部转账!$F:$F,$G319)),"")</f>
        <v>368477.16</v>
      </c>
      <c r="M319" s="64" t="s">
        <v>109</v>
      </c>
      <c r="N319" s="69"/>
      <c r="O319" s="64"/>
      <c r="P319" s="64"/>
      <c r="Q319" s="69"/>
      <c r="R319" s="69"/>
      <c r="S319" s="69"/>
    </row>
    <row r="320" s="2" customFormat="1" ht="24.95" customHeight="1" spans="1:19">
      <c r="A320" s="15"/>
      <c r="B320" s="55"/>
      <c r="C320" s="56"/>
      <c r="D320" s="68">
        <v>45926</v>
      </c>
      <c r="E320" s="69"/>
      <c r="F320" s="69" t="s">
        <v>26</v>
      </c>
      <c r="G320" s="65" t="s">
        <v>27</v>
      </c>
      <c r="H320" s="65" t="s">
        <v>46</v>
      </c>
      <c r="I320" s="70" t="s">
        <v>190</v>
      </c>
      <c r="J320" s="71"/>
      <c r="K320" s="71">
        <v>-108000</v>
      </c>
      <c r="L320" s="72">
        <f>IFERROR(IF(G320="","",VLOOKUP($G320,[1]基础信息!$B:$C,2,FALSE)+SUMIF(G$8:G320,G320,J$8:J320)-SUMIF(G$8:G320,G320,K$8:K320)+SUMIFS([1]内部转账!$G:$G,[1]内部转账!$C:$C,"&lt;="&amp;$D320,[1]内部转账!$E:$E,$G320)-SUMIFS([1]内部转账!$G:$G,[1]内部转账!$C:$C,"&lt;="&amp;$D320,[1]内部转账!$F:$F,$G320)),"")</f>
        <v>476477.16</v>
      </c>
      <c r="M320" s="64" t="s">
        <v>109</v>
      </c>
      <c r="N320" s="69"/>
      <c r="O320" s="64"/>
      <c r="P320" s="64"/>
      <c r="Q320" s="69"/>
      <c r="R320" s="69"/>
      <c r="S320" s="69"/>
    </row>
    <row r="321" s="2" customFormat="1" ht="24.95" customHeight="1" spans="1:19">
      <c r="A321" s="15"/>
      <c r="B321" s="55"/>
      <c r="C321" s="56"/>
      <c r="D321" s="68">
        <v>45926</v>
      </c>
      <c r="E321" s="69"/>
      <c r="F321" s="69" t="s">
        <v>26</v>
      </c>
      <c r="G321" s="65" t="s">
        <v>27</v>
      </c>
      <c r="H321" s="65" t="s">
        <v>46</v>
      </c>
      <c r="I321" s="70" t="s">
        <v>190</v>
      </c>
      <c r="J321" s="71"/>
      <c r="K321" s="71">
        <v>108000</v>
      </c>
      <c r="L321" s="72">
        <f>IFERROR(IF(G321="","",VLOOKUP($G321,[1]基础信息!$B:$C,2,FALSE)+SUMIF(G$8:G321,G321,J$8:J321)-SUMIF(G$8:G321,G321,K$8:K321)+SUMIFS([1]内部转账!$G:$G,[1]内部转账!$C:$C,"&lt;="&amp;$D321,[1]内部转账!$E:$E,$G321)-SUMIFS([1]内部转账!$G:$G,[1]内部转账!$C:$C,"&lt;="&amp;$D321,[1]内部转账!$F:$F,$G321)),"")</f>
        <v>368477.16</v>
      </c>
      <c r="M321" s="64" t="s">
        <v>109</v>
      </c>
      <c r="N321" s="69"/>
      <c r="O321" s="64"/>
      <c r="P321" s="64"/>
      <c r="Q321" s="69"/>
      <c r="R321" s="69"/>
      <c r="S321" s="69"/>
    </row>
    <row r="322" s="2" customFormat="1" ht="24.95" customHeight="1" spans="1:19">
      <c r="A322" s="15"/>
      <c r="B322" s="55"/>
      <c r="C322" s="56"/>
      <c r="D322" s="68">
        <v>45928</v>
      </c>
      <c r="E322" s="69"/>
      <c r="F322" s="69" t="s">
        <v>26</v>
      </c>
      <c r="G322" s="65" t="s">
        <v>27</v>
      </c>
      <c r="H322" s="65" t="s">
        <v>62</v>
      </c>
      <c r="I322" s="70" t="s">
        <v>177</v>
      </c>
      <c r="J322" s="71"/>
      <c r="K322" s="71">
        <v>4096</v>
      </c>
      <c r="L322" s="72">
        <f>IFERROR(IF(G322="","",VLOOKUP($G322,[1]基础信息!$B:$C,2,FALSE)+SUMIF(G$8:G322,G322,J$8:J322)-SUMIF(G$8:G322,G322,K$8:K322)+SUMIFS([1]内部转账!$G:$G,[1]内部转账!$C:$C,"&lt;="&amp;$D322,[1]内部转账!$E:$E,$G322)-SUMIFS([1]内部转账!$G:$G,[1]内部转账!$C:$C,"&lt;="&amp;$D322,[1]内部转账!$F:$F,$G322)),"")</f>
        <v>364381.16</v>
      </c>
      <c r="M322" s="64" t="s">
        <v>150</v>
      </c>
      <c r="N322" s="69"/>
      <c r="O322" s="64"/>
      <c r="P322" s="64" t="s">
        <v>178</v>
      </c>
      <c r="Q322" s="69"/>
      <c r="R322" s="69"/>
      <c r="S322" s="69"/>
    </row>
    <row r="323" s="2" customFormat="1" ht="24.95" customHeight="1" spans="1:19">
      <c r="A323" s="15"/>
      <c r="B323" s="55"/>
      <c r="C323" s="56"/>
      <c r="D323" s="68">
        <v>45928</v>
      </c>
      <c r="E323" s="69"/>
      <c r="F323" s="69" t="s">
        <v>26</v>
      </c>
      <c r="G323" s="65" t="s">
        <v>27</v>
      </c>
      <c r="H323" s="65" t="s">
        <v>28</v>
      </c>
      <c r="I323" s="70" t="s">
        <v>29</v>
      </c>
      <c r="J323" s="71"/>
      <c r="K323" s="71">
        <v>30000</v>
      </c>
      <c r="L323" s="72">
        <f>IFERROR(IF(G323="","",VLOOKUP($G323,[1]基础信息!$B:$C,2,FALSE)+SUMIF(G$8:G323,G323,J$8:J323)-SUMIF(G$8:G323,G323,K$8:K323)+SUMIFS([1]内部转账!$G:$G,[1]内部转账!$C:$C,"&lt;="&amp;$D323,[1]内部转账!$E:$E,$G323)-SUMIFS([1]内部转账!$G:$G,[1]内部转账!$C:$C,"&lt;="&amp;$D323,[1]内部转账!$F:$F,$G323)),"")</f>
        <v>334381.16</v>
      </c>
      <c r="M323" s="64" t="s">
        <v>30</v>
      </c>
      <c r="N323" s="58" t="s">
        <v>31</v>
      </c>
      <c r="O323" s="64"/>
      <c r="P323" s="64" t="s">
        <v>31</v>
      </c>
      <c r="Q323" s="69"/>
      <c r="R323" s="69"/>
      <c r="S323" s="69"/>
    </row>
    <row r="324" s="2" customFormat="1" ht="24.95" customHeight="1" spans="1:19">
      <c r="A324" s="15"/>
      <c r="B324" s="55"/>
      <c r="C324" s="56"/>
      <c r="D324" s="68">
        <v>45929</v>
      </c>
      <c r="E324" s="69"/>
      <c r="F324" s="69" t="s">
        <v>26</v>
      </c>
      <c r="G324" s="65" t="s">
        <v>27</v>
      </c>
      <c r="H324" s="65" t="s">
        <v>33</v>
      </c>
      <c r="I324" s="70" t="s">
        <v>191</v>
      </c>
      <c r="J324" s="71"/>
      <c r="K324" s="71">
        <v>10000</v>
      </c>
      <c r="L324" s="72">
        <f>IFERROR(IF(G324="","",VLOOKUP($G324,[1]基础信息!$B:$C,2,FALSE)+SUMIF(G$8:G324,G324,J$8:J324)-SUMIF(G$8:G324,G324,K$8:K324)+SUMIFS([1]内部转账!$G:$G,[1]内部转账!$C:$C,"&lt;="&amp;$D324,[1]内部转账!$E:$E,$G324)-SUMIFS([1]内部转账!$G:$G,[1]内部转账!$C:$C,"&lt;="&amp;$D324,[1]内部转账!$F:$F,$G324)),"")</f>
        <v>324381.16</v>
      </c>
      <c r="M324" s="64" t="s">
        <v>35</v>
      </c>
      <c r="N324" s="69" t="s">
        <v>92</v>
      </c>
      <c r="O324" s="64"/>
      <c r="P324" s="64" t="s">
        <v>92</v>
      </c>
      <c r="Q324" s="69"/>
      <c r="R324" s="69"/>
      <c r="S324" s="69"/>
    </row>
    <row r="325" s="2" customFormat="1" ht="24.95" customHeight="1" spans="1:19">
      <c r="A325" s="15"/>
      <c r="B325" s="55"/>
      <c r="C325" s="56"/>
      <c r="D325" s="68">
        <v>45929</v>
      </c>
      <c r="E325" s="69"/>
      <c r="F325" s="69" t="s">
        <v>26</v>
      </c>
      <c r="G325" s="65" t="s">
        <v>27</v>
      </c>
      <c r="H325" s="65" t="s">
        <v>62</v>
      </c>
      <c r="I325" s="70" t="s">
        <v>188</v>
      </c>
      <c r="J325" s="71"/>
      <c r="K325" s="71">
        <v>58556.29</v>
      </c>
      <c r="L325" s="72">
        <f>IFERROR(IF(G325="","",VLOOKUP($G325,[1]基础信息!$B:$C,2,FALSE)+SUMIF(G$8:G325,G325,J$8:J325)-SUMIF(G$8:G325,G325,K$8:K325)+SUMIFS([1]内部转账!$G:$G,[1]内部转账!$C:$C,"&lt;="&amp;$D325,[1]内部转账!$E:$E,$G325)-SUMIFS([1]内部转账!$G:$G,[1]内部转账!$C:$C,"&lt;="&amp;$D325,[1]内部转账!$F:$F,$G325)),"")</f>
        <v>265824.87</v>
      </c>
      <c r="M325" s="64" t="s">
        <v>166</v>
      </c>
      <c r="N325" s="69"/>
      <c r="O325" s="64"/>
      <c r="P325" s="64" t="s">
        <v>122</v>
      </c>
      <c r="Q325" s="69"/>
      <c r="R325" s="69"/>
      <c r="S325" s="69"/>
    </row>
    <row r="326" s="2" customFormat="1" ht="24.95" customHeight="1" spans="1:19">
      <c r="A326" s="15"/>
      <c r="B326" s="55"/>
      <c r="C326" s="56"/>
      <c r="D326" s="68">
        <v>45929</v>
      </c>
      <c r="E326" s="69"/>
      <c r="F326" s="69" t="s">
        <v>26</v>
      </c>
      <c r="G326" s="65" t="s">
        <v>27</v>
      </c>
      <c r="H326" s="65" t="s">
        <v>62</v>
      </c>
      <c r="I326" s="70" t="s">
        <v>188</v>
      </c>
      <c r="J326" s="71"/>
      <c r="K326" s="71">
        <v>4432.4</v>
      </c>
      <c r="L326" s="72">
        <f>IFERROR(IF(G326="","",VLOOKUP($G326,[1]基础信息!$B:$C,2,FALSE)+SUMIF(G$8:G326,G326,J$8:J326)-SUMIF(G$8:G326,G326,K$8:K326)+SUMIFS([1]内部转账!$G:$G,[1]内部转账!$C:$C,"&lt;="&amp;$D326,[1]内部转账!$E:$E,$G326)-SUMIFS([1]内部转账!$G:$G,[1]内部转账!$C:$C,"&lt;="&amp;$D326,[1]内部转账!$F:$F,$G326)),"")</f>
        <v>261392.47</v>
      </c>
      <c r="M326" s="64" t="s">
        <v>150</v>
      </c>
      <c r="N326" s="69"/>
      <c r="O326" s="64"/>
      <c r="P326" s="64" t="s">
        <v>122</v>
      </c>
      <c r="Q326" s="69"/>
      <c r="R326" s="69"/>
      <c r="S326" s="69"/>
    </row>
    <row r="327" s="2" customFormat="1" ht="24.95" customHeight="1" spans="1:19">
      <c r="A327" s="15"/>
      <c r="B327" s="55"/>
      <c r="C327" s="56"/>
      <c r="D327" s="68">
        <v>45930</v>
      </c>
      <c r="E327" s="69"/>
      <c r="F327" s="69" t="s">
        <v>42</v>
      </c>
      <c r="G327" s="65" t="s">
        <v>27</v>
      </c>
      <c r="H327" s="65" t="s">
        <v>43</v>
      </c>
      <c r="I327" s="70" t="s">
        <v>149</v>
      </c>
      <c r="J327" s="71">
        <v>386650.18</v>
      </c>
      <c r="K327" s="71"/>
      <c r="L327" s="72">
        <f>IFERROR(IF(G327="","",VLOOKUP($G327,[1]基础信息!$B:$C,2,FALSE)+SUMIF(G$8:G327,G327,J$8:J327)-SUMIF(G$8:G327,G327,K$8:K327)+SUMIFS([1]内部转账!$G:$G,[1]内部转账!$C:$C,"&lt;="&amp;$D327,[1]内部转账!$E:$E,$G327)-SUMIFS([1]内部转账!$G:$G,[1]内部转账!$C:$C,"&lt;="&amp;$D327,[1]内部转账!$F:$F,$G327)),"")</f>
        <v>648042.65</v>
      </c>
      <c r="M327" s="64" t="s">
        <v>150</v>
      </c>
      <c r="N327" s="69"/>
      <c r="O327" s="64" t="s">
        <v>151</v>
      </c>
      <c r="P327" s="64"/>
      <c r="Q327" s="69">
        <v>1001</v>
      </c>
      <c r="R327" s="69"/>
      <c r="S327" s="69"/>
    </row>
    <row r="328" s="2" customFormat="1" ht="24.95" customHeight="1" spans="1:19">
      <c r="A328" s="15"/>
      <c r="B328" s="55"/>
      <c r="C328" s="56"/>
      <c r="D328" s="68">
        <v>45930</v>
      </c>
      <c r="E328" s="69"/>
      <c r="F328" s="69" t="s">
        <v>26</v>
      </c>
      <c r="G328" s="65" t="s">
        <v>27</v>
      </c>
      <c r="H328" s="65" t="s">
        <v>62</v>
      </c>
      <c r="I328" s="70" t="s">
        <v>192</v>
      </c>
      <c r="J328" s="71"/>
      <c r="K328" s="71">
        <v>47656</v>
      </c>
      <c r="L328" s="72">
        <f>IFERROR(IF(G328="","",VLOOKUP($G328,[1]基础信息!$B:$C,2,FALSE)+SUMIF(G$8:G328,G328,J$8:J328)-SUMIF(G$8:G328,G328,K$8:K328)+SUMIFS([1]内部转账!$G:$G,[1]内部转账!$C:$C,"&lt;="&amp;$D328,[1]内部转账!$E:$E,$G328)-SUMIFS([1]内部转账!$G:$G,[1]内部转账!$C:$C,"&lt;="&amp;$D328,[1]内部转账!$F:$F,$G328)),"")</f>
        <v>600386.65</v>
      </c>
      <c r="M328" s="64" t="s">
        <v>150</v>
      </c>
      <c r="N328" s="69"/>
      <c r="O328" s="64"/>
      <c r="P328" s="64" t="s">
        <v>193</v>
      </c>
      <c r="Q328" s="69"/>
      <c r="R328" s="69"/>
      <c r="S328" s="69"/>
    </row>
    <row r="329" s="2" customFormat="1" ht="24.95" customHeight="1" spans="1:19">
      <c r="A329" s="15"/>
      <c r="B329" s="55"/>
      <c r="C329" s="56"/>
      <c r="D329" s="68">
        <v>45930</v>
      </c>
      <c r="E329" s="69"/>
      <c r="F329" s="69" t="s">
        <v>26</v>
      </c>
      <c r="G329" s="65" t="s">
        <v>27</v>
      </c>
      <c r="H329" s="65" t="s">
        <v>62</v>
      </c>
      <c r="I329" s="70" t="s">
        <v>192</v>
      </c>
      <c r="J329" s="71"/>
      <c r="K329" s="71">
        <v>-47656</v>
      </c>
      <c r="L329" s="72">
        <f>IFERROR(IF(G329="","",VLOOKUP($G329,[1]基础信息!$B:$C,2,FALSE)+SUMIF(G$8:G329,G329,J$8:J329)-SUMIF(G$8:G329,G329,K$8:K329)+SUMIFS([1]内部转账!$G:$G,[1]内部转账!$C:$C,"&lt;="&amp;$D329,[1]内部转账!$E:$E,$G329)-SUMIFS([1]内部转账!$G:$G,[1]内部转账!$C:$C,"&lt;="&amp;$D329,[1]内部转账!$F:$F,$G329)),"")</f>
        <v>648042.65</v>
      </c>
      <c r="M329" s="64" t="s">
        <v>150</v>
      </c>
      <c r="N329" s="69"/>
      <c r="O329" s="64"/>
      <c r="P329" s="64" t="s">
        <v>193</v>
      </c>
      <c r="Q329" s="69"/>
      <c r="R329" s="69"/>
      <c r="S329" s="69"/>
    </row>
    <row r="330" s="2" customFormat="1" ht="24.95" customHeight="1" spans="1:19">
      <c r="A330" s="15"/>
      <c r="B330" s="55"/>
      <c r="C330" s="56"/>
      <c r="D330" s="68">
        <v>45930</v>
      </c>
      <c r="E330" s="69"/>
      <c r="F330" s="69" t="s">
        <v>26</v>
      </c>
      <c r="G330" s="65" t="s">
        <v>27</v>
      </c>
      <c r="H330" s="65" t="s">
        <v>62</v>
      </c>
      <c r="I330" s="70" t="s">
        <v>192</v>
      </c>
      <c r="J330" s="71"/>
      <c r="K330" s="71">
        <v>47656</v>
      </c>
      <c r="L330" s="72">
        <f>IFERROR(IF(G330="","",VLOOKUP($G330,[1]基础信息!$B:$C,2,FALSE)+SUMIF(G$8:G330,G330,J$8:J330)-SUMIF(G$8:G330,G330,K$8:K330)+SUMIFS([1]内部转账!$G:$G,[1]内部转账!$C:$C,"&lt;="&amp;$D330,[1]内部转账!$E:$E,$G330)-SUMIFS([1]内部转账!$G:$G,[1]内部转账!$C:$C,"&lt;="&amp;$D330,[1]内部转账!$F:$F,$G330)),"")</f>
        <v>600386.65</v>
      </c>
      <c r="M330" s="64" t="s">
        <v>150</v>
      </c>
      <c r="N330" s="69"/>
      <c r="O330" s="64"/>
      <c r="P330" s="64" t="s">
        <v>193</v>
      </c>
      <c r="Q330" s="69"/>
      <c r="R330" s="69"/>
      <c r="S330" s="69"/>
    </row>
    <row r="331" s="2" customFormat="1" ht="24.95" customHeight="1" spans="1:19">
      <c r="A331" s="15"/>
      <c r="B331" s="55"/>
      <c r="C331" s="56"/>
      <c r="D331" s="68">
        <v>45932</v>
      </c>
      <c r="E331" s="69"/>
      <c r="F331" s="69" t="s">
        <v>26</v>
      </c>
      <c r="G331" s="65" t="s">
        <v>27</v>
      </c>
      <c r="H331" s="65" t="s">
        <v>62</v>
      </c>
      <c r="I331" s="70" t="s">
        <v>163</v>
      </c>
      <c r="J331" s="71"/>
      <c r="K331" s="71">
        <v>30000</v>
      </c>
      <c r="L331" s="72">
        <f>IFERROR(IF(G331="","",VLOOKUP($G331,[1]基础信息!$B:$C,2,FALSE)+SUMIF(G$8:G331,G331,J$8:J331)-SUMIF(G$8:G331,G331,K$8:K331)+SUMIFS([1]内部转账!$G:$G,[1]内部转账!$C:$C,"&lt;="&amp;$D331,[1]内部转账!$E:$E,$G331)-SUMIFS([1]内部转账!$G:$G,[1]内部转账!$C:$C,"&lt;="&amp;$D331,[1]内部转账!$F:$F,$G331)),"")</f>
        <v>570386.65</v>
      </c>
      <c r="M331" s="64" t="s">
        <v>150</v>
      </c>
      <c r="N331" s="69"/>
      <c r="O331" s="64"/>
      <c r="P331" s="64" t="s">
        <v>164</v>
      </c>
      <c r="Q331" s="69"/>
      <c r="R331" s="69"/>
      <c r="S331" s="69"/>
    </row>
    <row r="332" s="2" customFormat="1" ht="24.95" customHeight="1" spans="1:19">
      <c r="A332" s="15"/>
      <c r="B332" s="55"/>
      <c r="C332" s="56"/>
      <c r="D332" s="68">
        <v>45933</v>
      </c>
      <c r="E332" s="69"/>
      <c r="F332" s="69" t="s">
        <v>26</v>
      </c>
      <c r="G332" s="65" t="s">
        <v>27</v>
      </c>
      <c r="H332" s="65" t="s">
        <v>46</v>
      </c>
      <c r="I332" s="70" t="s">
        <v>190</v>
      </c>
      <c r="J332" s="71"/>
      <c r="K332" s="71">
        <v>163552.78</v>
      </c>
      <c r="L332" s="72">
        <f>IFERROR(IF(G332="","",VLOOKUP($G332,[1]基础信息!$B:$C,2,FALSE)+SUMIF(G$8:G332,G332,J$8:J332)-SUMIF(G$8:G332,G332,K$8:K332)+SUMIFS([1]内部转账!$G:$G,[1]内部转账!$C:$C,"&lt;="&amp;$D332,[1]内部转账!$E:$E,$G332)-SUMIFS([1]内部转账!$G:$G,[1]内部转账!$C:$C,"&lt;="&amp;$D332,[1]内部转账!$F:$F,$G332)),"")</f>
        <v>406833.870000001</v>
      </c>
      <c r="M332" s="64" t="s">
        <v>109</v>
      </c>
      <c r="N332" s="69"/>
      <c r="O332" s="64"/>
      <c r="P332" s="64"/>
      <c r="Q332" s="69"/>
      <c r="R332" s="69"/>
      <c r="S332" s="69"/>
    </row>
    <row r="333" s="2" customFormat="1" ht="24.95" customHeight="1" spans="1:19">
      <c r="A333" s="15"/>
      <c r="B333" s="55"/>
      <c r="C333" s="56"/>
      <c r="D333" s="68">
        <v>45933</v>
      </c>
      <c r="E333" s="69"/>
      <c r="F333" s="69" t="s">
        <v>26</v>
      </c>
      <c r="G333" s="65" t="s">
        <v>27</v>
      </c>
      <c r="H333" s="65" t="s">
        <v>62</v>
      </c>
      <c r="I333" s="70" t="s">
        <v>106</v>
      </c>
      <c r="J333" s="71"/>
      <c r="K333" s="71">
        <v>35000</v>
      </c>
      <c r="L333" s="72">
        <f>IFERROR(IF(G333="","",VLOOKUP($G333,[1]基础信息!$B:$C,2,FALSE)+SUMIF(G$8:G333,G333,J$8:J333)-SUMIF(G$8:G333,G333,K$8:K333)+SUMIFS([1]内部转账!$G:$G,[1]内部转账!$C:$C,"&lt;="&amp;$D333,[1]内部转账!$E:$E,$G333)-SUMIFS([1]内部转账!$G:$G,[1]内部转账!$C:$C,"&lt;="&amp;$D333,[1]内部转账!$F:$F,$G333)),"")</f>
        <v>371833.870000001</v>
      </c>
      <c r="M333" s="64" t="s">
        <v>121</v>
      </c>
      <c r="N333" s="69"/>
      <c r="O333" s="64"/>
      <c r="P333" s="64" t="s">
        <v>194</v>
      </c>
      <c r="Q333" s="69"/>
      <c r="R333" s="69"/>
      <c r="S333" s="69"/>
    </row>
    <row r="334" s="2" customFormat="1" ht="24.95" customHeight="1" spans="1:19">
      <c r="A334" s="15"/>
      <c r="B334" s="55"/>
      <c r="C334" s="56"/>
      <c r="D334" s="68">
        <v>45934</v>
      </c>
      <c r="E334" s="69"/>
      <c r="F334" s="69" t="s">
        <v>26</v>
      </c>
      <c r="G334" s="65" t="s">
        <v>27</v>
      </c>
      <c r="H334" s="65" t="s">
        <v>46</v>
      </c>
      <c r="I334" s="70" t="s">
        <v>195</v>
      </c>
      <c r="J334" s="71"/>
      <c r="K334" s="71">
        <v>130760</v>
      </c>
      <c r="L334" s="72">
        <f>IFERROR(IF(G334="","",VLOOKUP($G334,[1]基础信息!$B:$C,2,FALSE)+SUMIF(G$8:G334,G334,J$8:J334)-SUMIF(G$8:G334,G334,K$8:K334)+SUMIFS([1]内部转账!$G:$G,[1]内部转账!$C:$C,"&lt;="&amp;$D334,[1]内部转账!$E:$E,$G334)-SUMIFS([1]内部转账!$G:$G,[1]内部转账!$C:$C,"&lt;="&amp;$D334,[1]内部转账!$F:$F,$G334)),"")</f>
        <v>241073.870000001</v>
      </c>
      <c r="M334" s="64" t="s">
        <v>109</v>
      </c>
      <c r="N334" s="69"/>
      <c r="O334" s="64"/>
      <c r="P334" s="64"/>
      <c r="Q334" s="69"/>
      <c r="R334" s="69"/>
      <c r="S334" s="69"/>
    </row>
    <row r="335" s="2" customFormat="1" ht="24.95" customHeight="1" spans="1:19">
      <c r="A335" s="15"/>
      <c r="B335" s="55"/>
      <c r="C335" s="56"/>
      <c r="D335" s="68">
        <v>45934</v>
      </c>
      <c r="E335" s="69"/>
      <c r="F335" s="69" t="s">
        <v>26</v>
      </c>
      <c r="G335" s="65" t="s">
        <v>27</v>
      </c>
      <c r="H335" s="65" t="s">
        <v>62</v>
      </c>
      <c r="I335" s="70" t="s">
        <v>106</v>
      </c>
      <c r="J335" s="71"/>
      <c r="K335" s="71">
        <v>42000</v>
      </c>
      <c r="L335" s="72">
        <f>IFERROR(IF(G335="","",VLOOKUP($G335,[1]基础信息!$B:$C,2,FALSE)+SUMIF(G$8:G335,G335,J$8:J335)-SUMIF(G$8:G335,G335,K$8:K335)+SUMIFS([1]内部转账!$G:$G,[1]内部转账!$C:$C,"&lt;="&amp;$D335,[1]内部转账!$E:$E,$G335)-SUMIFS([1]内部转账!$G:$G,[1]内部转账!$C:$C,"&lt;="&amp;$D335,[1]内部转账!$F:$F,$G335)),"")</f>
        <v>199073.870000001</v>
      </c>
      <c r="M335" s="64" t="s">
        <v>121</v>
      </c>
      <c r="N335" s="69"/>
      <c r="O335" s="64"/>
      <c r="P335" s="64" t="s">
        <v>194</v>
      </c>
      <c r="Q335" s="69"/>
      <c r="R335" s="69"/>
      <c r="S335" s="69"/>
    </row>
    <row r="336" s="2" customFormat="1" ht="24.95" customHeight="1" spans="1:19">
      <c r="A336" s="15"/>
      <c r="B336" s="55"/>
      <c r="C336" s="56"/>
      <c r="D336" s="68">
        <v>45935</v>
      </c>
      <c r="E336" s="69"/>
      <c r="F336" s="69" t="s">
        <v>26</v>
      </c>
      <c r="G336" s="65" t="s">
        <v>27</v>
      </c>
      <c r="H336" s="65" t="s">
        <v>46</v>
      </c>
      <c r="I336" s="70" t="s">
        <v>196</v>
      </c>
      <c r="J336" s="71"/>
      <c r="K336" s="71">
        <v>6000</v>
      </c>
      <c r="L336" s="72">
        <f>IFERROR(IF(G336="","",VLOOKUP($G336,[1]基础信息!$B:$C,2,FALSE)+SUMIF(G$8:G336,G336,J$8:J336)-SUMIF(G$8:G336,G336,K$8:K336)+SUMIFS([1]内部转账!$G:$G,[1]内部转账!$C:$C,"&lt;="&amp;$D336,[1]内部转账!$E:$E,$G336)-SUMIFS([1]内部转账!$G:$G,[1]内部转账!$C:$C,"&lt;="&amp;$D336,[1]内部转账!$F:$F,$G336)),"")</f>
        <v>193073.870000001</v>
      </c>
      <c r="M336" s="64" t="s">
        <v>150</v>
      </c>
      <c r="N336" s="69" t="s">
        <v>128</v>
      </c>
      <c r="O336" s="64"/>
      <c r="P336" s="64"/>
      <c r="Q336" s="69"/>
      <c r="R336" s="69"/>
      <c r="S336" s="69"/>
    </row>
    <row r="337" s="2" customFormat="1" ht="24.95" customHeight="1" spans="1:19">
      <c r="A337" s="15"/>
      <c r="B337" s="55"/>
      <c r="C337" s="56"/>
      <c r="D337" s="68">
        <v>45935</v>
      </c>
      <c r="E337" s="69"/>
      <c r="F337" s="69" t="s">
        <v>26</v>
      </c>
      <c r="G337" s="65" t="s">
        <v>27</v>
      </c>
      <c r="H337" s="65" t="s">
        <v>46</v>
      </c>
      <c r="I337" s="70" t="s">
        <v>197</v>
      </c>
      <c r="J337" s="71"/>
      <c r="K337" s="71">
        <v>6500</v>
      </c>
      <c r="L337" s="72">
        <f>IFERROR(IF(G337="","",VLOOKUP($G337,[1]基础信息!$B:$C,2,FALSE)+SUMIF(G$8:G337,G337,J$8:J337)-SUMIF(G$8:G337,G337,K$8:K337)+SUMIFS([1]内部转账!$G:$G,[1]内部转账!$C:$C,"&lt;="&amp;$D337,[1]内部转账!$E:$E,$G337)-SUMIFS([1]内部转账!$G:$G,[1]内部转账!$C:$C,"&lt;="&amp;$D337,[1]内部转账!$F:$F,$G337)),"")</f>
        <v>186573.870000001</v>
      </c>
      <c r="M337" s="64" t="s">
        <v>150</v>
      </c>
      <c r="N337" s="69" t="s">
        <v>128</v>
      </c>
      <c r="O337" s="64"/>
      <c r="P337" s="64"/>
      <c r="Q337" s="69"/>
      <c r="R337" s="69"/>
      <c r="S337" s="69"/>
    </row>
    <row r="338" s="2" customFormat="1" ht="24.95" customHeight="1" spans="1:19">
      <c r="A338" s="15"/>
      <c r="B338" s="55"/>
      <c r="C338" s="56"/>
      <c r="D338" s="68">
        <v>45935</v>
      </c>
      <c r="E338" s="69"/>
      <c r="F338" s="69" t="s">
        <v>26</v>
      </c>
      <c r="G338" s="65" t="s">
        <v>27</v>
      </c>
      <c r="H338" s="65" t="s">
        <v>53</v>
      </c>
      <c r="I338" s="70" t="s">
        <v>98</v>
      </c>
      <c r="J338" s="71"/>
      <c r="K338" s="71">
        <v>9850</v>
      </c>
      <c r="L338" s="72">
        <f>IFERROR(IF(G338="","",VLOOKUP($G338,[1]基础信息!$B:$C,2,FALSE)+SUMIF(G$8:G338,G338,J$8:J338)-SUMIF(G$8:G338,G338,K$8:K338)+SUMIFS([1]内部转账!$G:$G,[1]内部转账!$C:$C,"&lt;="&amp;$D338,[1]内部转账!$E:$E,$G338)-SUMIFS([1]内部转账!$G:$G,[1]内部转账!$C:$C,"&lt;="&amp;$D338,[1]内部转账!$F:$F,$G338)),"")</f>
        <v>176723.870000001</v>
      </c>
      <c r="M338" s="64" t="s">
        <v>35</v>
      </c>
      <c r="N338" s="69" t="s">
        <v>98</v>
      </c>
      <c r="O338" s="64"/>
      <c r="P338" s="64" t="s">
        <v>150</v>
      </c>
      <c r="Q338" s="69"/>
      <c r="R338" s="69"/>
      <c r="S338" s="69"/>
    </row>
    <row r="339" s="2" customFormat="1" ht="24.95" customHeight="1" spans="1:19">
      <c r="A339" s="15"/>
      <c r="B339" s="55"/>
      <c r="C339" s="56"/>
      <c r="D339" s="68">
        <v>45935</v>
      </c>
      <c r="E339" s="69"/>
      <c r="F339" s="69" t="s">
        <v>26</v>
      </c>
      <c r="G339" s="65" t="s">
        <v>27</v>
      </c>
      <c r="H339" s="65" t="s">
        <v>46</v>
      </c>
      <c r="I339" s="70" t="s">
        <v>65</v>
      </c>
      <c r="J339" s="71"/>
      <c r="K339" s="71">
        <v>4000</v>
      </c>
      <c r="L339" s="72">
        <f>IFERROR(IF(G339="","",VLOOKUP($G339,[1]基础信息!$B:$C,2,FALSE)+SUMIF(G$8:G339,G339,J$8:J339)-SUMIF(G$8:G339,G339,K$8:K339)+SUMIFS([1]内部转账!$G:$G,[1]内部转账!$C:$C,"&lt;="&amp;$D339,[1]内部转账!$E:$E,$G339)-SUMIFS([1]内部转账!$G:$G,[1]内部转账!$C:$C,"&lt;="&amp;$D339,[1]内部转账!$F:$F,$G339)),"")</f>
        <v>172723.870000001</v>
      </c>
      <c r="M339" s="64" t="s">
        <v>150</v>
      </c>
      <c r="N339" s="69"/>
      <c r="O339" s="64"/>
      <c r="P339" s="64"/>
      <c r="Q339" s="69"/>
      <c r="R339" s="69"/>
      <c r="S339" s="69"/>
    </row>
    <row r="340" s="2" customFormat="1" ht="24.95" customHeight="1" spans="1:19">
      <c r="A340" s="15"/>
      <c r="B340" s="55"/>
      <c r="C340" s="56"/>
      <c r="D340" s="68">
        <v>45935</v>
      </c>
      <c r="E340" s="69"/>
      <c r="F340" s="69" t="s">
        <v>26</v>
      </c>
      <c r="G340" s="65" t="s">
        <v>27</v>
      </c>
      <c r="H340" s="65" t="s">
        <v>46</v>
      </c>
      <c r="I340" s="70" t="s">
        <v>127</v>
      </c>
      <c r="J340" s="71"/>
      <c r="K340" s="71">
        <v>4000</v>
      </c>
      <c r="L340" s="72">
        <f>IFERROR(IF(G340="","",VLOOKUP($G340,[1]基础信息!$B:$C,2,FALSE)+SUMIF(G$8:G340,G340,J$8:J340)-SUMIF(G$8:G340,G340,K$8:K340)+SUMIFS([1]内部转账!$G:$G,[1]内部转账!$C:$C,"&lt;="&amp;$D340,[1]内部转账!$E:$E,$G340)-SUMIFS([1]内部转账!$G:$G,[1]内部转账!$C:$C,"&lt;="&amp;$D340,[1]内部转账!$F:$F,$G340)),"")</f>
        <v>168723.870000001</v>
      </c>
      <c r="M340" s="64" t="s">
        <v>150</v>
      </c>
      <c r="N340" s="69"/>
      <c r="O340" s="64"/>
      <c r="P340" s="64"/>
      <c r="Q340" s="69"/>
      <c r="R340" s="69"/>
      <c r="S340" s="69"/>
    </row>
    <row r="341" s="2" customFormat="1" ht="24.95" customHeight="1" spans="1:19">
      <c r="A341" s="15"/>
      <c r="B341" s="55"/>
      <c r="C341" s="56"/>
      <c r="D341" s="68">
        <v>45935</v>
      </c>
      <c r="E341" s="69"/>
      <c r="F341" s="69" t="s">
        <v>26</v>
      </c>
      <c r="G341" s="65" t="s">
        <v>27</v>
      </c>
      <c r="H341" s="65" t="s">
        <v>46</v>
      </c>
      <c r="I341" s="70" t="s">
        <v>179</v>
      </c>
      <c r="J341" s="71"/>
      <c r="K341" s="71">
        <v>4000</v>
      </c>
      <c r="L341" s="72">
        <f>IFERROR(IF(G341="","",VLOOKUP($G341,[1]基础信息!$B:$C,2,FALSE)+SUMIF(G$8:G341,G341,J$8:J341)-SUMIF(G$8:G341,G341,K$8:K341)+SUMIFS([1]内部转账!$G:$G,[1]内部转账!$C:$C,"&lt;="&amp;$D341,[1]内部转账!$E:$E,$G341)-SUMIFS([1]内部转账!$G:$G,[1]内部转账!$C:$C,"&lt;="&amp;$D341,[1]内部转账!$F:$F,$G341)),"")</f>
        <v>164723.870000001</v>
      </c>
      <c r="M341" s="64" t="s">
        <v>150</v>
      </c>
      <c r="N341" s="69"/>
      <c r="O341" s="64"/>
      <c r="P341" s="64"/>
      <c r="Q341" s="69"/>
      <c r="R341" s="69"/>
      <c r="S341" s="69"/>
    </row>
    <row r="342" s="2" customFormat="1" ht="24.95" customHeight="1" spans="1:19">
      <c r="A342" s="15"/>
      <c r="B342" s="55"/>
      <c r="C342" s="56"/>
      <c r="D342" s="68">
        <v>45935</v>
      </c>
      <c r="E342" s="69"/>
      <c r="F342" s="69" t="s">
        <v>26</v>
      </c>
      <c r="G342" s="65" t="s">
        <v>27</v>
      </c>
      <c r="H342" s="65" t="s">
        <v>46</v>
      </c>
      <c r="I342" s="70" t="s">
        <v>94</v>
      </c>
      <c r="J342" s="71"/>
      <c r="K342" s="71">
        <v>5000</v>
      </c>
      <c r="L342" s="72">
        <f>IFERROR(IF(G342="","",VLOOKUP($G342,[1]基础信息!$B:$C,2,FALSE)+SUMIF(G$8:G342,G342,J$8:J342)-SUMIF(G$8:G342,G342,K$8:K342)+SUMIFS([1]内部转账!$G:$G,[1]内部转账!$C:$C,"&lt;="&amp;$D342,[1]内部转账!$E:$E,$G342)-SUMIFS([1]内部转账!$G:$G,[1]内部转账!$C:$C,"&lt;="&amp;$D342,[1]内部转账!$F:$F,$G342)),"")</f>
        <v>159723.870000001</v>
      </c>
      <c r="M342" s="64" t="s">
        <v>150</v>
      </c>
      <c r="N342" s="69"/>
      <c r="O342" s="64"/>
      <c r="P342" s="64"/>
      <c r="Q342" s="69"/>
      <c r="R342" s="69"/>
      <c r="S342" s="69"/>
    </row>
    <row r="343" s="2" customFormat="1" ht="24.95" customHeight="1" spans="1:19">
      <c r="A343" s="15"/>
      <c r="B343" s="55"/>
      <c r="C343" s="56"/>
      <c r="D343" s="68">
        <v>45935</v>
      </c>
      <c r="E343" s="69"/>
      <c r="F343" s="69" t="s">
        <v>26</v>
      </c>
      <c r="G343" s="65" t="s">
        <v>27</v>
      </c>
      <c r="H343" s="65" t="s">
        <v>46</v>
      </c>
      <c r="I343" s="70" t="s">
        <v>130</v>
      </c>
      <c r="J343" s="71"/>
      <c r="K343" s="71">
        <v>4000</v>
      </c>
      <c r="L343" s="72">
        <f>IFERROR(IF(G343="","",VLOOKUP($G343,[1]基础信息!$B:$C,2,FALSE)+SUMIF(G$8:G343,G343,J$8:J343)-SUMIF(G$8:G343,G343,K$8:K343)+SUMIFS([1]内部转账!$G:$G,[1]内部转账!$C:$C,"&lt;="&amp;$D343,[1]内部转账!$E:$E,$G343)-SUMIFS([1]内部转账!$G:$G,[1]内部转账!$C:$C,"&lt;="&amp;$D343,[1]内部转账!$F:$F,$G343)),"")</f>
        <v>155723.870000001</v>
      </c>
      <c r="M343" s="64" t="s">
        <v>150</v>
      </c>
      <c r="N343" s="69"/>
      <c r="O343" s="64"/>
      <c r="P343" s="64"/>
      <c r="Q343" s="69"/>
      <c r="R343" s="69"/>
      <c r="S343" s="69"/>
    </row>
    <row r="344" s="2" customFormat="1" ht="24.95" customHeight="1" spans="1:19">
      <c r="A344" s="15"/>
      <c r="B344" s="55"/>
      <c r="C344" s="56"/>
      <c r="D344" s="68">
        <v>45935</v>
      </c>
      <c r="E344" s="69"/>
      <c r="F344" s="69" t="s">
        <v>26</v>
      </c>
      <c r="G344" s="65" t="s">
        <v>27</v>
      </c>
      <c r="H344" s="65" t="s">
        <v>46</v>
      </c>
      <c r="I344" s="70" t="s">
        <v>131</v>
      </c>
      <c r="J344" s="71"/>
      <c r="K344" s="71">
        <v>4000</v>
      </c>
      <c r="L344" s="72">
        <f>IFERROR(IF(G344="","",VLOOKUP($G344,[1]基础信息!$B:$C,2,FALSE)+SUMIF(G$8:G344,G344,J$8:J344)-SUMIF(G$8:G344,G344,K$8:K344)+SUMIFS([1]内部转账!$G:$G,[1]内部转账!$C:$C,"&lt;="&amp;$D344,[1]内部转账!$E:$E,$G344)-SUMIFS([1]内部转账!$G:$G,[1]内部转账!$C:$C,"&lt;="&amp;$D344,[1]内部转账!$F:$F,$G344)),"")</f>
        <v>151723.870000001</v>
      </c>
      <c r="M344" s="64" t="s">
        <v>150</v>
      </c>
      <c r="N344" s="69"/>
      <c r="O344" s="64"/>
      <c r="P344" s="64"/>
      <c r="Q344" s="69"/>
      <c r="R344" s="69"/>
      <c r="S344" s="69"/>
    </row>
    <row r="345" s="2" customFormat="1" ht="24.95" customHeight="1" spans="1:19">
      <c r="A345" s="15"/>
      <c r="B345" s="55"/>
      <c r="C345" s="56"/>
      <c r="D345" s="68">
        <v>45935</v>
      </c>
      <c r="E345" s="69"/>
      <c r="F345" s="69" t="s">
        <v>26</v>
      </c>
      <c r="G345" s="65" t="s">
        <v>27</v>
      </c>
      <c r="H345" s="65" t="s">
        <v>46</v>
      </c>
      <c r="I345" s="70" t="s">
        <v>74</v>
      </c>
      <c r="J345" s="71"/>
      <c r="K345" s="71">
        <v>4000</v>
      </c>
      <c r="L345" s="72">
        <f>IFERROR(IF(G345="","",VLOOKUP($G345,[1]基础信息!$B:$C,2,FALSE)+SUMIF(G$8:G345,G345,J$8:J345)-SUMIF(G$8:G345,G345,K$8:K345)+SUMIFS([1]内部转账!$G:$G,[1]内部转账!$C:$C,"&lt;="&amp;$D345,[1]内部转账!$E:$E,$G345)-SUMIFS([1]内部转账!$G:$G,[1]内部转账!$C:$C,"&lt;="&amp;$D345,[1]内部转账!$F:$F,$G345)),"")</f>
        <v>147723.870000001</v>
      </c>
      <c r="M345" s="64" t="s">
        <v>150</v>
      </c>
      <c r="N345" s="69"/>
      <c r="O345" s="64"/>
      <c r="P345" s="64"/>
      <c r="Q345" s="69"/>
      <c r="R345" s="69"/>
      <c r="S345" s="69"/>
    </row>
    <row r="346" s="2" customFormat="1" ht="24.95" customHeight="1" spans="1:19">
      <c r="A346" s="15"/>
      <c r="B346" s="55"/>
      <c r="C346" s="56"/>
      <c r="D346" s="68">
        <v>45936</v>
      </c>
      <c r="E346" s="69"/>
      <c r="F346" s="69" t="s">
        <v>26</v>
      </c>
      <c r="G346" s="65" t="s">
        <v>27</v>
      </c>
      <c r="H346" s="65" t="s">
        <v>46</v>
      </c>
      <c r="I346" s="70" t="s">
        <v>132</v>
      </c>
      <c r="J346" s="71"/>
      <c r="K346" s="71">
        <v>3500</v>
      </c>
      <c r="L346" s="72">
        <f>IFERROR(IF(G346="","",VLOOKUP($G346,[1]基础信息!$B:$C,2,FALSE)+SUMIF(G$8:G346,G346,J$8:J346)-SUMIF(G$8:G346,G346,K$8:K346)+SUMIFS([1]内部转账!$G:$G,[1]内部转账!$C:$C,"&lt;="&amp;$D346,[1]内部转账!$E:$E,$G346)-SUMIFS([1]内部转账!$G:$G,[1]内部转账!$C:$C,"&lt;="&amp;$D346,[1]内部转账!$F:$F,$G346)),"")</f>
        <v>144223.870000001</v>
      </c>
      <c r="M346" s="64" t="s">
        <v>150</v>
      </c>
      <c r="N346" s="69"/>
      <c r="O346" s="64"/>
      <c r="P346" s="64"/>
      <c r="Q346" s="69"/>
      <c r="R346" s="69"/>
      <c r="S346" s="69"/>
    </row>
    <row r="347" s="2" customFormat="1" ht="24.95" customHeight="1" spans="1:19">
      <c r="A347" s="15"/>
      <c r="B347" s="55"/>
      <c r="C347" s="56"/>
      <c r="D347" s="68">
        <v>45936</v>
      </c>
      <c r="E347" s="69"/>
      <c r="F347" s="69" t="s">
        <v>26</v>
      </c>
      <c r="G347" s="65" t="s">
        <v>27</v>
      </c>
      <c r="H347" s="65" t="s">
        <v>28</v>
      </c>
      <c r="I347" s="70" t="s">
        <v>29</v>
      </c>
      <c r="J347" s="71"/>
      <c r="K347" s="71">
        <v>30000</v>
      </c>
      <c r="L347" s="72">
        <f>IFERROR(IF(G347="","",VLOOKUP($G347,[1]基础信息!$B:$C,2,FALSE)+SUMIF(G$8:G347,G347,J$8:J347)-SUMIF(G$8:G347,G347,K$8:K347)+SUMIFS([1]内部转账!$G:$G,[1]内部转账!$C:$C,"&lt;="&amp;$D347,[1]内部转账!$E:$E,$G347)-SUMIFS([1]内部转账!$G:$G,[1]内部转账!$C:$C,"&lt;="&amp;$D347,[1]内部转账!$F:$F,$G347)),"")</f>
        <v>114223.870000001</v>
      </c>
      <c r="M347" s="64" t="s">
        <v>30</v>
      </c>
      <c r="N347" s="58" t="s">
        <v>31</v>
      </c>
      <c r="O347" s="64"/>
      <c r="P347" s="64" t="s">
        <v>31</v>
      </c>
      <c r="Q347" s="69"/>
      <c r="R347" s="69"/>
      <c r="S347" s="69"/>
    </row>
    <row r="348" s="2" customFormat="1" ht="24.95" customHeight="1" spans="1:19">
      <c r="A348" s="15"/>
      <c r="B348" s="55"/>
      <c r="C348" s="56"/>
      <c r="D348" s="68">
        <v>45936</v>
      </c>
      <c r="E348" s="69"/>
      <c r="F348" s="69" t="s">
        <v>26</v>
      </c>
      <c r="G348" s="65" t="s">
        <v>27</v>
      </c>
      <c r="H348" s="65" t="s">
        <v>46</v>
      </c>
      <c r="I348" s="70" t="s">
        <v>68</v>
      </c>
      <c r="J348" s="71"/>
      <c r="K348" s="71">
        <v>4000</v>
      </c>
      <c r="L348" s="72">
        <f>IFERROR(IF(G348="","",VLOOKUP($G348,[1]基础信息!$B:$C,2,FALSE)+SUMIF(G$8:G348,G348,J$8:J348)-SUMIF(G$8:G348,G348,K$8:K348)+SUMIFS([1]内部转账!$G:$G,[1]内部转账!$C:$C,"&lt;="&amp;$D348,[1]内部转账!$E:$E,$G348)-SUMIFS([1]内部转账!$G:$G,[1]内部转账!$C:$C,"&lt;="&amp;$D348,[1]内部转账!$F:$F,$G348)),"")</f>
        <v>110223.870000001</v>
      </c>
      <c r="M348" s="64" t="s">
        <v>150</v>
      </c>
      <c r="N348" s="69"/>
      <c r="O348" s="64"/>
      <c r="P348" s="64"/>
      <c r="Q348" s="69"/>
      <c r="R348" s="69"/>
      <c r="S348" s="69"/>
    </row>
    <row r="349" s="2" customFormat="1" ht="24.95" customHeight="1" spans="1:19">
      <c r="A349" s="15"/>
      <c r="B349" s="55"/>
      <c r="C349" s="56"/>
      <c r="D349" s="68">
        <v>45936</v>
      </c>
      <c r="E349" s="69"/>
      <c r="F349" s="69" t="s">
        <v>26</v>
      </c>
      <c r="G349" s="65" t="s">
        <v>27</v>
      </c>
      <c r="H349" s="65" t="s">
        <v>46</v>
      </c>
      <c r="I349" s="70" t="s">
        <v>97</v>
      </c>
      <c r="J349" s="71"/>
      <c r="K349" s="71">
        <v>3000</v>
      </c>
      <c r="L349" s="72">
        <f>IFERROR(IF(G349="","",VLOOKUP($G349,[1]基础信息!$B:$C,2,FALSE)+SUMIF(G$8:G349,G349,J$8:J349)-SUMIF(G$8:G349,G349,K$8:K349)+SUMIFS([1]内部转账!$G:$G,[1]内部转账!$C:$C,"&lt;="&amp;$D349,[1]内部转账!$E:$E,$G349)-SUMIFS([1]内部转账!$G:$G,[1]内部转账!$C:$C,"&lt;="&amp;$D349,[1]内部转账!$F:$F,$G349)),"")</f>
        <v>107223.870000001</v>
      </c>
      <c r="M349" s="64" t="s">
        <v>150</v>
      </c>
      <c r="N349" s="69"/>
      <c r="O349" s="64"/>
      <c r="P349" s="64"/>
      <c r="Q349" s="69"/>
      <c r="R349" s="69"/>
      <c r="S349" s="69"/>
    </row>
    <row r="350" s="2" customFormat="1" ht="24.95" customHeight="1" spans="1:19">
      <c r="A350" s="15"/>
      <c r="B350" s="55"/>
      <c r="C350" s="56"/>
      <c r="D350" s="68">
        <v>45936</v>
      </c>
      <c r="E350" s="69"/>
      <c r="F350" s="69" t="s">
        <v>26</v>
      </c>
      <c r="G350" s="65" t="s">
        <v>27</v>
      </c>
      <c r="H350" s="65" t="s">
        <v>46</v>
      </c>
      <c r="I350" s="70" t="s">
        <v>73</v>
      </c>
      <c r="J350" s="71"/>
      <c r="K350" s="71">
        <v>4000</v>
      </c>
      <c r="L350" s="72">
        <f>IFERROR(IF(G350="","",VLOOKUP($G350,[1]基础信息!$B:$C,2,FALSE)+SUMIF(G$8:G350,G350,J$8:J350)-SUMIF(G$8:G350,G350,K$8:K350)+SUMIFS([1]内部转账!$G:$G,[1]内部转账!$C:$C,"&lt;="&amp;$D350,[1]内部转账!$E:$E,$G350)-SUMIFS([1]内部转账!$G:$G,[1]内部转账!$C:$C,"&lt;="&amp;$D350,[1]内部转账!$F:$F,$G350)),"")</f>
        <v>103223.870000001</v>
      </c>
      <c r="M350" s="64" t="s">
        <v>150</v>
      </c>
      <c r="N350" s="69"/>
      <c r="O350" s="64"/>
      <c r="P350" s="64"/>
      <c r="Q350" s="69"/>
      <c r="R350" s="69"/>
      <c r="S350" s="69"/>
    </row>
    <row r="351" s="2" customFormat="1" ht="24.95" customHeight="1" spans="1:19">
      <c r="A351" s="15"/>
      <c r="B351" s="55"/>
      <c r="C351" s="56"/>
      <c r="D351" s="68">
        <v>45936</v>
      </c>
      <c r="E351" s="69"/>
      <c r="F351" s="69" t="s">
        <v>26</v>
      </c>
      <c r="G351" s="65" t="s">
        <v>27</v>
      </c>
      <c r="H351" s="65" t="s">
        <v>46</v>
      </c>
      <c r="I351" s="70" t="s">
        <v>198</v>
      </c>
      <c r="J351" s="71"/>
      <c r="K351" s="71">
        <v>4000</v>
      </c>
      <c r="L351" s="72">
        <f>IFERROR(IF(G351="","",VLOOKUP($G351,[1]基础信息!$B:$C,2,FALSE)+SUMIF(G$8:G351,G351,J$8:J351)-SUMIF(G$8:G351,G351,K$8:K351)+SUMIFS([1]内部转账!$G:$G,[1]内部转账!$C:$C,"&lt;="&amp;$D351,[1]内部转账!$E:$E,$G351)-SUMIFS([1]内部转账!$G:$G,[1]内部转账!$C:$C,"&lt;="&amp;$D351,[1]内部转账!$F:$F,$G351)),"")</f>
        <v>99223.8700000006</v>
      </c>
      <c r="M351" s="64" t="s">
        <v>150</v>
      </c>
      <c r="N351" s="69"/>
      <c r="O351" s="64"/>
      <c r="P351" s="64"/>
      <c r="Q351" s="69"/>
      <c r="R351" s="69"/>
      <c r="S351" s="69"/>
    </row>
    <row r="352" s="2" customFormat="1" ht="24.95" customHeight="1" spans="1:19">
      <c r="A352" s="15"/>
      <c r="B352" s="55"/>
      <c r="C352" s="56"/>
      <c r="D352" s="68">
        <v>45936</v>
      </c>
      <c r="E352" s="69"/>
      <c r="F352" s="69" t="s">
        <v>26</v>
      </c>
      <c r="G352" s="65" t="s">
        <v>27</v>
      </c>
      <c r="H352" s="65" t="s">
        <v>53</v>
      </c>
      <c r="I352" s="70" t="s">
        <v>157</v>
      </c>
      <c r="J352" s="71"/>
      <c r="K352" s="71">
        <v>5000</v>
      </c>
      <c r="L352" s="72">
        <f>IFERROR(IF(G352="","",VLOOKUP($G352,[1]基础信息!$B:$C,2,FALSE)+SUMIF(G$8:G352,G352,J$8:J352)-SUMIF(G$8:G352,G352,K$8:K352)+SUMIFS([1]内部转账!$G:$G,[1]内部转账!$C:$C,"&lt;="&amp;$D352,[1]内部转账!$E:$E,$G352)-SUMIFS([1]内部转账!$G:$G,[1]内部转账!$C:$C,"&lt;="&amp;$D352,[1]内部转账!$F:$F,$G352)),"")</f>
        <v>94223.8700000006</v>
      </c>
      <c r="M352" s="64" t="s">
        <v>35</v>
      </c>
      <c r="N352" s="69" t="s">
        <v>157</v>
      </c>
      <c r="O352" s="64"/>
      <c r="P352" s="64" t="s">
        <v>150</v>
      </c>
      <c r="Q352" s="69"/>
      <c r="R352" s="69"/>
      <c r="S352" s="69"/>
    </row>
    <row r="353" s="2" customFormat="1" ht="24.95" customHeight="1" spans="1:19">
      <c r="A353" s="15"/>
      <c r="B353" s="55"/>
      <c r="C353" s="56"/>
      <c r="D353" s="68">
        <v>45937</v>
      </c>
      <c r="E353" s="69"/>
      <c r="F353" s="69" t="s">
        <v>26</v>
      </c>
      <c r="G353" s="65" t="s">
        <v>27</v>
      </c>
      <c r="H353" s="65" t="s">
        <v>33</v>
      </c>
      <c r="I353" s="70" t="s">
        <v>199</v>
      </c>
      <c r="J353" s="71"/>
      <c r="K353" s="71">
        <v>12800</v>
      </c>
      <c r="L353" s="72">
        <f>IFERROR(IF(G353="","",VLOOKUP($G353,[1]基础信息!$B:$C,2,FALSE)+SUMIF(G$8:G353,G353,J$8:J353)-SUMIF(G$8:G353,G353,K$8:K353)+SUMIFS([1]内部转账!$G:$G,[1]内部转账!$C:$C,"&lt;="&amp;$D353,[1]内部转账!$E:$E,$G353)-SUMIFS([1]内部转账!$G:$G,[1]内部转账!$C:$C,"&lt;="&amp;$D353,[1]内部转账!$F:$F,$G353)),"")</f>
        <v>81423.8700000006</v>
      </c>
      <c r="M353" s="64" t="s">
        <v>35</v>
      </c>
      <c r="N353" s="69" t="s">
        <v>128</v>
      </c>
      <c r="O353" s="64"/>
      <c r="P353" s="64" t="s">
        <v>200</v>
      </c>
      <c r="Q353" s="69"/>
      <c r="R353" s="69"/>
      <c r="S353" s="69"/>
    </row>
    <row r="354" s="2" customFormat="1" ht="24.95" customHeight="1" spans="1:19">
      <c r="A354" s="15"/>
      <c r="B354" s="55"/>
      <c r="C354" s="56"/>
      <c r="D354" s="68">
        <v>45937</v>
      </c>
      <c r="E354" s="69"/>
      <c r="F354" s="69" t="s">
        <v>26</v>
      </c>
      <c r="G354" s="65" t="s">
        <v>27</v>
      </c>
      <c r="H354" s="65" t="s">
        <v>33</v>
      </c>
      <c r="I354" s="70" t="s">
        <v>199</v>
      </c>
      <c r="J354" s="71"/>
      <c r="K354" s="71">
        <v>6800</v>
      </c>
      <c r="L354" s="72">
        <f>IFERROR(IF(G354="","",VLOOKUP($G354,[1]基础信息!$B:$C,2,FALSE)+SUMIF(G$8:G354,G354,J$8:J354)-SUMIF(G$8:G354,G354,K$8:K354)+SUMIFS([1]内部转账!$G:$G,[1]内部转账!$C:$C,"&lt;="&amp;$D354,[1]内部转账!$E:$E,$G354)-SUMIFS([1]内部转账!$G:$G,[1]内部转账!$C:$C,"&lt;="&amp;$D354,[1]内部转账!$F:$F,$G354)),"")</f>
        <v>74623.8700000006</v>
      </c>
      <c r="M354" s="64" t="s">
        <v>35</v>
      </c>
      <c r="N354" s="69" t="s">
        <v>128</v>
      </c>
      <c r="O354" s="64"/>
      <c r="P354" s="64" t="s">
        <v>200</v>
      </c>
      <c r="Q354" s="69"/>
      <c r="R354" s="69"/>
      <c r="S354" s="69"/>
    </row>
    <row r="355" s="2" customFormat="1" ht="24.95" customHeight="1" spans="1:19">
      <c r="A355" s="15"/>
      <c r="B355" s="55"/>
      <c r="C355" s="56"/>
      <c r="D355" s="68">
        <v>45938</v>
      </c>
      <c r="E355" s="69"/>
      <c r="F355" s="69" t="s">
        <v>26</v>
      </c>
      <c r="G355" s="65" t="s">
        <v>27</v>
      </c>
      <c r="H355" s="65" t="s">
        <v>62</v>
      </c>
      <c r="I355" s="70" t="s">
        <v>188</v>
      </c>
      <c r="J355" s="71"/>
      <c r="K355" s="71">
        <v>69485.2</v>
      </c>
      <c r="L355" s="72">
        <f>IFERROR(IF(G355="","",VLOOKUP($G355,[1]基础信息!$B:$C,2,FALSE)+SUMIF(G$8:G355,G355,J$8:J355)-SUMIF(G$8:G355,G355,K$8:K355)+SUMIFS([1]内部转账!$G:$G,[1]内部转账!$C:$C,"&lt;="&amp;$D355,[1]内部转账!$E:$E,$G355)-SUMIFS([1]内部转账!$G:$G,[1]内部转账!$C:$C,"&lt;="&amp;$D355,[1]内部转账!$F:$F,$G355)),"")</f>
        <v>5138.67000000039</v>
      </c>
      <c r="M355" s="64" t="s">
        <v>166</v>
      </c>
      <c r="N355" s="69"/>
      <c r="O355" s="64"/>
      <c r="P355" s="64" t="s">
        <v>122</v>
      </c>
      <c r="Q355" s="69"/>
      <c r="R355" s="69"/>
      <c r="S355" s="69"/>
    </row>
    <row r="356" s="2" customFormat="1" ht="24.95" customHeight="1" spans="1:19">
      <c r="A356" s="15"/>
      <c r="B356" s="55"/>
      <c r="C356" s="56"/>
      <c r="D356" s="68">
        <v>45938</v>
      </c>
      <c r="E356" s="69"/>
      <c r="F356" s="69" t="s">
        <v>26</v>
      </c>
      <c r="G356" s="65" t="s">
        <v>27</v>
      </c>
      <c r="H356" s="65" t="s">
        <v>28</v>
      </c>
      <c r="I356" s="70" t="s">
        <v>29</v>
      </c>
      <c r="J356" s="71"/>
      <c r="K356" s="71">
        <v>-15000</v>
      </c>
      <c r="L356" s="72">
        <f>IFERROR(IF(G356="","",VLOOKUP($G356,[1]基础信息!$B:$C,2,FALSE)+SUMIF(G$8:G356,G356,J$8:J356)-SUMIF(G$8:G356,G356,K$8:K356)+SUMIFS([1]内部转账!$G:$G,[1]内部转账!$C:$C,"&lt;="&amp;$D356,[1]内部转账!$E:$E,$G356)-SUMIFS([1]内部转账!$G:$G,[1]内部转账!$C:$C,"&lt;="&amp;$D356,[1]内部转账!$F:$F,$G356)),"")</f>
        <v>20138.6700000004</v>
      </c>
      <c r="M356" s="64" t="s">
        <v>30</v>
      </c>
      <c r="N356" s="58" t="s">
        <v>31</v>
      </c>
      <c r="O356" s="64"/>
      <c r="P356" s="64" t="s">
        <v>31</v>
      </c>
      <c r="Q356" s="69"/>
      <c r="R356" s="69"/>
      <c r="S356" s="69"/>
    </row>
    <row r="357" s="2" customFormat="1" ht="24.95" customHeight="1" spans="1:19">
      <c r="A357" s="15"/>
      <c r="B357" s="55"/>
      <c r="C357" s="56"/>
      <c r="D357" s="68">
        <v>45938</v>
      </c>
      <c r="E357" s="69"/>
      <c r="F357" s="69" t="s">
        <v>26</v>
      </c>
      <c r="G357" s="65" t="s">
        <v>27</v>
      </c>
      <c r="H357" s="65" t="s">
        <v>62</v>
      </c>
      <c r="I357" s="70" t="s">
        <v>188</v>
      </c>
      <c r="J357" s="71"/>
      <c r="K357" s="71">
        <v>10731.29</v>
      </c>
      <c r="L357" s="72">
        <f>IFERROR(IF(G357="","",VLOOKUP($G357,[1]基础信息!$B:$C,2,FALSE)+SUMIF(G$8:G357,G357,J$8:J357)-SUMIF(G$8:G357,G357,K$8:K357)+SUMIFS([1]内部转账!$G:$G,[1]内部转账!$C:$C,"&lt;="&amp;$D357,[1]内部转账!$E:$E,$G357)-SUMIFS([1]内部转账!$G:$G,[1]内部转账!$C:$C,"&lt;="&amp;$D357,[1]内部转账!$F:$F,$G357)),"")</f>
        <v>9407.38000000035</v>
      </c>
      <c r="M357" s="64" t="s">
        <v>150</v>
      </c>
      <c r="N357" s="69"/>
      <c r="O357" s="64"/>
      <c r="P357" s="64" t="s">
        <v>122</v>
      </c>
      <c r="Q357" s="69"/>
      <c r="R357" s="69"/>
      <c r="S357" s="69"/>
    </row>
    <row r="358" s="2" customFormat="1" ht="24.95" customHeight="1" spans="1:19">
      <c r="A358" s="15"/>
      <c r="B358" s="55"/>
      <c r="C358" s="56"/>
      <c r="D358" s="68">
        <v>45940</v>
      </c>
      <c r="E358" s="69"/>
      <c r="F358" s="69" t="s">
        <v>26</v>
      </c>
      <c r="G358" s="65" t="s">
        <v>27</v>
      </c>
      <c r="H358" s="65" t="s">
        <v>46</v>
      </c>
      <c r="I358" s="70" t="s">
        <v>137</v>
      </c>
      <c r="J358" s="71"/>
      <c r="K358" s="71">
        <v>3000</v>
      </c>
      <c r="L358" s="72">
        <f>IFERROR(IF(G358="","",VLOOKUP($G358,[1]基础信息!$B:$C,2,FALSE)+SUMIF(G$8:G358,G358,J$8:J358)-SUMIF(G$8:G358,G358,K$8:K358)+SUMIFS([1]内部转账!$G:$G,[1]内部转账!$C:$C,"&lt;="&amp;$D358,[1]内部转账!$E:$E,$G358)-SUMIFS([1]内部转账!$G:$G,[1]内部转账!$C:$C,"&lt;="&amp;$D358,[1]内部转账!$F:$F,$G358)),"")</f>
        <v>6407.38000000035</v>
      </c>
      <c r="M358" s="64" t="s">
        <v>150</v>
      </c>
      <c r="N358" s="69"/>
      <c r="O358" s="64"/>
      <c r="P358" s="64"/>
      <c r="Q358" s="69"/>
      <c r="R358" s="69"/>
      <c r="S358" s="69"/>
    </row>
    <row r="359" s="2" customFormat="1" ht="24.95" customHeight="1" spans="1:19">
      <c r="A359" s="15"/>
      <c r="B359" s="55"/>
      <c r="C359" s="56"/>
      <c r="D359" s="68">
        <v>45940</v>
      </c>
      <c r="E359" s="69"/>
      <c r="F359" s="69" t="s">
        <v>26</v>
      </c>
      <c r="G359" s="65" t="s">
        <v>27</v>
      </c>
      <c r="H359" s="65" t="s">
        <v>46</v>
      </c>
      <c r="I359" s="70" t="s">
        <v>201</v>
      </c>
      <c r="J359" s="71"/>
      <c r="K359" s="71">
        <v>2000</v>
      </c>
      <c r="L359" s="72">
        <f>IFERROR(IF(G359="","",VLOOKUP($G359,[1]基础信息!$B:$C,2,FALSE)+SUMIF(G$8:G359,G359,J$8:J359)-SUMIF(G$8:G359,G359,K$8:K359)+SUMIFS([1]内部转账!$G:$G,[1]内部转账!$C:$C,"&lt;="&amp;$D359,[1]内部转账!$E:$E,$G359)-SUMIFS([1]内部转账!$G:$G,[1]内部转账!$C:$C,"&lt;="&amp;$D359,[1]内部转账!$F:$F,$G359)),"")</f>
        <v>4407.38000000035</v>
      </c>
      <c r="M359" s="64" t="s">
        <v>150</v>
      </c>
      <c r="N359" s="69"/>
      <c r="O359" s="64"/>
      <c r="P359" s="64"/>
      <c r="Q359" s="69"/>
      <c r="R359" s="69"/>
      <c r="S359" s="69"/>
    </row>
    <row r="360" s="2" customFormat="1" ht="24.95" customHeight="1" spans="1:19">
      <c r="A360" s="15"/>
      <c r="B360" s="55"/>
      <c r="C360" s="56"/>
      <c r="D360" s="68">
        <v>45940</v>
      </c>
      <c r="E360" s="69"/>
      <c r="F360" s="69" t="s">
        <v>26</v>
      </c>
      <c r="G360" s="65" t="s">
        <v>27</v>
      </c>
      <c r="H360" s="65" t="s">
        <v>46</v>
      </c>
      <c r="I360" s="70" t="s">
        <v>201</v>
      </c>
      <c r="J360" s="71"/>
      <c r="K360" s="71">
        <v>-2000</v>
      </c>
      <c r="L360" s="72">
        <f>IFERROR(IF(G360="","",VLOOKUP($G360,[1]基础信息!$B:$C,2,FALSE)+SUMIF(G$8:G360,G360,J$8:J360)-SUMIF(G$8:G360,G360,K$8:K360)+SUMIFS([1]内部转账!$G:$G,[1]内部转账!$C:$C,"&lt;="&amp;$D360,[1]内部转账!$E:$E,$G360)-SUMIFS([1]内部转账!$G:$G,[1]内部转账!$C:$C,"&lt;="&amp;$D360,[1]内部转账!$F:$F,$G360)),"")</f>
        <v>6407.38000000035</v>
      </c>
      <c r="M360" s="64" t="s">
        <v>150</v>
      </c>
      <c r="N360" s="69"/>
      <c r="O360" s="64"/>
      <c r="P360" s="64"/>
      <c r="Q360" s="69"/>
      <c r="R360" s="69"/>
      <c r="S360" s="69"/>
    </row>
    <row r="361" s="2" customFormat="1" ht="24.95" customHeight="1" spans="1:19">
      <c r="A361" s="15"/>
      <c r="B361" s="55"/>
      <c r="C361" s="56"/>
      <c r="D361" s="68">
        <v>45940</v>
      </c>
      <c r="E361" s="69"/>
      <c r="F361" s="69" t="s">
        <v>26</v>
      </c>
      <c r="G361" s="65" t="s">
        <v>27</v>
      </c>
      <c r="H361" s="65" t="s">
        <v>46</v>
      </c>
      <c r="I361" s="70" t="s">
        <v>201</v>
      </c>
      <c r="J361" s="71"/>
      <c r="K361" s="71">
        <v>2000</v>
      </c>
      <c r="L361" s="72">
        <f>IFERROR(IF(G361="","",VLOOKUP($G361,[1]基础信息!$B:$C,2,FALSE)+SUMIF(G$8:G361,G361,J$8:J361)-SUMIF(G$8:G361,G361,K$8:K361)+SUMIFS([1]内部转账!$G:$G,[1]内部转账!$C:$C,"&lt;="&amp;$D361,[1]内部转账!$E:$E,$G361)-SUMIFS([1]内部转账!$G:$G,[1]内部转账!$C:$C,"&lt;="&amp;$D361,[1]内部转账!$F:$F,$G361)),"")</f>
        <v>4407.38000000035</v>
      </c>
      <c r="M361" s="64" t="s">
        <v>150</v>
      </c>
      <c r="N361" s="69"/>
      <c r="O361" s="64"/>
      <c r="P361" s="64"/>
      <c r="Q361" s="69"/>
      <c r="R361" s="69"/>
      <c r="S361" s="69"/>
    </row>
    <row r="362" s="2" customFormat="1" ht="24.95" customHeight="1" spans="1:19">
      <c r="A362" s="15"/>
      <c r="B362" s="55"/>
      <c r="C362" s="56"/>
      <c r="D362" s="68">
        <v>45944</v>
      </c>
      <c r="E362" s="69"/>
      <c r="F362" s="69" t="s">
        <v>26</v>
      </c>
      <c r="G362" s="65" t="s">
        <v>27</v>
      </c>
      <c r="H362" s="65" t="s">
        <v>62</v>
      </c>
      <c r="I362" s="70" t="s">
        <v>188</v>
      </c>
      <c r="J362" s="71"/>
      <c r="K362" s="71">
        <v>1723.51</v>
      </c>
      <c r="L362" s="72">
        <f>IFERROR(IF(G362="","",VLOOKUP($G362,[1]基础信息!$B:$C,2,FALSE)+SUMIF(G$8:G362,G362,J$8:J362)-SUMIF(G$8:G362,G362,K$8:K362)+SUMIFS([1]内部转账!$G:$G,[1]内部转账!$C:$C,"&lt;="&amp;$D362,[1]内部转账!$E:$E,$G362)-SUMIFS([1]内部转账!$G:$G,[1]内部转账!$C:$C,"&lt;="&amp;$D362,[1]内部转账!$F:$F,$G362)),"")</f>
        <v>2683.87000000058</v>
      </c>
      <c r="M362" s="64" t="s">
        <v>166</v>
      </c>
      <c r="N362" s="69"/>
      <c r="O362" s="64"/>
      <c r="P362" s="64" t="s">
        <v>122</v>
      </c>
      <c r="Q362" s="69"/>
      <c r="R362" s="69"/>
      <c r="S362" s="69"/>
    </row>
    <row r="363" s="2" customFormat="1" ht="24.95" customHeight="1" spans="1:19">
      <c r="A363" s="15"/>
      <c r="B363" s="55"/>
      <c r="C363" s="56"/>
      <c r="D363" s="68">
        <v>45944</v>
      </c>
      <c r="E363" s="69"/>
      <c r="F363" s="69" t="s">
        <v>26</v>
      </c>
      <c r="G363" s="65" t="s">
        <v>27</v>
      </c>
      <c r="H363" s="65" t="s">
        <v>62</v>
      </c>
      <c r="I363" s="70" t="s">
        <v>188</v>
      </c>
      <c r="J363" s="71"/>
      <c r="K363" s="71">
        <v>1269</v>
      </c>
      <c r="L363" s="72">
        <f>IFERROR(IF(G363="","",VLOOKUP($G363,[1]基础信息!$B:$C,2,FALSE)+SUMIF(G$8:G363,G363,J$8:J363)-SUMIF(G$8:G363,G363,K$8:K363)+SUMIFS([1]内部转账!$G:$G,[1]内部转账!$C:$C,"&lt;="&amp;$D363,[1]内部转账!$E:$E,$G363)-SUMIFS([1]内部转账!$G:$G,[1]内部转账!$C:$C,"&lt;="&amp;$D363,[1]内部转账!$F:$F,$G363)),"")</f>
        <v>1414.87000000058</v>
      </c>
      <c r="M363" s="64" t="s">
        <v>166</v>
      </c>
      <c r="N363" s="69"/>
      <c r="O363" s="64"/>
      <c r="P363" s="64" t="s">
        <v>122</v>
      </c>
      <c r="Q363" s="69"/>
      <c r="R363" s="69"/>
      <c r="S363" s="69"/>
    </row>
    <row r="364" s="2" customFormat="1" ht="24.95" customHeight="1" spans="1:19">
      <c r="A364" s="15"/>
      <c r="B364" s="55"/>
      <c r="C364" s="56"/>
      <c r="D364" s="68">
        <v>45944</v>
      </c>
      <c r="E364" s="69"/>
      <c r="F364" s="69" t="s">
        <v>26</v>
      </c>
      <c r="G364" s="65" t="s">
        <v>27</v>
      </c>
      <c r="H364" s="65" t="s">
        <v>28</v>
      </c>
      <c r="I364" s="70" t="s">
        <v>29</v>
      </c>
      <c r="J364" s="71"/>
      <c r="K364" s="71">
        <v>-5000</v>
      </c>
      <c r="L364" s="72">
        <f>IFERROR(IF(G364="","",VLOOKUP($G364,[1]基础信息!$B:$C,2,FALSE)+SUMIF(G$8:G364,G364,J$8:J364)-SUMIF(G$8:G364,G364,K$8:K364)+SUMIFS([1]内部转账!$G:$G,[1]内部转账!$C:$C,"&lt;="&amp;$D364,[1]内部转账!$E:$E,$G364)-SUMIFS([1]内部转账!$G:$G,[1]内部转账!$C:$C,"&lt;="&amp;$D364,[1]内部转账!$F:$F,$G364)),"")</f>
        <v>6414.87000000058</v>
      </c>
      <c r="M364" s="64" t="s">
        <v>30</v>
      </c>
      <c r="N364" s="58" t="s">
        <v>31</v>
      </c>
      <c r="O364" s="64"/>
      <c r="P364" s="64" t="s">
        <v>31</v>
      </c>
      <c r="Q364" s="69"/>
      <c r="R364" s="69"/>
      <c r="S364" s="69"/>
    </row>
    <row r="365" s="2" customFormat="1" ht="24.95" customHeight="1" spans="1:19">
      <c r="A365" s="15"/>
      <c r="B365" s="55"/>
      <c r="C365" s="56"/>
      <c r="D365" s="68">
        <v>45944</v>
      </c>
      <c r="E365" s="69"/>
      <c r="F365" s="69" t="s">
        <v>26</v>
      </c>
      <c r="G365" s="65" t="s">
        <v>27</v>
      </c>
      <c r="H365" s="65" t="s">
        <v>62</v>
      </c>
      <c r="I365" s="70" t="s">
        <v>188</v>
      </c>
      <c r="J365" s="71"/>
      <c r="K365" s="71">
        <v>5583.6</v>
      </c>
      <c r="L365" s="72">
        <f>IFERROR(IF(G365="","",VLOOKUP($G365,[1]基础信息!$B:$C,2,FALSE)+SUMIF(G$8:G365,G365,J$8:J365)-SUMIF(G$8:G365,G365,K$8:K365)+SUMIFS([1]内部转账!$G:$G,[1]内部转账!$C:$C,"&lt;="&amp;$D365,[1]内部转账!$E:$E,$G365)-SUMIFS([1]内部转账!$G:$G,[1]内部转账!$C:$C,"&lt;="&amp;$D365,[1]内部转账!$F:$F,$G365)),"")</f>
        <v>831.270000000484</v>
      </c>
      <c r="M365" s="64" t="s">
        <v>150</v>
      </c>
      <c r="N365" s="69"/>
      <c r="O365" s="64"/>
      <c r="P365" s="64" t="s">
        <v>122</v>
      </c>
      <c r="Q365" s="69"/>
      <c r="R365" s="69"/>
      <c r="S365" s="69"/>
    </row>
    <row r="366" s="2" customFormat="1" ht="24.95" customHeight="1" spans="1:19">
      <c r="A366" s="15"/>
      <c r="B366" s="55"/>
      <c r="C366" s="56"/>
      <c r="D366" s="68">
        <v>45946</v>
      </c>
      <c r="E366" s="69"/>
      <c r="F366" s="69" t="s">
        <v>26</v>
      </c>
      <c r="G366" s="65" t="s">
        <v>27</v>
      </c>
      <c r="H366" s="65" t="s">
        <v>28</v>
      </c>
      <c r="I366" s="70" t="s">
        <v>29</v>
      </c>
      <c r="J366" s="71"/>
      <c r="K366" s="71">
        <v>-20000</v>
      </c>
      <c r="L366" s="72">
        <f>IFERROR(IF(G366="","",VLOOKUP($G366,[1]基础信息!$B:$C,2,FALSE)+SUMIF(G$8:G366,G366,J$8:J366)-SUMIF(G$8:G366,G366,K$8:K366)+SUMIFS([1]内部转账!$G:$G,[1]内部转账!$C:$C,"&lt;="&amp;$D366,[1]内部转账!$E:$E,$G366)-SUMIFS([1]内部转账!$G:$G,[1]内部转账!$C:$C,"&lt;="&amp;$D366,[1]内部转账!$F:$F,$G366)),"")</f>
        <v>20831.2700000005</v>
      </c>
      <c r="M366" s="64" t="s">
        <v>30</v>
      </c>
      <c r="N366" s="58" t="s">
        <v>31</v>
      </c>
      <c r="O366" s="64"/>
      <c r="P366" s="64" t="s">
        <v>31</v>
      </c>
      <c r="Q366" s="69"/>
      <c r="R366" s="69"/>
      <c r="S366" s="69"/>
    </row>
    <row r="367" s="2" customFormat="1" ht="24.95" customHeight="1" spans="1:19">
      <c r="A367" s="15"/>
      <c r="B367" s="55"/>
      <c r="C367" s="56"/>
      <c r="D367" s="68">
        <v>45946</v>
      </c>
      <c r="E367" s="69"/>
      <c r="F367" s="69" t="s">
        <v>26</v>
      </c>
      <c r="G367" s="65" t="s">
        <v>27</v>
      </c>
      <c r="H367" s="65" t="s">
        <v>62</v>
      </c>
      <c r="I367" s="70" t="s">
        <v>202</v>
      </c>
      <c r="J367" s="71"/>
      <c r="K367" s="71">
        <v>5300</v>
      </c>
      <c r="L367" s="72">
        <f>IFERROR(IF(G367="","",VLOOKUP($G367,[1]基础信息!$B:$C,2,FALSE)+SUMIF(G$8:G367,G367,J$8:J367)-SUMIF(G$8:G367,G367,K$8:K367)+SUMIFS([1]内部转账!$G:$G,[1]内部转账!$C:$C,"&lt;="&amp;$D367,[1]内部转账!$E:$E,$G367)-SUMIFS([1]内部转账!$G:$G,[1]内部转账!$C:$C,"&lt;="&amp;$D367,[1]内部转账!$F:$F,$G367)),"")</f>
        <v>15531.2700000005</v>
      </c>
      <c r="M367" s="64" t="s">
        <v>150</v>
      </c>
      <c r="N367" s="69"/>
      <c r="O367" s="64"/>
      <c r="P367" s="64" t="s">
        <v>203</v>
      </c>
      <c r="Q367" s="69"/>
      <c r="R367" s="69"/>
      <c r="S367" s="69"/>
    </row>
    <row r="368" s="2" customFormat="1" ht="24.95" customHeight="1" spans="1:19">
      <c r="A368" s="15"/>
      <c r="B368" s="55"/>
      <c r="C368" s="56"/>
      <c r="D368" s="68">
        <v>45946</v>
      </c>
      <c r="E368" s="69"/>
      <c r="F368" s="69" t="s">
        <v>42</v>
      </c>
      <c r="G368" s="65" t="s">
        <v>27</v>
      </c>
      <c r="H368" s="65" t="s">
        <v>43</v>
      </c>
      <c r="I368" s="70" t="s">
        <v>189</v>
      </c>
      <c r="J368" s="71">
        <v>76286.6</v>
      </c>
      <c r="K368" s="71"/>
      <c r="L368" s="72">
        <f>IFERROR(IF(G368="","",VLOOKUP($G368,[1]基础信息!$B:$C,2,FALSE)+SUMIF(G$8:G368,G368,J$8:J368)-SUMIF(G$8:G368,G368,K$8:K368)+SUMIFS([1]内部转账!$G:$G,[1]内部转账!$C:$C,"&lt;="&amp;$D368,[1]内部转账!$E:$E,$G368)-SUMIFS([1]内部转账!$G:$G,[1]内部转账!$C:$C,"&lt;="&amp;$D368,[1]内部转账!$F:$F,$G368)),"")</f>
        <v>91817.8700000006</v>
      </c>
      <c r="M368" s="64" t="s">
        <v>109</v>
      </c>
      <c r="N368" s="69"/>
      <c r="O368" s="64"/>
      <c r="P368" s="64"/>
      <c r="Q368" s="69"/>
      <c r="R368" s="69"/>
      <c r="S368" s="69"/>
    </row>
    <row r="369" s="2" customFormat="1" ht="24.95" customHeight="1" spans="1:19">
      <c r="A369" s="15"/>
      <c r="B369" s="55"/>
      <c r="C369" s="56"/>
      <c r="D369" s="68">
        <v>45947</v>
      </c>
      <c r="E369" s="69"/>
      <c r="F369" s="69" t="s">
        <v>26</v>
      </c>
      <c r="G369" s="65" t="s">
        <v>27</v>
      </c>
      <c r="H369" s="65" t="s">
        <v>204</v>
      </c>
      <c r="I369" s="70" t="s">
        <v>205</v>
      </c>
      <c r="J369" s="71"/>
      <c r="K369" s="71">
        <v>-50000</v>
      </c>
      <c r="L369" s="72">
        <f>IFERROR(IF(G369="","",VLOOKUP($G369,[1]基础信息!$B:$C,2,FALSE)+SUMIF(G$8:G369,G369,J$8:J369)-SUMIF(G$8:G369,G369,K$8:K369)+SUMIFS([1]内部转账!$G:$G,[1]内部转账!$C:$C,"&lt;="&amp;$D369,[1]内部转账!$E:$E,$G369)-SUMIFS([1]内部转账!$G:$G,[1]内部转账!$C:$C,"&lt;="&amp;$D369,[1]内部转账!$F:$F,$G369)),"")</f>
        <v>141817.870000001</v>
      </c>
      <c r="M369" s="64" t="s">
        <v>30</v>
      </c>
      <c r="N369" s="69"/>
      <c r="O369" s="64"/>
      <c r="P369" s="64"/>
      <c r="Q369" s="69"/>
      <c r="R369" s="69"/>
      <c r="S369" s="69"/>
    </row>
    <row r="370" s="2" customFormat="1" ht="24.95" customHeight="1" spans="1:19">
      <c r="A370" s="15"/>
      <c r="B370" s="55"/>
      <c r="C370" s="56"/>
      <c r="D370" s="68">
        <v>45947</v>
      </c>
      <c r="E370" s="69"/>
      <c r="F370" s="69" t="s">
        <v>26</v>
      </c>
      <c r="G370" s="65" t="s">
        <v>27</v>
      </c>
      <c r="H370" s="65" t="s">
        <v>62</v>
      </c>
      <c r="I370" s="70" t="s">
        <v>188</v>
      </c>
      <c r="J370" s="71"/>
      <c r="K370" s="71">
        <v>16442.13</v>
      </c>
      <c r="L370" s="72">
        <f>IFERROR(IF(G370="","",VLOOKUP($G370,[1]基础信息!$B:$C,2,FALSE)+SUMIF(G$8:G370,G370,J$8:J370)-SUMIF(G$8:G370,G370,K$8:K370)+SUMIFS([1]内部转账!$G:$G,[1]内部转账!$C:$C,"&lt;="&amp;$D370,[1]内部转账!$E:$E,$G370)-SUMIFS([1]内部转账!$G:$G,[1]内部转账!$C:$C,"&lt;="&amp;$D370,[1]内部转账!$F:$F,$G370)),"")</f>
        <v>125375.740000001</v>
      </c>
      <c r="M370" s="64" t="s">
        <v>206</v>
      </c>
      <c r="N370" s="69"/>
      <c r="O370" s="64"/>
      <c r="P370" s="64" t="s">
        <v>122</v>
      </c>
      <c r="Q370" s="69"/>
      <c r="R370" s="69"/>
      <c r="S370" s="69"/>
    </row>
    <row r="371" s="2" customFormat="1" ht="24.95" customHeight="1" spans="1:19">
      <c r="A371" s="15"/>
      <c r="B371" s="55"/>
      <c r="C371" s="56"/>
      <c r="D371" s="68">
        <v>45947</v>
      </c>
      <c r="E371" s="69"/>
      <c r="F371" s="69" t="s">
        <v>26</v>
      </c>
      <c r="G371" s="65" t="s">
        <v>27</v>
      </c>
      <c r="H371" s="65" t="s">
        <v>138</v>
      </c>
      <c r="I371" s="70" t="s">
        <v>207</v>
      </c>
      <c r="J371" s="71"/>
      <c r="K371" s="71">
        <v>24000</v>
      </c>
      <c r="L371" s="72">
        <f>IFERROR(IF(G371="","",VLOOKUP($G371,[1]基础信息!$B:$C,2,FALSE)+SUMIF(G$8:G371,G371,J$8:J371)-SUMIF(G$8:G371,G371,K$8:K371)+SUMIFS([1]内部转账!$G:$G,[1]内部转账!$C:$C,"&lt;="&amp;$D371,[1]内部转账!$E:$E,$G371)-SUMIFS([1]内部转账!$G:$G,[1]内部转账!$C:$C,"&lt;="&amp;$D371,[1]内部转账!$F:$F,$G371)),"")</f>
        <v>101375.740000001</v>
      </c>
      <c r="M371" s="64" t="s">
        <v>166</v>
      </c>
      <c r="N371" s="69"/>
      <c r="O371" s="64"/>
      <c r="P371" s="64" t="s">
        <v>208</v>
      </c>
      <c r="Q371" s="69"/>
      <c r="R371" s="69"/>
      <c r="S371" s="69"/>
    </row>
    <row r="372" s="2" customFormat="1" ht="24.95" customHeight="1" spans="1:19">
      <c r="A372" s="15"/>
      <c r="B372" s="55"/>
      <c r="C372" s="56"/>
      <c r="D372" s="68">
        <v>45947</v>
      </c>
      <c r="E372" s="69"/>
      <c r="F372" s="69" t="s">
        <v>26</v>
      </c>
      <c r="G372" s="65" t="s">
        <v>27</v>
      </c>
      <c r="H372" s="65" t="s">
        <v>138</v>
      </c>
      <c r="I372" s="70" t="s">
        <v>207</v>
      </c>
      <c r="J372" s="71"/>
      <c r="K372" s="71">
        <v>-24000</v>
      </c>
      <c r="L372" s="72">
        <f>IFERROR(IF(G372="","",VLOOKUP($G372,[1]基础信息!$B:$C,2,FALSE)+SUMIF(G$8:G372,G372,J$8:J372)-SUMIF(G$8:G372,G372,K$8:K372)+SUMIFS([1]内部转账!$G:$G,[1]内部转账!$C:$C,"&lt;="&amp;$D372,[1]内部转账!$E:$E,$G372)-SUMIFS([1]内部转账!$G:$G,[1]内部转账!$C:$C,"&lt;="&amp;$D372,[1]内部转账!$F:$F,$G372)),"")</f>
        <v>125375.740000001</v>
      </c>
      <c r="M372" s="64" t="s">
        <v>166</v>
      </c>
      <c r="N372" s="69"/>
      <c r="O372" s="64"/>
      <c r="P372" s="64" t="s">
        <v>208</v>
      </c>
      <c r="Q372" s="69"/>
      <c r="R372" s="69"/>
      <c r="S372" s="69"/>
    </row>
    <row r="373" s="2" customFormat="1" ht="24.95" customHeight="1" spans="1:19">
      <c r="A373" s="15"/>
      <c r="B373" s="55"/>
      <c r="C373" s="56"/>
      <c r="D373" s="68">
        <v>45947</v>
      </c>
      <c r="E373" s="69"/>
      <c r="F373" s="69" t="s">
        <v>26</v>
      </c>
      <c r="G373" s="65" t="s">
        <v>27</v>
      </c>
      <c r="H373" s="65" t="s">
        <v>138</v>
      </c>
      <c r="I373" s="70" t="s">
        <v>207</v>
      </c>
      <c r="J373" s="71"/>
      <c r="K373" s="71">
        <v>24000</v>
      </c>
      <c r="L373" s="72">
        <f>IFERROR(IF(G373="","",VLOOKUP($G373,[1]基础信息!$B:$C,2,FALSE)+SUMIF(G$8:G373,G373,J$8:J373)-SUMIF(G$8:G373,G373,K$8:K373)+SUMIFS([1]内部转账!$G:$G,[1]内部转账!$C:$C,"&lt;="&amp;$D373,[1]内部转账!$E:$E,$G373)-SUMIFS([1]内部转账!$G:$G,[1]内部转账!$C:$C,"&lt;="&amp;$D373,[1]内部转账!$F:$F,$G373)),"")</f>
        <v>101375.740000001</v>
      </c>
      <c r="M373" s="64" t="s">
        <v>166</v>
      </c>
      <c r="N373" s="69"/>
      <c r="O373" s="64"/>
      <c r="P373" s="64" t="s">
        <v>208</v>
      </c>
      <c r="Q373" s="69"/>
      <c r="R373" s="69"/>
      <c r="S373" s="69"/>
    </row>
    <row r="374" s="2" customFormat="1" ht="24.95" customHeight="1" spans="1:19">
      <c r="A374" s="15"/>
      <c r="B374" s="55"/>
      <c r="C374" s="56"/>
      <c r="D374" s="68">
        <v>45949</v>
      </c>
      <c r="E374" s="69"/>
      <c r="F374" s="69" t="s">
        <v>26</v>
      </c>
      <c r="G374" s="65" t="s">
        <v>27</v>
      </c>
      <c r="H374" s="65" t="s">
        <v>53</v>
      </c>
      <c r="I374" s="70" t="s">
        <v>31</v>
      </c>
      <c r="J374" s="71"/>
      <c r="K374" s="71">
        <v>5000</v>
      </c>
      <c r="L374" s="72">
        <f>IFERROR(IF(G374="","",VLOOKUP($G374,[1]基础信息!$B:$C,2,FALSE)+SUMIF(G$8:G374,G374,J$8:J374)-SUMIF(G$8:G374,G374,K$8:K374)+SUMIFS([1]内部转账!$G:$G,[1]内部转账!$C:$C,"&lt;="&amp;$D374,[1]内部转账!$E:$E,$G374)-SUMIFS([1]内部转账!$G:$G,[1]内部转账!$C:$C,"&lt;="&amp;$D374,[1]内部转账!$F:$F,$G374)),"")</f>
        <v>96375.7400000007</v>
      </c>
      <c r="M374" s="64" t="s">
        <v>35</v>
      </c>
      <c r="N374" s="58" t="s">
        <v>31</v>
      </c>
      <c r="O374" s="64"/>
      <c r="P374" s="64" t="s">
        <v>150</v>
      </c>
      <c r="Q374" s="69"/>
      <c r="R374" s="69"/>
      <c r="S374" s="69"/>
    </row>
    <row r="375" s="2" customFormat="1" ht="24.95" customHeight="1" spans="1:19">
      <c r="A375" s="15"/>
      <c r="B375" s="55"/>
      <c r="C375" s="56"/>
      <c r="D375" s="68">
        <v>45951</v>
      </c>
      <c r="E375" s="69"/>
      <c r="F375" s="69" t="s">
        <v>26</v>
      </c>
      <c r="G375" s="65" t="s">
        <v>27</v>
      </c>
      <c r="H375" s="65" t="s">
        <v>62</v>
      </c>
      <c r="I375" s="70" t="s">
        <v>188</v>
      </c>
      <c r="J375" s="71"/>
      <c r="K375" s="71">
        <v>26138.16</v>
      </c>
      <c r="L375" s="72">
        <f>IFERROR(IF(G375="","",VLOOKUP($G375,[1]基础信息!$B:$C,2,FALSE)+SUMIF(G$8:G375,G375,J$8:J375)-SUMIF(G$8:G375,G375,K$8:K375)+SUMIFS([1]内部转账!$G:$G,[1]内部转账!$C:$C,"&lt;="&amp;$D375,[1]内部转账!$E:$E,$G375)-SUMIFS([1]内部转账!$G:$G,[1]内部转账!$C:$C,"&lt;="&amp;$D375,[1]内部转账!$F:$F,$G375)),"")</f>
        <v>70237.5800000005</v>
      </c>
      <c r="M375" s="64" t="s">
        <v>150</v>
      </c>
      <c r="N375" s="69"/>
      <c r="O375" s="64"/>
      <c r="P375" s="64" t="s">
        <v>122</v>
      </c>
      <c r="Q375" s="69"/>
      <c r="R375" s="69"/>
      <c r="S375" s="69"/>
    </row>
    <row r="376" s="2" customFormat="1" ht="24.95" customHeight="1" spans="1:19">
      <c r="A376" s="15"/>
      <c r="B376" s="55"/>
      <c r="C376" s="56"/>
      <c r="D376" s="68">
        <v>45951</v>
      </c>
      <c r="E376" s="69"/>
      <c r="F376" s="69" t="s">
        <v>26</v>
      </c>
      <c r="G376" s="65" t="s">
        <v>27</v>
      </c>
      <c r="H376" s="65" t="s">
        <v>62</v>
      </c>
      <c r="I376" s="70" t="s">
        <v>188</v>
      </c>
      <c r="J376" s="71"/>
      <c r="K376" s="71">
        <v>1500</v>
      </c>
      <c r="L376" s="72">
        <f>IFERROR(IF(G376="","",VLOOKUP($G376,[1]基础信息!$B:$C,2,FALSE)+SUMIF(G$8:G376,G376,J$8:J376)-SUMIF(G$8:G376,G376,K$8:K376)+SUMIFS([1]内部转账!$G:$G,[1]内部转账!$C:$C,"&lt;="&amp;$D376,[1]内部转账!$E:$E,$G376)-SUMIFS([1]内部转账!$G:$G,[1]内部转账!$C:$C,"&lt;="&amp;$D376,[1]内部转账!$F:$F,$G376)),"")</f>
        <v>68737.5800000005</v>
      </c>
      <c r="M376" s="64" t="s">
        <v>206</v>
      </c>
      <c r="N376" s="69"/>
      <c r="O376" s="64"/>
      <c r="P376" s="64" t="s">
        <v>122</v>
      </c>
      <c r="Q376" s="69"/>
      <c r="R376" s="69"/>
      <c r="S376" s="69"/>
    </row>
    <row r="377" s="2" customFormat="1" ht="24.95" customHeight="1" spans="1:19">
      <c r="A377" s="15"/>
      <c r="B377" s="55"/>
      <c r="C377" s="56"/>
      <c r="D377" s="68">
        <v>45952</v>
      </c>
      <c r="E377" s="69"/>
      <c r="F377" s="69" t="s">
        <v>26</v>
      </c>
      <c r="G377" s="65" t="s">
        <v>27</v>
      </c>
      <c r="H377" s="65" t="s">
        <v>83</v>
      </c>
      <c r="I377" s="70" t="s">
        <v>84</v>
      </c>
      <c r="J377" s="71"/>
      <c r="K377" s="71">
        <v>3010.12</v>
      </c>
      <c r="L377" s="72">
        <f>IFERROR(IF(G377="","",VLOOKUP($G377,[1]基础信息!$B:$C,2,FALSE)+SUMIF(G$8:G377,G377,J$8:J377)-SUMIF(G$8:G377,G377,K$8:K377)+SUMIFS([1]内部转账!$G:$G,[1]内部转账!$C:$C,"&lt;="&amp;$D377,[1]内部转账!$E:$E,$G377)-SUMIFS([1]内部转账!$G:$G,[1]内部转账!$C:$C,"&lt;="&amp;$D377,[1]内部转账!$F:$F,$G377)),"")</f>
        <v>65727.4600000004</v>
      </c>
      <c r="M377" s="64" t="s">
        <v>35</v>
      </c>
      <c r="N377" s="69"/>
      <c r="O377" s="64"/>
      <c r="P377" s="64"/>
      <c r="Q377" s="69"/>
      <c r="R377" s="69"/>
      <c r="S377" s="69"/>
    </row>
    <row r="378" s="2" customFormat="1" ht="24.95" customHeight="1" spans="1:19">
      <c r="A378" s="15"/>
      <c r="B378" s="55"/>
      <c r="C378" s="56"/>
      <c r="D378" s="68">
        <v>45952</v>
      </c>
      <c r="E378" s="69"/>
      <c r="F378" s="69" t="s">
        <v>26</v>
      </c>
      <c r="G378" s="65" t="s">
        <v>27</v>
      </c>
      <c r="H378" s="65" t="s">
        <v>62</v>
      </c>
      <c r="I378" s="70" t="s">
        <v>209</v>
      </c>
      <c r="J378" s="71"/>
      <c r="K378" s="71">
        <v>1100</v>
      </c>
      <c r="L378" s="72">
        <f>IFERROR(IF(G378="","",VLOOKUP($G378,[1]基础信息!$B:$C,2,FALSE)+SUMIF(G$8:G378,G378,J$8:J378)-SUMIF(G$8:G378,G378,K$8:K378)+SUMIFS([1]内部转账!$G:$G,[1]内部转账!$C:$C,"&lt;="&amp;$D378,[1]内部转账!$E:$E,$G378)-SUMIFS([1]内部转账!$G:$G,[1]内部转账!$C:$C,"&lt;="&amp;$D378,[1]内部转账!$F:$F,$G378)),"")</f>
        <v>64627.4600000004</v>
      </c>
      <c r="M378" s="64" t="s">
        <v>150</v>
      </c>
      <c r="N378" s="69"/>
      <c r="O378" s="64"/>
      <c r="P378" s="64" t="s">
        <v>210</v>
      </c>
      <c r="Q378" s="69"/>
      <c r="R378" s="69"/>
      <c r="S378" s="69"/>
    </row>
    <row r="379" s="2" customFormat="1" ht="24.95" customHeight="1" spans="1:19">
      <c r="A379" s="15"/>
      <c r="B379" s="55"/>
      <c r="C379" s="56"/>
      <c r="D379" s="68">
        <v>45954</v>
      </c>
      <c r="E379" s="69"/>
      <c r="F379" s="69" t="s">
        <v>26</v>
      </c>
      <c r="G379" s="65" t="s">
        <v>27</v>
      </c>
      <c r="H379" s="65" t="s">
        <v>83</v>
      </c>
      <c r="I379" s="70" t="s">
        <v>84</v>
      </c>
      <c r="J379" s="71"/>
      <c r="K379" s="71">
        <v>150</v>
      </c>
      <c r="L379" s="72">
        <f>IFERROR(IF(G379="","",VLOOKUP($G379,[1]基础信息!$B:$C,2,FALSE)+SUMIF(G$8:G379,G379,J$8:J379)-SUMIF(G$8:G379,G379,K$8:K379)+SUMIFS([1]内部转账!$G:$G,[1]内部转账!$C:$C,"&lt;="&amp;$D379,[1]内部转账!$E:$E,$G379)-SUMIFS([1]内部转账!$G:$G,[1]内部转账!$C:$C,"&lt;="&amp;$D379,[1]内部转账!$F:$F,$G379)),"")</f>
        <v>64477.4600000004</v>
      </c>
      <c r="M379" s="64" t="s">
        <v>35</v>
      </c>
      <c r="N379" s="69"/>
      <c r="O379" s="64"/>
      <c r="P379" s="64"/>
      <c r="Q379" s="69"/>
      <c r="R379" s="69"/>
      <c r="S379" s="69"/>
    </row>
    <row r="380" s="2" customFormat="1" ht="24.95" customHeight="1" spans="1:19">
      <c r="A380" s="15"/>
      <c r="B380" s="55"/>
      <c r="C380" s="56"/>
      <c r="D380" s="68">
        <v>45954</v>
      </c>
      <c r="E380" s="69"/>
      <c r="F380" s="69" t="s">
        <v>26</v>
      </c>
      <c r="G380" s="65" t="s">
        <v>27</v>
      </c>
      <c r="H380" s="65" t="s">
        <v>62</v>
      </c>
      <c r="I380" s="70" t="s">
        <v>211</v>
      </c>
      <c r="J380" s="71"/>
      <c r="K380" s="71">
        <v>2722</v>
      </c>
      <c r="L380" s="72">
        <f>IFERROR(IF(G380="","",VLOOKUP($G380,[1]基础信息!$B:$C,2,FALSE)+SUMIF(G$8:G380,G380,J$8:J380)-SUMIF(G$8:G380,G380,K$8:K380)+SUMIFS([1]内部转账!$G:$G,[1]内部转账!$C:$C,"&lt;="&amp;$D380,[1]内部转账!$E:$E,$G380)-SUMIFS([1]内部转账!$G:$G,[1]内部转账!$C:$C,"&lt;="&amp;$D380,[1]内部转账!$F:$F,$G380)),"")</f>
        <v>61755.4600000004</v>
      </c>
      <c r="M380" s="64" t="s">
        <v>150</v>
      </c>
      <c r="N380" s="69"/>
      <c r="O380" s="64"/>
      <c r="P380" s="64" t="s">
        <v>212</v>
      </c>
      <c r="Q380" s="69"/>
      <c r="R380" s="69"/>
      <c r="S380" s="69"/>
    </row>
    <row r="381" s="2" customFormat="1" ht="24.95" customHeight="1" spans="1:19">
      <c r="A381" s="15"/>
      <c r="B381" s="55"/>
      <c r="C381" s="56"/>
      <c r="D381" s="68">
        <v>45955</v>
      </c>
      <c r="E381" s="69"/>
      <c r="F381" s="69" t="s">
        <v>26</v>
      </c>
      <c r="G381" s="65" t="s">
        <v>27</v>
      </c>
      <c r="H381" s="65" t="s">
        <v>62</v>
      </c>
      <c r="I381" s="70" t="s">
        <v>211</v>
      </c>
      <c r="J381" s="71"/>
      <c r="K381" s="71">
        <v>2720</v>
      </c>
      <c r="L381" s="72">
        <f>IFERROR(IF(G381="","",VLOOKUP($G381,[1]基础信息!$B:$C,2,FALSE)+SUMIF(G$8:G381,G381,J$8:J381)-SUMIF(G$8:G381,G381,K$8:K381)+SUMIFS([1]内部转账!$G:$G,[1]内部转账!$C:$C,"&lt;="&amp;$D381,[1]内部转账!$E:$E,$G381)-SUMIFS([1]内部转账!$G:$G,[1]内部转账!$C:$C,"&lt;="&amp;$D381,[1]内部转账!$F:$F,$G381)),"")</f>
        <v>59035.4600000004</v>
      </c>
      <c r="M381" s="64" t="s">
        <v>150</v>
      </c>
      <c r="N381" s="69"/>
      <c r="O381" s="64"/>
      <c r="P381" s="64" t="s">
        <v>212</v>
      </c>
      <c r="Q381" s="69"/>
      <c r="R381" s="69"/>
      <c r="S381" s="69"/>
    </row>
    <row r="382" s="2" customFormat="1" ht="24.95" customHeight="1" spans="1:19">
      <c r="A382" s="15"/>
      <c r="B382" s="55"/>
      <c r="C382" s="56"/>
      <c r="D382" s="68">
        <v>45955</v>
      </c>
      <c r="E382" s="69"/>
      <c r="F382" s="69" t="s">
        <v>26</v>
      </c>
      <c r="G382" s="65" t="s">
        <v>27</v>
      </c>
      <c r="H382" s="65" t="s">
        <v>138</v>
      </c>
      <c r="I382" s="70" t="s">
        <v>186</v>
      </c>
      <c r="J382" s="71"/>
      <c r="K382" s="71">
        <v>50000</v>
      </c>
      <c r="L382" s="72">
        <f>IFERROR(IF(G382="","",VLOOKUP($G382,[1]基础信息!$B:$C,2,FALSE)+SUMIF(G$8:G382,G382,J$8:J382)-SUMIF(G$8:G382,G382,K$8:K382)+SUMIFS([1]内部转账!$G:$G,[1]内部转账!$C:$C,"&lt;="&amp;$D382,[1]内部转账!$E:$E,$G382)-SUMIFS([1]内部转账!$G:$G,[1]内部转账!$C:$C,"&lt;="&amp;$D382,[1]内部转账!$F:$F,$G382)),"")</f>
        <v>9035.46000000043</v>
      </c>
      <c r="M382" s="64" t="s">
        <v>150</v>
      </c>
      <c r="N382" s="69"/>
      <c r="O382" s="64"/>
      <c r="P382" s="64" t="s">
        <v>187</v>
      </c>
      <c r="Q382" s="69"/>
      <c r="R382" s="69"/>
      <c r="S382" s="69"/>
    </row>
    <row r="383" s="2" customFormat="1" ht="24.95" customHeight="1" spans="1:19">
      <c r="A383" s="15"/>
      <c r="B383" s="55"/>
      <c r="C383" s="56"/>
      <c r="D383" s="68">
        <v>45957</v>
      </c>
      <c r="E383" s="69"/>
      <c r="F383" s="69" t="s">
        <v>26</v>
      </c>
      <c r="G383" s="65" t="s">
        <v>27</v>
      </c>
      <c r="H383" s="65" t="s">
        <v>213</v>
      </c>
      <c r="I383" s="70" t="s">
        <v>214</v>
      </c>
      <c r="J383" s="71"/>
      <c r="K383" s="71">
        <v>-20000</v>
      </c>
      <c r="L383" s="72">
        <f>IFERROR(IF(G383="","",VLOOKUP($G383,[1]基础信息!$B:$C,2,FALSE)+SUMIF(G$8:G383,G383,J$8:J383)-SUMIF(G$8:G383,G383,K$8:K383)+SUMIFS([1]内部转账!$G:$G,[1]内部转账!$C:$C,"&lt;="&amp;$D383,[1]内部转账!$E:$E,$G383)-SUMIFS([1]内部转账!$G:$G,[1]内部转账!$C:$C,"&lt;="&amp;$D383,[1]内部转账!$F:$F,$G383)),"")</f>
        <v>29035.4600000004</v>
      </c>
      <c r="M383" s="64" t="s">
        <v>30</v>
      </c>
      <c r="N383" s="69" t="s">
        <v>92</v>
      </c>
      <c r="O383" s="64"/>
      <c r="P383" s="64" t="s">
        <v>92</v>
      </c>
      <c r="Q383" s="69"/>
      <c r="R383" s="69"/>
      <c r="S383" s="69"/>
    </row>
    <row r="384" s="2" customFormat="1" ht="24.95" customHeight="1" spans="1:19">
      <c r="A384" s="15"/>
      <c r="B384" s="55"/>
      <c r="C384" s="56"/>
      <c r="D384" s="68">
        <v>45959</v>
      </c>
      <c r="E384" s="69"/>
      <c r="F384" s="69" t="s">
        <v>26</v>
      </c>
      <c r="G384" s="65" t="s">
        <v>27</v>
      </c>
      <c r="H384" s="65" t="s">
        <v>138</v>
      </c>
      <c r="I384" s="70" t="s">
        <v>215</v>
      </c>
      <c r="J384" s="71"/>
      <c r="K384" s="71">
        <v>20000</v>
      </c>
      <c r="L384" s="72">
        <f>IFERROR(IF(G384="","",VLOOKUP($G384,[1]基础信息!$B:$C,2,FALSE)+SUMIF(G$8:G384,G384,J$8:J384)-SUMIF(G$8:G384,G384,K$8:K384)+SUMIFS([1]内部转账!$G:$G,[1]内部转账!$C:$C,"&lt;="&amp;$D384,[1]内部转账!$E:$E,$G384)-SUMIFS([1]内部转账!$G:$G,[1]内部转账!$C:$C,"&lt;="&amp;$D384,[1]内部转账!$F:$F,$G384)),"")</f>
        <v>9035.46000000043</v>
      </c>
      <c r="M384" s="64" t="s">
        <v>150</v>
      </c>
      <c r="N384" s="69"/>
      <c r="O384" s="64"/>
      <c r="P384" s="64" t="s">
        <v>216</v>
      </c>
      <c r="Q384" s="69"/>
      <c r="R384" s="69"/>
      <c r="S384" s="69"/>
    </row>
    <row r="385" s="2" customFormat="1" ht="24.95" customHeight="1" spans="1:19">
      <c r="A385" s="15"/>
      <c r="B385" s="55"/>
      <c r="C385" s="56"/>
      <c r="D385" s="68">
        <v>45960</v>
      </c>
      <c r="E385" s="69"/>
      <c r="F385" s="69" t="s">
        <v>26</v>
      </c>
      <c r="G385" s="65" t="s">
        <v>27</v>
      </c>
      <c r="H385" s="65" t="s">
        <v>28</v>
      </c>
      <c r="I385" s="70" t="s">
        <v>29</v>
      </c>
      <c r="J385" s="71"/>
      <c r="K385" s="71">
        <v>-22000</v>
      </c>
      <c r="L385" s="72">
        <f>IFERROR(IF(G385="","",VLOOKUP($G385,[1]基础信息!$B:$C,2,FALSE)+SUMIF(G$8:G385,G385,J$8:J385)-SUMIF(G$8:G385,G385,K$8:K385)+SUMIFS([1]内部转账!$G:$G,[1]内部转账!$C:$C,"&lt;="&amp;$D385,[1]内部转账!$E:$E,$G385)-SUMIFS([1]内部转账!$G:$G,[1]内部转账!$C:$C,"&lt;="&amp;$D385,[1]内部转账!$F:$F,$G385)),"")</f>
        <v>31035.4600000004</v>
      </c>
      <c r="M385" s="64" t="s">
        <v>30</v>
      </c>
      <c r="N385" s="58" t="s">
        <v>31</v>
      </c>
      <c r="O385" s="64"/>
      <c r="P385" s="64" t="s">
        <v>31</v>
      </c>
      <c r="Q385" s="69"/>
      <c r="R385" s="69"/>
      <c r="S385" s="69"/>
    </row>
    <row r="386" s="2" customFormat="1" ht="24.95" customHeight="1" spans="1:19">
      <c r="A386" s="15"/>
      <c r="B386" s="55"/>
      <c r="C386" s="56"/>
      <c r="D386" s="68">
        <v>45960</v>
      </c>
      <c r="E386" s="69"/>
      <c r="F386" s="69" t="s">
        <v>26</v>
      </c>
      <c r="G386" s="65" t="s">
        <v>27</v>
      </c>
      <c r="H386" s="65" t="s">
        <v>62</v>
      </c>
      <c r="I386" s="70" t="s">
        <v>217</v>
      </c>
      <c r="J386" s="71"/>
      <c r="K386" s="71">
        <v>12954</v>
      </c>
      <c r="L386" s="72">
        <f>IFERROR(IF(G386="","",VLOOKUP($G386,[1]基础信息!$B:$C,2,FALSE)+SUMIF(G$8:G386,G386,J$8:J386)-SUMIF(G$8:G386,G386,K$8:K386)+SUMIFS([1]内部转账!$G:$G,[1]内部转账!$C:$C,"&lt;="&amp;$D386,[1]内部转账!$E:$E,$G386)-SUMIFS([1]内部转账!$G:$G,[1]内部转账!$C:$C,"&lt;="&amp;$D386,[1]内部转账!$F:$F,$G386)),"")</f>
        <v>18081.4600000004</v>
      </c>
      <c r="M386" s="64" t="s">
        <v>150</v>
      </c>
      <c r="N386" s="69"/>
      <c r="O386" s="64"/>
      <c r="P386" s="64" t="s">
        <v>218</v>
      </c>
      <c r="Q386" s="69"/>
      <c r="R386" s="69"/>
      <c r="S386" s="69"/>
    </row>
    <row r="387" s="2" customFormat="1" ht="24.95" customHeight="1" spans="1:19">
      <c r="A387" s="15"/>
      <c r="B387" s="55"/>
      <c r="C387" s="56"/>
      <c r="D387" s="68">
        <v>45960</v>
      </c>
      <c r="E387" s="69"/>
      <c r="F387" s="69" t="s">
        <v>26</v>
      </c>
      <c r="G387" s="65" t="s">
        <v>27</v>
      </c>
      <c r="H387" s="65" t="s">
        <v>62</v>
      </c>
      <c r="I387" s="70" t="s">
        <v>202</v>
      </c>
      <c r="J387" s="71"/>
      <c r="K387" s="71">
        <v>14212</v>
      </c>
      <c r="L387" s="72">
        <f>IFERROR(IF(G387="","",VLOOKUP($G387,[1]基础信息!$B:$C,2,FALSE)+SUMIF(G$8:G387,G387,J$8:J387)-SUMIF(G$8:G387,G387,K$8:K387)+SUMIFS([1]内部转账!$G:$G,[1]内部转账!$C:$C,"&lt;="&amp;$D387,[1]内部转账!$E:$E,$G387)-SUMIFS([1]内部转账!$G:$G,[1]内部转账!$C:$C,"&lt;="&amp;$D387,[1]内部转账!$F:$F,$G387)),"")</f>
        <v>3869.46000000043</v>
      </c>
      <c r="M387" s="64" t="s">
        <v>150</v>
      </c>
      <c r="N387" s="69"/>
      <c r="O387" s="64"/>
      <c r="P387" s="64" t="s">
        <v>203</v>
      </c>
      <c r="Q387" s="69"/>
      <c r="R387" s="69"/>
      <c r="S387" s="69"/>
    </row>
    <row r="388" s="2" customFormat="1" ht="24.95" customHeight="1" spans="1:19">
      <c r="A388" s="15"/>
      <c r="B388" s="55"/>
      <c r="C388" s="56"/>
      <c r="D388" s="68">
        <v>45961</v>
      </c>
      <c r="E388" s="69"/>
      <c r="F388" s="69" t="s">
        <v>26</v>
      </c>
      <c r="G388" s="65" t="s">
        <v>27</v>
      </c>
      <c r="H388" s="65" t="s">
        <v>28</v>
      </c>
      <c r="I388" s="70" t="s">
        <v>29</v>
      </c>
      <c r="J388" s="71"/>
      <c r="K388" s="71">
        <v>-40000</v>
      </c>
      <c r="L388" s="72">
        <f>IFERROR(IF(G388="","",VLOOKUP($G388,[1]基础信息!$B:$C,2,FALSE)+SUMIF(G$8:G388,G388,J$8:J388)-SUMIF(G$8:G388,G388,K$8:K388)+SUMIFS([1]内部转账!$G:$G,[1]内部转账!$C:$C,"&lt;="&amp;$D388,[1]内部转账!$E:$E,$G388)-SUMIFS([1]内部转账!$G:$G,[1]内部转账!$C:$C,"&lt;="&amp;$D388,[1]内部转账!$F:$F,$G388)),"")</f>
        <v>43869.4600000004</v>
      </c>
      <c r="M388" s="64" t="s">
        <v>30</v>
      </c>
      <c r="N388" s="58" t="s">
        <v>31</v>
      </c>
      <c r="O388" s="64"/>
      <c r="P388" s="64" t="s">
        <v>31</v>
      </c>
      <c r="Q388" s="69"/>
      <c r="R388" s="69"/>
      <c r="S388" s="69"/>
    </row>
    <row r="389" s="2" customFormat="1" ht="24.95" customHeight="1" spans="1:19">
      <c r="A389" s="15"/>
      <c r="B389" s="55"/>
      <c r="C389" s="56"/>
      <c r="D389" s="68">
        <v>45961</v>
      </c>
      <c r="E389" s="69"/>
      <c r="F389" s="69" t="s">
        <v>26</v>
      </c>
      <c r="G389" s="65" t="s">
        <v>27</v>
      </c>
      <c r="H389" s="65" t="s">
        <v>62</v>
      </c>
      <c r="I389" s="70" t="s">
        <v>202</v>
      </c>
      <c r="J389" s="71"/>
      <c r="K389" s="71">
        <v>7502</v>
      </c>
      <c r="L389" s="72">
        <f>IFERROR(IF(G389="","",VLOOKUP($G389,[1]基础信息!$B:$C,2,FALSE)+SUMIF(G$8:G389,G389,J$8:J389)-SUMIF(G$8:G389,G389,K$8:K389)+SUMIFS([1]内部转账!$G:$G,[1]内部转账!$C:$C,"&lt;="&amp;$D389,[1]内部转账!$E:$E,$G389)-SUMIFS([1]内部转账!$G:$G,[1]内部转账!$C:$C,"&lt;="&amp;$D389,[1]内部转账!$F:$F,$G389)),"")</f>
        <v>36367.4600000004</v>
      </c>
      <c r="M389" s="64" t="s">
        <v>150</v>
      </c>
      <c r="N389" s="69"/>
      <c r="O389" s="64"/>
      <c r="P389" s="64" t="s">
        <v>203</v>
      </c>
      <c r="Q389" s="69"/>
      <c r="R389" s="69"/>
      <c r="S389" s="69"/>
    </row>
    <row r="390" s="2" customFormat="1" ht="24.95" customHeight="1" spans="1:19">
      <c r="A390" s="15"/>
      <c r="B390" s="55"/>
      <c r="C390" s="56"/>
      <c r="D390" s="68">
        <v>45961</v>
      </c>
      <c r="E390" s="69"/>
      <c r="F390" s="69" t="s">
        <v>26</v>
      </c>
      <c r="G390" s="65" t="s">
        <v>27</v>
      </c>
      <c r="H390" s="65" t="s">
        <v>138</v>
      </c>
      <c r="I390" s="70" t="s">
        <v>219</v>
      </c>
      <c r="J390" s="71"/>
      <c r="K390" s="71">
        <v>20057</v>
      </c>
      <c r="L390" s="72">
        <f>IFERROR(IF(G390="","",VLOOKUP($G390,[1]基础信息!$B:$C,2,FALSE)+SUMIF(G$8:G390,G390,J$8:J390)-SUMIF(G$8:G390,G390,K$8:K390)+SUMIFS([1]内部转账!$G:$G,[1]内部转账!$C:$C,"&lt;="&amp;$D390,[1]内部转账!$E:$E,$G390)-SUMIFS([1]内部转账!$G:$G,[1]内部转账!$C:$C,"&lt;="&amp;$D390,[1]内部转账!$F:$F,$G390)),"")</f>
        <v>16310.4600000004</v>
      </c>
      <c r="M390" s="64" t="s">
        <v>150</v>
      </c>
      <c r="N390" s="69"/>
      <c r="O390" s="64"/>
      <c r="P390" s="64" t="s">
        <v>220</v>
      </c>
      <c r="Q390" s="69"/>
      <c r="R390" s="69"/>
      <c r="S390" s="69"/>
    </row>
    <row r="391" s="2" customFormat="1" ht="24.95" customHeight="1" spans="1:19">
      <c r="A391" s="15"/>
      <c r="B391" s="55"/>
      <c r="C391" s="56"/>
      <c r="D391" s="68">
        <v>45963</v>
      </c>
      <c r="E391" s="69"/>
      <c r="F391" s="69" t="s">
        <v>26</v>
      </c>
      <c r="G391" s="65" t="s">
        <v>27</v>
      </c>
      <c r="H391" s="65" t="s">
        <v>28</v>
      </c>
      <c r="I391" s="70" t="s">
        <v>29</v>
      </c>
      <c r="J391" s="71"/>
      <c r="K391" s="71">
        <v>-10000</v>
      </c>
      <c r="L391" s="72">
        <f>IFERROR(IF(G391="","",VLOOKUP($G391,[1]基础信息!$B:$C,2,FALSE)+SUMIF(G$8:G391,G391,J$8:J391)-SUMIF(G$8:G391,G391,K$8:K391)+SUMIFS([1]内部转账!$G:$G,[1]内部转账!$C:$C,"&lt;="&amp;$D391,[1]内部转账!$E:$E,$G391)-SUMIFS([1]内部转账!$G:$G,[1]内部转账!$C:$C,"&lt;="&amp;$D391,[1]内部转账!$F:$F,$G391)),"")</f>
        <v>26310.4600000004</v>
      </c>
      <c r="M391" s="64" t="s">
        <v>30</v>
      </c>
      <c r="N391" s="58" t="s">
        <v>31</v>
      </c>
      <c r="O391" s="64"/>
      <c r="P391" s="64" t="s">
        <v>31</v>
      </c>
      <c r="Q391" s="69"/>
      <c r="R391" s="69"/>
      <c r="S391" s="69"/>
    </row>
    <row r="392" s="2" customFormat="1" ht="24.95" customHeight="1" spans="1:19">
      <c r="A392" s="15"/>
      <c r="B392" s="55"/>
      <c r="C392" s="56"/>
      <c r="D392" s="68">
        <v>45963</v>
      </c>
      <c r="E392" s="69"/>
      <c r="F392" s="69" t="s">
        <v>26</v>
      </c>
      <c r="G392" s="65" t="s">
        <v>27</v>
      </c>
      <c r="H392" s="65" t="s">
        <v>62</v>
      </c>
      <c r="I392" s="70" t="s">
        <v>188</v>
      </c>
      <c r="J392" s="71"/>
      <c r="K392" s="71">
        <v>17198.43</v>
      </c>
      <c r="L392" s="72">
        <f>IFERROR(IF(G392="","",VLOOKUP($G392,[1]基础信息!$B:$C,2,FALSE)+SUMIF(G$8:G392,G392,J$8:J392)-SUMIF(G$8:G392,G392,K$8:K392)+SUMIFS([1]内部转账!$G:$G,[1]内部转账!$C:$C,"&lt;="&amp;$D392,[1]内部转账!$E:$E,$G392)-SUMIFS([1]内部转账!$G:$G,[1]内部转账!$C:$C,"&lt;="&amp;$D392,[1]内部转账!$F:$F,$G392)),"")</f>
        <v>9112.03000000026</v>
      </c>
      <c r="M392" s="64" t="s">
        <v>166</v>
      </c>
      <c r="N392" s="69"/>
      <c r="O392" s="64"/>
      <c r="P392" s="64" t="s">
        <v>122</v>
      </c>
      <c r="Q392" s="69"/>
      <c r="R392" s="69"/>
      <c r="S392" s="69"/>
    </row>
    <row r="393" s="2" customFormat="1" ht="24.95" customHeight="1" spans="1:19">
      <c r="A393" s="15"/>
      <c r="B393" s="55"/>
      <c r="C393" s="56"/>
      <c r="D393" s="68">
        <v>45963</v>
      </c>
      <c r="E393" s="69"/>
      <c r="F393" s="69" t="s">
        <v>26</v>
      </c>
      <c r="G393" s="65" t="s">
        <v>27</v>
      </c>
      <c r="H393" s="65" t="s">
        <v>62</v>
      </c>
      <c r="I393" s="70" t="s">
        <v>188</v>
      </c>
      <c r="J393" s="71"/>
      <c r="K393" s="71">
        <v>7716.04</v>
      </c>
      <c r="L393" s="72">
        <f>IFERROR(IF(G393="","",VLOOKUP($G393,[1]基础信息!$B:$C,2,FALSE)+SUMIF(G$8:G393,G393,J$8:J393)-SUMIF(G$8:G393,G393,K$8:K393)+SUMIFS([1]内部转账!$G:$G,[1]内部转账!$C:$C,"&lt;="&amp;$D393,[1]内部转账!$E:$E,$G393)-SUMIFS([1]内部转账!$G:$G,[1]内部转账!$C:$C,"&lt;="&amp;$D393,[1]内部转账!$F:$F,$G393)),"")</f>
        <v>1395.99000000022</v>
      </c>
      <c r="M393" s="64" t="s">
        <v>150</v>
      </c>
      <c r="N393" s="69"/>
      <c r="O393" s="64"/>
      <c r="P393" s="64" t="s">
        <v>122</v>
      </c>
      <c r="Q393" s="69"/>
      <c r="R393" s="69"/>
      <c r="S393" s="69"/>
    </row>
    <row r="394" s="2" customFormat="1" ht="24.95" customHeight="1" spans="1:19">
      <c r="A394" s="15"/>
      <c r="B394" s="55"/>
      <c r="C394" s="56"/>
      <c r="D394" s="68">
        <v>45965</v>
      </c>
      <c r="E394" s="69"/>
      <c r="F394" s="69" t="s">
        <v>26</v>
      </c>
      <c r="G394" s="65" t="s">
        <v>27</v>
      </c>
      <c r="H394" s="65" t="s">
        <v>28</v>
      </c>
      <c r="I394" s="70" t="s">
        <v>29</v>
      </c>
      <c r="J394" s="71"/>
      <c r="K394" s="71">
        <v>-5000</v>
      </c>
      <c r="L394" s="72">
        <f>IFERROR(IF(G394="","",VLOOKUP($G394,[1]基础信息!$B:$C,2,FALSE)+SUMIF(G$8:G394,G394,J$8:J394)-SUMIF(G$8:G394,G394,K$8:K394)+SUMIFS([1]内部转账!$G:$G,[1]内部转账!$C:$C,"&lt;="&amp;$D394,[1]内部转账!$E:$E,$G394)-SUMIFS([1]内部转账!$G:$G,[1]内部转账!$C:$C,"&lt;="&amp;$D394,[1]内部转账!$F:$F,$G394)),"")</f>
        <v>6395.99000000022</v>
      </c>
      <c r="M394" s="64" t="s">
        <v>30</v>
      </c>
      <c r="N394" s="58" t="s">
        <v>31</v>
      </c>
      <c r="O394" s="64"/>
      <c r="P394" s="64" t="s">
        <v>31</v>
      </c>
      <c r="Q394" s="69"/>
      <c r="R394" s="69"/>
      <c r="S394" s="69"/>
    </row>
    <row r="395" s="2" customFormat="1" ht="24.95" customHeight="1" spans="1:19">
      <c r="A395" s="15"/>
      <c r="B395" s="55"/>
      <c r="C395" s="56"/>
      <c r="D395" s="68">
        <v>45965</v>
      </c>
      <c r="E395" s="69"/>
      <c r="F395" s="69" t="s">
        <v>26</v>
      </c>
      <c r="G395" s="65" t="s">
        <v>27</v>
      </c>
      <c r="H395" s="65" t="s">
        <v>62</v>
      </c>
      <c r="I395" s="70" t="s">
        <v>202</v>
      </c>
      <c r="J395" s="71"/>
      <c r="K395" s="71">
        <v>5260</v>
      </c>
      <c r="L395" s="72">
        <f>IFERROR(IF(G395="","",VLOOKUP($G395,[1]基础信息!$B:$C,2,FALSE)+SUMIF(G$8:G395,G395,J$8:J395)-SUMIF(G$8:G395,G395,K$8:K395)+SUMIFS([1]内部转账!$G:$G,[1]内部转账!$C:$C,"&lt;="&amp;$D395,[1]内部转账!$E:$E,$G395)-SUMIFS([1]内部转账!$G:$G,[1]内部转账!$C:$C,"&lt;="&amp;$D395,[1]内部转账!$F:$F,$G395)),"")</f>
        <v>1135.99000000022</v>
      </c>
      <c r="M395" s="64" t="s">
        <v>150</v>
      </c>
      <c r="N395" s="69"/>
      <c r="O395" s="64"/>
      <c r="P395" s="64" t="s">
        <v>203</v>
      </c>
      <c r="Q395" s="69"/>
      <c r="R395" s="69"/>
      <c r="S395" s="69"/>
    </row>
    <row r="396" s="2" customFormat="1" ht="24.95" customHeight="1" spans="1:19">
      <c r="A396" s="15"/>
      <c r="B396" s="55"/>
      <c r="C396" s="56"/>
      <c r="D396" s="68">
        <v>45968</v>
      </c>
      <c r="E396" s="69"/>
      <c r="F396" s="69" t="s">
        <v>42</v>
      </c>
      <c r="G396" s="65" t="s">
        <v>27</v>
      </c>
      <c r="H396" s="65" t="s">
        <v>43</v>
      </c>
      <c r="I396" s="70" t="s">
        <v>221</v>
      </c>
      <c r="J396" s="71">
        <v>328361.8</v>
      </c>
      <c r="K396" s="71"/>
      <c r="L396" s="72">
        <f>IFERROR(IF(G396="","",VLOOKUP($G396,[1]基础信息!$B:$C,2,FALSE)+SUMIF(G$8:G396,G396,J$8:J396)-SUMIF(G$8:G396,G396,K$8:K396)+SUMIFS([1]内部转账!$G:$G,[1]内部转账!$C:$C,"&lt;="&amp;$D396,[1]内部转账!$E:$E,$G396)-SUMIFS([1]内部转账!$G:$G,[1]内部转账!$C:$C,"&lt;="&amp;$D396,[1]内部转账!$F:$F,$G396)),"")</f>
        <v>329497.79</v>
      </c>
      <c r="M396" s="64" t="s">
        <v>206</v>
      </c>
      <c r="N396" s="69"/>
      <c r="O396" s="64" t="s">
        <v>222</v>
      </c>
      <c r="P396" s="64"/>
      <c r="Q396" s="69"/>
      <c r="R396" s="69"/>
      <c r="S396" s="69"/>
    </row>
    <row r="397" s="2" customFormat="1" ht="24.95" customHeight="1" spans="1:19">
      <c r="A397" s="15"/>
      <c r="B397" s="55"/>
      <c r="C397" s="56"/>
      <c r="D397" s="68">
        <v>45968</v>
      </c>
      <c r="E397" s="69"/>
      <c r="F397" s="69" t="s">
        <v>26</v>
      </c>
      <c r="G397" s="65" t="s">
        <v>27</v>
      </c>
      <c r="H397" s="65" t="s">
        <v>138</v>
      </c>
      <c r="I397" s="70" t="s">
        <v>223</v>
      </c>
      <c r="J397" s="71"/>
      <c r="K397" s="71">
        <v>10540</v>
      </c>
      <c r="L397" s="72">
        <f>IFERROR(IF(G397="","",VLOOKUP($G397,[1]基础信息!$B:$C,2,FALSE)+SUMIF(G$8:G397,G397,J$8:J397)-SUMIF(G$8:G397,G397,K$8:K397)+SUMIFS([1]内部转账!$G:$G,[1]内部转账!$C:$C,"&lt;="&amp;$D397,[1]内部转账!$E:$E,$G397)-SUMIFS([1]内部转账!$G:$G,[1]内部转账!$C:$C,"&lt;="&amp;$D397,[1]内部转账!$F:$F,$G397)),"")</f>
        <v>318957.79</v>
      </c>
      <c r="M397" s="64" t="s">
        <v>166</v>
      </c>
      <c r="N397" s="69"/>
      <c r="O397" s="64"/>
      <c r="P397" s="64" t="s">
        <v>216</v>
      </c>
      <c r="Q397" s="69"/>
      <c r="R397" s="69"/>
      <c r="S397" s="69"/>
    </row>
    <row r="398" s="2" customFormat="1" ht="24.95" customHeight="1" spans="1:19">
      <c r="A398" s="15"/>
      <c r="B398" s="55"/>
      <c r="C398" s="56"/>
      <c r="D398" s="68">
        <v>45968</v>
      </c>
      <c r="E398" s="69"/>
      <c r="F398" s="69" t="s">
        <v>26</v>
      </c>
      <c r="G398" s="65" t="s">
        <v>27</v>
      </c>
      <c r="H398" s="65" t="s">
        <v>62</v>
      </c>
      <c r="I398" s="70" t="s">
        <v>224</v>
      </c>
      <c r="J398" s="71"/>
      <c r="K398" s="71">
        <v>5900</v>
      </c>
      <c r="L398" s="72">
        <f>IFERROR(IF(G398="","",VLOOKUP($G398,[1]基础信息!$B:$C,2,FALSE)+SUMIF(G$8:G398,G398,J$8:J398)-SUMIF(G$8:G398,G398,K$8:K398)+SUMIFS([1]内部转账!$G:$G,[1]内部转账!$C:$C,"&lt;="&amp;$D398,[1]内部转账!$E:$E,$G398)-SUMIFS([1]内部转账!$G:$G,[1]内部转账!$C:$C,"&lt;="&amp;$D398,[1]内部转账!$F:$F,$G398)),"")</f>
        <v>313057.79</v>
      </c>
      <c r="M398" s="64" t="s">
        <v>150</v>
      </c>
      <c r="N398" s="69"/>
      <c r="O398" s="64"/>
      <c r="P398" s="64" t="s">
        <v>225</v>
      </c>
      <c r="Q398" s="69"/>
      <c r="R398" s="69"/>
      <c r="S398" s="69"/>
    </row>
    <row r="399" s="2" customFormat="1" ht="24.95" customHeight="1" spans="1:19">
      <c r="A399" s="15"/>
      <c r="B399" s="55"/>
      <c r="C399" s="56"/>
      <c r="D399" s="68">
        <v>45968</v>
      </c>
      <c r="E399" s="69"/>
      <c r="F399" s="69" t="s">
        <v>26</v>
      </c>
      <c r="G399" s="65" t="s">
        <v>27</v>
      </c>
      <c r="H399" s="65" t="s">
        <v>46</v>
      </c>
      <c r="I399" s="70" t="s">
        <v>74</v>
      </c>
      <c r="J399" s="71"/>
      <c r="K399" s="71">
        <v>5000</v>
      </c>
      <c r="L399" s="72">
        <f>IFERROR(IF(G399="","",VLOOKUP($G399,[1]基础信息!$B:$C,2,FALSE)+SUMIF(G$8:G399,G399,J$8:J399)-SUMIF(G$8:G399,G399,K$8:K399)+SUMIFS([1]内部转账!$G:$G,[1]内部转账!$C:$C,"&lt;="&amp;$D399,[1]内部转账!$E:$E,$G399)-SUMIFS([1]内部转账!$G:$G,[1]内部转账!$C:$C,"&lt;="&amp;$D399,[1]内部转账!$F:$F,$G399)),"")</f>
        <v>308057.79</v>
      </c>
      <c r="M399" s="64" t="s">
        <v>150</v>
      </c>
      <c r="N399" s="69"/>
      <c r="O399" s="64"/>
      <c r="P399" s="64"/>
      <c r="Q399" s="69"/>
      <c r="R399" s="69"/>
      <c r="S399" s="69"/>
    </row>
    <row r="400" s="2" customFormat="1" ht="24.95" customHeight="1" spans="1:19">
      <c r="A400" s="15"/>
      <c r="B400" s="55"/>
      <c r="C400" s="56"/>
      <c r="D400" s="68">
        <v>45968</v>
      </c>
      <c r="E400" s="69"/>
      <c r="F400" s="69" t="s">
        <v>26</v>
      </c>
      <c r="G400" s="65" t="s">
        <v>27</v>
      </c>
      <c r="H400" s="65" t="s">
        <v>204</v>
      </c>
      <c r="I400" s="70" t="s">
        <v>205</v>
      </c>
      <c r="J400" s="71"/>
      <c r="K400" s="71">
        <v>50000</v>
      </c>
      <c r="L400" s="72">
        <f>IFERROR(IF(G400="","",VLOOKUP($G400,[1]基础信息!$B:$C,2,FALSE)+SUMIF(G$8:G400,G400,J$8:J400)-SUMIF(G$8:G400,G400,K$8:K400)+SUMIFS([1]内部转账!$G:$G,[1]内部转账!$C:$C,"&lt;="&amp;$D400,[1]内部转账!$E:$E,$G400)-SUMIFS([1]内部转账!$G:$G,[1]内部转账!$C:$C,"&lt;="&amp;$D400,[1]内部转账!$F:$F,$G400)),"")</f>
        <v>258057.79</v>
      </c>
      <c r="M400" s="64" t="s">
        <v>30</v>
      </c>
      <c r="N400" s="69"/>
      <c r="O400" s="64"/>
      <c r="P400" s="64"/>
      <c r="Q400" s="69"/>
      <c r="R400" s="69"/>
      <c r="S400" s="69"/>
    </row>
    <row r="401" s="2" customFormat="1" ht="24.95" customHeight="1" spans="1:19">
      <c r="A401" s="15"/>
      <c r="B401" s="55"/>
      <c r="C401" s="56"/>
      <c r="D401" s="68">
        <v>45968</v>
      </c>
      <c r="E401" s="69"/>
      <c r="F401" s="69" t="s">
        <v>26</v>
      </c>
      <c r="G401" s="65" t="s">
        <v>27</v>
      </c>
      <c r="H401" s="65" t="s">
        <v>138</v>
      </c>
      <c r="I401" s="70" t="s">
        <v>226</v>
      </c>
      <c r="J401" s="71"/>
      <c r="K401" s="71">
        <v>5093</v>
      </c>
      <c r="L401" s="72">
        <f>IFERROR(IF(G401="","",VLOOKUP($G401,[1]基础信息!$B:$C,2,FALSE)+SUMIF(G$8:G401,G401,J$8:J401)-SUMIF(G$8:G401,G401,K$8:K401)+SUMIFS([1]内部转账!$G:$G,[1]内部转账!$C:$C,"&lt;="&amp;$D401,[1]内部转账!$E:$E,$G401)-SUMIFS([1]内部转账!$G:$G,[1]内部转账!$C:$C,"&lt;="&amp;$D401,[1]内部转账!$F:$F,$G401)),"")</f>
        <v>252964.79</v>
      </c>
      <c r="M401" s="64" t="s">
        <v>166</v>
      </c>
      <c r="N401" s="69"/>
      <c r="O401" s="64"/>
      <c r="P401" s="64" t="s">
        <v>227</v>
      </c>
      <c r="Q401" s="69"/>
      <c r="R401" s="69"/>
      <c r="S401" s="69"/>
    </row>
    <row r="402" s="2" customFormat="1" ht="24.95" customHeight="1" spans="1:19">
      <c r="A402" s="15"/>
      <c r="B402" s="55"/>
      <c r="C402" s="56"/>
      <c r="D402" s="68">
        <v>45968</v>
      </c>
      <c r="E402" s="69"/>
      <c r="F402" s="69" t="s">
        <v>26</v>
      </c>
      <c r="G402" s="65" t="s">
        <v>27</v>
      </c>
      <c r="H402" s="65" t="s">
        <v>138</v>
      </c>
      <c r="I402" s="70" t="s">
        <v>186</v>
      </c>
      <c r="J402" s="71"/>
      <c r="K402" s="71">
        <v>16000</v>
      </c>
      <c r="L402" s="72">
        <f>IFERROR(IF(G402="","",VLOOKUP($G402,[1]基础信息!$B:$C,2,FALSE)+SUMIF(G$8:G402,G402,J$8:J402)-SUMIF(G$8:G402,G402,K$8:K402)+SUMIFS([1]内部转账!$G:$G,[1]内部转账!$C:$C,"&lt;="&amp;$D402,[1]内部转账!$E:$E,$G402)-SUMIFS([1]内部转账!$G:$G,[1]内部转账!$C:$C,"&lt;="&amp;$D402,[1]内部转账!$F:$F,$G402)),"")</f>
        <v>236964.79</v>
      </c>
      <c r="M402" s="64" t="s">
        <v>166</v>
      </c>
      <c r="N402" s="69"/>
      <c r="O402" s="64"/>
      <c r="P402" s="64" t="s">
        <v>187</v>
      </c>
      <c r="Q402" s="69"/>
      <c r="R402" s="69"/>
      <c r="S402" s="69"/>
    </row>
    <row r="403" s="2" customFormat="1" ht="24.95" customHeight="1" spans="1:19">
      <c r="A403" s="15"/>
      <c r="B403" s="55"/>
      <c r="C403" s="56"/>
      <c r="D403" s="68">
        <v>45968</v>
      </c>
      <c r="E403" s="69"/>
      <c r="F403" s="69" t="s">
        <v>26</v>
      </c>
      <c r="G403" s="65" t="s">
        <v>27</v>
      </c>
      <c r="H403" s="65" t="s">
        <v>53</v>
      </c>
      <c r="I403" s="70" t="s">
        <v>98</v>
      </c>
      <c r="J403" s="71"/>
      <c r="K403" s="71">
        <v>10000</v>
      </c>
      <c r="L403" s="72">
        <f>IFERROR(IF(G403="","",VLOOKUP($G403,[1]基础信息!$B:$C,2,FALSE)+SUMIF(G$8:G403,G403,J$8:J403)-SUMIF(G$8:G403,G403,K$8:K403)+SUMIFS([1]内部转账!$G:$G,[1]内部转账!$C:$C,"&lt;="&amp;$D403,[1]内部转账!$E:$E,$G403)-SUMIFS([1]内部转账!$G:$G,[1]内部转账!$C:$C,"&lt;="&amp;$D403,[1]内部转账!$F:$F,$G403)),"")</f>
        <v>226964.79</v>
      </c>
      <c r="M403" s="64" t="s">
        <v>35</v>
      </c>
      <c r="N403" s="69" t="s">
        <v>98</v>
      </c>
      <c r="O403" s="64"/>
      <c r="P403" s="64" t="s">
        <v>150</v>
      </c>
      <c r="Q403" s="69"/>
      <c r="R403" s="69"/>
      <c r="S403" s="69"/>
    </row>
    <row r="404" s="2" customFormat="1" ht="24.95" customHeight="1" spans="1:19">
      <c r="A404" s="15"/>
      <c r="B404" s="55"/>
      <c r="C404" s="56"/>
      <c r="D404" s="68">
        <v>45969</v>
      </c>
      <c r="E404" s="69"/>
      <c r="F404" s="69" t="s">
        <v>26</v>
      </c>
      <c r="G404" s="65" t="s">
        <v>27</v>
      </c>
      <c r="H404" s="65" t="s">
        <v>138</v>
      </c>
      <c r="I404" s="70" t="s">
        <v>228</v>
      </c>
      <c r="J404" s="71"/>
      <c r="K404" s="71">
        <v>37500</v>
      </c>
      <c r="L404" s="72">
        <f>IFERROR(IF(G404="","",VLOOKUP($G404,[1]基础信息!$B:$C,2,FALSE)+SUMIF(G$8:G404,G404,J$8:J404)-SUMIF(G$8:G404,G404,K$8:K404)+SUMIFS([1]内部转账!$G:$G,[1]内部转账!$C:$C,"&lt;="&amp;$D404,[1]内部转账!$E:$E,$G404)-SUMIFS([1]内部转账!$G:$G,[1]内部转账!$C:$C,"&lt;="&amp;$D404,[1]内部转账!$F:$F,$G404)),"")</f>
        <v>189464.79</v>
      </c>
      <c r="M404" s="64" t="s">
        <v>166</v>
      </c>
      <c r="N404" s="69" t="s">
        <v>229</v>
      </c>
      <c r="O404" s="64"/>
      <c r="P404" s="64" t="s">
        <v>229</v>
      </c>
      <c r="Q404" s="69"/>
      <c r="R404" s="69"/>
      <c r="S404" s="69"/>
    </row>
    <row r="405" s="2" customFormat="1" ht="24.95" customHeight="1" spans="1:19">
      <c r="A405" s="15"/>
      <c r="B405" s="55"/>
      <c r="C405" s="56"/>
      <c r="D405" s="68">
        <v>45969</v>
      </c>
      <c r="E405" s="69"/>
      <c r="F405" s="69" t="s">
        <v>26</v>
      </c>
      <c r="G405" s="65" t="s">
        <v>27</v>
      </c>
      <c r="H405" s="65" t="s">
        <v>53</v>
      </c>
      <c r="I405" s="70" t="s">
        <v>98</v>
      </c>
      <c r="J405" s="71"/>
      <c r="K405" s="71">
        <v>10000</v>
      </c>
      <c r="L405" s="72">
        <f>IFERROR(IF(G405="","",VLOOKUP($G405,[1]基础信息!$B:$C,2,FALSE)+SUMIF(G$8:G405,G405,J$8:J405)-SUMIF(G$8:G405,G405,K$8:K405)+SUMIFS([1]内部转账!$G:$G,[1]内部转账!$C:$C,"&lt;="&amp;$D405,[1]内部转账!$E:$E,$G405)-SUMIFS([1]内部转账!$G:$G,[1]内部转账!$C:$C,"&lt;="&amp;$D405,[1]内部转账!$F:$F,$G405)),"")</f>
        <v>179464.79</v>
      </c>
      <c r="M405" s="64" t="s">
        <v>35</v>
      </c>
      <c r="N405" s="69" t="s">
        <v>98</v>
      </c>
      <c r="O405" s="64"/>
      <c r="P405" s="64" t="s">
        <v>166</v>
      </c>
      <c r="Q405" s="69"/>
      <c r="R405" s="69"/>
      <c r="S405" s="69"/>
    </row>
    <row r="406" s="2" customFormat="1" ht="24.95" customHeight="1" spans="1:19">
      <c r="A406" s="15"/>
      <c r="B406" s="55"/>
      <c r="C406" s="56"/>
      <c r="D406" s="68">
        <v>45969</v>
      </c>
      <c r="E406" s="69"/>
      <c r="F406" s="69" t="s">
        <v>26</v>
      </c>
      <c r="G406" s="65" t="s">
        <v>27</v>
      </c>
      <c r="H406" s="65" t="s">
        <v>28</v>
      </c>
      <c r="I406" s="70" t="s">
        <v>29</v>
      </c>
      <c r="J406" s="71"/>
      <c r="K406" s="71">
        <v>52000</v>
      </c>
      <c r="L406" s="72">
        <f>IFERROR(IF(G406="","",VLOOKUP($G406,[1]基础信息!$B:$C,2,FALSE)+SUMIF(G$8:G406,G406,J$8:J406)-SUMIF(G$8:G406,G406,K$8:K406)+SUMIFS([1]内部转账!$G:$G,[1]内部转账!$C:$C,"&lt;="&amp;$D406,[1]内部转账!$E:$E,$G406)-SUMIFS([1]内部转账!$G:$G,[1]内部转账!$C:$C,"&lt;="&amp;$D406,[1]内部转账!$F:$F,$G406)),"")</f>
        <v>127464.79</v>
      </c>
      <c r="M406" s="64" t="s">
        <v>30</v>
      </c>
      <c r="N406" s="58" t="s">
        <v>31</v>
      </c>
      <c r="O406" s="64"/>
      <c r="P406" s="64" t="s">
        <v>31</v>
      </c>
      <c r="Q406" s="69"/>
      <c r="R406" s="69"/>
      <c r="S406" s="69"/>
    </row>
    <row r="407" s="2" customFormat="1" ht="24.95" customHeight="1" spans="1:19">
      <c r="A407" s="15"/>
      <c r="B407" s="55"/>
      <c r="C407" s="56"/>
      <c r="D407" s="68">
        <v>45970</v>
      </c>
      <c r="E407" s="69"/>
      <c r="F407" s="69" t="s">
        <v>26</v>
      </c>
      <c r="G407" s="65" t="s">
        <v>27</v>
      </c>
      <c r="H407" s="65" t="s">
        <v>62</v>
      </c>
      <c r="I407" s="70" t="s">
        <v>230</v>
      </c>
      <c r="J407" s="71"/>
      <c r="K407" s="71">
        <v>12576</v>
      </c>
      <c r="L407" s="72">
        <f>IFERROR(IF(G407="","",VLOOKUP($G407,[1]基础信息!$B:$C,2,FALSE)+SUMIF(G$8:G407,G407,J$8:J407)-SUMIF(G$8:G407,G407,K$8:K407)+SUMIFS([1]内部转账!$G:$G,[1]内部转账!$C:$C,"&lt;="&amp;$D407,[1]内部转账!$E:$E,$G407)-SUMIFS([1]内部转账!$G:$G,[1]内部转账!$C:$C,"&lt;="&amp;$D407,[1]内部转账!$F:$F,$G407)),"")</f>
        <v>114888.79</v>
      </c>
      <c r="M407" s="64" t="s">
        <v>150</v>
      </c>
      <c r="N407" s="69"/>
      <c r="O407" s="64"/>
      <c r="P407" s="64" t="s">
        <v>231</v>
      </c>
      <c r="Q407" s="69"/>
      <c r="R407" s="69"/>
      <c r="S407" s="69"/>
    </row>
    <row r="408" s="2" customFormat="1" ht="24.95" customHeight="1" spans="1:19">
      <c r="A408" s="15"/>
      <c r="B408" s="55"/>
      <c r="C408" s="56"/>
      <c r="D408" s="68">
        <v>45970</v>
      </c>
      <c r="E408" s="69"/>
      <c r="F408" s="69" t="s">
        <v>26</v>
      </c>
      <c r="G408" s="65" t="s">
        <v>27</v>
      </c>
      <c r="H408" s="65" t="s">
        <v>62</v>
      </c>
      <c r="I408" s="70" t="s">
        <v>230</v>
      </c>
      <c r="J408" s="71"/>
      <c r="K408" s="71">
        <v>-12576</v>
      </c>
      <c r="L408" s="72">
        <f>IFERROR(IF(G408="","",VLOOKUP($G408,[1]基础信息!$B:$C,2,FALSE)+SUMIF(G$8:G408,G408,J$8:J408)-SUMIF(G$8:G408,G408,K$8:K408)+SUMIFS([1]内部转账!$G:$G,[1]内部转账!$C:$C,"&lt;="&amp;$D408,[1]内部转账!$E:$E,$G408)-SUMIFS([1]内部转账!$G:$G,[1]内部转账!$C:$C,"&lt;="&amp;$D408,[1]内部转账!$F:$F,$G408)),"")</f>
        <v>127464.79</v>
      </c>
      <c r="M408" s="64" t="s">
        <v>150</v>
      </c>
      <c r="N408" s="69"/>
      <c r="O408" s="64"/>
      <c r="P408" s="64" t="s">
        <v>231</v>
      </c>
      <c r="Q408" s="69"/>
      <c r="R408" s="69"/>
      <c r="S408" s="69"/>
    </row>
    <row r="409" s="2" customFormat="1" ht="24.95" customHeight="1" spans="1:19">
      <c r="A409" s="15"/>
      <c r="B409" s="55"/>
      <c r="C409" s="56"/>
      <c r="D409" s="68">
        <v>45970</v>
      </c>
      <c r="E409" s="69"/>
      <c r="F409" s="69" t="s">
        <v>26</v>
      </c>
      <c r="G409" s="65" t="s">
        <v>27</v>
      </c>
      <c r="H409" s="65" t="s">
        <v>62</v>
      </c>
      <c r="I409" s="70" t="s">
        <v>230</v>
      </c>
      <c r="J409" s="71"/>
      <c r="K409" s="71">
        <v>12576</v>
      </c>
      <c r="L409" s="72">
        <f>IFERROR(IF(G409="","",VLOOKUP($G409,[1]基础信息!$B:$C,2,FALSE)+SUMIF(G$8:G409,G409,J$8:J409)-SUMIF(G$8:G409,G409,K$8:K409)+SUMIFS([1]内部转账!$G:$G,[1]内部转账!$C:$C,"&lt;="&amp;$D409,[1]内部转账!$E:$E,$G409)-SUMIFS([1]内部转账!$G:$G,[1]内部转账!$C:$C,"&lt;="&amp;$D409,[1]内部转账!$F:$F,$G409)),"")</f>
        <v>114888.79</v>
      </c>
      <c r="M409" s="64" t="s">
        <v>150</v>
      </c>
      <c r="N409" s="69"/>
      <c r="O409" s="64"/>
      <c r="P409" s="64" t="s">
        <v>231</v>
      </c>
      <c r="Q409" s="69"/>
      <c r="R409" s="69"/>
      <c r="S409" s="69"/>
    </row>
    <row r="410" s="2" customFormat="1" ht="24.95" customHeight="1" spans="1:19">
      <c r="A410" s="15"/>
      <c r="B410" s="55"/>
      <c r="C410" s="56"/>
      <c r="D410" s="68">
        <v>45970</v>
      </c>
      <c r="E410" s="69"/>
      <c r="F410" s="69" t="s">
        <v>26</v>
      </c>
      <c r="G410" s="65" t="s">
        <v>27</v>
      </c>
      <c r="H410" s="65" t="s">
        <v>58</v>
      </c>
      <c r="I410" s="70" t="s">
        <v>232</v>
      </c>
      <c r="J410" s="71"/>
      <c r="K410" s="71">
        <v>1800</v>
      </c>
      <c r="L410" s="72">
        <f>IFERROR(IF(G410="","",VLOOKUP($G410,[1]基础信息!$B:$C,2,FALSE)+SUMIF(G$8:G410,G410,J$8:J410)-SUMIF(G$8:G410,G410,K$8:K410)+SUMIFS([1]内部转账!$G:$G,[1]内部转账!$C:$C,"&lt;="&amp;$D410,[1]内部转账!$E:$E,$G410)-SUMIFS([1]内部转账!$G:$G,[1]内部转账!$C:$C,"&lt;="&amp;$D410,[1]内部转账!$F:$F,$G410)),"")</f>
        <v>113088.79</v>
      </c>
      <c r="M410" s="64" t="s">
        <v>166</v>
      </c>
      <c r="N410" s="69"/>
      <c r="O410" s="64"/>
      <c r="P410" s="64"/>
      <c r="Q410" s="69"/>
      <c r="R410" s="69"/>
      <c r="S410" s="69"/>
    </row>
    <row r="411" s="2" customFormat="1" ht="24.95" customHeight="1" spans="1:19">
      <c r="A411" s="15"/>
      <c r="B411" s="55"/>
      <c r="C411" s="56"/>
      <c r="D411" s="68">
        <v>45971</v>
      </c>
      <c r="E411" s="69"/>
      <c r="F411" s="69" t="s">
        <v>26</v>
      </c>
      <c r="G411" s="65" t="s">
        <v>27</v>
      </c>
      <c r="H411" s="65" t="s">
        <v>62</v>
      </c>
      <c r="I411" s="70" t="s">
        <v>230</v>
      </c>
      <c r="J411" s="71"/>
      <c r="K411" s="71">
        <v>5834</v>
      </c>
      <c r="L411" s="72">
        <f>IFERROR(IF(G411="","",VLOOKUP($G411,[1]基础信息!$B:$C,2,FALSE)+SUMIF(G$8:G411,G411,J$8:J411)-SUMIF(G$8:G411,G411,K$8:K411)+SUMIFS([1]内部转账!$G:$G,[1]内部转账!$C:$C,"&lt;="&amp;$D411,[1]内部转账!$E:$E,$G411)-SUMIFS([1]内部转账!$G:$G,[1]内部转账!$C:$C,"&lt;="&amp;$D411,[1]内部转账!$F:$F,$G411)),"")</f>
        <v>107254.79</v>
      </c>
      <c r="M411" s="64" t="s">
        <v>166</v>
      </c>
      <c r="N411" s="69"/>
      <c r="O411" s="64"/>
      <c r="P411" s="64" t="s">
        <v>231</v>
      </c>
      <c r="Q411" s="69"/>
      <c r="R411" s="69"/>
      <c r="S411" s="69"/>
    </row>
    <row r="412" s="2" customFormat="1" ht="24.95" customHeight="1" spans="1:19">
      <c r="A412" s="15"/>
      <c r="B412" s="55"/>
      <c r="C412" s="56"/>
      <c r="D412" s="68">
        <v>45971</v>
      </c>
      <c r="E412" s="69"/>
      <c r="F412" s="69" t="s">
        <v>26</v>
      </c>
      <c r="G412" s="65" t="s">
        <v>27</v>
      </c>
      <c r="H412" s="65" t="s">
        <v>62</v>
      </c>
      <c r="I412" s="70" t="s">
        <v>230</v>
      </c>
      <c r="J412" s="71"/>
      <c r="K412" s="71">
        <v>-5834</v>
      </c>
      <c r="L412" s="72">
        <f>IFERROR(IF(G412="","",VLOOKUP($G412,[1]基础信息!$B:$C,2,FALSE)+SUMIF(G$8:G412,G412,J$8:J412)-SUMIF(G$8:G412,G412,K$8:K412)+SUMIFS([1]内部转账!$G:$G,[1]内部转账!$C:$C,"&lt;="&amp;$D412,[1]内部转账!$E:$E,$G412)-SUMIFS([1]内部转账!$G:$G,[1]内部转账!$C:$C,"&lt;="&amp;$D412,[1]内部转账!$F:$F,$G412)),"")</f>
        <v>113088.79</v>
      </c>
      <c r="M412" s="64" t="s">
        <v>166</v>
      </c>
      <c r="N412" s="69"/>
      <c r="O412" s="64"/>
      <c r="P412" s="64" t="s">
        <v>231</v>
      </c>
      <c r="Q412" s="69"/>
      <c r="R412" s="69"/>
      <c r="S412" s="69"/>
    </row>
    <row r="413" s="2" customFormat="1" ht="24.95" customHeight="1" spans="1:19">
      <c r="A413" s="15"/>
      <c r="B413" s="55"/>
      <c r="C413" s="56"/>
      <c r="D413" s="68">
        <v>45971</v>
      </c>
      <c r="E413" s="69"/>
      <c r="F413" s="69" t="s">
        <v>26</v>
      </c>
      <c r="G413" s="65" t="s">
        <v>27</v>
      </c>
      <c r="H413" s="65" t="s">
        <v>62</v>
      </c>
      <c r="I413" s="70" t="s">
        <v>230</v>
      </c>
      <c r="J413" s="71"/>
      <c r="K413" s="71">
        <v>5834</v>
      </c>
      <c r="L413" s="72">
        <f>IFERROR(IF(G413="","",VLOOKUP($G413,[1]基础信息!$B:$C,2,FALSE)+SUMIF(G$8:G413,G413,J$8:J413)-SUMIF(G$8:G413,G413,K$8:K413)+SUMIFS([1]内部转账!$G:$G,[1]内部转账!$C:$C,"&lt;="&amp;$D413,[1]内部转账!$E:$E,$G413)-SUMIFS([1]内部转账!$G:$G,[1]内部转账!$C:$C,"&lt;="&amp;$D413,[1]内部转账!$F:$F,$G413)),"")</f>
        <v>107254.79</v>
      </c>
      <c r="M413" s="64" t="s">
        <v>166</v>
      </c>
      <c r="N413" s="69"/>
      <c r="O413" s="64"/>
      <c r="P413" s="64" t="s">
        <v>231</v>
      </c>
      <c r="Q413" s="69"/>
      <c r="R413" s="69"/>
      <c r="S413" s="69"/>
    </row>
    <row r="414" s="2" customFormat="1" ht="24.95" customHeight="1" spans="1:19">
      <c r="A414" s="15"/>
      <c r="B414" s="55"/>
      <c r="C414" s="56"/>
      <c r="D414" s="68">
        <v>45971</v>
      </c>
      <c r="E414" s="69"/>
      <c r="F414" s="69" t="s">
        <v>26</v>
      </c>
      <c r="G414" s="65" t="s">
        <v>27</v>
      </c>
      <c r="H414" s="65" t="s">
        <v>46</v>
      </c>
      <c r="I414" s="70" t="s">
        <v>233</v>
      </c>
      <c r="J414" s="71"/>
      <c r="K414" s="71">
        <v>3000</v>
      </c>
      <c r="L414" s="72">
        <f>IFERROR(IF(G414="","",VLOOKUP($G414,[1]基础信息!$B:$C,2,FALSE)+SUMIF(G$8:G414,G414,J$8:J414)-SUMIF(G$8:G414,G414,K$8:K414)+SUMIFS([1]内部转账!$G:$G,[1]内部转账!$C:$C,"&lt;="&amp;$D414,[1]内部转账!$E:$E,$G414)-SUMIFS([1]内部转账!$G:$G,[1]内部转账!$C:$C,"&lt;="&amp;$D414,[1]内部转账!$F:$F,$G414)),"")</f>
        <v>104254.79</v>
      </c>
      <c r="M414" s="64" t="s">
        <v>206</v>
      </c>
      <c r="N414" s="69"/>
      <c r="O414" s="64"/>
      <c r="P414" s="64"/>
      <c r="Q414" s="69"/>
      <c r="R414" s="69"/>
      <c r="S414" s="69"/>
    </row>
    <row r="415" s="2" customFormat="1" ht="24.95" customHeight="1" spans="1:19">
      <c r="A415" s="15"/>
      <c r="B415" s="55"/>
      <c r="C415" s="56"/>
      <c r="D415" s="68">
        <v>45971</v>
      </c>
      <c r="E415" s="69"/>
      <c r="F415" s="69" t="s">
        <v>26</v>
      </c>
      <c r="G415" s="65" t="s">
        <v>27</v>
      </c>
      <c r="H415" s="65" t="s">
        <v>37</v>
      </c>
      <c r="I415" s="70" t="s">
        <v>234</v>
      </c>
      <c r="J415" s="71"/>
      <c r="K415" s="71">
        <v>4554</v>
      </c>
      <c r="L415" s="72">
        <f>IFERROR(IF(G415="","",VLOOKUP($G415,[1]基础信息!$B:$C,2,FALSE)+SUMIF(G$8:G415,G415,J$8:J415)-SUMIF(G$8:G415,G415,K$8:K415)+SUMIFS([1]内部转账!$G:$G,[1]内部转账!$C:$C,"&lt;="&amp;$D415,[1]内部转账!$E:$E,$G415)-SUMIFS([1]内部转账!$G:$G,[1]内部转账!$C:$C,"&lt;="&amp;$D415,[1]内部转账!$F:$F,$G415)),"")</f>
        <v>99700.79</v>
      </c>
      <c r="M415" s="64" t="s">
        <v>235</v>
      </c>
      <c r="N415" s="69"/>
      <c r="O415" s="64"/>
      <c r="P415" s="64"/>
      <c r="Q415" s="69"/>
      <c r="R415" s="69"/>
      <c r="S415" s="69"/>
    </row>
    <row r="416" s="2" customFormat="1" ht="24.95" customHeight="1" spans="1:19">
      <c r="A416" s="15"/>
      <c r="B416" s="55"/>
      <c r="C416" s="56"/>
      <c r="D416" s="68">
        <v>45971</v>
      </c>
      <c r="E416" s="69"/>
      <c r="F416" s="69" t="s">
        <v>26</v>
      </c>
      <c r="G416" s="65" t="s">
        <v>27</v>
      </c>
      <c r="H416" s="65" t="s">
        <v>58</v>
      </c>
      <c r="I416" s="70" t="s">
        <v>160</v>
      </c>
      <c r="J416" s="71"/>
      <c r="K416" s="71">
        <v>4.5</v>
      </c>
      <c r="L416" s="72">
        <f>IFERROR(IF(G416="","",VLOOKUP($G416,[1]基础信息!$B:$C,2,FALSE)+SUMIF(G$8:G416,G416,J$8:J416)-SUMIF(G$8:G416,G416,K$8:K416)+SUMIFS([1]内部转账!$G:$G,[1]内部转账!$C:$C,"&lt;="&amp;$D416,[1]内部转账!$E:$E,$G416)-SUMIFS([1]内部转账!$G:$G,[1]内部转账!$C:$C,"&lt;="&amp;$D416,[1]内部转账!$F:$F,$G416)),"")</f>
        <v>99696.29</v>
      </c>
      <c r="M416" s="64" t="s">
        <v>166</v>
      </c>
      <c r="N416" s="69"/>
      <c r="O416" s="64"/>
      <c r="P416" s="64"/>
      <c r="Q416" s="69"/>
      <c r="R416" s="69"/>
      <c r="S416" s="69"/>
    </row>
    <row r="417" s="2" customFormat="1" ht="24.95" customHeight="1" spans="1:19">
      <c r="A417" s="15"/>
      <c r="B417" s="55"/>
      <c r="C417" s="56"/>
      <c r="D417" s="68">
        <v>45971</v>
      </c>
      <c r="E417" s="69"/>
      <c r="F417" s="69" t="s">
        <v>26</v>
      </c>
      <c r="G417" s="65" t="s">
        <v>27</v>
      </c>
      <c r="H417" s="65" t="s">
        <v>46</v>
      </c>
      <c r="I417" s="70" t="s">
        <v>179</v>
      </c>
      <c r="J417" s="71"/>
      <c r="K417" s="71">
        <v>4000</v>
      </c>
      <c r="L417" s="72">
        <f>IFERROR(IF(G417="","",VLOOKUP($G417,[1]基础信息!$B:$C,2,FALSE)+SUMIF(G$8:G417,G417,J$8:J417)-SUMIF(G$8:G417,G417,K$8:K417)+SUMIFS([1]内部转账!$G:$G,[1]内部转账!$C:$C,"&lt;="&amp;$D417,[1]内部转账!$E:$E,$G417)-SUMIFS([1]内部转账!$G:$G,[1]内部转账!$C:$C,"&lt;="&amp;$D417,[1]内部转账!$F:$F,$G417)),"")</f>
        <v>95696.29</v>
      </c>
      <c r="M417" s="64" t="s">
        <v>150</v>
      </c>
      <c r="N417" s="69"/>
      <c r="O417" s="64"/>
      <c r="P417" s="64"/>
      <c r="Q417" s="69"/>
      <c r="R417" s="69"/>
      <c r="S417" s="69"/>
    </row>
    <row r="418" s="2" customFormat="1" ht="24.95" customHeight="1" spans="1:19">
      <c r="A418" s="15"/>
      <c r="B418" s="55"/>
      <c r="C418" s="56"/>
      <c r="D418" s="68">
        <v>45971</v>
      </c>
      <c r="E418" s="69"/>
      <c r="F418" s="69" t="s">
        <v>26</v>
      </c>
      <c r="G418" s="65" t="s">
        <v>27</v>
      </c>
      <c r="H418" s="65" t="s">
        <v>115</v>
      </c>
      <c r="I418" s="70" t="s">
        <v>236</v>
      </c>
      <c r="J418" s="71"/>
      <c r="K418" s="71">
        <v>5000</v>
      </c>
      <c r="L418" s="72">
        <f>IFERROR(IF(G418="","",VLOOKUP($G418,[1]基础信息!$B:$C,2,FALSE)+SUMIF(G$8:G418,G418,J$8:J418)-SUMIF(G$8:G418,G418,K$8:K418)+SUMIFS([1]内部转账!$G:$G,[1]内部转账!$C:$C,"&lt;="&amp;$D418,[1]内部转账!$E:$E,$G418)-SUMIFS([1]内部转账!$G:$G,[1]内部转账!$C:$C,"&lt;="&amp;$D418,[1]内部转账!$F:$F,$G418)),"")</f>
        <v>90696.29</v>
      </c>
      <c r="M418" s="64" t="s">
        <v>206</v>
      </c>
      <c r="N418" s="69"/>
      <c r="O418" s="64"/>
      <c r="P418" s="64" t="s">
        <v>237</v>
      </c>
      <c r="Q418" s="69"/>
      <c r="R418" s="69"/>
      <c r="S418" s="69"/>
    </row>
    <row r="419" s="2" customFormat="1" ht="24.95" customHeight="1" spans="1:19">
      <c r="A419" s="15"/>
      <c r="B419" s="55"/>
      <c r="C419" s="56"/>
      <c r="D419" s="68">
        <v>45971</v>
      </c>
      <c r="E419" s="69"/>
      <c r="F419" s="69" t="s">
        <v>26</v>
      </c>
      <c r="G419" s="65" t="s">
        <v>27</v>
      </c>
      <c r="H419" s="65" t="s">
        <v>115</v>
      </c>
      <c r="I419" s="70" t="s">
        <v>236</v>
      </c>
      <c r="J419" s="71"/>
      <c r="K419" s="71">
        <v>-5000</v>
      </c>
      <c r="L419" s="72">
        <f>IFERROR(IF(G419="","",VLOOKUP($G419,[1]基础信息!$B:$C,2,FALSE)+SUMIF(G$8:G419,G419,J$8:J419)-SUMIF(G$8:G419,G419,K$8:K419)+SUMIFS([1]内部转账!$G:$G,[1]内部转账!$C:$C,"&lt;="&amp;$D419,[1]内部转账!$E:$E,$G419)-SUMIFS([1]内部转账!$G:$G,[1]内部转账!$C:$C,"&lt;="&amp;$D419,[1]内部转账!$F:$F,$G419)),"")</f>
        <v>95696.29</v>
      </c>
      <c r="M419" s="64" t="s">
        <v>206</v>
      </c>
      <c r="N419" s="69"/>
      <c r="O419" s="64"/>
      <c r="P419" s="64" t="s">
        <v>237</v>
      </c>
      <c r="Q419" s="69"/>
      <c r="R419" s="69"/>
      <c r="S419" s="69"/>
    </row>
    <row r="420" s="2" customFormat="1" ht="24.95" customHeight="1" spans="1:19">
      <c r="A420" s="15"/>
      <c r="B420" s="55"/>
      <c r="C420" s="56"/>
      <c r="D420" s="68">
        <v>45971</v>
      </c>
      <c r="E420" s="69"/>
      <c r="F420" s="69" t="s">
        <v>26</v>
      </c>
      <c r="G420" s="65" t="s">
        <v>27</v>
      </c>
      <c r="H420" s="65" t="s">
        <v>115</v>
      </c>
      <c r="I420" s="70" t="s">
        <v>236</v>
      </c>
      <c r="J420" s="71"/>
      <c r="K420" s="71">
        <v>5000</v>
      </c>
      <c r="L420" s="72">
        <f>IFERROR(IF(G420="","",VLOOKUP($G420,[1]基础信息!$B:$C,2,FALSE)+SUMIF(G$8:G420,G420,J$8:J420)-SUMIF(G$8:G420,G420,K$8:K420)+SUMIFS([1]内部转账!$G:$G,[1]内部转账!$C:$C,"&lt;="&amp;$D420,[1]内部转账!$E:$E,$G420)-SUMIFS([1]内部转账!$G:$G,[1]内部转账!$C:$C,"&lt;="&amp;$D420,[1]内部转账!$F:$F,$G420)),"")</f>
        <v>90696.29</v>
      </c>
      <c r="M420" s="64" t="s">
        <v>206</v>
      </c>
      <c r="N420" s="69"/>
      <c r="O420" s="64"/>
      <c r="P420" s="64" t="s">
        <v>237</v>
      </c>
      <c r="Q420" s="69"/>
      <c r="R420" s="69"/>
      <c r="S420" s="69"/>
    </row>
    <row r="421" s="2" customFormat="1" ht="24.95" customHeight="1" spans="1:19">
      <c r="A421" s="15"/>
      <c r="B421" s="55"/>
      <c r="C421" s="56"/>
      <c r="D421" s="68">
        <v>45972</v>
      </c>
      <c r="E421" s="69"/>
      <c r="F421" s="69" t="s">
        <v>26</v>
      </c>
      <c r="G421" s="65" t="s">
        <v>27</v>
      </c>
      <c r="H421" s="65" t="s">
        <v>46</v>
      </c>
      <c r="I421" s="70" t="s">
        <v>65</v>
      </c>
      <c r="J421" s="71"/>
      <c r="K421" s="71">
        <v>4000</v>
      </c>
      <c r="L421" s="72">
        <f>IFERROR(IF(G421="","",VLOOKUP($G421,[1]基础信息!$B:$C,2,FALSE)+SUMIF(G$8:G421,G421,J$8:J421)-SUMIF(G$8:G421,G421,K$8:K421)+SUMIFS([1]内部转账!$G:$G,[1]内部转账!$C:$C,"&lt;="&amp;$D421,[1]内部转账!$E:$E,$G421)-SUMIFS([1]内部转账!$G:$G,[1]内部转账!$C:$C,"&lt;="&amp;$D421,[1]内部转账!$F:$F,$G421)),"")</f>
        <v>86696.29</v>
      </c>
      <c r="M421" s="64" t="s">
        <v>150</v>
      </c>
      <c r="N421" s="69"/>
      <c r="O421" s="64"/>
      <c r="P421" s="64"/>
      <c r="Q421" s="69"/>
      <c r="R421" s="69"/>
      <c r="S421" s="69"/>
    </row>
    <row r="422" s="2" customFormat="1" ht="24.95" customHeight="1" spans="1:19">
      <c r="A422" s="15"/>
      <c r="B422" s="55"/>
      <c r="C422" s="56"/>
      <c r="D422" s="68">
        <v>45972</v>
      </c>
      <c r="E422" s="69"/>
      <c r="F422" s="69" t="s">
        <v>26</v>
      </c>
      <c r="G422" s="65" t="s">
        <v>27</v>
      </c>
      <c r="H422" s="65" t="s">
        <v>46</v>
      </c>
      <c r="I422" s="70" t="s">
        <v>137</v>
      </c>
      <c r="J422" s="71"/>
      <c r="K422" s="71">
        <v>4000</v>
      </c>
      <c r="L422" s="72">
        <f>IFERROR(IF(G422="","",VLOOKUP($G422,[1]基础信息!$B:$C,2,FALSE)+SUMIF(G$8:G422,G422,J$8:J422)-SUMIF(G$8:G422,G422,K$8:K422)+SUMIFS([1]内部转账!$G:$G,[1]内部转账!$C:$C,"&lt;="&amp;$D422,[1]内部转账!$E:$E,$G422)-SUMIFS([1]内部转账!$G:$G,[1]内部转账!$C:$C,"&lt;="&amp;$D422,[1]内部转账!$F:$F,$G422)),"")</f>
        <v>82696.29</v>
      </c>
      <c r="M422" s="64" t="s">
        <v>150</v>
      </c>
      <c r="N422" s="69"/>
      <c r="O422" s="64"/>
      <c r="P422" s="64"/>
      <c r="Q422" s="69"/>
      <c r="R422" s="69"/>
      <c r="S422" s="69"/>
    </row>
    <row r="423" s="2" customFormat="1" ht="24.95" customHeight="1" spans="1:19">
      <c r="A423" s="15"/>
      <c r="B423" s="55"/>
      <c r="C423" s="56"/>
      <c r="D423" s="68">
        <v>45972</v>
      </c>
      <c r="E423" s="69"/>
      <c r="F423" s="69" t="s">
        <v>26</v>
      </c>
      <c r="G423" s="65" t="s">
        <v>27</v>
      </c>
      <c r="H423" s="65" t="s">
        <v>46</v>
      </c>
      <c r="I423" s="70" t="s">
        <v>127</v>
      </c>
      <c r="J423" s="71"/>
      <c r="K423" s="71">
        <v>4000</v>
      </c>
      <c r="L423" s="72">
        <f>IFERROR(IF(G423="","",VLOOKUP($G423,[1]基础信息!$B:$C,2,FALSE)+SUMIF(G$8:G423,G423,J$8:J423)-SUMIF(G$8:G423,G423,K$8:K423)+SUMIFS([1]内部转账!$G:$G,[1]内部转账!$C:$C,"&lt;="&amp;$D423,[1]内部转账!$E:$E,$G423)-SUMIFS([1]内部转账!$G:$G,[1]内部转账!$C:$C,"&lt;="&amp;$D423,[1]内部转账!$F:$F,$G423)),"")</f>
        <v>78696.29</v>
      </c>
      <c r="M423" s="64" t="s">
        <v>150</v>
      </c>
      <c r="N423" s="69"/>
      <c r="O423" s="64"/>
      <c r="P423" s="64"/>
      <c r="Q423" s="69"/>
      <c r="R423" s="69"/>
      <c r="S423" s="69"/>
    </row>
    <row r="424" s="2" customFormat="1" ht="24.95" customHeight="1" spans="1:19">
      <c r="A424" s="15"/>
      <c r="B424" s="55"/>
      <c r="C424" s="56"/>
      <c r="D424" s="68">
        <v>45972</v>
      </c>
      <c r="E424" s="69"/>
      <c r="F424" s="69" t="s">
        <v>26</v>
      </c>
      <c r="G424" s="65" t="s">
        <v>27</v>
      </c>
      <c r="H424" s="65" t="s">
        <v>46</v>
      </c>
      <c r="I424" s="70" t="s">
        <v>131</v>
      </c>
      <c r="J424" s="71"/>
      <c r="K424" s="71">
        <v>4000</v>
      </c>
      <c r="L424" s="72">
        <f>IFERROR(IF(G424="","",VLOOKUP($G424,[1]基础信息!$B:$C,2,FALSE)+SUMIF(G$8:G424,G424,J$8:J424)-SUMIF(G$8:G424,G424,K$8:K424)+SUMIFS([1]内部转账!$G:$G,[1]内部转账!$C:$C,"&lt;="&amp;$D424,[1]内部转账!$E:$E,$G424)-SUMIFS([1]内部转账!$G:$G,[1]内部转账!$C:$C,"&lt;="&amp;$D424,[1]内部转账!$F:$F,$G424)),"")</f>
        <v>74696.29</v>
      </c>
      <c r="M424" s="64" t="s">
        <v>150</v>
      </c>
      <c r="N424" s="69"/>
      <c r="O424" s="64"/>
      <c r="P424" s="64"/>
      <c r="Q424" s="69"/>
      <c r="R424" s="69"/>
      <c r="S424" s="69"/>
    </row>
    <row r="425" s="2" customFormat="1" ht="24.95" customHeight="1" spans="1:19">
      <c r="A425" s="15"/>
      <c r="B425" s="55"/>
      <c r="C425" s="56"/>
      <c r="D425" s="68">
        <v>45972</v>
      </c>
      <c r="E425" s="69"/>
      <c r="F425" s="69" t="s">
        <v>26</v>
      </c>
      <c r="G425" s="65" t="s">
        <v>27</v>
      </c>
      <c r="H425" s="65" t="s">
        <v>46</v>
      </c>
      <c r="I425" s="70" t="s">
        <v>201</v>
      </c>
      <c r="J425" s="71"/>
      <c r="K425" s="71">
        <v>4000</v>
      </c>
      <c r="L425" s="72">
        <f>IFERROR(IF(G425="","",VLOOKUP($G425,[1]基础信息!$B:$C,2,FALSE)+SUMIF(G$8:G425,G425,J$8:J425)-SUMIF(G$8:G425,G425,K$8:K425)+SUMIFS([1]内部转账!$G:$G,[1]内部转账!$C:$C,"&lt;="&amp;$D425,[1]内部转账!$E:$E,$G425)-SUMIFS([1]内部转账!$G:$G,[1]内部转账!$C:$C,"&lt;="&amp;$D425,[1]内部转账!$F:$F,$G425)),"")</f>
        <v>70696.29</v>
      </c>
      <c r="M425" s="64" t="s">
        <v>150</v>
      </c>
      <c r="N425" s="69"/>
      <c r="O425" s="64"/>
      <c r="P425" s="64"/>
      <c r="Q425" s="69"/>
      <c r="R425" s="69"/>
      <c r="S425" s="69"/>
    </row>
    <row r="426" s="2" customFormat="1" ht="24.95" customHeight="1" spans="1:19">
      <c r="A426" s="15"/>
      <c r="B426" s="55"/>
      <c r="C426" s="56"/>
      <c r="D426" s="68">
        <v>45972</v>
      </c>
      <c r="E426" s="69"/>
      <c r="F426" s="69" t="s">
        <v>26</v>
      </c>
      <c r="G426" s="65" t="s">
        <v>27</v>
      </c>
      <c r="H426" s="65" t="s">
        <v>46</v>
      </c>
      <c r="I426" s="70" t="s">
        <v>68</v>
      </c>
      <c r="J426" s="71"/>
      <c r="K426" s="71">
        <v>4000</v>
      </c>
      <c r="L426" s="72">
        <f>IFERROR(IF(G426="","",VLOOKUP($G426,[1]基础信息!$B:$C,2,FALSE)+SUMIF(G$8:G426,G426,J$8:J426)-SUMIF(G$8:G426,G426,K$8:K426)+SUMIFS([1]内部转账!$G:$G,[1]内部转账!$C:$C,"&lt;="&amp;$D426,[1]内部转账!$E:$E,$G426)-SUMIFS([1]内部转账!$G:$G,[1]内部转账!$C:$C,"&lt;="&amp;$D426,[1]内部转账!$F:$F,$G426)),"")</f>
        <v>66696.29</v>
      </c>
      <c r="M426" s="64" t="s">
        <v>150</v>
      </c>
      <c r="N426" s="69"/>
      <c r="O426" s="64"/>
      <c r="P426" s="64"/>
      <c r="Q426" s="69"/>
      <c r="R426" s="69"/>
      <c r="S426" s="69"/>
    </row>
    <row r="427" s="2" customFormat="1" ht="24.95" customHeight="1" spans="1:19">
      <c r="A427" s="15"/>
      <c r="B427" s="55"/>
      <c r="C427" s="56"/>
      <c r="D427" s="68">
        <v>45972</v>
      </c>
      <c r="E427" s="69"/>
      <c r="F427" s="69" t="s">
        <v>26</v>
      </c>
      <c r="G427" s="65" t="s">
        <v>27</v>
      </c>
      <c r="H427" s="65" t="s">
        <v>46</v>
      </c>
      <c r="I427" s="70" t="s">
        <v>97</v>
      </c>
      <c r="J427" s="71"/>
      <c r="K427" s="71">
        <v>4000</v>
      </c>
      <c r="L427" s="72">
        <f>IFERROR(IF(G427="","",VLOOKUP($G427,[1]基础信息!$B:$C,2,FALSE)+SUMIF(G$8:G427,G427,J$8:J427)-SUMIF(G$8:G427,G427,K$8:K427)+SUMIFS([1]内部转账!$G:$G,[1]内部转账!$C:$C,"&lt;="&amp;$D427,[1]内部转账!$E:$E,$G427)-SUMIFS([1]内部转账!$G:$G,[1]内部转账!$C:$C,"&lt;="&amp;$D427,[1]内部转账!$F:$F,$G427)),"")</f>
        <v>62696.29</v>
      </c>
      <c r="M427" s="64" t="s">
        <v>150</v>
      </c>
      <c r="N427" s="69"/>
      <c r="O427" s="64"/>
      <c r="P427" s="64"/>
      <c r="Q427" s="69"/>
      <c r="R427" s="69"/>
      <c r="S427" s="69"/>
    </row>
    <row r="428" s="2" customFormat="1" ht="24.95" customHeight="1" spans="1:19">
      <c r="A428" s="15"/>
      <c r="B428" s="55"/>
      <c r="C428" s="56"/>
      <c r="D428" s="68">
        <v>45972</v>
      </c>
      <c r="E428" s="69"/>
      <c r="F428" s="69" t="s">
        <v>26</v>
      </c>
      <c r="G428" s="65" t="s">
        <v>27</v>
      </c>
      <c r="H428" s="65" t="s">
        <v>28</v>
      </c>
      <c r="I428" s="70" t="s">
        <v>29</v>
      </c>
      <c r="J428" s="71"/>
      <c r="K428" s="71">
        <v>40000</v>
      </c>
      <c r="L428" s="72">
        <f>IFERROR(IF(G428="","",VLOOKUP($G428,[1]基础信息!$B:$C,2,FALSE)+SUMIF(G$8:G428,G428,J$8:J428)-SUMIF(G$8:G428,G428,K$8:K428)+SUMIFS([1]内部转账!$G:$G,[1]内部转账!$C:$C,"&lt;="&amp;$D428,[1]内部转账!$E:$E,$G428)-SUMIFS([1]内部转账!$G:$G,[1]内部转账!$C:$C,"&lt;="&amp;$D428,[1]内部转账!$F:$F,$G428)),"")</f>
        <v>22696.29</v>
      </c>
      <c r="M428" s="64" t="s">
        <v>30</v>
      </c>
      <c r="N428" s="58" t="s">
        <v>31</v>
      </c>
      <c r="O428" s="64"/>
      <c r="P428" s="64" t="s">
        <v>31</v>
      </c>
      <c r="Q428" s="69"/>
      <c r="R428" s="69"/>
      <c r="S428" s="69"/>
    </row>
    <row r="429" s="2" customFormat="1" ht="24.95" customHeight="1" spans="1:19">
      <c r="A429" s="15"/>
      <c r="B429" s="55"/>
      <c r="C429" s="56"/>
      <c r="D429" s="68">
        <v>45972</v>
      </c>
      <c r="E429" s="69"/>
      <c r="F429" s="69" t="s">
        <v>26</v>
      </c>
      <c r="G429" s="65" t="s">
        <v>27</v>
      </c>
      <c r="H429" s="65" t="s">
        <v>138</v>
      </c>
      <c r="I429" s="70" t="s">
        <v>238</v>
      </c>
      <c r="J429" s="71"/>
      <c r="K429" s="71">
        <v>20000</v>
      </c>
      <c r="L429" s="72">
        <f>IFERROR(IF(G429="","",VLOOKUP($G429,[1]基础信息!$B:$C,2,FALSE)+SUMIF(G$8:G429,G429,J$8:J429)-SUMIF(G$8:G429,G429,K$8:K429)+SUMIFS([1]内部转账!$G:$G,[1]内部转账!$C:$C,"&lt;="&amp;$D429,[1]内部转账!$E:$E,$G429)-SUMIFS([1]内部转账!$G:$G,[1]内部转账!$C:$C,"&lt;="&amp;$D429,[1]内部转账!$F:$F,$G429)),"")</f>
        <v>2696.29000000004</v>
      </c>
      <c r="M429" s="64" t="s">
        <v>150</v>
      </c>
      <c r="N429" s="69"/>
      <c r="O429" s="64"/>
      <c r="P429" s="64" t="s">
        <v>239</v>
      </c>
      <c r="Q429" s="69"/>
      <c r="R429" s="69"/>
      <c r="S429" s="69"/>
    </row>
    <row r="430" s="2" customFormat="1" ht="24.95" customHeight="1" spans="1:19">
      <c r="A430" s="15"/>
      <c r="B430" s="55"/>
      <c r="C430" s="56"/>
      <c r="D430" s="68">
        <v>45972</v>
      </c>
      <c r="E430" s="69"/>
      <c r="F430" s="69" t="s">
        <v>26</v>
      </c>
      <c r="G430" s="65" t="s">
        <v>27</v>
      </c>
      <c r="H430" s="65" t="s">
        <v>213</v>
      </c>
      <c r="I430" s="70" t="s">
        <v>214</v>
      </c>
      <c r="J430" s="71"/>
      <c r="K430" s="71">
        <v>-30000</v>
      </c>
      <c r="L430" s="72">
        <f>IFERROR(IF(G430="","",VLOOKUP($G430,[1]基础信息!$B:$C,2,FALSE)+SUMIF(G$8:G430,G430,J$8:J430)-SUMIF(G$8:G430,G430,K$8:K430)+SUMIFS([1]内部转账!$G:$G,[1]内部转账!$C:$C,"&lt;="&amp;$D430,[1]内部转账!$E:$E,$G430)-SUMIFS([1]内部转账!$G:$G,[1]内部转账!$C:$C,"&lt;="&amp;$D430,[1]内部转账!$F:$F,$G430)),"")</f>
        <v>32696.29</v>
      </c>
      <c r="M430" s="64" t="s">
        <v>30</v>
      </c>
      <c r="N430" s="69" t="s">
        <v>92</v>
      </c>
      <c r="O430" s="64"/>
      <c r="P430" s="64" t="s">
        <v>92</v>
      </c>
      <c r="Q430" s="69"/>
      <c r="R430" s="69"/>
      <c r="S430" s="69"/>
    </row>
    <row r="431" s="2" customFormat="1" ht="24.95" customHeight="1" spans="1:19">
      <c r="A431" s="15"/>
      <c r="B431" s="55"/>
      <c r="C431" s="56"/>
      <c r="D431" s="68">
        <v>45973</v>
      </c>
      <c r="E431" s="69"/>
      <c r="F431" s="69" t="s">
        <v>26</v>
      </c>
      <c r="G431" s="65" t="s">
        <v>27</v>
      </c>
      <c r="H431" s="65" t="s">
        <v>62</v>
      </c>
      <c r="I431" s="70" t="s">
        <v>230</v>
      </c>
      <c r="J431" s="71"/>
      <c r="K431" s="71">
        <v>810</v>
      </c>
      <c r="L431" s="72">
        <f>IFERROR(IF(G431="","",VLOOKUP($G431,[1]基础信息!$B:$C,2,FALSE)+SUMIF(G$8:G431,G431,J$8:J431)-SUMIF(G$8:G431,G431,K$8:K431)+SUMIFS([1]内部转账!$G:$G,[1]内部转账!$C:$C,"&lt;="&amp;$D431,[1]内部转账!$E:$E,$G431)-SUMIFS([1]内部转账!$G:$G,[1]内部转账!$C:$C,"&lt;="&amp;$D431,[1]内部转账!$F:$F,$G431)),"")</f>
        <v>31886.29</v>
      </c>
      <c r="M431" s="64" t="s">
        <v>150</v>
      </c>
      <c r="N431" s="69"/>
      <c r="O431" s="64"/>
      <c r="P431" s="64" t="s">
        <v>231</v>
      </c>
      <c r="Q431" s="69"/>
      <c r="R431" s="69"/>
      <c r="S431" s="69"/>
    </row>
    <row r="432" s="2" customFormat="1" ht="24.95" customHeight="1" spans="1:19">
      <c r="A432" s="15"/>
      <c r="B432" s="55"/>
      <c r="C432" s="56"/>
      <c r="D432" s="68">
        <v>45973</v>
      </c>
      <c r="E432" s="69"/>
      <c r="F432" s="69" t="s">
        <v>26</v>
      </c>
      <c r="G432" s="65" t="s">
        <v>27</v>
      </c>
      <c r="H432" s="65" t="s">
        <v>46</v>
      </c>
      <c r="I432" s="70" t="s">
        <v>198</v>
      </c>
      <c r="J432" s="71"/>
      <c r="K432" s="71">
        <v>4000</v>
      </c>
      <c r="L432" s="72">
        <f>IFERROR(IF(G432="","",VLOOKUP($G432,[1]基础信息!$B:$C,2,FALSE)+SUMIF(G$8:G432,G432,J$8:J432)-SUMIF(G$8:G432,G432,K$8:K432)+SUMIFS([1]内部转账!$G:$G,[1]内部转账!$C:$C,"&lt;="&amp;$D432,[1]内部转账!$E:$E,$G432)-SUMIFS([1]内部转账!$G:$G,[1]内部转账!$C:$C,"&lt;="&amp;$D432,[1]内部转账!$F:$F,$G432)),"")</f>
        <v>27886.29</v>
      </c>
      <c r="M432" s="64" t="s">
        <v>150</v>
      </c>
      <c r="N432" s="69"/>
      <c r="O432" s="64"/>
      <c r="P432" s="64"/>
      <c r="Q432" s="69"/>
      <c r="R432" s="69"/>
      <c r="S432" s="69"/>
    </row>
    <row r="433" s="2" customFormat="1" ht="24.95" customHeight="1" spans="1:19">
      <c r="A433" s="15"/>
      <c r="B433" s="55"/>
      <c r="C433" s="56"/>
      <c r="D433" s="68">
        <v>45973</v>
      </c>
      <c r="E433" s="69"/>
      <c r="F433" s="69" t="s">
        <v>26</v>
      </c>
      <c r="G433" s="65" t="s">
        <v>27</v>
      </c>
      <c r="H433" s="65" t="s">
        <v>46</v>
      </c>
      <c r="I433" s="70" t="s">
        <v>73</v>
      </c>
      <c r="J433" s="71"/>
      <c r="K433" s="71">
        <v>4000</v>
      </c>
      <c r="L433" s="72">
        <f>IFERROR(IF(G433="","",VLOOKUP($G433,[1]基础信息!$B:$C,2,FALSE)+SUMIF(G$8:G433,G433,J$8:J433)-SUMIF(G$8:G433,G433,K$8:K433)+SUMIFS([1]内部转账!$G:$G,[1]内部转账!$C:$C,"&lt;="&amp;$D433,[1]内部转账!$E:$E,$G433)-SUMIFS([1]内部转账!$G:$G,[1]内部转账!$C:$C,"&lt;="&amp;$D433,[1]内部转账!$F:$F,$G433)),"")</f>
        <v>23886.29</v>
      </c>
      <c r="M433" s="64" t="s">
        <v>150</v>
      </c>
      <c r="N433" s="69"/>
      <c r="O433" s="64"/>
      <c r="P433" s="64"/>
      <c r="Q433" s="69"/>
      <c r="R433" s="69"/>
      <c r="S433" s="69"/>
    </row>
    <row r="434" s="2" customFormat="1" ht="24.95" customHeight="1" spans="1:19">
      <c r="A434" s="15"/>
      <c r="B434" s="55"/>
      <c r="C434" s="56"/>
      <c r="D434" s="68">
        <v>45973</v>
      </c>
      <c r="E434" s="69"/>
      <c r="F434" s="69" t="s">
        <v>26</v>
      </c>
      <c r="G434" s="65" t="s">
        <v>27</v>
      </c>
      <c r="H434" s="65" t="s">
        <v>46</v>
      </c>
      <c r="I434" s="70" t="s">
        <v>94</v>
      </c>
      <c r="J434" s="71"/>
      <c r="K434" s="71">
        <v>4000</v>
      </c>
      <c r="L434" s="72">
        <f>IFERROR(IF(G434="","",VLOOKUP($G434,[1]基础信息!$B:$C,2,FALSE)+SUMIF(G$8:G434,G434,J$8:J434)-SUMIF(G$8:G434,G434,K$8:K434)+SUMIFS([1]内部转账!$G:$G,[1]内部转账!$C:$C,"&lt;="&amp;$D434,[1]内部转账!$E:$E,$G434)-SUMIFS([1]内部转账!$G:$G,[1]内部转账!$C:$C,"&lt;="&amp;$D434,[1]内部转账!$F:$F,$G434)),"")</f>
        <v>19886.29</v>
      </c>
      <c r="M434" s="64" t="s">
        <v>150</v>
      </c>
      <c r="N434" s="69"/>
      <c r="O434" s="64"/>
      <c r="P434" s="64"/>
      <c r="Q434" s="69"/>
      <c r="R434" s="69"/>
      <c r="S434" s="69"/>
    </row>
    <row r="435" s="2" customFormat="1" ht="24.95" customHeight="1" spans="1:19">
      <c r="A435" s="15"/>
      <c r="B435" s="55"/>
      <c r="C435" s="56"/>
      <c r="D435" s="68">
        <v>45973</v>
      </c>
      <c r="E435" s="69"/>
      <c r="F435" s="69" t="s">
        <v>26</v>
      </c>
      <c r="G435" s="65" t="s">
        <v>27</v>
      </c>
      <c r="H435" s="65" t="s">
        <v>46</v>
      </c>
      <c r="I435" s="70" t="s">
        <v>240</v>
      </c>
      <c r="J435" s="71"/>
      <c r="K435" s="71">
        <v>4000</v>
      </c>
      <c r="L435" s="72">
        <f>IFERROR(IF(G435="","",VLOOKUP($G435,[1]基础信息!$B:$C,2,FALSE)+SUMIF(G$8:G435,G435,J$8:J435)-SUMIF(G$8:G435,G435,K$8:K435)+SUMIFS([1]内部转账!$G:$G,[1]内部转账!$C:$C,"&lt;="&amp;$D435,[1]内部转账!$E:$E,$G435)-SUMIFS([1]内部转账!$G:$G,[1]内部转账!$C:$C,"&lt;="&amp;$D435,[1]内部转账!$F:$F,$G435)),"")</f>
        <v>15886.29</v>
      </c>
      <c r="M435" s="64" t="s">
        <v>150</v>
      </c>
      <c r="N435" s="69"/>
      <c r="O435" s="64"/>
      <c r="P435" s="64"/>
      <c r="Q435" s="69"/>
      <c r="R435" s="69"/>
      <c r="S435" s="69"/>
    </row>
    <row r="436" s="2" customFormat="1" ht="24.95" customHeight="1" spans="1:19">
      <c r="A436" s="15"/>
      <c r="B436" s="55"/>
      <c r="C436" s="56"/>
      <c r="D436" s="68">
        <v>45973</v>
      </c>
      <c r="E436" s="69"/>
      <c r="F436" s="69" t="s">
        <v>26</v>
      </c>
      <c r="G436" s="65" t="s">
        <v>27</v>
      </c>
      <c r="H436" s="65" t="s">
        <v>46</v>
      </c>
      <c r="I436" s="70" t="s">
        <v>240</v>
      </c>
      <c r="J436" s="71"/>
      <c r="K436" s="71">
        <v>-4000</v>
      </c>
      <c r="L436" s="72">
        <f>IFERROR(IF(G436="","",VLOOKUP($G436,[1]基础信息!$B:$C,2,FALSE)+SUMIF(G$8:G436,G436,J$8:J436)-SUMIF(G$8:G436,G436,K$8:K436)+SUMIFS([1]内部转账!$G:$G,[1]内部转账!$C:$C,"&lt;="&amp;$D436,[1]内部转账!$E:$E,$G436)-SUMIFS([1]内部转账!$G:$G,[1]内部转账!$C:$C,"&lt;="&amp;$D436,[1]内部转账!$F:$F,$G436)),"")</f>
        <v>19886.29</v>
      </c>
      <c r="M436" s="64" t="s">
        <v>150</v>
      </c>
      <c r="N436" s="69"/>
      <c r="O436" s="64"/>
      <c r="P436" s="64"/>
      <c r="Q436" s="69"/>
      <c r="R436" s="69"/>
      <c r="S436" s="69"/>
    </row>
    <row r="437" s="2" customFormat="1" ht="24.95" customHeight="1" spans="1:19">
      <c r="A437" s="15"/>
      <c r="B437" s="55"/>
      <c r="C437" s="56"/>
      <c r="D437" s="68">
        <v>45973</v>
      </c>
      <c r="E437" s="69"/>
      <c r="F437" s="69" t="s">
        <v>26</v>
      </c>
      <c r="G437" s="65" t="s">
        <v>27</v>
      </c>
      <c r="H437" s="65" t="s">
        <v>46</v>
      </c>
      <c r="I437" s="70" t="s">
        <v>75</v>
      </c>
      <c r="J437" s="71"/>
      <c r="K437" s="71">
        <v>3000</v>
      </c>
      <c r="L437" s="72">
        <f>IFERROR(IF(G437="","",VLOOKUP($G437,[1]基础信息!$B:$C,2,FALSE)+SUMIF(G$8:G437,G437,J$8:J437)-SUMIF(G$8:G437,G437,K$8:K437)+SUMIFS([1]内部转账!$G:$G,[1]内部转账!$C:$C,"&lt;="&amp;$D437,[1]内部转账!$E:$E,$G437)-SUMIFS([1]内部转账!$G:$G,[1]内部转账!$C:$C,"&lt;="&amp;$D437,[1]内部转账!$F:$F,$G437)),"")</f>
        <v>16886.29</v>
      </c>
      <c r="M437" s="64" t="s">
        <v>150</v>
      </c>
      <c r="N437" s="69"/>
      <c r="O437" s="64"/>
      <c r="P437" s="64"/>
      <c r="Q437" s="69"/>
      <c r="R437" s="69"/>
      <c r="S437" s="69"/>
    </row>
    <row r="438" s="2" customFormat="1" ht="24.95" customHeight="1" spans="1:19">
      <c r="A438" s="15"/>
      <c r="B438" s="55"/>
      <c r="C438" s="56"/>
      <c r="D438" s="68">
        <v>45973</v>
      </c>
      <c r="E438" s="69"/>
      <c r="F438" s="69" t="s">
        <v>26</v>
      </c>
      <c r="G438" s="65" t="s">
        <v>27</v>
      </c>
      <c r="H438" s="65" t="s">
        <v>204</v>
      </c>
      <c r="I438" s="70" t="s">
        <v>205</v>
      </c>
      <c r="J438" s="71"/>
      <c r="K438" s="71">
        <v>-40000</v>
      </c>
      <c r="L438" s="72">
        <f>IFERROR(IF(G438="","",VLOOKUP($G438,[1]基础信息!$B:$C,2,FALSE)+SUMIF(G$8:G438,G438,J$8:J438)-SUMIF(G$8:G438,G438,K$8:K438)+SUMIFS([1]内部转账!$G:$G,[1]内部转账!$C:$C,"&lt;="&amp;$D438,[1]内部转账!$E:$E,$G438)-SUMIFS([1]内部转账!$G:$G,[1]内部转账!$C:$C,"&lt;="&amp;$D438,[1]内部转账!$F:$F,$G438)),"")</f>
        <v>56886.29</v>
      </c>
      <c r="M438" s="64" t="s">
        <v>30</v>
      </c>
      <c r="N438" s="69"/>
      <c r="O438" s="64"/>
      <c r="P438" s="64"/>
      <c r="Q438" s="69"/>
      <c r="R438" s="69"/>
      <c r="S438" s="69"/>
    </row>
    <row r="439" s="2" customFormat="1" ht="24.95" customHeight="1" spans="1:19">
      <c r="A439" s="15"/>
      <c r="B439" s="55"/>
      <c r="C439" s="56"/>
      <c r="D439" s="68">
        <v>45973</v>
      </c>
      <c r="E439" s="69"/>
      <c r="F439" s="69" t="s">
        <v>26</v>
      </c>
      <c r="G439" s="65" t="s">
        <v>27</v>
      </c>
      <c r="H439" s="65" t="s">
        <v>62</v>
      </c>
      <c r="I439" s="70" t="s">
        <v>241</v>
      </c>
      <c r="J439" s="71"/>
      <c r="K439" s="71">
        <v>4000</v>
      </c>
      <c r="L439" s="72">
        <f>IFERROR(IF(G439="","",VLOOKUP($G439,[1]基础信息!$B:$C,2,FALSE)+SUMIF(G$8:G439,G439,J$8:J439)-SUMIF(G$8:G439,G439,K$8:K439)+SUMIFS([1]内部转账!$G:$G,[1]内部转账!$C:$C,"&lt;="&amp;$D439,[1]内部转账!$E:$E,$G439)-SUMIFS([1]内部转账!$G:$G,[1]内部转账!$C:$C,"&lt;="&amp;$D439,[1]内部转账!$F:$F,$G439)),"")</f>
        <v>52886.29</v>
      </c>
      <c r="M439" s="64" t="s">
        <v>206</v>
      </c>
      <c r="N439" s="69"/>
      <c r="O439" s="64"/>
      <c r="P439" s="64" t="s">
        <v>242</v>
      </c>
      <c r="Q439" s="69"/>
      <c r="R439" s="69"/>
      <c r="S439" s="69"/>
    </row>
    <row r="440" s="2" customFormat="1" ht="24.95" customHeight="1" spans="1:19">
      <c r="A440" s="15"/>
      <c r="B440" s="55"/>
      <c r="C440" s="56"/>
      <c r="D440" s="68">
        <v>45973</v>
      </c>
      <c r="E440" s="69"/>
      <c r="F440" s="69" t="s">
        <v>26</v>
      </c>
      <c r="G440" s="65" t="s">
        <v>27</v>
      </c>
      <c r="H440" s="65" t="s">
        <v>62</v>
      </c>
      <c r="I440" s="70" t="s">
        <v>224</v>
      </c>
      <c r="J440" s="71"/>
      <c r="K440" s="71">
        <v>13748</v>
      </c>
      <c r="L440" s="72">
        <f>IFERROR(IF(G440="","",VLOOKUP($G440,[1]基础信息!$B:$C,2,FALSE)+SUMIF(G$8:G440,G440,J$8:J440)-SUMIF(G$8:G440,G440,K$8:K440)+SUMIFS([1]内部转账!$G:$G,[1]内部转账!$C:$C,"&lt;="&amp;$D440,[1]内部转账!$E:$E,$G440)-SUMIFS([1]内部转账!$G:$G,[1]内部转账!$C:$C,"&lt;="&amp;$D440,[1]内部转账!$F:$F,$G440)),"")</f>
        <v>39138.29</v>
      </c>
      <c r="M440" s="64" t="s">
        <v>150</v>
      </c>
      <c r="N440" s="69"/>
      <c r="O440" s="64"/>
      <c r="P440" s="64" t="s">
        <v>225</v>
      </c>
      <c r="Q440" s="69"/>
      <c r="R440" s="69"/>
      <c r="S440" s="69"/>
    </row>
    <row r="441" s="2" customFormat="1" ht="24.95" customHeight="1" spans="1:19">
      <c r="A441" s="15"/>
      <c r="B441" s="55"/>
      <c r="C441" s="56"/>
      <c r="D441" s="68">
        <v>45973</v>
      </c>
      <c r="E441" s="69"/>
      <c r="F441" s="69" t="s">
        <v>26</v>
      </c>
      <c r="G441" s="65" t="s">
        <v>27</v>
      </c>
      <c r="H441" s="65" t="s">
        <v>62</v>
      </c>
      <c r="I441" s="70" t="s">
        <v>230</v>
      </c>
      <c r="J441" s="71"/>
      <c r="K441" s="71">
        <v>1572</v>
      </c>
      <c r="L441" s="72">
        <f>IFERROR(IF(G441="","",VLOOKUP($G441,[1]基础信息!$B:$C,2,FALSE)+SUMIF(G$8:G441,G441,J$8:J441)-SUMIF(G$8:G441,G441,K$8:K441)+SUMIFS([1]内部转账!$G:$G,[1]内部转账!$C:$C,"&lt;="&amp;$D441,[1]内部转账!$E:$E,$G441)-SUMIFS([1]内部转账!$G:$G,[1]内部转账!$C:$C,"&lt;="&amp;$D441,[1]内部转账!$F:$F,$G441)),"")</f>
        <v>37566.29</v>
      </c>
      <c r="M441" s="64" t="s">
        <v>166</v>
      </c>
      <c r="N441" s="69"/>
      <c r="O441" s="64"/>
      <c r="P441" s="64" t="s">
        <v>231</v>
      </c>
      <c r="Q441" s="69"/>
      <c r="R441" s="69"/>
      <c r="S441" s="69"/>
    </row>
    <row r="442" s="2" customFormat="1" ht="24.95" customHeight="1" spans="1:19">
      <c r="A442" s="15"/>
      <c r="B442" s="55"/>
      <c r="C442" s="56"/>
      <c r="D442" s="68">
        <v>45974</v>
      </c>
      <c r="E442" s="69"/>
      <c r="F442" s="69" t="s">
        <v>26</v>
      </c>
      <c r="G442" s="65" t="s">
        <v>27</v>
      </c>
      <c r="H442" s="65" t="s">
        <v>213</v>
      </c>
      <c r="I442" s="70" t="s">
        <v>214</v>
      </c>
      <c r="J442" s="71"/>
      <c r="K442" s="71">
        <v>-30000</v>
      </c>
      <c r="L442" s="72">
        <f>IFERROR(IF(G442="","",VLOOKUP($G442,[1]基础信息!$B:$C,2,FALSE)+SUMIF(G$8:G442,G442,J$8:J442)-SUMIF(G$8:G442,G442,K$8:K442)+SUMIFS([1]内部转账!$G:$G,[1]内部转账!$C:$C,"&lt;="&amp;$D442,[1]内部转账!$E:$E,$G442)-SUMIFS([1]内部转账!$G:$G,[1]内部转账!$C:$C,"&lt;="&amp;$D442,[1]内部转账!$F:$F,$G442)),"")</f>
        <v>67566.29</v>
      </c>
      <c r="M442" s="64" t="s">
        <v>30</v>
      </c>
      <c r="N442" s="69" t="s">
        <v>92</v>
      </c>
      <c r="O442" s="64"/>
      <c r="P442" s="64" t="s">
        <v>92</v>
      </c>
      <c r="Q442" s="69"/>
      <c r="R442" s="69"/>
      <c r="S442" s="69"/>
    </row>
    <row r="443" s="2" customFormat="1" ht="24.95" customHeight="1" spans="1:19">
      <c r="A443" s="15"/>
      <c r="B443" s="55"/>
      <c r="C443" s="56"/>
      <c r="D443" s="68">
        <v>45974</v>
      </c>
      <c r="E443" s="69"/>
      <c r="F443" s="69" t="s">
        <v>26</v>
      </c>
      <c r="G443" s="65" t="s">
        <v>27</v>
      </c>
      <c r="H443" s="65" t="s">
        <v>138</v>
      </c>
      <c r="I443" s="70" t="s">
        <v>219</v>
      </c>
      <c r="J443" s="71"/>
      <c r="K443" s="71">
        <v>40093</v>
      </c>
      <c r="L443" s="72">
        <f>IFERROR(IF(G443="","",VLOOKUP($G443,[1]基础信息!$B:$C,2,FALSE)+SUMIF(G$8:G443,G443,J$8:J443)-SUMIF(G$8:G443,G443,K$8:K443)+SUMIFS([1]内部转账!$G:$G,[1]内部转账!$C:$C,"&lt;="&amp;$D443,[1]内部转账!$E:$E,$G443)-SUMIFS([1]内部转账!$G:$G,[1]内部转账!$C:$C,"&lt;="&amp;$D443,[1]内部转账!$F:$F,$G443)),"")</f>
        <v>27473.29</v>
      </c>
      <c r="M443" s="64" t="s">
        <v>150</v>
      </c>
      <c r="N443" s="69"/>
      <c r="O443" s="64"/>
      <c r="P443" s="64" t="s">
        <v>220</v>
      </c>
      <c r="Q443" s="69"/>
      <c r="R443" s="69"/>
      <c r="S443" s="69"/>
    </row>
    <row r="444" s="2" customFormat="1" ht="24.95" customHeight="1" spans="1:19">
      <c r="A444" s="15"/>
      <c r="B444" s="55"/>
      <c r="C444" s="56"/>
      <c r="D444" s="68">
        <v>45974</v>
      </c>
      <c r="E444" s="69"/>
      <c r="F444" s="69" t="s">
        <v>26</v>
      </c>
      <c r="G444" s="65" t="s">
        <v>27</v>
      </c>
      <c r="H444" s="65" t="s">
        <v>46</v>
      </c>
      <c r="I444" s="70" t="s">
        <v>130</v>
      </c>
      <c r="J444" s="71"/>
      <c r="K444" s="71">
        <v>4000</v>
      </c>
      <c r="L444" s="72">
        <f>IFERROR(IF(G444="","",VLOOKUP($G444,[1]基础信息!$B:$C,2,FALSE)+SUMIF(G$8:G444,G444,J$8:J444)-SUMIF(G$8:G444,G444,K$8:K444)+SUMIFS([1]内部转账!$G:$G,[1]内部转账!$C:$C,"&lt;="&amp;$D444,[1]内部转账!$E:$E,$G444)-SUMIFS([1]内部转账!$G:$G,[1]内部转账!$C:$C,"&lt;="&amp;$D444,[1]内部转账!$F:$F,$G444)),"")</f>
        <v>23473.29</v>
      </c>
      <c r="M444" s="64" t="s">
        <v>150</v>
      </c>
      <c r="N444" s="69"/>
      <c r="O444" s="64"/>
      <c r="P444" s="64"/>
      <c r="Q444" s="69"/>
      <c r="R444" s="69"/>
      <c r="S444" s="69"/>
    </row>
    <row r="445" s="2" customFormat="1" ht="24.95" customHeight="1" spans="1:19">
      <c r="A445" s="15"/>
      <c r="B445" s="55"/>
      <c r="C445" s="56"/>
      <c r="D445" s="68">
        <v>45974</v>
      </c>
      <c r="E445" s="69"/>
      <c r="F445" s="69" t="s">
        <v>26</v>
      </c>
      <c r="G445" s="65" t="s">
        <v>27</v>
      </c>
      <c r="H445" s="65" t="s">
        <v>46</v>
      </c>
      <c r="I445" s="70" t="s">
        <v>132</v>
      </c>
      <c r="J445" s="71"/>
      <c r="K445" s="71">
        <v>4000</v>
      </c>
      <c r="L445" s="72">
        <f>IFERROR(IF(G445="","",VLOOKUP($G445,[1]基础信息!$B:$C,2,FALSE)+SUMIF(G$8:G445,G445,J$8:J445)-SUMIF(G$8:G445,G445,K$8:K445)+SUMIFS([1]内部转账!$G:$G,[1]内部转账!$C:$C,"&lt;="&amp;$D445,[1]内部转账!$E:$E,$G445)-SUMIFS([1]内部转账!$G:$G,[1]内部转账!$C:$C,"&lt;="&amp;$D445,[1]内部转账!$F:$F,$G445)),"")</f>
        <v>19473.29</v>
      </c>
      <c r="M445" s="64" t="s">
        <v>150</v>
      </c>
      <c r="N445" s="69"/>
      <c r="O445" s="64"/>
      <c r="P445" s="64"/>
      <c r="Q445" s="69"/>
      <c r="R445" s="69"/>
      <c r="S445" s="69"/>
    </row>
    <row r="446" s="2" customFormat="1" ht="24.95" customHeight="1" spans="1:19">
      <c r="A446" s="15"/>
      <c r="B446" s="55"/>
      <c r="C446" s="56"/>
      <c r="D446" s="68">
        <v>45974</v>
      </c>
      <c r="E446" s="69"/>
      <c r="F446" s="69" t="s">
        <v>26</v>
      </c>
      <c r="G446" s="65" t="s">
        <v>27</v>
      </c>
      <c r="H446" s="65" t="s">
        <v>46</v>
      </c>
      <c r="I446" s="70" t="s">
        <v>240</v>
      </c>
      <c r="J446" s="71"/>
      <c r="K446" s="71">
        <v>4000</v>
      </c>
      <c r="L446" s="72">
        <f>IFERROR(IF(G446="","",VLOOKUP($G446,[1]基础信息!$B:$C,2,FALSE)+SUMIF(G$8:G446,G446,J$8:J446)-SUMIF(G$8:G446,G446,K$8:K446)+SUMIFS([1]内部转账!$G:$G,[1]内部转账!$C:$C,"&lt;="&amp;$D446,[1]内部转账!$E:$E,$G446)-SUMIFS([1]内部转账!$G:$G,[1]内部转账!$C:$C,"&lt;="&amp;$D446,[1]内部转账!$F:$F,$G446)),"")</f>
        <v>15473.29</v>
      </c>
      <c r="M446" s="64" t="s">
        <v>150</v>
      </c>
      <c r="N446" s="69"/>
      <c r="O446" s="64"/>
      <c r="P446" s="64"/>
      <c r="Q446" s="69"/>
      <c r="R446" s="69"/>
      <c r="S446" s="69"/>
    </row>
    <row r="447" s="2" customFormat="1" ht="24.95" customHeight="1" spans="1:19">
      <c r="A447" s="15"/>
      <c r="B447" s="55"/>
      <c r="C447" s="56"/>
      <c r="D447" s="68">
        <v>45975</v>
      </c>
      <c r="E447" s="69"/>
      <c r="F447" s="69" t="s">
        <v>26</v>
      </c>
      <c r="G447" s="65" t="s">
        <v>27</v>
      </c>
      <c r="H447" s="65" t="s">
        <v>62</v>
      </c>
      <c r="I447" s="70" t="s">
        <v>243</v>
      </c>
      <c r="J447" s="71"/>
      <c r="K447" s="71">
        <v>5000</v>
      </c>
      <c r="L447" s="72">
        <f>IFERROR(IF(G447="","",VLOOKUP($G447,[1]基础信息!$B:$C,2,FALSE)+SUMIF(G$8:G447,G447,J$8:J447)-SUMIF(G$8:G447,G447,K$8:K447)+SUMIFS([1]内部转账!$G:$G,[1]内部转账!$C:$C,"&lt;="&amp;$D447,[1]内部转账!$E:$E,$G447)-SUMIFS([1]内部转账!$G:$G,[1]内部转账!$C:$C,"&lt;="&amp;$D447,[1]内部转账!$F:$F,$G447)),"")</f>
        <v>10473.29</v>
      </c>
      <c r="M447" s="64" t="s">
        <v>150</v>
      </c>
      <c r="N447" s="69"/>
      <c r="O447" s="64"/>
      <c r="P447" s="64" t="s">
        <v>244</v>
      </c>
      <c r="Q447" s="69"/>
      <c r="R447" s="69"/>
      <c r="S447" s="69"/>
    </row>
    <row r="448" s="2" customFormat="1" ht="24.95" customHeight="1" spans="1:19">
      <c r="A448" s="15"/>
      <c r="B448" s="55"/>
      <c r="C448" s="56"/>
      <c r="D448" s="68">
        <v>45975</v>
      </c>
      <c r="E448" s="69"/>
      <c r="F448" s="69" t="s">
        <v>26</v>
      </c>
      <c r="G448" s="65" t="s">
        <v>27</v>
      </c>
      <c r="H448" s="65" t="s">
        <v>62</v>
      </c>
      <c r="I448" s="70" t="s">
        <v>243</v>
      </c>
      <c r="J448" s="71"/>
      <c r="K448" s="71">
        <v>-5000</v>
      </c>
      <c r="L448" s="72">
        <f>IFERROR(IF(G448="","",VLOOKUP($G448,[1]基础信息!$B:$C,2,FALSE)+SUMIF(G$8:G448,G448,J$8:J448)-SUMIF(G$8:G448,G448,K$8:K448)+SUMIFS([1]内部转账!$G:$G,[1]内部转账!$C:$C,"&lt;="&amp;$D448,[1]内部转账!$E:$E,$G448)-SUMIFS([1]内部转账!$G:$G,[1]内部转账!$C:$C,"&lt;="&amp;$D448,[1]内部转账!$F:$F,$G448)),"")</f>
        <v>15473.29</v>
      </c>
      <c r="M448" s="64" t="s">
        <v>150</v>
      </c>
      <c r="N448" s="69"/>
      <c r="O448" s="64"/>
      <c r="P448" s="64" t="s">
        <v>244</v>
      </c>
      <c r="Q448" s="69"/>
      <c r="R448" s="69"/>
      <c r="S448" s="69"/>
    </row>
    <row r="449" s="2" customFormat="1" ht="24.95" customHeight="1" spans="1:19">
      <c r="A449" s="15"/>
      <c r="B449" s="55"/>
      <c r="C449" s="56"/>
      <c r="D449" s="68">
        <v>45975</v>
      </c>
      <c r="E449" s="69"/>
      <c r="F449" s="69" t="s">
        <v>26</v>
      </c>
      <c r="G449" s="65" t="s">
        <v>27</v>
      </c>
      <c r="H449" s="65" t="s">
        <v>62</v>
      </c>
      <c r="I449" s="70" t="s">
        <v>243</v>
      </c>
      <c r="J449" s="71"/>
      <c r="K449" s="71">
        <v>5000</v>
      </c>
      <c r="L449" s="72">
        <f>IFERROR(IF(G449="","",VLOOKUP($G449,[1]基础信息!$B:$C,2,FALSE)+SUMIF(G$8:G449,G449,J$8:J449)-SUMIF(G$8:G449,G449,K$8:K449)+SUMIFS([1]内部转账!$G:$G,[1]内部转账!$C:$C,"&lt;="&amp;$D449,[1]内部转账!$E:$E,$G449)-SUMIFS([1]内部转账!$G:$G,[1]内部转账!$C:$C,"&lt;="&amp;$D449,[1]内部转账!$F:$F,$G449)),"")</f>
        <v>10473.29</v>
      </c>
      <c r="M449" s="64" t="s">
        <v>150</v>
      </c>
      <c r="N449" s="69"/>
      <c r="O449" s="64"/>
      <c r="P449" s="64" t="s">
        <v>244</v>
      </c>
      <c r="Q449" s="69"/>
      <c r="R449" s="69"/>
      <c r="S449" s="69"/>
    </row>
    <row r="450" s="2" customFormat="1" ht="24.95" customHeight="1" spans="1:19">
      <c r="A450" s="15"/>
      <c r="B450" s="55"/>
      <c r="C450" s="56"/>
      <c r="D450" s="68">
        <v>45975</v>
      </c>
      <c r="E450" s="69"/>
      <c r="F450" s="69" t="s">
        <v>26</v>
      </c>
      <c r="G450" s="65" t="s">
        <v>27</v>
      </c>
      <c r="H450" s="65" t="s">
        <v>62</v>
      </c>
      <c r="I450" s="70" t="s">
        <v>230</v>
      </c>
      <c r="J450" s="71"/>
      <c r="K450" s="71">
        <v>1200</v>
      </c>
      <c r="L450" s="72">
        <f>IFERROR(IF(G450="","",VLOOKUP($G450,[1]基础信息!$B:$C,2,FALSE)+SUMIF(G$8:G450,G450,J$8:J450)-SUMIF(G$8:G450,G450,K$8:K450)+SUMIFS([1]内部转账!$G:$G,[1]内部转账!$C:$C,"&lt;="&amp;$D450,[1]内部转账!$E:$E,$G450)-SUMIFS([1]内部转账!$G:$G,[1]内部转账!$C:$C,"&lt;="&amp;$D450,[1]内部转账!$F:$F,$G450)),"")</f>
        <v>9273.29000000004</v>
      </c>
      <c r="M450" s="64" t="s">
        <v>150</v>
      </c>
      <c r="N450" s="69"/>
      <c r="O450" s="64"/>
      <c r="P450" s="64" t="s">
        <v>231</v>
      </c>
      <c r="Q450" s="69"/>
      <c r="R450" s="69"/>
      <c r="S450" s="69"/>
    </row>
    <row r="451" s="2" customFormat="1" ht="24.95" customHeight="1" spans="1:19">
      <c r="A451" s="15"/>
      <c r="B451" s="55"/>
      <c r="C451" s="56"/>
      <c r="D451" s="68">
        <v>45975</v>
      </c>
      <c r="E451" s="69"/>
      <c r="F451" s="69" t="s">
        <v>26</v>
      </c>
      <c r="G451" s="65" t="s">
        <v>27</v>
      </c>
      <c r="H451" s="65" t="s">
        <v>213</v>
      </c>
      <c r="I451" s="70" t="s">
        <v>214</v>
      </c>
      <c r="J451" s="71"/>
      <c r="K451" s="71">
        <v>-40000</v>
      </c>
      <c r="L451" s="72">
        <f>IFERROR(IF(G451="","",VLOOKUP($G451,[1]基础信息!$B:$C,2,FALSE)+SUMIF(G$8:G451,G451,J$8:J451)-SUMIF(G$8:G451,G451,K$8:K451)+SUMIFS([1]内部转账!$G:$G,[1]内部转账!$C:$C,"&lt;="&amp;$D451,[1]内部转账!$E:$E,$G451)-SUMIFS([1]内部转账!$G:$G,[1]内部转账!$C:$C,"&lt;="&amp;$D451,[1]内部转账!$F:$F,$G451)),"")</f>
        <v>49273.29</v>
      </c>
      <c r="M451" s="64" t="s">
        <v>30</v>
      </c>
      <c r="N451" s="69" t="s">
        <v>92</v>
      </c>
      <c r="O451" s="64"/>
      <c r="P451" s="64" t="s">
        <v>92</v>
      </c>
      <c r="Q451" s="69"/>
      <c r="R451" s="69"/>
      <c r="S451" s="69"/>
    </row>
    <row r="452" s="2" customFormat="1" ht="24.95" customHeight="1" spans="1:19">
      <c r="A452" s="15"/>
      <c r="B452" s="55"/>
      <c r="C452" s="56"/>
      <c r="D452" s="68">
        <v>45975</v>
      </c>
      <c r="E452" s="69"/>
      <c r="F452" s="69" t="s">
        <v>26</v>
      </c>
      <c r="G452" s="65" t="s">
        <v>27</v>
      </c>
      <c r="H452" s="65" t="s">
        <v>138</v>
      </c>
      <c r="I452" s="70" t="s">
        <v>186</v>
      </c>
      <c r="J452" s="71"/>
      <c r="K452" s="71">
        <v>30000</v>
      </c>
      <c r="L452" s="72">
        <f>IFERROR(IF(G452="","",VLOOKUP($G452,[1]基础信息!$B:$C,2,FALSE)+SUMIF(G$8:G452,G452,J$8:J452)-SUMIF(G$8:G452,G452,K$8:K452)+SUMIFS([1]内部转账!$G:$G,[1]内部转账!$C:$C,"&lt;="&amp;$D452,[1]内部转账!$E:$E,$G452)-SUMIFS([1]内部转账!$G:$G,[1]内部转账!$C:$C,"&lt;="&amp;$D452,[1]内部转账!$F:$F,$G452)),"")</f>
        <v>19273.29</v>
      </c>
      <c r="M452" s="64" t="s">
        <v>150</v>
      </c>
      <c r="N452" s="69"/>
      <c r="O452" s="64"/>
      <c r="P452" s="64" t="s">
        <v>187</v>
      </c>
      <c r="Q452" s="69"/>
      <c r="R452" s="69"/>
      <c r="S452" s="69"/>
    </row>
    <row r="453" s="2" customFormat="1" ht="24.95" customHeight="1" spans="1:19">
      <c r="A453" s="15"/>
      <c r="B453" s="55"/>
      <c r="C453" s="56"/>
      <c r="D453" s="68">
        <v>45976</v>
      </c>
      <c r="E453" s="69"/>
      <c r="F453" s="69" t="s">
        <v>26</v>
      </c>
      <c r="G453" s="65" t="s">
        <v>27</v>
      </c>
      <c r="H453" s="65" t="s">
        <v>28</v>
      </c>
      <c r="I453" s="70" t="s">
        <v>29</v>
      </c>
      <c r="J453" s="71"/>
      <c r="K453" s="71">
        <v>-80000</v>
      </c>
      <c r="L453" s="72">
        <f>IFERROR(IF(G453="","",VLOOKUP($G453,[1]基础信息!$B:$C,2,FALSE)+SUMIF(G$8:G453,G453,J$8:J453)-SUMIF(G$8:G453,G453,K$8:K453)+SUMIFS([1]内部转账!$G:$G,[1]内部转账!$C:$C,"&lt;="&amp;$D453,[1]内部转账!$E:$E,$G453)-SUMIFS([1]内部转账!$G:$G,[1]内部转账!$C:$C,"&lt;="&amp;$D453,[1]内部转账!$F:$F,$G453)),"")</f>
        <v>99273.29</v>
      </c>
      <c r="M453" s="64" t="s">
        <v>30</v>
      </c>
      <c r="N453" s="58" t="s">
        <v>31</v>
      </c>
      <c r="O453" s="64"/>
      <c r="P453" s="64" t="s">
        <v>31</v>
      </c>
      <c r="Q453" s="69"/>
      <c r="R453" s="69"/>
      <c r="S453" s="69"/>
    </row>
    <row r="454" s="2" customFormat="1" ht="24.95" customHeight="1" spans="1:19">
      <c r="A454" s="15"/>
      <c r="B454" s="55"/>
      <c r="C454" s="56"/>
      <c r="D454" s="68">
        <v>45976</v>
      </c>
      <c r="E454" s="69"/>
      <c r="F454" s="69" t="s">
        <v>26</v>
      </c>
      <c r="G454" s="65" t="s">
        <v>27</v>
      </c>
      <c r="H454" s="65" t="s">
        <v>62</v>
      </c>
      <c r="I454" s="70" t="s">
        <v>245</v>
      </c>
      <c r="J454" s="71"/>
      <c r="K454" s="71">
        <v>63800</v>
      </c>
      <c r="L454" s="72">
        <f>IFERROR(IF(G454="","",VLOOKUP($G454,[1]基础信息!$B:$C,2,FALSE)+SUMIF(G$8:G454,G454,J$8:J454)-SUMIF(G$8:G454,G454,K$8:K454)+SUMIFS([1]内部转账!$G:$G,[1]内部转账!$C:$C,"&lt;="&amp;$D454,[1]内部转账!$E:$E,$G454)-SUMIFS([1]内部转账!$G:$G,[1]内部转账!$C:$C,"&lt;="&amp;$D454,[1]内部转账!$F:$F,$G454)),"")</f>
        <v>35473.29</v>
      </c>
      <c r="M454" s="64" t="s">
        <v>150</v>
      </c>
      <c r="N454" s="69"/>
      <c r="O454" s="64"/>
      <c r="P454" s="64" t="s">
        <v>246</v>
      </c>
      <c r="Q454" s="69"/>
      <c r="R454" s="69"/>
      <c r="S454" s="69"/>
    </row>
    <row r="455" s="2" customFormat="1" ht="24.95" customHeight="1" spans="1:19">
      <c r="A455" s="15"/>
      <c r="B455" s="55"/>
      <c r="C455" s="56"/>
      <c r="D455" s="68">
        <v>45976</v>
      </c>
      <c r="E455" s="69"/>
      <c r="F455" s="69" t="s">
        <v>26</v>
      </c>
      <c r="G455" s="65" t="s">
        <v>27</v>
      </c>
      <c r="H455" s="65" t="s">
        <v>62</v>
      </c>
      <c r="I455" s="70" t="s">
        <v>247</v>
      </c>
      <c r="J455" s="71"/>
      <c r="K455" s="71">
        <v>30000</v>
      </c>
      <c r="L455" s="72">
        <f>IFERROR(IF(G455="","",VLOOKUP($G455,[1]基础信息!$B:$C,2,FALSE)+SUMIF(G$8:G455,G455,J$8:J455)-SUMIF(G$8:G455,G455,K$8:K455)+SUMIFS([1]内部转账!$G:$G,[1]内部转账!$C:$C,"&lt;="&amp;$D455,[1]内部转账!$E:$E,$G455)-SUMIFS([1]内部转账!$G:$G,[1]内部转账!$C:$C,"&lt;="&amp;$D455,[1]内部转账!$F:$F,$G455)),"")</f>
        <v>5473.29000000004</v>
      </c>
      <c r="M455" s="64" t="s">
        <v>150</v>
      </c>
      <c r="N455" s="69"/>
      <c r="O455" s="64"/>
      <c r="P455" s="64" t="s">
        <v>248</v>
      </c>
      <c r="Q455" s="69"/>
      <c r="R455" s="69"/>
      <c r="S455" s="69"/>
    </row>
    <row r="456" s="2" customFormat="1" ht="24.95" customHeight="1" spans="1:19">
      <c r="A456" s="15"/>
      <c r="B456" s="55"/>
      <c r="C456" s="56"/>
      <c r="D456" s="68">
        <v>45976</v>
      </c>
      <c r="E456" s="69"/>
      <c r="F456" s="69" t="s">
        <v>26</v>
      </c>
      <c r="G456" s="65" t="s">
        <v>27</v>
      </c>
      <c r="H456" s="65" t="s">
        <v>58</v>
      </c>
      <c r="I456" s="70" t="s">
        <v>160</v>
      </c>
      <c r="J456" s="71"/>
      <c r="K456" s="71">
        <v>9</v>
      </c>
      <c r="L456" s="72">
        <f>IFERROR(IF(G456="","",VLOOKUP($G456,[1]基础信息!$B:$C,2,FALSE)+SUMIF(G$8:G456,G456,J$8:J456)-SUMIF(G$8:G456,G456,K$8:K456)+SUMIFS([1]内部转账!$G:$G,[1]内部转账!$C:$C,"&lt;="&amp;$D456,[1]内部转账!$E:$E,$G456)-SUMIFS([1]内部转账!$G:$G,[1]内部转账!$C:$C,"&lt;="&amp;$D456,[1]内部转账!$F:$F,$G456)),"")</f>
        <v>5464.29000000004</v>
      </c>
      <c r="M456" s="64" t="s">
        <v>150</v>
      </c>
      <c r="N456" s="69"/>
      <c r="O456" s="64"/>
      <c r="P456" s="64"/>
      <c r="Q456" s="69"/>
      <c r="R456" s="69"/>
      <c r="S456" s="69"/>
    </row>
    <row r="457" s="2" customFormat="1" ht="24.95" customHeight="1" spans="1:19">
      <c r="A457" s="15"/>
      <c r="B457" s="55"/>
      <c r="C457" s="56"/>
      <c r="D457" s="68">
        <v>45978</v>
      </c>
      <c r="E457" s="69"/>
      <c r="F457" s="69" t="s">
        <v>26</v>
      </c>
      <c r="G457" s="65" t="s">
        <v>27</v>
      </c>
      <c r="H457" s="65" t="s">
        <v>28</v>
      </c>
      <c r="I457" s="70" t="s">
        <v>29</v>
      </c>
      <c r="J457" s="71"/>
      <c r="K457" s="71">
        <v>-80000</v>
      </c>
      <c r="L457" s="72">
        <f>IFERROR(IF(G457="","",VLOOKUP($G457,[1]基础信息!$B:$C,2,FALSE)+SUMIF(G$8:G457,G457,J$8:J457)-SUMIF(G$8:G457,G457,K$8:K457)+SUMIFS([1]内部转账!$G:$G,[1]内部转账!$C:$C,"&lt;="&amp;$D457,[1]内部转账!$E:$E,$G457)-SUMIFS([1]内部转账!$G:$G,[1]内部转账!$C:$C,"&lt;="&amp;$D457,[1]内部转账!$F:$F,$G457)),"")</f>
        <v>85464.29</v>
      </c>
      <c r="M457" s="64" t="s">
        <v>30</v>
      </c>
      <c r="N457" s="58" t="s">
        <v>31</v>
      </c>
      <c r="O457" s="64"/>
      <c r="P457" s="64" t="s">
        <v>31</v>
      </c>
      <c r="Q457" s="69"/>
      <c r="R457" s="69"/>
      <c r="S457" s="69"/>
    </row>
    <row r="458" s="2" customFormat="1" ht="24.95" customHeight="1" spans="1:19">
      <c r="A458" s="15"/>
      <c r="B458" s="55"/>
      <c r="C458" s="56"/>
      <c r="D458" s="68">
        <v>45978</v>
      </c>
      <c r="E458" s="69"/>
      <c r="F458" s="69" t="s">
        <v>26</v>
      </c>
      <c r="G458" s="65" t="s">
        <v>27</v>
      </c>
      <c r="H458" s="65" t="s">
        <v>62</v>
      </c>
      <c r="I458" s="70" t="s">
        <v>230</v>
      </c>
      <c r="J458" s="71"/>
      <c r="K458" s="71">
        <v>12314</v>
      </c>
      <c r="L458" s="72">
        <f>IFERROR(IF(G458="","",VLOOKUP($G458,[1]基础信息!$B:$C,2,FALSE)+SUMIF(G$8:G458,G458,J$8:J458)-SUMIF(G$8:G458,G458,K$8:K458)+SUMIFS([1]内部转账!$G:$G,[1]内部转账!$C:$C,"&lt;="&amp;$D458,[1]内部转账!$E:$E,$G458)-SUMIFS([1]内部转账!$G:$G,[1]内部转账!$C:$C,"&lt;="&amp;$D458,[1]内部转账!$F:$F,$G458)),"")</f>
        <v>73150.29</v>
      </c>
      <c r="M458" s="64" t="s">
        <v>150</v>
      </c>
      <c r="N458" s="69"/>
      <c r="O458" s="64"/>
      <c r="P458" s="64" t="s">
        <v>231</v>
      </c>
      <c r="Q458" s="69"/>
      <c r="R458" s="69"/>
      <c r="S458" s="69"/>
    </row>
    <row r="459" s="2" customFormat="1" ht="24.95" customHeight="1" spans="1:19">
      <c r="A459" s="15"/>
      <c r="B459" s="55"/>
      <c r="C459" s="56"/>
      <c r="D459" s="68">
        <v>45978</v>
      </c>
      <c r="E459" s="69"/>
      <c r="F459" s="69" t="s">
        <v>26</v>
      </c>
      <c r="G459" s="65" t="s">
        <v>27</v>
      </c>
      <c r="H459" s="65" t="s">
        <v>62</v>
      </c>
      <c r="I459" s="70" t="s">
        <v>177</v>
      </c>
      <c r="J459" s="71"/>
      <c r="K459" s="71">
        <v>6512</v>
      </c>
      <c r="L459" s="72">
        <f>IFERROR(IF(G459="","",VLOOKUP($G459,[1]基础信息!$B:$C,2,FALSE)+SUMIF(G$8:G459,G459,J$8:J459)-SUMIF(G$8:G459,G459,K$8:K459)+SUMIFS([1]内部转账!$G:$G,[1]内部转账!$C:$C,"&lt;="&amp;$D459,[1]内部转账!$E:$E,$G459)-SUMIFS([1]内部转账!$G:$G,[1]内部转账!$C:$C,"&lt;="&amp;$D459,[1]内部转账!$F:$F,$G459)),"")</f>
        <v>66638.29</v>
      </c>
      <c r="M459" s="64" t="s">
        <v>150</v>
      </c>
      <c r="N459" s="69"/>
      <c r="O459" s="64"/>
      <c r="P459" s="64" t="s">
        <v>178</v>
      </c>
      <c r="Q459" s="69"/>
      <c r="R459" s="69"/>
      <c r="S459" s="69"/>
    </row>
    <row r="460" s="2" customFormat="1" ht="24.95" customHeight="1" spans="1:19">
      <c r="A460" s="15"/>
      <c r="B460" s="55"/>
      <c r="C460" s="56"/>
      <c r="D460" s="68">
        <v>45978</v>
      </c>
      <c r="E460" s="69"/>
      <c r="F460" s="69" t="s">
        <v>26</v>
      </c>
      <c r="G460" s="65" t="s">
        <v>27</v>
      </c>
      <c r="H460" s="65" t="s">
        <v>62</v>
      </c>
      <c r="I460" s="70" t="s">
        <v>211</v>
      </c>
      <c r="J460" s="71"/>
      <c r="K460" s="71">
        <v>10068</v>
      </c>
      <c r="L460" s="72">
        <f>IFERROR(IF(G460="","",VLOOKUP($G460,[1]基础信息!$B:$C,2,FALSE)+SUMIF(G$8:G460,G460,J$8:J460)-SUMIF(G$8:G460,G460,K$8:K460)+SUMIFS([1]内部转账!$G:$G,[1]内部转账!$C:$C,"&lt;="&amp;$D460,[1]内部转账!$E:$E,$G460)-SUMIFS([1]内部转账!$G:$G,[1]内部转账!$C:$C,"&lt;="&amp;$D460,[1]内部转账!$F:$F,$G460)),"")</f>
        <v>56570.29</v>
      </c>
      <c r="M460" s="64" t="s">
        <v>166</v>
      </c>
      <c r="N460" s="69"/>
      <c r="O460" s="64"/>
      <c r="P460" s="64" t="s">
        <v>212</v>
      </c>
      <c r="Q460" s="69"/>
      <c r="R460" s="69"/>
      <c r="S460" s="69"/>
    </row>
    <row r="461" s="2" customFormat="1" ht="24.95" customHeight="1" spans="1:19">
      <c r="A461" s="15"/>
      <c r="B461" s="55"/>
      <c r="C461" s="56"/>
      <c r="D461" s="68">
        <v>45978</v>
      </c>
      <c r="E461" s="69"/>
      <c r="F461" s="69" t="s">
        <v>26</v>
      </c>
      <c r="G461" s="65" t="s">
        <v>27</v>
      </c>
      <c r="H461" s="65" t="s">
        <v>62</v>
      </c>
      <c r="I461" s="70" t="s">
        <v>211</v>
      </c>
      <c r="J461" s="71"/>
      <c r="K461" s="71">
        <v>4896</v>
      </c>
      <c r="L461" s="72">
        <f>IFERROR(IF(G461="","",VLOOKUP($G461,[1]基础信息!$B:$C,2,FALSE)+SUMIF(G$8:G461,G461,J$8:J461)-SUMIF(G$8:G461,G461,K$8:K461)+SUMIFS([1]内部转账!$G:$G,[1]内部转账!$C:$C,"&lt;="&amp;$D461,[1]内部转账!$E:$E,$G461)-SUMIFS([1]内部转账!$G:$G,[1]内部转账!$C:$C,"&lt;="&amp;$D461,[1]内部转账!$F:$F,$G461)),"")</f>
        <v>51674.29</v>
      </c>
      <c r="M461" s="64" t="s">
        <v>150</v>
      </c>
      <c r="N461" s="69"/>
      <c r="O461" s="64"/>
      <c r="P461" s="64" t="s">
        <v>212</v>
      </c>
      <c r="Q461" s="69"/>
      <c r="R461" s="69"/>
      <c r="S461" s="69"/>
    </row>
    <row r="462" s="2" customFormat="1" ht="24.95" customHeight="1" spans="1:19">
      <c r="A462" s="15"/>
      <c r="B462" s="55"/>
      <c r="C462" s="56"/>
      <c r="D462" s="68">
        <v>45978</v>
      </c>
      <c r="E462" s="69"/>
      <c r="F462" s="69" t="s">
        <v>26</v>
      </c>
      <c r="G462" s="65" t="s">
        <v>27</v>
      </c>
      <c r="H462" s="65" t="s">
        <v>46</v>
      </c>
      <c r="I462" s="70" t="s">
        <v>249</v>
      </c>
      <c r="J462" s="71"/>
      <c r="K462" s="71">
        <v>3000</v>
      </c>
      <c r="L462" s="72">
        <f>IFERROR(IF(G462="","",VLOOKUP($G462,[1]基础信息!$B:$C,2,FALSE)+SUMIF(G$8:G462,G462,J$8:J462)-SUMIF(G$8:G462,G462,K$8:K462)+SUMIFS([1]内部转账!$G:$G,[1]内部转账!$C:$C,"&lt;="&amp;$D462,[1]内部转账!$E:$E,$G462)-SUMIFS([1]内部转账!$G:$G,[1]内部转账!$C:$C,"&lt;="&amp;$D462,[1]内部转账!$F:$F,$G462)),"")</f>
        <v>48674.29</v>
      </c>
      <c r="M462" s="64" t="s">
        <v>150</v>
      </c>
      <c r="N462" s="69"/>
      <c r="O462" s="64"/>
      <c r="P462" s="64"/>
      <c r="Q462" s="69"/>
      <c r="R462" s="69"/>
      <c r="S462" s="69"/>
    </row>
    <row r="463" s="2" customFormat="1" ht="24.95" customHeight="1" spans="1:19">
      <c r="A463" s="15"/>
      <c r="B463" s="55"/>
      <c r="C463" s="56"/>
      <c r="D463" s="68">
        <v>45978</v>
      </c>
      <c r="E463" s="69"/>
      <c r="F463" s="69" t="s">
        <v>26</v>
      </c>
      <c r="G463" s="65" t="s">
        <v>27</v>
      </c>
      <c r="H463" s="65" t="s">
        <v>62</v>
      </c>
      <c r="I463" s="70" t="s">
        <v>224</v>
      </c>
      <c r="J463" s="71"/>
      <c r="K463" s="71">
        <v>26233</v>
      </c>
      <c r="L463" s="72">
        <f>IFERROR(IF(G463="","",VLOOKUP($G463,[1]基础信息!$B:$C,2,FALSE)+SUMIF(G$8:G463,G463,J$8:J463)-SUMIF(G$8:G463,G463,K$8:K463)+SUMIFS([1]内部转账!$G:$G,[1]内部转账!$C:$C,"&lt;="&amp;$D463,[1]内部转账!$E:$E,$G463)-SUMIFS([1]内部转账!$G:$G,[1]内部转账!$C:$C,"&lt;="&amp;$D463,[1]内部转账!$F:$F,$G463)),"")</f>
        <v>22441.29</v>
      </c>
      <c r="M463" s="64" t="s">
        <v>150</v>
      </c>
      <c r="N463" s="69"/>
      <c r="O463" s="64"/>
      <c r="P463" s="64" t="s">
        <v>225</v>
      </c>
      <c r="Q463" s="69"/>
      <c r="R463" s="69"/>
      <c r="S463" s="69"/>
    </row>
    <row r="464" s="2" customFormat="1" ht="24.95" customHeight="1" spans="1:19">
      <c r="A464" s="15"/>
      <c r="B464" s="55"/>
      <c r="C464" s="56"/>
      <c r="D464" s="68">
        <v>45978</v>
      </c>
      <c r="E464" s="69"/>
      <c r="F464" s="69" t="s">
        <v>26</v>
      </c>
      <c r="G464" s="65" t="s">
        <v>27</v>
      </c>
      <c r="H464" s="65" t="s">
        <v>46</v>
      </c>
      <c r="I464" s="70" t="s">
        <v>250</v>
      </c>
      <c r="J464" s="71"/>
      <c r="K464" s="71">
        <v>9000</v>
      </c>
      <c r="L464" s="72">
        <f>IFERROR(IF(G464="","",VLOOKUP($G464,[1]基础信息!$B:$C,2,FALSE)+SUMIF(G$8:G464,G464,J$8:J464)-SUMIF(G$8:G464,G464,K$8:K464)+SUMIFS([1]内部转账!$G:$G,[1]内部转账!$C:$C,"&lt;="&amp;$D464,[1]内部转账!$E:$E,$G464)-SUMIFS([1]内部转账!$G:$G,[1]内部转账!$C:$C,"&lt;="&amp;$D464,[1]内部转账!$F:$F,$G464)),"")</f>
        <v>13441.29</v>
      </c>
      <c r="M464" s="64" t="s">
        <v>206</v>
      </c>
      <c r="N464" s="69"/>
      <c r="O464" s="64"/>
      <c r="P464" s="64"/>
      <c r="Q464" s="69"/>
      <c r="R464" s="69"/>
      <c r="S464" s="69"/>
    </row>
    <row r="465" s="2" customFormat="1" ht="24.95" customHeight="1" spans="1:19">
      <c r="A465" s="15"/>
      <c r="B465" s="55"/>
      <c r="C465" s="56"/>
      <c r="D465" s="68">
        <v>45979</v>
      </c>
      <c r="E465" s="69"/>
      <c r="F465" s="69" t="s">
        <v>26</v>
      </c>
      <c r="G465" s="65" t="s">
        <v>27</v>
      </c>
      <c r="H465" s="65" t="s">
        <v>62</v>
      </c>
      <c r="I465" s="70" t="s">
        <v>251</v>
      </c>
      <c r="J465" s="71"/>
      <c r="K465" s="71">
        <v>1804.12</v>
      </c>
      <c r="L465" s="72">
        <f>IFERROR(IF(G465="","",VLOOKUP($G465,[1]基础信息!$B:$C,2,FALSE)+SUMIF(G$8:G465,G465,J$8:J465)-SUMIF(G$8:G465,G465,K$8:K465)+SUMIFS([1]内部转账!$G:$G,[1]内部转账!$C:$C,"&lt;="&amp;$D465,[1]内部转账!$E:$E,$G465)-SUMIFS([1]内部转账!$G:$G,[1]内部转账!$C:$C,"&lt;="&amp;$D465,[1]内部转账!$F:$F,$G465)),"")</f>
        <v>11637.1699999999</v>
      </c>
      <c r="M465" s="64" t="s">
        <v>150</v>
      </c>
      <c r="N465" s="69"/>
      <c r="O465" s="64"/>
      <c r="P465" s="64" t="s">
        <v>252</v>
      </c>
      <c r="Q465" s="69"/>
      <c r="R465" s="69"/>
      <c r="S465" s="69"/>
    </row>
    <row r="466" s="2" customFormat="1" ht="24.95" customHeight="1" spans="1:19">
      <c r="A466" s="15"/>
      <c r="B466" s="55"/>
      <c r="C466" s="56"/>
      <c r="D466" s="68">
        <v>45979</v>
      </c>
      <c r="E466" s="69"/>
      <c r="F466" s="69" t="s">
        <v>26</v>
      </c>
      <c r="G466" s="65" t="s">
        <v>27</v>
      </c>
      <c r="H466" s="65" t="s">
        <v>62</v>
      </c>
      <c r="I466" s="70" t="s">
        <v>251</v>
      </c>
      <c r="J466" s="71"/>
      <c r="K466" s="71">
        <v>4325.53</v>
      </c>
      <c r="L466" s="72">
        <f>IFERROR(IF(G466="","",VLOOKUP($G466,[1]基础信息!$B:$C,2,FALSE)+SUMIF(G$8:G466,G466,J$8:J466)-SUMIF(G$8:G466,G466,K$8:K466)+SUMIFS([1]内部转账!$G:$G,[1]内部转账!$C:$C,"&lt;="&amp;$D466,[1]内部转账!$E:$E,$G466)-SUMIFS([1]内部转账!$G:$G,[1]内部转账!$C:$C,"&lt;="&amp;$D466,[1]内部转账!$F:$F,$G466)),"")</f>
        <v>7311.64000000013</v>
      </c>
      <c r="M466" s="64" t="s">
        <v>150</v>
      </c>
      <c r="N466" s="69"/>
      <c r="O466" s="64"/>
      <c r="P466" s="64" t="s">
        <v>252</v>
      </c>
      <c r="Q466" s="69"/>
      <c r="R466" s="69"/>
      <c r="S466" s="69"/>
    </row>
    <row r="467" s="2" customFormat="1" ht="24.95" customHeight="1" spans="1:19">
      <c r="A467" s="15"/>
      <c r="B467" s="55"/>
      <c r="C467" s="56"/>
      <c r="D467" s="68">
        <v>45980</v>
      </c>
      <c r="E467" s="69"/>
      <c r="F467" s="69" t="s">
        <v>26</v>
      </c>
      <c r="G467" s="65" t="s">
        <v>27</v>
      </c>
      <c r="H467" s="65" t="s">
        <v>213</v>
      </c>
      <c r="I467" s="70" t="s">
        <v>214</v>
      </c>
      <c r="J467" s="71"/>
      <c r="K467" s="71">
        <v>-30000</v>
      </c>
      <c r="L467" s="72">
        <f>IFERROR(IF(G467="","",VLOOKUP($G467,[1]基础信息!$B:$C,2,FALSE)+SUMIF(G$8:G467,G467,J$8:J467)-SUMIF(G$8:G467,G467,K$8:K467)+SUMIFS([1]内部转账!$G:$G,[1]内部转账!$C:$C,"&lt;="&amp;$D467,[1]内部转账!$E:$E,$G467)-SUMIFS([1]内部转账!$G:$G,[1]内部转账!$C:$C,"&lt;="&amp;$D467,[1]内部转账!$F:$F,$G467)),"")</f>
        <v>37311.6400000001</v>
      </c>
      <c r="M467" s="64" t="s">
        <v>30</v>
      </c>
      <c r="N467" s="69" t="s">
        <v>92</v>
      </c>
      <c r="O467" s="64"/>
      <c r="P467" s="64" t="s">
        <v>92</v>
      </c>
      <c r="Q467" s="69"/>
      <c r="R467" s="69"/>
      <c r="S467" s="69"/>
    </row>
    <row r="468" s="2" customFormat="1" ht="24.95" customHeight="1" spans="1:19">
      <c r="A468" s="15"/>
      <c r="B468" s="55"/>
      <c r="C468" s="56"/>
      <c r="D468" s="68">
        <v>45980</v>
      </c>
      <c r="E468" s="69"/>
      <c r="F468" s="69" t="s">
        <v>26</v>
      </c>
      <c r="G468" s="65" t="s">
        <v>27</v>
      </c>
      <c r="H468" s="65" t="s">
        <v>62</v>
      </c>
      <c r="I468" s="70" t="s">
        <v>253</v>
      </c>
      <c r="J468" s="71"/>
      <c r="K468" s="71">
        <v>5055.5</v>
      </c>
      <c r="L468" s="72">
        <f>IFERROR(IF(G468="","",VLOOKUP($G468,[1]基础信息!$B:$C,2,FALSE)+SUMIF(G$8:G468,G468,J$8:J468)-SUMIF(G$8:G468,G468,K$8:K468)+SUMIFS([1]内部转账!$G:$G,[1]内部转账!$C:$C,"&lt;="&amp;$D468,[1]内部转账!$E:$E,$G468)-SUMIFS([1]内部转账!$G:$G,[1]内部转账!$C:$C,"&lt;="&amp;$D468,[1]内部转账!$F:$F,$G468)),"")</f>
        <v>32256.1400000001</v>
      </c>
      <c r="M468" s="64" t="s">
        <v>150</v>
      </c>
      <c r="N468" s="69"/>
      <c r="O468" s="64"/>
      <c r="P468" s="64" t="s">
        <v>254</v>
      </c>
      <c r="Q468" s="69"/>
      <c r="R468" s="69"/>
      <c r="S468" s="69"/>
    </row>
    <row r="469" s="2" customFormat="1" ht="24.95" customHeight="1" spans="1:19">
      <c r="A469" s="15"/>
      <c r="B469" s="55"/>
      <c r="C469" s="56"/>
      <c r="D469" s="68">
        <v>45980</v>
      </c>
      <c r="E469" s="69"/>
      <c r="F469" s="69" t="s">
        <v>26</v>
      </c>
      <c r="G469" s="65" t="s">
        <v>27</v>
      </c>
      <c r="H469" s="65" t="s">
        <v>62</v>
      </c>
      <c r="I469" s="70" t="s">
        <v>243</v>
      </c>
      <c r="J469" s="71"/>
      <c r="K469" s="71">
        <v>27502.4</v>
      </c>
      <c r="L469" s="72">
        <f>IFERROR(IF(G469="","",VLOOKUP($G469,[1]基础信息!$B:$C,2,FALSE)+SUMIF(G$8:G469,G469,J$8:J469)-SUMIF(G$8:G469,G469,K$8:K469)+SUMIFS([1]内部转账!$G:$G,[1]内部转账!$C:$C,"&lt;="&amp;$D469,[1]内部转账!$E:$E,$G469)-SUMIFS([1]内部转账!$G:$G,[1]内部转账!$C:$C,"&lt;="&amp;$D469,[1]内部转账!$F:$F,$G469)),"")</f>
        <v>4753.74000000022</v>
      </c>
      <c r="M469" s="64" t="s">
        <v>150</v>
      </c>
      <c r="N469" s="69"/>
      <c r="O469" s="64"/>
      <c r="P469" s="64" t="s">
        <v>244</v>
      </c>
      <c r="Q469" s="69"/>
      <c r="R469" s="69"/>
      <c r="S469" s="69"/>
    </row>
    <row r="470" s="2" customFormat="1" ht="24.95" customHeight="1" spans="1:19">
      <c r="A470" s="15"/>
      <c r="B470" s="55"/>
      <c r="C470" s="56"/>
      <c r="D470" s="68">
        <v>45980</v>
      </c>
      <c r="E470" s="69"/>
      <c r="F470" s="69" t="s">
        <v>26</v>
      </c>
      <c r="G470" s="65" t="s">
        <v>27</v>
      </c>
      <c r="H470" s="65" t="s">
        <v>28</v>
      </c>
      <c r="I470" s="70" t="s">
        <v>29</v>
      </c>
      <c r="J470" s="71"/>
      <c r="K470" s="71">
        <v>-40000</v>
      </c>
      <c r="L470" s="72">
        <f>IFERROR(IF(G470="","",VLOOKUP($G470,[1]基础信息!$B:$C,2,FALSE)+SUMIF(G$8:G470,G470,J$8:J470)-SUMIF(G$8:G470,G470,K$8:K470)+SUMIFS([1]内部转账!$G:$G,[1]内部转账!$C:$C,"&lt;="&amp;$D470,[1]内部转账!$E:$E,$G470)-SUMIFS([1]内部转账!$G:$G,[1]内部转账!$C:$C,"&lt;="&amp;$D470,[1]内部转账!$F:$F,$G470)),"")</f>
        <v>44753.7400000002</v>
      </c>
      <c r="M470" s="64" t="s">
        <v>30</v>
      </c>
      <c r="N470" s="58" t="s">
        <v>31</v>
      </c>
      <c r="O470" s="64"/>
      <c r="P470" s="64" t="s">
        <v>31</v>
      </c>
      <c r="Q470" s="69"/>
      <c r="R470" s="69"/>
      <c r="S470" s="69"/>
    </row>
    <row r="471" s="2" customFormat="1" ht="24.95" customHeight="1" spans="1:19">
      <c r="A471" s="15"/>
      <c r="B471" s="55"/>
      <c r="C471" s="56"/>
      <c r="D471" s="68">
        <v>45980</v>
      </c>
      <c r="E471" s="69"/>
      <c r="F471" s="69" t="s">
        <v>26</v>
      </c>
      <c r="G471" s="65" t="s">
        <v>27</v>
      </c>
      <c r="H471" s="65" t="s">
        <v>62</v>
      </c>
      <c r="I471" s="70" t="s">
        <v>255</v>
      </c>
      <c r="J471" s="71"/>
      <c r="K471" s="71">
        <v>12000</v>
      </c>
      <c r="L471" s="72">
        <f>IFERROR(IF(G471="","",VLOOKUP($G471,[1]基础信息!$B:$C,2,FALSE)+SUMIF(G$8:G471,G471,J$8:J471)-SUMIF(G$8:G471,G471,K$8:K471)+SUMIFS([1]内部转账!$G:$G,[1]内部转账!$C:$C,"&lt;="&amp;$D471,[1]内部转账!$E:$E,$G471)-SUMIFS([1]内部转账!$G:$G,[1]内部转账!$C:$C,"&lt;="&amp;$D471,[1]内部转账!$F:$F,$G471)),"")</f>
        <v>32753.7400000002</v>
      </c>
      <c r="M471" s="64" t="s">
        <v>150</v>
      </c>
      <c r="N471" s="69"/>
      <c r="O471" s="64"/>
      <c r="P471" s="64" t="s">
        <v>218</v>
      </c>
      <c r="Q471" s="69"/>
      <c r="R471" s="69"/>
      <c r="S471" s="69"/>
    </row>
    <row r="472" s="2" customFormat="1" ht="24.95" customHeight="1" spans="1:19">
      <c r="A472" s="15"/>
      <c r="B472" s="55"/>
      <c r="C472" s="56"/>
      <c r="D472" s="68">
        <v>45981</v>
      </c>
      <c r="E472" s="69"/>
      <c r="F472" s="69" t="s">
        <v>26</v>
      </c>
      <c r="G472" s="65" t="s">
        <v>125</v>
      </c>
      <c r="H472" s="65" t="s">
        <v>62</v>
      </c>
      <c r="I472" s="70" t="s">
        <v>256</v>
      </c>
      <c r="J472" s="71"/>
      <c r="K472" s="71">
        <v>200</v>
      </c>
      <c r="L472" s="72">
        <f>IFERROR(IF(G472="","",VLOOKUP($G472,[1]基础信息!$B:$C,2,FALSE)+SUMIF(G$8:G472,G472,J$8:J472)-SUMIF(G$8:G472,G472,K$8:K472)+SUMIFS([1]内部转账!$G:$G,[1]内部转账!$C:$C,"&lt;="&amp;$D472,[1]内部转账!$E:$E,$G472)-SUMIFS([1]内部转账!$G:$G,[1]内部转账!$C:$C,"&lt;="&amp;$D472,[1]内部转账!$F:$F,$G472)),"")</f>
        <v>500</v>
      </c>
      <c r="M472" s="64" t="s">
        <v>150</v>
      </c>
      <c r="N472" s="69" t="s">
        <v>98</v>
      </c>
      <c r="O472" s="64"/>
      <c r="P472" s="64" t="s">
        <v>122</v>
      </c>
      <c r="Q472" s="69"/>
      <c r="R472" s="69"/>
      <c r="S472" s="69"/>
    </row>
    <row r="473" s="2" customFormat="1" ht="24.95" customHeight="1" spans="1:19">
      <c r="A473" s="15"/>
      <c r="B473" s="55"/>
      <c r="C473" s="56"/>
      <c r="D473" s="68">
        <v>45982</v>
      </c>
      <c r="E473" s="69"/>
      <c r="F473" s="69" t="s">
        <v>26</v>
      </c>
      <c r="G473" s="65" t="s">
        <v>27</v>
      </c>
      <c r="H473" s="65" t="s">
        <v>62</v>
      </c>
      <c r="I473" s="70" t="s">
        <v>241</v>
      </c>
      <c r="J473" s="71"/>
      <c r="K473" s="71">
        <v>4970</v>
      </c>
      <c r="L473" s="72">
        <f>IFERROR(IF(G473="","",VLOOKUP($G473,[1]基础信息!$B:$C,2,FALSE)+SUMIF(G$8:G473,G473,J$8:J473)-SUMIF(G$8:G473,G473,K$8:K473)+SUMIFS([1]内部转账!$G:$G,[1]内部转账!$C:$C,"&lt;="&amp;$D473,[1]内部转账!$E:$E,$G473)-SUMIFS([1]内部转账!$G:$G,[1]内部转账!$C:$C,"&lt;="&amp;$D473,[1]内部转账!$F:$F,$G473)),"")</f>
        <v>27783.7400000002</v>
      </c>
      <c r="M473" s="64" t="s">
        <v>206</v>
      </c>
      <c r="N473" s="69"/>
      <c r="O473" s="64"/>
      <c r="P473" s="64" t="s">
        <v>242</v>
      </c>
      <c r="Q473" s="69"/>
      <c r="R473" s="69"/>
      <c r="S473" s="69"/>
    </row>
    <row r="474" s="2" customFormat="1" ht="24.95" customHeight="1" spans="1:19">
      <c r="A474" s="15"/>
      <c r="B474" s="55"/>
      <c r="C474" s="56"/>
      <c r="D474" s="68">
        <v>45982</v>
      </c>
      <c r="E474" s="69"/>
      <c r="F474" s="69" t="s">
        <v>26</v>
      </c>
      <c r="G474" s="65" t="s">
        <v>27</v>
      </c>
      <c r="H474" s="65" t="s">
        <v>28</v>
      </c>
      <c r="I474" s="70" t="s">
        <v>29</v>
      </c>
      <c r="J474" s="71"/>
      <c r="K474" s="71">
        <v>-35000</v>
      </c>
      <c r="L474" s="72">
        <f>IFERROR(IF(G474="","",VLOOKUP($G474,[1]基础信息!$B:$C,2,FALSE)+SUMIF(G$8:G474,G474,J$8:J474)-SUMIF(G$8:G474,G474,K$8:K474)+SUMIFS([1]内部转账!$G:$G,[1]内部转账!$C:$C,"&lt;="&amp;$D474,[1]内部转账!$E:$E,$G474)-SUMIFS([1]内部转账!$G:$G,[1]内部转账!$C:$C,"&lt;="&amp;$D474,[1]内部转账!$F:$F,$G474)),"")</f>
        <v>62783.7400000002</v>
      </c>
      <c r="M474" s="64" t="s">
        <v>30</v>
      </c>
      <c r="N474" s="58" t="s">
        <v>31</v>
      </c>
      <c r="O474" s="64"/>
      <c r="P474" s="64" t="s">
        <v>31</v>
      </c>
      <c r="Q474" s="69"/>
      <c r="R474" s="69"/>
      <c r="S474" s="69"/>
    </row>
    <row r="475" s="2" customFormat="1" ht="24.95" customHeight="1" spans="1:19">
      <c r="A475" s="15"/>
      <c r="B475" s="55"/>
      <c r="C475" s="56"/>
      <c r="D475" s="68">
        <v>45982</v>
      </c>
      <c r="E475" s="69"/>
      <c r="F475" s="69" t="s">
        <v>26</v>
      </c>
      <c r="G475" s="65" t="s">
        <v>27</v>
      </c>
      <c r="H475" s="65" t="s">
        <v>28</v>
      </c>
      <c r="I475" s="70" t="s">
        <v>29</v>
      </c>
      <c r="J475" s="71"/>
      <c r="K475" s="71">
        <v>-15000</v>
      </c>
      <c r="L475" s="72">
        <f>IFERROR(IF(G475="","",VLOOKUP($G475,[1]基础信息!$B:$C,2,FALSE)+SUMIF(G$8:G475,G475,J$8:J475)-SUMIF(G$8:G475,G475,K$8:K475)+SUMIFS([1]内部转账!$G:$G,[1]内部转账!$C:$C,"&lt;="&amp;$D475,[1]内部转账!$E:$E,$G475)-SUMIFS([1]内部转账!$G:$G,[1]内部转账!$C:$C,"&lt;="&amp;$D475,[1]内部转账!$F:$F,$G475)),"")</f>
        <v>77783.7400000002</v>
      </c>
      <c r="M475" s="64" t="s">
        <v>30</v>
      </c>
      <c r="N475" s="58" t="s">
        <v>31</v>
      </c>
      <c r="O475" s="64"/>
      <c r="P475" s="64" t="s">
        <v>31</v>
      </c>
      <c r="Q475" s="69"/>
      <c r="R475" s="69"/>
      <c r="S475" s="69"/>
    </row>
    <row r="476" s="2" customFormat="1" ht="24.95" customHeight="1" spans="1:19">
      <c r="A476" s="15"/>
      <c r="B476" s="55"/>
      <c r="C476" s="56"/>
      <c r="D476" s="68">
        <v>45982</v>
      </c>
      <c r="E476" s="69"/>
      <c r="F476" s="69" t="s">
        <v>26</v>
      </c>
      <c r="G476" s="65" t="s">
        <v>27</v>
      </c>
      <c r="H476" s="65" t="s">
        <v>62</v>
      </c>
      <c r="I476" s="70" t="s">
        <v>188</v>
      </c>
      <c r="J476" s="71"/>
      <c r="K476" s="71">
        <v>69648.6</v>
      </c>
      <c r="L476" s="72">
        <f>IFERROR(IF(G476="","",VLOOKUP($G476,[1]基础信息!$B:$C,2,FALSE)+SUMIF(G$8:G476,G476,J$8:J476)-SUMIF(G$8:G476,G476,K$8:K476)+SUMIFS([1]内部转账!$G:$G,[1]内部转账!$C:$C,"&lt;="&amp;$D476,[1]内部转账!$E:$E,$G476)-SUMIFS([1]内部转账!$G:$G,[1]内部转账!$C:$C,"&lt;="&amp;$D476,[1]内部转账!$F:$F,$G476)),"")</f>
        <v>8135.14000000013</v>
      </c>
      <c r="M476" s="64" t="s">
        <v>206</v>
      </c>
      <c r="N476" s="69"/>
      <c r="O476" s="64"/>
      <c r="P476" s="64" t="s">
        <v>122</v>
      </c>
      <c r="Q476" s="69"/>
      <c r="R476" s="69"/>
      <c r="S476" s="69"/>
    </row>
    <row r="477" s="2" customFormat="1" ht="24.95" customHeight="1" spans="1:19">
      <c r="A477" s="15"/>
      <c r="B477" s="55"/>
      <c r="C477" s="56"/>
      <c r="D477" s="68">
        <v>45982</v>
      </c>
      <c r="E477" s="69"/>
      <c r="F477" s="69" t="s">
        <v>26</v>
      </c>
      <c r="G477" s="65" t="s">
        <v>27</v>
      </c>
      <c r="H477" s="65" t="s">
        <v>62</v>
      </c>
      <c r="I477" s="70" t="s">
        <v>230</v>
      </c>
      <c r="J477" s="71"/>
      <c r="K477" s="71">
        <v>1200</v>
      </c>
      <c r="L477" s="72">
        <f>IFERROR(IF(G477="","",VLOOKUP($G477,[1]基础信息!$B:$C,2,FALSE)+SUMIF(G$8:G477,G477,J$8:J477)-SUMIF(G$8:G477,G477,K$8:K477)+SUMIFS([1]内部转账!$G:$G,[1]内部转账!$C:$C,"&lt;="&amp;$D477,[1]内部转账!$E:$E,$G477)-SUMIFS([1]内部转账!$G:$G,[1]内部转账!$C:$C,"&lt;="&amp;$D477,[1]内部转账!$F:$F,$G477)),"")</f>
        <v>6935.14000000013</v>
      </c>
      <c r="M477" s="64" t="s">
        <v>150</v>
      </c>
      <c r="N477" s="69"/>
      <c r="O477" s="64"/>
      <c r="P477" s="64" t="s">
        <v>231</v>
      </c>
      <c r="Q477" s="69"/>
      <c r="R477" s="69"/>
      <c r="S477" s="69"/>
    </row>
    <row r="478" s="2" customFormat="1" ht="24.95" customHeight="1" spans="1:19">
      <c r="A478" s="15"/>
      <c r="B478" s="55"/>
      <c r="C478" s="56"/>
      <c r="D478" s="68">
        <v>45984</v>
      </c>
      <c r="E478" s="69"/>
      <c r="F478" s="69" t="s">
        <v>26</v>
      </c>
      <c r="G478" s="65" t="s">
        <v>27</v>
      </c>
      <c r="H478" s="65" t="s">
        <v>213</v>
      </c>
      <c r="I478" s="70" t="s">
        <v>214</v>
      </c>
      <c r="J478" s="71"/>
      <c r="K478" s="71">
        <v>-40000</v>
      </c>
      <c r="L478" s="72">
        <f>IFERROR(IF(G478="","",VLOOKUP($G478,[1]基础信息!$B:$C,2,FALSE)+SUMIF(G$8:G478,G478,J$8:J478)-SUMIF(G$8:G478,G478,K$8:K478)+SUMIFS([1]内部转账!$G:$G,[1]内部转账!$C:$C,"&lt;="&amp;$D478,[1]内部转账!$E:$E,$G478)-SUMIFS([1]内部转账!$G:$G,[1]内部转账!$C:$C,"&lt;="&amp;$D478,[1]内部转账!$F:$F,$G478)),"")</f>
        <v>46935.1400000001</v>
      </c>
      <c r="M478" s="64" t="s">
        <v>30</v>
      </c>
      <c r="N478" s="69" t="s">
        <v>92</v>
      </c>
      <c r="O478" s="64"/>
      <c r="P478" s="64" t="s">
        <v>92</v>
      </c>
      <c r="Q478" s="69"/>
      <c r="R478" s="69"/>
      <c r="S478" s="69"/>
    </row>
    <row r="479" s="2" customFormat="1" ht="24.95" customHeight="1" spans="1:19">
      <c r="A479" s="15"/>
      <c r="B479" s="55"/>
      <c r="C479" s="56"/>
      <c r="D479" s="68">
        <v>45985</v>
      </c>
      <c r="E479" s="69"/>
      <c r="F479" s="69" t="s">
        <v>26</v>
      </c>
      <c r="G479" s="65" t="s">
        <v>27</v>
      </c>
      <c r="H479" s="65" t="s">
        <v>62</v>
      </c>
      <c r="I479" s="70" t="s">
        <v>257</v>
      </c>
      <c r="J479" s="71"/>
      <c r="K479" s="71">
        <v>17645</v>
      </c>
      <c r="L479" s="72">
        <f>IFERROR(IF(G479="","",VLOOKUP($G479,[1]基础信息!$B:$C,2,FALSE)+SUMIF(G$8:G479,G479,J$8:J479)-SUMIF(G$8:G479,G479,K$8:K479)+SUMIFS([1]内部转账!$G:$G,[1]内部转账!$C:$C,"&lt;="&amp;$D479,[1]内部转账!$E:$E,$G479)-SUMIFS([1]内部转账!$G:$G,[1]内部转账!$C:$C,"&lt;="&amp;$D479,[1]内部转账!$F:$F,$G479)),"")</f>
        <v>29290.1400000001</v>
      </c>
      <c r="M479" s="64" t="s">
        <v>150</v>
      </c>
      <c r="N479" s="69"/>
      <c r="O479" s="64"/>
      <c r="P479" s="64" t="s">
        <v>203</v>
      </c>
      <c r="Q479" s="69"/>
      <c r="R479" s="69"/>
      <c r="S479" s="69"/>
    </row>
    <row r="480" s="2" customFormat="1" ht="24.95" customHeight="1" spans="1:19">
      <c r="A480" s="15"/>
      <c r="B480" s="55"/>
      <c r="C480" s="56"/>
      <c r="D480" s="68">
        <v>45987</v>
      </c>
      <c r="E480" s="69"/>
      <c r="F480" s="69" t="s">
        <v>26</v>
      </c>
      <c r="G480" s="65" t="s">
        <v>27</v>
      </c>
      <c r="H480" s="65" t="s">
        <v>62</v>
      </c>
      <c r="I480" s="70" t="s">
        <v>258</v>
      </c>
      <c r="J480" s="71"/>
      <c r="K480" s="71">
        <v>20000</v>
      </c>
      <c r="L480" s="72">
        <f>IFERROR(IF(G480="","",VLOOKUP($G480,[1]基础信息!$B:$C,2,FALSE)+SUMIF(G$8:G480,G480,J$8:J480)-SUMIF(G$8:G480,G480,K$8:K480)+SUMIFS([1]内部转账!$G:$G,[1]内部转账!$C:$C,"&lt;="&amp;$D480,[1]内部转账!$E:$E,$G480)-SUMIFS([1]内部转账!$G:$G,[1]内部转账!$C:$C,"&lt;="&amp;$D480,[1]内部转账!$F:$F,$G480)),"")</f>
        <v>9290.14000000013</v>
      </c>
      <c r="M480" s="64" t="s">
        <v>206</v>
      </c>
      <c r="N480" s="69"/>
      <c r="O480" s="64"/>
      <c r="P480" s="64" t="s">
        <v>259</v>
      </c>
      <c r="Q480" s="69"/>
      <c r="R480" s="69"/>
      <c r="S480" s="69"/>
    </row>
    <row r="481" s="2" customFormat="1" ht="24.95" customHeight="1" spans="1:19">
      <c r="A481" s="15"/>
      <c r="B481" s="55"/>
      <c r="C481" s="56"/>
      <c r="D481" s="68">
        <v>45987</v>
      </c>
      <c r="E481" s="69"/>
      <c r="F481" s="69" t="s">
        <v>26</v>
      </c>
      <c r="G481" s="65" t="s">
        <v>27</v>
      </c>
      <c r="H481" s="65" t="s">
        <v>213</v>
      </c>
      <c r="I481" s="70" t="s">
        <v>214</v>
      </c>
      <c r="J481" s="71"/>
      <c r="K481" s="71">
        <v>-10000</v>
      </c>
      <c r="L481" s="72">
        <f>IFERROR(IF(G481="","",VLOOKUP($G481,[1]基础信息!$B:$C,2,FALSE)+SUMIF(G$8:G481,G481,J$8:J481)-SUMIF(G$8:G481,G481,K$8:K481)+SUMIFS([1]内部转账!$G:$G,[1]内部转账!$C:$C,"&lt;="&amp;$D481,[1]内部转账!$E:$E,$G481)-SUMIFS([1]内部转账!$G:$G,[1]内部转账!$C:$C,"&lt;="&amp;$D481,[1]内部转账!$F:$F,$G481)),"")</f>
        <v>19290.1400000001</v>
      </c>
      <c r="M481" s="64" t="s">
        <v>30</v>
      </c>
      <c r="N481" s="69" t="s">
        <v>92</v>
      </c>
      <c r="O481" s="64"/>
      <c r="P481" s="64" t="s">
        <v>92</v>
      </c>
      <c r="Q481" s="69"/>
      <c r="R481" s="69"/>
      <c r="S481" s="69"/>
    </row>
    <row r="482" s="2" customFormat="1" ht="24.95" customHeight="1" spans="1:19">
      <c r="A482" s="15"/>
      <c r="B482" s="55"/>
      <c r="C482" s="56"/>
      <c r="D482" s="68">
        <v>45987</v>
      </c>
      <c r="E482" s="69"/>
      <c r="F482" s="69" t="s">
        <v>26</v>
      </c>
      <c r="G482" s="65" t="s">
        <v>27</v>
      </c>
      <c r="H482" s="65" t="s">
        <v>62</v>
      </c>
      <c r="I482" s="70" t="s">
        <v>241</v>
      </c>
      <c r="J482" s="71"/>
      <c r="K482" s="71">
        <v>14285.22</v>
      </c>
      <c r="L482" s="72">
        <f>IFERROR(IF(G482="","",VLOOKUP($G482,[1]基础信息!$B:$C,2,FALSE)+SUMIF(G$8:G482,G482,J$8:J482)-SUMIF(G$8:G482,G482,K$8:K482)+SUMIFS([1]内部转账!$G:$G,[1]内部转账!$C:$C,"&lt;="&amp;$D482,[1]内部转账!$E:$E,$G482)-SUMIFS([1]内部转账!$G:$G,[1]内部转账!$C:$C,"&lt;="&amp;$D482,[1]内部转账!$F:$F,$G482)),"")</f>
        <v>5004.91999999993</v>
      </c>
      <c r="M482" s="64" t="s">
        <v>206</v>
      </c>
      <c r="N482" s="69"/>
      <c r="O482" s="64"/>
      <c r="P482" s="64" t="s">
        <v>242</v>
      </c>
      <c r="Q482" s="69"/>
      <c r="R482" s="69"/>
      <c r="S482" s="69"/>
    </row>
    <row r="483" s="2" customFormat="1" ht="24.95" customHeight="1" spans="1:19">
      <c r="A483" s="15"/>
      <c r="B483" s="55"/>
      <c r="C483" s="56"/>
      <c r="D483" s="68">
        <v>45990</v>
      </c>
      <c r="E483" s="69"/>
      <c r="F483" s="69" t="s">
        <v>26</v>
      </c>
      <c r="G483" s="65" t="s">
        <v>27</v>
      </c>
      <c r="H483" s="65" t="s">
        <v>62</v>
      </c>
      <c r="I483" s="70" t="s">
        <v>260</v>
      </c>
      <c r="J483" s="71"/>
      <c r="K483" s="71">
        <v>4860</v>
      </c>
      <c r="L483" s="72">
        <f>IFERROR(IF(G483="","",VLOOKUP($G483,[1]基础信息!$B:$C,2,FALSE)+SUMIF(G$8:G483,G483,J$8:J483)-SUMIF(G$8:G483,G483,K$8:K483)+SUMIFS([1]内部转账!$G:$G,[1]内部转账!$C:$C,"&lt;="&amp;$D483,[1]内部转账!$E:$E,$G483)-SUMIFS([1]内部转账!$G:$G,[1]内部转账!$C:$C,"&lt;="&amp;$D483,[1]内部转账!$F:$F,$G483)),"")</f>
        <v>144.919999999925</v>
      </c>
      <c r="M483" s="64" t="s">
        <v>166</v>
      </c>
      <c r="N483" s="69"/>
      <c r="O483" s="64"/>
      <c r="P483" s="64" t="s">
        <v>218</v>
      </c>
      <c r="Q483" s="69"/>
      <c r="R483" s="69"/>
      <c r="S483" s="69"/>
    </row>
    <row r="484" s="2" customFormat="1" ht="24.95" customHeight="1" spans="1:19">
      <c r="A484" s="15"/>
      <c r="B484" s="55"/>
      <c r="C484" s="56"/>
      <c r="D484" s="68">
        <v>45991</v>
      </c>
      <c r="E484" s="69"/>
      <c r="F484" s="69" t="s">
        <v>26</v>
      </c>
      <c r="G484" s="65" t="s">
        <v>27</v>
      </c>
      <c r="H484" s="65" t="s">
        <v>28</v>
      </c>
      <c r="I484" s="70" t="s">
        <v>29</v>
      </c>
      <c r="J484" s="71"/>
      <c r="K484" s="71">
        <v>-35000</v>
      </c>
      <c r="L484" s="72">
        <f>IFERROR(IF(G484="","",VLOOKUP($G484,[1]基础信息!$B:$C,2,FALSE)+SUMIF(G$8:G484,G484,J$8:J484)-SUMIF(G$8:G484,G484,K$8:K484)+SUMIFS([1]内部转账!$G:$G,[1]内部转账!$C:$C,"&lt;="&amp;$D484,[1]内部转账!$E:$E,$G484)-SUMIFS([1]内部转账!$G:$G,[1]内部转账!$C:$C,"&lt;="&amp;$D484,[1]内部转账!$F:$F,$G484)),"")</f>
        <v>35144.9199999999</v>
      </c>
      <c r="M484" s="64" t="s">
        <v>30</v>
      </c>
      <c r="N484" s="58" t="s">
        <v>31</v>
      </c>
      <c r="O484" s="64"/>
      <c r="P484" s="64" t="s">
        <v>31</v>
      </c>
      <c r="Q484" s="69"/>
      <c r="R484" s="69"/>
      <c r="S484" s="69"/>
    </row>
    <row r="485" s="2" customFormat="1" ht="24.95" customHeight="1" spans="1:19">
      <c r="A485" s="15"/>
      <c r="B485" s="55"/>
      <c r="C485" s="56"/>
      <c r="D485" s="68">
        <v>45991</v>
      </c>
      <c r="E485" s="69"/>
      <c r="F485" s="69" t="s">
        <v>26</v>
      </c>
      <c r="G485" s="65" t="s">
        <v>27</v>
      </c>
      <c r="H485" s="65" t="s">
        <v>33</v>
      </c>
      <c r="I485" s="70" t="s">
        <v>180</v>
      </c>
      <c r="J485" s="71"/>
      <c r="K485" s="71">
        <v>6000</v>
      </c>
      <c r="L485" s="72">
        <f>IFERROR(IF(G485="","",VLOOKUP($G485,[1]基础信息!$B:$C,2,FALSE)+SUMIF(G$8:G485,G485,J$8:J485)-SUMIF(G$8:G485,G485,K$8:K485)+SUMIFS([1]内部转账!$G:$G,[1]内部转账!$C:$C,"&lt;="&amp;$D485,[1]内部转账!$E:$E,$G485)-SUMIFS([1]内部转账!$G:$G,[1]内部转账!$C:$C,"&lt;="&amp;$D485,[1]内部转账!$F:$F,$G485)),"")</f>
        <v>29144.9199999999</v>
      </c>
      <c r="M485" s="64" t="s">
        <v>35</v>
      </c>
      <c r="N485" s="69" t="s">
        <v>98</v>
      </c>
      <c r="O485" s="64"/>
      <c r="P485" s="64"/>
      <c r="Q485" s="69"/>
      <c r="R485" s="69"/>
      <c r="S485" s="69"/>
    </row>
    <row r="486" s="2" customFormat="1" ht="24.95" customHeight="1" spans="1:19">
      <c r="A486" s="15"/>
      <c r="B486" s="55"/>
      <c r="C486" s="56"/>
      <c r="D486" s="68">
        <v>45992</v>
      </c>
      <c r="E486" s="69"/>
      <c r="F486" s="69" t="s">
        <v>26</v>
      </c>
      <c r="G486" s="65" t="s">
        <v>27</v>
      </c>
      <c r="H486" s="65" t="s">
        <v>62</v>
      </c>
      <c r="I486" s="70" t="s">
        <v>230</v>
      </c>
      <c r="J486" s="71"/>
      <c r="K486" s="71">
        <v>23056</v>
      </c>
      <c r="L486" s="72">
        <f>IFERROR(IF(G486="","",VLOOKUP($G486,[1]基础信息!$B:$C,2,FALSE)+SUMIF(G$8:G486,G486,J$8:J486)-SUMIF(G$8:G486,G486,K$8:K486)+SUMIFS([1]内部转账!$G:$G,[1]内部转账!$C:$C,"&lt;="&amp;$D486,[1]内部转账!$E:$E,$G486)-SUMIFS([1]内部转账!$G:$G,[1]内部转账!$C:$C,"&lt;="&amp;$D486,[1]内部转账!$F:$F,$G486)),"")</f>
        <v>6088.91999999993</v>
      </c>
      <c r="M486" s="64" t="s">
        <v>150</v>
      </c>
      <c r="N486" s="69"/>
      <c r="O486" s="64"/>
      <c r="P486" s="64" t="s">
        <v>231</v>
      </c>
      <c r="Q486" s="69"/>
      <c r="R486" s="69"/>
      <c r="S486" s="69"/>
    </row>
    <row r="487" s="2" customFormat="1" ht="24.95" customHeight="1" spans="1:19">
      <c r="A487" s="15"/>
      <c r="B487" s="55"/>
      <c r="C487" s="56"/>
      <c r="D487" s="68">
        <v>45996</v>
      </c>
      <c r="E487" s="69"/>
      <c r="F487" s="69" t="s">
        <v>26</v>
      </c>
      <c r="G487" s="65" t="s">
        <v>27</v>
      </c>
      <c r="H487" s="65" t="s">
        <v>28</v>
      </c>
      <c r="I487" s="70" t="s">
        <v>29</v>
      </c>
      <c r="J487" s="71"/>
      <c r="K487" s="71">
        <v>-25000</v>
      </c>
      <c r="L487" s="72">
        <f>IFERROR(IF(G487="","",VLOOKUP($G487,[1]基础信息!$B:$C,2,FALSE)+SUMIF(G$8:G487,G487,J$8:J487)-SUMIF(G$8:G487,G487,K$8:K487)+SUMIFS([1]内部转账!$G:$G,[1]内部转账!$C:$C,"&lt;="&amp;$D487,[1]内部转账!$E:$E,$G487)-SUMIFS([1]内部转账!$G:$G,[1]内部转账!$C:$C,"&lt;="&amp;$D487,[1]内部转账!$F:$F,$G487)),"")</f>
        <v>31088.9199999999</v>
      </c>
      <c r="M487" s="64" t="s">
        <v>30</v>
      </c>
      <c r="N487" s="58" t="s">
        <v>31</v>
      </c>
      <c r="O487" s="64"/>
      <c r="P487" s="64" t="s">
        <v>31</v>
      </c>
      <c r="Q487" s="69"/>
      <c r="R487" s="69"/>
      <c r="S487" s="69"/>
    </row>
    <row r="488" s="2" customFormat="1" ht="24.95" customHeight="1" spans="1:19">
      <c r="A488" s="15"/>
      <c r="B488" s="55"/>
      <c r="C488" s="56"/>
      <c r="D488" s="68">
        <v>45996</v>
      </c>
      <c r="E488" s="69"/>
      <c r="F488" s="69" t="s">
        <v>26</v>
      </c>
      <c r="G488" s="65" t="s">
        <v>27</v>
      </c>
      <c r="H488" s="65" t="s">
        <v>138</v>
      </c>
      <c r="I488" s="70" t="s">
        <v>186</v>
      </c>
      <c r="J488" s="71"/>
      <c r="K488" s="71">
        <v>30000</v>
      </c>
      <c r="L488" s="72">
        <f>IFERROR(IF(G488="","",VLOOKUP($G488,[1]基础信息!$B:$C,2,FALSE)+SUMIF(G$8:G488,G488,J$8:J488)-SUMIF(G$8:G488,G488,K$8:K488)+SUMIFS([1]内部转账!$G:$G,[1]内部转账!$C:$C,"&lt;="&amp;$D488,[1]内部转账!$E:$E,$G488)-SUMIFS([1]内部转账!$G:$G,[1]内部转账!$C:$C,"&lt;="&amp;$D488,[1]内部转账!$F:$F,$G488)),"")</f>
        <v>1088.91999999993</v>
      </c>
      <c r="M488" s="64" t="s">
        <v>150</v>
      </c>
      <c r="N488" s="69"/>
      <c r="O488" s="64"/>
      <c r="P488" s="64" t="s">
        <v>187</v>
      </c>
      <c r="Q488" s="69"/>
      <c r="R488" s="69"/>
      <c r="S488" s="69"/>
    </row>
    <row r="489" s="2" customFormat="1" ht="24.95" customHeight="1" spans="1:19">
      <c r="A489" s="15"/>
      <c r="B489" s="55"/>
      <c r="C489" s="56"/>
      <c r="D489" s="68">
        <v>45999</v>
      </c>
      <c r="E489" s="69"/>
      <c r="F489" s="69" t="s">
        <v>26</v>
      </c>
      <c r="G489" s="65" t="s">
        <v>27</v>
      </c>
      <c r="H489" s="65" t="s">
        <v>28</v>
      </c>
      <c r="I489" s="70" t="s">
        <v>29</v>
      </c>
      <c r="J489" s="71"/>
      <c r="K489" s="71">
        <v>-80000</v>
      </c>
      <c r="L489" s="72">
        <f>IFERROR(IF(G489="","",VLOOKUP($G489,[1]基础信息!$B:$C,2,FALSE)+SUMIF(G$8:G489,G489,J$8:J489)-SUMIF(G$8:G489,G489,K$8:K489)+SUMIFS([1]内部转账!$G:$G,[1]内部转账!$C:$C,"&lt;="&amp;$D489,[1]内部转账!$E:$E,$G489)-SUMIFS([1]内部转账!$G:$G,[1]内部转账!$C:$C,"&lt;="&amp;$D489,[1]内部转账!$F:$F,$G489)),"")</f>
        <v>81088.9199999999</v>
      </c>
      <c r="M489" s="64" t="s">
        <v>30</v>
      </c>
      <c r="N489" s="58" t="s">
        <v>31</v>
      </c>
      <c r="O489" s="64"/>
      <c r="P489" s="64" t="s">
        <v>31</v>
      </c>
      <c r="Q489" s="69"/>
      <c r="R489" s="69"/>
      <c r="S489" s="69"/>
    </row>
    <row r="490" s="2" customFormat="1" ht="24.95" customHeight="1" spans="1:19">
      <c r="A490" s="15"/>
      <c r="B490" s="55"/>
      <c r="C490" s="56"/>
      <c r="D490" s="68">
        <v>45999</v>
      </c>
      <c r="E490" s="69"/>
      <c r="F490" s="69" t="s">
        <v>26</v>
      </c>
      <c r="G490" s="65" t="s">
        <v>27</v>
      </c>
      <c r="H490" s="65" t="s">
        <v>62</v>
      </c>
      <c r="I490" s="70" t="s">
        <v>188</v>
      </c>
      <c r="J490" s="71"/>
      <c r="K490" s="71">
        <v>60808.85</v>
      </c>
      <c r="L490" s="72">
        <f>IFERROR(IF(G490="","",VLOOKUP($G490,[1]基础信息!$B:$C,2,FALSE)+SUMIF(G$8:G490,G490,J$8:J490)-SUMIF(G$8:G490,G490,K$8:K490)+SUMIFS([1]内部转账!$G:$G,[1]内部转账!$C:$C,"&lt;="&amp;$D490,[1]内部转账!$E:$E,$G490)-SUMIFS([1]内部转账!$G:$G,[1]内部转账!$C:$C,"&lt;="&amp;$D490,[1]内部转账!$F:$F,$G490)),"")</f>
        <v>20280.0699999998</v>
      </c>
      <c r="M490" s="64" t="s">
        <v>206</v>
      </c>
      <c r="N490" s="69"/>
      <c r="O490" s="64"/>
      <c r="P490" s="64" t="s">
        <v>122</v>
      </c>
      <c r="Q490" s="69"/>
      <c r="R490" s="69"/>
      <c r="S490" s="69"/>
    </row>
    <row r="491" s="2" customFormat="1" ht="24.95" customHeight="1" spans="1:19">
      <c r="A491" s="15"/>
      <c r="B491" s="55"/>
      <c r="C491" s="56"/>
      <c r="D491" s="68">
        <v>46002</v>
      </c>
      <c r="E491" s="69"/>
      <c r="F491" s="69" t="s">
        <v>26</v>
      </c>
      <c r="G491" s="65" t="s">
        <v>27</v>
      </c>
      <c r="H491" s="65" t="s">
        <v>33</v>
      </c>
      <c r="I491" s="70" t="s">
        <v>101</v>
      </c>
      <c r="J491" s="71"/>
      <c r="K491" s="71">
        <v>80</v>
      </c>
      <c r="L491" s="72">
        <f>IFERROR(IF(G491="","",VLOOKUP($G491,[1]基础信息!$B:$C,2,FALSE)+SUMIF(G$8:G491,G491,J$8:J491)-SUMIF(G$8:G491,G491,K$8:K491)+SUMIFS([1]内部转账!$G:$G,[1]内部转账!$C:$C,"&lt;="&amp;$D491,[1]内部转账!$E:$E,$G491)-SUMIFS([1]内部转账!$G:$G,[1]内部转账!$C:$C,"&lt;="&amp;$D491,[1]内部转账!$F:$F,$G491)),"")</f>
        <v>20200.0699999998</v>
      </c>
      <c r="M491" s="64" t="s">
        <v>35</v>
      </c>
      <c r="N491" s="69"/>
      <c r="O491" s="64"/>
      <c r="P491" s="64"/>
      <c r="Q491" s="69"/>
      <c r="R491" s="69"/>
      <c r="S491" s="69"/>
    </row>
    <row r="492" s="2" customFormat="1" ht="24.95" customHeight="1" spans="1:19">
      <c r="A492" s="15"/>
      <c r="B492" s="55"/>
      <c r="C492" s="56"/>
      <c r="D492" s="68">
        <v>46002</v>
      </c>
      <c r="E492" s="69"/>
      <c r="F492" s="69" t="s">
        <v>26</v>
      </c>
      <c r="G492" s="65" t="s">
        <v>27</v>
      </c>
      <c r="H492" s="65" t="s">
        <v>62</v>
      </c>
      <c r="I492" s="70" t="s">
        <v>188</v>
      </c>
      <c r="J492" s="71"/>
      <c r="K492" s="71">
        <v>15000</v>
      </c>
      <c r="L492" s="72">
        <f>IFERROR(IF(G492="","",VLOOKUP($G492,[1]基础信息!$B:$C,2,FALSE)+SUMIF(G$8:G492,G492,J$8:J492)-SUMIF(G$8:G492,G492,K$8:K492)+SUMIFS([1]内部转账!$G:$G,[1]内部转账!$C:$C,"&lt;="&amp;$D492,[1]内部转账!$E:$E,$G492)-SUMIFS([1]内部转账!$G:$G,[1]内部转账!$C:$C,"&lt;="&amp;$D492,[1]内部转账!$F:$F,$G492)),"")</f>
        <v>5200.06999999983</v>
      </c>
      <c r="M492" s="64" t="s">
        <v>206</v>
      </c>
      <c r="N492" s="69"/>
      <c r="O492" s="64"/>
      <c r="P492" s="64" t="s">
        <v>122</v>
      </c>
      <c r="Q492" s="69"/>
      <c r="R492" s="69"/>
      <c r="S492" s="69"/>
    </row>
    <row r="493" s="2" customFormat="1" ht="24.95" customHeight="1" spans="1:19">
      <c r="A493" s="15"/>
      <c r="B493" s="55"/>
      <c r="C493" s="56"/>
      <c r="D493" s="68">
        <v>46003</v>
      </c>
      <c r="E493" s="69"/>
      <c r="F493" s="69" t="s">
        <v>26</v>
      </c>
      <c r="G493" s="65" t="s">
        <v>261</v>
      </c>
      <c r="H493" s="65" t="s">
        <v>62</v>
      </c>
      <c r="I493" s="70" t="s">
        <v>188</v>
      </c>
      <c r="J493" s="71"/>
      <c r="K493" s="71">
        <v>4000</v>
      </c>
      <c r="L493" s="72">
        <f>IFERROR(IF(G493="","",VLOOKUP($G493,[1]基础信息!$B:$C,2,FALSE)+SUMIF(G$8:G493,G493,J$8:J493)-SUMIF(G$8:G493,G493,K$8:K493)+SUMIFS([1]内部转账!$G:$G,[1]内部转账!$C:$C,"&lt;="&amp;$D493,[1]内部转账!$E:$E,$G493)-SUMIFS([1]内部转账!$G:$G,[1]内部转账!$C:$C,"&lt;="&amp;$D493,[1]内部转账!$F:$F,$G493)),"")</f>
        <v>-4000</v>
      </c>
      <c r="M493" s="64" t="s">
        <v>150</v>
      </c>
      <c r="N493" s="69" t="s">
        <v>92</v>
      </c>
      <c r="O493" s="64"/>
      <c r="P493" s="64" t="s">
        <v>122</v>
      </c>
      <c r="Q493" s="69"/>
      <c r="R493" s="69"/>
      <c r="S493" s="69"/>
    </row>
    <row r="494" s="2" customFormat="1" ht="24.95" customHeight="1" spans="1:19">
      <c r="A494" s="15"/>
      <c r="B494" s="55"/>
      <c r="C494" s="56"/>
      <c r="D494" s="68">
        <v>46006</v>
      </c>
      <c r="E494" s="69"/>
      <c r="F494" s="69" t="s">
        <v>26</v>
      </c>
      <c r="G494" s="65" t="s">
        <v>27</v>
      </c>
      <c r="H494" s="65" t="s">
        <v>83</v>
      </c>
      <c r="I494" s="70" t="s">
        <v>84</v>
      </c>
      <c r="J494" s="71"/>
      <c r="K494" s="71">
        <v>150</v>
      </c>
      <c r="L494" s="72">
        <f>IFERROR(IF(G494="","",VLOOKUP($G494,[1]基础信息!$B:$C,2,FALSE)+SUMIF(G$8:G494,G494,J$8:J494)-SUMIF(G$8:G494,G494,K$8:K494)+SUMIFS([1]内部转账!$G:$G,[1]内部转账!$C:$C,"&lt;="&amp;$D494,[1]内部转账!$E:$E,$G494)-SUMIFS([1]内部转账!$G:$G,[1]内部转账!$C:$C,"&lt;="&amp;$D494,[1]内部转账!$F:$F,$G494)),"")</f>
        <v>5050.06999999983</v>
      </c>
      <c r="M494" s="64" t="s">
        <v>35</v>
      </c>
      <c r="N494" s="69"/>
      <c r="O494" s="64"/>
      <c r="P494" s="64"/>
      <c r="Q494" s="69"/>
      <c r="R494" s="69"/>
      <c r="S494" s="69"/>
    </row>
    <row r="495" s="2" customFormat="1" ht="24.95" customHeight="1" spans="1:19">
      <c r="A495" s="15"/>
      <c r="B495" s="55"/>
      <c r="C495" s="56"/>
      <c r="D495" s="68">
        <v>46012</v>
      </c>
      <c r="E495" s="69"/>
      <c r="F495" s="69" t="s">
        <v>26</v>
      </c>
      <c r="G495" s="65" t="s">
        <v>27</v>
      </c>
      <c r="H495" s="65" t="s">
        <v>33</v>
      </c>
      <c r="I495" s="70" t="s">
        <v>34</v>
      </c>
      <c r="J495" s="71"/>
      <c r="K495" s="71">
        <v>-10.03</v>
      </c>
      <c r="L495" s="72">
        <f>IFERROR(IF(G495="","",VLOOKUP($G495,[1]基础信息!$B:$C,2,FALSE)+SUMIF(G$8:G495,G495,J$8:J495)-SUMIF(G$8:G495,G495,K$8:K495)+SUMIFS([1]内部转账!$G:$G,[1]内部转账!$C:$C,"&lt;="&amp;$D495,[1]内部转账!$E:$E,$G495)-SUMIFS([1]内部转账!$G:$G,[1]内部转账!$C:$C,"&lt;="&amp;$D495,[1]内部转账!$F:$F,$G495)),"")</f>
        <v>5060.09999999963</v>
      </c>
      <c r="M495" s="64" t="s">
        <v>35</v>
      </c>
      <c r="N495" s="69"/>
      <c r="O495" s="64"/>
      <c r="P495" s="64"/>
      <c r="Q495" s="69"/>
      <c r="R495" s="69"/>
      <c r="S495" s="69"/>
    </row>
    <row r="496" s="2" customFormat="1" ht="24.95" customHeight="1" spans="1:19">
      <c r="A496" s="15"/>
      <c r="B496" s="55"/>
      <c r="C496" s="56"/>
      <c r="D496" s="68">
        <v>46013</v>
      </c>
      <c r="E496" s="69"/>
      <c r="F496" s="69" t="s">
        <v>26</v>
      </c>
      <c r="G496" s="65" t="s">
        <v>27</v>
      </c>
      <c r="H496" s="65" t="s">
        <v>28</v>
      </c>
      <c r="I496" s="70" t="s">
        <v>29</v>
      </c>
      <c r="J496" s="71"/>
      <c r="K496" s="71">
        <v>-80000</v>
      </c>
      <c r="L496" s="72">
        <f>IFERROR(IF(G496="","",VLOOKUP($G496,[1]基础信息!$B:$C,2,FALSE)+SUMIF(G$8:G496,G496,J$8:J496)-SUMIF(G$8:G496,G496,K$8:K496)+SUMIFS([1]内部转账!$G:$G,[1]内部转账!$C:$C,"&lt;="&amp;$D496,[1]内部转账!$E:$E,$G496)-SUMIFS([1]内部转账!$G:$G,[1]内部转账!$C:$C,"&lt;="&amp;$D496,[1]内部转账!$F:$F,$G496)),"")</f>
        <v>85060.0999999996</v>
      </c>
      <c r="M496" s="64" t="s">
        <v>30</v>
      </c>
      <c r="N496" s="58" t="s">
        <v>31</v>
      </c>
      <c r="O496" s="64"/>
      <c r="P496" s="64" t="s">
        <v>31</v>
      </c>
      <c r="Q496" s="69"/>
      <c r="R496" s="69"/>
      <c r="S496" s="69"/>
    </row>
    <row r="497" s="2" customFormat="1" ht="24.95" customHeight="1" spans="1:19">
      <c r="A497" s="15"/>
      <c r="B497" s="55"/>
      <c r="C497" s="56"/>
      <c r="D497" s="68">
        <v>46013</v>
      </c>
      <c r="E497" s="69"/>
      <c r="F497" s="69" t="s">
        <v>26</v>
      </c>
      <c r="G497" s="65" t="s">
        <v>27</v>
      </c>
      <c r="H497" s="65" t="s">
        <v>62</v>
      </c>
      <c r="I497" s="70" t="s">
        <v>262</v>
      </c>
      <c r="J497" s="71"/>
      <c r="K497" s="71">
        <v>22500</v>
      </c>
      <c r="L497" s="72">
        <f>IFERROR(IF(G497="","",VLOOKUP($G497,[1]基础信息!$B:$C,2,FALSE)+SUMIF(G$8:G497,G497,J$8:J497)-SUMIF(G$8:G497,G497,K$8:K497)+SUMIFS([1]内部转账!$G:$G,[1]内部转账!$C:$C,"&lt;="&amp;$D497,[1]内部转账!$E:$E,$G497)-SUMIFS([1]内部转账!$G:$G,[1]内部转账!$C:$C,"&lt;="&amp;$D497,[1]内部转账!$F:$F,$G497)),"")</f>
        <v>62560.0999999996</v>
      </c>
      <c r="M497" s="64" t="s">
        <v>150</v>
      </c>
      <c r="N497" s="69"/>
      <c r="O497" s="64"/>
      <c r="P497" s="64" t="s">
        <v>263</v>
      </c>
      <c r="Q497" s="69"/>
      <c r="R497" s="69"/>
      <c r="S497" s="69"/>
    </row>
    <row r="498" s="2" customFormat="1" ht="24.95" customHeight="1" spans="1:19">
      <c r="A498" s="15"/>
      <c r="B498" s="55"/>
      <c r="C498" s="56"/>
      <c r="D498" s="68">
        <v>46013</v>
      </c>
      <c r="E498" s="69"/>
      <c r="F498" s="69" t="s">
        <v>26</v>
      </c>
      <c r="G498" s="65" t="s">
        <v>27</v>
      </c>
      <c r="H498" s="65" t="s">
        <v>62</v>
      </c>
      <c r="I498" s="70" t="s">
        <v>264</v>
      </c>
      <c r="J498" s="71"/>
      <c r="K498" s="71">
        <v>5882</v>
      </c>
      <c r="L498" s="72">
        <f>IFERROR(IF(G498="","",VLOOKUP($G498,[1]基础信息!$B:$C,2,FALSE)+SUMIF(G$8:G498,G498,J$8:J498)-SUMIF(G$8:G498,G498,K$8:K498)+SUMIFS([1]内部转账!$G:$G,[1]内部转账!$C:$C,"&lt;="&amp;$D498,[1]内部转账!$E:$E,$G498)-SUMIFS([1]内部转账!$G:$G,[1]内部转账!$C:$C,"&lt;="&amp;$D498,[1]内部转账!$F:$F,$G498)),"")</f>
        <v>56678.0999999996</v>
      </c>
      <c r="M498" s="64" t="s">
        <v>206</v>
      </c>
      <c r="N498" s="69"/>
      <c r="O498" s="64"/>
      <c r="P498" s="64" t="s">
        <v>265</v>
      </c>
      <c r="Q498" s="69"/>
      <c r="R498" s="69"/>
      <c r="S498" s="69"/>
    </row>
    <row r="499" s="2" customFormat="1" ht="24.95" customHeight="1" spans="1:19">
      <c r="A499" s="15"/>
      <c r="B499" s="55"/>
      <c r="C499" s="56"/>
      <c r="D499" s="68">
        <v>46013</v>
      </c>
      <c r="E499" s="69"/>
      <c r="F499" s="69" t="s">
        <v>26</v>
      </c>
      <c r="G499" s="65" t="s">
        <v>27</v>
      </c>
      <c r="H499" s="65" t="s">
        <v>62</v>
      </c>
      <c r="I499" s="70" t="s">
        <v>266</v>
      </c>
      <c r="J499" s="71"/>
      <c r="K499" s="71">
        <v>1000</v>
      </c>
      <c r="L499" s="72">
        <f>IFERROR(IF(G499="","",VLOOKUP($G499,[1]基础信息!$B:$C,2,FALSE)+SUMIF(G$8:G499,G499,J$8:J499)-SUMIF(G$8:G499,G499,K$8:K499)+SUMIFS([1]内部转账!$G:$G,[1]内部转账!$C:$C,"&lt;="&amp;$D499,[1]内部转账!$E:$E,$G499)-SUMIFS([1]内部转账!$G:$G,[1]内部转账!$C:$C,"&lt;="&amp;$D499,[1]内部转账!$F:$F,$G499)),"")</f>
        <v>55678.0999999996</v>
      </c>
      <c r="M499" s="64" t="s">
        <v>150</v>
      </c>
      <c r="N499" s="69"/>
      <c r="O499" s="64"/>
      <c r="P499" s="64" t="s">
        <v>263</v>
      </c>
      <c r="Q499" s="69"/>
      <c r="R499" s="69"/>
      <c r="S499" s="69"/>
    </row>
    <row r="500" s="2" customFormat="1" ht="24.95" customHeight="1" spans="1:19">
      <c r="A500" s="15"/>
      <c r="B500" s="55"/>
      <c r="C500" s="56"/>
      <c r="D500" s="68">
        <v>46014</v>
      </c>
      <c r="E500" s="69"/>
      <c r="F500" s="69" t="s">
        <v>26</v>
      </c>
      <c r="G500" s="65" t="s">
        <v>27</v>
      </c>
      <c r="H500" s="65" t="s">
        <v>138</v>
      </c>
      <c r="I500" s="70" t="s">
        <v>186</v>
      </c>
      <c r="J500" s="71"/>
      <c r="K500" s="71">
        <v>20000</v>
      </c>
      <c r="L500" s="72">
        <f>IFERROR(IF(G500="","",VLOOKUP($G500,[1]基础信息!$B:$C,2,FALSE)+SUMIF(G$8:G500,G500,J$8:J500)-SUMIF(G$8:G500,G500,K$8:K500)+SUMIFS([1]内部转账!$G:$G,[1]内部转账!$C:$C,"&lt;="&amp;$D500,[1]内部转账!$E:$E,$G500)-SUMIFS([1]内部转账!$G:$G,[1]内部转账!$C:$C,"&lt;="&amp;$D500,[1]内部转账!$F:$F,$G500)),"")</f>
        <v>35678.0999999996</v>
      </c>
      <c r="M500" s="64" t="s">
        <v>150</v>
      </c>
      <c r="N500" s="69"/>
      <c r="O500" s="64"/>
      <c r="P500" s="64" t="s">
        <v>187</v>
      </c>
      <c r="Q500" s="69"/>
      <c r="R500" s="69"/>
      <c r="S500" s="69"/>
    </row>
    <row r="501" s="2" customFormat="1" ht="24.95" customHeight="1" spans="1:19">
      <c r="A501" s="15"/>
      <c r="B501" s="55"/>
      <c r="C501" s="56"/>
      <c r="D501" s="68">
        <v>46015</v>
      </c>
      <c r="E501" s="69"/>
      <c r="F501" s="69" t="s">
        <v>26</v>
      </c>
      <c r="G501" s="65" t="s">
        <v>27</v>
      </c>
      <c r="H501" s="65" t="s">
        <v>138</v>
      </c>
      <c r="I501" s="70" t="s">
        <v>267</v>
      </c>
      <c r="J501" s="71"/>
      <c r="K501" s="71">
        <v>20000</v>
      </c>
      <c r="L501" s="72">
        <f>IFERROR(IF(G501="","",VLOOKUP($G501,[1]基础信息!$B:$C,2,FALSE)+SUMIF(G$8:G501,G501,J$8:J501)-SUMIF(G$8:G501,G501,K$8:K501)+SUMIFS([1]内部转账!$G:$G,[1]内部转账!$C:$C,"&lt;="&amp;$D501,[1]内部转账!$E:$E,$G501)-SUMIFS([1]内部转账!$G:$G,[1]内部转账!$C:$C,"&lt;="&amp;$D501,[1]内部转账!$F:$F,$G501)),"")</f>
        <v>15678.0999999996</v>
      </c>
      <c r="M501" s="64" t="s">
        <v>268</v>
      </c>
      <c r="N501" s="69" t="s">
        <v>269</v>
      </c>
      <c r="O501" s="64"/>
      <c r="P501" s="64" t="s">
        <v>270</v>
      </c>
      <c r="Q501" s="69"/>
      <c r="R501" s="69"/>
      <c r="S501" s="69"/>
    </row>
    <row r="502" s="2" customFormat="1" ht="24.95" customHeight="1" spans="1:19">
      <c r="A502" s="15"/>
      <c r="B502" s="55"/>
      <c r="C502" s="56"/>
      <c r="D502" s="68">
        <v>46015</v>
      </c>
      <c r="E502" s="69"/>
      <c r="F502" s="69" t="s">
        <v>26</v>
      </c>
      <c r="G502" s="65" t="s">
        <v>27</v>
      </c>
      <c r="H502" s="65" t="s">
        <v>33</v>
      </c>
      <c r="I502" s="70" t="s">
        <v>191</v>
      </c>
      <c r="J502" s="71"/>
      <c r="K502" s="71">
        <v>15000</v>
      </c>
      <c r="L502" s="72">
        <f>IFERROR(IF(G502="","",VLOOKUP($G502,[1]基础信息!$B:$C,2,FALSE)+SUMIF(G$8:G502,G502,J$8:J502)-SUMIF(G$8:G502,G502,K$8:K502)+SUMIFS([1]内部转账!$G:$G,[1]内部转账!$C:$C,"&lt;="&amp;$D502,[1]内部转账!$E:$E,$G502)-SUMIFS([1]内部转账!$G:$G,[1]内部转账!$C:$C,"&lt;="&amp;$D502,[1]内部转账!$F:$F,$G502)),"")</f>
        <v>678.099999999627</v>
      </c>
      <c r="M502" s="64" t="s">
        <v>35</v>
      </c>
      <c r="N502" s="69" t="s">
        <v>92</v>
      </c>
      <c r="O502" s="64"/>
      <c r="P502" s="64" t="s">
        <v>92</v>
      </c>
      <c r="Q502" s="69"/>
      <c r="R502" s="69"/>
      <c r="S502" s="69"/>
    </row>
    <row r="503" s="2" customFormat="1" ht="24.95" customHeight="1" spans="1:19">
      <c r="A503" s="15"/>
      <c r="B503" s="55"/>
      <c r="C503" s="56"/>
      <c r="D503" s="68">
        <v>46020</v>
      </c>
      <c r="E503" s="69"/>
      <c r="F503" s="69" t="s">
        <v>26</v>
      </c>
      <c r="G503" s="65" t="s">
        <v>271</v>
      </c>
      <c r="H503" s="65" t="s">
        <v>138</v>
      </c>
      <c r="I503" s="70" t="s">
        <v>272</v>
      </c>
      <c r="J503" s="71"/>
      <c r="K503" s="71">
        <v>3325</v>
      </c>
      <c r="L503" s="72">
        <f>IFERROR(IF(G503="","",VLOOKUP($G503,[1]基础信息!$B:$C,2,FALSE)+SUMIF(G$8:G503,G503,J$8:J503)-SUMIF(G$8:G503,G503,K$8:K503)+SUMIFS([1]内部转账!$G:$G,[1]内部转账!$C:$C,"&lt;="&amp;$D503,[1]内部转账!$E:$E,$G503)-SUMIFS([1]内部转账!$G:$G,[1]内部转账!$C:$C,"&lt;="&amp;$D503,[1]内部转账!$F:$F,$G503)),"")</f>
        <v>-3325</v>
      </c>
      <c r="M503" s="64" t="s">
        <v>150</v>
      </c>
      <c r="N503" s="69" t="s">
        <v>273</v>
      </c>
      <c r="O503" s="64"/>
      <c r="P503" s="64" t="s">
        <v>187</v>
      </c>
      <c r="Q503" s="69"/>
      <c r="R503" s="69" t="s">
        <v>274</v>
      </c>
      <c r="S503" s="69"/>
    </row>
    <row r="504" s="2" customFormat="1" ht="24.95" customHeight="1" spans="1:19">
      <c r="A504" s="15"/>
      <c r="B504" s="55"/>
      <c r="C504" s="56"/>
      <c r="D504" s="68">
        <v>46021</v>
      </c>
      <c r="E504" s="69"/>
      <c r="F504" s="69" t="s">
        <v>26</v>
      </c>
      <c r="G504" s="65" t="s">
        <v>275</v>
      </c>
      <c r="H504" s="65" t="s">
        <v>62</v>
      </c>
      <c r="I504" s="70" t="s">
        <v>188</v>
      </c>
      <c r="J504" s="71"/>
      <c r="K504" s="71">
        <v>280000</v>
      </c>
      <c r="L504" s="72">
        <f>IFERROR(IF(G504="","",VLOOKUP($G504,[1]基础信息!$B:$C,2,FALSE)+SUMIF(G$8:G504,G504,J$8:J504)-SUMIF(G$8:G504,G504,K$8:K504)+SUMIFS([1]内部转账!$G:$G,[1]内部转账!$C:$C,"&lt;="&amp;$D504,[1]内部转账!$E:$E,$G504)-SUMIFS([1]内部转账!$G:$G,[1]内部转账!$C:$C,"&lt;="&amp;$D504,[1]内部转账!$F:$F,$G504)),"")</f>
        <v>-280000</v>
      </c>
      <c r="M504" s="64" t="s">
        <v>150</v>
      </c>
      <c r="N504" s="69"/>
      <c r="O504" s="64"/>
      <c r="P504" s="64" t="s">
        <v>122</v>
      </c>
      <c r="Q504" s="69"/>
      <c r="R504" s="69"/>
      <c r="S504" s="69"/>
    </row>
    <row r="505" s="2" customFormat="1" ht="24.95" customHeight="1" spans="1:19">
      <c r="A505" s="15"/>
      <c r="B505" s="55"/>
      <c r="C505" s="56"/>
      <c r="D505" s="68">
        <v>46021</v>
      </c>
      <c r="E505" s="69"/>
      <c r="F505" s="69" t="s">
        <v>26</v>
      </c>
      <c r="G505" s="65" t="s">
        <v>169</v>
      </c>
      <c r="H505" s="65" t="s">
        <v>62</v>
      </c>
      <c r="I505" s="70" t="s">
        <v>276</v>
      </c>
      <c r="J505" s="71"/>
      <c r="K505" s="71">
        <v>-80000</v>
      </c>
      <c r="L505" s="72">
        <f>IFERROR(IF(G505="","",VLOOKUP($G505,[1]基础信息!$B:$C,2,FALSE)+SUMIF(G$8:G505,G505,J$8:J505)-SUMIF(G$8:G505,G505,K$8:K505)+SUMIFS([1]内部转账!$G:$G,[1]内部转账!$C:$C,"&lt;="&amp;$D505,[1]内部转账!$E:$E,$G505)-SUMIFS([1]内部转账!$G:$G,[1]内部转账!$C:$C,"&lt;="&amp;$D505,[1]内部转账!$F:$F,$G505)),"")</f>
        <v>30000</v>
      </c>
      <c r="M505" s="64" t="s">
        <v>150</v>
      </c>
      <c r="N505" s="69" t="s">
        <v>31</v>
      </c>
      <c r="O505" s="64"/>
      <c r="P505" s="64" t="s">
        <v>122</v>
      </c>
      <c r="Q505" s="69"/>
      <c r="R505" s="69"/>
      <c r="S505" s="69"/>
    </row>
    <row r="506" s="2" customFormat="1" ht="24.95" customHeight="1" spans="1:19">
      <c r="A506" s="15"/>
      <c r="B506" s="55"/>
      <c r="C506" s="56"/>
      <c r="D506" s="68">
        <v>46022</v>
      </c>
      <c r="E506" s="69"/>
      <c r="F506" s="69" t="s">
        <v>26</v>
      </c>
      <c r="G506" s="65" t="s">
        <v>27</v>
      </c>
      <c r="H506" s="65" t="s">
        <v>28</v>
      </c>
      <c r="I506" s="70" t="s">
        <v>29</v>
      </c>
      <c r="J506" s="71"/>
      <c r="K506" s="71">
        <v>-100000</v>
      </c>
      <c r="L506" s="72">
        <f>IFERROR(IF(G506="","",VLOOKUP($G506,[1]基础信息!$B:$C,2,FALSE)+SUMIF(G$8:G506,G506,J$8:J506)-SUMIF(G$8:G506,G506,K$8:K506)+SUMIFS([1]内部转账!$G:$G,[1]内部转账!$C:$C,"&lt;="&amp;$D506,[1]内部转账!$E:$E,$G506)-SUMIFS([1]内部转账!$G:$G,[1]内部转账!$C:$C,"&lt;="&amp;$D506,[1]内部转账!$F:$F,$G506)),"")</f>
        <v>100678.1</v>
      </c>
      <c r="M506" s="64" t="s">
        <v>30</v>
      </c>
      <c r="N506" s="58" t="s">
        <v>31</v>
      </c>
      <c r="O506" s="64"/>
      <c r="P506" s="64" t="s">
        <v>31</v>
      </c>
      <c r="Q506" s="69"/>
      <c r="R506" s="69"/>
      <c r="S506" s="69"/>
    </row>
    <row r="507" s="2" customFormat="1" ht="24.95" customHeight="1" spans="1:19">
      <c r="A507" s="15"/>
      <c r="B507" s="55"/>
      <c r="C507" s="56"/>
      <c r="D507" s="68">
        <v>46022</v>
      </c>
      <c r="E507" s="69"/>
      <c r="F507" s="69" t="s">
        <v>26</v>
      </c>
      <c r="G507" s="65" t="s">
        <v>27</v>
      </c>
      <c r="H507" s="65" t="s">
        <v>62</v>
      </c>
      <c r="I507" s="70" t="s">
        <v>277</v>
      </c>
      <c r="J507" s="71"/>
      <c r="K507" s="71">
        <v>30000</v>
      </c>
      <c r="L507" s="72">
        <f>IFERROR(IF(G507="","",VLOOKUP($G507,[1]基础信息!$B:$C,2,FALSE)+SUMIF(G$8:G507,G507,J$8:J507)-SUMIF(G$8:G507,G507,K$8:K507)+SUMIFS([1]内部转账!$G:$G,[1]内部转账!$C:$C,"&lt;="&amp;$D507,[1]内部转账!$E:$E,$G507)-SUMIFS([1]内部转账!$G:$G,[1]内部转账!$C:$C,"&lt;="&amp;$D507,[1]内部转账!$F:$F,$G507)),"")</f>
        <v>70678.0999999996</v>
      </c>
      <c r="M507" s="64" t="s">
        <v>166</v>
      </c>
      <c r="N507" s="69"/>
      <c r="O507" s="64"/>
      <c r="P507" s="64" t="s">
        <v>278</v>
      </c>
      <c r="Q507" s="69"/>
      <c r="R507" s="69"/>
      <c r="S507" s="69"/>
    </row>
    <row r="508" s="2" customFormat="1" ht="24.95" customHeight="1" spans="1:19">
      <c r="A508" s="15"/>
      <c r="B508" s="55"/>
      <c r="C508" s="56"/>
      <c r="D508" s="68">
        <v>46022</v>
      </c>
      <c r="E508" s="69"/>
      <c r="F508" s="69" t="s">
        <v>26</v>
      </c>
      <c r="G508" s="65" t="s">
        <v>27</v>
      </c>
      <c r="H508" s="65" t="s">
        <v>62</v>
      </c>
      <c r="I508" s="70" t="s">
        <v>262</v>
      </c>
      <c r="J508" s="71"/>
      <c r="K508" s="71">
        <v>23233</v>
      </c>
      <c r="L508" s="72">
        <f>IFERROR(IF(G508="","",VLOOKUP($G508,[1]基础信息!$B:$C,2,FALSE)+SUMIF(G$8:G508,G508,J$8:J508)-SUMIF(G$8:G508,G508,K$8:K508)+SUMIFS([1]内部转账!$G:$G,[1]内部转账!$C:$C,"&lt;="&amp;$D508,[1]内部转账!$E:$E,$G508)-SUMIFS([1]内部转账!$G:$G,[1]内部转账!$C:$C,"&lt;="&amp;$D508,[1]内部转账!$F:$F,$G508)),"")</f>
        <v>47445.0999999996</v>
      </c>
      <c r="M508" s="64" t="s">
        <v>150</v>
      </c>
      <c r="N508" s="69"/>
      <c r="O508" s="64"/>
      <c r="P508" s="64" t="s">
        <v>263</v>
      </c>
      <c r="Q508" s="69"/>
      <c r="R508" s="69"/>
      <c r="S508" s="69"/>
    </row>
    <row r="509" s="2" customFormat="1" ht="24.95" customHeight="1" spans="1:19">
      <c r="A509" s="15"/>
      <c r="B509" s="55"/>
      <c r="C509" s="56"/>
      <c r="D509" s="68">
        <v>46022</v>
      </c>
      <c r="E509" s="69"/>
      <c r="F509" s="69" t="s">
        <v>26</v>
      </c>
      <c r="G509" s="65" t="s">
        <v>27</v>
      </c>
      <c r="H509" s="65" t="s">
        <v>138</v>
      </c>
      <c r="I509" s="70" t="s">
        <v>186</v>
      </c>
      <c r="J509" s="71"/>
      <c r="K509" s="71">
        <v>40000</v>
      </c>
      <c r="L509" s="72">
        <f>IFERROR(IF(G509="","",VLOOKUP($G509,[1]基础信息!$B:$C,2,FALSE)+SUMIF(G$8:G509,G509,J$8:J509)-SUMIF(G$8:G509,G509,K$8:K509)+SUMIFS([1]内部转账!$G:$G,[1]内部转账!$C:$C,"&lt;="&amp;$D509,[1]内部转账!$E:$E,$G509)-SUMIFS([1]内部转账!$G:$G,[1]内部转账!$C:$C,"&lt;="&amp;$D509,[1]内部转账!$F:$F,$G509)),"")</f>
        <v>7445.09999999963</v>
      </c>
      <c r="M509" s="64" t="s">
        <v>150</v>
      </c>
      <c r="N509" s="69"/>
      <c r="O509" s="64"/>
      <c r="P509" s="64" t="s">
        <v>187</v>
      </c>
      <c r="Q509" s="69"/>
      <c r="R509" s="69"/>
      <c r="S509" s="69"/>
    </row>
    <row r="510" s="2" customFormat="1" ht="24.95" customHeight="1" spans="1:19">
      <c r="A510" s="15"/>
      <c r="B510" s="55"/>
      <c r="C510" s="56"/>
      <c r="D510" s="68">
        <v>46022</v>
      </c>
      <c r="E510" s="69"/>
      <c r="F510" s="69" t="s">
        <v>26</v>
      </c>
      <c r="G510" s="65" t="s">
        <v>27</v>
      </c>
      <c r="H510" s="65" t="s">
        <v>62</v>
      </c>
      <c r="I510" s="70" t="s">
        <v>257</v>
      </c>
      <c r="J510" s="71"/>
      <c r="K510" s="71">
        <v>7184</v>
      </c>
      <c r="L510" s="72">
        <f>IFERROR(IF(G510="","",VLOOKUP($G510,[1]基础信息!$B:$C,2,FALSE)+SUMIF(G$8:G510,G510,J$8:J510)-SUMIF(G$8:G510,G510,K$8:K510)+SUMIFS([1]内部转账!$G:$G,[1]内部转账!$C:$C,"&lt;="&amp;$D510,[1]内部转账!$E:$E,$G510)-SUMIFS([1]内部转账!$G:$G,[1]内部转账!$C:$C,"&lt;="&amp;$D510,[1]内部转账!$F:$F,$G510)),"")</f>
        <v>261.099999999627</v>
      </c>
      <c r="M510" s="64" t="s">
        <v>150</v>
      </c>
      <c r="N510" s="69"/>
      <c r="O510" s="64"/>
      <c r="P510" s="64" t="s">
        <v>203</v>
      </c>
      <c r="Q510" s="69"/>
      <c r="R510" s="69"/>
      <c r="S510" s="69"/>
    </row>
    <row r="511" s="2" customFormat="1" ht="24.95" customHeight="1" spans="1:19">
      <c r="A511" s="15"/>
      <c r="B511" s="55"/>
      <c r="C511" s="56"/>
      <c r="D511" s="68">
        <v>46026</v>
      </c>
      <c r="E511" s="69"/>
      <c r="F511" s="69" t="s">
        <v>26</v>
      </c>
      <c r="G511" s="65" t="s">
        <v>27</v>
      </c>
      <c r="H511" s="65" t="s">
        <v>28</v>
      </c>
      <c r="I511" s="70" t="s">
        <v>29</v>
      </c>
      <c r="J511" s="71"/>
      <c r="K511" s="71">
        <v>-100000</v>
      </c>
      <c r="L511" s="72">
        <f>IFERROR(IF(G511="","",VLOOKUP($G511,[1]基础信息!$B:$C,2,FALSE)+SUMIF(G$8:G511,G511,J$8:J511)-SUMIF(G$8:G511,G511,K$8:K511)+SUMIFS([1]内部转账!$G:$G,[1]内部转账!$C:$C,"&lt;="&amp;$D511,[1]内部转账!$E:$E,$G511)-SUMIFS([1]内部转账!$G:$G,[1]内部转账!$C:$C,"&lt;="&amp;$D511,[1]内部转账!$F:$F,$G511)),"")</f>
        <v>100261.1</v>
      </c>
      <c r="M511" s="64" t="s">
        <v>30</v>
      </c>
      <c r="N511" s="58" t="s">
        <v>31</v>
      </c>
      <c r="O511" s="64"/>
      <c r="P511" s="64" t="s">
        <v>31</v>
      </c>
      <c r="Q511" s="69"/>
      <c r="R511" s="69"/>
      <c r="S511" s="69"/>
    </row>
    <row r="512" s="2" customFormat="1" ht="24.95" customHeight="1" spans="1:19">
      <c r="A512" s="15"/>
      <c r="B512" s="55"/>
      <c r="C512" s="56"/>
      <c r="D512" s="68">
        <v>46026</v>
      </c>
      <c r="E512" s="69"/>
      <c r="F512" s="69" t="s">
        <v>26</v>
      </c>
      <c r="G512" s="65" t="s">
        <v>27</v>
      </c>
      <c r="H512" s="65" t="s">
        <v>33</v>
      </c>
      <c r="I512" s="70" t="s">
        <v>191</v>
      </c>
      <c r="J512" s="71"/>
      <c r="K512" s="71">
        <v>5000</v>
      </c>
      <c r="L512" s="72">
        <f>IFERROR(IF(G512="","",VLOOKUP($G512,[1]基础信息!$B:$C,2,FALSE)+SUMIF(G$8:G512,G512,J$8:J512)-SUMIF(G$8:G512,G512,K$8:K512)+SUMIFS([1]内部转账!$G:$G,[1]内部转账!$C:$C,"&lt;="&amp;$D512,[1]内部转账!$E:$E,$G512)-SUMIFS([1]内部转账!$G:$G,[1]内部转账!$C:$C,"&lt;="&amp;$D512,[1]内部转账!$F:$F,$G512)),"")</f>
        <v>95261.0999999996</v>
      </c>
      <c r="M512" s="64" t="s">
        <v>35</v>
      </c>
      <c r="N512" s="69" t="s">
        <v>92</v>
      </c>
      <c r="O512" s="64"/>
      <c r="P512" s="64" t="s">
        <v>92</v>
      </c>
      <c r="Q512" s="69"/>
      <c r="R512" s="69"/>
      <c r="S512" s="69"/>
    </row>
    <row r="513" s="2" customFormat="1" ht="24.95" customHeight="1" spans="1:19">
      <c r="A513" s="15"/>
      <c r="B513" s="55"/>
      <c r="C513" s="56"/>
      <c r="D513" s="68">
        <v>46026</v>
      </c>
      <c r="E513" s="69"/>
      <c r="F513" s="69" t="s">
        <v>26</v>
      </c>
      <c r="G513" s="65" t="s">
        <v>27</v>
      </c>
      <c r="H513" s="65" t="s">
        <v>62</v>
      </c>
      <c r="I513" s="70" t="s">
        <v>79</v>
      </c>
      <c r="J513" s="71"/>
      <c r="K513" s="71">
        <v>35303.7</v>
      </c>
      <c r="L513" s="72">
        <f>IFERROR(IF(G513="","",VLOOKUP($G513,[1]基础信息!$B:$C,2,FALSE)+SUMIF(G$8:G513,G513,J$8:J513)-SUMIF(G$8:G513,G513,K$8:K513)+SUMIFS([1]内部转账!$G:$G,[1]内部转账!$C:$C,"&lt;="&amp;$D513,[1]内部转账!$E:$E,$G513)-SUMIFS([1]内部转账!$G:$G,[1]内部转账!$C:$C,"&lt;="&amp;$D513,[1]内部转账!$F:$F,$G513)),"")</f>
        <v>59957.3999999994</v>
      </c>
      <c r="M513" s="64" t="s">
        <v>206</v>
      </c>
      <c r="N513" s="69"/>
      <c r="O513" s="64"/>
      <c r="P513" s="64" t="s">
        <v>259</v>
      </c>
      <c r="Q513" s="69"/>
      <c r="R513" s="69"/>
      <c r="S513" s="69"/>
    </row>
    <row r="514" s="2" customFormat="1" ht="24.95" customHeight="1" spans="1:19">
      <c r="A514" s="15"/>
      <c r="B514" s="55"/>
      <c r="C514" s="56"/>
      <c r="D514" s="68">
        <v>46027</v>
      </c>
      <c r="E514" s="69"/>
      <c r="F514" s="69" t="s">
        <v>26</v>
      </c>
      <c r="G514" s="65" t="s">
        <v>27</v>
      </c>
      <c r="H514" s="65" t="s">
        <v>62</v>
      </c>
      <c r="I514" s="70" t="s">
        <v>230</v>
      </c>
      <c r="J514" s="71"/>
      <c r="K514" s="71">
        <v>6130</v>
      </c>
      <c r="L514" s="72">
        <f>IFERROR(IF(G514="","",VLOOKUP($G514,[1]基础信息!$B:$C,2,FALSE)+SUMIF(G$8:G514,G514,J$8:J514)-SUMIF(G$8:G514,G514,K$8:K514)+SUMIFS([1]内部转账!$G:$G,[1]内部转账!$C:$C,"&lt;="&amp;$D514,[1]内部转账!$E:$E,$G514)-SUMIFS([1]内部转账!$G:$G,[1]内部转账!$C:$C,"&lt;="&amp;$D514,[1]内部转账!$F:$F,$G514)),"")</f>
        <v>53827.3999999994</v>
      </c>
      <c r="M514" s="64" t="s">
        <v>150</v>
      </c>
      <c r="N514" s="69"/>
      <c r="O514" s="64"/>
      <c r="P514" s="64" t="s">
        <v>231</v>
      </c>
      <c r="Q514" s="69"/>
      <c r="R514" s="69"/>
      <c r="S514" s="69"/>
    </row>
    <row r="515" s="2" customFormat="1" ht="24.95" customHeight="1" spans="1:19">
      <c r="A515" s="15"/>
      <c r="B515" s="55"/>
      <c r="C515" s="56"/>
      <c r="D515" s="68">
        <v>46027</v>
      </c>
      <c r="E515" s="69"/>
      <c r="F515" s="69" t="s">
        <v>26</v>
      </c>
      <c r="G515" s="65" t="s">
        <v>27</v>
      </c>
      <c r="H515" s="65" t="s">
        <v>62</v>
      </c>
      <c r="I515" s="70" t="s">
        <v>230</v>
      </c>
      <c r="J515" s="71"/>
      <c r="K515" s="71">
        <v>14575</v>
      </c>
      <c r="L515" s="72">
        <f>IFERROR(IF(G515="","",VLOOKUP($G515,[1]基础信息!$B:$C,2,FALSE)+SUMIF(G$8:G515,G515,J$8:J515)-SUMIF(G$8:G515,G515,K$8:K515)+SUMIFS([1]内部转账!$G:$G,[1]内部转账!$C:$C,"&lt;="&amp;$D515,[1]内部转账!$E:$E,$G515)-SUMIFS([1]内部转账!$G:$G,[1]内部转账!$C:$C,"&lt;="&amp;$D515,[1]内部转账!$F:$F,$G515)),"")</f>
        <v>39252.3999999994</v>
      </c>
      <c r="M515" s="64" t="s">
        <v>150</v>
      </c>
      <c r="N515" s="69"/>
      <c r="O515" s="64"/>
      <c r="P515" s="64" t="s">
        <v>231</v>
      </c>
      <c r="Q515" s="69"/>
      <c r="R515" s="69"/>
      <c r="S515" s="69"/>
    </row>
    <row r="516" s="2" customFormat="1" ht="24.95" customHeight="1" spans="1:19">
      <c r="A516" s="15"/>
      <c r="B516" s="55"/>
      <c r="C516" s="56"/>
      <c r="D516" s="68">
        <v>46027</v>
      </c>
      <c r="E516" s="69"/>
      <c r="F516" s="69" t="s">
        <v>26</v>
      </c>
      <c r="G516" s="65" t="s">
        <v>27</v>
      </c>
      <c r="H516" s="65" t="s">
        <v>62</v>
      </c>
      <c r="I516" s="70" t="s">
        <v>243</v>
      </c>
      <c r="J516" s="71"/>
      <c r="K516" s="71">
        <v>36632</v>
      </c>
      <c r="L516" s="72">
        <f>IFERROR(IF(G516="","",VLOOKUP($G516,[1]基础信息!$B:$C,2,FALSE)+SUMIF(G$8:G516,G516,J$8:J516)-SUMIF(G$8:G516,G516,K$8:K516)+SUMIFS([1]内部转账!$G:$G,[1]内部转账!$C:$C,"&lt;="&amp;$D516,[1]内部转账!$E:$E,$G516)-SUMIFS([1]内部转账!$G:$G,[1]内部转账!$C:$C,"&lt;="&amp;$D516,[1]内部转账!$F:$F,$G516)),"")</f>
        <v>2620.39999999944</v>
      </c>
      <c r="M516" s="64" t="s">
        <v>166</v>
      </c>
      <c r="N516" s="69"/>
      <c r="O516" s="64"/>
      <c r="P516" s="64" t="s">
        <v>244</v>
      </c>
      <c r="Q516" s="69"/>
      <c r="R516" s="69"/>
      <c r="S516" s="69"/>
    </row>
    <row r="517" s="2" customFormat="1" ht="24.95" customHeight="1" spans="1:19">
      <c r="A517" s="15"/>
      <c r="B517" s="55"/>
      <c r="C517" s="56"/>
      <c r="D517" s="68">
        <v>46029</v>
      </c>
      <c r="E517" s="69"/>
      <c r="F517" s="69" t="s">
        <v>26</v>
      </c>
      <c r="G517" s="65" t="s">
        <v>27</v>
      </c>
      <c r="H517" s="65" t="s">
        <v>28</v>
      </c>
      <c r="I517" s="70" t="s">
        <v>29</v>
      </c>
      <c r="J517" s="71"/>
      <c r="K517" s="71">
        <v>-50000</v>
      </c>
      <c r="L517" s="72">
        <f>IFERROR(IF(G517="","",VLOOKUP($G517,[1]基础信息!$B:$C,2,FALSE)+SUMIF(G$8:G517,G517,J$8:J517)-SUMIF(G$8:G517,G517,K$8:K517)+SUMIFS([1]内部转账!$G:$G,[1]内部转账!$C:$C,"&lt;="&amp;$D517,[1]内部转账!$E:$E,$G517)-SUMIFS([1]内部转账!$G:$G,[1]内部转账!$C:$C,"&lt;="&amp;$D517,[1]内部转账!$F:$F,$G517)),"")</f>
        <v>52620.3999999994</v>
      </c>
      <c r="M517" s="64" t="s">
        <v>30</v>
      </c>
      <c r="N517" s="58" t="s">
        <v>31</v>
      </c>
      <c r="O517" s="64"/>
      <c r="P517" s="64" t="s">
        <v>31</v>
      </c>
      <c r="Q517" s="69"/>
      <c r="R517" s="69"/>
      <c r="S517" s="69"/>
    </row>
    <row r="518" s="2" customFormat="1" ht="24.95" customHeight="1" spans="1:19">
      <c r="A518" s="15"/>
      <c r="B518" s="55"/>
      <c r="C518" s="56"/>
      <c r="D518" s="68">
        <v>46029</v>
      </c>
      <c r="E518" s="69"/>
      <c r="F518" s="69" t="s">
        <v>26</v>
      </c>
      <c r="G518" s="65" t="s">
        <v>27</v>
      </c>
      <c r="H518" s="65" t="s">
        <v>62</v>
      </c>
      <c r="I518" s="70" t="s">
        <v>211</v>
      </c>
      <c r="J518" s="71"/>
      <c r="K518" s="71">
        <v>10121</v>
      </c>
      <c r="L518" s="72">
        <f>IFERROR(IF(G518="","",VLOOKUP($G518,[1]基础信息!$B:$C,2,FALSE)+SUMIF(G$8:G518,G518,J$8:J518)-SUMIF(G$8:G518,G518,K$8:K518)+SUMIFS([1]内部转账!$G:$G,[1]内部转账!$C:$C,"&lt;="&amp;$D518,[1]内部转账!$E:$E,$G518)-SUMIFS([1]内部转账!$G:$G,[1]内部转账!$C:$C,"&lt;="&amp;$D518,[1]内部转账!$F:$F,$G518)),"")</f>
        <v>42499.3999999994</v>
      </c>
      <c r="M518" s="64" t="s">
        <v>206</v>
      </c>
      <c r="N518" s="69"/>
      <c r="O518" s="64"/>
      <c r="P518" s="64" t="s">
        <v>212</v>
      </c>
      <c r="Q518" s="69"/>
      <c r="R518" s="69"/>
      <c r="S518" s="69"/>
    </row>
    <row r="519" s="2" customFormat="1" ht="24.95" customHeight="1" spans="1:19">
      <c r="A519" s="15"/>
      <c r="B519" s="55"/>
      <c r="C519" s="56"/>
      <c r="D519" s="68">
        <v>46029</v>
      </c>
      <c r="E519" s="69"/>
      <c r="F519" s="69" t="s">
        <v>26</v>
      </c>
      <c r="G519" s="65" t="s">
        <v>27</v>
      </c>
      <c r="H519" s="65" t="s">
        <v>46</v>
      </c>
      <c r="I519" s="70" t="s">
        <v>198</v>
      </c>
      <c r="J519" s="71"/>
      <c r="K519" s="71">
        <v>4000</v>
      </c>
      <c r="L519" s="72">
        <f>IFERROR(IF(G519="","",VLOOKUP($G519,[1]基础信息!$B:$C,2,FALSE)+SUMIF(G$8:G519,G519,J$8:J519)-SUMIF(G$8:G519,G519,K$8:K519)+SUMIFS([1]内部转账!$G:$G,[1]内部转账!$C:$C,"&lt;="&amp;$D519,[1]内部转账!$E:$E,$G519)-SUMIFS([1]内部转账!$G:$G,[1]内部转账!$C:$C,"&lt;="&amp;$D519,[1]内部转账!$F:$F,$G519)),"")</f>
        <v>38499.3999999994</v>
      </c>
      <c r="M519" s="64" t="s">
        <v>150</v>
      </c>
      <c r="N519" s="69"/>
      <c r="O519" s="64"/>
      <c r="P519" s="64"/>
      <c r="Q519" s="69"/>
      <c r="R519" s="69"/>
      <c r="S519" s="69"/>
    </row>
    <row r="520" s="2" customFormat="1" ht="24.95" customHeight="1" spans="1:19">
      <c r="A520" s="15"/>
      <c r="B520" s="55"/>
      <c r="C520" s="56"/>
      <c r="D520" s="68">
        <v>46029</v>
      </c>
      <c r="E520" s="69"/>
      <c r="F520" s="69" t="s">
        <v>26</v>
      </c>
      <c r="G520" s="65" t="s">
        <v>27</v>
      </c>
      <c r="H520" s="65" t="s">
        <v>53</v>
      </c>
      <c r="I520" s="70" t="s">
        <v>92</v>
      </c>
      <c r="J520" s="71"/>
      <c r="K520" s="71">
        <v>5000</v>
      </c>
      <c r="L520" s="72">
        <f>IFERROR(IF(G520="","",VLOOKUP($G520,[1]基础信息!$B:$C,2,FALSE)+SUMIF(G$8:G520,G520,J$8:J520)-SUMIF(G$8:G520,G520,K$8:K520)+SUMIFS([1]内部转账!$G:$G,[1]内部转账!$C:$C,"&lt;="&amp;$D520,[1]内部转账!$E:$E,$G520)-SUMIFS([1]内部转账!$G:$G,[1]内部转账!$C:$C,"&lt;="&amp;$D520,[1]内部转账!$F:$F,$G520)),"")</f>
        <v>33499.3999999994</v>
      </c>
      <c r="M520" s="64" t="s">
        <v>150</v>
      </c>
      <c r="N520" s="69" t="s">
        <v>92</v>
      </c>
      <c r="O520" s="64"/>
      <c r="P520" s="64"/>
      <c r="Q520" s="69"/>
      <c r="R520" s="69"/>
      <c r="S520" s="69"/>
    </row>
    <row r="521" s="2" customFormat="1" ht="24.95" customHeight="1" spans="1:19">
      <c r="A521" s="15"/>
      <c r="B521" s="55"/>
      <c r="C521" s="56"/>
      <c r="D521" s="68">
        <v>46030</v>
      </c>
      <c r="E521" s="69"/>
      <c r="F521" s="69" t="s">
        <v>26</v>
      </c>
      <c r="G521" s="65" t="s">
        <v>27</v>
      </c>
      <c r="H521" s="65" t="s">
        <v>46</v>
      </c>
      <c r="I521" s="70" t="s">
        <v>85</v>
      </c>
      <c r="J521" s="71"/>
      <c r="K521" s="71">
        <v>4000</v>
      </c>
      <c r="L521" s="72">
        <f>IFERROR(IF(G521="","",VLOOKUP($G521,[1]基础信息!$B:$C,2,FALSE)+SUMIF(G$8:G521,G521,J$8:J521)-SUMIF(G$8:G521,G521,K$8:K521)+SUMIFS([1]内部转账!$G:$G,[1]内部转账!$C:$C,"&lt;="&amp;$D521,[1]内部转账!$E:$E,$G521)-SUMIFS([1]内部转账!$G:$G,[1]内部转账!$C:$C,"&lt;="&amp;$D521,[1]内部转账!$F:$F,$G521)),"")</f>
        <v>29499.3999999994</v>
      </c>
      <c r="M521" s="64" t="s">
        <v>150</v>
      </c>
      <c r="N521" s="69"/>
      <c r="O521" s="64"/>
      <c r="P521" s="64"/>
      <c r="Q521" s="69"/>
      <c r="R521" s="69"/>
      <c r="S521" s="69"/>
    </row>
    <row r="522" s="2" customFormat="1" ht="24.95" customHeight="1" spans="1:19">
      <c r="A522" s="15"/>
      <c r="B522" s="55"/>
      <c r="C522" s="56"/>
      <c r="D522" s="68">
        <v>46030</v>
      </c>
      <c r="E522" s="69"/>
      <c r="F522" s="69" t="s">
        <v>26</v>
      </c>
      <c r="G522" s="65" t="s">
        <v>27</v>
      </c>
      <c r="H522" s="65" t="s">
        <v>83</v>
      </c>
      <c r="I522" s="70" t="s">
        <v>181</v>
      </c>
      <c r="J522" s="71"/>
      <c r="K522" s="71">
        <v>5416.6</v>
      </c>
      <c r="L522" s="72">
        <f>IFERROR(IF(G522="","",VLOOKUP($G522,[1]基础信息!$B:$C,2,FALSE)+SUMIF(G$8:G522,G522,J$8:J522)-SUMIF(G$8:G522,G522,K$8:K522)+SUMIFS([1]内部转账!$G:$G,[1]内部转账!$C:$C,"&lt;="&amp;$D522,[1]内部转账!$E:$E,$G522)-SUMIFS([1]内部转账!$G:$G,[1]内部转账!$C:$C,"&lt;="&amp;$D522,[1]内部转账!$F:$F,$G522)),"")</f>
        <v>24082.7999999993</v>
      </c>
      <c r="M522" s="64" t="s">
        <v>166</v>
      </c>
      <c r="N522" s="69"/>
      <c r="O522" s="64"/>
      <c r="P522" s="64"/>
      <c r="Q522" s="69"/>
      <c r="R522" s="69"/>
      <c r="S522" s="69"/>
    </row>
    <row r="523" s="2" customFormat="1" ht="24.95" customHeight="1" spans="1:19">
      <c r="A523" s="15"/>
      <c r="B523" s="55"/>
      <c r="C523" s="56"/>
      <c r="D523" s="68">
        <v>46030</v>
      </c>
      <c r="E523" s="69"/>
      <c r="F523" s="69" t="s">
        <v>26</v>
      </c>
      <c r="G523" s="65" t="s">
        <v>27</v>
      </c>
      <c r="H523" s="65" t="s">
        <v>83</v>
      </c>
      <c r="I523" s="70" t="s">
        <v>181</v>
      </c>
      <c r="J523" s="71"/>
      <c r="K523" s="71">
        <v>515.87</v>
      </c>
      <c r="L523" s="72">
        <f>IFERROR(IF(G523="","",VLOOKUP($G523,[1]基础信息!$B:$C,2,FALSE)+SUMIF(G$8:G523,G523,J$8:J523)-SUMIF(G$8:G523,G523,K$8:K523)+SUMIFS([1]内部转账!$G:$G,[1]内部转账!$C:$C,"&lt;="&amp;$D523,[1]内部转账!$E:$E,$G523)-SUMIFS([1]内部转账!$G:$G,[1]内部转账!$C:$C,"&lt;="&amp;$D523,[1]内部转账!$F:$F,$G523)),"")</f>
        <v>23566.9299999992</v>
      </c>
      <c r="M523" s="64" t="s">
        <v>166</v>
      </c>
      <c r="N523" s="69"/>
      <c r="O523" s="64"/>
      <c r="P523" s="64"/>
      <c r="Q523" s="69"/>
      <c r="R523" s="69"/>
      <c r="S523" s="69"/>
    </row>
    <row r="524" s="2" customFormat="1" ht="24.95" customHeight="1" spans="1:19">
      <c r="A524" s="15"/>
      <c r="B524" s="55"/>
      <c r="C524" s="56"/>
      <c r="D524" s="68">
        <v>46031</v>
      </c>
      <c r="E524" s="69"/>
      <c r="F524" s="69" t="s">
        <v>42</v>
      </c>
      <c r="G524" s="65" t="s">
        <v>279</v>
      </c>
      <c r="H524" s="65" t="s">
        <v>43</v>
      </c>
      <c r="I524" s="70" t="s">
        <v>280</v>
      </c>
      <c r="J524" s="71">
        <v>186760</v>
      </c>
      <c r="K524" s="71"/>
      <c r="L524" s="72">
        <f>IFERROR(IF(G524="","",VLOOKUP($G524,[1]基础信息!$B:$C,2,FALSE)+SUMIF(G$8:G524,G524,J$8:J524)-SUMIF(G$8:G524,G524,K$8:K524)+SUMIFS([1]内部转账!$G:$G,[1]内部转账!$C:$C,"&lt;="&amp;$D524,[1]内部转账!$E:$E,$G524)-SUMIFS([1]内部转账!$G:$G,[1]内部转账!$C:$C,"&lt;="&amp;$D524,[1]内部转账!$F:$F,$G524)),"")</f>
        <v>186760</v>
      </c>
      <c r="M524" s="64" t="s">
        <v>150</v>
      </c>
      <c r="N524" s="69"/>
      <c r="O524" s="64" t="s">
        <v>151</v>
      </c>
      <c r="P524" s="64"/>
      <c r="Q524" s="69">
        <v>1001</v>
      </c>
      <c r="R524" s="69"/>
      <c r="S524" s="69"/>
    </row>
    <row r="525" s="2" customFormat="1" ht="24.95" customHeight="1" spans="1:19">
      <c r="A525" s="15"/>
      <c r="B525" s="55"/>
      <c r="C525" s="56"/>
      <c r="D525" s="68">
        <v>46031</v>
      </c>
      <c r="E525" s="69"/>
      <c r="F525" s="69" t="s">
        <v>26</v>
      </c>
      <c r="G525" s="65" t="s">
        <v>279</v>
      </c>
      <c r="H525" s="65" t="s">
        <v>46</v>
      </c>
      <c r="I525" s="70" t="s">
        <v>127</v>
      </c>
      <c r="J525" s="71"/>
      <c r="K525" s="71">
        <v>11600</v>
      </c>
      <c r="L525" s="72">
        <f>IFERROR(IF(G525="","",VLOOKUP($G525,[1]基础信息!$B:$C,2,FALSE)+SUMIF(G$8:G525,G525,J$8:J525)-SUMIF(G$8:G525,G525,K$8:K525)+SUMIFS([1]内部转账!$G:$G,[1]内部转账!$C:$C,"&lt;="&amp;$D525,[1]内部转账!$E:$E,$G525)-SUMIFS([1]内部转账!$G:$G,[1]内部转账!$C:$C,"&lt;="&amp;$D525,[1]内部转账!$F:$F,$G525)),"")</f>
        <v>175160</v>
      </c>
      <c r="M525" s="64" t="s">
        <v>150</v>
      </c>
      <c r="N525" s="69"/>
      <c r="O525" s="64"/>
      <c r="P525" s="64"/>
      <c r="Q525" s="69"/>
      <c r="R525" s="69"/>
      <c r="S525" s="69"/>
    </row>
    <row r="526" s="2" customFormat="1" ht="24.95" customHeight="1" spans="1:19">
      <c r="A526" s="15"/>
      <c r="B526" s="55"/>
      <c r="C526" s="56"/>
      <c r="D526" s="68">
        <v>46031</v>
      </c>
      <c r="E526" s="69"/>
      <c r="F526" s="69" t="s">
        <v>26</v>
      </c>
      <c r="G526" s="65" t="s">
        <v>279</v>
      </c>
      <c r="H526" s="65" t="s">
        <v>46</v>
      </c>
      <c r="I526" s="70" t="s">
        <v>137</v>
      </c>
      <c r="J526" s="71"/>
      <c r="K526" s="71">
        <v>8700</v>
      </c>
      <c r="L526" s="72">
        <f>IFERROR(IF(G526="","",VLOOKUP($G526,[1]基础信息!$B:$C,2,FALSE)+SUMIF(G$8:G526,G526,J$8:J526)-SUMIF(G$8:G526,G526,K$8:K526)+SUMIFS([1]内部转账!$G:$G,[1]内部转账!$C:$C,"&lt;="&amp;$D526,[1]内部转账!$E:$E,$G526)-SUMIFS([1]内部转账!$G:$G,[1]内部转账!$C:$C,"&lt;="&amp;$D526,[1]内部转账!$F:$F,$G526)),"")</f>
        <v>166460</v>
      </c>
      <c r="M526" s="64" t="s">
        <v>150</v>
      </c>
      <c r="N526" s="69"/>
      <c r="O526" s="64"/>
      <c r="P526" s="64"/>
      <c r="Q526" s="69"/>
      <c r="R526" s="69"/>
      <c r="S526" s="69"/>
    </row>
    <row r="527" s="2" customFormat="1" ht="24.95" customHeight="1" spans="1:19">
      <c r="A527" s="15"/>
      <c r="B527" s="55"/>
      <c r="C527" s="56"/>
      <c r="D527" s="68">
        <v>46031</v>
      </c>
      <c r="E527" s="69"/>
      <c r="F527" s="69" t="s">
        <v>26</v>
      </c>
      <c r="G527" s="65" t="s">
        <v>279</v>
      </c>
      <c r="H527" s="65" t="s">
        <v>46</v>
      </c>
      <c r="I527" s="70" t="s">
        <v>74</v>
      </c>
      <c r="J527" s="71"/>
      <c r="K527" s="71">
        <v>9200</v>
      </c>
      <c r="L527" s="72">
        <f>IFERROR(IF(G527="","",VLOOKUP($G527,[1]基础信息!$B:$C,2,FALSE)+SUMIF(G$8:G527,G527,J$8:J527)-SUMIF(G$8:G527,G527,K$8:K527)+SUMIFS([1]内部转账!$G:$G,[1]内部转账!$C:$C,"&lt;="&amp;$D527,[1]内部转账!$E:$E,$G527)-SUMIFS([1]内部转账!$G:$G,[1]内部转账!$C:$C,"&lt;="&amp;$D527,[1]内部转账!$F:$F,$G527)),"")</f>
        <v>157260</v>
      </c>
      <c r="M527" s="64" t="s">
        <v>150</v>
      </c>
      <c r="N527" s="69"/>
      <c r="O527" s="64"/>
      <c r="P527" s="64"/>
      <c r="Q527" s="69"/>
      <c r="R527" s="69"/>
      <c r="S527" s="69"/>
    </row>
    <row r="528" s="2" customFormat="1" ht="24.95" customHeight="1" spans="1:19">
      <c r="A528" s="15"/>
      <c r="B528" s="55"/>
      <c r="C528" s="56"/>
      <c r="D528" s="68">
        <v>46031</v>
      </c>
      <c r="E528" s="69"/>
      <c r="F528" s="69" t="s">
        <v>26</v>
      </c>
      <c r="G528" s="65" t="s">
        <v>279</v>
      </c>
      <c r="H528" s="65" t="s">
        <v>46</v>
      </c>
      <c r="I528" s="70" t="s">
        <v>94</v>
      </c>
      <c r="J528" s="71"/>
      <c r="K528" s="71">
        <v>11600</v>
      </c>
      <c r="L528" s="72">
        <f>IFERROR(IF(G528="","",VLOOKUP($G528,[1]基础信息!$B:$C,2,FALSE)+SUMIF(G$8:G528,G528,J$8:J528)-SUMIF(G$8:G528,G528,K$8:K528)+SUMIFS([1]内部转账!$G:$G,[1]内部转账!$C:$C,"&lt;="&amp;$D528,[1]内部转账!$E:$E,$G528)-SUMIFS([1]内部转账!$G:$G,[1]内部转账!$C:$C,"&lt;="&amp;$D528,[1]内部转账!$F:$F,$G528)),"")</f>
        <v>145660</v>
      </c>
      <c r="M528" s="64" t="s">
        <v>150</v>
      </c>
      <c r="N528" s="69"/>
      <c r="O528" s="64"/>
      <c r="P528" s="64"/>
      <c r="Q528" s="69"/>
      <c r="R528" s="69"/>
      <c r="S528" s="69"/>
    </row>
    <row r="529" s="2" customFormat="1" ht="24.95" customHeight="1" spans="1:19">
      <c r="A529" s="15"/>
      <c r="B529" s="55"/>
      <c r="C529" s="56"/>
      <c r="D529" s="68">
        <v>46031</v>
      </c>
      <c r="E529" s="69"/>
      <c r="F529" s="69" t="s">
        <v>26</v>
      </c>
      <c r="G529" s="65" t="s">
        <v>279</v>
      </c>
      <c r="H529" s="65" t="s">
        <v>46</v>
      </c>
      <c r="I529" s="70" t="s">
        <v>130</v>
      </c>
      <c r="J529" s="71"/>
      <c r="K529" s="71">
        <v>10150</v>
      </c>
      <c r="L529" s="72">
        <f>IFERROR(IF(G529="","",VLOOKUP($G529,[1]基础信息!$B:$C,2,FALSE)+SUMIF(G$8:G529,G529,J$8:J529)-SUMIF(G$8:G529,G529,K$8:K529)+SUMIFS([1]内部转账!$G:$G,[1]内部转账!$C:$C,"&lt;="&amp;$D529,[1]内部转账!$E:$E,$G529)-SUMIFS([1]内部转账!$G:$G,[1]内部转账!$C:$C,"&lt;="&amp;$D529,[1]内部转账!$F:$F,$G529)),"")</f>
        <v>135510</v>
      </c>
      <c r="M529" s="64" t="s">
        <v>150</v>
      </c>
      <c r="N529" s="69"/>
      <c r="O529" s="64"/>
      <c r="P529" s="64"/>
      <c r="Q529" s="69"/>
      <c r="R529" s="69"/>
      <c r="S529" s="69"/>
    </row>
    <row r="530" s="2" customFormat="1" ht="24.95" customHeight="1" spans="1:19">
      <c r="A530" s="15"/>
      <c r="B530" s="55"/>
      <c r="C530" s="56"/>
      <c r="D530" s="68">
        <v>46031</v>
      </c>
      <c r="E530" s="69"/>
      <c r="F530" s="69" t="s">
        <v>26</v>
      </c>
      <c r="G530" s="65" t="s">
        <v>279</v>
      </c>
      <c r="H530" s="65" t="s">
        <v>46</v>
      </c>
      <c r="I530" s="70" t="s">
        <v>132</v>
      </c>
      <c r="J530" s="71"/>
      <c r="K530" s="71">
        <v>6600</v>
      </c>
      <c r="L530" s="72">
        <f>IFERROR(IF(G530="","",VLOOKUP($G530,[1]基础信息!$B:$C,2,FALSE)+SUMIF(G$8:G530,G530,J$8:J530)-SUMIF(G$8:G530,G530,K$8:K530)+SUMIFS([1]内部转账!$G:$G,[1]内部转账!$C:$C,"&lt;="&amp;$D530,[1]内部转账!$E:$E,$G530)-SUMIFS([1]内部转账!$G:$G,[1]内部转账!$C:$C,"&lt;="&amp;$D530,[1]内部转账!$F:$F,$G530)),"")</f>
        <v>128910</v>
      </c>
      <c r="M530" s="64" t="s">
        <v>150</v>
      </c>
      <c r="N530" s="69"/>
      <c r="O530" s="64"/>
      <c r="P530" s="64"/>
      <c r="Q530" s="69"/>
      <c r="R530" s="69"/>
      <c r="S530" s="69"/>
    </row>
    <row r="531" s="2" customFormat="1" ht="24.95" customHeight="1" spans="1:19">
      <c r="A531" s="15"/>
      <c r="B531" s="55"/>
      <c r="C531" s="56"/>
      <c r="D531" s="68">
        <v>46031</v>
      </c>
      <c r="E531" s="69"/>
      <c r="F531" s="69" t="s">
        <v>26</v>
      </c>
      <c r="G531" s="65" t="s">
        <v>279</v>
      </c>
      <c r="H531" s="65" t="s">
        <v>46</v>
      </c>
      <c r="I531" s="70" t="s">
        <v>97</v>
      </c>
      <c r="J531" s="71"/>
      <c r="K531" s="71">
        <v>7800</v>
      </c>
      <c r="L531" s="72">
        <f>IFERROR(IF(G531="","",VLOOKUP($G531,[1]基础信息!$B:$C,2,FALSE)+SUMIF(G$8:G531,G531,J$8:J531)-SUMIF(G$8:G531,G531,K$8:K531)+SUMIFS([1]内部转账!$G:$G,[1]内部转账!$C:$C,"&lt;="&amp;$D531,[1]内部转账!$E:$E,$G531)-SUMIFS([1]内部转账!$G:$G,[1]内部转账!$C:$C,"&lt;="&amp;$D531,[1]内部转账!$F:$F,$G531)),"")</f>
        <v>121110</v>
      </c>
      <c r="M531" s="64" t="s">
        <v>150</v>
      </c>
      <c r="N531" s="69"/>
      <c r="O531" s="64"/>
      <c r="P531" s="64"/>
      <c r="Q531" s="69"/>
      <c r="R531" s="69"/>
      <c r="S531" s="69"/>
    </row>
    <row r="532" s="2" customFormat="1" ht="24.95" customHeight="1" spans="1:19">
      <c r="A532" s="15"/>
      <c r="B532" s="55"/>
      <c r="C532" s="56"/>
      <c r="D532" s="68">
        <v>46031</v>
      </c>
      <c r="E532" s="69"/>
      <c r="F532" s="69" t="s">
        <v>26</v>
      </c>
      <c r="G532" s="65" t="s">
        <v>279</v>
      </c>
      <c r="H532" s="65" t="s">
        <v>46</v>
      </c>
      <c r="I532" s="70" t="s">
        <v>68</v>
      </c>
      <c r="J532" s="71"/>
      <c r="K532" s="71">
        <v>12000</v>
      </c>
      <c r="L532" s="72">
        <f>IFERROR(IF(G532="","",VLOOKUP($G532,[1]基础信息!$B:$C,2,FALSE)+SUMIF(G$8:G532,G532,J$8:J532)-SUMIF(G$8:G532,G532,K$8:K532)+SUMIFS([1]内部转账!$G:$G,[1]内部转账!$C:$C,"&lt;="&amp;$D532,[1]内部转账!$E:$E,$G532)-SUMIFS([1]内部转账!$G:$G,[1]内部转账!$C:$C,"&lt;="&amp;$D532,[1]内部转账!$F:$F,$G532)),"")</f>
        <v>109110</v>
      </c>
      <c r="M532" s="64" t="s">
        <v>150</v>
      </c>
      <c r="N532" s="69"/>
      <c r="O532" s="64"/>
      <c r="P532" s="64"/>
      <c r="Q532" s="69"/>
      <c r="R532" s="69"/>
      <c r="S532" s="69"/>
    </row>
    <row r="533" s="2" customFormat="1" ht="24.95" customHeight="1" spans="1:19">
      <c r="A533" s="15"/>
      <c r="B533" s="55"/>
      <c r="C533" s="56"/>
      <c r="D533" s="68">
        <v>46031</v>
      </c>
      <c r="E533" s="69"/>
      <c r="F533" s="69" t="s">
        <v>26</v>
      </c>
      <c r="G533" s="65" t="s">
        <v>279</v>
      </c>
      <c r="H533" s="65" t="s">
        <v>46</v>
      </c>
      <c r="I533" s="70" t="s">
        <v>131</v>
      </c>
      <c r="J533" s="71"/>
      <c r="K533" s="71">
        <v>10150</v>
      </c>
      <c r="L533" s="72">
        <f>IFERROR(IF(G533="","",VLOOKUP($G533,[1]基础信息!$B:$C,2,FALSE)+SUMIF(G$8:G533,G533,J$8:J533)-SUMIF(G$8:G533,G533,K$8:K533)+SUMIFS([1]内部转账!$G:$G,[1]内部转账!$C:$C,"&lt;="&amp;$D533,[1]内部转账!$E:$E,$G533)-SUMIFS([1]内部转账!$G:$G,[1]内部转账!$C:$C,"&lt;="&amp;$D533,[1]内部转账!$F:$F,$G533)),"")</f>
        <v>98960</v>
      </c>
      <c r="M533" s="64" t="s">
        <v>150</v>
      </c>
      <c r="N533" s="69"/>
      <c r="O533" s="64"/>
      <c r="P533" s="64"/>
      <c r="Q533" s="69"/>
      <c r="R533" s="69"/>
      <c r="S533" s="69"/>
    </row>
    <row r="534" s="2" customFormat="1" ht="24.95" customHeight="1" spans="1:19">
      <c r="A534" s="15"/>
      <c r="B534" s="55"/>
      <c r="C534" s="56"/>
      <c r="D534" s="68">
        <v>46031</v>
      </c>
      <c r="E534" s="69"/>
      <c r="F534" s="69" t="s">
        <v>26</v>
      </c>
      <c r="G534" s="65" t="s">
        <v>279</v>
      </c>
      <c r="H534" s="65" t="s">
        <v>46</v>
      </c>
      <c r="I534" s="70" t="s">
        <v>179</v>
      </c>
      <c r="J534" s="71"/>
      <c r="K534" s="71">
        <v>8750</v>
      </c>
      <c r="L534" s="72">
        <f>IFERROR(IF(G534="","",VLOOKUP($G534,[1]基础信息!$B:$C,2,FALSE)+SUMIF(G$8:G534,G534,J$8:J534)-SUMIF(G$8:G534,G534,K$8:K534)+SUMIFS([1]内部转账!$G:$G,[1]内部转账!$C:$C,"&lt;="&amp;$D534,[1]内部转账!$E:$E,$G534)-SUMIFS([1]内部转账!$G:$G,[1]内部转账!$C:$C,"&lt;="&amp;$D534,[1]内部转账!$F:$F,$G534)),"")</f>
        <v>90210</v>
      </c>
      <c r="M534" s="64" t="s">
        <v>150</v>
      </c>
      <c r="N534" s="69"/>
      <c r="O534" s="64"/>
      <c r="P534" s="64"/>
      <c r="Q534" s="69"/>
      <c r="R534" s="69"/>
      <c r="S534" s="69"/>
    </row>
    <row r="535" s="2" customFormat="1" ht="24.95" customHeight="1" spans="1:19">
      <c r="A535" s="15"/>
      <c r="B535" s="55"/>
      <c r="C535" s="56"/>
      <c r="D535" s="68">
        <v>46031</v>
      </c>
      <c r="E535" s="69"/>
      <c r="F535" s="69" t="s">
        <v>26</v>
      </c>
      <c r="G535" s="65" t="s">
        <v>279</v>
      </c>
      <c r="H535" s="65" t="s">
        <v>46</v>
      </c>
      <c r="I535" s="70" t="s">
        <v>65</v>
      </c>
      <c r="J535" s="71"/>
      <c r="K535" s="71">
        <v>15000</v>
      </c>
      <c r="L535" s="72">
        <f>IFERROR(IF(G535="","",VLOOKUP($G535,[1]基础信息!$B:$C,2,FALSE)+SUMIF(G$8:G535,G535,J$8:J535)-SUMIF(G$8:G535,G535,K$8:K535)+SUMIFS([1]内部转账!$G:$G,[1]内部转账!$C:$C,"&lt;="&amp;$D535,[1]内部转账!$E:$E,$G535)-SUMIFS([1]内部转账!$G:$G,[1]内部转账!$C:$C,"&lt;="&amp;$D535,[1]内部转账!$F:$F,$G535)),"")</f>
        <v>75210</v>
      </c>
      <c r="M535" s="64" t="s">
        <v>150</v>
      </c>
      <c r="N535" s="69"/>
      <c r="O535" s="64"/>
      <c r="P535" s="64"/>
      <c r="Q535" s="69"/>
      <c r="R535" s="69"/>
      <c r="S535" s="69"/>
    </row>
    <row r="536" s="2" customFormat="1" ht="24.95" customHeight="1" spans="1:19">
      <c r="A536" s="15"/>
      <c r="B536" s="55"/>
      <c r="C536" s="56"/>
      <c r="D536" s="68">
        <v>46031</v>
      </c>
      <c r="E536" s="69"/>
      <c r="F536" s="69" t="s">
        <v>26</v>
      </c>
      <c r="G536" s="65" t="s">
        <v>279</v>
      </c>
      <c r="H536" s="65" t="s">
        <v>53</v>
      </c>
      <c r="I536" s="70" t="s">
        <v>98</v>
      </c>
      <c r="J536" s="71"/>
      <c r="K536" s="71">
        <v>12000</v>
      </c>
      <c r="L536" s="72">
        <f>IFERROR(IF(G536="","",VLOOKUP($G536,[1]基础信息!$B:$C,2,FALSE)+SUMIF(G$8:G536,G536,J$8:J536)-SUMIF(G$8:G536,G536,K$8:K536)+SUMIFS([1]内部转账!$G:$G,[1]内部转账!$C:$C,"&lt;="&amp;$D536,[1]内部转账!$E:$E,$G536)-SUMIFS([1]内部转账!$G:$G,[1]内部转账!$C:$C,"&lt;="&amp;$D536,[1]内部转账!$F:$F,$G536)),"")</f>
        <v>63210</v>
      </c>
      <c r="M536" s="64" t="s">
        <v>150</v>
      </c>
      <c r="N536" s="69" t="s">
        <v>98</v>
      </c>
      <c r="O536" s="64"/>
      <c r="P536" s="64"/>
      <c r="Q536" s="69"/>
      <c r="R536" s="69"/>
      <c r="S536" s="69"/>
    </row>
    <row r="537" s="2" customFormat="1" ht="24.95" customHeight="1" spans="1:19">
      <c r="A537" s="15"/>
      <c r="B537" s="55"/>
      <c r="C537" s="56"/>
      <c r="D537" s="68">
        <v>46031</v>
      </c>
      <c r="E537" s="69"/>
      <c r="F537" s="69" t="s">
        <v>26</v>
      </c>
      <c r="G537" s="65" t="s">
        <v>279</v>
      </c>
      <c r="H537" s="65" t="s">
        <v>46</v>
      </c>
      <c r="I537" s="70" t="s">
        <v>66</v>
      </c>
      <c r="J537" s="71"/>
      <c r="K537" s="71">
        <v>9800</v>
      </c>
      <c r="L537" s="72">
        <f>IFERROR(IF(G537="","",VLOOKUP($G537,[1]基础信息!$B:$C,2,FALSE)+SUMIF(G$8:G537,G537,J$8:J537)-SUMIF(G$8:G537,G537,K$8:K537)+SUMIFS([1]内部转账!$G:$G,[1]内部转账!$C:$C,"&lt;="&amp;$D537,[1]内部转账!$E:$E,$G537)-SUMIFS([1]内部转账!$G:$G,[1]内部转账!$C:$C,"&lt;="&amp;$D537,[1]内部转账!$F:$F,$G537)),"")</f>
        <v>53410</v>
      </c>
      <c r="M537" s="64" t="s">
        <v>150</v>
      </c>
      <c r="N537" s="69"/>
      <c r="O537" s="64"/>
      <c r="P537" s="64"/>
      <c r="Q537" s="69"/>
      <c r="R537" s="69"/>
      <c r="S537" s="69"/>
    </row>
    <row r="538" s="2" customFormat="1" ht="24.95" customHeight="1" spans="1:19">
      <c r="A538" s="15"/>
      <c r="B538" s="55"/>
      <c r="C538" s="56"/>
      <c r="D538" s="68">
        <v>46031</v>
      </c>
      <c r="E538" s="69"/>
      <c r="F538" s="69" t="s">
        <v>26</v>
      </c>
      <c r="G538" s="65" t="s">
        <v>279</v>
      </c>
      <c r="H538" s="65" t="s">
        <v>46</v>
      </c>
      <c r="I538" s="70" t="s">
        <v>73</v>
      </c>
      <c r="J538" s="71"/>
      <c r="K538" s="71">
        <v>9450</v>
      </c>
      <c r="L538" s="72">
        <f>IFERROR(IF(G538="","",VLOOKUP($G538,[1]基础信息!$B:$C,2,FALSE)+SUMIF(G$8:G538,G538,J$8:J538)-SUMIF(G$8:G538,G538,K$8:K538)+SUMIFS([1]内部转账!$G:$G,[1]内部转账!$C:$C,"&lt;="&amp;$D538,[1]内部转账!$E:$E,$G538)-SUMIFS([1]内部转账!$G:$G,[1]内部转账!$C:$C,"&lt;="&amp;$D538,[1]内部转账!$F:$F,$G538)),"")</f>
        <v>43960</v>
      </c>
      <c r="M538" s="64" t="s">
        <v>150</v>
      </c>
      <c r="N538" s="69"/>
      <c r="O538" s="64"/>
      <c r="P538" s="64"/>
      <c r="Q538" s="69"/>
      <c r="R538" s="69"/>
      <c r="S538" s="69"/>
    </row>
    <row r="539" s="2" customFormat="1" ht="24.95" customHeight="1" spans="1:19">
      <c r="A539" s="15"/>
      <c r="B539" s="55"/>
      <c r="C539" s="56"/>
      <c r="D539" s="68">
        <v>46031</v>
      </c>
      <c r="E539" s="69"/>
      <c r="F539" s="69" t="s">
        <v>26</v>
      </c>
      <c r="G539" s="65" t="s">
        <v>279</v>
      </c>
      <c r="H539" s="65" t="s">
        <v>46</v>
      </c>
      <c r="I539" s="70" t="s">
        <v>201</v>
      </c>
      <c r="J539" s="71"/>
      <c r="K539" s="71">
        <v>9000</v>
      </c>
      <c r="L539" s="72">
        <f>IFERROR(IF(G539="","",VLOOKUP($G539,[1]基础信息!$B:$C,2,FALSE)+SUMIF(G$8:G539,G539,J$8:J539)-SUMIF(G$8:G539,G539,K$8:K539)+SUMIFS([1]内部转账!$G:$G,[1]内部转账!$C:$C,"&lt;="&amp;$D539,[1]内部转账!$E:$E,$G539)-SUMIFS([1]内部转账!$G:$G,[1]内部转账!$C:$C,"&lt;="&amp;$D539,[1]内部转账!$F:$F,$G539)),"")</f>
        <v>34960</v>
      </c>
      <c r="M539" s="64" t="s">
        <v>150</v>
      </c>
      <c r="N539" s="69"/>
      <c r="O539" s="64"/>
      <c r="P539" s="64"/>
      <c r="Q539" s="69"/>
      <c r="R539" s="69"/>
      <c r="S539" s="69"/>
    </row>
    <row r="540" s="2" customFormat="1" ht="24.95" customHeight="1" spans="1:19">
      <c r="A540" s="15"/>
      <c r="B540" s="55"/>
      <c r="C540" s="56"/>
      <c r="D540" s="68">
        <v>46031</v>
      </c>
      <c r="E540" s="69"/>
      <c r="F540" s="69" t="s">
        <v>26</v>
      </c>
      <c r="G540" s="65" t="s">
        <v>279</v>
      </c>
      <c r="H540" s="65" t="s">
        <v>46</v>
      </c>
      <c r="I540" s="70" t="s">
        <v>240</v>
      </c>
      <c r="J540" s="71"/>
      <c r="K540" s="71">
        <v>10640</v>
      </c>
      <c r="L540" s="72">
        <f>IFERROR(IF(G540="","",VLOOKUP($G540,[1]基础信息!$B:$C,2,FALSE)+SUMIF(G$8:G540,G540,J$8:J540)-SUMIF(G$8:G540,G540,K$8:K540)+SUMIFS([1]内部转账!$G:$G,[1]内部转账!$C:$C,"&lt;="&amp;$D540,[1]内部转账!$E:$E,$G540)-SUMIFS([1]内部转账!$G:$G,[1]内部转账!$C:$C,"&lt;="&amp;$D540,[1]内部转账!$F:$F,$G540)),"")</f>
        <v>24320</v>
      </c>
      <c r="M540" s="64" t="s">
        <v>150</v>
      </c>
      <c r="N540" s="69"/>
      <c r="O540" s="64"/>
      <c r="P540" s="64"/>
      <c r="Q540" s="69"/>
      <c r="R540" s="69"/>
      <c r="S540" s="69"/>
    </row>
    <row r="541" s="2" customFormat="1" ht="24.95" customHeight="1" spans="1:19">
      <c r="A541" s="15"/>
      <c r="B541" s="55"/>
      <c r="C541" s="56"/>
      <c r="D541" s="68">
        <v>46031</v>
      </c>
      <c r="E541" s="69"/>
      <c r="F541" s="69" t="s">
        <v>26</v>
      </c>
      <c r="G541" s="65" t="s">
        <v>279</v>
      </c>
      <c r="H541" s="65" t="s">
        <v>46</v>
      </c>
      <c r="I541" s="70" t="s">
        <v>75</v>
      </c>
      <c r="J541" s="71"/>
      <c r="K541" s="71">
        <v>5700</v>
      </c>
      <c r="L541" s="72">
        <f>IFERROR(IF(G541="","",VLOOKUP($G541,[1]基础信息!$B:$C,2,FALSE)+SUMIF(G$8:G541,G541,J$8:J541)-SUMIF(G$8:G541,G541,K$8:K541)+SUMIFS([1]内部转账!$G:$G,[1]内部转账!$C:$C,"&lt;="&amp;$D541,[1]内部转账!$E:$E,$G541)-SUMIFS([1]内部转账!$G:$G,[1]内部转账!$C:$C,"&lt;="&amp;$D541,[1]内部转账!$F:$F,$G541)),"")</f>
        <v>18620</v>
      </c>
      <c r="M541" s="64" t="s">
        <v>150</v>
      </c>
      <c r="N541" s="69"/>
      <c r="O541" s="64"/>
      <c r="P541" s="64"/>
      <c r="Q541" s="69"/>
      <c r="R541" s="69"/>
      <c r="S541" s="69"/>
    </row>
    <row r="542" s="2" customFormat="1" ht="24.95" customHeight="1" spans="1:19">
      <c r="A542" s="15"/>
      <c r="B542" s="55"/>
      <c r="C542" s="56"/>
      <c r="D542" s="68">
        <v>46031</v>
      </c>
      <c r="E542" s="69"/>
      <c r="F542" s="69" t="s">
        <v>26</v>
      </c>
      <c r="G542" s="65" t="s">
        <v>279</v>
      </c>
      <c r="H542" s="65" t="s">
        <v>46</v>
      </c>
      <c r="I542" s="70" t="s">
        <v>249</v>
      </c>
      <c r="J542" s="71"/>
      <c r="K542" s="71">
        <v>7000</v>
      </c>
      <c r="L542" s="72">
        <f>IFERROR(IF(G542="","",VLOOKUP($G542,[1]基础信息!$B:$C,2,FALSE)+SUMIF(G$8:G542,G542,J$8:J542)-SUMIF(G$8:G542,G542,K$8:K542)+SUMIFS([1]内部转账!$G:$G,[1]内部转账!$C:$C,"&lt;="&amp;$D542,[1]内部转账!$E:$E,$G542)-SUMIFS([1]内部转账!$G:$G,[1]内部转账!$C:$C,"&lt;="&amp;$D542,[1]内部转账!$F:$F,$G542)),"")</f>
        <v>11620</v>
      </c>
      <c r="M542" s="64" t="s">
        <v>150</v>
      </c>
      <c r="N542" s="69"/>
      <c r="O542" s="64"/>
      <c r="P542" s="64"/>
      <c r="Q542" s="69"/>
      <c r="R542" s="69"/>
      <c r="S542" s="69"/>
    </row>
    <row r="543" s="2" customFormat="1" ht="24.95" customHeight="1" spans="1:19">
      <c r="A543" s="15"/>
      <c r="B543" s="55"/>
      <c r="C543" s="56"/>
      <c r="D543" s="68">
        <v>46031</v>
      </c>
      <c r="E543" s="69"/>
      <c r="F543" s="69" t="s">
        <v>26</v>
      </c>
      <c r="G543" s="65" t="s">
        <v>279</v>
      </c>
      <c r="H543" s="65" t="s">
        <v>46</v>
      </c>
      <c r="I543" s="73" t="s">
        <v>281</v>
      </c>
      <c r="J543" s="71"/>
      <c r="K543" s="71">
        <v>3500</v>
      </c>
      <c r="L543" s="72">
        <f>IFERROR(IF(G543="","",VLOOKUP($G543,[1]基础信息!$B:$C,2,FALSE)+SUMIF(G$8:G543,G543,J$8:J543)-SUMIF(G$8:G543,G543,K$8:K543)+SUMIFS([1]内部转账!$G:$G,[1]内部转账!$C:$C,"&lt;="&amp;$D543,[1]内部转账!$E:$E,$G543)-SUMIFS([1]内部转账!$G:$G,[1]内部转账!$C:$C,"&lt;="&amp;$D543,[1]内部转账!$F:$F,$G543)),"")</f>
        <v>8120</v>
      </c>
      <c r="M543" s="64" t="s">
        <v>150</v>
      </c>
      <c r="N543" s="69" t="s">
        <v>282</v>
      </c>
      <c r="O543" s="64"/>
      <c r="P543" s="64"/>
      <c r="Q543" s="69"/>
      <c r="R543" s="69"/>
      <c r="S543" s="69"/>
    </row>
    <row r="544" s="2" customFormat="1" ht="24.95" customHeight="1" spans="1:19">
      <c r="A544" s="15"/>
      <c r="B544" s="55"/>
      <c r="C544" s="56"/>
      <c r="D544" s="68">
        <v>46031</v>
      </c>
      <c r="E544" s="69"/>
      <c r="F544" s="69" t="s">
        <v>26</v>
      </c>
      <c r="G544" s="65" t="s">
        <v>279</v>
      </c>
      <c r="H544" s="65" t="s">
        <v>46</v>
      </c>
      <c r="I544" s="73" t="s">
        <v>283</v>
      </c>
      <c r="J544" s="71"/>
      <c r="K544" s="71">
        <v>4200</v>
      </c>
      <c r="L544" s="72">
        <f>IFERROR(IF(G544="","",VLOOKUP($G544,[1]基础信息!$B:$C,2,FALSE)+SUMIF(G$8:G544,G544,J$8:J544)-SUMIF(G$8:G544,G544,K$8:K544)+SUMIFS([1]内部转账!$G:$G,[1]内部转账!$C:$C,"&lt;="&amp;$D544,[1]内部转账!$E:$E,$G544)-SUMIFS([1]内部转账!$G:$G,[1]内部转账!$C:$C,"&lt;="&amp;$D544,[1]内部转账!$F:$F,$G544)),"")</f>
        <v>3920</v>
      </c>
      <c r="M544" s="64" t="s">
        <v>150</v>
      </c>
      <c r="N544" s="69" t="s">
        <v>282</v>
      </c>
      <c r="O544" s="64"/>
      <c r="P544" s="64"/>
      <c r="Q544" s="69"/>
      <c r="R544" s="69"/>
      <c r="S544" s="69"/>
    </row>
    <row r="545" s="2" customFormat="1" ht="24.95" customHeight="1" spans="1:19">
      <c r="A545" s="15"/>
      <c r="B545" s="55"/>
      <c r="C545" s="56"/>
      <c r="D545" s="68">
        <v>46031</v>
      </c>
      <c r="E545" s="69"/>
      <c r="F545" s="69" t="s">
        <v>26</v>
      </c>
      <c r="G545" s="65" t="s">
        <v>279</v>
      </c>
      <c r="H545" s="65" t="s">
        <v>46</v>
      </c>
      <c r="I545" s="73" t="s">
        <v>284</v>
      </c>
      <c r="J545" s="71"/>
      <c r="K545" s="71">
        <v>3920</v>
      </c>
      <c r="L545" s="72">
        <f>IFERROR(IF(G545="","",VLOOKUP($G545,[1]基础信息!$B:$C,2,FALSE)+SUMIF(G$8:G545,G545,J$8:J545)-SUMIF(G$8:G545,G545,K$8:K545)+SUMIFS([1]内部转账!$G:$G,[1]内部转账!$C:$C,"&lt;="&amp;$D545,[1]内部转账!$E:$E,$G545)-SUMIFS([1]内部转账!$G:$G,[1]内部转账!$C:$C,"&lt;="&amp;$D545,[1]内部转账!$F:$F,$G545)),"")</f>
        <v>0</v>
      </c>
      <c r="M545" s="64" t="s">
        <v>150</v>
      </c>
      <c r="N545" s="69" t="s">
        <v>282</v>
      </c>
      <c r="O545" s="64"/>
      <c r="P545" s="64"/>
      <c r="Q545" s="69"/>
      <c r="R545" s="69"/>
      <c r="S545" s="69"/>
    </row>
    <row r="546" s="2" customFormat="1" ht="24.95" customHeight="1" spans="1:19">
      <c r="A546" s="15"/>
      <c r="B546" s="55"/>
      <c r="C546" s="56"/>
      <c r="D546" s="68">
        <v>46032</v>
      </c>
      <c r="E546" s="69"/>
      <c r="F546" s="69" t="s">
        <v>26</v>
      </c>
      <c r="G546" s="65" t="s">
        <v>27</v>
      </c>
      <c r="H546" s="65" t="s">
        <v>62</v>
      </c>
      <c r="I546" s="70" t="s">
        <v>285</v>
      </c>
      <c r="J546" s="71"/>
      <c r="K546" s="71">
        <v>15144</v>
      </c>
      <c r="L546" s="72">
        <f>IFERROR(IF(G546="","",VLOOKUP($G546,[1]基础信息!$B:$C,2,FALSE)+SUMIF(G$8:G546,G546,J$8:J546)-SUMIF(G$8:G546,G546,K$8:K546)+SUMIFS([1]内部转账!$G:$G,[1]内部转账!$C:$C,"&lt;="&amp;$D546,[1]内部转账!$E:$E,$G546)-SUMIFS([1]内部转账!$G:$G,[1]内部转账!$C:$C,"&lt;="&amp;$D546,[1]内部转账!$F:$F,$G546)),"")</f>
        <v>8422.92999999924</v>
      </c>
      <c r="M546" s="64" t="s">
        <v>206</v>
      </c>
      <c r="N546" s="69"/>
      <c r="O546" s="64"/>
      <c r="P546" s="64" t="s">
        <v>246</v>
      </c>
      <c r="Q546" s="69"/>
      <c r="R546" s="69"/>
      <c r="S546" s="69"/>
    </row>
    <row r="547" s="2" customFormat="1" ht="24.95" customHeight="1" spans="1:19">
      <c r="A547" s="15"/>
      <c r="B547" s="55"/>
      <c r="C547" s="56"/>
      <c r="D547" s="68">
        <v>46033</v>
      </c>
      <c r="E547" s="69"/>
      <c r="F547" s="69" t="s">
        <v>26</v>
      </c>
      <c r="G547" s="65" t="s">
        <v>27</v>
      </c>
      <c r="H547" s="65" t="s">
        <v>46</v>
      </c>
      <c r="I547" s="70" t="s">
        <v>286</v>
      </c>
      <c r="J547" s="71"/>
      <c r="K547" s="71">
        <v>4000</v>
      </c>
      <c r="L547" s="72">
        <f>IFERROR(IF(G547="","",VLOOKUP($G547,[1]基础信息!$B:$C,2,FALSE)+SUMIF(G$8:G547,G547,J$8:J547)-SUMIF(G$8:G547,G547,K$8:K547)+SUMIFS([1]内部转账!$G:$G,[1]内部转账!$C:$C,"&lt;="&amp;$D547,[1]内部转账!$E:$E,$G547)-SUMIFS([1]内部转账!$G:$G,[1]内部转账!$C:$C,"&lt;="&amp;$D547,[1]内部转账!$F:$F,$G547)),"")</f>
        <v>4422.92999999924</v>
      </c>
      <c r="M547" s="64" t="s">
        <v>150</v>
      </c>
      <c r="N547" s="69"/>
      <c r="O547" s="64"/>
      <c r="P547" s="64"/>
      <c r="Q547" s="69"/>
      <c r="R547" s="69"/>
      <c r="S547" s="69"/>
    </row>
    <row r="548" s="2" customFormat="1" ht="24.95" customHeight="1" spans="1:19">
      <c r="A548" s="15"/>
      <c r="B548" s="55"/>
      <c r="C548" s="56"/>
      <c r="D548" s="68">
        <v>46034</v>
      </c>
      <c r="E548" s="69"/>
      <c r="F548" s="69" t="s">
        <v>42</v>
      </c>
      <c r="G548" s="65" t="s">
        <v>287</v>
      </c>
      <c r="H548" s="65" t="s">
        <v>43</v>
      </c>
      <c r="I548" s="70" t="s">
        <v>288</v>
      </c>
      <c r="J548" s="71">
        <v>281148</v>
      </c>
      <c r="K548" s="71"/>
      <c r="L548" s="72">
        <f>IFERROR(IF(G548="","",VLOOKUP($G548,[1]基础信息!$B:$C,2,FALSE)+SUMIF(G$8:G548,G548,J$8:J548)-SUMIF(G$8:G548,G548,K$8:K548)+SUMIFS([1]内部转账!$G:$G,[1]内部转账!$C:$C,"&lt;="&amp;$D548,[1]内部转账!$E:$E,$G548)-SUMIFS([1]内部转账!$G:$G,[1]内部转账!$C:$C,"&lt;="&amp;$D548,[1]内部转账!$F:$F,$G548)),"")</f>
        <v>281148</v>
      </c>
      <c r="M548" s="64" t="s">
        <v>166</v>
      </c>
      <c r="N548" s="69"/>
      <c r="O548" s="64"/>
      <c r="P548" s="64"/>
      <c r="Q548" s="69"/>
      <c r="R548" s="69"/>
      <c r="S548" s="69"/>
    </row>
    <row r="549" s="2" customFormat="1" ht="24.95" customHeight="1" spans="1:19">
      <c r="A549" s="15"/>
      <c r="B549" s="55"/>
      <c r="C549" s="56"/>
      <c r="D549" s="68">
        <v>46035</v>
      </c>
      <c r="E549" s="69"/>
      <c r="F549" s="69" t="s">
        <v>42</v>
      </c>
      <c r="G549" s="65" t="s">
        <v>27</v>
      </c>
      <c r="H549" s="65" t="s">
        <v>43</v>
      </c>
      <c r="I549" s="70" t="s">
        <v>149</v>
      </c>
      <c r="J549" s="71">
        <v>948923.39</v>
      </c>
      <c r="K549" s="71"/>
      <c r="L549" s="72">
        <f>IFERROR(IF(G549="","",VLOOKUP($G549,[1]基础信息!$B:$C,2,FALSE)+SUMIF(G$8:G549,G549,J$8:J549)-SUMIF(G$8:G549,G549,K$8:K549)+SUMIFS([1]内部转账!$G:$G,[1]内部转账!$C:$C,"&lt;="&amp;$D549,[1]内部转账!$E:$E,$G549)-SUMIFS([1]内部转账!$G:$G,[1]内部转账!$C:$C,"&lt;="&amp;$D549,[1]内部转账!$F:$F,$G549)),"")</f>
        <v>953346.319999999</v>
      </c>
      <c r="M549" s="64" t="s">
        <v>150</v>
      </c>
      <c r="N549" s="69"/>
      <c r="O549" s="64" t="s">
        <v>151</v>
      </c>
      <c r="P549" s="64"/>
      <c r="Q549" s="69">
        <v>1001</v>
      </c>
      <c r="R549" s="69"/>
      <c r="S549" s="69"/>
    </row>
    <row r="550" s="2" customFormat="1" ht="24.95" customHeight="1" spans="1:19">
      <c r="A550" s="15"/>
      <c r="B550" s="55"/>
      <c r="C550" s="56"/>
      <c r="D550" s="68">
        <v>46035</v>
      </c>
      <c r="E550" s="69"/>
      <c r="F550" s="69" t="s">
        <v>26</v>
      </c>
      <c r="G550" s="65" t="s">
        <v>27</v>
      </c>
      <c r="H550" s="65" t="s">
        <v>62</v>
      </c>
      <c r="I550" s="70" t="s">
        <v>289</v>
      </c>
      <c r="J550" s="71"/>
      <c r="K550" s="71">
        <v>19356</v>
      </c>
      <c r="L550" s="72">
        <f>IFERROR(IF(G550="","",VLOOKUP($G550,[1]基础信息!$B:$C,2,FALSE)+SUMIF(G$8:G550,G550,J$8:J550)-SUMIF(G$8:G550,G550,K$8:K550)+SUMIFS([1]内部转账!$G:$G,[1]内部转账!$C:$C,"&lt;="&amp;$D550,[1]内部转账!$E:$E,$G550)-SUMIFS([1]内部转账!$G:$G,[1]内部转账!$C:$C,"&lt;="&amp;$D550,[1]内部转账!$F:$F,$G550)),"")</f>
        <v>933990.319999999</v>
      </c>
      <c r="M550" s="64" t="s">
        <v>150</v>
      </c>
      <c r="N550" s="69"/>
      <c r="O550" s="64"/>
      <c r="P550" s="64" t="s">
        <v>263</v>
      </c>
      <c r="Q550" s="69"/>
      <c r="R550" s="69"/>
      <c r="S550" s="69"/>
    </row>
    <row r="551" s="2" customFormat="1" ht="24.95" customHeight="1" spans="1:19">
      <c r="A551" s="15"/>
      <c r="B551" s="55"/>
      <c r="C551" s="56"/>
      <c r="D551" s="68">
        <v>46036</v>
      </c>
      <c r="E551" s="69"/>
      <c r="F551" s="69" t="s">
        <v>26</v>
      </c>
      <c r="G551" s="65" t="s">
        <v>27</v>
      </c>
      <c r="H551" s="65" t="s">
        <v>62</v>
      </c>
      <c r="I551" s="70" t="s">
        <v>163</v>
      </c>
      <c r="J551" s="71"/>
      <c r="K551" s="71">
        <v>46838.02</v>
      </c>
      <c r="L551" s="72">
        <f>IFERROR(IF(G551="","",VLOOKUP($G551,[1]基础信息!$B:$C,2,FALSE)+SUMIF(G$8:G551,G551,J$8:J551)-SUMIF(G$8:G551,G551,K$8:K551)+SUMIFS([1]内部转账!$G:$G,[1]内部转账!$C:$C,"&lt;="&amp;$D551,[1]内部转账!$E:$E,$G551)-SUMIFS([1]内部转账!$G:$G,[1]内部转账!$C:$C,"&lt;="&amp;$D551,[1]内部转账!$F:$F,$G551)),"")</f>
        <v>887152.299999999</v>
      </c>
      <c r="M551" s="64" t="s">
        <v>150</v>
      </c>
      <c r="N551" s="69"/>
      <c r="O551" s="64"/>
      <c r="P551" s="64" t="s">
        <v>164</v>
      </c>
      <c r="Q551" s="69"/>
      <c r="R551" s="69"/>
      <c r="S551" s="69"/>
    </row>
    <row r="552" s="2" customFormat="1" ht="24.95" customHeight="1" spans="1:19">
      <c r="A552" s="15"/>
      <c r="B552" s="55"/>
      <c r="C552" s="56"/>
      <c r="D552" s="68">
        <v>46036</v>
      </c>
      <c r="E552" s="69"/>
      <c r="F552" s="69" t="s">
        <v>26</v>
      </c>
      <c r="G552" s="65" t="s">
        <v>27</v>
      </c>
      <c r="H552" s="65" t="s">
        <v>62</v>
      </c>
      <c r="I552" s="70" t="s">
        <v>230</v>
      </c>
      <c r="J552" s="71"/>
      <c r="K552" s="71">
        <v>5472</v>
      </c>
      <c r="L552" s="72">
        <f>IFERROR(IF(G552="","",VLOOKUP($G552,[1]基础信息!$B:$C,2,FALSE)+SUMIF(G$8:G552,G552,J$8:J552)-SUMIF(G$8:G552,G552,K$8:K552)+SUMIFS([1]内部转账!$G:$G,[1]内部转账!$C:$C,"&lt;="&amp;$D552,[1]内部转账!$E:$E,$G552)-SUMIFS([1]内部转账!$G:$G,[1]内部转账!$C:$C,"&lt;="&amp;$D552,[1]内部转账!$F:$F,$G552)),"")</f>
        <v>881680.299999999</v>
      </c>
      <c r="M552" s="64" t="s">
        <v>150</v>
      </c>
      <c r="N552" s="69"/>
      <c r="O552" s="64"/>
      <c r="P552" s="64" t="s">
        <v>231</v>
      </c>
      <c r="Q552" s="69"/>
      <c r="R552" s="69"/>
      <c r="S552" s="69"/>
    </row>
    <row r="553" s="2" customFormat="1" ht="24.95" customHeight="1" spans="1:19">
      <c r="A553" s="15"/>
      <c r="B553" s="55"/>
      <c r="C553" s="56"/>
      <c r="D553" s="68">
        <v>46036</v>
      </c>
      <c r="E553" s="69"/>
      <c r="F553" s="69" t="s">
        <v>26</v>
      </c>
      <c r="G553" s="65" t="s">
        <v>27</v>
      </c>
      <c r="H553" s="65" t="s">
        <v>138</v>
      </c>
      <c r="I553" s="70" t="s">
        <v>186</v>
      </c>
      <c r="J553" s="71"/>
      <c r="K553" s="71">
        <v>100000</v>
      </c>
      <c r="L553" s="72">
        <f>IFERROR(IF(G553="","",VLOOKUP($G553,[1]基础信息!$B:$C,2,FALSE)+SUMIF(G$8:G553,G553,J$8:J553)-SUMIF(G$8:G553,G553,K$8:K553)+SUMIFS([1]内部转账!$G:$G,[1]内部转账!$C:$C,"&lt;="&amp;$D553,[1]内部转账!$E:$E,$G553)-SUMIFS([1]内部转账!$G:$G,[1]内部转账!$C:$C,"&lt;="&amp;$D553,[1]内部转账!$F:$F,$G553)),"")</f>
        <v>781680.299999999</v>
      </c>
      <c r="M553" s="64" t="s">
        <v>150</v>
      </c>
      <c r="N553" s="69"/>
      <c r="O553" s="64"/>
      <c r="P553" s="64" t="s">
        <v>187</v>
      </c>
      <c r="Q553" s="69"/>
      <c r="R553" s="69"/>
      <c r="S553" s="69"/>
    </row>
    <row r="554" s="2" customFormat="1" ht="24.95" customHeight="1" spans="1:19">
      <c r="A554" s="15"/>
      <c r="B554" s="55"/>
      <c r="C554" s="56"/>
      <c r="D554" s="68">
        <v>46036</v>
      </c>
      <c r="E554" s="69"/>
      <c r="F554" s="69" t="s">
        <v>26</v>
      </c>
      <c r="G554" s="65" t="s">
        <v>27</v>
      </c>
      <c r="H554" s="65" t="s">
        <v>138</v>
      </c>
      <c r="I554" s="70" t="s">
        <v>290</v>
      </c>
      <c r="J554" s="71"/>
      <c r="K554" s="71">
        <v>4900</v>
      </c>
      <c r="L554" s="72">
        <f>IFERROR(IF(G554="","",VLOOKUP($G554,[1]基础信息!$B:$C,2,FALSE)+SUMIF(G$8:G554,G554,J$8:J554)-SUMIF(G$8:G554,G554,K$8:K554)+SUMIFS([1]内部转账!$G:$G,[1]内部转账!$C:$C,"&lt;="&amp;$D554,[1]内部转账!$E:$E,$G554)-SUMIFS([1]内部转账!$G:$G,[1]内部转账!$C:$C,"&lt;="&amp;$D554,[1]内部转账!$F:$F,$G554)),"")</f>
        <v>776780.299999999</v>
      </c>
      <c r="M554" s="64" t="s">
        <v>150</v>
      </c>
      <c r="N554" s="69"/>
      <c r="O554" s="64"/>
      <c r="P554" s="64" t="s">
        <v>291</v>
      </c>
      <c r="Q554" s="69"/>
      <c r="R554" s="69"/>
      <c r="S554" s="69"/>
    </row>
    <row r="555" s="2" customFormat="1" ht="24.95" customHeight="1" spans="1:19">
      <c r="A555" s="15"/>
      <c r="B555" s="55"/>
      <c r="C555" s="56"/>
      <c r="D555" s="68">
        <v>46036</v>
      </c>
      <c r="E555" s="69"/>
      <c r="F555" s="69" t="s">
        <v>26</v>
      </c>
      <c r="G555" s="65" t="s">
        <v>27</v>
      </c>
      <c r="H555" s="65" t="s">
        <v>138</v>
      </c>
      <c r="I555" s="70" t="s">
        <v>292</v>
      </c>
      <c r="J555" s="71"/>
      <c r="K555" s="71">
        <v>4100</v>
      </c>
      <c r="L555" s="72">
        <f>IFERROR(IF(G555="","",VLOOKUP($G555,[1]基础信息!$B:$C,2,FALSE)+SUMIF(G$8:G555,G555,J$8:J555)-SUMIF(G$8:G555,G555,K$8:K555)+SUMIFS([1]内部转账!$G:$G,[1]内部转账!$C:$C,"&lt;="&amp;$D555,[1]内部转账!$E:$E,$G555)-SUMIFS([1]内部转账!$G:$G,[1]内部转账!$C:$C,"&lt;="&amp;$D555,[1]内部转账!$F:$F,$G555)),"")</f>
        <v>772680.299999999</v>
      </c>
      <c r="M555" s="64" t="s">
        <v>150</v>
      </c>
      <c r="N555" s="69"/>
      <c r="O555" s="64"/>
      <c r="P555" s="64" t="s">
        <v>291</v>
      </c>
      <c r="Q555" s="69"/>
      <c r="R555" s="69"/>
      <c r="S555" s="69"/>
    </row>
    <row r="556" s="2" customFormat="1" ht="24.95" customHeight="1" spans="1:19">
      <c r="A556" s="15"/>
      <c r="B556" s="55"/>
      <c r="C556" s="56"/>
      <c r="D556" s="68">
        <v>46036</v>
      </c>
      <c r="E556" s="69"/>
      <c r="F556" s="69" t="s">
        <v>26</v>
      </c>
      <c r="G556" s="65" t="s">
        <v>27</v>
      </c>
      <c r="H556" s="65" t="s">
        <v>138</v>
      </c>
      <c r="I556" s="70" t="s">
        <v>293</v>
      </c>
      <c r="J556" s="71"/>
      <c r="K556" s="71">
        <v>4100</v>
      </c>
      <c r="L556" s="72">
        <f>IFERROR(IF(G556="","",VLOOKUP($G556,[1]基础信息!$B:$C,2,FALSE)+SUMIF(G$8:G556,G556,J$8:J556)-SUMIF(G$8:G556,G556,K$8:K556)+SUMIFS([1]内部转账!$G:$G,[1]内部转账!$C:$C,"&lt;="&amp;$D556,[1]内部转账!$E:$E,$G556)-SUMIFS([1]内部转账!$G:$G,[1]内部转账!$C:$C,"&lt;="&amp;$D556,[1]内部转账!$F:$F,$G556)),"")</f>
        <v>768580.299999999</v>
      </c>
      <c r="M556" s="64" t="s">
        <v>150</v>
      </c>
      <c r="N556" s="69"/>
      <c r="O556" s="64"/>
      <c r="P556" s="64" t="s">
        <v>291</v>
      </c>
      <c r="Q556" s="69"/>
      <c r="R556" s="69"/>
      <c r="S556" s="69"/>
    </row>
    <row r="557" s="2" customFormat="1" ht="24.95" customHeight="1" spans="1:19">
      <c r="A557" s="15"/>
      <c r="B557" s="55"/>
      <c r="C557" s="56"/>
      <c r="D557" s="68">
        <v>46036</v>
      </c>
      <c r="E557" s="69"/>
      <c r="F557" s="69" t="s">
        <v>26</v>
      </c>
      <c r="G557" s="65" t="s">
        <v>27</v>
      </c>
      <c r="H557" s="65" t="s">
        <v>138</v>
      </c>
      <c r="I557" s="70" t="s">
        <v>294</v>
      </c>
      <c r="J557" s="71"/>
      <c r="K557" s="71">
        <v>4900</v>
      </c>
      <c r="L557" s="72">
        <f>IFERROR(IF(G557="","",VLOOKUP($G557,[1]基础信息!$B:$C,2,FALSE)+SUMIF(G$8:G557,G557,J$8:J557)-SUMIF(G$8:G557,G557,K$8:K557)+SUMIFS([1]内部转账!$G:$G,[1]内部转账!$C:$C,"&lt;="&amp;$D557,[1]内部转账!$E:$E,$G557)-SUMIFS([1]内部转账!$G:$G,[1]内部转账!$C:$C,"&lt;="&amp;$D557,[1]内部转账!$F:$F,$G557)),"")</f>
        <v>763680.299999999</v>
      </c>
      <c r="M557" s="64" t="s">
        <v>150</v>
      </c>
      <c r="N557" s="69"/>
      <c r="O557" s="64"/>
      <c r="P557" s="64" t="s">
        <v>291</v>
      </c>
      <c r="Q557" s="69"/>
      <c r="R557" s="69"/>
      <c r="S557" s="69"/>
    </row>
    <row r="558" s="2" customFormat="1" ht="24.95" customHeight="1" spans="1:19">
      <c r="A558" s="15"/>
      <c r="B558" s="55"/>
      <c r="C558" s="56"/>
      <c r="D558" s="68">
        <v>46036</v>
      </c>
      <c r="E558" s="69"/>
      <c r="F558" s="69" t="s">
        <v>26</v>
      </c>
      <c r="G558" s="65" t="s">
        <v>27</v>
      </c>
      <c r="H558" s="65" t="s">
        <v>138</v>
      </c>
      <c r="I558" s="70" t="s">
        <v>295</v>
      </c>
      <c r="J558" s="71"/>
      <c r="K558" s="71">
        <v>4000</v>
      </c>
      <c r="L558" s="72">
        <f>IFERROR(IF(G558="","",VLOOKUP($G558,[1]基础信息!$B:$C,2,FALSE)+SUMIF(G$8:G558,G558,J$8:J558)-SUMIF(G$8:G558,G558,K$8:K558)+SUMIFS([1]内部转账!$G:$G,[1]内部转账!$C:$C,"&lt;="&amp;$D558,[1]内部转账!$E:$E,$G558)-SUMIFS([1]内部转账!$G:$G,[1]内部转账!$C:$C,"&lt;="&amp;$D558,[1]内部转账!$F:$F,$G558)),"")</f>
        <v>759680.299999999</v>
      </c>
      <c r="M558" s="64" t="s">
        <v>150</v>
      </c>
      <c r="N558" s="69"/>
      <c r="O558" s="64"/>
      <c r="P558" s="64" t="s">
        <v>291</v>
      </c>
      <c r="Q558" s="69"/>
      <c r="R558" s="69"/>
      <c r="S558" s="69"/>
    </row>
    <row r="559" s="2" customFormat="1" ht="24.95" customHeight="1" spans="1:19">
      <c r="A559" s="15"/>
      <c r="B559" s="55"/>
      <c r="C559" s="56"/>
      <c r="D559" s="68">
        <v>46036</v>
      </c>
      <c r="E559" s="69"/>
      <c r="F559" s="69" t="s">
        <v>26</v>
      </c>
      <c r="G559" s="65" t="s">
        <v>27</v>
      </c>
      <c r="H559" s="65" t="s">
        <v>138</v>
      </c>
      <c r="I559" s="70" t="s">
        <v>296</v>
      </c>
      <c r="J559" s="71"/>
      <c r="K559" s="71">
        <v>4000</v>
      </c>
      <c r="L559" s="72">
        <f>IFERROR(IF(G559="","",VLOOKUP($G559,[1]基础信息!$B:$C,2,FALSE)+SUMIF(G$8:G559,G559,J$8:J559)-SUMIF(G$8:G559,G559,K$8:K559)+SUMIFS([1]内部转账!$G:$G,[1]内部转账!$C:$C,"&lt;="&amp;$D559,[1]内部转账!$E:$E,$G559)-SUMIFS([1]内部转账!$G:$G,[1]内部转账!$C:$C,"&lt;="&amp;$D559,[1]内部转账!$F:$F,$G559)),"")</f>
        <v>755680.299999999</v>
      </c>
      <c r="M559" s="64" t="s">
        <v>150</v>
      </c>
      <c r="N559" s="69"/>
      <c r="O559" s="64"/>
      <c r="P559" s="64" t="s">
        <v>291</v>
      </c>
      <c r="Q559" s="69"/>
      <c r="R559" s="69"/>
      <c r="S559" s="69"/>
    </row>
    <row r="560" s="2" customFormat="1" ht="24.95" customHeight="1" spans="1:19">
      <c r="A560" s="15"/>
      <c r="B560" s="55"/>
      <c r="C560" s="56"/>
      <c r="D560" s="68">
        <v>46036</v>
      </c>
      <c r="E560" s="69"/>
      <c r="F560" s="69" t="s">
        <v>26</v>
      </c>
      <c r="G560" s="65" t="s">
        <v>27</v>
      </c>
      <c r="H560" s="65" t="s">
        <v>138</v>
      </c>
      <c r="I560" s="70" t="s">
        <v>297</v>
      </c>
      <c r="J560" s="71"/>
      <c r="K560" s="71">
        <v>4000</v>
      </c>
      <c r="L560" s="72">
        <f>IFERROR(IF(G560="","",VLOOKUP($G560,[1]基础信息!$B:$C,2,FALSE)+SUMIF(G$8:G560,G560,J$8:J560)-SUMIF(G$8:G560,G560,K$8:K560)+SUMIFS([1]内部转账!$G:$G,[1]内部转账!$C:$C,"&lt;="&amp;$D560,[1]内部转账!$E:$E,$G560)-SUMIFS([1]内部转账!$G:$G,[1]内部转账!$C:$C,"&lt;="&amp;$D560,[1]内部转账!$F:$F,$G560)),"")</f>
        <v>751680.299999999</v>
      </c>
      <c r="M560" s="64" t="s">
        <v>150</v>
      </c>
      <c r="N560" s="58"/>
      <c r="O560" s="64"/>
      <c r="P560" s="64" t="s">
        <v>291</v>
      </c>
      <c r="Q560" s="69"/>
      <c r="R560" s="69"/>
      <c r="S560" s="69"/>
    </row>
    <row r="561" s="2" customFormat="1" ht="24.95" customHeight="1" spans="1:19">
      <c r="A561" s="15"/>
      <c r="B561" s="55"/>
      <c r="C561" s="56"/>
      <c r="D561" s="68">
        <v>46036</v>
      </c>
      <c r="E561" s="69"/>
      <c r="F561" s="69" t="s">
        <v>26</v>
      </c>
      <c r="G561" s="65" t="s">
        <v>27</v>
      </c>
      <c r="H561" s="65" t="s">
        <v>28</v>
      </c>
      <c r="I561" s="70" t="s">
        <v>298</v>
      </c>
      <c r="J561" s="71"/>
      <c r="K561" s="71">
        <v>50000</v>
      </c>
      <c r="L561" s="72">
        <f>IFERROR(IF(G561="","",VLOOKUP($G561,[1]基础信息!$B:$C,2,FALSE)+SUMIF(G$8:G561,G561,J$8:J561)-SUMIF(G$8:G561,G561,K$8:K561)+SUMIFS([1]内部转账!$G:$G,[1]内部转账!$C:$C,"&lt;="&amp;$D561,[1]内部转账!$E:$E,$G561)-SUMIFS([1]内部转账!$G:$G,[1]内部转账!$C:$C,"&lt;="&amp;$D561,[1]内部转账!$F:$F,$G561)),"")</f>
        <v>701680.299999999</v>
      </c>
      <c r="M561" s="64" t="s">
        <v>30</v>
      </c>
      <c r="N561" s="58" t="s">
        <v>31</v>
      </c>
      <c r="O561" s="64"/>
      <c r="P561" s="64" t="s">
        <v>31</v>
      </c>
      <c r="Q561" s="69"/>
      <c r="R561" s="69"/>
      <c r="S561" s="69"/>
    </row>
    <row r="562" s="2" customFormat="1" ht="24.95" customHeight="1" spans="1:19">
      <c r="A562" s="15"/>
      <c r="B562" s="55"/>
      <c r="C562" s="56"/>
      <c r="D562" s="68">
        <v>46036</v>
      </c>
      <c r="E562" s="69"/>
      <c r="F562" s="69" t="s">
        <v>26</v>
      </c>
      <c r="G562" s="65" t="s">
        <v>27</v>
      </c>
      <c r="H562" s="65" t="s">
        <v>28</v>
      </c>
      <c r="I562" s="70" t="s">
        <v>299</v>
      </c>
      <c r="J562" s="71"/>
      <c r="K562" s="71">
        <v>100000</v>
      </c>
      <c r="L562" s="72">
        <f>IFERROR(IF(G562="","",VLOOKUP($G562,[1]基础信息!$B:$C,2,FALSE)+SUMIF(G$8:G562,G562,J$8:J562)-SUMIF(G$8:G562,G562,K$8:K562)+SUMIFS([1]内部转账!$G:$G,[1]内部转账!$C:$C,"&lt;="&amp;$D562,[1]内部转账!$E:$E,$G562)-SUMIFS([1]内部转账!$G:$G,[1]内部转账!$C:$C,"&lt;="&amp;$D562,[1]内部转账!$F:$F,$G562)),"")</f>
        <v>601680.299999999</v>
      </c>
      <c r="M562" s="64" t="s">
        <v>30</v>
      </c>
      <c r="N562" s="69" t="s">
        <v>31</v>
      </c>
      <c r="O562" s="64"/>
      <c r="P562" s="64" t="s">
        <v>31</v>
      </c>
      <c r="Q562" s="69"/>
      <c r="R562" s="69"/>
      <c r="S562" s="69"/>
    </row>
    <row r="563" s="2" customFormat="1" ht="24.95" customHeight="1" spans="1:19">
      <c r="A563" s="15"/>
      <c r="B563" s="55"/>
      <c r="C563" s="56"/>
      <c r="D563" s="68">
        <v>46036</v>
      </c>
      <c r="E563" s="69"/>
      <c r="F563" s="69" t="s">
        <v>26</v>
      </c>
      <c r="G563" s="65" t="s">
        <v>287</v>
      </c>
      <c r="H563" s="65" t="s">
        <v>62</v>
      </c>
      <c r="I563" s="70" t="s">
        <v>79</v>
      </c>
      <c r="J563" s="71"/>
      <c r="K563" s="71">
        <v>281000</v>
      </c>
      <c r="L563" s="72">
        <f>IFERROR(IF(G563="","",VLOOKUP($G563,[1]基础信息!$B:$C,2,FALSE)+SUMIF(G$8:G563,G563,J$8:J563)-SUMIF(G$8:G563,G563,K$8:K563)+SUMIFS([1]内部转账!$G:$G,[1]内部转账!$C:$C,"&lt;="&amp;$D563,[1]内部转账!$E:$E,$G563)-SUMIFS([1]内部转账!$G:$G,[1]内部转账!$C:$C,"&lt;="&amp;$D563,[1]内部转账!$F:$F,$G563)),"")</f>
        <v>148</v>
      </c>
      <c r="M563" s="64" t="s">
        <v>150</v>
      </c>
      <c r="N563" s="69"/>
      <c r="O563" s="64"/>
      <c r="P563" s="64" t="s">
        <v>122</v>
      </c>
      <c r="Q563" s="69"/>
      <c r="R563" s="69"/>
      <c r="S563" s="69"/>
    </row>
    <row r="564" s="2" customFormat="1" ht="24.95" customHeight="1" spans="1:19">
      <c r="A564" s="15"/>
      <c r="B564" s="55"/>
      <c r="C564" s="56"/>
      <c r="D564" s="68">
        <v>46036</v>
      </c>
      <c r="E564" s="69"/>
      <c r="F564" s="69" t="s">
        <v>26</v>
      </c>
      <c r="G564" s="65" t="s">
        <v>287</v>
      </c>
      <c r="H564" s="65" t="s">
        <v>58</v>
      </c>
      <c r="I564" s="70" t="s">
        <v>300</v>
      </c>
      <c r="J564" s="71"/>
      <c r="K564" s="71">
        <v>0.01</v>
      </c>
      <c r="L564" s="72">
        <f>IFERROR(IF(G564="","",VLOOKUP($G564,[1]基础信息!$B:$C,2,FALSE)+SUMIF(G$8:G564,G564,J$8:J564)-SUMIF(G$8:G564,G564,K$8:K564)+SUMIFS([1]内部转账!$G:$G,[1]内部转账!$C:$C,"&lt;="&amp;$D564,[1]内部转账!$E:$E,$G564)-SUMIFS([1]内部转账!$G:$G,[1]内部转账!$C:$C,"&lt;="&amp;$D564,[1]内部转账!$F:$F,$G564)),"")</f>
        <v>147.989999999991</v>
      </c>
      <c r="M564" s="64" t="s">
        <v>150</v>
      </c>
      <c r="N564" s="69"/>
      <c r="O564" s="64"/>
      <c r="P564" s="64"/>
      <c r="Q564" s="69"/>
      <c r="R564" s="69"/>
      <c r="S564" s="69"/>
    </row>
    <row r="565" s="2" customFormat="1" ht="24.95" customHeight="1" spans="1:19">
      <c r="A565" s="15"/>
      <c r="B565" s="55"/>
      <c r="C565" s="56"/>
      <c r="D565" s="68">
        <v>46037</v>
      </c>
      <c r="E565" s="69"/>
      <c r="F565" s="69" t="s">
        <v>26</v>
      </c>
      <c r="G565" s="65" t="s">
        <v>27</v>
      </c>
      <c r="H565" s="65" t="s">
        <v>46</v>
      </c>
      <c r="I565" s="70" t="s">
        <v>69</v>
      </c>
      <c r="J565" s="71"/>
      <c r="K565" s="71">
        <v>4000</v>
      </c>
      <c r="L565" s="72">
        <f>IFERROR(IF(G565="","",VLOOKUP($G565,[1]基础信息!$B:$C,2,FALSE)+SUMIF(G$8:G565,G565,J$8:J565)-SUMIF(G$8:G565,G565,K$8:K565)+SUMIFS([1]内部转账!$G:$G,[1]内部转账!$C:$C,"&lt;="&amp;$D565,[1]内部转账!$E:$E,$G565)-SUMIFS([1]内部转账!$G:$G,[1]内部转账!$C:$C,"&lt;="&amp;$D565,[1]内部转账!$F:$F,$G565)),"")</f>
        <v>597680.299999999</v>
      </c>
      <c r="M565" s="64" t="s">
        <v>206</v>
      </c>
      <c r="N565" s="69"/>
      <c r="O565" s="64"/>
      <c r="P565" s="64"/>
      <c r="Q565" s="69"/>
      <c r="R565" s="69"/>
      <c r="S565" s="69"/>
    </row>
    <row r="566" s="2" customFormat="1" ht="24.95" customHeight="1" spans="1:19">
      <c r="A566" s="15"/>
      <c r="B566" s="55"/>
      <c r="C566" s="56"/>
      <c r="D566" s="68">
        <v>46037</v>
      </c>
      <c r="E566" s="69"/>
      <c r="F566" s="69" t="s">
        <v>26</v>
      </c>
      <c r="G566" s="65" t="s">
        <v>27</v>
      </c>
      <c r="H566" s="65" t="s">
        <v>46</v>
      </c>
      <c r="I566" s="70" t="s">
        <v>301</v>
      </c>
      <c r="J566" s="71"/>
      <c r="K566" s="71">
        <v>4000</v>
      </c>
      <c r="L566" s="72">
        <f>IFERROR(IF(G566="","",VLOOKUP($G566,[1]基础信息!$B:$C,2,FALSE)+SUMIF(G$8:G566,G566,J$8:J566)-SUMIF(G$8:G566,G566,K$8:K566)+SUMIFS([1]内部转账!$G:$G,[1]内部转账!$C:$C,"&lt;="&amp;$D566,[1]内部转账!$E:$E,$G566)-SUMIFS([1]内部转账!$G:$G,[1]内部转账!$C:$C,"&lt;="&amp;$D566,[1]内部转账!$F:$F,$G566)),"")</f>
        <v>593680.299999999</v>
      </c>
      <c r="M566" s="64" t="s">
        <v>206</v>
      </c>
      <c r="N566" s="69"/>
      <c r="O566" s="64"/>
      <c r="P566" s="64"/>
      <c r="Q566" s="69"/>
      <c r="R566" s="69"/>
      <c r="S566" s="69"/>
    </row>
    <row r="567" s="2" customFormat="1" ht="24.95" customHeight="1" spans="1:19">
      <c r="A567" s="15"/>
      <c r="B567" s="55"/>
      <c r="C567" s="56"/>
      <c r="D567" s="68">
        <v>46037</v>
      </c>
      <c r="E567" s="69"/>
      <c r="F567" s="69" t="s">
        <v>26</v>
      </c>
      <c r="G567" s="65" t="s">
        <v>27</v>
      </c>
      <c r="H567" s="65" t="s">
        <v>46</v>
      </c>
      <c r="I567" s="70" t="s">
        <v>96</v>
      </c>
      <c r="J567" s="71"/>
      <c r="K567" s="71">
        <v>4000</v>
      </c>
      <c r="L567" s="72">
        <f>IFERROR(IF(G567="","",VLOOKUP($G567,[1]基础信息!$B:$C,2,FALSE)+SUMIF(G$8:G567,G567,J$8:J567)-SUMIF(G$8:G567,G567,K$8:K567)+SUMIFS([1]内部转账!$G:$G,[1]内部转账!$C:$C,"&lt;="&amp;$D567,[1]内部转账!$E:$E,$G567)-SUMIFS([1]内部转账!$G:$G,[1]内部转账!$C:$C,"&lt;="&amp;$D567,[1]内部转账!$F:$F,$G567)),"")</f>
        <v>589680.299999999</v>
      </c>
      <c r="M567" s="64" t="s">
        <v>206</v>
      </c>
      <c r="N567" s="69"/>
      <c r="O567" s="64"/>
      <c r="P567" s="64"/>
      <c r="Q567" s="69"/>
      <c r="R567" s="69"/>
      <c r="S567" s="69"/>
    </row>
    <row r="568" s="2" customFormat="1" ht="24.95" customHeight="1" spans="1:19">
      <c r="A568" s="15"/>
      <c r="B568" s="55"/>
      <c r="C568" s="56"/>
      <c r="D568" s="68">
        <v>46037</v>
      </c>
      <c r="E568" s="69"/>
      <c r="F568" s="69" t="s">
        <v>26</v>
      </c>
      <c r="G568" s="65" t="s">
        <v>27</v>
      </c>
      <c r="H568" s="65" t="s">
        <v>46</v>
      </c>
      <c r="I568" s="70" t="s">
        <v>78</v>
      </c>
      <c r="J568" s="71"/>
      <c r="K568" s="71">
        <v>4000</v>
      </c>
      <c r="L568" s="72">
        <f>IFERROR(IF(G568="","",VLOOKUP($G568,[1]基础信息!$B:$C,2,FALSE)+SUMIF(G$8:G568,G568,J$8:J568)-SUMIF(G$8:G568,G568,K$8:K568)+SUMIFS([1]内部转账!$G:$G,[1]内部转账!$C:$C,"&lt;="&amp;$D568,[1]内部转账!$E:$E,$G568)-SUMIFS([1]内部转账!$G:$G,[1]内部转账!$C:$C,"&lt;="&amp;$D568,[1]内部转账!$F:$F,$G568)),"")</f>
        <v>585680.299999999</v>
      </c>
      <c r="M568" s="64" t="s">
        <v>206</v>
      </c>
      <c r="N568" s="69"/>
      <c r="O568" s="64"/>
      <c r="P568" s="64"/>
      <c r="Q568" s="69"/>
      <c r="R568" s="69"/>
      <c r="S568" s="69"/>
    </row>
    <row r="569" s="2" customFormat="1" ht="24.95" customHeight="1" spans="1:19">
      <c r="A569" s="15"/>
      <c r="B569" s="55"/>
      <c r="C569" s="56"/>
      <c r="D569" s="68">
        <v>46037</v>
      </c>
      <c r="E569" s="69"/>
      <c r="F569" s="69" t="s">
        <v>26</v>
      </c>
      <c r="G569" s="65" t="s">
        <v>27</v>
      </c>
      <c r="H569" s="65" t="s">
        <v>46</v>
      </c>
      <c r="I569" s="70" t="s">
        <v>250</v>
      </c>
      <c r="J569" s="71"/>
      <c r="K569" s="71">
        <v>10000</v>
      </c>
      <c r="L569" s="72">
        <f>IFERROR(IF(G569="","",VLOOKUP($G569,[1]基础信息!$B:$C,2,FALSE)+SUMIF(G$8:G569,G569,J$8:J569)-SUMIF(G$8:G569,G569,K$8:K569)+SUMIFS([1]内部转账!$G:$G,[1]内部转账!$C:$C,"&lt;="&amp;$D569,[1]内部转账!$E:$E,$G569)-SUMIFS([1]内部转账!$G:$G,[1]内部转账!$C:$C,"&lt;="&amp;$D569,[1]内部转账!$F:$F,$G569)),"")</f>
        <v>575680.299999999</v>
      </c>
      <c r="M569" s="64" t="s">
        <v>206</v>
      </c>
      <c r="N569" s="69"/>
      <c r="O569" s="64"/>
      <c r="P569" s="64"/>
      <c r="Q569" s="69"/>
      <c r="R569" s="69"/>
      <c r="S569" s="69"/>
    </row>
    <row r="570" s="2" customFormat="1" ht="24.95" customHeight="1" spans="1:19">
      <c r="A570" s="15"/>
      <c r="B570" s="55"/>
      <c r="C570" s="56"/>
      <c r="D570" s="68">
        <v>46037</v>
      </c>
      <c r="E570" s="69"/>
      <c r="F570" s="69" t="s">
        <v>26</v>
      </c>
      <c r="G570" s="65" t="s">
        <v>27</v>
      </c>
      <c r="H570" s="65" t="s">
        <v>46</v>
      </c>
      <c r="I570" s="70" t="s">
        <v>302</v>
      </c>
      <c r="J570" s="71"/>
      <c r="K570" s="71">
        <v>2000</v>
      </c>
      <c r="L570" s="72">
        <f>IFERROR(IF(G570="","",VLOOKUP($G570,[1]基础信息!$B:$C,2,FALSE)+SUMIF(G$8:G570,G570,J$8:J570)-SUMIF(G$8:G570,G570,K$8:K570)+SUMIFS([1]内部转账!$G:$G,[1]内部转账!$C:$C,"&lt;="&amp;$D570,[1]内部转账!$E:$E,$G570)-SUMIFS([1]内部转账!$G:$G,[1]内部转账!$C:$C,"&lt;="&amp;$D570,[1]内部转账!$F:$F,$G570)),"")</f>
        <v>573680.299999999</v>
      </c>
      <c r="M570" s="64" t="s">
        <v>206</v>
      </c>
      <c r="N570" s="69"/>
      <c r="O570" s="64"/>
      <c r="P570" s="64"/>
      <c r="Q570" s="69"/>
      <c r="R570" s="69"/>
      <c r="S570" s="69"/>
    </row>
    <row r="571" s="2" customFormat="1" ht="24.95" customHeight="1" spans="1:19">
      <c r="A571" s="15"/>
      <c r="B571" s="55"/>
      <c r="C571" s="56"/>
      <c r="D571" s="68">
        <v>46037</v>
      </c>
      <c r="E571" s="69"/>
      <c r="F571" s="69" t="s">
        <v>26</v>
      </c>
      <c r="G571" s="65" t="s">
        <v>27</v>
      </c>
      <c r="H571" s="65" t="s">
        <v>46</v>
      </c>
      <c r="I571" s="70" t="s">
        <v>303</v>
      </c>
      <c r="J571" s="71"/>
      <c r="K571" s="71">
        <v>2000</v>
      </c>
      <c r="L571" s="72">
        <f>IFERROR(IF(G571="","",VLOOKUP($G571,[1]基础信息!$B:$C,2,FALSE)+SUMIF(G$8:G571,G571,J$8:J571)-SUMIF(G$8:G571,G571,K$8:K571)+SUMIFS([1]内部转账!$G:$G,[1]内部转账!$C:$C,"&lt;="&amp;$D571,[1]内部转账!$E:$E,$G571)-SUMIFS([1]内部转账!$G:$G,[1]内部转账!$C:$C,"&lt;="&amp;$D571,[1]内部转账!$F:$F,$G571)),"")</f>
        <v>571680.299999999</v>
      </c>
      <c r="M571" s="64" t="s">
        <v>206</v>
      </c>
      <c r="N571" s="69"/>
      <c r="O571" s="64"/>
      <c r="P571" s="64"/>
      <c r="Q571" s="69"/>
      <c r="R571" s="69"/>
      <c r="S571" s="69"/>
    </row>
    <row r="572" s="2" customFormat="1" ht="24.95" customHeight="1" spans="1:19">
      <c r="A572" s="15"/>
      <c r="B572" s="55"/>
      <c r="C572" s="56"/>
      <c r="D572" s="68">
        <v>46037</v>
      </c>
      <c r="E572" s="69"/>
      <c r="F572" s="69" t="s">
        <v>26</v>
      </c>
      <c r="G572" s="65" t="s">
        <v>27</v>
      </c>
      <c r="H572" s="65" t="s">
        <v>46</v>
      </c>
      <c r="I572" s="70" t="s">
        <v>304</v>
      </c>
      <c r="J572" s="71"/>
      <c r="K572" s="71">
        <v>2500</v>
      </c>
      <c r="L572" s="72">
        <f>IFERROR(IF(G572="","",VLOOKUP($G572,[1]基础信息!$B:$C,2,FALSE)+SUMIF(G$8:G572,G572,J$8:J572)-SUMIF(G$8:G572,G572,K$8:K572)+SUMIFS([1]内部转账!$G:$G,[1]内部转账!$C:$C,"&lt;="&amp;$D572,[1]内部转账!$E:$E,$G572)-SUMIFS([1]内部转账!$G:$G,[1]内部转账!$C:$C,"&lt;="&amp;$D572,[1]内部转账!$F:$F,$G572)),"")</f>
        <v>569180.299999999</v>
      </c>
      <c r="M572" s="64" t="s">
        <v>206</v>
      </c>
      <c r="N572" s="69"/>
      <c r="O572" s="64"/>
      <c r="P572" s="64"/>
      <c r="Q572" s="69"/>
      <c r="R572" s="69"/>
      <c r="S572" s="69"/>
    </row>
    <row r="573" s="2" customFormat="1" ht="24.95" customHeight="1" spans="1:19">
      <c r="A573" s="15"/>
      <c r="B573" s="55"/>
      <c r="C573" s="56"/>
      <c r="D573" s="68">
        <v>46037</v>
      </c>
      <c r="E573" s="69"/>
      <c r="F573" s="69" t="s">
        <v>26</v>
      </c>
      <c r="G573" s="65" t="s">
        <v>27</v>
      </c>
      <c r="H573" s="65" t="s">
        <v>46</v>
      </c>
      <c r="I573" s="70" t="s">
        <v>305</v>
      </c>
      <c r="J573" s="71"/>
      <c r="K573" s="71">
        <v>1675</v>
      </c>
      <c r="L573" s="72">
        <f>IFERROR(IF(G573="","",VLOOKUP($G573,[1]基础信息!$B:$C,2,FALSE)+SUMIF(G$8:G573,G573,J$8:J573)-SUMIF(G$8:G573,G573,K$8:K573)+SUMIFS([1]内部转账!$G:$G,[1]内部转账!$C:$C,"&lt;="&amp;$D573,[1]内部转账!$E:$E,$G573)-SUMIFS([1]内部转账!$G:$G,[1]内部转账!$C:$C,"&lt;="&amp;$D573,[1]内部转账!$F:$F,$G573)),"")</f>
        <v>567505.299999999</v>
      </c>
      <c r="M573" s="64" t="s">
        <v>206</v>
      </c>
      <c r="N573" s="69"/>
      <c r="O573" s="64"/>
      <c r="P573" s="64"/>
      <c r="Q573" s="69"/>
      <c r="R573" s="69"/>
      <c r="S573" s="69"/>
    </row>
    <row r="574" s="2" customFormat="1" ht="24.95" customHeight="1" spans="1:19">
      <c r="A574" s="15"/>
      <c r="B574" s="55"/>
      <c r="C574" s="56"/>
      <c r="D574" s="68">
        <v>46037</v>
      </c>
      <c r="E574" s="69"/>
      <c r="F574" s="69" t="s">
        <v>26</v>
      </c>
      <c r="G574" s="65" t="s">
        <v>27</v>
      </c>
      <c r="H574" s="65" t="s">
        <v>46</v>
      </c>
      <c r="I574" s="70" t="s">
        <v>306</v>
      </c>
      <c r="J574" s="71"/>
      <c r="K574" s="71">
        <v>1000</v>
      </c>
      <c r="L574" s="72">
        <f>IFERROR(IF(G574="","",VLOOKUP($G574,[1]基础信息!$B:$C,2,FALSE)+SUMIF(G$8:G574,G574,J$8:J574)-SUMIF(G$8:G574,G574,K$8:K574)+SUMIFS([1]内部转账!$G:$G,[1]内部转账!$C:$C,"&lt;="&amp;$D574,[1]内部转账!$E:$E,$G574)-SUMIFS([1]内部转账!$G:$G,[1]内部转账!$C:$C,"&lt;="&amp;$D574,[1]内部转账!$F:$F,$G574)),"")</f>
        <v>566505.299999999</v>
      </c>
      <c r="M574" s="64" t="s">
        <v>206</v>
      </c>
      <c r="N574" s="69"/>
      <c r="O574" s="64"/>
      <c r="P574" s="64"/>
      <c r="Q574" s="69"/>
      <c r="R574" s="69"/>
      <c r="S574" s="69"/>
    </row>
    <row r="575" s="2" customFormat="1" ht="24.95" customHeight="1" spans="1:19">
      <c r="A575" s="15"/>
      <c r="B575" s="55"/>
      <c r="C575" s="56"/>
      <c r="D575" s="68">
        <v>46037</v>
      </c>
      <c r="E575" s="69"/>
      <c r="F575" s="69" t="s">
        <v>26</v>
      </c>
      <c r="G575" s="65" t="s">
        <v>27</v>
      </c>
      <c r="H575" s="65" t="s">
        <v>138</v>
      </c>
      <c r="I575" s="70" t="s">
        <v>228</v>
      </c>
      <c r="J575" s="71"/>
      <c r="K575" s="71">
        <v>20000</v>
      </c>
      <c r="L575" s="72">
        <f>IFERROR(IF(G575="","",VLOOKUP($G575,[1]基础信息!$B:$C,2,FALSE)+SUMIF(G$8:G575,G575,J$8:J575)-SUMIF(G$8:G575,G575,K$8:K575)+SUMIFS([1]内部转账!$G:$G,[1]内部转账!$C:$C,"&lt;="&amp;$D575,[1]内部转账!$E:$E,$G575)-SUMIFS([1]内部转账!$G:$G,[1]内部转账!$C:$C,"&lt;="&amp;$D575,[1]内部转账!$F:$F,$G575)),"")</f>
        <v>546505.299999999</v>
      </c>
      <c r="M575" s="64" t="s">
        <v>166</v>
      </c>
      <c r="N575" s="69" t="s">
        <v>229</v>
      </c>
      <c r="O575" s="64"/>
      <c r="P575" s="64" t="s">
        <v>229</v>
      </c>
      <c r="Q575" s="69"/>
      <c r="R575" s="69"/>
      <c r="S575" s="69"/>
    </row>
    <row r="576" s="2" customFormat="1" ht="24.95" customHeight="1" spans="1:19">
      <c r="A576" s="15"/>
      <c r="B576" s="55"/>
      <c r="C576" s="56"/>
      <c r="D576" s="68">
        <v>46037</v>
      </c>
      <c r="E576" s="69"/>
      <c r="F576" s="69" t="s">
        <v>26</v>
      </c>
      <c r="G576" s="65" t="s">
        <v>27</v>
      </c>
      <c r="H576" s="65" t="s">
        <v>138</v>
      </c>
      <c r="I576" s="70" t="s">
        <v>307</v>
      </c>
      <c r="J576" s="71"/>
      <c r="K576" s="71">
        <v>15000</v>
      </c>
      <c r="L576" s="72">
        <f>IFERROR(IF(G576="","",VLOOKUP($G576,[1]基础信息!$B:$C,2,FALSE)+SUMIF(G$8:G576,G576,J$8:J576)-SUMIF(G$8:G576,G576,K$8:K576)+SUMIFS([1]内部转账!$G:$G,[1]内部转账!$C:$C,"&lt;="&amp;$D576,[1]内部转账!$E:$E,$G576)-SUMIFS([1]内部转账!$G:$G,[1]内部转账!$C:$C,"&lt;="&amp;$D576,[1]内部转账!$F:$F,$G576)),"")</f>
        <v>531505.299999999</v>
      </c>
      <c r="M576" s="64" t="s">
        <v>166</v>
      </c>
      <c r="N576" s="69" t="s">
        <v>229</v>
      </c>
      <c r="O576" s="64"/>
      <c r="P576" s="64" t="s">
        <v>229</v>
      </c>
      <c r="Q576" s="69"/>
      <c r="R576" s="69"/>
      <c r="S576" s="69"/>
    </row>
    <row r="577" s="2" customFormat="1" ht="24.95" customHeight="1" spans="1:19">
      <c r="A577" s="15"/>
      <c r="B577" s="55"/>
      <c r="C577" s="56"/>
      <c r="D577" s="68">
        <v>46037</v>
      </c>
      <c r="E577" s="69"/>
      <c r="F577" s="69" t="s">
        <v>26</v>
      </c>
      <c r="G577" s="65" t="s">
        <v>27</v>
      </c>
      <c r="H577" s="65" t="s">
        <v>138</v>
      </c>
      <c r="I577" s="70" t="s">
        <v>308</v>
      </c>
      <c r="J577" s="71"/>
      <c r="K577" s="71">
        <v>15000</v>
      </c>
      <c r="L577" s="72">
        <f>IFERROR(IF(G577="","",VLOOKUP($G577,[1]基础信息!$B:$C,2,FALSE)+SUMIF(G$8:G577,G577,J$8:J577)-SUMIF(G$8:G577,G577,K$8:K577)+SUMIFS([1]内部转账!$G:$G,[1]内部转账!$C:$C,"&lt;="&amp;$D577,[1]内部转账!$E:$E,$G577)-SUMIFS([1]内部转账!$G:$G,[1]内部转账!$C:$C,"&lt;="&amp;$D577,[1]内部转账!$F:$F,$G577)),"")</f>
        <v>516505.299999999</v>
      </c>
      <c r="M577" s="64" t="s">
        <v>166</v>
      </c>
      <c r="N577" s="69" t="s">
        <v>229</v>
      </c>
      <c r="O577" s="64"/>
      <c r="P577" s="64" t="s">
        <v>229</v>
      </c>
      <c r="Q577" s="69"/>
      <c r="R577" s="69"/>
      <c r="S577" s="69"/>
    </row>
    <row r="578" s="2" customFormat="1" ht="24.95" customHeight="1" spans="1:19">
      <c r="A578" s="15"/>
      <c r="B578" s="55"/>
      <c r="C578" s="56"/>
      <c r="D578" s="68">
        <v>46037</v>
      </c>
      <c r="E578" s="69"/>
      <c r="F578" s="69" t="s">
        <v>26</v>
      </c>
      <c r="G578" s="65" t="s">
        <v>27</v>
      </c>
      <c r="H578" s="65" t="s">
        <v>46</v>
      </c>
      <c r="I578" s="70" t="s">
        <v>309</v>
      </c>
      <c r="J578" s="71"/>
      <c r="K578" s="71">
        <v>4000</v>
      </c>
      <c r="L578" s="72">
        <f>IFERROR(IF(G578="","",VLOOKUP($G578,[1]基础信息!$B:$C,2,FALSE)+SUMIF(G$8:G578,G578,J$8:J578)-SUMIF(G$8:G578,G578,K$8:K578)+SUMIFS([1]内部转账!$G:$G,[1]内部转账!$C:$C,"&lt;="&amp;$D578,[1]内部转账!$E:$E,$G578)-SUMIFS([1]内部转账!$G:$G,[1]内部转账!$C:$C,"&lt;="&amp;$D578,[1]内部转账!$F:$F,$G578)),"")</f>
        <v>512505.299999999</v>
      </c>
      <c r="M578" s="64" t="s">
        <v>150</v>
      </c>
      <c r="N578" s="69"/>
      <c r="O578" s="64"/>
      <c r="P578" s="64"/>
      <c r="Q578" s="69"/>
      <c r="R578" s="69"/>
      <c r="S578" s="69"/>
    </row>
    <row r="579" s="2" customFormat="1" ht="24.95" customHeight="1" spans="1:19">
      <c r="A579" s="15"/>
      <c r="B579" s="55"/>
      <c r="C579" s="56"/>
      <c r="D579" s="68">
        <v>46037</v>
      </c>
      <c r="E579" s="69"/>
      <c r="F579" s="69" t="s">
        <v>26</v>
      </c>
      <c r="G579" s="65" t="s">
        <v>27</v>
      </c>
      <c r="H579" s="65" t="s">
        <v>46</v>
      </c>
      <c r="I579" s="70" t="s">
        <v>85</v>
      </c>
      <c r="J579" s="71"/>
      <c r="K579" s="71">
        <v>4000</v>
      </c>
      <c r="L579" s="72">
        <f>IFERROR(IF(G579="","",VLOOKUP($G579,[1]基础信息!$B:$C,2,FALSE)+SUMIF(G$8:G579,G579,J$8:J579)-SUMIF(G$8:G579,G579,K$8:K579)+SUMIFS([1]内部转账!$G:$G,[1]内部转账!$C:$C,"&lt;="&amp;$D579,[1]内部转账!$E:$E,$G579)-SUMIFS([1]内部转账!$G:$G,[1]内部转账!$C:$C,"&lt;="&amp;$D579,[1]内部转账!$F:$F,$G579)),"")</f>
        <v>508505.299999999</v>
      </c>
      <c r="M579" s="64" t="s">
        <v>150</v>
      </c>
      <c r="N579" s="69"/>
      <c r="O579" s="64"/>
      <c r="P579" s="64"/>
      <c r="Q579" s="69"/>
      <c r="R579" s="69"/>
      <c r="S579" s="69"/>
    </row>
    <row r="580" s="2" customFormat="1" ht="24.95" customHeight="1" spans="1:19">
      <c r="A580" s="15"/>
      <c r="B580" s="55"/>
      <c r="C580" s="56"/>
      <c r="D580" s="68">
        <v>46037</v>
      </c>
      <c r="E580" s="69"/>
      <c r="F580" s="69" t="s">
        <v>26</v>
      </c>
      <c r="G580" s="65" t="s">
        <v>27</v>
      </c>
      <c r="H580" s="65" t="s">
        <v>46</v>
      </c>
      <c r="I580" s="70" t="s">
        <v>310</v>
      </c>
      <c r="J580" s="71"/>
      <c r="K580" s="71">
        <v>2000</v>
      </c>
      <c r="L580" s="72">
        <f>IFERROR(IF(G580="","",VLOOKUP($G580,[1]基础信息!$B:$C,2,FALSE)+SUMIF(G$8:G580,G580,J$8:J580)-SUMIF(G$8:G580,G580,K$8:K580)+SUMIFS([1]内部转账!$G:$G,[1]内部转账!$C:$C,"&lt;="&amp;$D580,[1]内部转账!$E:$E,$G580)-SUMIFS([1]内部转账!$G:$G,[1]内部转账!$C:$C,"&lt;="&amp;$D580,[1]内部转账!$F:$F,$G580)),"")</f>
        <v>506505.299999999</v>
      </c>
      <c r="M580" s="64" t="s">
        <v>150</v>
      </c>
      <c r="N580" s="69"/>
      <c r="O580" s="64"/>
      <c r="P580" s="64"/>
      <c r="Q580" s="69"/>
      <c r="R580" s="69"/>
      <c r="S580" s="69"/>
    </row>
    <row r="581" s="2" customFormat="1" ht="24.95" customHeight="1" spans="1:19">
      <c r="A581" s="15"/>
      <c r="B581" s="55"/>
      <c r="C581" s="56"/>
      <c r="D581" s="68">
        <v>46037</v>
      </c>
      <c r="E581" s="69"/>
      <c r="F581" s="69" t="s">
        <v>26</v>
      </c>
      <c r="G581" s="65" t="s">
        <v>27</v>
      </c>
      <c r="H581" s="65" t="s">
        <v>46</v>
      </c>
      <c r="I581" s="70" t="s">
        <v>311</v>
      </c>
      <c r="J581" s="71"/>
      <c r="K581" s="71">
        <v>10000</v>
      </c>
      <c r="L581" s="72">
        <f>IFERROR(IF(G581="","",VLOOKUP($G581,[1]基础信息!$B:$C,2,FALSE)+SUMIF(G$8:G581,G581,J$8:J581)-SUMIF(G$8:G581,G581,K$8:K581)+SUMIFS([1]内部转账!$G:$G,[1]内部转账!$C:$C,"&lt;="&amp;$D581,[1]内部转账!$E:$E,$G581)-SUMIFS([1]内部转账!$G:$G,[1]内部转账!$C:$C,"&lt;="&amp;$D581,[1]内部转账!$F:$F,$G581)),"")</f>
        <v>496505.299999999</v>
      </c>
      <c r="M581" s="64" t="s">
        <v>150</v>
      </c>
      <c r="N581" s="69"/>
      <c r="O581" s="64"/>
      <c r="P581" s="64"/>
      <c r="Q581" s="69"/>
      <c r="R581" s="69"/>
      <c r="S581" s="69"/>
    </row>
    <row r="582" s="2" customFormat="1" ht="24.95" customHeight="1" spans="1:19">
      <c r="A582" s="15"/>
      <c r="B582" s="55"/>
      <c r="C582" s="56"/>
      <c r="D582" s="68">
        <v>46037</v>
      </c>
      <c r="E582" s="69"/>
      <c r="F582" s="69" t="s">
        <v>26</v>
      </c>
      <c r="G582" s="65" t="s">
        <v>27</v>
      </c>
      <c r="H582" s="65" t="s">
        <v>46</v>
      </c>
      <c r="I582" s="70" t="s">
        <v>312</v>
      </c>
      <c r="J582" s="71"/>
      <c r="K582" s="71">
        <v>4000</v>
      </c>
      <c r="L582" s="72">
        <f>IFERROR(IF(G582="","",VLOOKUP($G582,[1]基础信息!$B:$C,2,FALSE)+SUMIF(G$8:G582,G582,J$8:J582)-SUMIF(G$8:G582,G582,K$8:K582)+SUMIFS([1]内部转账!$G:$G,[1]内部转账!$C:$C,"&lt;="&amp;$D582,[1]内部转账!$E:$E,$G582)-SUMIFS([1]内部转账!$G:$G,[1]内部转账!$C:$C,"&lt;="&amp;$D582,[1]内部转账!$F:$F,$G582)),"")</f>
        <v>492505.299999999</v>
      </c>
      <c r="M582" s="64" t="s">
        <v>150</v>
      </c>
      <c r="N582" s="69"/>
      <c r="O582" s="64"/>
      <c r="P582" s="64"/>
      <c r="Q582" s="69"/>
      <c r="R582" s="69"/>
      <c r="S582" s="69"/>
    </row>
    <row r="583" s="2" customFormat="1" ht="24.95" customHeight="1" spans="1:19">
      <c r="A583" s="15"/>
      <c r="B583" s="55"/>
      <c r="C583" s="56"/>
      <c r="D583" s="68">
        <v>46037</v>
      </c>
      <c r="E583" s="69"/>
      <c r="F583" s="69" t="s">
        <v>26</v>
      </c>
      <c r="G583" s="65" t="s">
        <v>27</v>
      </c>
      <c r="H583" s="65" t="s">
        <v>62</v>
      </c>
      <c r="I583" s="70" t="s">
        <v>313</v>
      </c>
      <c r="J583" s="71"/>
      <c r="K583" s="71">
        <v>11298</v>
      </c>
      <c r="L583" s="72">
        <f>IFERROR(IF(G583="","",VLOOKUP($G583,[1]基础信息!$B:$C,2,FALSE)+SUMIF(G$8:G583,G583,J$8:J583)-SUMIF(G$8:G583,G583,K$8:K583)+SUMIFS([1]内部转账!$G:$G,[1]内部转账!$C:$C,"&lt;="&amp;$D583,[1]内部转账!$E:$E,$G583)-SUMIFS([1]内部转账!$G:$G,[1]内部转账!$C:$C,"&lt;="&amp;$D583,[1]内部转账!$F:$F,$G583)),"")</f>
        <v>481207.299999999</v>
      </c>
      <c r="M583" s="64" t="s">
        <v>150</v>
      </c>
      <c r="N583" s="69"/>
      <c r="O583" s="64"/>
      <c r="P583" s="64" t="s">
        <v>314</v>
      </c>
      <c r="Q583" s="69"/>
      <c r="R583" s="69"/>
      <c r="S583" s="69"/>
    </row>
    <row r="584" s="2" customFormat="1" ht="24.95" customHeight="1" spans="1:19">
      <c r="A584" s="15"/>
      <c r="B584" s="55"/>
      <c r="C584" s="56"/>
      <c r="D584" s="68">
        <v>46037</v>
      </c>
      <c r="E584" s="69"/>
      <c r="F584" s="69" t="s">
        <v>26</v>
      </c>
      <c r="G584" s="65" t="s">
        <v>27</v>
      </c>
      <c r="H584" s="65" t="s">
        <v>62</v>
      </c>
      <c r="I584" s="70" t="s">
        <v>313</v>
      </c>
      <c r="J584" s="71"/>
      <c r="K584" s="71">
        <v>-11298</v>
      </c>
      <c r="L584" s="72">
        <f>IFERROR(IF(G584="","",VLOOKUP($G584,[1]基础信息!$B:$C,2,FALSE)+SUMIF(G$8:G584,G584,J$8:J584)-SUMIF(G$8:G584,G584,K$8:K584)+SUMIFS([1]内部转账!$G:$G,[1]内部转账!$C:$C,"&lt;="&amp;$D584,[1]内部转账!$E:$E,$G584)-SUMIFS([1]内部转账!$G:$G,[1]内部转账!$C:$C,"&lt;="&amp;$D584,[1]内部转账!$F:$F,$G584)),"")</f>
        <v>492505.299999999</v>
      </c>
      <c r="M584" s="64" t="s">
        <v>150</v>
      </c>
      <c r="N584" s="69"/>
      <c r="O584" s="64"/>
      <c r="P584" s="64" t="s">
        <v>314</v>
      </c>
      <c r="Q584" s="69"/>
      <c r="R584" s="69"/>
      <c r="S584" s="69"/>
    </row>
    <row r="585" s="2" customFormat="1" ht="24.95" customHeight="1" spans="1:19">
      <c r="A585" s="15"/>
      <c r="B585" s="55"/>
      <c r="C585" s="56"/>
      <c r="D585" s="68">
        <v>46037</v>
      </c>
      <c r="E585" s="69"/>
      <c r="F585" s="69" t="s">
        <v>26</v>
      </c>
      <c r="G585" s="65" t="s">
        <v>27</v>
      </c>
      <c r="H585" s="65" t="s">
        <v>62</v>
      </c>
      <c r="I585" s="70" t="s">
        <v>313</v>
      </c>
      <c r="J585" s="71"/>
      <c r="K585" s="71">
        <v>2866</v>
      </c>
      <c r="L585" s="72">
        <f>IFERROR(IF(G585="","",VLOOKUP($G585,[1]基础信息!$B:$C,2,FALSE)+SUMIF(G$8:G585,G585,J$8:J585)-SUMIF(G$8:G585,G585,K$8:K585)+SUMIFS([1]内部转账!$G:$G,[1]内部转账!$C:$C,"&lt;="&amp;$D585,[1]内部转账!$E:$E,$G585)-SUMIFS([1]内部转账!$G:$G,[1]内部转账!$C:$C,"&lt;="&amp;$D585,[1]内部转账!$F:$F,$G585)),"")</f>
        <v>489639.299999999</v>
      </c>
      <c r="M585" s="64" t="s">
        <v>206</v>
      </c>
      <c r="N585" s="69"/>
      <c r="O585" s="64"/>
      <c r="P585" s="64" t="s">
        <v>314</v>
      </c>
      <c r="Q585" s="69"/>
      <c r="R585" s="69"/>
      <c r="S585" s="69"/>
    </row>
    <row r="586" s="2" customFormat="1" ht="24.95" customHeight="1" spans="1:19">
      <c r="A586" s="15"/>
      <c r="B586" s="55"/>
      <c r="C586" s="56"/>
      <c r="D586" s="68">
        <v>46037</v>
      </c>
      <c r="E586" s="69"/>
      <c r="F586" s="69" t="s">
        <v>26</v>
      </c>
      <c r="G586" s="65" t="s">
        <v>27</v>
      </c>
      <c r="H586" s="65" t="s">
        <v>62</v>
      </c>
      <c r="I586" s="70" t="s">
        <v>313</v>
      </c>
      <c r="J586" s="71"/>
      <c r="K586" s="71">
        <v>8432</v>
      </c>
      <c r="L586" s="72">
        <f>IFERROR(IF(G586="","",VLOOKUP($G586,[1]基础信息!$B:$C,2,FALSE)+SUMIF(G$8:G586,G586,J$8:J586)-SUMIF(G$8:G586,G586,K$8:K586)+SUMIFS([1]内部转账!$G:$G,[1]内部转账!$C:$C,"&lt;="&amp;$D586,[1]内部转账!$E:$E,$G586)-SUMIFS([1]内部转账!$G:$G,[1]内部转账!$C:$C,"&lt;="&amp;$D586,[1]内部转账!$F:$F,$G586)),"")</f>
        <v>481207.299999999</v>
      </c>
      <c r="M586" s="64" t="s">
        <v>150</v>
      </c>
      <c r="N586" s="69"/>
      <c r="O586" s="64"/>
      <c r="P586" s="64" t="s">
        <v>314</v>
      </c>
      <c r="Q586" s="69"/>
      <c r="R586" s="69"/>
      <c r="S586" s="69"/>
    </row>
    <row r="587" s="2" customFormat="1" ht="24.95" customHeight="1" spans="1:19">
      <c r="A587" s="15"/>
      <c r="B587" s="55"/>
      <c r="C587" s="56"/>
      <c r="D587" s="68">
        <v>46038</v>
      </c>
      <c r="E587" s="69"/>
      <c r="F587" s="69" t="s">
        <v>26</v>
      </c>
      <c r="G587" s="65" t="s">
        <v>27</v>
      </c>
      <c r="H587" s="65" t="s">
        <v>138</v>
      </c>
      <c r="I587" s="70" t="s">
        <v>207</v>
      </c>
      <c r="J587" s="71"/>
      <c r="K587" s="71">
        <v>60000</v>
      </c>
      <c r="L587" s="72">
        <f>IFERROR(IF(G587="","",VLOOKUP($G587,[1]基础信息!$B:$C,2,FALSE)+SUMIF(G$8:G587,G587,J$8:J587)-SUMIF(G$8:G587,G587,K$8:K587)+SUMIFS([1]内部转账!$G:$G,[1]内部转账!$C:$C,"&lt;="&amp;$D587,[1]内部转账!$E:$E,$G587)-SUMIFS([1]内部转账!$G:$G,[1]内部转账!$C:$C,"&lt;="&amp;$D587,[1]内部转账!$F:$F,$G587)),"")</f>
        <v>421207.299999999</v>
      </c>
      <c r="M587" s="64" t="s">
        <v>150</v>
      </c>
      <c r="N587" s="69"/>
      <c r="O587" s="64"/>
      <c r="P587" s="64" t="s">
        <v>263</v>
      </c>
      <c r="Q587" s="69"/>
      <c r="R587" s="69"/>
      <c r="S587" s="69"/>
    </row>
    <row r="588" s="2" customFormat="1" ht="24.95" customHeight="1" spans="1:19">
      <c r="A588" s="15"/>
      <c r="B588" s="55"/>
      <c r="C588" s="56"/>
      <c r="D588" s="68">
        <v>46038</v>
      </c>
      <c r="E588" s="69"/>
      <c r="F588" s="69" t="s">
        <v>26</v>
      </c>
      <c r="G588" s="65" t="s">
        <v>27</v>
      </c>
      <c r="H588" s="65" t="s">
        <v>138</v>
      </c>
      <c r="I588" s="70" t="s">
        <v>226</v>
      </c>
      <c r="J588" s="71"/>
      <c r="K588" s="71">
        <v>7772</v>
      </c>
      <c r="L588" s="72">
        <f>IFERROR(IF(G588="","",VLOOKUP($G588,[1]基础信息!$B:$C,2,FALSE)+SUMIF(G$8:G588,G588,J$8:J588)-SUMIF(G$8:G588,G588,K$8:K588)+SUMIFS([1]内部转账!$G:$G,[1]内部转账!$C:$C,"&lt;="&amp;$D588,[1]内部转账!$E:$E,$G588)-SUMIFS([1]内部转账!$G:$G,[1]内部转账!$C:$C,"&lt;="&amp;$D588,[1]内部转账!$F:$F,$G588)),"")</f>
        <v>413435.299999999</v>
      </c>
      <c r="M588" s="64" t="s">
        <v>166</v>
      </c>
      <c r="N588" s="69"/>
      <c r="O588" s="64"/>
      <c r="P588" s="64" t="s">
        <v>227</v>
      </c>
      <c r="Q588" s="69"/>
      <c r="R588" s="69"/>
      <c r="S588" s="69"/>
    </row>
    <row r="589" s="2" customFormat="1" ht="24.95" customHeight="1" spans="1:19">
      <c r="A589" s="15"/>
      <c r="B589" s="55"/>
      <c r="C589" s="56"/>
      <c r="D589" s="68">
        <v>46038</v>
      </c>
      <c r="E589" s="69"/>
      <c r="F589" s="69" t="s">
        <v>26</v>
      </c>
      <c r="G589" s="65" t="s">
        <v>27</v>
      </c>
      <c r="H589" s="65" t="s">
        <v>138</v>
      </c>
      <c r="I589" s="70" t="s">
        <v>226</v>
      </c>
      <c r="J589" s="71"/>
      <c r="K589" s="71">
        <v>2230</v>
      </c>
      <c r="L589" s="72">
        <f>IFERROR(IF(G589="","",VLOOKUP($G589,[1]基础信息!$B:$C,2,FALSE)+SUMIF(G$8:G589,G589,J$8:J589)-SUMIF(G$8:G589,G589,K$8:K589)+SUMIFS([1]内部转账!$G:$G,[1]内部转账!$C:$C,"&lt;="&amp;$D589,[1]内部转账!$E:$E,$G589)-SUMIFS([1]内部转账!$G:$G,[1]内部转账!$C:$C,"&lt;="&amp;$D589,[1]内部转账!$F:$F,$G589)),"")</f>
        <v>411205.299999999</v>
      </c>
      <c r="M589" s="64" t="s">
        <v>166</v>
      </c>
      <c r="N589" s="69"/>
      <c r="O589" s="64"/>
      <c r="P589" s="64" t="s">
        <v>227</v>
      </c>
      <c r="Q589" s="69"/>
      <c r="R589" s="69"/>
      <c r="S589" s="69"/>
    </row>
    <row r="590" s="2" customFormat="1" ht="24.95" customHeight="1" spans="1:19">
      <c r="A590" s="15"/>
      <c r="B590" s="55"/>
      <c r="C590" s="56"/>
      <c r="D590" s="68">
        <v>46038</v>
      </c>
      <c r="E590" s="69"/>
      <c r="F590" s="69" t="s">
        <v>26</v>
      </c>
      <c r="G590" s="65" t="s">
        <v>27</v>
      </c>
      <c r="H590" s="65" t="s">
        <v>213</v>
      </c>
      <c r="I590" s="70" t="s">
        <v>315</v>
      </c>
      <c r="J590" s="71"/>
      <c r="K590" s="71">
        <v>40000</v>
      </c>
      <c r="L590" s="72">
        <f>IFERROR(IF(G590="","",VLOOKUP($G590,[1]基础信息!$B:$C,2,FALSE)+SUMIF(G$8:G590,G590,J$8:J590)-SUMIF(G$8:G590,G590,K$8:K590)+SUMIFS([1]内部转账!$G:$G,[1]内部转账!$C:$C,"&lt;="&amp;$D590,[1]内部转账!$E:$E,$G590)-SUMIFS([1]内部转账!$G:$G,[1]内部转账!$C:$C,"&lt;="&amp;$D590,[1]内部转账!$F:$F,$G590)),"")</f>
        <v>371205.299999999</v>
      </c>
      <c r="M590" s="64" t="s">
        <v>30</v>
      </c>
      <c r="N590" s="69" t="s">
        <v>92</v>
      </c>
      <c r="O590" s="64"/>
      <c r="P590" s="64" t="s">
        <v>92</v>
      </c>
      <c r="Q590" s="69"/>
      <c r="R590" s="69"/>
      <c r="S590" s="69"/>
    </row>
    <row r="591" s="2" customFormat="1" ht="24.95" customHeight="1" spans="1:19">
      <c r="A591" s="15"/>
      <c r="B591" s="55"/>
      <c r="C591" s="56"/>
      <c r="D591" s="68">
        <v>46042</v>
      </c>
      <c r="E591" s="69"/>
      <c r="F591" s="69" t="s">
        <v>26</v>
      </c>
      <c r="G591" s="65" t="s">
        <v>27</v>
      </c>
      <c r="H591" s="65" t="s">
        <v>83</v>
      </c>
      <c r="I591" s="70" t="s">
        <v>316</v>
      </c>
      <c r="J591" s="71"/>
      <c r="K591" s="71">
        <v>6719.61</v>
      </c>
      <c r="L591" s="72">
        <f>IFERROR(IF(G591="","",VLOOKUP($G591,[1]基础信息!$B:$C,2,FALSE)+SUMIF(G$8:G591,G591,J$8:J591)-SUMIF(G$8:G591,G591,K$8:K591)+SUMIFS([1]内部转账!$G:$G,[1]内部转账!$C:$C,"&lt;="&amp;$D591,[1]内部转账!$E:$E,$G591)-SUMIFS([1]内部转账!$G:$G,[1]内部转账!$C:$C,"&lt;="&amp;$D591,[1]内部转账!$F:$F,$G591)),"")</f>
        <v>364485.689999999</v>
      </c>
      <c r="M591" s="64" t="s">
        <v>35</v>
      </c>
      <c r="N591" s="69"/>
      <c r="O591" s="64"/>
      <c r="P591" s="64"/>
      <c r="Q591" s="69"/>
      <c r="R591" s="69"/>
      <c r="S591" s="69"/>
    </row>
    <row r="592" s="2" customFormat="1" ht="24.95" customHeight="1" spans="1:19">
      <c r="A592" s="15"/>
      <c r="B592" s="55"/>
      <c r="C592" s="56"/>
      <c r="D592" s="68">
        <v>46042</v>
      </c>
      <c r="E592" s="69"/>
      <c r="F592" s="69" t="s">
        <v>26</v>
      </c>
      <c r="G592" s="65" t="s">
        <v>27</v>
      </c>
      <c r="H592" s="65" t="s">
        <v>62</v>
      </c>
      <c r="I592" s="70" t="s">
        <v>211</v>
      </c>
      <c r="J592" s="71"/>
      <c r="K592" s="71">
        <v>2992</v>
      </c>
      <c r="L592" s="72">
        <f>IFERROR(IF(G592="","",VLOOKUP($G592,[1]基础信息!$B:$C,2,FALSE)+SUMIF(G$8:G592,G592,J$8:J592)-SUMIF(G$8:G592,G592,K$8:K592)+SUMIFS([1]内部转账!$G:$G,[1]内部转账!$C:$C,"&lt;="&amp;$D592,[1]内部转账!$E:$E,$G592)-SUMIFS([1]内部转账!$G:$G,[1]内部转账!$C:$C,"&lt;="&amp;$D592,[1]内部转账!$F:$F,$G592)),"")</f>
        <v>361493.689999999</v>
      </c>
      <c r="M592" s="64" t="s">
        <v>317</v>
      </c>
      <c r="N592" s="69"/>
      <c r="O592" s="64"/>
      <c r="P592" s="64" t="s">
        <v>212</v>
      </c>
      <c r="Q592" s="69"/>
      <c r="R592" s="69"/>
      <c r="S592" s="69"/>
    </row>
    <row r="593" s="2" customFormat="1" ht="24.95" customHeight="1" spans="1:19">
      <c r="A593" s="15"/>
      <c r="B593" s="55"/>
      <c r="C593" s="56"/>
      <c r="D593" s="68">
        <v>46042</v>
      </c>
      <c r="E593" s="69"/>
      <c r="F593" s="69" t="s">
        <v>26</v>
      </c>
      <c r="G593" s="65" t="s">
        <v>27</v>
      </c>
      <c r="H593" s="65" t="s">
        <v>62</v>
      </c>
      <c r="I593" s="70" t="s">
        <v>79</v>
      </c>
      <c r="J593" s="71"/>
      <c r="K593" s="71">
        <v>4860</v>
      </c>
      <c r="L593" s="72">
        <f>IFERROR(IF(G593="","",VLOOKUP($G593,[1]基础信息!$B:$C,2,FALSE)+SUMIF(G$8:G593,G593,J$8:J593)-SUMIF(G$8:G593,G593,K$8:K593)+SUMIFS([1]内部转账!$G:$G,[1]内部转账!$C:$C,"&lt;="&amp;$D593,[1]内部转账!$E:$E,$G593)-SUMIFS([1]内部转账!$G:$G,[1]内部转账!$C:$C,"&lt;="&amp;$D593,[1]内部转账!$F:$F,$G593)),"")</f>
        <v>356633.689999999</v>
      </c>
      <c r="M593" s="64" t="s">
        <v>166</v>
      </c>
      <c r="N593" s="58"/>
      <c r="O593" s="64"/>
      <c r="P593" s="64" t="s">
        <v>218</v>
      </c>
      <c r="Q593" s="69"/>
      <c r="R593" s="69"/>
      <c r="S593" s="69"/>
    </row>
    <row r="594" s="2" customFormat="1" ht="24.95" customHeight="1" spans="1:19">
      <c r="A594" s="15"/>
      <c r="B594" s="55"/>
      <c r="C594" s="56"/>
      <c r="D594" s="68">
        <v>46042</v>
      </c>
      <c r="E594" s="69"/>
      <c r="F594" s="69" t="s">
        <v>26</v>
      </c>
      <c r="G594" s="65" t="s">
        <v>27</v>
      </c>
      <c r="H594" s="65" t="s">
        <v>213</v>
      </c>
      <c r="I594" s="70" t="s">
        <v>318</v>
      </c>
      <c r="J594" s="71"/>
      <c r="K594" s="71">
        <v>20000</v>
      </c>
      <c r="L594" s="72">
        <f>IFERROR(IF(G594="","",VLOOKUP($G594,[1]基础信息!$B:$C,2,FALSE)+SUMIF(G$8:G594,G594,J$8:J594)-SUMIF(G$8:G594,G594,K$8:K594)+SUMIFS([1]内部转账!$G:$G,[1]内部转账!$C:$C,"&lt;="&amp;$D594,[1]内部转账!$E:$E,$G594)-SUMIFS([1]内部转账!$G:$G,[1]内部转账!$C:$C,"&lt;="&amp;$D594,[1]内部转账!$F:$F,$G594)),"")</f>
        <v>336633.689999999</v>
      </c>
      <c r="M594" s="64" t="s">
        <v>30</v>
      </c>
      <c r="N594" s="69" t="s">
        <v>92</v>
      </c>
      <c r="O594" s="64"/>
      <c r="P594" s="64" t="s">
        <v>92</v>
      </c>
      <c r="Q594" s="69"/>
      <c r="R594" s="69"/>
      <c r="S594" s="69"/>
    </row>
    <row r="595" s="2" customFormat="1" ht="24.95" customHeight="1" spans="1:19">
      <c r="A595" s="15"/>
      <c r="B595" s="55"/>
      <c r="C595" s="56"/>
      <c r="D595" s="68">
        <v>46042</v>
      </c>
      <c r="E595" s="69"/>
      <c r="F595" s="69" t="s">
        <v>26</v>
      </c>
      <c r="G595" s="65" t="s">
        <v>27</v>
      </c>
      <c r="H595" s="65" t="s">
        <v>83</v>
      </c>
      <c r="I595" s="70" t="s">
        <v>84</v>
      </c>
      <c r="J595" s="71"/>
      <c r="K595" s="71">
        <v>90</v>
      </c>
      <c r="L595" s="72">
        <f>IFERROR(IF(G595="","",VLOOKUP($G595,[1]基础信息!$B:$C,2,FALSE)+SUMIF(G$8:G595,G595,J$8:J595)-SUMIF(G$8:G595,G595,K$8:K595)+SUMIFS([1]内部转账!$G:$G,[1]内部转账!$C:$C,"&lt;="&amp;$D595,[1]内部转账!$E:$E,$G595)-SUMIFS([1]内部转账!$G:$G,[1]内部转账!$C:$C,"&lt;="&amp;$D595,[1]内部转账!$F:$F,$G595)),"")</f>
        <v>336543.689999999</v>
      </c>
      <c r="M595" s="64" t="s">
        <v>35</v>
      </c>
      <c r="N595" s="69"/>
      <c r="O595" s="64"/>
      <c r="P595" s="64"/>
      <c r="Q595" s="69"/>
      <c r="R595" s="69"/>
      <c r="S595" s="69"/>
    </row>
    <row r="596" s="2" customFormat="1" ht="24.95" customHeight="1" spans="1:19">
      <c r="A596" s="15"/>
      <c r="B596" s="55"/>
      <c r="C596" s="56"/>
      <c r="D596" s="68">
        <v>46042</v>
      </c>
      <c r="E596" s="69"/>
      <c r="F596" s="69" t="s">
        <v>26</v>
      </c>
      <c r="G596" s="65" t="s">
        <v>27</v>
      </c>
      <c r="H596" s="65" t="s">
        <v>28</v>
      </c>
      <c r="I596" s="70" t="s">
        <v>319</v>
      </c>
      <c r="J596" s="71"/>
      <c r="K596" s="71">
        <v>100000</v>
      </c>
      <c r="L596" s="72">
        <f>IFERROR(IF(G596="","",VLOOKUP($G596,[1]基础信息!$B:$C,2,FALSE)+SUMIF(G$8:G596,G596,J$8:J596)-SUMIF(G$8:G596,G596,K$8:K596)+SUMIFS([1]内部转账!$G:$G,[1]内部转账!$C:$C,"&lt;="&amp;$D596,[1]内部转账!$E:$E,$G596)-SUMIFS([1]内部转账!$G:$G,[1]内部转账!$C:$C,"&lt;="&amp;$D596,[1]内部转账!$F:$F,$G596)),"")</f>
        <v>236543.689999999</v>
      </c>
      <c r="M596" s="64" t="s">
        <v>30</v>
      </c>
      <c r="N596" s="69" t="s">
        <v>31</v>
      </c>
      <c r="O596" s="64"/>
      <c r="P596" s="64" t="s">
        <v>31</v>
      </c>
      <c r="Q596" s="69"/>
      <c r="R596" s="69"/>
      <c r="S596" s="69"/>
    </row>
    <row r="597" s="2" customFormat="1" ht="24.95" customHeight="1" spans="1:19">
      <c r="A597" s="15"/>
      <c r="B597" s="55"/>
      <c r="C597" s="56"/>
      <c r="D597" s="68">
        <v>46043</v>
      </c>
      <c r="E597" s="69"/>
      <c r="F597" s="69" t="s">
        <v>26</v>
      </c>
      <c r="G597" s="65" t="s">
        <v>27</v>
      </c>
      <c r="H597" s="65" t="s">
        <v>62</v>
      </c>
      <c r="I597" s="70" t="s">
        <v>79</v>
      </c>
      <c r="J597" s="71"/>
      <c r="K597" s="71">
        <v>2627</v>
      </c>
      <c r="L597" s="72">
        <f>IFERROR(IF(G597="","",VLOOKUP($G597,[1]基础信息!$B:$C,2,FALSE)+SUMIF(G$8:G597,G597,J$8:J597)-SUMIF(G$8:G597,G597,K$8:K597)+SUMIFS([1]内部转账!$G:$G,[1]内部转账!$C:$C,"&lt;="&amp;$D597,[1]内部转账!$E:$E,$G597)-SUMIFS([1]内部转账!$G:$G,[1]内部转账!$C:$C,"&lt;="&amp;$D597,[1]内部转账!$F:$F,$G597)),"")</f>
        <v>233916.689999999</v>
      </c>
      <c r="M597" s="64" t="s">
        <v>206</v>
      </c>
      <c r="N597" s="69"/>
      <c r="O597" s="64"/>
      <c r="P597" s="64" t="s">
        <v>265</v>
      </c>
      <c r="Q597" s="69"/>
      <c r="R597" s="69"/>
      <c r="S597" s="69"/>
    </row>
    <row r="598" s="2" customFormat="1" ht="24.95" customHeight="1" spans="1:19">
      <c r="A598" s="15"/>
      <c r="B598" s="55"/>
      <c r="C598" s="56"/>
      <c r="D598" s="68">
        <v>46043</v>
      </c>
      <c r="E598" s="69"/>
      <c r="F598" s="69" t="s">
        <v>26</v>
      </c>
      <c r="G598" s="65" t="s">
        <v>27</v>
      </c>
      <c r="H598" s="65" t="s">
        <v>62</v>
      </c>
      <c r="I598" s="70" t="s">
        <v>79</v>
      </c>
      <c r="J598" s="71"/>
      <c r="K598" s="71">
        <v>33476.25</v>
      </c>
      <c r="L598" s="72">
        <f>IFERROR(IF(G598="","",VLOOKUP($G598,[1]基础信息!$B:$C,2,FALSE)+SUMIF(G$8:G598,G598,J$8:J598)-SUMIF(G$8:G598,G598,K$8:K598)+SUMIFS([1]内部转账!$G:$G,[1]内部转账!$C:$C,"&lt;="&amp;$D598,[1]内部转账!$E:$E,$G598)-SUMIFS([1]内部转账!$G:$G,[1]内部转账!$C:$C,"&lt;="&amp;$D598,[1]内部转账!$F:$F,$G598)),"")</f>
        <v>200440.439999999</v>
      </c>
      <c r="M598" s="64" t="s">
        <v>206</v>
      </c>
      <c r="N598" s="69"/>
      <c r="O598" s="64"/>
      <c r="P598" s="64" t="s">
        <v>242</v>
      </c>
      <c r="Q598" s="69"/>
      <c r="R598" s="69"/>
      <c r="S598" s="69"/>
    </row>
    <row r="599" s="2" customFormat="1" ht="24.95" customHeight="1" spans="1:19">
      <c r="A599" s="15"/>
      <c r="B599" s="55"/>
      <c r="C599" s="56"/>
      <c r="D599" s="68">
        <v>46043</v>
      </c>
      <c r="E599" s="69"/>
      <c r="F599" s="69" t="s">
        <v>26</v>
      </c>
      <c r="G599" s="65" t="s">
        <v>27</v>
      </c>
      <c r="H599" s="65" t="s">
        <v>62</v>
      </c>
      <c r="I599" s="70" t="s">
        <v>79</v>
      </c>
      <c r="J599" s="71"/>
      <c r="K599" s="71">
        <v>4447.35</v>
      </c>
      <c r="L599" s="72">
        <f>IFERROR(IF(G599="","",VLOOKUP($G599,[1]基础信息!$B:$C,2,FALSE)+SUMIF(G$8:G599,G599,J$8:J599)-SUMIF(G$8:G599,G599,K$8:K599)+SUMIFS([1]内部转账!$G:$G,[1]内部转账!$C:$C,"&lt;="&amp;$D599,[1]内部转账!$E:$E,$G599)-SUMIFS([1]内部转账!$G:$G,[1]内部转账!$C:$C,"&lt;="&amp;$D599,[1]内部转账!$F:$F,$G599)),"")</f>
        <v>195993.089999999</v>
      </c>
      <c r="M599" s="64" t="s">
        <v>268</v>
      </c>
      <c r="N599" s="69"/>
      <c r="O599" s="64"/>
      <c r="P599" s="64" t="s">
        <v>242</v>
      </c>
      <c r="Q599" s="69"/>
      <c r="R599" s="69"/>
      <c r="S599" s="69"/>
    </row>
    <row r="600" s="2" customFormat="1" ht="24.95" customHeight="1" spans="1:19">
      <c r="A600" s="15"/>
      <c r="B600" s="55"/>
      <c r="C600" s="56"/>
      <c r="D600" s="68">
        <v>46043</v>
      </c>
      <c r="E600" s="69"/>
      <c r="F600" s="69" t="s">
        <v>26</v>
      </c>
      <c r="G600" s="65" t="s">
        <v>27</v>
      </c>
      <c r="H600" s="65" t="s">
        <v>138</v>
      </c>
      <c r="I600" s="70" t="s">
        <v>320</v>
      </c>
      <c r="J600" s="71"/>
      <c r="K600" s="71">
        <v>20000</v>
      </c>
      <c r="L600" s="72">
        <f>IFERROR(IF(G600="","",VLOOKUP($G600,[1]基础信息!$B:$C,2,FALSE)+SUMIF(G$8:G600,G600,J$8:J600)-SUMIF(G$8:G600,G600,K$8:K600)+SUMIFS([1]内部转账!$G:$G,[1]内部转账!$C:$C,"&lt;="&amp;$D600,[1]内部转账!$E:$E,$G600)-SUMIFS([1]内部转账!$G:$G,[1]内部转账!$C:$C,"&lt;="&amp;$D600,[1]内部转账!$F:$F,$G600)),"")</f>
        <v>175993.089999999</v>
      </c>
      <c r="M600" s="64" t="s">
        <v>150</v>
      </c>
      <c r="N600" s="69"/>
      <c r="O600" s="64"/>
      <c r="P600" s="64" t="s">
        <v>239</v>
      </c>
      <c r="Q600" s="69"/>
      <c r="R600" s="69"/>
      <c r="S600" s="69"/>
    </row>
    <row r="601" s="2" customFormat="1" ht="24.95" customHeight="1" spans="1:19">
      <c r="A601" s="15"/>
      <c r="B601" s="55"/>
      <c r="C601" s="56"/>
      <c r="D601" s="68">
        <v>46043</v>
      </c>
      <c r="E601" s="69"/>
      <c r="F601" s="69" t="s">
        <v>26</v>
      </c>
      <c r="G601" s="65" t="s">
        <v>27</v>
      </c>
      <c r="H601" s="65" t="s">
        <v>138</v>
      </c>
      <c r="I601" s="70" t="s">
        <v>321</v>
      </c>
      <c r="J601" s="71"/>
      <c r="K601" s="71">
        <v>10000</v>
      </c>
      <c r="L601" s="72">
        <f>IFERROR(IF(G601="","",VLOOKUP($G601,[1]基础信息!$B:$C,2,FALSE)+SUMIF(G$8:G601,G601,J$8:J601)-SUMIF(G$8:G601,G601,K$8:K601)+SUMIFS([1]内部转账!$G:$G,[1]内部转账!$C:$C,"&lt;="&amp;$D601,[1]内部转账!$E:$E,$G601)-SUMIFS([1]内部转账!$G:$G,[1]内部转账!$C:$C,"&lt;="&amp;$D601,[1]内部转账!$F:$F,$G601)),"")</f>
        <v>165993.089999999</v>
      </c>
      <c r="M601" s="64" t="s">
        <v>150</v>
      </c>
      <c r="N601" s="69"/>
      <c r="O601" s="64"/>
      <c r="P601" s="64" t="s">
        <v>322</v>
      </c>
      <c r="Q601" s="69"/>
      <c r="R601" s="69"/>
      <c r="S601" s="69"/>
    </row>
    <row r="602" s="2" customFormat="1" ht="24.95" customHeight="1" spans="1:19">
      <c r="A602" s="15"/>
      <c r="B602" s="55"/>
      <c r="C602" s="56"/>
      <c r="D602" s="68">
        <v>46044</v>
      </c>
      <c r="E602" s="69"/>
      <c r="F602" s="69" t="s">
        <v>26</v>
      </c>
      <c r="G602" s="65" t="s">
        <v>27</v>
      </c>
      <c r="H602" s="65" t="s">
        <v>46</v>
      </c>
      <c r="I602" s="73" t="s">
        <v>323</v>
      </c>
      <c r="J602" s="71"/>
      <c r="K602" s="71">
        <v>7500</v>
      </c>
      <c r="L602" s="72">
        <f>IFERROR(IF(G602="","",VLOOKUP($G602,[1]基础信息!$B:$C,2,FALSE)+SUMIF(G$8:G602,G602,J$8:J602)-SUMIF(G$8:G602,G602,K$8:K602)+SUMIFS([1]内部转账!$G:$G,[1]内部转账!$C:$C,"&lt;="&amp;$D602,[1]内部转账!$E:$E,$G602)-SUMIFS([1]内部转账!$G:$G,[1]内部转账!$C:$C,"&lt;="&amp;$D602,[1]内部转账!$F:$F,$G602)),"")</f>
        <v>158493.089999999</v>
      </c>
      <c r="M602" s="64" t="s">
        <v>206</v>
      </c>
      <c r="N602" s="69" t="s">
        <v>282</v>
      </c>
      <c r="O602" s="64"/>
      <c r="P602" s="64"/>
      <c r="Q602" s="69"/>
      <c r="R602" s="69"/>
      <c r="S602" s="69"/>
    </row>
    <row r="603" s="2" customFormat="1" ht="24.95" customHeight="1" spans="1:19">
      <c r="A603" s="15"/>
      <c r="B603" s="55"/>
      <c r="C603" s="56"/>
      <c r="D603" s="68">
        <v>46044</v>
      </c>
      <c r="E603" s="69"/>
      <c r="F603" s="69" t="s">
        <v>26</v>
      </c>
      <c r="G603" s="65" t="s">
        <v>27</v>
      </c>
      <c r="H603" s="65" t="s">
        <v>46</v>
      </c>
      <c r="I603" s="73" t="s">
        <v>324</v>
      </c>
      <c r="J603" s="71"/>
      <c r="K603" s="71">
        <v>7500</v>
      </c>
      <c r="L603" s="72">
        <f>IFERROR(IF(G603="","",VLOOKUP($G603,[1]基础信息!$B:$C,2,FALSE)+SUMIF(G$8:G603,G603,J$8:J603)-SUMIF(G$8:G603,G603,K$8:K603)+SUMIFS([1]内部转账!$G:$G,[1]内部转账!$C:$C,"&lt;="&amp;$D603,[1]内部转账!$E:$E,$G603)-SUMIFS([1]内部转账!$G:$G,[1]内部转账!$C:$C,"&lt;="&amp;$D603,[1]内部转账!$F:$F,$G603)),"")</f>
        <v>150993.089999999</v>
      </c>
      <c r="M603" s="64" t="s">
        <v>206</v>
      </c>
      <c r="N603" s="69" t="s">
        <v>282</v>
      </c>
      <c r="O603" s="64"/>
      <c r="P603" s="64"/>
      <c r="Q603" s="69"/>
      <c r="R603" s="69"/>
      <c r="S603" s="69"/>
    </row>
    <row r="604" s="2" customFormat="1" ht="24.95" customHeight="1" spans="1:19">
      <c r="A604" s="15"/>
      <c r="B604" s="55"/>
      <c r="C604" s="56"/>
      <c r="D604" s="68">
        <v>46044</v>
      </c>
      <c r="E604" s="69"/>
      <c r="F604" s="69" t="s">
        <v>26</v>
      </c>
      <c r="G604" s="65" t="s">
        <v>27</v>
      </c>
      <c r="H604" s="65" t="s">
        <v>46</v>
      </c>
      <c r="I604" s="73" t="s">
        <v>324</v>
      </c>
      <c r="J604" s="71"/>
      <c r="K604" s="71">
        <v>-7500</v>
      </c>
      <c r="L604" s="72">
        <f>IFERROR(IF(G604="","",VLOOKUP($G604,[1]基础信息!$B:$C,2,FALSE)+SUMIF(G$8:G604,G604,J$8:J604)-SUMIF(G$8:G604,G604,K$8:K604)+SUMIFS([1]内部转账!$G:$G,[1]内部转账!$C:$C,"&lt;="&amp;$D604,[1]内部转账!$E:$E,$G604)-SUMIFS([1]内部转账!$G:$G,[1]内部转账!$C:$C,"&lt;="&amp;$D604,[1]内部转账!$F:$F,$G604)),"")</f>
        <v>158493.089999999</v>
      </c>
      <c r="M604" s="64" t="s">
        <v>206</v>
      </c>
      <c r="N604" s="69" t="s">
        <v>282</v>
      </c>
      <c r="O604" s="64"/>
      <c r="P604" s="64"/>
      <c r="Q604" s="69"/>
      <c r="R604" s="69"/>
      <c r="S604" s="69"/>
    </row>
    <row r="605" s="2" customFormat="1" ht="24.95" customHeight="1" spans="1:19">
      <c r="A605" s="15"/>
      <c r="B605" s="55"/>
      <c r="C605" s="56"/>
      <c r="D605" s="68">
        <v>46044</v>
      </c>
      <c r="E605" s="69"/>
      <c r="F605" s="69" t="s">
        <v>26</v>
      </c>
      <c r="G605" s="65" t="s">
        <v>27</v>
      </c>
      <c r="H605" s="65" t="s">
        <v>46</v>
      </c>
      <c r="I605" s="73" t="s">
        <v>324</v>
      </c>
      <c r="J605" s="71"/>
      <c r="K605" s="71">
        <v>7500</v>
      </c>
      <c r="L605" s="72">
        <f>IFERROR(IF(G605="","",VLOOKUP($G605,[1]基础信息!$B:$C,2,FALSE)+SUMIF(G$8:G605,G605,J$8:J605)-SUMIF(G$8:G605,G605,K$8:K605)+SUMIFS([1]内部转账!$G:$G,[1]内部转账!$C:$C,"&lt;="&amp;$D605,[1]内部转账!$E:$E,$G605)-SUMIFS([1]内部转账!$G:$G,[1]内部转账!$C:$C,"&lt;="&amp;$D605,[1]内部转账!$F:$F,$G605)),"")</f>
        <v>150993.089999999</v>
      </c>
      <c r="M605" s="64" t="s">
        <v>206</v>
      </c>
      <c r="N605" s="69" t="s">
        <v>282</v>
      </c>
      <c r="O605" s="64"/>
      <c r="P605" s="64"/>
      <c r="Q605" s="69"/>
      <c r="R605" s="69"/>
      <c r="S605" s="69"/>
    </row>
    <row r="606" s="2" customFormat="1" ht="24.95" customHeight="1" spans="1:19">
      <c r="A606" s="15"/>
      <c r="B606" s="55"/>
      <c r="C606" s="56"/>
      <c r="D606" s="68">
        <v>46044</v>
      </c>
      <c r="E606" s="69"/>
      <c r="F606" s="69" t="s">
        <v>26</v>
      </c>
      <c r="G606" s="65" t="s">
        <v>27</v>
      </c>
      <c r="H606" s="65" t="s">
        <v>46</v>
      </c>
      <c r="I606" s="73" t="s">
        <v>324</v>
      </c>
      <c r="J606" s="71"/>
      <c r="K606" s="71">
        <v>-7500</v>
      </c>
      <c r="L606" s="72">
        <f>IFERROR(IF(G606="","",VLOOKUP($G606,[1]基础信息!$B:$C,2,FALSE)+SUMIF(G$8:G606,G606,J$8:J606)-SUMIF(G$8:G606,G606,K$8:K606)+SUMIFS([1]内部转账!$G:$G,[1]内部转账!$C:$C,"&lt;="&amp;$D606,[1]内部转账!$E:$E,$G606)-SUMIFS([1]内部转账!$G:$G,[1]内部转账!$C:$C,"&lt;="&amp;$D606,[1]内部转账!$F:$F,$G606)),"")</f>
        <v>158493.089999999</v>
      </c>
      <c r="M606" s="64" t="s">
        <v>206</v>
      </c>
      <c r="N606" s="69" t="s">
        <v>282</v>
      </c>
      <c r="O606" s="64"/>
      <c r="P606" s="64"/>
      <c r="Q606" s="69"/>
      <c r="R606" s="69"/>
      <c r="S606" s="69"/>
    </row>
    <row r="607" s="2" customFormat="1" ht="24.95" customHeight="1" spans="1:19">
      <c r="A607" s="15"/>
      <c r="B607" s="55"/>
      <c r="C607" s="56"/>
      <c r="D607" s="68">
        <v>46044</v>
      </c>
      <c r="E607" s="69"/>
      <c r="F607" s="69" t="s">
        <v>26</v>
      </c>
      <c r="G607" s="65" t="s">
        <v>27</v>
      </c>
      <c r="H607" s="65" t="s">
        <v>46</v>
      </c>
      <c r="I607" s="73" t="s">
        <v>325</v>
      </c>
      <c r="J607" s="71"/>
      <c r="K607" s="71">
        <v>7500</v>
      </c>
      <c r="L607" s="72">
        <f>IFERROR(IF(G607="","",VLOOKUP($G607,[1]基础信息!$B:$C,2,FALSE)+SUMIF(G$8:G607,G607,J$8:J607)-SUMIF(G$8:G607,G607,K$8:K607)+SUMIFS([1]内部转账!$G:$G,[1]内部转账!$C:$C,"&lt;="&amp;$D607,[1]内部转账!$E:$E,$G607)-SUMIFS([1]内部转账!$G:$G,[1]内部转账!$C:$C,"&lt;="&amp;$D607,[1]内部转账!$F:$F,$G607)),"")</f>
        <v>150993.089999999</v>
      </c>
      <c r="M607" s="64" t="s">
        <v>206</v>
      </c>
      <c r="N607" s="69" t="s">
        <v>282</v>
      </c>
      <c r="O607" s="64"/>
      <c r="P607" s="64"/>
      <c r="Q607" s="69"/>
      <c r="R607" s="69"/>
      <c r="S607" s="69"/>
    </row>
    <row r="608" s="2" customFormat="1" ht="24.95" customHeight="1" spans="1:19">
      <c r="A608" s="15"/>
      <c r="B608" s="55"/>
      <c r="C608" s="56"/>
      <c r="D608" s="68">
        <v>46044</v>
      </c>
      <c r="E608" s="69"/>
      <c r="F608" s="69" t="s">
        <v>26</v>
      </c>
      <c r="G608" s="65" t="s">
        <v>27</v>
      </c>
      <c r="H608" s="65" t="s">
        <v>46</v>
      </c>
      <c r="I608" s="73" t="s">
        <v>326</v>
      </c>
      <c r="J608" s="71"/>
      <c r="K608" s="71">
        <v>7500</v>
      </c>
      <c r="L608" s="72">
        <f>IFERROR(IF(G608="","",VLOOKUP($G608,[1]基础信息!$B:$C,2,FALSE)+SUMIF(G$8:G608,G608,J$8:J608)-SUMIF(G$8:G608,G608,K$8:K608)+SUMIFS([1]内部转账!$G:$G,[1]内部转账!$C:$C,"&lt;="&amp;$D608,[1]内部转账!$E:$E,$G608)-SUMIFS([1]内部转账!$G:$G,[1]内部转账!$C:$C,"&lt;="&amp;$D608,[1]内部转账!$F:$F,$G608)),"")</f>
        <v>143493.089999999</v>
      </c>
      <c r="M608" s="64" t="s">
        <v>206</v>
      </c>
      <c r="N608" s="69" t="s">
        <v>282</v>
      </c>
      <c r="O608" s="64"/>
      <c r="P608" s="64"/>
      <c r="Q608" s="69"/>
      <c r="R608" s="69"/>
      <c r="S608" s="69"/>
    </row>
    <row r="609" s="2" customFormat="1" ht="24.95" customHeight="1" spans="1:19">
      <c r="A609" s="15"/>
      <c r="B609" s="55"/>
      <c r="C609" s="56"/>
      <c r="D609" s="68">
        <v>46044</v>
      </c>
      <c r="E609" s="69"/>
      <c r="F609" s="69" t="s">
        <v>26</v>
      </c>
      <c r="G609" s="65" t="s">
        <v>27</v>
      </c>
      <c r="H609" s="65" t="s">
        <v>46</v>
      </c>
      <c r="I609" s="73" t="s">
        <v>324</v>
      </c>
      <c r="J609" s="71"/>
      <c r="K609" s="71">
        <v>7500</v>
      </c>
      <c r="L609" s="72">
        <f>IFERROR(IF(G609="","",VLOOKUP($G609,[1]基础信息!$B:$C,2,FALSE)+SUMIF(G$8:G609,G609,J$8:J609)-SUMIF(G$8:G609,G609,K$8:K609)+SUMIFS([1]内部转账!$G:$G,[1]内部转账!$C:$C,"&lt;="&amp;$D609,[1]内部转账!$E:$E,$G609)-SUMIFS([1]内部转账!$G:$G,[1]内部转账!$C:$C,"&lt;="&amp;$D609,[1]内部转账!$F:$F,$G609)),"")</f>
        <v>135993.089999999</v>
      </c>
      <c r="M609" s="64" t="s">
        <v>206</v>
      </c>
      <c r="N609" s="69" t="s">
        <v>282</v>
      </c>
      <c r="O609" s="64"/>
      <c r="P609" s="64"/>
      <c r="Q609" s="69"/>
      <c r="R609" s="69"/>
      <c r="S609" s="69"/>
    </row>
    <row r="610" s="2" customFormat="1" ht="24.95" customHeight="1" spans="1:19">
      <c r="A610" s="15"/>
      <c r="B610" s="55"/>
      <c r="C610" s="56"/>
      <c r="D610" s="68">
        <v>46047</v>
      </c>
      <c r="E610" s="69"/>
      <c r="F610" s="69" t="s">
        <v>26</v>
      </c>
      <c r="G610" s="65" t="s">
        <v>27</v>
      </c>
      <c r="H610" s="65" t="s">
        <v>138</v>
      </c>
      <c r="I610" s="70" t="s">
        <v>267</v>
      </c>
      <c r="J610" s="71"/>
      <c r="K610" s="71">
        <v>22000</v>
      </c>
      <c r="L610" s="72">
        <f>IFERROR(IF(G610="","",VLOOKUP($G610,[1]基础信息!$B:$C,2,FALSE)+SUMIF(G$8:G610,G610,J$8:J610)-SUMIF(G$8:G610,G610,K$8:K610)+SUMIFS([1]内部转账!$G:$G,[1]内部转账!$C:$C,"&lt;="&amp;$D610,[1]内部转账!$E:$E,$G610)-SUMIFS([1]内部转账!$G:$G,[1]内部转账!$C:$C,"&lt;="&amp;$D610,[1]内部转账!$F:$F,$G610)),"")</f>
        <v>113993.089999999</v>
      </c>
      <c r="M610" s="64" t="s">
        <v>268</v>
      </c>
      <c r="N610" s="69" t="s">
        <v>269</v>
      </c>
      <c r="O610" s="64"/>
      <c r="P610" s="64" t="s">
        <v>270</v>
      </c>
      <c r="Q610" s="69"/>
      <c r="R610" s="69"/>
      <c r="S610" s="69"/>
    </row>
    <row r="611" s="2" customFormat="1" ht="24.95" customHeight="1" spans="1:19">
      <c r="A611" s="15"/>
      <c r="B611" s="55"/>
      <c r="C611" s="56"/>
      <c r="D611" s="68">
        <v>46047</v>
      </c>
      <c r="E611" s="69"/>
      <c r="F611" s="69" t="s">
        <v>26</v>
      </c>
      <c r="G611" s="65" t="s">
        <v>27</v>
      </c>
      <c r="H611" s="65" t="s">
        <v>138</v>
      </c>
      <c r="I611" s="70" t="s">
        <v>327</v>
      </c>
      <c r="J611" s="71"/>
      <c r="K611" s="71">
        <v>20000</v>
      </c>
      <c r="L611" s="72">
        <f>IFERROR(IF(G611="","",VLOOKUP($G611,[1]基础信息!$B:$C,2,FALSE)+SUMIF(G$8:G611,G611,J$8:J611)-SUMIF(G$8:G611,G611,K$8:K611)+SUMIFS([1]内部转账!$G:$G,[1]内部转账!$C:$C,"&lt;="&amp;$D611,[1]内部转账!$E:$E,$G611)-SUMIFS([1]内部转账!$G:$G,[1]内部转账!$C:$C,"&lt;="&amp;$D611,[1]内部转账!$F:$F,$G611)),"")</f>
        <v>93993.0899999989</v>
      </c>
      <c r="M611" s="64" t="s">
        <v>268</v>
      </c>
      <c r="N611" s="69"/>
      <c r="O611" s="64"/>
      <c r="P611" s="64" t="s">
        <v>47</v>
      </c>
      <c r="Q611" s="69"/>
      <c r="R611" s="69"/>
      <c r="S611" s="69"/>
    </row>
    <row r="612" s="2" customFormat="1" ht="24.95" customHeight="1" spans="1:19">
      <c r="A612" s="15"/>
      <c r="B612" s="55"/>
      <c r="C612" s="56"/>
      <c r="D612" s="68">
        <v>46049</v>
      </c>
      <c r="E612" s="69"/>
      <c r="F612" s="69" t="s">
        <v>26</v>
      </c>
      <c r="G612" s="65" t="s">
        <v>27</v>
      </c>
      <c r="H612" s="65" t="s">
        <v>62</v>
      </c>
      <c r="I612" s="70" t="s">
        <v>328</v>
      </c>
      <c r="J612" s="71"/>
      <c r="K612" s="71">
        <v>30000</v>
      </c>
      <c r="L612" s="72">
        <f>IFERROR(IF(G612="","",VLOOKUP($G612,[1]基础信息!$B:$C,2,FALSE)+SUMIF(G$8:G612,G612,J$8:J612)-SUMIF(G$8:G612,G612,K$8:K612)+SUMIFS([1]内部转账!$G:$G,[1]内部转账!$C:$C,"&lt;="&amp;$D612,[1]内部转账!$E:$E,$G612)-SUMIFS([1]内部转账!$G:$G,[1]内部转账!$C:$C,"&lt;="&amp;$D612,[1]内部转账!$F:$F,$G612)),"")</f>
        <v>63993.0899999989</v>
      </c>
      <c r="M612" s="64" t="s">
        <v>206</v>
      </c>
      <c r="N612" s="69"/>
      <c r="O612" s="64"/>
      <c r="P612" s="64" t="s">
        <v>329</v>
      </c>
      <c r="Q612" s="69"/>
      <c r="R612" s="69"/>
      <c r="S612" s="69"/>
    </row>
    <row r="613" s="2" customFormat="1" ht="24.95" customHeight="1" spans="1:19">
      <c r="A613" s="15"/>
      <c r="B613" s="55"/>
      <c r="C613" s="56"/>
      <c r="D613" s="68">
        <v>46050</v>
      </c>
      <c r="E613" s="69"/>
      <c r="F613" s="69" t="s">
        <v>26</v>
      </c>
      <c r="G613" s="65" t="s">
        <v>27</v>
      </c>
      <c r="H613" s="65" t="s">
        <v>33</v>
      </c>
      <c r="I613" s="70" t="s">
        <v>180</v>
      </c>
      <c r="J613" s="71"/>
      <c r="K613" s="71">
        <v>5000</v>
      </c>
      <c r="L613" s="72">
        <f>IFERROR(IF(G613="","",VLOOKUP($G613,[1]基础信息!$B:$C,2,FALSE)+SUMIF(G$8:G613,G613,J$8:J613)-SUMIF(G$8:G613,G613,K$8:K613)+SUMIFS([1]内部转账!$G:$G,[1]内部转账!$C:$C,"&lt;="&amp;$D613,[1]内部转账!$E:$E,$G613)-SUMIFS([1]内部转账!$G:$G,[1]内部转账!$C:$C,"&lt;="&amp;$D613,[1]内部转账!$F:$F,$G613)),"")</f>
        <v>58993.0899999989</v>
      </c>
      <c r="M613" s="64" t="s">
        <v>35</v>
      </c>
      <c r="N613" s="69" t="s">
        <v>98</v>
      </c>
      <c r="O613" s="64"/>
      <c r="P613" s="64"/>
      <c r="Q613" s="69"/>
      <c r="R613" s="69"/>
      <c r="S613" s="69"/>
    </row>
    <row r="614" s="2" customFormat="1" ht="24.95" customHeight="1" spans="1:19">
      <c r="A614" s="15"/>
      <c r="B614" s="55"/>
      <c r="C614" s="56"/>
      <c r="D614" s="68">
        <v>46050</v>
      </c>
      <c r="E614" s="69"/>
      <c r="F614" s="69" t="s">
        <v>26</v>
      </c>
      <c r="G614" s="65" t="s">
        <v>27</v>
      </c>
      <c r="H614" s="65" t="s">
        <v>46</v>
      </c>
      <c r="I614" s="73" t="s">
        <v>323</v>
      </c>
      <c r="J614" s="71"/>
      <c r="K614" s="71">
        <v>5425</v>
      </c>
      <c r="L614" s="72">
        <f>IFERROR(IF(G614="","",VLOOKUP($G614,[1]基础信息!$B:$C,2,FALSE)+SUMIF(G$8:G614,G614,J$8:J614)-SUMIF(G$8:G614,G614,K$8:K614)+SUMIFS([1]内部转账!$G:$G,[1]内部转账!$C:$C,"&lt;="&amp;$D614,[1]内部转账!$E:$E,$G614)-SUMIFS([1]内部转账!$G:$G,[1]内部转账!$C:$C,"&lt;="&amp;$D614,[1]内部转账!$F:$F,$G614)),"")</f>
        <v>53568.0899999989</v>
      </c>
      <c r="M614" s="64" t="s">
        <v>206</v>
      </c>
      <c r="N614" s="69" t="s">
        <v>282</v>
      </c>
      <c r="O614" s="64"/>
      <c r="P614" s="64"/>
      <c r="Q614" s="69"/>
      <c r="R614" s="69"/>
      <c r="S614" s="69"/>
    </row>
    <row r="615" s="2" customFormat="1" ht="24.95" customHeight="1" spans="1:19">
      <c r="A615" s="15"/>
      <c r="B615" s="55"/>
      <c r="C615" s="56"/>
      <c r="D615" s="68">
        <v>46050</v>
      </c>
      <c r="E615" s="69"/>
      <c r="F615" s="69" t="s">
        <v>26</v>
      </c>
      <c r="G615" s="65" t="s">
        <v>27</v>
      </c>
      <c r="H615" s="65" t="s">
        <v>46</v>
      </c>
      <c r="I615" s="73" t="s">
        <v>324</v>
      </c>
      <c r="J615" s="71"/>
      <c r="K615" s="71">
        <v>7425</v>
      </c>
      <c r="L615" s="72">
        <f>IFERROR(IF(G615="","",VLOOKUP($G615,[1]基础信息!$B:$C,2,FALSE)+SUMIF(G$8:G615,G615,J$8:J615)-SUMIF(G$8:G615,G615,K$8:K615)+SUMIFS([1]内部转账!$G:$G,[1]内部转账!$C:$C,"&lt;="&amp;$D615,[1]内部转账!$E:$E,$G615)-SUMIFS([1]内部转账!$G:$G,[1]内部转账!$C:$C,"&lt;="&amp;$D615,[1]内部转账!$F:$F,$G615)),"")</f>
        <v>46143.0899999989</v>
      </c>
      <c r="M615" s="64" t="s">
        <v>206</v>
      </c>
      <c r="N615" s="69" t="s">
        <v>282</v>
      </c>
      <c r="O615" s="64"/>
      <c r="P615" s="64"/>
      <c r="Q615" s="69"/>
      <c r="R615" s="69"/>
      <c r="S615" s="69"/>
    </row>
    <row r="616" s="2" customFormat="1" ht="24.95" customHeight="1" spans="1:19">
      <c r="A616" s="15"/>
      <c r="B616" s="55"/>
      <c r="C616" s="56"/>
      <c r="D616" s="68">
        <v>46050</v>
      </c>
      <c r="E616" s="69"/>
      <c r="F616" s="69" t="s">
        <v>26</v>
      </c>
      <c r="G616" s="65" t="s">
        <v>27</v>
      </c>
      <c r="H616" s="65" t="s">
        <v>46</v>
      </c>
      <c r="I616" s="73" t="s">
        <v>325</v>
      </c>
      <c r="J616" s="71"/>
      <c r="K616" s="71">
        <v>7425</v>
      </c>
      <c r="L616" s="72">
        <f>IFERROR(IF(G616="","",VLOOKUP($G616,[1]基础信息!$B:$C,2,FALSE)+SUMIF(G$8:G616,G616,J$8:J616)-SUMIF(G$8:G616,G616,K$8:K616)+SUMIFS([1]内部转账!$G:$G,[1]内部转账!$C:$C,"&lt;="&amp;$D616,[1]内部转账!$E:$E,$G616)-SUMIFS([1]内部转账!$G:$G,[1]内部转账!$C:$C,"&lt;="&amp;$D616,[1]内部转账!$F:$F,$G616)),"")</f>
        <v>38718.0899999989</v>
      </c>
      <c r="M616" s="64" t="s">
        <v>206</v>
      </c>
      <c r="N616" s="69" t="s">
        <v>282</v>
      </c>
      <c r="O616" s="64"/>
      <c r="P616" s="64"/>
      <c r="Q616" s="69"/>
      <c r="R616" s="69"/>
      <c r="S616" s="69"/>
    </row>
    <row r="617" s="2" customFormat="1" ht="24.95" customHeight="1" spans="1:19">
      <c r="A617" s="15"/>
      <c r="B617" s="55"/>
      <c r="C617" s="56"/>
      <c r="D617" s="68">
        <v>46050</v>
      </c>
      <c r="E617" s="69"/>
      <c r="F617" s="69" t="s">
        <v>26</v>
      </c>
      <c r="G617" s="65" t="s">
        <v>27</v>
      </c>
      <c r="H617" s="65" t="s">
        <v>46</v>
      </c>
      <c r="I617" s="73" t="s">
        <v>326</v>
      </c>
      <c r="J617" s="71"/>
      <c r="K617" s="71">
        <v>7425</v>
      </c>
      <c r="L617" s="72">
        <f>IFERROR(IF(G617="","",VLOOKUP($G617,[1]基础信息!$B:$C,2,FALSE)+SUMIF(G$8:G617,G617,J$8:J617)-SUMIF(G$8:G617,G617,K$8:K617)+SUMIFS([1]内部转账!$G:$G,[1]内部转账!$C:$C,"&lt;="&amp;$D617,[1]内部转账!$E:$E,$G617)-SUMIFS([1]内部转账!$G:$G,[1]内部转账!$C:$C,"&lt;="&amp;$D617,[1]内部转账!$F:$F,$G617)),"")</f>
        <v>31293.0899999989</v>
      </c>
      <c r="M617" s="64" t="s">
        <v>206</v>
      </c>
      <c r="N617" s="69" t="s">
        <v>282</v>
      </c>
      <c r="O617" s="64"/>
      <c r="P617" s="64"/>
      <c r="Q617" s="69"/>
      <c r="R617" s="69"/>
      <c r="S617" s="69"/>
    </row>
    <row r="618" s="2" customFormat="1" ht="24.95" customHeight="1" spans="1:19">
      <c r="A618" s="15"/>
      <c r="B618" s="55"/>
      <c r="C618" s="56"/>
      <c r="D618" s="68">
        <v>46050</v>
      </c>
      <c r="E618" s="69"/>
      <c r="F618" s="69" t="s">
        <v>26</v>
      </c>
      <c r="G618" s="65" t="s">
        <v>27</v>
      </c>
      <c r="H618" s="65" t="s">
        <v>62</v>
      </c>
      <c r="I618" s="70" t="s">
        <v>330</v>
      </c>
      <c r="J618" s="71"/>
      <c r="K618" s="71">
        <v>5700</v>
      </c>
      <c r="L618" s="72">
        <f>IFERROR(IF(G618="","",VLOOKUP($G618,[1]基础信息!$B:$C,2,FALSE)+SUMIF(G$8:G618,G618,J$8:J618)-SUMIF(G$8:G618,G618,K$8:K618)+SUMIFS([1]内部转账!$G:$G,[1]内部转账!$C:$C,"&lt;="&amp;$D618,[1]内部转账!$E:$E,$G618)-SUMIFS([1]内部转账!$G:$G,[1]内部转账!$C:$C,"&lt;="&amp;$D618,[1]内部转账!$F:$F,$G618)),"")</f>
        <v>25593.0899999989</v>
      </c>
      <c r="M618" s="64" t="s">
        <v>206</v>
      </c>
      <c r="N618" s="69"/>
      <c r="O618" s="64"/>
      <c r="P618" s="64" t="s">
        <v>331</v>
      </c>
      <c r="Q618" s="69"/>
      <c r="R618" s="69"/>
      <c r="S618" s="69"/>
    </row>
    <row r="619" s="2" customFormat="1" ht="24.95" customHeight="1" spans="1:19">
      <c r="A619" s="15"/>
      <c r="B619" s="55"/>
      <c r="C619" s="56"/>
      <c r="D619" s="68">
        <v>46050</v>
      </c>
      <c r="E619" s="69"/>
      <c r="F619" s="69" t="s">
        <v>26</v>
      </c>
      <c r="G619" s="65" t="s">
        <v>27</v>
      </c>
      <c r="H619" s="65" t="s">
        <v>213</v>
      </c>
      <c r="I619" s="70" t="s">
        <v>332</v>
      </c>
      <c r="J619" s="71"/>
      <c r="K619" s="71">
        <v>10000</v>
      </c>
      <c r="L619" s="72">
        <f>IFERROR(IF(G619="","",VLOOKUP($G619,[1]基础信息!$B:$C,2,FALSE)+SUMIF(G$8:G619,G619,J$8:J619)-SUMIF(G$8:G619,G619,K$8:K619)+SUMIFS([1]内部转账!$G:$G,[1]内部转账!$C:$C,"&lt;="&amp;$D619,[1]内部转账!$E:$E,$G619)-SUMIFS([1]内部转账!$G:$G,[1]内部转账!$C:$C,"&lt;="&amp;$D619,[1]内部转账!$F:$F,$G619)),"")</f>
        <v>15593.0899999989</v>
      </c>
      <c r="M619" s="64" t="s">
        <v>30</v>
      </c>
      <c r="N619" s="69" t="s">
        <v>92</v>
      </c>
      <c r="O619" s="64"/>
      <c r="P619" s="64" t="s">
        <v>92</v>
      </c>
      <c r="Q619" s="69"/>
      <c r="R619" s="69"/>
      <c r="S619" s="69"/>
    </row>
    <row r="620" s="2" customFormat="1" ht="24.95" customHeight="1" spans="1:19">
      <c r="A620" s="15"/>
      <c r="B620" s="55"/>
      <c r="C620" s="56"/>
      <c r="D620" s="68">
        <v>46052</v>
      </c>
      <c r="E620" s="69"/>
      <c r="F620" s="69" t="s">
        <v>26</v>
      </c>
      <c r="G620" s="65" t="s">
        <v>27</v>
      </c>
      <c r="H620" s="65" t="s">
        <v>33</v>
      </c>
      <c r="I620" s="70" t="s">
        <v>333</v>
      </c>
      <c r="J620" s="71"/>
      <c r="K620" s="71">
        <v>6918</v>
      </c>
      <c r="L620" s="72">
        <f>IFERROR(IF(G620="","",VLOOKUP($G620,[1]基础信息!$B:$C,2,FALSE)+SUMIF(G$8:G620,G620,J$8:J620)-SUMIF(G$8:G620,G620,K$8:K620)+SUMIFS([1]内部转账!$G:$G,[1]内部转账!$C:$C,"&lt;="&amp;$D620,[1]内部转账!$E:$E,$G620)-SUMIFS([1]内部转账!$G:$G,[1]内部转账!$C:$C,"&lt;="&amp;$D620,[1]内部转账!$F:$F,$G620)),"")</f>
        <v>8675.08999999892</v>
      </c>
      <c r="M620" s="64" t="s">
        <v>35</v>
      </c>
      <c r="N620" s="69"/>
      <c r="O620" s="64"/>
      <c r="P620" s="64" t="s">
        <v>334</v>
      </c>
      <c r="Q620" s="69"/>
      <c r="R620" s="69"/>
      <c r="S620" s="69"/>
    </row>
    <row r="621" s="2" customFormat="1" ht="24.95" customHeight="1" spans="1:19">
      <c r="A621" s="15"/>
      <c r="B621" s="55"/>
      <c r="C621" s="56"/>
      <c r="D621" s="68">
        <v>46052</v>
      </c>
      <c r="E621" s="69"/>
      <c r="F621" s="69" t="s">
        <v>26</v>
      </c>
      <c r="G621" s="65" t="s">
        <v>27</v>
      </c>
      <c r="H621" s="65" t="s">
        <v>62</v>
      </c>
      <c r="I621" s="70" t="s">
        <v>230</v>
      </c>
      <c r="J621" s="71"/>
      <c r="K621" s="71">
        <v>2160</v>
      </c>
      <c r="L621" s="72">
        <f>IFERROR(IF(G621="","",VLOOKUP($G621,[1]基础信息!$B:$C,2,FALSE)+SUMIF(G$8:G621,G621,J$8:J621)-SUMIF(G$8:G621,G621,K$8:K621)+SUMIFS([1]内部转账!$G:$G,[1]内部转账!$C:$C,"&lt;="&amp;$D621,[1]内部转账!$E:$E,$G621)-SUMIFS([1]内部转账!$G:$G,[1]内部转账!$C:$C,"&lt;="&amp;$D621,[1]内部转账!$F:$F,$G621)),"")</f>
        <v>6515.08999999892</v>
      </c>
      <c r="M621" s="64" t="s">
        <v>317</v>
      </c>
      <c r="N621" s="58"/>
      <c r="O621" s="64"/>
      <c r="P621" s="64" t="s">
        <v>231</v>
      </c>
      <c r="Q621" s="69"/>
      <c r="R621" s="69"/>
      <c r="S621" s="69"/>
    </row>
    <row r="622" s="2" customFormat="1" ht="24.95" customHeight="1" spans="1:19">
      <c r="A622" s="15"/>
      <c r="B622" s="55"/>
      <c r="C622" s="56"/>
      <c r="D622" s="68">
        <v>46052</v>
      </c>
      <c r="E622" s="69"/>
      <c r="F622" s="69" t="s">
        <v>26</v>
      </c>
      <c r="G622" s="65" t="s">
        <v>27</v>
      </c>
      <c r="H622" s="65" t="s">
        <v>33</v>
      </c>
      <c r="I622" s="70" t="s">
        <v>333</v>
      </c>
      <c r="J622" s="71"/>
      <c r="K622" s="71">
        <v>0.8</v>
      </c>
      <c r="L622" s="72">
        <f>IFERROR(IF(G622="","",VLOOKUP($G622,[1]基础信息!$B:$C,2,FALSE)+SUMIF(G$8:G622,G622,J$8:J622)-SUMIF(G$8:G622,G622,K$8:K622)+SUMIFS([1]内部转账!$G:$G,[1]内部转账!$C:$C,"&lt;="&amp;$D622,[1]内部转账!$E:$E,$G622)-SUMIFS([1]内部转账!$G:$G,[1]内部转账!$C:$C,"&lt;="&amp;$D622,[1]内部转账!$F:$F,$G622)),"")</f>
        <v>6514.28999999911</v>
      </c>
      <c r="M622" s="64" t="s">
        <v>35</v>
      </c>
      <c r="N622" s="69"/>
      <c r="O622" s="64"/>
      <c r="P622" s="64" t="s">
        <v>334</v>
      </c>
      <c r="Q622" s="69"/>
      <c r="R622" s="69"/>
      <c r="S622" s="69"/>
    </row>
    <row r="623" s="2" customFormat="1" ht="24.95" customHeight="1" spans="1:19">
      <c r="A623" s="15"/>
      <c r="B623" s="55"/>
      <c r="C623" s="56"/>
      <c r="D623" s="68">
        <v>46054</v>
      </c>
      <c r="E623" s="69"/>
      <c r="F623" s="69" t="s">
        <v>26</v>
      </c>
      <c r="G623" s="65" t="s">
        <v>27</v>
      </c>
      <c r="H623" s="65" t="s">
        <v>138</v>
      </c>
      <c r="I623" s="70" t="s">
        <v>186</v>
      </c>
      <c r="J623" s="71"/>
      <c r="K623" s="71">
        <v>6000</v>
      </c>
      <c r="L623" s="72">
        <f>IFERROR(IF(G623="","",VLOOKUP($G623,[1]基础信息!$B:$C,2,FALSE)+SUMIF(G$8:G623,G623,J$8:J623)-SUMIF(G$8:G623,G623,K$8:K623)+SUMIFS([1]内部转账!$G:$G,[1]内部转账!$C:$C,"&lt;="&amp;$D623,[1]内部转账!$E:$E,$G623)-SUMIFS([1]内部转账!$G:$G,[1]内部转账!$C:$C,"&lt;="&amp;$D623,[1]内部转账!$F:$F,$G623)),"")</f>
        <v>514.289999999106</v>
      </c>
      <c r="M623" s="64" t="s">
        <v>166</v>
      </c>
      <c r="N623" s="69"/>
      <c r="O623" s="64"/>
      <c r="P623" s="64" t="s">
        <v>187</v>
      </c>
      <c r="Q623" s="69"/>
      <c r="R623" s="69"/>
      <c r="S623" s="69"/>
    </row>
    <row r="624" s="2" customFormat="1" ht="24.95" customHeight="1" spans="1:19">
      <c r="A624" s="15"/>
      <c r="B624" s="55"/>
      <c r="C624" s="56"/>
      <c r="D624" s="68">
        <v>46057</v>
      </c>
      <c r="E624" s="69"/>
      <c r="F624" s="69" t="s">
        <v>26</v>
      </c>
      <c r="G624" s="65" t="s">
        <v>27</v>
      </c>
      <c r="H624" s="65" t="s">
        <v>28</v>
      </c>
      <c r="I624" s="70" t="s">
        <v>29</v>
      </c>
      <c r="J624" s="71"/>
      <c r="K624" s="71">
        <v>-10000</v>
      </c>
      <c r="L624" s="72">
        <f>IFERROR(IF(G624="","",VLOOKUP($G624,[1]基础信息!$B:$C,2,FALSE)+SUMIF(G$8:G624,G624,J$8:J624)-SUMIF(G$8:G624,G624,K$8:K624)+SUMIFS([1]内部转账!$G:$G,[1]内部转账!$C:$C,"&lt;="&amp;$D624,[1]内部转账!$E:$E,$G624)-SUMIFS([1]内部转账!$G:$G,[1]内部转账!$C:$C,"&lt;="&amp;$D624,[1]内部转账!$F:$F,$G624)),"")</f>
        <v>10514.2899999991</v>
      </c>
      <c r="M624" s="64" t="s">
        <v>30</v>
      </c>
      <c r="N624" s="69" t="s">
        <v>31</v>
      </c>
      <c r="O624" s="64"/>
      <c r="P624" s="64" t="s">
        <v>31</v>
      </c>
      <c r="Q624" s="69"/>
      <c r="R624" s="69"/>
      <c r="S624" s="69"/>
    </row>
    <row r="625" s="2" customFormat="1" ht="24.95" customHeight="1" spans="1:19">
      <c r="A625" s="15"/>
      <c r="B625" s="55"/>
      <c r="C625" s="56"/>
      <c r="D625" s="68">
        <v>46057</v>
      </c>
      <c r="E625" s="69"/>
      <c r="F625" s="69" t="s">
        <v>26</v>
      </c>
      <c r="G625" s="65" t="s">
        <v>27</v>
      </c>
      <c r="H625" s="65" t="s">
        <v>62</v>
      </c>
      <c r="I625" s="70" t="s">
        <v>335</v>
      </c>
      <c r="J625" s="71"/>
      <c r="K625" s="71">
        <v>2000</v>
      </c>
      <c r="L625" s="72">
        <f>IFERROR(IF(G625="","",VLOOKUP($G625,[1]基础信息!$B:$C,2,FALSE)+SUMIF(G$8:G625,G625,J$8:J625)-SUMIF(G$8:G625,G625,K$8:K625)+SUMIFS([1]内部转账!$G:$G,[1]内部转账!$C:$C,"&lt;="&amp;$D625,[1]内部转账!$E:$E,$G625)-SUMIFS([1]内部转账!$G:$G,[1]内部转账!$C:$C,"&lt;="&amp;$D625,[1]内部转账!$F:$F,$G625)),"")</f>
        <v>8514.28999999911</v>
      </c>
      <c r="M625" s="64" t="s">
        <v>206</v>
      </c>
      <c r="N625" s="69"/>
      <c r="O625" s="64"/>
      <c r="P625" s="64" t="s">
        <v>336</v>
      </c>
      <c r="Q625" s="69"/>
      <c r="R625" s="69"/>
      <c r="S625" s="69"/>
    </row>
    <row r="626" s="2" customFormat="1" ht="24.95" customHeight="1" spans="1:19">
      <c r="A626" s="15"/>
      <c r="B626" s="55"/>
      <c r="C626" s="56"/>
      <c r="D626" s="68">
        <v>46058</v>
      </c>
      <c r="E626" s="69"/>
      <c r="F626" s="69" t="s">
        <v>42</v>
      </c>
      <c r="G626" s="65" t="s">
        <v>27</v>
      </c>
      <c r="H626" s="65" t="s">
        <v>43</v>
      </c>
      <c r="I626" s="70" t="s">
        <v>109</v>
      </c>
      <c r="J626" s="71">
        <v>20359</v>
      </c>
      <c r="K626" s="71"/>
      <c r="L626" s="72">
        <f>IFERROR(IF(G626="","",VLOOKUP($G626,[1]基础信息!$B:$C,2,FALSE)+SUMIF(G$8:G626,G626,J$8:J626)-SUMIF(G$8:G626,G626,K$8:K626)+SUMIFS([1]内部转账!$G:$G,[1]内部转账!$C:$C,"&lt;="&amp;$D626,[1]内部转账!$E:$E,$G626)-SUMIFS([1]内部转账!$G:$G,[1]内部转账!$C:$C,"&lt;="&amp;$D626,[1]内部转账!$F:$F,$G626)),"")</f>
        <v>28873.2899999991</v>
      </c>
      <c r="M626" s="64" t="s">
        <v>109</v>
      </c>
      <c r="N626" s="69"/>
      <c r="O626" s="64" t="s">
        <v>109</v>
      </c>
      <c r="P626" s="64"/>
      <c r="Q626" s="69"/>
      <c r="R626" s="69"/>
      <c r="S626" s="69"/>
    </row>
    <row r="627" s="2" customFormat="1" ht="24.95" customHeight="1" spans="1:19">
      <c r="A627" s="15"/>
      <c r="B627" s="55"/>
      <c r="C627" s="56"/>
      <c r="D627" s="68">
        <v>46058</v>
      </c>
      <c r="E627" s="69"/>
      <c r="F627" s="69" t="s">
        <v>26</v>
      </c>
      <c r="G627" s="65" t="s">
        <v>27</v>
      </c>
      <c r="H627" s="65" t="s">
        <v>138</v>
      </c>
      <c r="I627" s="70" t="s">
        <v>186</v>
      </c>
      <c r="J627" s="71"/>
      <c r="K627" s="71">
        <v>8000</v>
      </c>
      <c r="L627" s="72">
        <f>IFERROR(IF(G627="","",VLOOKUP($G627,[1]基础信息!$B:$C,2,FALSE)+SUMIF(G$8:G627,G627,J$8:J627)-SUMIF(G$8:G627,G627,K$8:K627)+SUMIFS([1]内部转账!$G:$G,[1]内部转账!$C:$C,"&lt;="&amp;$D627,[1]内部转账!$E:$E,$G627)-SUMIFS([1]内部转账!$G:$G,[1]内部转账!$C:$C,"&lt;="&amp;$D627,[1]内部转账!$F:$F,$G627)),"")</f>
        <v>20873.2899999991</v>
      </c>
      <c r="M627" s="64" t="s">
        <v>166</v>
      </c>
      <c r="N627" s="69"/>
      <c r="O627" s="64"/>
      <c r="P627" s="64" t="s">
        <v>187</v>
      </c>
      <c r="Q627" s="69"/>
      <c r="R627" s="69"/>
      <c r="S627" s="69"/>
    </row>
    <row r="628" s="2" customFormat="1" ht="24.95" customHeight="1" spans="1:19">
      <c r="A628" s="15"/>
      <c r="B628" s="55"/>
      <c r="C628" s="56"/>
      <c r="D628" s="68">
        <v>46058</v>
      </c>
      <c r="E628" s="69"/>
      <c r="F628" s="69" t="s">
        <v>26</v>
      </c>
      <c r="G628" s="65" t="s">
        <v>27</v>
      </c>
      <c r="H628" s="65" t="s">
        <v>83</v>
      </c>
      <c r="I628" s="70" t="s">
        <v>337</v>
      </c>
      <c r="J628" s="71"/>
      <c r="K628" s="71">
        <v>11552.55</v>
      </c>
      <c r="L628" s="72">
        <f>IFERROR(IF(G628="","",VLOOKUP($G628,[1]基础信息!$B:$C,2,FALSE)+SUMIF(G$8:G628,G628,J$8:J628)-SUMIF(G$8:G628,G628,K$8:K628)+SUMIFS([1]内部转账!$G:$G,[1]内部转账!$C:$C,"&lt;="&amp;$D628,[1]内部转账!$E:$E,$G628)-SUMIFS([1]内部转账!$G:$G,[1]内部转账!$C:$C,"&lt;="&amp;$D628,[1]内部转账!$F:$F,$G628)),"")</f>
        <v>9320.73999999929</v>
      </c>
      <c r="M628" s="64" t="s">
        <v>109</v>
      </c>
      <c r="N628" s="69"/>
      <c r="O628" s="64"/>
      <c r="P628" s="64"/>
      <c r="Q628" s="69"/>
      <c r="R628" s="69"/>
      <c r="S628" s="69"/>
    </row>
    <row r="629" s="2" customFormat="1" ht="24.95" customHeight="1" spans="1:19">
      <c r="A629" s="15"/>
      <c r="B629" s="55"/>
      <c r="C629" s="56"/>
      <c r="D629" s="68">
        <v>46058</v>
      </c>
      <c r="E629" s="69"/>
      <c r="F629" s="69" t="s">
        <v>26</v>
      </c>
      <c r="G629" s="65" t="s">
        <v>27</v>
      </c>
      <c r="H629" s="65" t="s">
        <v>83</v>
      </c>
      <c r="I629" s="70" t="s">
        <v>337</v>
      </c>
      <c r="J629" s="71"/>
      <c r="K629" s="71">
        <v>733.5</v>
      </c>
      <c r="L629" s="72">
        <f>IFERROR(IF(G629="","",VLOOKUP($G629,[1]基础信息!$B:$C,2,FALSE)+SUMIF(G$8:G629,G629,J$8:J629)-SUMIF(G$8:G629,G629,K$8:K629)+SUMIFS([1]内部转账!$G:$G,[1]内部转账!$C:$C,"&lt;="&amp;$D629,[1]内部转账!$E:$E,$G629)-SUMIFS([1]内部转账!$G:$G,[1]内部转账!$C:$C,"&lt;="&amp;$D629,[1]内部转账!$F:$F,$G629)),"")</f>
        <v>8587.23999999929</v>
      </c>
      <c r="M629" s="64" t="s">
        <v>109</v>
      </c>
      <c r="N629" s="69"/>
      <c r="O629" s="64"/>
      <c r="P629" s="64"/>
      <c r="Q629" s="69"/>
      <c r="R629" s="69"/>
      <c r="S629" s="69"/>
    </row>
    <row r="630" s="2" customFormat="1" ht="24.95" customHeight="1" spans="1:19">
      <c r="A630" s="15"/>
      <c r="B630" s="55"/>
      <c r="C630" s="56"/>
      <c r="D630" s="68">
        <v>46059</v>
      </c>
      <c r="E630" s="69"/>
      <c r="F630" s="69" t="s">
        <v>42</v>
      </c>
      <c r="G630" s="65" t="s">
        <v>27</v>
      </c>
      <c r="H630" s="65" t="s">
        <v>43</v>
      </c>
      <c r="I630" s="70" t="s">
        <v>109</v>
      </c>
      <c r="J630" s="71">
        <v>294771</v>
      </c>
      <c r="K630" s="71"/>
      <c r="L630" s="72">
        <f>IFERROR(IF(G630="","",VLOOKUP($G630,[1]基础信息!$B:$C,2,FALSE)+SUMIF(G$8:G630,G630,J$8:J630)-SUMIF(G$8:G630,G630,K$8:K630)+SUMIFS([1]内部转账!$G:$G,[1]内部转账!$C:$C,"&lt;="&amp;$D630,[1]内部转账!$E:$E,$G630)-SUMIFS([1]内部转账!$G:$G,[1]内部转账!$C:$C,"&lt;="&amp;$D630,[1]内部转账!$F:$F,$G630)),"")</f>
        <v>303358.239999999</v>
      </c>
      <c r="M630" s="64" t="s">
        <v>109</v>
      </c>
      <c r="N630" s="69"/>
      <c r="O630" s="64" t="s">
        <v>109</v>
      </c>
      <c r="P630" s="64"/>
      <c r="Q630" s="69"/>
      <c r="R630" s="69"/>
      <c r="S630" s="69"/>
    </row>
    <row r="631" s="2" customFormat="1" ht="24.95" customHeight="1" spans="1:19">
      <c r="A631" s="15"/>
      <c r="B631" s="55"/>
      <c r="C631" s="56"/>
      <c r="D631" s="68">
        <v>46059</v>
      </c>
      <c r="E631" s="69"/>
      <c r="F631" s="69" t="s">
        <v>26</v>
      </c>
      <c r="G631" s="65" t="s">
        <v>27</v>
      </c>
      <c r="H631" s="65" t="s">
        <v>46</v>
      </c>
      <c r="I631" s="70" t="s">
        <v>338</v>
      </c>
      <c r="J631" s="71"/>
      <c r="K631" s="71">
        <v>150000</v>
      </c>
      <c r="L631" s="72">
        <f>IFERROR(IF(G631="","",VLOOKUP($G631,[1]基础信息!$B:$C,2,FALSE)+SUMIF(G$8:G631,G631,J$8:J631)-SUMIF(G$8:G631,G631,K$8:K631)+SUMIFS([1]内部转账!$G:$G,[1]内部转账!$C:$C,"&lt;="&amp;$D631,[1]内部转账!$E:$E,$G631)-SUMIFS([1]内部转账!$G:$G,[1]内部转账!$C:$C,"&lt;="&amp;$D631,[1]内部转账!$F:$F,$G631)),"")</f>
        <v>153358.239999999</v>
      </c>
      <c r="M631" s="64" t="s">
        <v>109</v>
      </c>
      <c r="N631" s="69"/>
      <c r="O631" s="64"/>
      <c r="P631" s="64" t="s">
        <v>339</v>
      </c>
      <c r="Q631" s="69"/>
      <c r="R631" s="69"/>
      <c r="S631" s="69"/>
    </row>
    <row r="632" s="2" customFormat="1" ht="24.95" customHeight="1" spans="1:19">
      <c r="A632" s="15"/>
      <c r="B632" s="55"/>
      <c r="C632" s="56"/>
      <c r="D632" s="68">
        <v>46062</v>
      </c>
      <c r="E632" s="69"/>
      <c r="F632" s="69" t="s">
        <v>26</v>
      </c>
      <c r="G632" s="65" t="s">
        <v>27</v>
      </c>
      <c r="H632" s="65" t="s">
        <v>62</v>
      </c>
      <c r="I632" s="70" t="s">
        <v>79</v>
      </c>
      <c r="J632" s="71"/>
      <c r="K632" s="71">
        <v>336</v>
      </c>
      <c r="L632" s="72">
        <f>IFERROR(IF(G632="","",VLOOKUP($G632,[1]基础信息!$B:$C,2,FALSE)+SUMIF(G$8:G632,G632,J$8:J632)-SUMIF(G$8:G632,G632,K$8:K632)+SUMIFS([1]内部转账!$G:$G,[1]内部转账!$C:$C,"&lt;="&amp;$D632,[1]内部转账!$E:$E,$G632)-SUMIFS([1]内部转账!$G:$G,[1]内部转账!$C:$C,"&lt;="&amp;$D632,[1]内部转账!$F:$F,$G632)),"")</f>
        <v>153022.239999999</v>
      </c>
      <c r="M632" s="64" t="s">
        <v>206</v>
      </c>
      <c r="N632" s="69"/>
      <c r="O632" s="64"/>
      <c r="P632" s="64" t="s">
        <v>259</v>
      </c>
      <c r="Q632" s="69"/>
      <c r="R632" s="69"/>
      <c r="S632" s="69"/>
    </row>
    <row r="633" s="2" customFormat="1" ht="24.95" customHeight="1" spans="1:19">
      <c r="A633" s="15"/>
      <c r="B633" s="55"/>
      <c r="C633" s="56"/>
      <c r="D633" s="68">
        <v>46062</v>
      </c>
      <c r="E633" s="69"/>
      <c r="F633" s="69" t="s">
        <v>26</v>
      </c>
      <c r="G633" s="65" t="s">
        <v>27</v>
      </c>
      <c r="H633" s="65" t="s">
        <v>46</v>
      </c>
      <c r="I633" s="70" t="s">
        <v>338</v>
      </c>
      <c r="J633" s="71"/>
      <c r="K633" s="71">
        <v>146793</v>
      </c>
      <c r="L633" s="72">
        <f>IFERROR(IF(G633="","",VLOOKUP($G633,[1]基础信息!$B:$C,2,FALSE)+SUMIF(G$8:G633,G633,J$8:J633)-SUMIF(G$8:G633,G633,K$8:K633)+SUMIFS([1]内部转账!$G:$G,[1]内部转账!$C:$C,"&lt;="&amp;$D633,[1]内部转账!$E:$E,$G633)-SUMIFS([1]内部转账!$G:$G,[1]内部转账!$C:$C,"&lt;="&amp;$D633,[1]内部转账!$F:$F,$G633)),"")</f>
        <v>6229.23999999929</v>
      </c>
      <c r="M633" s="64" t="s">
        <v>109</v>
      </c>
      <c r="N633" s="69"/>
      <c r="O633" s="64"/>
      <c r="P633" s="64" t="s">
        <v>339</v>
      </c>
      <c r="Q633" s="69"/>
      <c r="R633" s="69"/>
      <c r="S633" s="69"/>
    </row>
    <row r="634" s="2" customFormat="1" ht="24.95" customHeight="1" spans="1:19">
      <c r="A634" s="15"/>
      <c r="B634" s="55"/>
      <c r="C634" s="56"/>
      <c r="D634" s="68">
        <v>46062</v>
      </c>
      <c r="E634" s="69"/>
      <c r="F634" s="69" t="s">
        <v>26</v>
      </c>
      <c r="G634" s="65" t="s">
        <v>27</v>
      </c>
      <c r="H634" s="65" t="s">
        <v>83</v>
      </c>
      <c r="I634" s="70" t="s">
        <v>340</v>
      </c>
      <c r="J634" s="71"/>
      <c r="K634" s="71">
        <v>-9</v>
      </c>
      <c r="L634" s="72">
        <f>IFERROR(IF(G634="","",VLOOKUP($G634,[1]基础信息!$B:$C,2,FALSE)+SUMIF(G$8:G634,G634,J$8:J634)-SUMIF(G$8:G634,G634,K$8:K634)+SUMIFS([1]内部转账!$G:$G,[1]内部转账!$C:$C,"&lt;="&amp;$D634,[1]内部转账!$E:$E,$G634)-SUMIFS([1]内部转账!$G:$G,[1]内部转账!$C:$C,"&lt;="&amp;$D634,[1]内部转账!$F:$F,$G634)),"")</f>
        <v>6238.23999999929</v>
      </c>
      <c r="M634" s="64" t="s">
        <v>35</v>
      </c>
      <c r="N634" s="69"/>
      <c r="O634" s="64"/>
      <c r="P634" s="64"/>
      <c r="Q634" s="69"/>
      <c r="R634" s="69"/>
      <c r="S634" s="69"/>
    </row>
    <row r="635" s="2" customFormat="1" ht="24.95" customHeight="1" spans="1:19">
      <c r="A635" s="15"/>
      <c r="B635" s="55"/>
      <c r="C635" s="56"/>
      <c r="D635" s="68">
        <v>46063</v>
      </c>
      <c r="E635" s="69"/>
      <c r="F635" s="69" t="s">
        <v>42</v>
      </c>
      <c r="G635" s="65" t="s">
        <v>341</v>
      </c>
      <c r="H635" s="65" t="s">
        <v>43</v>
      </c>
      <c r="I635" s="70" t="s">
        <v>43</v>
      </c>
      <c r="J635" s="71">
        <v>8600</v>
      </c>
      <c r="K635" s="71"/>
      <c r="L635" s="72">
        <f>IFERROR(IF(G635="","",VLOOKUP($G635,[1]基础信息!$B:$C,2,FALSE)+SUMIF(G$8:G635,G635,J$8:J635)-SUMIF(G$8:G635,G635,K$8:K635)+SUMIFS([1]内部转账!$G:$G,[1]内部转账!$C:$C,"&lt;="&amp;$D635,[1]内部转账!$E:$E,$G635)-SUMIFS([1]内部转账!$G:$G,[1]内部转账!$C:$C,"&lt;="&amp;$D635,[1]内部转账!$F:$F,$G635)),"")</f>
        <v>8600</v>
      </c>
      <c r="M635" s="64" t="s">
        <v>174</v>
      </c>
      <c r="N635" s="69" t="s">
        <v>98</v>
      </c>
      <c r="O635" s="64"/>
      <c r="P635" s="64"/>
      <c r="Q635" s="69"/>
      <c r="R635" s="69"/>
      <c r="S635" s="69"/>
    </row>
    <row r="636" s="2" customFormat="1" ht="24.95" customHeight="1" spans="1:19">
      <c r="A636" s="15"/>
      <c r="B636" s="55"/>
      <c r="C636" s="56"/>
      <c r="D636" s="68">
        <v>46066</v>
      </c>
      <c r="E636" s="69"/>
      <c r="F636" s="69" t="s">
        <v>42</v>
      </c>
      <c r="G636" s="65" t="s">
        <v>27</v>
      </c>
      <c r="H636" s="65" t="s">
        <v>43</v>
      </c>
      <c r="I636" s="70" t="s">
        <v>342</v>
      </c>
      <c r="J636" s="71">
        <v>248591.7</v>
      </c>
      <c r="K636" s="71"/>
      <c r="L636" s="72">
        <f>IFERROR(IF(G636="","",VLOOKUP($G636,[1]基础信息!$B:$C,2,FALSE)+SUMIF(G$8:G636,G636,J$8:J636)-SUMIF(G$8:G636,G636,K$8:K636)+SUMIFS([1]内部转账!$G:$G,[1]内部转账!$C:$C,"&lt;="&amp;$D636,[1]内部转账!$E:$E,$G636)-SUMIFS([1]内部转账!$G:$G,[1]内部转账!$C:$C,"&lt;="&amp;$D636,[1]内部转账!$F:$F,$G636)),"")</f>
        <v>254829.939999999</v>
      </c>
      <c r="M636" s="64" t="s">
        <v>317</v>
      </c>
      <c r="N636" s="69"/>
      <c r="O636" s="64" t="s">
        <v>183</v>
      </c>
      <c r="P636" s="64"/>
      <c r="Q636" s="69"/>
      <c r="R636" s="69"/>
      <c r="S636" s="69"/>
    </row>
    <row r="637" s="2" customFormat="1" ht="24.95" customHeight="1" spans="1:19">
      <c r="A637" s="15"/>
      <c r="B637" s="55"/>
      <c r="C637" s="56"/>
      <c r="D637" s="68">
        <v>46066</v>
      </c>
      <c r="E637" s="69"/>
      <c r="F637" s="69" t="s">
        <v>42</v>
      </c>
      <c r="G637" s="65" t="s">
        <v>27</v>
      </c>
      <c r="H637" s="65" t="s">
        <v>43</v>
      </c>
      <c r="I637" s="70" t="s">
        <v>221</v>
      </c>
      <c r="J637" s="71">
        <v>820000</v>
      </c>
      <c r="K637" s="71"/>
      <c r="L637" s="72">
        <f>IFERROR(IF(G637="","",VLOOKUP($G637,[1]基础信息!$B:$C,2,FALSE)+SUMIF(G$8:G637,G637,J$8:J637)-SUMIF(G$8:G637,G637,K$8:K637)+SUMIFS([1]内部转账!$G:$G,[1]内部转账!$C:$C,"&lt;="&amp;$D637,[1]内部转账!$E:$E,$G637)-SUMIFS([1]内部转账!$G:$G,[1]内部转账!$C:$C,"&lt;="&amp;$D637,[1]内部转账!$F:$F,$G637)),"")</f>
        <v>1074829.94</v>
      </c>
      <c r="M637" s="64" t="s">
        <v>206</v>
      </c>
      <c r="N637" s="69"/>
      <c r="O637" s="64" t="s">
        <v>222</v>
      </c>
      <c r="P637" s="64"/>
      <c r="Q637" s="69"/>
      <c r="R637" s="69"/>
      <c r="S637" s="69"/>
    </row>
    <row r="638" s="2" customFormat="1" ht="24.95" customHeight="1" spans="1:19">
      <c r="A638" s="15"/>
      <c r="B638" s="55"/>
      <c r="C638" s="56"/>
      <c r="D638" s="68">
        <v>46066</v>
      </c>
      <c r="E638" s="69"/>
      <c r="F638" s="69" t="s">
        <v>26</v>
      </c>
      <c r="G638" s="65" t="s">
        <v>27</v>
      </c>
      <c r="H638" s="65" t="s">
        <v>46</v>
      </c>
      <c r="I638" s="70" t="s">
        <v>286</v>
      </c>
      <c r="J638" s="71"/>
      <c r="K638" s="71">
        <v>15775</v>
      </c>
      <c r="L638" s="72">
        <f>IFERROR(IF(G638="","",VLOOKUP($G638,[1]基础信息!$B:$C,2,FALSE)+SUMIF(G$8:G638,G638,J$8:J638)-SUMIF(G$8:G638,G638,K$8:K638)+SUMIFS([1]内部转账!$G:$G,[1]内部转账!$C:$C,"&lt;="&amp;$D638,[1]内部转账!$E:$E,$G638)-SUMIFS([1]内部转账!$G:$G,[1]内部转账!$C:$C,"&lt;="&amp;$D638,[1]内部转账!$F:$F,$G638)),"")</f>
        <v>1059054.94</v>
      </c>
      <c r="M638" s="64" t="s">
        <v>150</v>
      </c>
      <c r="N638" s="69"/>
      <c r="O638" s="64"/>
      <c r="P638" s="64"/>
      <c r="Q638" s="69"/>
      <c r="R638" s="69"/>
      <c r="S638" s="69"/>
    </row>
    <row r="639" s="2" customFormat="1" ht="24.95" customHeight="1" spans="1:19">
      <c r="A639" s="15"/>
      <c r="B639" s="55"/>
      <c r="C639" s="56"/>
      <c r="D639" s="68">
        <v>46066</v>
      </c>
      <c r="E639" s="69"/>
      <c r="F639" s="69" t="s">
        <v>26</v>
      </c>
      <c r="G639" s="65" t="s">
        <v>27</v>
      </c>
      <c r="H639" s="65" t="s">
        <v>46</v>
      </c>
      <c r="I639" s="70" t="s">
        <v>78</v>
      </c>
      <c r="J639" s="71"/>
      <c r="K639" s="71">
        <v>20464</v>
      </c>
      <c r="L639" s="72">
        <f>IFERROR(IF(G639="","",VLOOKUP($G639,[1]基础信息!$B:$C,2,FALSE)+SUMIF(G$8:G639,G639,J$8:J639)-SUMIF(G$8:G639,G639,K$8:K639)+SUMIFS([1]内部转账!$G:$G,[1]内部转账!$C:$C,"&lt;="&amp;$D639,[1]内部转账!$E:$E,$G639)-SUMIFS([1]内部转账!$G:$G,[1]内部转账!$C:$C,"&lt;="&amp;$D639,[1]内部转账!$F:$F,$G639)),"")</f>
        <v>1038590.94</v>
      </c>
      <c r="M639" s="64" t="s">
        <v>150</v>
      </c>
      <c r="N639" s="69"/>
      <c r="O639" s="64"/>
      <c r="P639" s="64"/>
      <c r="Q639" s="69"/>
      <c r="R639" s="69"/>
      <c r="S639" s="69"/>
    </row>
    <row r="640" s="2" customFormat="1" ht="24.95" customHeight="1" spans="1:19">
      <c r="A640" s="15"/>
      <c r="B640" s="55"/>
      <c r="C640" s="56"/>
      <c r="D640" s="68">
        <v>46066</v>
      </c>
      <c r="E640" s="69"/>
      <c r="F640" s="69" t="s">
        <v>26</v>
      </c>
      <c r="G640" s="65" t="s">
        <v>27</v>
      </c>
      <c r="H640" s="65" t="s">
        <v>46</v>
      </c>
      <c r="I640" s="70" t="s">
        <v>310</v>
      </c>
      <c r="J640" s="71"/>
      <c r="K640" s="71">
        <v>3440</v>
      </c>
      <c r="L640" s="72">
        <f>IFERROR(IF(G640="","",VLOOKUP($G640,[1]基础信息!$B:$C,2,FALSE)+SUMIF(G$8:G640,G640,J$8:J640)-SUMIF(G$8:G640,G640,K$8:K640)+SUMIFS([1]内部转账!$G:$G,[1]内部转账!$C:$C,"&lt;="&amp;$D640,[1]内部转账!$E:$E,$G640)-SUMIFS([1]内部转账!$G:$G,[1]内部转账!$C:$C,"&lt;="&amp;$D640,[1]内部转账!$F:$F,$G640)),"")</f>
        <v>1035150.94</v>
      </c>
      <c r="M640" s="64" t="s">
        <v>150</v>
      </c>
      <c r="N640" s="69"/>
      <c r="O640" s="64"/>
      <c r="P640" s="64"/>
      <c r="Q640" s="69"/>
      <c r="R640" s="69"/>
      <c r="S640" s="69"/>
    </row>
    <row r="641" s="2" customFormat="1" ht="24.95" customHeight="1" spans="1:19">
      <c r="A641" s="15"/>
      <c r="B641" s="55"/>
      <c r="C641" s="56"/>
      <c r="D641" s="68">
        <v>46066</v>
      </c>
      <c r="E641" s="69"/>
      <c r="F641" s="69" t="s">
        <v>26</v>
      </c>
      <c r="G641" s="65" t="s">
        <v>27</v>
      </c>
      <c r="H641" s="65" t="s">
        <v>46</v>
      </c>
      <c r="I641" s="70" t="s">
        <v>97</v>
      </c>
      <c r="J641" s="71"/>
      <c r="K641" s="71">
        <v>10030</v>
      </c>
      <c r="L641" s="72">
        <f>IFERROR(IF(G641="","",VLOOKUP($G641,[1]基础信息!$B:$C,2,FALSE)+SUMIF(G$8:G641,G641,J$8:J641)-SUMIF(G$8:G641,G641,K$8:K641)+SUMIFS([1]内部转账!$G:$G,[1]内部转账!$C:$C,"&lt;="&amp;$D641,[1]内部转账!$E:$E,$G641)-SUMIFS([1]内部转账!$G:$G,[1]内部转账!$C:$C,"&lt;="&amp;$D641,[1]内部转账!$F:$F,$G641)),"")</f>
        <v>1025120.94</v>
      </c>
      <c r="M641" s="64" t="s">
        <v>150</v>
      </c>
      <c r="N641" s="69"/>
      <c r="O641" s="64"/>
      <c r="P641" s="64"/>
      <c r="Q641" s="69"/>
      <c r="R641" s="69"/>
      <c r="S641" s="69"/>
    </row>
    <row r="642" s="2" customFormat="1" ht="24.95" customHeight="1" spans="1:19">
      <c r="A642" s="15"/>
      <c r="B642" s="55"/>
      <c r="C642" s="56"/>
      <c r="D642" s="68">
        <v>46066</v>
      </c>
      <c r="E642" s="69"/>
      <c r="F642" s="69" t="s">
        <v>26</v>
      </c>
      <c r="G642" s="65" t="s">
        <v>27</v>
      </c>
      <c r="H642" s="65" t="s">
        <v>46</v>
      </c>
      <c r="I642" s="70" t="s">
        <v>240</v>
      </c>
      <c r="J642" s="71"/>
      <c r="K642" s="71">
        <v>13710</v>
      </c>
      <c r="L642" s="72">
        <f>IFERROR(IF(G642="","",VLOOKUP($G642,[1]基础信息!$B:$C,2,FALSE)+SUMIF(G$8:G642,G642,J$8:J642)-SUMIF(G$8:G642,G642,K$8:K642)+SUMIFS([1]内部转账!$G:$G,[1]内部转账!$C:$C,"&lt;="&amp;$D642,[1]内部转账!$E:$E,$G642)-SUMIFS([1]内部转账!$G:$G,[1]内部转账!$C:$C,"&lt;="&amp;$D642,[1]内部转账!$F:$F,$G642)),"")</f>
        <v>1011410.94</v>
      </c>
      <c r="M642" s="64" t="s">
        <v>150</v>
      </c>
      <c r="N642" s="69"/>
      <c r="O642" s="64"/>
      <c r="P642" s="64"/>
      <c r="Q642" s="69"/>
      <c r="R642" s="69"/>
      <c r="S642" s="69"/>
    </row>
    <row r="643" s="2" customFormat="1" ht="24.95" customHeight="1" spans="1:19">
      <c r="A643" s="15"/>
      <c r="B643" s="55"/>
      <c r="C643" s="56"/>
      <c r="D643" s="68">
        <v>46066</v>
      </c>
      <c r="E643" s="69"/>
      <c r="F643" s="69" t="s">
        <v>26</v>
      </c>
      <c r="G643" s="65" t="s">
        <v>27</v>
      </c>
      <c r="H643" s="65" t="s">
        <v>46</v>
      </c>
      <c r="I643" s="70" t="s">
        <v>198</v>
      </c>
      <c r="J643" s="71"/>
      <c r="K643" s="71">
        <v>18400</v>
      </c>
      <c r="L643" s="72">
        <f>IFERROR(IF(G643="","",VLOOKUP($G643,[1]基础信息!$B:$C,2,FALSE)+SUMIF(G$8:G643,G643,J$8:J643)-SUMIF(G$8:G643,G643,K$8:K643)+SUMIFS([1]内部转账!$G:$G,[1]内部转账!$C:$C,"&lt;="&amp;$D643,[1]内部转账!$E:$E,$G643)-SUMIFS([1]内部转账!$G:$G,[1]内部转账!$C:$C,"&lt;="&amp;$D643,[1]内部转账!$F:$F,$G643)),"")</f>
        <v>993010.939999999</v>
      </c>
      <c r="M643" s="64" t="s">
        <v>150</v>
      </c>
      <c r="N643" s="69"/>
      <c r="O643" s="64"/>
      <c r="P643" s="64"/>
      <c r="Q643" s="69"/>
      <c r="R643" s="69"/>
      <c r="S643" s="69"/>
    </row>
    <row r="644" s="2" customFormat="1" ht="24.95" customHeight="1" spans="1:19">
      <c r="A644" s="15"/>
      <c r="B644" s="55"/>
      <c r="C644" s="56"/>
      <c r="D644" s="68">
        <v>46066</v>
      </c>
      <c r="E644" s="69"/>
      <c r="F644" s="69" t="s">
        <v>26</v>
      </c>
      <c r="G644" s="65" t="s">
        <v>27</v>
      </c>
      <c r="H644" s="65" t="s">
        <v>46</v>
      </c>
      <c r="I644" s="70" t="s">
        <v>73</v>
      </c>
      <c r="J644" s="71"/>
      <c r="K644" s="71">
        <v>16210</v>
      </c>
      <c r="L644" s="72">
        <f>IFERROR(IF(G644="","",VLOOKUP($G644,[1]基础信息!$B:$C,2,FALSE)+SUMIF(G$8:G644,G644,J$8:J644)-SUMIF(G$8:G644,G644,K$8:K644)+SUMIFS([1]内部转账!$G:$G,[1]内部转账!$C:$C,"&lt;="&amp;$D644,[1]内部转账!$E:$E,$G644)-SUMIFS([1]内部转账!$G:$G,[1]内部转账!$C:$C,"&lt;="&amp;$D644,[1]内部转账!$F:$F,$G644)),"")</f>
        <v>976800.939999999</v>
      </c>
      <c r="M644" s="64" t="s">
        <v>150</v>
      </c>
      <c r="N644" s="69"/>
      <c r="O644" s="64"/>
      <c r="P644" s="64"/>
      <c r="Q644" s="69"/>
      <c r="R644" s="69"/>
      <c r="S644" s="69"/>
    </row>
    <row r="645" s="2" customFormat="1" ht="24.95" customHeight="1" spans="1:19">
      <c r="A645" s="15"/>
      <c r="B645" s="55"/>
      <c r="C645" s="56"/>
      <c r="D645" s="68">
        <v>46066</v>
      </c>
      <c r="E645" s="69"/>
      <c r="F645" s="69" t="s">
        <v>26</v>
      </c>
      <c r="G645" s="65" t="s">
        <v>27</v>
      </c>
      <c r="H645" s="65" t="s">
        <v>46</v>
      </c>
      <c r="I645" s="70" t="s">
        <v>302</v>
      </c>
      <c r="J645" s="71"/>
      <c r="K645" s="71">
        <v>15595</v>
      </c>
      <c r="L645" s="72">
        <f>IFERROR(IF(G645="","",VLOOKUP($G645,[1]基础信息!$B:$C,2,FALSE)+SUMIF(G$8:G645,G645,J$8:J645)-SUMIF(G$8:G645,G645,K$8:K645)+SUMIFS([1]内部转账!$G:$G,[1]内部转账!$C:$C,"&lt;="&amp;$D645,[1]内部转账!$E:$E,$G645)-SUMIFS([1]内部转账!$G:$G,[1]内部转账!$C:$C,"&lt;="&amp;$D645,[1]内部转账!$F:$F,$G645)),"")</f>
        <v>961205.939999999</v>
      </c>
      <c r="M645" s="64" t="s">
        <v>206</v>
      </c>
      <c r="N645" s="69"/>
      <c r="O645" s="64"/>
      <c r="P645" s="64"/>
      <c r="Q645" s="69"/>
      <c r="R645" s="69"/>
      <c r="S645" s="69"/>
    </row>
    <row r="646" s="2" customFormat="1" ht="24.95" customHeight="1" spans="1:19">
      <c r="A646" s="15"/>
      <c r="B646" s="55"/>
      <c r="C646" s="56"/>
      <c r="D646" s="68">
        <v>46066</v>
      </c>
      <c r="E646" s="69"/>
      <c r="F646" s="69" t="s">
        <v>26</v>
      </c>
      <c r="G646" s="65" t="s">
        <v>27</v>
      </c>
      <c r="H646" s="65" t="s">
        <v>46</v>
      </c>
      <c r="I646" s="70" t="s">
        <v>249</v>
      </c>
      <c r="J646" s="71"/>
      <c r="K646" s="71">
        <v>34800</v>
      </c>
      <c r="L646" s="72">
        <f>IFERROR(IF(G646="","",VLOOKUP($G646,[1]基础信息!$B:$C,2,FALSE)+SUMIF(G$8:G646,G646,J$8:J646)-SUMIF(G$8:G646,G646,K$8:K646)+SUMIFS([1]内部转账!$G:$G,[1]内部转账!$C:$C,"&lt;="&amp;$D646,[1]内部转账!$E:$E,$G646)-SUMIFS([1]内部转账!$G:$G,[1]内部转账!$C:$C,"&lt;="&amp;$D646,[1]内部转账!$F:$F,$G646)),"")</f>
        <v>926405.939999999</v>
      </c>
      <c r="M646" s="64" t="s">
        <v>206</v>
      </c>
      <c r="N646" s="69"/>
      <c r="O646" s="64"/>
      <c r="P646" s="64"/>
      <c r="Q646" s="69"/>
      <c r="R646" s="69"/>
      <c r="S646" s="69"/>
    </row>
    <row r="647" s="2" customFormat="1" ht="24.95" customHeight="1" spans="1:19">
      <c r="A647" s="15"/>
      <c r="B647" s="55"/>
      <c r="C647" s="56"/>
      <c r="D647" s="68">
        <v>46066</v>
      </c>
      <c r="E647" s="69"/>
      <c r="F647" s="69" t="s">
        <v>26</v>
      </c>
      <c r="G647" s="65" t="s">
        <v>27</v>
      </c>
      <c r="H647" s="65" t="s">
        <v>46</v>
      </c>
      <c r="I647" s="70" t="s">
        <v>68</v>
      </c>
      <c r="J647" s="71"/>
      <c r="K647" s="71">
        <v>34075</v>
      </c>
      <c r="L647" s="72">
        <f>IFERROR(IF(G647="","",VLOOKUP($G647,[1]基础信息!$B:$C,2,FALSE)+SUMIF(G$8:G647,G647,J$8:J647)-SUMIF(G$8:G647,G647,K$8:K647)+SUMIFS([1]内部转账!$G:$G,[1]内部转账!$C:$C,"&lt;="&amp;$D647,[1]内部转账!$E:$E,$G647)-SUMIFS([1]内部转账!$G:$G,[1]内部转账!$C:$C,"&lt;="&amp;$D647,[1]内部转账!$F:$F,$G647)),"")</f>
        <v>892330.939999999</v>
      </c>
      <c r="M647" s="64" t="s">
        <v>150</v>
      </c>
      <c r="N647" s="69"/>
      <c r="O647" s="64"/>
      <c r="P647" s="64"/>
      <c r="Q647" s="69"/>
      <c r="R647" s="69"/>
      <c r="S647" s="69"/>
    </row>
    <row r="648" s="2" customFormat="1" ht="24.95" customHeight="1" spans="1:19">
      <c r="A648" s="15"/>
      <c r="B648" s="55"/>
      <c r="C648" s="56"/>
      <c r="D648" s="68">
        <v>46066</v>
      </c>
      <c r="E648" s="69"/>
      <c r="F648" s="69" t="s">
        <v>26</v>
      </c>
      <c r="G648" s="65" t="s">
        <v>27</v>
      </c>
      <c r="H648" s="65" t="s">
        <v>46</v>
      </c>
      <c r="I648" s="70" t="s">
        <v>75</v>
      </c>
      <c r="J648" s="71"/>
      <c r="K648" s="71">
        <v>4226</v>
      </c>
      <c r="L648" s="72">
        <f>IFERROR(IF(G648="","",VLOOKUP($G648,[1]基础信息!$B:$C,2,FALSE)+SUMIF(G$8:G648,G648,J$8:J648)-SUMIF(G$8:G648,G648,K$8:K648)+SUMIFS([1]内部转账!$G:$G,[1]内部转账!$C:$C,"&lt;="&amp;$D648,[1]内部转账!$E:$E,$G648)-SUMIFS([1]内部转账!$G:$G,[1]内部转账!$C:$C,"&lt;="&amp;$D648,[1]内部转账!$F:$F,$G648)),"")</f>
        <v>888104.939999999</v>
      </c>
      <c r="M648" s="64" t="s">
        <v>150</v>
      </c>
      <c r="N648" s="69"/>
      <c r="O648" s="64"/>
      <c r="P648" s="64"/>
      <c r="Q648" s="69"/>
      <c r="R648" s="69"/>
      <c r="S648" s="69"/>
    </row>
    <row r="649" s="2" customFormat="1" ht="24.95" customHeight="1" spans="1:19">
      <c r="A649" s="15"/>
      <c r="B649" s="55"/>
      <c r="C649" s="56"/>
      <c r="D649" s="68">
        <v>46066</v>
      </c>
      <c r="E649" s="69"/>
      <c r="F649" s="69" t="s">
        <v>26</v>
      </c>
      <c r="G649" s="65" t="s">
        <v>27</v>
      </c>
      <c r="H649" s="65" t="s">
        <v>46</v>
      </c>
      <c r="I649" s="70" t="s">
        <v>303</v>
      </c>
      <c r="J649" s="71"/>
      <c r="K649" s="71">
        <v>2830</v>
      </c>
      <c r="L649" s="72">
        <f>IFERROR(IF(G649="","",VLOOKUP($G649,[1]基础信息!$B:$C,2,FALSE)+SUMIF(G$8:G649,G649,J$8:J649)-SUMIF(G$8:G649,G649,K$8:K649)+SUMIFS([1]内部转账!$G:$G,[1]内部转账!$C:$C,"&lt;="&amp;$D649,[1]内部转账!$E:$E,$G649)-SUMIFS([1]内部转账!$G:$G,[1]内部转账!$C:$C,"&lt;="&amp;$D649,[1]内部转账!$F:$F,$G649)),"")</f>
        <v>885274.939999999</v>
      </c>
      <c r="M649" s="64" t="s">
        <v>206</v>
      </c>
      <c r="N649" s="69"/>
      <c r="O649" s="64"/>
      <c r="P649" s="64"/>
      <c r="Q649" s="69"/>
      <c r="R649" s="69"/>
      <c r="S649" s="69"/>
    </row>
    <row r="650" s="2" customFormat="1" ht="24.95" customHeight="1" spans="1:19">
      <c r="A650" s="15"/>
      <c r="B650" s="55"/>
      <c r="C650" s="56"/>
      <c r="D650" s="68">
        <v>46066</v>
      </c>
      <c r="E650" s="69"/>
      <c r="F650" s="69" t="s">
        <v>26</v>
      </c>
      <c r="G650" s="65" t="s">
        <v>27</v>
      </c>
      <c r="H650" s="65" t="s">
        <v>46</v>
      </c>
      <c r="I650" s="70" t="s">
        <v>304</v>
      </c>
      <c r="J650" s="71"/>
      <c r="K650" s="71">
        <v>16935</v>
      </c>
      <c r="L650" s="72">
        <f>IFERROR(IF(G650="","",VLOOKUP($G650,[1]基础信息!$B:$C,2,FALSE)+SUMIF(G$8:G650,G650,J$8:J650)-SUMIF(G$8:G650,G650,K$8:K650)+SUMIFS([1]内部转账!$G:$G,[1]内部转账!$C:$C,"&lt;="&amp;$D650,[1]内部转账!$E:$E,$G650)-SUMIFS([1]内部转账!$G:$G,[1]内部转账!$C:$C,"&lt;="&amp;$D650,[1]内部转账!$F:$F,$G650)),"")</f>
        <v>868339.939999999</v>
      </c>
      <c r="M650" s="64" t="s">
        <v>206</v>
      </c>
      <c r="N650" s="69"/>
      <c r="O650" s="64"/>
      <c r="P650" s="64"/>
      <c r="Q650" s="69"/>
      <c r="R650" s="69"/>
      <c r="S650" s="69"/>
    </row>
    <row r="651" s="2" customFormat="1" ht="24.95" customHeight="1" spans="1:19">
      <c r="A651" s="15"/>
      <c r="B651" s="55"/>
      <c r="C651" s="56"/>
      <c r="D651" s="68">
        <v>46066</v>
      </c>
      <c r="E651" s="69"/>
      <c r="F651" s="69" t="s">
        <v>26</v>
      </c>
      <c r="G651" s="65" t="s">
        <v>27</v>
      </c>
      <c r="H651" s="65" t="s">
        <v>46</v>
      </c>
      <c r="I651" s="70" t="s">
        <v>309</v>
      </c>
      <c r="J651" s="71"/>
      <c r="K651" s="71">
        <v>16144</v>
      </c>
      <c r="L651" s="72">
        <f>IFERROR(IF(G651="","",VLOOKUP($G651,[1]基础信息!$B:$C,2,FALSE)+SUMIF(G$8:G651,G651,J$8:J651)-SUMIF(G$8:G651,G651,K$8:K651)+SUMIFS([1]内部转账!$G:$G,[1]内部转账!$C:$C,"&lt;="&amp;$D651,[1]内部转账!$E:$E,$G651)-SUMIFS([1]内部转账!$G:$G,[1]内部转账!$C:$C,"&lt;="&amp;$D651,[1]内部转账!$F:$F,$G651)),"")</f>
        <v>852195.939999999</v>
      </c>
      <c r="M651" s="64" t="s">
        <v>206</v>
      </c>
      <c r="N651" s="69"/>
      <c r="O651" s="64"/>
      <c r="P651" s="64"/>
      <c r="Q651" s="69"/>
      <c r="R651" s="69"/>
      <c r="S651" s="69"/>
    </row>
    <row r="652" s="2" customFormat="1" ht="24.95" customHeight="1" spans="1:19">
      <c r="A652" s="15"/>
      <c r="B652" s="55"/>
      <c r="C652" s="56"/>
      <c r="D652" s="68">
        <v>46066</v>
      </c>
      <c r="E652" s="69"/>
      <c r="F652" s="69" t="s">
        <v>26</v>
      </c>
      <c r="G652" s="65" t="s">
        <v>27</v>
      </c>
      <c r="H652" s="65" t="s">
        <v>46</v>
      </c>
      <c r="I652" s="70" t="s">
        <v>311</v>
      </c>
      <c r="J652" s="71"/>
      <c r="K652" s="71">
        <v>12225</v>
      </c>
      <c r="L652" s="72">
        <f>IFERROR(IF(G652="","",VLOOKUP($G652,[1]基础信息!$B:$C,2,FALSE)+SUMIF(G$8:G652,G652,J$8:J652)-SUMIF(G$8:G652,G652,K$8:K652)+SUMIFS([1]内部转账!$G:$G,[1]内部转账!$C:$C,"&lt;="&amp;$D652,[1]内部转账!$E:$E,$G652)-SUMIFS([1]内部转账!$G:$G,[1]内部转账!$C:$C,"&lt;="&amp;$D652,[1]内部转账!$F:$F,$G652)),"")</f>
        <v>839970.939999999</v>
      </c>
      <c r="M652" s="64" t="s">
        <v>206</v>
      </c>
      <c r="N652" s="69"/>
      <c r="O652" s="64"/>
      <c r="P652" s="64"/>
      <c r="Q652" s="69"/>
      <c r="R652" s="69"/>
      <c r="S652" s="69"/>
    </row>
    <row r="653" s="2" customFormat="1" ht="24.95" customHeight="1" spans="1:19">
      <c r="A653" s="15"/>
      <c r="B653" s="55"/>
      <c r="C653" s="56"/>
      <c r="D653" s="68">
        <v>46066</v>
      </c>
      <c r="E653" s="69"/>
      <c r="F653" s="69" t="s">
        <v>26</v>
      </c>
      <c r="G653" s="65" t="s">
        <v>27</v>
      </c>
      <c r="H653" s="65" t="s">
        <v>46</v>
      </c>
      <c r="I653" s="70" t="s">
        <v>250</v>
      </c>
      <c r="J653" s="71"/>
      <c r="K653" s="71">
        <v>48500</v>
      </c>
      <c r="L653" s="72">
        <f>IFERROR(IF(G653="","",VLOOKUP($G653,[1]基础信息!$B:$C,2,FALSE)+SUMIF(G$8:G653,G653,J$8:J653)-SUMIF(G$8:G653,G653,K$8:K653)+SUMIFS([1]内部转账!$G:$G,[1]内部转账!$C:$C,"&lt;="&amp;$D653,[1]内部转账!$E:$E,$G653)-SUMIFS([1]内部转账!$G:$G,[1]内部转账!$C:$C,"&lt;="&amp;$D653,[1]内部转账!$F:$F,$G653)),"")</f>
        <v>791470.939999999</v>
      </c>
      <c r="M653" s="64" t="s">
        <v>206</v>
      </c>
      <c r="N653" s="69"/>
      <c r="O653" s="64"/>
      <c r="P653" s="64"/>
      <c r="Q653" s="69"/>
      <c r="R653" s="69"/>
      <c r="S653" s="69"/>
    </row>
    <row r="654" s="2" customFormat="1" ht="24.95" customHeight="1" spans="1:19">
      <c r="A654" s="15"/>
      <c r="B654" s="55"/>
      <c r="C654" s="56"/>
      <c r="D654" s="68">
        <v>46066</v>
      </c>
      <c r="E654" s="69"/>
      <c r="F654" s="69" t="s">
        <v>26</v>
      </c>
      <c r="G654" s="65" t="s">
        <v>27</v>
      </c>
      <c r="H654" s="65" t="s">
        <v>46</v>
      </c>
      <c r="I654" s="70" t="s">
        <v>305</v>
      </c>
      <c r="J654" s="71"/>
      <c r="K654" s="71">
        <v>7250</v>
      </c>
      <c r="L654" s="72">
        <f>IFERROR(IF(G654="","",VLOOKUP($G654,[1]基础信息!$B:$C,2,FALSE)+SUMIF(G$8:G654,G654,J$8:J654)-SUMIF(G$8:G654,G654,K$8:K654)+SUMIFS([1]内部转账!$G:$G,[1]内部转账!$C:$C,"&lt;="&amp;$D654,[1]内部转账!$E:$E,$G654)-SUMIFS([1]内部转账!$G:$G,[1]内部转账!$C:$C,"&lt;="&amp;$D654,[1]内部转账!$F:$F,$G654)),"")</f>
        <v>784220.939999999</v>
      </c>
      <c r="M654" s="64" t="s">
        <v>150</v>
      </c>
      <c r="N654" s="69"/>
      <c r="O654" s="64"/>
      <c r="P654" s="64"/>
      <c r="Q654" s="69"/>
      <c r="R654" s="69"/>
      <c r="S654" s="69"/>
    </row>
    <row r="655" s="2" customFormat="1" ht="24.95" customHeight="1" spans="1:19">
      <c r="A655" s="15"/>
      <c r="B655" s="55"/>
      <c r="C655" s="56"/>
      <c r="D655" s="68">
        <v>46066</v>
      </c>
      <c r="E655" s="69"/>
      <c r="F655" s="69" t="s">
        <v>26</v>
      </c>
      <c r="G655" s="65" t="s">
        <v>27</v>
      </c>
      <c r="H655" s="65" t="s">
        <v>46</v>
      </c>
      <c r="I655" s="70" t="s">
        <v>129</v>
      </c>
      <c r="J655" s="71"/>
      <c r="K655" s="71">
        <v>9460</v>
      </c>
      <c r="L655" s="72">
        <f>IFERROR(IF(G655="","",VLOOKUP($G655,[1]基础信息!$B:$C,2,FALSE)+SUMIF(G$8:G655,G655,J$8:J655)-SUMIF(G$8:G655,G655,K$8:K655)+SUMIFS([1]内部转账!$G:$G,[1]内部转账!$C:$C,"&lt;="&amp;$D655,[1]内部转账!$E:$E,$G655)-SUMIFS([1]内部转账!$G:$G,[1]内部转账!$C:$C,"&lt;="&amp;$D655,[1]内部转账!$F:$F,$G655)),"")</f>
        <v>774760.939999999</v>
      </c>
      <c r="M655" s="64" t="s">
        <v>206</v>
      </c>
      <c r="N655" s="69"/>
      <c r="O655" s="64"/>
      <c r="P655" s="64"/>
      <c r="Q655" s="69"/>
      <c r="R655" s="69"/>
      <c r="S655" s="69"/>
    </row>
    <row r="656" s="2" customFormat="1" ht="24.95" customHeight="1" spans="1:19">
      <c r="A656" s="15"/>
      <c r="B656" s="55"/>
      <c r="C656" s="56"/>
      <c r="D656" s="68">
        <v>46066</v>
      </c>
      <c r="E656" s="69"/>
      <c r="F656" s="69" t="s">
        <v>26</v>
      </c>
      <c r="G656" s="65" t="s">
        <v>27</v>
      </c>
      <c r="H656" s="65" t="s">
        <v>46</v>
      </c>
      <c r="I656" s="70" t="s">
        <v>137</v>
      </c>
      <c r="J656" s="71"/>
      <c r="K656" s="71">
        <v>16995</v>
      </c>
      <c r="L656" s="72">
        <f>IFERROR(IF(G656="","",VLOOKUP($G656,[1]基础信息!$B:$C,2,FALSE)+SUMIF(G$8:G656,G656,J$8:J656)-SUMIF(G$8:G656,G656,K$8:K656)+SUMIFS([1]内部转账!$G:$G,[1]内部转账!$C:$C,"&lt;="&amp;$D656,[1]内部转账!$E:$E,$G656)-SUMIFS([1]内部转账!$G:$G,[1]内部转账!$C:$C,"&lt;="&amp;$D656,[1]内部转账!$F:$F,$G656)),"")</f>
        <v>757765.939999999</v>
      </c>
      <c r="M656" s="64" t="s">
        <v>150</v>
      </c>
      <c r="N656" s="69"/>
      <c r="O656" s="64"/>
      <c r="P656" s="64"/>
      <c r="Q656" s="69"/>
      <c r="R656" s="69"/>
      <c r="S656" s="69"/>
    </row>
    <row r="657" s="2" customFormat="1" ht="24.95" customHeight="1" spans="1:19">
      <c r="A657" s="15"/>
      <c r="B657" s="55"/>
      <c r="C657" s="56"/>
      <c r="D657" s="68">
        <v>46066</v>
      </c>
      <c r="E657" s="69"/>
      <c r="F657" s="69" t="s">
        <v>26</v>
      </c>
      <c r="G657" s="65" t="s">
        <v>27</v>
      </c>
      <c r="H657" s="65" t="s">
        <v>46</v>
      </c>
      <c r="I657" s="70" t="s">
        <v>137</v>
      </c>
      <c r="J657" s="71"/>
      <c r="K657" s="71">
        <v>-16995</v>
      </c>
      <c r="L657" s="72">
        <f>IFERROR(IF(G657="","",VLOOKUP($G657,[1]基础信息!$B:$C,2,FALSE)+SUMIF(G$8:G657,G657,J$8:J657)-SUMIF(G$8:G657,G657,K$8:K657)+SUMIFS([1]内部转账!$G:$G,[1]内部转账!$C:$C,"&lt;="&amp;$D657,[1]内部转账!$E:$E,$G657)-SUMIFS([1]内部转账!$G:$G,[1]内部转账!$C:$C,"&lt;="&amp;$D657,[1]内部转账!$F:$F,$G657)),"")</f>
        <v>774760.939999999</v>
      </c>
      <c r="M657" s="64" t="s">
        <v>150</v>
      </c>
      <c r="N657" s="69"/>
      <c r="O657" s="64"/>
      <c r="P657" s="64"/>
      <c r="Q657" s="69"/>
      <c r="R657" s="69"/>
      <c r="S657" s="69"/>
    </row>
    <row r="658" s="2" customFormat="1" ht="24.95" customHeight="1" spans="1:19">
      <c r="A658" s="15"/>
      <c r="B658" s="55"/>
      <c r="C658" s="56"/>
      <c r="D658" s="68">
        <v>46066</v>
      </c>
      <c r="E658" s="69"/>
      <c r="F658" s="69" t="s">
        <v>26</v>
      </c>
      <c r="G658" s="65" t="s">
        <v>27</v>
      </c>
      <c r="H658" s="65" t="s">
        <v>46</v>
      </c>
      <c r="I658" s="70" t="s">
        <v>137</v>
      </c>
      <c r="J658" s="71"/>
      <c r="K658" s="71">
        <v>16995</v>
      </c>
      <c r="L658" s="72">
        <f>IFERROR(IF(G658="","",VLOOKUP($G658,[1]基础信息!$B:$C,2,FALSE)+SUMIF(G$8:G658,G658,J$8:J658)-SUMIF(G$8:G658,G658,K$8:K658)+SUMIFS([1]内部转账!$G:$G,[1]内部转账!$C:$C,"&lt;="&amp;$D658,[1]内部转账!$E:$E,$G658)-SUMIFS([1]内部转账!$G:$G,[1]内部转账!$C:$C,"&lt;="&amp;$D658,[1]内部转账!$F:$F,$G658)),"")</f>
        <v>757765.939999999</v>
      </c>
      <c r="M658" s="64" t="s">
        <v>150</v>
      </c>
      <c r="N658" s="69"/>
      <c r="O658" s="64"/>
      <c r="P658" s="64"/>
      <c r="Q658" s="69"/>
      <c r="R658" s="69"/>
      <c r="S658" s="69"/>
    </row>
    <row r="659" s="2" customFormat="1" ht="24.95" customHeight="1" spans="1:19">
      <c r="A659" s="15"/>
      <c r="B659" s="55"/>
      <c r="C659" s="56"/>
      <c r="D659" s="68">
        <v>46066</v>
      </c>
      <c r="E659" s="69"/>
      <c r="F659" s="69" t="s">
        <v>26</v>
      </c>
      <c r="G659" s="65" t="s">
        <v>27</v>
      </c>
      <c r="H659" s="65" t="s">
        <v>46</v>
      </c>
      <c r="I659" s="70" t="s">
        <v>137</v>
      </c>
      <c r="J659" s="71"/>
      <c r="K659" s="71">
        <v>-16995</v>
      </c>
      <c r="L659" s="72">
        <f>IFERROR(IF(G659="","",VLOOKUP($G659,[1]基础信息!$B:$C,2,FALSE)+SUMIF(G$8:G659,G659,J$8:J659)-SUMIF(G$8:G659,G659,K$8:K659)+SUMIFS([1]内部转账!$G:$G,[1]内部转账!$C:$C,"&lt;="&amp;$D659,[1]内部转账!$E:$E,$G659)-SUMIFS([1]内部转账!$G:$G,[1]内部转账!$C:$C,"&lt;="&amp;$D659,[1]内部转账!$F:$F,$G659)),"")</f>
        <v>774760.939999999</v>
      </c>
      <c r="M659" s="64" t="s">
        <v>150</v>
      </c>
      <c r="N659" s="69"/>
      <c r="O659" s="64"/>
      <c r="P659" s="64"/>
      <c r="Q659" s="69"/>
      <c r="R659" s="69"/>
      <c r="S659" s="69"/>
    </row>
    <row r="660" s="2" customFormat="1" ht="24.95" customHeight="1" spans="1:19">
      <c r="A660" s="15"/>
      <c r="B660" s="55"/>
      <c r="C660" s="56"/>
      <c r="D660" s="68">
        <v>46067</v>
      </c>
      <c r="E660" s="69"/>
      <c r="F660" s="69" t="s">
        <v>42</v>
      </c>
      <c r="G660" s="65" t="s">
        <v>27</v>
      </c>
      <c r="H660" s="65" t="s">
        <v>43</v>
      </c>
      <c r="I660" s="70" t="s">
        <v>343</v>
      </c>
      <c r="J660" s="71">
        <v>227000</v>
      </c>
      <c r="K660" s="71"/>
      <c r="L660" s="72">
        <f>IFERROR(IF(G660="","",VLOOKUP($G660,[1]基础信息!$B:$C,2,FALSE)+SUMIF(G$8:G660,G660,J$8:J660)-SUMIF(G$8:G660,G660,K$8:K660)+SUMIFS([1]内部转账!$G:$G,[1]内部转账!$C:$C,"&lt;="&amp;$D660,[1]内部转账!$E:$E,$G660)-SUMIFS([1]内部转账!$G:$G,[1]内部转账!$C:$C,"&lt;="&amp;$D660,[1]内部转账!$F:$F,$G660)),"")</f>
        <v>1001760.94</v>
      </c>
      <c r="M660" s="64" t="s">
        <v>268</v>
      </c>
      <c r="N660" s="69"/>
      <c r="O660" s="64" t="s">
        <v>344</v>
      </c>
      <c r="P660" s="64"/>
      <c r="Q660" s="69"/>
      <c r="R660" s="69"/>
      <c r="S660" s="69"/>
    </row>
    <row r="661" s="2" customFormat="1" ht="24.95" customHeight="1" spans="1:19">
      <c r="A661" s="15"/>
      <c r="B661" s="55"/>
      <c r="C661" s="56"/>
      <c r="D661" s="68">
        <v>46067</v>
      </c>
      <c r="E661" s="69"/>
      <c r="F661" s="69" t="s">
        <v>26</v>
      </c>
      <c r="G661" s="65" t="s">
        <v>27</v>
      </c>
      <c r="H661" s="65" t="s">
        <v>138</v>
      </c>
      <c r="I661" s="70" t="s">
        <v>345</v>
      </c>
      <c r="J661" s="71"/>
      <c r="K661" s="71">
        <v>10000</v>
      </c>
      <c r="L661" s="72">
        <f>IFERROR(IF(G661="","",VLOOKUP($G661,[1]基础信息!$B:$C,2,FALSE)+SUMIF(G$8:G661,G661,J$8:J661)-SUMIF(G$8:G661,G661,K$8:K661)+SUMIFS([1]内部转账!$G:$G,[1]内部转账!$C:$C,"&lt;="&amp;$D661,[1]内部转账!$E:$E,$G661)-SUMIFS([1]内部转账!$G:$G,[1]内部转账!$C:$C,"&lt;="&amp;$D661,[1]内部转账!$F:$F,$G661)),"")</f>
        <v>991760.939999999</v>
      </c>
      <c r="M661" s="64" t="s">
        <v>150</v>
      </c>
      <c r="N661" s="69"/>
      <c r="O661" s="64"/>
      <c r="P661" s="64" t="s">
        <v>216</v>
      </c>
      <c r="Q661" s="69"/>
      <c r="R661" s="69"/>
      <c r="S661" s="69"/>
    </row>
    <row r="662" s="2" customFormat="1" ht="24.95" customHeight="1" spans="1:19">
      <c r="A662" s="15"/>
      <c r="B662" s="55"/>
      <c r="C662" s="56"/>
      <c r="D662" s="68">
        <v>46067</v>
      </c>
      <c r="E662" s="69"/>
      <c r="F662" s="69" t="s">
        <v>26</v>
      </c>
      <c r="G662" s="65" t="s">
        <v>27</v>
      </c>
      <c r="H662" s="65" t="s">
        <v>138</v>
      </c>
      <c r="I662" s="70" t="s">
        <v>346</v>
      </c>
      <c r="J662" s="71"/>
      <c r="K662" s="71">
        <v>10000</v>
      </c>
      <c r="L662" s="72">
        <f>IFERROR(IF(G662="","",VLOOKUP($G662,[1]基础信息!$B:$C,2,FALSE)+SUMIF(G$8:G662,G662,J$8:J662)-SUMIF(G$8:G662,G662,K$8:K662)+SUMIFS([1]内部转账!$G:$G,[1]内部转账!$C:$C,"&lt;="&amp;$D662,[1]内部转账!$E:$E,$G662)-SUMIFS([1]内部转账!$G:$G,[1]内部转账!$C:$C,"&lt;="&amp;$D662,[1]内部转账!$F:$F,$G662)),"")</f>
        <v>981760.939999999</v>
      </c>
      <c r="M662" s="64" t="s">
        <v>150</v>
      </c>
      <c r="N662" s="69"/>
      <c r="O662" s="64"/>
      <c r="P662" s="64" t="s">
        <v>216</v>
      </c>
      <c r="Q662" s="69"/>
      <c r="R662" s="69"/>
      <c r="S662" s="69"/>
    </row>
    <row r="663" s="2" customFormat="1" ht="24.95" customHeight="1" spans="1:19">
      <c r="A663" s="15"/>
      <c r="B663" s="55"/>
      <c r="C663" s="56"/>
      <c r="D663" s="68">
        <v>46067</v>
      </c>
      <c r="E663" s="69"/>
      <c r="F663" s="69" t="s">
        <v>26</v>
      </c>
      <c r="G663" s="65" t="s">
        <v>27</v>
      </c>
      <c r="H663" s="65" t="s">
        <v>138</v>
      </c>
      <c r="I663" s="70" t="s">
        <v>347</v>
      </c>
      <c r="J663" s="71"/>
      <c r="K663" s="71">
        <v>10000</v>
      </c>
      <c r="L663" s="72">
        <f>IFERROR(IF(G663="","",VLOOKUP($G663,[1]基础信息!$B:$C,2,FALSE)+SUMIF(G$8:G663,G663,J$8:J663)-SUMIF(G$8:G663,G663,K$8:K663)+SUMIFS([1]内部转账!$G:$G,[1]内部转账!$C:$C,"&lt;="&amp;$D663,[1]内部转账!$E:$E,$G663)-SUMIFS([1]内部转账!$G:$G,[1]内部转账!$C:$C,"&lt;="&amp;$D663,[1]内部转账!$F:$F,$G663)),"")</f>
        <v>971760.939999999</v>
      </c>
      <c r="M663" s="64" t="s">
        <v>150</v>
      </c>
      <c r="N663" s="69"/>
      <c r="O663" s="64"/>
      <c r="P663" s="64" t="s">
        <v>216</v>
      </c>
      <c r="Q663" s="69"/>
      <c r="R663" s="69"/>
      <c r="S663" s="69"/>
    </row>
    <row r="664" s="2" customFormat="1" ht="24.95" customHeight="1" spans="1:19">
      <c r="A664" s="15"/>
      <c r="B664" s="55"/>
      <c r="C664" s="56"/>
      <c r="D664" s="68">
        <v>46067</v>
      </c>
      <c r="E664" s="69"/>
      <c r="F664" s="69" t="s">
        <v>26</v>
      </c>
      <c r="G664" s="65" t="s">
        <v>27</v>
      </c>
      <c r="H664" s="65" t="s">
        <v>62</v>
      </c>
      <c r="I664" s="70" t="s">
        <v>348</v>
      </c>
      <c r="J664" s="71"/>
      <c r="K664" s="71">
        <v>64938.4</v>
      </c>
      <c r="L664" s="72">
        <f>IFERROR(IF(G664="","",VLOOKUP($G664,[1]基础信息!$B:$C,2,FALSE)+SUMIF(G$8:G664,G664,J$8:J664)-SUMIF(G$8:G664,G664,K$8:K664)+SUMIFS([1]内部转账!$G:$G,[1]内部转账!$C:$C,"&lt;="&amp;$D664,[1]内部转账!$E:$E,$G664)-SUMIFS([1]内部转账!$G:$G,[1]内部转账!$C:$C,"&lt;="&amp;$D664,[1]内部转账!$F:$F,$G664)),"")</f>
        <v>906822.539999999</v>
      </c>
      <c r="M664" s="64" t="s">
        <v>150</v>
      </c>
      <c r="N664" s="69" t="s">
        <v>349</v>
      </c>
      <c r="O664" s="64"/>
      <c r="P664" s="64" t="s">
        <v>194</v>
      </c>
      <c r="Q664" s="69"/>
      <c r="R664" s="69"/>
      <c r="S664" s="69"/>
    </row>
    <row r="665" s="2" customFormat="1" ht="24.95" customHeight="1" spans="1:19">
      <c r="A665" s="15"/>
      <c r="B665" s="55"/>
      <c r="C665" s="56"/>
      <c r="D665" s="68">
        <v>46067</v>
      </c>
      <c r="E665" s="69"/>
      <c r="F665" s="69" t="s">
        <v>26</v>
      </c>
      <c r="G665" s="65" t="s">
        <v>27</v>
      </c>
      <c r="H665" s="65" t="s">
        <v>62</v>
      </c>
      <c r="I665" s="70" t="s">
        <v>348</v>
      </c>
      <c r="J665" s="71"/>
      <c r="K665" s="71">
        <v>45061.6</v>
      </c>
      <c r="L665" s="72">
        <f>IFERROR(IF(G665="","",VLOOKUP($G665,[1]基础信息!$B:$C,2,FALSE)+SUMIF(G$8:G665,G665,J$8:J665)-SUMIF(G$8:G665,G665,K$8:K665)+SUMIFS([1]内部转账!$G:$G,[1]内部转账!$C:$C,"&lt;="&amp;$D665,[1]内部转账!$E:$E,$G665)-SUMIFS([1]内部转账!$G:$G,[1]内部转账!$C:$C,"&lt;="&amp;$D665,[1]内部转账!$F:$F,$G665)),"")</f>
        <v>861760.939999999</v>
      </c>
      <c r="M665" s="64" t="s">
        <v>121</v>
      </c>
      <c r="N665" s="69" t="s">
        <v>349</v>
      </c>
      <c r="O665" s="64"/>
      <c r="P665" s="64" t="s">
        <v>194</v>
      </c>
      <c r="Q665" s="69"/>
      <c r="R665" s="69"/>
      <c r="S665" s="69"/>
    </row>
    <row r="666" s="2" customFormat="1" ht="24.95" customHeight="1" spans="1:19">
      <c r="A666" s="15"/>
      <c r="B666" s="55"/>
      <c r="C666" s="56"/>
      <c r="D666" s="68">
        <v>46067</v>
      </c>
      <c r="E666" s="69"/>
      <c r="F666" s="69" t="s">
        <v>26</v>
      </c>
      <c r="G666" s="65" t="s">
        <v>27</v>
      </c>
      <c r="H666" s="65" t="s">
        <v>62</v>
      </c>
      <c r="I666" s="70" t="s">
        <v>79</v>
      </c>
      <c r="J666" s="71"/>
      <c r="K666" s="71">
        <v>42600</v>
      </c>
      <c r="L666" s="72">
        <f>IFERROR(IF(G666="","",VLOOKUP($G666,[1]基础信息!$B:$C,2,FALSE)+SUMIF(G$8:G666,G666,J$8:J666)-SUMIF(G$8:G666,G666,K$8:K666)+SUMIFS([1]内部转账!$G:$G,[1]内部转账!$C:$C,"&lt;="&amp;$D666,[1]内部转账!$E:$E,$G666)-SUMIFS([1]内部转账!$G:$G,[1]内部转账!$C:$C,"&lt;="&amp;$D666,[1]内部转账!$F:$F,$G666)),"")</f>
        <v>819160.939999999</v>
      </c>
      <c r="M666" s="64" t="s">
        <v>150</v>
      </c>
      <c r="N666" s="69"/>
      <c r="O666" s="64"/>
      <c r="P666" s="64" t="s">
        <v>350</v>
      </c>
      <c r="Q666" s="69"/>
      <c r="R666" s="69"/>
      <c r="S666" s="69"/>
    </row>
    <row r="667" s="2" customFormat="1" ht="24.95" customHeight="1" spans="1:19">
      <c r="A667" s="15"/>
      <c r="B667" s="55"/>
      <c r="C667" s="56"/>
      <c r="D667" s="68">
        <v>46067</v>
      </c>
      <c r="E667" s="69"/>
      <c r="F667" s="69" t="s">
        <v>26</v>
      </c>
      <c r="G667" s="65" t="s">
        <v>27</v>
      </c>
      <c r="H667" s="65" t="s">
        <v>62</v>
      </c>
      <c r="I667" s="70" t="s">
        <v>79</v>
      </c>
      <c r="J667" s="71"/>
      <c r="K667" s="71">
        <v>20000</v>
      </c>
      <c r="L667" s="72">
        <f>IFERROR(IF(G667="","",VLOOKUP($G667,[1]基础信息!$B:$C,2,FALSE)+SUMIF(G$8:G667,G667,J$8:J667)-SUMIF(G$8:G667,G667,K$8:K667)+SUMIFS([1]内部转账!$G:$G,[1]内部转账!$C:$C,"&lt;="&amp;$D667,[1]内部转账!$E:$E,$G667)-SUMIFS([1]内部转账!$G:$G,[1]内部转账!$C:$C,"&lt;="&amp;$D667,[1]内部转账!$F:$F,$G667)),"")</f>
        <v>799160.939999999</v>
      </c>
      <c r="M667" s="64" t="s">
        <v>150</v>
      </c>
      <c r="N667" s="69"/>
      <c r="O667" s="64"/>
      <c r="P667" s="64" t="s">
        <v>278</v>
      </c>
      <c r="Q667" s="69"/>
      <c r="R667" s="69"/>
      <c r="S667" s="69"/>
    </row>
    <row r="668" s="2" customFormat="1" ht="24.95" customHeight="1" spans="1:19">
      <c r="A668" s="15"/>
      <c r="B668" s="55"/>
      <c r="C668" s="56"/>
      <c r="D668" s="68">
        <v>46067</v>
      </c>
      <c r="E668" s="69"/>
      <c r="F668" s="69" t="s">
        <v>26</v>
      </c>
      <c r="G668" s="65" t="s">
        <v>27</v>
      </c>
      <c r="H668" s="65" t="s">
        <v>62</v>
      </c>
      <c r="I668" s="70" t="s">
        <v>79</v>
      </c>
      <c r="J668" s="71"/>
      <c r="K668" s="71">
        <v>200000</v>
      </c>
      <c r="L668" s="72">
        <f>IFERROR(IF(G668="","",VLOOKUP($G668,[1]基础信息!$B:$C,2,FALSE)+SUMIF(G$8:G668,G668,J$8:J668)-SUMIF(G$8:G668,G668,K$8:K668)+SUMIFS([1]内部转账!$G:$G,[1]内部转账!$C:$C,"&lt;="&amp;$D668,[1]内部转账!$E:$E,$G668)-SUMIFS([1]内部转账!$G:$G,[1]内部转账!$C:$C,"&lt;="&amp;$D668,[1]内部转账!$F:$F,$G668)),"")</f>
        <v>599160.939999999</v>
      </c>
      <c r="M668" s="64" t="s">
        <v>206</v>
      </c>
      <c r="N668" s="69"/>
      <c r="O668" s="64"/>
      <c r="P668" s="64" t="s">
        <v>122</v>
      </c>
      <c r="Q668" s="69"/>
      <c r="R668" s="69"/>
      <c r="S668" s="69"/>
    </row>
    <row r="669" s="2" customFormat="1" ht="24.95" customHeight="1" spans="1:19">
      <c r="A669" s="15"/>
      <c r="B669" s="55"/>
      <c r="C669" s="56"/>
      <c r="D669" s="68">
        <v>46067</v>
      </c>
      <c r="E669" s="69"/>
      <c r="F669" s="69" t="s">
        <v>26</v>
      </c>
      <c r="G669" s="65" t="s">
        <v>27</v>
      </c>
      <c r="H669" s="65" t="s">
        <v>62</v>
      </c>
      <c r="I669" s="70" t="s">
        <v>328</v>
      </c>
      <c r="J669" s="71"/>
      <c r="K669" s="71">
        <v>1500</v>
      </c>
      <c r="L669" s="72">
        <f>IFERROR(IF(G669="","",VLOOKUP($G669,[1]基础信息!$B:$C,2,FALSE)+SUMIF(G$8:G669,G669,J$8:J669)-SUMIF(G$8:G669,G669,K$8:K669)+SUMIFS([1]内部转账!$G:$G,[1]内部转账!$C:$C,"&lt;="&amp;$D669,[1]内部转账!$E:$E,$G669)-SUMIFS([1]内部转账!$G:$G,[1]内部转账!$C:$C,"&lt;="&amp;$D669,[1]内部转账!$F:$F,$G669)),"")</f>
        <v>597660.939999999</v>
      </c>
      <c r="M669" s="64" t="s">
        <v>206</v>
      </c>
      <c r="N669" s="69"/>
      <c r="O669" s="64"/>
      <c r="P669" s="64" t="s">
        <v>329</v>
      </c>
      <c r="Q669" s="69"/>
      <c r="R669" s="69"/>
      <c r="S669" s="69"/>
    </row>
    <row r="670" s="2" customFormat="1" ht="24.95" customHeight="1" spans="1:19">
      <c r="A670" s="15"/>
      <c r="B670" s="55"/>
      <c r="C670" s="56"/>
      <c r="D670" s="68">
        <v>46067</v>
      </c>
      <c r="E670" s="69"/>
      <c r="F670" s="69" t="s">
        <v>26</v>
      </c>
      <c r="G670" s="65" t="s">
        <v>27</v>
      </c>
      <c r="H670" s="65" t="s">
        <v>138</v>
      </c>
      <c r="I670" s="70" t="s">
        <v>327</v>
      </c>
      <c r="J670" s="71"/>
      <c r="K670" s="71">
        <v>25000</v>
      </c>
      <c r="L670" s="72">
        <f>IFERROR(IF(G670="","",VLOOKUP($G670,[1]基础信息!$B:$C,2,FALSE)+SUMIF(G$8:G670,G670,J$8:J670)-SUMIF(G$8:G670,G670,K$8:K670)+SUMIFS([1]内部转账!$G:$G,[1]内部转账!$C:$C,"&lt;="&amp;$D670,[1]内部转账!$E:$E,$G670)-SUMIFS([1]内部转账!$G:$G,[1]内部转账!$C:$C,"&lt;="&amp;$D670,[1]内部转账!$F:$F,$G670)),"")</f>
        <v>572660.939999999</v>
      </c>
      <c r="M670" s="64" t="s">
        <v>268</v>
      </c>
      <c r="N670" s="69"/>
      <c r="O670" s="64"/>
      <c r="P670" s="64" t="s">
        <v>47</v>
      </c>
      <c r="Q670" s="69"/>
      <c r="R670" s="69"/>
      <c r="S670" s="69"/>
    </row>
    <row r="671" s="2" customFormat="1" ht="24.95" customHeight="1" spans="1:19">
      <c r="A671" s="15"/>
      <c r="B671" s="55"/>
      <c r="C671" s="56"/>
      <c r="D671" s="68">
        <v>46067</v>
      </c>
      <c r="E671" s="69"/>
      <c r="F671" s="69" t="s">
        <v>26</v>
      </c>
      <c r="G671" s="65" t="s">
        <v>27</v>
      </c>
      <c r="H671" s="65" t="s">
        <v>138</v>
      </c>
      <c r="I671" s="70" t="s">
        <v>351</v>
      </c>
      <c r="J671" s="71"/>
      <c r="K671" s="71">
        <v>6300</v>
      </c>
      <c r="L671" s="72">
        <f>IFERROR(IF(G671="","",VLOOKUP($G671,[1]基础信息!$B:$C,2,FALSE)+SUMIF(G$8:G671,G671,J$8:J671)-SUMIF(G$8:G671,G671,K$8:K671)+SUMIFS([1]内部转账!$G:$G,[1]内部转账!$C:$C,"&lt;="&amp;$D671,[1]内部转账!$E:$E,$G671)-SUMIFS([1]内部转账!$G:$G,[1]内部转账!$C:$C,"&lt;="&amp;$D671,[1]内部转账!$F:$F,$G671)),"")</f>
        <v>566360.939999999</v>
      </c>
      <c r="M671" s="64" t="s">
        <v>166</v>
      </c>
      <c r="N671" s="69" t="s">
        <v>229</v>
      </c>
      <c r="O671" s="64"/>
      <c r="P671" s="64" t="s">
        <v>229</v>
      </c>
      <c r="Q671" s="69"/>
      <c r="R671" s="69"/>
      <c r="S671" s="69"/>
    </row>
    <row r="672" s="2" customFormat="1" ht="24.95" customHeight="1" spans="1:19">
      <c r="A672" s="15"/>
      <c r="B672" s="55"/>
      <c r="C672" s="56"/>
      <c r="D672" s="68">
        <v>46067</v>
      </c>
      <c r="E672" s="69"/>
      <c r="F672" s="69" t="s">
        <v>26</v>
      </c>
      <c r="G672" s="65" t="s">
        <v>27</v>
      </c>
      <c r="H672" s="65" t="s">
        <v>138</v>
      </c>
      <c r="I672" s="70" t="s">
        <v>352</v>
      </c>
      <c r="J672" s="71"/>
      <c r="K672" s="71">
        <v>6300</v>
      </c>
      <c r="L672" s="72">
        <f>IFERROR(IF(G672="","",VLOOKUP($G672,[1]基础信息!$B:$C,2,FALSE)+SUMIF(G$8:G672,G672,J$8:J672)-SUMIF(G$8:G672,G672,K$8:K672)+SUMIFS([1]内部转账!$G:$G,[1]内部转账!$C:$C,"&lt;="&amp;$D672,[1]内部转账!$E:$E,$G672)-SUMIFS([1]内部转账!$G:$G,[1]内部转账!$C:$C,"&lt;="&amp;$D672,[1]内部转账!$F:$F,$G672)),"")</f>
        <v>560060.939999999</v>
      </c>
      <c r="M672" s="64" t="s">
        <v>166</v>
      </c>
      <c r="N672" s="69" t="s">
        <v>229</v>
      </c>
      <c r="O672" s="64"/>
      <c r="P672" s="64" t="s">
        <v>229</v>
      </c>
      <c r="Q672" s="69"/>
      <c r="R672" s="69"/>
      <c r="S672" s="69"/>
    </row>
    <row r="673" s="2" customFormat="1" ht="24.95" customHeight="1" spans="1:19">
      <c r="A673" s="15"/>
      <c r="B673" s="55"/>
      <c r="C673" s="56"/>
      <c r="D673" s="68">
        <v>46067</v>
      </c>
      <c r="E673" s="69"/>
      <c r="F673" s="69" t="s">
        <v>26</v>
      </c>
      <c r="G673" s="65" t="s">
        <v>27</v>
      </c>
      <c r="H673" s="65" t="s">
        <v>138</v>
      </c>
      <c r="I673" s="70" t="s">
        <v>353</v>
      </c>
      <c r="J673" s="71"/>
      <c r="K673" s="71">
        <v>5520</v>
      </c>
      <c r="L673" s="72">
        <f>IFERROR(IF(G673="","",VLOOKUP($G673,[1]基础信息!$B:$C,2,FALSE)+SUMIF(G$8:G673,G673,J$8:J673)-SUMIF(G$8:G673,G673,K$8:K673)+SUMIFS([1]内部转账!$G:$G,[1]内部转账!$C:$C,"&lt;="&amp;$D673,[1]内部转账!$E:$E,$G673)-SUMIFS([1]内部转账!$G:$G,[1]内部转账!$C:$C,"&lt;="&amp;$D673,[1]内部转账!$F:$F,$G673)),"")</f>
        <v>554540.939999999</v>
      </c>
      <c r="M673" s="64" t="s">
        <v>166</v>
      </c>
      <c r="N673" s="69" t="s">
        <v>229</v>
      </c>
      <c r="O673" s="64"/>
      <c r="P673" s="64" t="s">
        <v>229</v>
      </c>
      <c r="Q673" s="69"/>
      <c r="R673" s="69"/>
      <c r="S673" s="69"/>
    </row>
    <row r="674" s="2" customFormat="1" ht="24.95" customHeight="1" spans="1:19">
      <c r="A674" s="15"/>
      <c r="B674" s="55"/>
      <c r="C674" s="56"/>
      <c r="D674" s="68">
        <v>46067</v>
      </c>
      <c r="E674" s="69"/>
      <c r="F674" s="69" t="s">
        <v>26</v>
      </c>
      <c r="G674" s="65" t="s">
        <v>27</v>
      </c>
      <c r="H674" s="65" t="s">
        <v>138</v>
      </c>
      <c r="I674" s="70" t="s">
        <v>354</v>
      </c>
      <c r="J674" s="71"/>
      <c r="K674" s="71">
        <v>8050</v>
      </c>
      <c r="L674" s="72">
        <f>IFERROR(IF(G674="","",VLOOKUP($G674,[1]基础信息!$B:$C,2,FALSE)+SUMIF(G$8:G674,G674,J$8:J674)-SUMIF(G$8:G674,G674,K$8:K674)+SUMIFS([1]内部转账!$G:$G,[1]内部转账!$C:$C,"&lt;="&amp;$D674,[1]内部转账!$E:$E,$G674)-SUMIFS([1]内部转账!$G:$G,[1]内部转账!$C:$C,"&lt;="&amp;$D674,[1]内部转账!$F:$F,$G674)),"")</f>
        <v>546490.939999999</v>
      </c>
      <c r="M674" s="64" t="s">
        <v>166</v>
      </c>
      <c r="N674" s="69" t="s">
        <v>229</v>
      </c>
      <c r="O674" s="64"/>
      <c r="P674" s="64" t="s">
        <v>229</v>
      </c>
      <c r="Q674" s="69"/>
      <c r="R674" s="69"/>
      <c r="S674" s="69"/>
    </row>
    <row r="675" s="2" customFormat="1" ht="24.95" customHeight="1" spans="1:19">
      <c r="A675" s="15"/>
      <c r="B675" s="55"/>
      <c r="C675" s="56"/>
      <c r="D675" s="68">
        <v>46067</v>
      </c>
      <c r="E675" s="69"/>
      <c r="F675" s="69" t="s">
        <v>26</v>
      </c>
      <c r="G675" s="65" t="s">
        <v>27</v>
      </c>
      <c r="H675" s="65" t="s">
        <v>138</v>
      </c>
      <c r="I675" s="70" t="s">
        <v>355</v>
      </c>
      <c r="J675" s="71"/>
      <c r="K675" s="71">
        <v>3200</v>
      </c>
      <c r="L675" s="72">
        <f>IFERROR(IF(G675="","",VLOOKUP($G675,[1]基础信息!$B:$C,2,FALSE)+SUMIF(G$8:G675,G675,J$8:J675)-SUMIF(G$8:G675,G675,K$8:K675)+SUMIFS([1]内部转账!$G:$G,[1]内部转账!$C:$C,"&lt;="&amp;$D675,[1]内部转账!$E:$E,$G675)-SUMIFS([1]内部转账!$G:$G,[1]内部转账!$C:$C,"&lt;="&amp;$D675,[1]内部转账!$F:$F,$G675)),"")</f>
        <v>543290.939999999</v>
      </c>
      <c r="M675" s="64" t="s">
        <v>166</v>
      </c>
      <c r="N675" s="69" t="s">
        <v>229</v>
      </c>
      <c r="O675" s="64"/>
      <c r="P675" s="64" t="s">
        <v>229</v>
      </c>
      <c r="Q675" s="69"/>
      <c r="R675" s="69"/>
      <c r="S675" s="69"/>
    </row>
    <row r="676" s="2" customFormat="1" ht="24.95" customHeight="1" spans="1:19">
      <c r="A676" s="15"/>
      <c r="B676" s="55"/>
      <c r="C676" s="56"/>
      <c r="D676" s="68">
        <v>46067</v>
      </c>
      <c r="E676" s="69"/>
      <c r="F676" s="69" t="s">
        <v>26</v>
      </c>
      <c r="G676" s="65" t="s">
        <v>27</v>
      </c>
      <c r="H676" s="65" t="s">
        <v>138</v>
      </c>
      <c r="I676" s="70" t="s">
        <v>356</v>
      </c>
      <c r="J676" s="71"/>
      <c r="K676" s="71">
        <v>9975</v>
      </c>
      <c r="L676" s="72">
        <f>IFERROR(IF(G676="","",VLOOKUP($G676,[1]基础信息!$B:$C,2,FALSE)+SUMIF(G$8:G676,G676,J$8:J676)-SUMIF(G$8:G676,G676,K$8:K676)+SUMIFS([1]内部转账!$G:$G,[1]内部转账!$C:$C,"&lt;="&amp;$D676,[1]内部转账!$E:$E,$G676)-SUMIFS([1]内部转账!$G:$G,[1]内部转账!$C:$C,"&lt;="&amp;$D676,[1]内部转账!$F:$F,$G676)),"")</f>
        <v>533315.939999999</v>
      </c>
      <c r="M676" s="64" t="s">
        <v>166</v>
      </c>
      <c r="N676" s="69" t="s">
        <v>229</v>
      </c>
      <c r="O676" s="64"/>
      <c r="P676" s="64" t="s">
        <v>229</v>
      </c>
      <c r="Q676" s="69"/>
      <c r="R676" s="69"/>
      <c r="S676" s="69"/>
    </row>
    <row r="677" s="2" customFormat="1" ht="24.95" customHeight="1" spans="1:19">
      <c r="A677" s="15"/>
      <c r="B677" s="55"/>
      <c r="C677" s="56"/>
      <c r="D677" s="68">
        <v>46067</v>
      </c>
      <c r="E677" s="69"/>
      <c r="F677" s="69" t="s">
        <v>26</v>
      </c>
      <c r="G677" s="65" t="s">
        <v>27</v>
      </c>
      <c r="H677" s="65" t="s">
        <v>138</v>
      </c>
      <c r="I677" s="70" t="s">
        <v>356</v>
      </c>
      <c r="J677" s="71"/>
      <c r="K677" s="71">
        <v>-9975</v>
      </c>
      <c r="L677" s="72">
        <f>IFERROR(IF(G677="","",VLOOKUP($G677,[1]基础信息!$B:$C,2,FALSE)+SUMIF(G$8:G677,G677,J$8:J677)-SUMIF(G$8:G677,G677,K$8:K677)+SUMIFS([1]内部转账!$G:$G,[1]内部转账!$C:$C,"&lt;="&amp;$D677,[1]内部转账!$E:$E,$G677)-SUMIFS([1]内部转账!$G:$G,[1]内部转账!$C:$C,"&lt;="&amp;$D677,[1]内部转账!$F:$F,$G677)),"")</f>
        <v>543290.939999999</v>
      </c>
      <c r="M677" s="64" t="s">
        <v>166</v>
      </c>
      <c r="N677" s="69" t="s">
        <v>229</v>
      </c>
      <c r="O677" s="64"/>
      <c r="P677" s="64" t="s">
        <v>229</v>
      </c>
      <c r="Q677" s="69"/>
      <c r="R677" s="69"/>
      <c r="S677" s="69"/>
    </row>
    <row r="678" s="2" customFormat="1" ht="24.95" customHeight="1" spans="1:19">
      <c r="A678" s="15"/>
      <c r="B678" s="55"/>
      <c r="C678" s="56"/>
      <c r="D678" s="68">
        <v>46067</v>
      </c>
      <c r="E678" s="69"/>
      <c r="F678" s="69" t="s">
        <v>26</v>
      </c>
      <c r="G678" s="65" t="s">
        <v>27</v>
      </c>
      <c r="H678" s="65" t="s">
        <v>138</v>
      </c>
      <c r="I678" s="70" t="s">
        <v>357</v>
      </c>
      <c r="J678" s="71"/>
      <c r="K678" s="71">
        <v>12750</v>
      </c>
      <c r="L678" s="72">
        <f>IFERROR(IF(G678="","",VLOOKUP($G678,[1]基础信息!$B:$C,2,FALSE)+SUMIF(G$8:G678,G678,J$8:J678)-SUMIF(G$8:G678,G678,K$8:K678)+SUMIFS([1]内部转账!$G:$G,[1]内部转账!$C:$C,"&lt;="&amp;$D678,[1]内部转账!$E:$E,$G678)-SUMIFS([1]内部转账!$G:$G,[1]内部转账!$C:$C,"&lt;="&amp;$D678,[1]内部转账!$F:$F,$G678)),"")</f>
        <v>530540.939999999</v>
      </c>
      <c r="M678" s="64" t="s">
        <v>166</v>
      </c>
      <c r="N678" s="69" t="s">
        <v>229</v>
      </c>
      <c r="O678" s="64"/>
      <c r="P678" s="64" t="s">
        <v>229</v>
      </c>
      <c r="Q678" s="69"/>
      <c r="R678" s="69"/>
      <c r="S678" s="69"/>
    </row>
    <row r="679" s="2" customFormat="1" ht="24.95" customHeight="1" spans="1:19">
      <c r="A679" s="15"/>
      <c r="B679" s="55"/>
      <c r="C679" s="56"/>
      <c r="D679" s="68">
        <v>46067</v>
      </c>
      <c r="E679" s="69"/>
      <c r="F679" s="69" t="s">
        <v>26</v>
      </c>
      <c r="G679" s="65" t="s">
        <v>27</v>
      </c>
      <c r="H679" s="65" t="s">
        <v>138</v>
      </c>
      <c r="I679" s="70" t="s">
        <v>358</v>
      </c>
      <c r="J679" s="71"/>
      <c r="K679" s="71">
        <v>28650</v>
      </c>
      <c r="L679" s="72">
        <f>IFERROR(IF(G679="","",VLOOKUP($G679,[1]基础信息!$B:$C,2,FALSE)+SUMIF(G$8:G679,G679,J$8:J679)-SUMIF(G$8:G679,G679,K$8:K679)+SUMIFS([1]内部转账!$G:$G,[1]内部转账!$C:$C,"&lt;="&amp;$D679,[1]内部转账!$E:$E,$G679)-SUMIFS([1]内部转账!$G:$G,[1]内部转账!$C:$C,"&lt;="&amp;$D679,[1]内部转账!$F:$F,$G679)),"")</f>
        <v>501890.939999999</v>
      </c>
      <c r="M679" s="64" t="s">
        <v>166</v>
      </c>
      <c r="N679" s="69" t="s">
        <v>229</v>
      </c>
      <c r="O679" s="64"/>
      <c r="P679" s="64" t="s">
        <v>229</v>
      </c>
      <c r="Q679" s="69"/>
      <c r="R679" s="69"/>
      <c r="S679" s="69"/>
    </row>
    <row r="680" s="2" customFormat="1" ht="24.95" customHeight="1" spans="1:19">
      <c r="A680" s="15"/>
      <c r="B680" s="55"/>
      <c r="C680" s="56"/>
      <c r="D680" s="68">
        <v>46067</v>
      </c>
      <c r="E680" s="69"/>
      <c r="F680" s="69" t="s">
        <v>26</v>
      </c>
      <c r="G680" s="65" t="s">
        <v>27</v>
      </c>
      <c r="H680" s="65" t="s">
        <v>138</v>
      </c>
      <c r="I680" s="70" t="s">
        <v>359</v>
      </c>
      <c r="J680" s="71"/>
      <c r="K680" s="71">
        <v>17025</v>
      </c>
      <c r="L680" s="72">
        <f>IFERROR(IF(G680="","",VLOOKUP($G680,[1]基础信息!$B:$C,2,FALSE)+SUMIF(G$8:G680,G680,J$8:J680)-SUMIF(G$8:G680,G680,K$8:K680)+SUMIFS([1]内部转账!$G:$G,[1]内部转账!$C:$C,"&lt;="&amp;$D680,[1]内部转账!$E:$E,$G680)-SUMIFS([1]内部转账!$G:$G,[1]内部转账!$C:$C,"&lt;="&amp;$D680,[1]内部转账!$F:$F,$G680)),"")</f>
        <v>484865.939999999</v>
      </c>
      <c r="M680" s="64" t="s">
        <v>166</v>
      </c>
      <c r="N680" s="69" t="s">
        <v>229</v>
      </c>
      <c r="O680" s="64"/>
      <c r="P680" s="64" t="s">
        <v>229</v>
      </c>
      <c r="Q680" s="69"/>
      <c r="R680" s="69"/>
      <c r="S680" s="69"/>
    </row>
    <row r="681" s="2" customFormat="1" ht="24.95" customHeight="1" spans="1:19">
      <c r="A681" s="15"/>
      <c r="B681" s="55"/>
      <c r="C681" s="56"/>
      <c r="D681" s="68">
        <v>46067</v>
      </c>
      <c r="E681" s="69"/>
      <c r="F681" s="69" t="s">
        <v>26</v>
      </c>
      <c r="G681" s="65" t="s">
        <v>27</v>
      </c>
      <c r="H681" s="65" t="s">
        <v>138</v>
      </c>
      <c r="I681" s="70" t="s">
        <v>360</v>
      </c>
      <c r="J681" s="71"/>
      <c r="K681" s="71">
        <v>3025</v>
      </c>
      <c r="L681" s="72">
        <f>IFERROR(IF(G681="","",VLOOKUP($G681,[1]基础信息!$B:$C,2,FALSE)+SUMIF(G$8:G681,G681,J$8:J681)-SUMIF(G$8:G681,G681,K$8:K681)+SUMIFS([1]内部转账!$G:$G,[1]内部转账!$C:$C,"&lt;="&amp;$D681,[1]内部转账!$E:$E,$G681)-SUMIFS([1]内部转账!$G:$G,[1]内部转账!$C:$C,"&lt;="&amp;$D681,[1]内部转账!$F:$F,$G681)),"")</f>
        <v>481840.939999999</v>
      </c>
      <c r="M681" s="64" t="s">
        <v>166</v>
      </c>
      <c r="N681" s="69" t="s">
        <v>229</v>
      </c>
      <c r="O681" s="64"/>
      <c r="P681" s="64" t="s">
        <v>229</v>
      </c>
      <c r="Q681" s="69"/>
      <c r="R681" s="69"/>
      <c r="S681" s="69"/>
    </row>
    <row r="682" s="2" customFormat="1" ht="24.95" customHeight="1" spans="1:19">
      <c r="A682" s="15"/>
      <c r="B682" s="55"/>
      <c r="C682" s="56"/>
      <c r="D682" s="68">
        <v>46067</v>
      </c>
      <c r="E682" s="69"/>
      <c r="F682" s="69" t="s">
        <v>26</v>
      </c>
      <c r="G682" s="65" t="s">
        <v>27</v>
      </c>
      <c r="H682" s="65" t="s">
        <v>138</v>
      </c>
      <c r="I682" s="70" t="s">
        <v>361</v>
      </c>
      <c r="J682" s="71"/>
      <c r="K682" s="71">
        <v>8960</v>
      </c>
      <c r="L682" s="72">
        <f>IFERROR(IF(G682="","",VLOOKUP($G682,[1]基础信息!$B:$C,2,FALSE)+SUMIF(G$8:G682,G682,J$8:J682)-SUMIF(G$8:G682,G682,K$8:K682)+SUMIFS([1]内部转账!$G:$G,[1]内部转账!$C:$C,"&lt;="&amp;$D682,[1]内部转账!$E:$E,$G682)-SUMIFS([1]内部转账!$G:$G,[1]内部转账!$C:$C,"&lt;="&amp;$D682,[1]内部转账!$F:$F,$G682)),"")</f>
        <v>472880.939999999</v>
      </c>
      <c r="M682" s="64" t="s">
        <v>166</v>
      </c>
      <c r="N682" s="69" t="s">
        <v>229</v>
      </c>
      <c r="O682" s="64"/>
      <c r="P682" s="64" t="s">
        <v>229</v>
      </c>
      <c r="Q682" s="69"/>
      <c r="R682" s="69"/>
      <c r="S682" s="69"/>
    </row>
    <row r="683" s="2" customFormat="1" ht="24.95" customHeight="1" spans="1:19">
      <c r="A683" s="15"/>
      <c r="B683" s="55"/>
      <c r="C683" s="56"/>
      <c r="D683" s="68">
        <v>46067</v>
      </c>
      <c r="E683" s="69"/>
      <c r="F683" s="69" t="s">
        <v>26</v>
      </c>
      <c r="G683" s="65" t="s">
        <v>27</v>
      </c>
      <c r="H683" s="65" t="s">
        <v>138</v>
      </c>
      <c r="I683" s="70" t="s">
        <v>362</v>
      </c>
      <c r="J683" s="71"/>
      <c r="K683" s="71">
        <v>11250</v>
      </c>
      <c r="L683" s="72">
        <f>IFERROR(IF(G683="","",VLOOKUP($G683,[1]基础信息!$B:$C,2,FALSE)+SUMIF(G$8:G683,G683,J$8:J683)-SUMIF(G$8:G683,G683,K$8:K683)+SUMIFS([1]内部转账!$G:$G,[1]内部转账!$C:$C,"&lt;="&amp;$D683,[1]内部转账!$E:$E,$G683)-SUMIFS([1]内部转账!$G:$G,[1]内部转账!$C:$C,"&lt;="&amp;$D683,[1]内部转账!$F:$F,$G683)),"")</f>
        <v>461630.939999999</v>
      </c>
      <c r="M683" s="64" t="s">
        <v>166</v>
      </c>
      <c r="N683" s="69" t="s">
        <v>229</v>
      </c>
      <c r="O683" s="64"/>
      <c r="P683" s="64" t="s">
        <v>229</v>
      </c>
      <c r="Q683" s="69"/>
      <c r="R683" s="69"/>
      <c r="S683" s="69"/>
    </row>
    <row r="684" s="2" customFormat="1" ht="24.95" customHeight="1" spans="1:19">
      <c r="A684" s="15"/>
      <c r="B684" s="55"/>
      <c r="C684" s="56"/>
      <c r="D684" s="68">
        <v>46067</v>
      </c>
      <c r="E684" s="69"/>
      <c r="F684" s="69" t="s">
        <v>26</v>
      </c>
      <c r="G684" s="65" t="s">
        <v>27</v>
      </c>
      <c r="H684" s="65" t="s">
        <v>138</v>
      </c>
      <c r="I684" s="70" t="s">
        <v>363</v>
      </c>
      <c r="J684" s="71"/>
      <c r="K684" s="71">
        <v>10550</v>
      </c>
      <c r="L684" s="72">
        <f>IFERROR(IF(G684="","",VLOOKUP($G684,[1]基础信息!$B:$C,2,FALSE)+SUMIF(G$8:G684,G684,J$8:J684)-SUMIF(G$8:G684,G684,K$8:K684)+SUMIFS([1]内部转账!$G:$G,[1]内部转账!$C:$C,"&lt;="&amp;$D684,[1]内部转账!$E:$E,$G684)-SUMIFS([1]内部转账!$G:$G,[1]内部转账!$C:$C,"&lt;="&amp;$D684,[1]内部转账!$F:$F,$G684)),"")</f>
        <v>451080.939999999</v>
      </c>
      <c r="M684" s="64" t="s">
        <v>166</v>
      </c>
      <c r="N684" s="69" t="s">
        <v>229</v>
      </c>
      <c r="O684" s="64"/>
      <c r="P684" s="64" t="s">
        <v>229</v>
      </c>
      <c r="Q684" s="69"/>
      <c r="R684" s="69"/>
      <c r="S684" s="69"/>
    </row>
    <row r="685" s="2" customFormat="1" ht="24.95" customHeight="1" spans="1:19">
      <c r="A685" s="15"/>
      <c r="B685" s="55"/>
      <c r="C685" s="56"/>
      <c r="D685" s="68">
        <v>46067</v>
      </c>
      <c r="E685" s="69"/>
      <c r="F685" s="69" t="s">
        <v>26</v>
      </c>
      <c r="G685" s="65" t="s">
        <v>27</v>
      </c>
      <c r="H685" s="65" t="s">
        <v>138</v>
      </c>
      <c r="I685" s="70" t="s">
        <v>363</v>
      </c>
      <c r="J685" s="71"/>
      <c r="K685" s="71">
        <v>-10550</v>
      </c>
      <c r="L685" s="72">
        <f>IFERROR(IF(G685="","",VLOOKUP($G685,[1]基础信息!$B:$C,2,FALSE)+SUMIF(G$8:G685,G685,J$8:J685)-SUMIF(G$8:G685,G685,K$8:K685)+SUMIFS([1]内部转账!$G:$G,[1]内部转账!$C:$C,"&lt;="&amp;$D685,[1]内部转账!$E:$E,$G685)-SUMIFS([1]内部转账!$G:$G,[1]内部转账!$C:$C,"&lt;="&amp;$D685,[1]内部转账!$F:$F,$G685)),"")</f>
        <v>461630.939999999</v>
      </c>
      <c r="M685" s="64" t="s">
        <v>166</v>
      </c>
      <c r="N685" s="69" t="s">
        <v>229</v>
      </c>
      <c r="O685" s="64"/>
      <c r="P685" s="64" t="s">
        <v>229</v>
      </c>
      <c r="Q685" s="69"/>
      <c r="R685" s="69"/>
      <c r="S685" s="69"/>
    </row>
    <row r="686" s="2" customFormat="1" ht="24.95" customHeight="1" spans="1:19">
      <c r="A686" s="15"/>
      <c r="B686" s="55"/>
      <c r="C686" s="56"/>
      <c r="D686" s="68">
        <v>46067</v>
      </c>
      <c r="E686" s="69"/>
      <c r="F686" s="69" t="s">
        <v>26</v>
      </c>
      <c r="G686" s="65" t="s">
        <v>27</v>
      </c>
      <c r="H686" s="65" t="s">
        <v>138</v>
      </c>
      <c r="I686" s="70" t="s">
        <v>364</v>
      </c>
      <c r="J686" s="71"/>
      <c r="K686" s="71">
        <v>10550</v>
      </c>
      <c r="L686" s="72">
        <f>IFERROR(IF(G686="","",VLOOKUP($G686,[1]基础信息!$B:$C,2,FALSE)+SUMIF(G$8:G686,G686,J$8:J686)-SUMIF(G$8:G686,G686,K$8:K686)+SUMIFS([1]内部转账!$G:$G,[1]内部转账!$C:$C,"&lt;="&amp;$D686,[1]内部转账!$E:$E,$G686)-SUMIFS([1]内部转账!$G:$G,[1]内部转账!$C:$C,"&lt;="&amp;$D686,[1]内部转账!$F:$F,$G686)),"")</f>
        <v>451080.939999999</v>
      </c>
      <c r="M686" s="64" t="s">
        <v>166</v>
      </c>
      <c r="N686" s="69" t="s">
        <v>229</v>
      </c>
      <c r="O686" s="64"/>
      <c r="P686" s="64" t="s">
        <v>229</v>
      </c>
      <c r="Q686" s="69"/>
      <c r="R686" s="69"/>
      <c r="S686" s="69"/>
    </row>
    <row r="687" s="2" customFormat="1" ht="24.95" customHeight="1" spans="1:19">
      <c r="A687" s="15"/>
      <c r="B687" s="55"/>
      <c r="C687" s="56"/>
      <c r="D687" s="68">
        <v>46067</v>
      </c>
      <c r="E687" s="69"/>
      <c r="F687" s="69" t="s">
        <v>26</v>
      </c>
      <c r="G687" s="65" t="s">
        <v>27</v>
      </c>
      <c r="H687" s="65" t="s">
        <v>138</v>
      </c>
      <c r="I687" s="70" t="s">
        <v>365</v>
      </c>
      <c r="J687" s="71"/>
      <c r="K687" s="71">
        <v>3800</v>
      </c>
      <c r="L687" s="72">
        <f>IFERROR(IF(G687="","",VLOOKUP($G687,[1]基础信息!$B:$C,2,FALSE)+SUMIF(G$8:G687,G687,J$8:J687)-SUMIF(G$8:G687,G687,K$8:K687)+SUMIFS([1]内部转账!$G:$G,[1]内部转账!$C:$C,"&lt;="&amp;$D687,[1]内部转账!$E:$E,$G687)-SUMIFS([1]内部转账!$G:$G,[1]内部转账!$C:$C,"&lt;="&amp;$D687,[1]内部转账!$F:$F,$G687)),"")</f>
        <v>447280.939999999</v>
      </c>
      <c r="M687" s="64" t="s">
        <v>166</v>
      </c>
      <c r="N687" s="69" t="s">
        <v>229</v>
      </c>
      <c r="O687" s="64"/>
      <c r="P687" s="64" t="s">
        <v>229</v>
      </c>
      <c r="Q687" s="69"/>
      <c r="R687" s="69"/>
      <c r="S687" s="69"/>
    </row>
    <row r="688" s="2" customFormat="1" ht="24.95" customHeight="1" spans="1:19">
      <c r="A688" s="15"/>
      <c r="B688" s="55"/>
      <c r="C688" s="56"/>
      <c r="D688" s="68">
        <v>46067</v>
      </c>
      <c r="E688" s="69"/>
      <c r="F688" s="69" t="s">
        <v>26</v>
      </c>
      <c r="G688" s="65" t="s">
        <v>27</v>
      </c>
      <c r="H688" s="65" t="s">
        <v>138</v>
      </c>
      <c r="I688" s="70" t="s">
        <v>366</v>
      </c>
      <c r="J688" s="71"/>
      <c r="K688" s="71">
        <v>21520</v>
      </c>
      <c r="L688" s="72">
        <f>IFERROR(IF(G688="","",VLOOKUP($G688,[1]基础信息!$B:$C,2,FALSE)+SUMIF(G$8:G688,G688,J$8:J688)-SUMIF(G$8:G688,G688,K$8:K688)+SUMIFS([1]内部转账!$G:$G,[1]内部转账!$C:$C,"&lt;="&amp;$D688,[1]内部转账!$E:$E,$G688)-SUMIFS([1]内部转账!$G:$G,[1]内部转账!$C:$C,"&lt;="&amp;$D688,[1]内部转账!$F:$F,$G688)),"")</f>
        <v>425760.939999999</v>
      </c>
      <c r="M688" s="64" t="s">
        <v>166</v>
      </c>
      <c r="N688" s="69" t="s">
        <v>229</v>
      </c>
      <c r="O688" s="64"/>
      <c r="P688" s="64" t="s">
        <v>229</v>
      </c>
      <c r="Q688" s="69"/>
      <c r="R688" s="69"/>
      <c r="S688" s="69"/>
    </row>
    <row r="689" s="2" customFormat="1" ht="24.95" customHeight="1" spans="1:19">
      <c r="A689" s="15"/>
      <c r="B689" s="55"/>
      <c r="C689" s="56"/>
      <c r="D689" s="68">
        <v>46067</v>
      </c>
      <c r="E689" s="69"/>
      <c r="F689" s="69" t="s">
        <v>26</v>
      </c>
      <c r="G689" s="65" t="s">
        <v>27</v>
      </c>
      <c r="H689" s="65" t="s">
        <v>138</v>
      </c>
      <c r="I689" s="70" t="s">
        <v>228</v>
      </c>
      <c r="J689" s="71"/>
      <c r="K689" s="71">
        <v>10885</v>
      </c>
      <c r="L689" s="72">
        <f>IFERROR(IF(G689="","",VLOOKUP($G689,[1]基础信息!$B:$C,2,FALSE)+SUMIF(G$8:G689,G689,J$8:J689)-SUMIF(G$8:G689,G689,K$8:K689)+SUMIFS([1]内部转账!$G:$G,[1]内部转账!$C:$C,"&lt;="&amp;$D689,[1]内部转账!$E:$E,$G689)-SUMIFS([1]内部转账!$G:$G,[1]内部转账!$C:$C,"&lt;="&amp;$D689,[1]内部转账!$F:$F,$G689)),"")</f>
        <v>414875.939999999</v>
      </c>
      <c r="M689" s="64" t="s">
        <v>166</v>
      </c>
      <c r="N689" s="69" t="s">
        <v>229</v>
      </c>
      <c r="O689" s="64"/>
      <c r="P689" s="64" t="s">
        <v>229</v>
      </c>
      <c r="Q689" s="69"/>
      <c r="R689" s="69"/>
      <c r="S689" s="69"/>
    </row>
    <row r="690" s="2" customFormat="1" ht="24.95" customHeight="1" spans="1:19">
      <c r="A690" s="15"/>
      <c r="B690" s="55"/>
      <c r="C690" s="56"/>
      <c r="D690" s="68">
        <v>46067</v>
      </c>
      <c r="E690" s="69"/>
      <c r="F690" s="69" t="s">
        <v>26</v>
      </c>
      <c r="G690" s="65" t="s">
        <v>27</v>
      </c>
      <c r="H690" s="65" t="s">
        <v>46</v>
      </c>
      <c r="I690" s="70" t="s">
        <v>76</v>
      </c>
      <c r="J690" s="71"/>
      <c r="K690" s="71">
        <v>7250</v>
      </c>
      <c r="L690" s="72">
        <f>IFERROR(IF(G690="","",VLOOKUP($G690,[1]基础信息!$B:$C,2,FALSE)+SUMIF(G$8:G690,G690,J$8:J690)-SUMIF(G$8:G690,G690,K$8:K690)+SUMIFS([1]内部转账!$G:$G,[1]内部转账!$C:$C,"&lt;="&amp;$D690,[1]内部转账!$E:$E,$G690)-SUMIFS([1]内部转账!$G:$G,[1]内部转账!$C:$C,"&lt;="&amp;$D690,[1]内部转账!$F:$F,$G690)),"")</f>
        <v>407625.939999999</v>
      </c>
      <c r="M690" s="64" t="s">
        <v>150</v>
      </c>
      <c r="N690" s="69"/>
      <c r="O690" s="64"/>
      <c r="P690" s="64"/>
      <c r="Q690" s="69"/>
      <c r="R690" s="69"/>
      <c r="S690" s="69"/>
    </row>
    <row r="691" s="2" customFormat="1" ht="24.95" customHeight="1" spans="1:19">
      <c r="A691" s="15"/>
      <c r="B691" s="55"/>
      <c r="C691" s="56"/>
      <c r="D691" s="68">
        <v>46067</v>
      </c>
      <c r="E691" s="69"/>
      <c r="F691" s="69" t="s">
        <v>26</v>
      </c>
      <c r="G691" s="65" t="s">
        <v>27</v>
      </c>
      <c r="H691" s="65" t="s">
        <v>46</v>
      </c>
      <c r="I691" s="70" t="s">
        <v>201</v>
      </c>
      <c r="J691" s="71"/>
      <c r="K691" s="71">
        <v>28090</v>
      </c>
      <c r="L691" s="72">
        <f>IFERROR(IF(G691="","",VLOOKUP($G691,[1]基础信息!$B:$C,2,FALSE)+SUMIF(G$8:G691,G691,J$8:J691)-SUMIF(G$8:G691,G691,K$8:K691)+SUMIFS([1]内部转账!$G:$G,[1]内部转账!$C:$C,"&lt;="&amp;$D691,[1]内部转账!$E:$E,$G691)-SUMIFS([1]内部转账!$G:$G,[1]内部转账!$C:$C,"&lt;="&amp;$D691,[1]内部转账!$F:$F,$G691)),"")</f>
        <v>379535.939999999</v>
      </c>
      <c r="M691" s="64" t="s">
        <v>150</v>
      </c>
      <c r="N691" s="69"/>
      <c r="O691" s="64"/>
      <c r="P691" s="64"/>
      <c r="Q691" s="69"/>
      <c r="R691" s="69"/>
      <c r="S691" s="69"/>
    </row>
    <row r="692" s="2" customFormat="1" ht="24.95" customHeight="1" spans="1:19">
      <c r="A692" s="15"/>
      <c r="B692" s="55"/>
      <c r="C692" s="56"/>
      <c r="D692" s="68">
        <v>46067</v>
      </c>
      <c r="E692" s="69"/>
      <c r="F692" s="69" t="s">
        <v>26</v>
      </c>
      <c r="G692" s="65" t="s">
        <v>27</v>
      </c>
      <c r="H692" s="65" t="s">
        <v>46</v>
      </c>
      <c r="I692" s="70" t="s">
        <v>85</v>
      </c>
      <c r="J692" s="71"/>
      <c r="K692" s="71">
        <v>19602</v>
      </c>
      <c r="L692" s="72">
        <f>IFERROR(IF(G692="","",VLOOKUP($G692,[1]基础信息!$B:$C,2,FALSE)+SUMIF(G$8:G692,G692,J$8:J692)-SUMIF(G$8:G692,G692,K$8:K692)+SUMIFS([1]内部转账!$G:$G,[1]内部转账!$C:$C,"&lt;="&amp;$D692,[1]内部转账!$E:$E,$G692)-SUMIFS([1]内部转账!$G:$G,[1]内部转账!$C:$C,"&lt;="&amp;$D692,[1]内部转账!$F:$F,$G692)),"")</f>
        <v>359933.939999999</v>
      </c>
      <c r="M692" s="64" t="s">
        <v>150</v>
      </c>
      <c r="N692" s="69"/>
      <c r="O692" s="64"/>
      <c r="P692" s="64"/>
      <c r="Q692" s="69"/>
      <c r="R692" s="69"/>
      <c r="S692" s="69"/>
    </row>
    <row r="693" s="2" customFormat="1" ht="24.95" customHeight="1" spans="1:19">
      <c r="A693" s="15"/>
      <c r="B693" s="55"/>
      <c r="C693" s="56"/>
      <c r="D693" s="68">
        <v>46067</v>
      </c>
      <c r="E693" s="69"/>
      <c r="F693" s="69" t="s">
        <v>26</v>
      </c>
      <c r="G693" s="65" t="s">
        <v>27</v>
      </c>
      <c r="H693" s="65" t="s">
        <v>46</v>
      </c>
      <c r="I693" s="70" t="s">
        <v>134</v>
      </c>
      <c r="J693" s="71"/>
      <c r="K693" s="71">
        <v>38240</v>
      </c>
      <c r="L693" s="72">
        <f>IFERROR(IF(G693="","",VLOOKUP($G693,[1]基础信息!$B:$C,2,FALSE)+SUMIF(G$8:G693,G693,J$8:J693)-SUMIF(G$8:G693,G693,K$8:K693)+SUMIFS([1]内部转账!$G:$G,[1]内部转账!$C:$C,"&lt;="&amp;$D693,[1]内部转账!$E:$E,$G693)-SUMIFS([1]内部转账!$G:$G,[1]内部转账!$C:$C,"&lt;="&amp;$D693,[1]内部转账!$F:$F,$G693)),"")</f>
        <v>321693.939999999</v>
      </c>
      <c r="M693" s="64" t="s">
        <v>150</v>
      </c>
      <c r="N693" s="69"/>
      <c r="O693" s="64"/>
      <c r="P693" s="64"/>
      <c r="Q693" s="69"/>
      <c r="R693" s="69"/>
      <c r="S693" s="69"/>
    </row>
    <row r="694" s="2" customFormat="1" ht="24.95" customHeight="1" spans="1:19">
      <c r="A694" s="15"/>
      <c r="B694" s="55"/>
      <c r="C694" s="56"/>
      <c r="D694" s="68">
        <v>46067</v>
      </c>
      <c r="E694" s="69"/>
      <c r="F694" s="69" t="s">
        <v>26</v>
      </c>
      <c r="G694" s="65" t="s">
        <v>27</v>
      </c>
      <c r="H694" s="65" t="s">
        <v>46</v>
      </c>
      <c r="I694" s="70" t="s">
        <v>312</v>
      </c>
      <c r="J694" s="71"/>
      <c r="K694" s="71">
        <v>30755</v>
      </c>
      <c r="L694" s="72">
        <f>IFERROR(IF(G694="","",VLOOKUP($G694,[1]基础信息!$B:$C,2,FALSE)+SUMIF(G$8:G694,G694,J$8:J694)-SUMIF(G$8:G694,G694,K$8:K694)+SUMIFS([1]内部转账!$G:$G,[1]内部转账!$C:$C,"&lt;="&amp;$D694,[1]内部转账!$E:$E,$G694)-SUMIFS([1]内部转账!$G:$G,[1]内部转账!$C:$C,"&lt;="&amp;$D694,[1]内部转账!$F:$F,$G694)),"")</f>
        <v>290938.939999999</v>
      </c>
      <c r="M694" s="64" t="s">
        <v>150</v>
      </c>
      <c r="N694" s="69"/>
      <c r="O694" s="64"/>
      <c r="P694" s="64"/>
      <c r="Q694" s="69"/>
      <c r="R694" s="69"/>
      <c r="S694" s="69"/>
    </row>
    <row r="695" s="2" customFormat="1" ht="24.95" customHeight="1" spans="1:19">
      <c r="A695" s="15"/>
      <c r="B695" s="55"/>
      <c r="C695" s="56"/>
      <c r="D695" s="68">
        <v>46067</v>
      </c>
      <c r="E695" s="69"/>
      <c r="F695" s="69" t="s">
        <v>26</v>
      </c>
      <c r="G695" s="65" t="s">
        <v>27</v>
      </c>
      <c r="H695" s="65" t="s">
        <v>46</v>
      </c>
      <c r="I695" s="70" t="s">
        <v>367</v>
      </c>
      <c r="J695" s="71"/>
      <c r="K695" s="71">
        <v>3510</v>
      </c>
      <c r="L695" s="72">
        <f>IFERROR(IF(G695="","",VLOOKUP($G695,[1]基础信息!$B:$C,2,FALSE)+SUMIF(G$8:G695,G695,J$8:J695)-SUMIF(G$8:G695,G695,K$8:K695)+SUMIFS([1]内部转账!$G:$G,[1]内部转账!$C:$C,"&lt;="&amp;$D695,[1]内部转账!$E:$E,$G695)-SUMIFS([1]内部转账!$G:$G,[1]内部转账!$C:$C,"&lt;="&amp;$D695,[1]内部转账!$F:$F,$G695)),"")</f>
        <v>287428.939999999</v>
      </c>
      <c r="M695" s="64" t="s">
        <v>150</v>
      </c>
      <c r="N695" s="69"/>
      <c r="O695" s="64"/>
      <c r="P695" s="64"/>
      <c r="Q695" s="69"/>
      <c r="R695" s="69"/>
      <c r="S695" s="69"/>
    </row>
    <row r="696" s="2" customFormat="1" ht="24.95" customHeight="1" spans="1:19">
      <c r="A696" s="15"/>
      <c r="B696" s="55"/>
      <c r="C696" s="56"/>
      <c r="D696" s="68">
        <v>46067</v>
      </c>
      <c r="E696" s="69"/>
      <c r="F696" s="69" t="s">
        <v>26</v>
      </c>
      <c r="G696" s="65" t="s">
        <v>27</v>
      </c>
      <c r="H696" s="65" t="s">
        <v>53</v>
      </c>
      <c r="I696" s="70" t="s">
        <v>98</v>
      </c>
      <c r="J696" s="71"/>
      <c r="K696" s="71">
        <v>24150</v>
      </c>
      <c r="L696" s="72">
        <f>IFERROR(IF(G696="","",VLOOKUP($G696,[1]基础信息!$B:$C,2,FALSE)+SUMIF(G$8:G696,G696,J$8:J696)-SUMIF(G$8:G696,G696,K$8:K696)+SUMIFS([1]内部转账!$G:$G,[1]内部转账!$C:$C,"&lt;="&amp;$D696,[1]内部转账!$E:$E,$G696)-SUMIFS([1]内部转账!$G:$G,[1]内部转账!$C:$C,"&lt;="&amp;$D696,[1]内部转账!$F:$F,$G696)),"")</f>
        <v>263278.939999999</v>
      </c>
      <c r="M696" s="64" t="s">
        <v>166</v>
      </c>
      <c r="N696" s="69" t="s">
        <v>98</v>
      </c>
      <c r="O696" s="64"/>
      <c r="P696" s="64" t="s">
        <v>368</v>
      </c>
      <c r="Q696" s="69"/>
      <c r="R696" s="69"/>
      <c r="S696" s="69"/>
    </row>
    <row r="697" s="2" customFormat="1" ht="24.95" customHeight="1" spans="1:19">
      <c r="A697" s="15"/>
      <c r="B697" s="55"/>
      <c r="C697" s="56"/>
      <c r="D697" s="68">
        <v>46067</v>
      </c>
      <c r="E697" s="69"/>
      <c r="F697" s="69" t="s">
        <v>42</v>
      </c>
      <c r="G697" s="65" t="s">
        <v>369</v>
      </c>
      <c r="H697" s="65" t="s">
        <v>43</v>
      </c>
      <c r="I697" s="70" t="s">
        <v>43</v>
      </c>
      <c r="J697" s="71">
        <v>420000</v>
      </c>
      <c r="K697" s="71"/>
      <c r="L697" s="72"/>
      <c r="M697" s="64" t="s">
        <v>121</v>
      </c>
      <c r="N697" s="69"/>
      <c r="O697" s="64"/>
      <c r="P697" s="64"/>
      <c r="Q697" s="69"/>
      <c r="R697" s="69"/>
      <c r="S697" s="69"/>
    </row>
    <row r="698" s="2" customFormat="1" ht="24.95" customHeight="1" spans="1:19">
      <c r="A698" s="15"/>
      <c r="B698" s="55"/>
      <c r="C698" s="56"/>
      <c r="D698" s="68">
        <v>46067</v>
      </c>
      <c r="E698" s="69"/>
      <c r="F698" s="69" t="s">
        <v>26</v>
      </c>
      <c r="G698" s="65" t="s">
        <v>369</v>
      </c>
      <c r="H698" s="65" t="s">
        <v>62</v>
      </c>
      <c r="I698" s="70" t="s">
        <v>188</v>
      </c>
      <c r="J698" s="71"/>
      <c r="K698" s="71">
        <v>200000</v>
      </c>
      <c r="L698" s="72">
        <f>IFERROR(IF(G698="","",VLOOKUP($G698,[1]基础信息!$B:$C,2,FALSE)+SUMIF(G$8:G698,G698,J$8:J698)-SUMIF(G$8:G698,G698,K$8:K698)+SUMIFS([1]内部转账!$G:$G,[1]内部转账!$C:$C,"&lt;="&amp;$D698,[1]内部转账!$E:$E,$G698)-SUMIFS([1]内部转账!$G:$G,[1]内部转账!$C:$C,"&lt;="&amp;$D698,[1]内部转账!$F:$F,$G698)),"")</f>
        <v>220000</v>
      </c>
      <c r="M698" s="64" t="s">
        <v>150</v>
      </c>
      <c r="N698" s="69"/>
      <c r="O698" s="64"/>
      <c r="P698" s="64" t="s">
        <v>122</v>
      </c>
      <c r="Q698" s="69"/>
      <c r="R698" s="69"/>
      <c r="S698" s="69"/>
    </row>
    <row r="699" s="2" customFormat="1" ht="24.95" customHeight="1" spans="1:19">
      <c r="A699" s="15"/>
      <c r="B699" s="55"/>
      <c r="C699" s="56"/>
      <c r="D699" s="68">
        <v>46067</v>
      </c>
      <c r="E699" s="69"/>
      <c r="F699" s="69" t="s">
        <v>26</v>
      </c>
      <c r="G699" s="65" t="s">
        <v>369</v>
      </c>
      <c r="H699" s="65" t="s">
        <v>62</v>
      </c>
      <c r="I699" s="70" t="s">
        <v>188</v>
      </c>
      <c r="J699" s="71"/>
      <c r="K699" s="71">
        <v>100000</v>
      </c>
      <c r="L699" s="72">
        <f>IFERROR(IF(G699="","",VLOOKUP($G699,[1]基础信息!$B:$C,2,FALSE)+SUMIF(G$8:G699,G699,J$8:J699)-SUMIF(G$8:G699,G699,K$8:K699)+SUMIFS([1]内部转账!$G:$G,[1]内部转账!$C:$C,"&lt;="&amp;$D699,[1]内部转账!$E:$E,$G699)-SUMIFS([1]内部转账!$G:$G,[1]内部转账!$C:$C,"&lt;="&amp;$D699,[1]内部转账!$F:$F,$G699)),"")</f>
        <v>120000</v>
      </c>
      <c r="M699" s="64" t="s">
        <v>150</v>
      </c>
      <c r="N699" s="69"/>
      <c r="O699" s="64"/>
      <c r="P699" s="64" t="s">
        <v>122</v>
      </c>
      <c r="Q699" s="69"/>
      <c r="R699" s="69"/>
      <c r="S699" s="69"/>
    </row>
    <row r="700" s="2" customFormat="1" ht="24.95" customHeight="1" spans="1:19">
      <c r="A700" s="56"/>
      <c r="B700" s="55"/>
      <c r="D700" s="68">
        <v>46067</v>
      </c>
      <c r="E700" s="69"/>
      <c r="F700" s="69" t="s">
        <v>26</v>
      </c>
      <c r="G700" s="65" t="s">
        <v>369</v>
      </c>
      <c r="H700" s="65" t="s">
        <v>62</v>
      </c>
      <c r="I700" s="70" t="s">
        <v>188</v>
      </c>
      <c r="J700" s="71"/>
      <c r="K700" s="71">
        <v>120000</v>
      </c>
      <c r="L700" s="72">
        <f>IFERROR(IF(G700="","",VLOOKUP($G700,[1]基础信息!$B:$C,2,FALSE)+SUMIF(G$8:G700,G700,J$8:J700)-SUMIF(G$8:G700,G700,K$8:K700)+SUMIFS([1]内部转账!$G:$G,[1]内部转账!$C:$C,"&lt;="&amp;$D700,[1]内部转账!$E:$E,$G700)-SUMIFS([1]内部转账!$G:$G,[1]内部转账!$C:$C,"&lt;="&amp;$D700,[1]内部转账!$F:$F,$G700)),"")</f>
        <v>0</v>
      </c>
      <c r="M700" s="64" t="s">
        <v>150</v>
      </c>
      <c r="N700" s="69"/>
      <c r="O700" s="64"/>
      <c r="P700" s="64" t="s">
        <v>122</v>
      </c>
      <c r="Q700" s="69"/>
      <c r="R700" s="69"/>
      <c r="S700" s="69"/>
    </row>
    <row r="701" s="2" customFormat="1" ht="24.95" customHeight="1" spans="1:19">
      <c r="A701" s="15"/>
      <c r="B701" s="55"/>
      <c r="C701" s="56"/>
      <c r="D701" s="68">
        <v>46067</v>
      </c>
      <c r="E701" s="69"/>
      <c r="F701" s="69" t="s">
        <v>26</v>
      </c>
      <c r="G701" s="65" t="s">
        <v>275</v>
      </c>
      <c r="H701" s="65" t="s">
        <v>62</v>
      </c>
      <c r="I701" s="70" t="s">
        <v>370</v>
      </c>
      <c r="J701" s="71"/>
      <c r="K701" s="71">
        <v>-280000</v>
      </c>
      <c r="L701" s="72">
        <f>IFERROR(IF(G701="","",VLOOKUP($G701,[1]基础信息!$B:$C,2,FALSE)+SUMIF(G$8:G701,G701,J$8:J701)-SUMIF(G$8:G701,G701,K$8:K701)+SUMIFS([1]内部转账!$G:$G,[1]内部转账!$C:$C,"&lt;="&amp;$D701,[1]内部转账!$E:$E,$G701)-SUMIFS([1]内部转账!$G:$G,[1]内部转账!$C:$C,"&lt;="&amp;$D701,[1]内部转账!$F:$F,$G701)),"")</f>
        <v>0</v>
      </c>
      <c r="M701" s="64" t="s">
        <v>150</v>
      </c>
      <c r="N701" s="69"/>
      <c r="O701" s="64"/>
      <c r="P701" s="64" t="s">
        <v>122</v>
      </c>
      <c r="Q701" s="69"/>
      <c r="R701" s="69"/>
      <c r="S701" s="69"/>
    </row>
    <row r="702" s="2" customFormat="1" ht="24.95" customHeight="1" spans="1:19">
      <c r="A702" s="15"/>
      <c r="B702" s="55"/>
      <c r="C702" s="56"/>
      <c r="D702" s="68">
        <v>46067</v>
      </c>
      <c r="E702" s="69"/>
      <c r="F702" s="69" t="s">
        <v>42</v>
      </c>
      <c r="G702" s="65" t="s">
        <v>369</v>
      </c>
      <c r="H702" s="65" t="s">
        <v>43</v>
      </c>
      <c r="I702" s="70" t="s">
        <v>371</v>
      </c>
      <c r="J702" s="71">
        <v>250000</v>
      </c>
      <c r="K702" s="71"/>
      <c r="L702" s="72">
        <f>IFERROR(IF(G702="","",VLOOKUP($G702,[1]基础信息!$B:$C,2,FALSE)+SUMIF(G$8:G702,G702,J$8:J702)-SUMIF(G$8:G702,G702,K$8:K702)+SUMIFS([1]内部转账!$G:$G,[1]内部转账!$C:$C,"&lt;="&amp;$D702,[1]内部转账!$E:$E,$G702)-SUMIFS([1]内部转账!$G:$G,[1]内部转账!$C:$C,"&lt;="&amp;$D702,[1]内部转账!$F:$F,$G702)),"")</f>
        <v>250000</v>
      </c>
      <c r="M702" s="64" t="s">
        <v>121</v>
      </c>
      <c r="N702" s="69"/>
      <c r="O702" s="64"/>
      <c r="P702" s="64"/>
      <c r="Q702" s="69"/>
      <c r="R702" s="69"/>
      <c r="S702" s="69"/>
    </row>
    <row r="703" s="2" customFormat="1" ht="24.95" customHeight="1" spans="1:19">
      <c r="A703" s="15"/>
      <c r="B703" s="55"/>
      <c r="C703" s="56"/>
      <c r="D703" s="68">
        <v>46067</v>
      </c>
      <c r="E703" s="69"/>
      <c r="F703" s="69" t="s">
        <v>26</v>
      </c>
      <c r="G703" s="65" t="s">
        <v>369</v>
      </c>
      <c r="H703" s="65" t="s">
        <v>46</v>
      </c>
      <c r="I703" s="70" t="s">
        <v>127</v>
      </c>
      <c r="J703" s="71"/>
      <c r="K703" s="71">
        <v>42533.7</v>
      </c>
      <c r="L703" s="72">
        <f>IFERROR(IF(G703="","",VLOOKUP($G703,[1]基础信息!$B:$C,2,FALSE)+SUMIF(G$8:G703,G703,J$8:J703)-SUMIF(G$8:G703,G703,K$8:K703)+SUMIFS([1]内部转账!$G:$G,[1]内部转账!$C:$C,"&lt;="&amp;$D703,[1]内部转账!$E:$E,$G703)-SUMIFS([1]内部转账!$G:$G,[1]内部转账!$C:$C,"&lt;="&amp;$D703,[1]内部转账!$F:$F,$G703)),"")</f>
        <v>207466.3</v>
      </c>
      <c r="M703" s="64" t="s">
        <v>150</v>
      </c>
      <c r="N703" s="69"/>
      <c r="O703" s="64"/>
      <c r="P703" s="64"/>
      <c r="Q703" s="69"/>
      <c r="R703" s="69"/>
      <c r="S703" s="69"/>
    </row>
    <row r="704" s="2" customFormat="1" ht="24.95" customHeight="1" spans="1:19">
      <c r="A704" s="15"/>
      <c r="B704" s="55"/>
      <c r="C704" s="56"/>
      <c r="D704" s="68">
        <v>46067</v>
      </c>
      <c r="E704" s="69"/>
      <c r="F704" s="69" t="s">
        <v>26</v>
      </c>
      <c r="G704" s="65" t="s">
        <v>369</v>
      </c>
      <c r="H704" s="65" t="s">
        <v>46</v>
      </c>
      <c r="I704" s="70" t="s">
        <v>130</v>
      </c>
      <c r="J704" s="71"/>
      <c r="K704" s="71">
        <v>44950</v>
      </c>
      <c r="L704" s="72">
        <f>IFERROR(IF(G704="","",VLOOKUP($G704,[1]基础信息!$B:$C,2,FALSE)+SUMIF(G$8:G704,G704,J$8:J704)-SUMIF(G$8:G704,G704,K$8:K704)+SUMIFS([1]内部转账!$G:$G,[1]内部转账!$C:$C,"&lt;="&amp;$D704,[1]内部转账!$E:$E,$G704)-SUMIFS([1]内部转账!$G:$G,[1]内部转账!$C:$C,"&lt;="&amp;$D704,[1]内部转账!$F:$F,$G704)),"")</f>
        <v>162516.3</v>
      </c>
      <c r="M704" s="64" t="s">
        <v>150</v>
      </c>
      <c r="N704" s="69"/>
      <c r="O704" s="64"/>
      <c r="P704" s="64"/>
      <c r="Q704" s="69"/>
      <c r="R704" s="69"/>
      <c r="S704" s="69"/>
    </row>
    <row r="705" s="2" customFormat="1" ht="24.95" customHeight="1" spans="1:19">
      <c r="A705" s="15"/>
      <c r="B705" s="55"/>
      <c r="C705" s="56"/>
      <c r="D705" s="68">
        <v>46067</v>
      </c>
      <c r="E705" s="69"/>
      <c r="F705" s="69" t="s">
        <v>26</v>
      </c>
      <c r="G705" s="65" t="s">
        <v>369</v>
      </c>
      <c r="H705" s="65" t="s">
        <v>46</v>
      </c>
      <c r="I705" s="70" t="s">
        <v>131</v>
      </c>
      <c r="J705" s="71"/>
      <c r="K705" s="71">
        <v>65925</v>
      </c>
      <c r="L705" s="72">
        <f>IFERROR(IF(G705="","",VLOOKUP($G705,[1]基础信息!$B:$C,2,FALSE)+SUMIF(G$8:G705,G705,J$8:J705)-SUMIF(G$8:G705,G705,K$8:K705)+SUMIFS([1]内部转账!$G:$G,[1]内部转账!$C:$C,"&lt;="&amp;$D705,[1]内部转账!$E:$E,$G705)-SUMIFS([1]内部转账!$G:$G,[1]内部转账!$C:$C,"&lt;="&amp;$D705,[1]内部转账!$F:$F,$G705)),"")</f>
        <v>96591.3</v>
      </c>
      <c r="M705" s="64" t="s">
        <v>150</v>
      </c>
      <c r="N705" s="69"/>
      <c r="O705" s="64"/>
      <c r="P705" s="64"/>
      <c r="Q705" s="69"/>
      <c r="R705" s="69"/>
      <c r="S705" s="69"/>
    </row>
    <row r="706" s="2" customFormat="1" ht="24.95" customHeight="1" spans="1:19">
      <c r="A706" s="15"/>
      <c r="B706" s="55"/>
      <c r="C706" s="56"/>
      <c r="D706" s="68">
        <v>46067</v>
      </c>
      <c r="E706" s="69"/>
      <c r="F706" s="69" t="s">
        <v>26</v>
      </c>
      <c r="G706" s="65" t="s">
        <v>369</v>
      </c>
      <c r="H706" s="65" t="s">
        <v>46</v>
      </c>
      <c r="I706" s="70" t="s">
        <v>94</v>
      </c>
      <c r="J706" s="71"/>
      <c r="K706" s="71">
        <v>47551.3</v>
      </c>
      <c r="L706" s="72">
        <f>IFERROR(IF(G706="","",VLOOKUP($G706,[1]基础信息!$B:$C,2,FALSE)+SUMIF(G$8:G706,G706,J$8:J706)-SUMIF(G$8:G706,G706,K$8:K706)+SUMIFS([1]内部转账!$G:$G,[1]内部转账!$C:$C,"&lt;="&amp;$D706,[1]内部转账!$E:$E,$G706)-SUMIFS([1]内部转账!$G:$G,[1]内部转账!$C:$C,"&lt;="&amp;$D706,[1]内部转账!$F:$F,$G706)),"")</f>
        <v>49040</v>
      </c>
      <c r="M706" s="64" t="s">
        <v>150</v>
      </c>
      <c r="N706" s="69"/>
      <c r="O706" s="64"/>
      <c r="P706" s="64"/>
      <c r="Q706" s="69"/>
      <c r="R706" s="69"/>
      <c r="S706" s="69"/>
    </row>
    <row r="707" s="2" customFormat="1" ht="24.95" customHeight="1" spans="1:19">
      <c r="A707" s="15"/>
      <c r="B707" s="55"/>
      <c r="C707" s="56"/>
      <c r="D707" s="68">
        <v>46067</v>
      </c>
      <c r="E707" s="69"/>
      <c r="F707" s="69" t="s">
        <v>26</v>
      </c>
      <c r="G707" s="65" t="s">
        <v>369</v>
      </c>
      <c r="H707" s="65" t="s">
        <v>46</v>
      </c>
      <c r="I707" s="70" t="s">
        <v>132</v>
      </c>
      <c r="J707" s="71"/>
      <c r="K707" s="71">
        <v>41320</v>
      </c>
      <c r="L707" s="72">
        <f>IFERROR(IF(G707="","",VLOOKUP($G707,[1]基础信息!$B:$C,2,FALSE)+SUMIF(G$8:G707,G707,J$8:J707)-SUMIF(G$8:G707,G707,K$8:K707)+SUMIFS([1]内部转账!$G:$G,[1]内部转账!$C:$C,"&lt;="&amp;$D707,[1]内部转账!$E:$E,$G707)-SUMIFS([1]内部转账!$G:$G,[1]内部转账!$C:$C,"&lt;="&amp;$D707,[1]内部转账!$F:$F,$G707)),"")</f>
        <v>7720</v>
      </c>
      <c r="M707" s="64" t="s">
        <v>150</v>
      </c>
      <c r="N707" s="69"/>
      <c r="O707" s="64"/>
      <c r="P707" s="64"/>
      <c r="Q707" s="69"/>
      <c r="R707" s="69"/>
      <c r="S707" s="69"/>
    </row>
    <row r="708" s="2" customFormat="1" ht="24.95" customHeight="1" spans="1:19">
      <c r="A708" s="15"/>
      <c r="B708" s="55"/>
      <c r="C708" s="56"/>
      <c r="D708" s="68">
        <v>46067</v>
      </c>
      <c r="E708" s="69"/>
      <c r="F708" s="69" t="s">
        <v>26</v>
      </c>
      <c r="G708" s="65" t="s">
        <v>369</v>
      </c>
      <c r="H708" s="65" t="s">
        <v>46</v>
      </c>
      <c r="I708" s="70" t="s">
        <v>133</v>
      </c>
      <c r="J708" s="71"/>
      <c r="K708" s="71">
        <v>2520</v>
      </c>
      <c r="L708" s="72">
        <f>IFERROR(IF(G708="","",VLOOKUP($G708,[1]基础信息!$B:$C,2,FALSE)+SUMIF(G$8:G708,G708,J$8:J708)-SUMIF(G$8:G708,G708,K$8:K708)+SUMIFS([1]内部转账!$G:$G,[1]内部转账!$C:$C,"&lt;="&amp;$D708,[1]内部转账!$E:$E,$G708)-SUMIFS([1]内部转账!$G:$G,[1]内部转账!$C:$C,"&lt;="&amp;$D708,[1]内部转账!$F:$F,$G708)),"")</f>
        <v>5200</v>
      </c>
      <c r="M708" s="64" t="s">
        <v>150</v>
      </c>
      <c r="N708" s="69"/>
      <c r="O708" s="64"/>
      <c r="P708" s="64"/>
      <c r="Q708" s="69"/>
      <c r="R708" s="69"/>
      <c r="S708" s="69"/>
    </row>
    <row r="709" s="2" customFormat="1" ht="24.95" customHeight="1" spans="1:19">
      <c r="A709" s="15"/>
      <c r="B709" s="55"/>
      <c r="C709" s="56"/>
      <c r="D709" s="68">
        <v>46067</v>
      </c>
      <c r="E709" s="69"/>
      <c r="F709" s="69" t="s">
        <v>26</v>
      </c>
      <c r="G709" s="65" t="s">
        <v>369</v>
      </c>
      <c r="H709" s="65" t="s">
        <v>46</v>
      </c>
      <c r="I709" s="70" t="s">
        <v>135</v>
      </c>
      <c r="J709" s="71"/>
      <c r="K709" s="71">
        <v>980</v>
      </c>
      <c r="L709" s="72">
        <f>IFERROR(IF(G709="","",VLOOKUP($G709,[1]基础信息!$B:$C,2,FALSE)+SUMIF(G$8:G709,G709,J$8:J709)-SUMIF(G$8:G709,G709,K$8:K709)+SUMIFS([1]内部转账!$G:$G,[1]内部转账!$C:$C,"&lt;="&amp;$D709,[1]内部转账!$E:$E,$G709)-SUMIFS([1]内部转账!$G:$G,[1]内部转账!$C:$C,"&lt;="&amp;$D709,[1]内部转账!$F:$F,$G709)),"")</f>
        <v>4220</v>
      </c>
      <c r="M709" s="64" t="s">
        <v>150</v>
      </c>
      <c r="N709" s="69"/>
      <c r="O709" s="64"/>
      <c r="P709" s="64"/>
      <c r="Q709" s="69"/>
      <c r="R709" s="69"/>
      <c r="S709" s="69"/>
    </row>
    <row r="710" s="2" customFormat="1" ht="24.95" customHeight="1" spans="1:19">
      <c r="A710" s="15"/>
      <c r="B710" s="55"/>
      <c r="C710" s="56"/>
      <c r="D710" s="68">
        <v>46067</v>
      </c>
      <c r="E710" s="69"/>
      <c r="F710" s="69" t="s">
        <v>26</v>
      </c>
      <c r="G710" s="65" t="s">
        <v>369</v>
      </c>
      <c r="H710" s="65" t="s">
        <v>46</v>
      </c>
      <c r="I710" s="70" t="s">
        <v>136</v>
      </c>
      <c r="J710" s="71"/>
      <c r="K710" s="71">
        <v>220</v>
      </c>
      <c r="L710" s="72">
        <f>IFERROR(IF(G710="","",VLOOKUP($G710,[1]基础信息!$B:$C,2,FALSE)+SUMIF(G$8:G710,G710,J$8:J710)-SUMIF(G$8:G710,G710,K$8:K710)+SUMIFS([1]内部转账!$G:$G,[1]内部转账!$C:$C,"&lt;="&amp;$D710,[1]内部转账!$E:$E,$G710)-SUMIFS([1]内部转账!$G:$G,[1]内部转账!$C:$C,"&lt;="&amp;$D710,[1]内部转账!$F:$F,$G710)),"")</f>
        <v>4000</v>
      </c>
      <c r="M710" s="64" t="s">
        <v>150</v>
      </c>
      <c r="N710" s="69"/>
      <c r="O710" s="64"/>
      <c r="P710" s="64"/>
      <c r="Q710" s="69"/>
      <c r="R710" s="69"/>
      <c r="S710" s="69"/>
    </row>
    <row r="711" s="2" customFormat="1" ht="24.95" customHeight="1" spans="1:19">
      <c r="A711" s="15"/>
      <c r="B711" s="55"/>
      <c r="C711" s="56"/>
      <c r="D711" s="68">
        <v>46067</v>
      </c>
      <c r="E711" s="69"/>
      <c r="F711" s="69" t="s">
        <v>26</v>
      </c>
      <c r="G711" s="65" t="s">
        <v>369</v>
      </c>
      <c r="H711" s="65" t="s">
        <v>46</v>
      </c>
      <c r="I711" s="70" t="s">
        <v>156</v>
      </c>
      <c r="J711" s="71"/>
      <c r="K711" s="71">
        <v>2280</v>
      </c>
      <c r="L711" s="72">
        <f>IFERROR(IF(G711="","",VLOOKUP($G711,[1]基础信息!$B:$C,2,FALSE)+SUMIF(G$8:G711,G711,J$8:J711)-SUMIF(G$8:G711,G711,K$8:K711)+SUMIFS([1]内部转账!$G:$G,[1]内部转账!$C:$C,"&lt;="&amp;$D711,[1]内部转账!$E:$E,$G711)-SUMIFS([1]内部转账!$G:$G,[1]内部转账!$C:$C,"&lt;="&amp;$D711,[1]内部转账!$F:$F,$G711)),"")</f>
        <v>1720</v>
      </c>
      <c r="M711" s="64" t="s">
        <v>150</v>
      </c>
      <c r="N711" s="69"/>
      <c r="O711" s="64"/>
      <c r="P711" s="64"/>
      <c r="Q711" s="69"/>
      <c r="R711" s="69"/>
      <c r="S711" s="69"/>
    </row>
    <row r="712" s="2" customFormat="1" ht="24.95" customHeight="1" spans="1:19">
      <c r="A712" s="15"/>
      <c r="B712" s="55"/>
      <c r="C712" s="56"/>
      <c r="D712" s="68">
        <v>46067</v>
      </c>
      <c r="E712" s="69"/>
      <c r="F712" s="69" t="s">
        <v>26</v>
      </c>
      <c r="G712" s="65" t="s">
        <v>369</v>
      </c>
      <c r="H712" s="65" t="s">
        <v>46</v>
      </c>
      <c r="I712" s="70" t="s">
        <v>71</v>
      </c>
      <c r="J712" s="71"/>
      <c r="K712" s="71">
        <v>320</v>
      </c>
      <c r="L712" s="72">
        <f>IFERROR(IF(G712="","",VLOOKUP($G712,[1]基础信息!$B:$C,2,FALSE)+SUMIF(G$8:G712,G712,J$8:J712)-SUMIF(G$8:G712,G712,K$8:K712)+SUMIFS([1]内部转账!$G:$G,[1]内部转账!$C:$C,"&lt;="&amp;$D712,[1]内部转账!$E:$E,$G712)-SUMIFS([1]内部转账!$G:$G,[1]内部转账!$C:$C,"&lt;="&amp;$D712,[1]内部转账!$F:$F,$G712)),"")</f>
        <v>1400</v>
      </c>
      <c r="M712" s="64" t="s">
        <v>150</v>
      </c>
      <c r="N712" s="69"/>
      <c r="O712" s="64"/>
      <c r="P712" s="64"/>
      <c r="Q712" s="69"/>
      <c r="R712" s="69"/>
      <c r="S712" s="69"/>
    </row>
    <row r="713" s="2" customFormat="1" ht="24.95" customHeight="1" spans="1:19">
      <c r="A713" s="15"/>
      <c r="B713" s="55"/>
      <c r="C713" s="56"/>
      <c r="D713" s="68">
        <v>46067</v>
      </c>
      <c r="E713" s="69"/>
      <c r="F713" s="69" t="s">
        <v>26</v>
      </c>
      <c r="G713" s="65" t="s">
        <v>369</v>
      </c>
      <c r="H713" s="65" t="s">
        <v>46</v>
      </c>
      <c r="I713" s="70" t="s">
        <v>372</v>
      </c>
      <c r="J713" s="71"/>
      <c r="K713" s="71">
        <v>1400</v>
      </c>
      <c r="L713" s="72">
        <f>IFERROR(IF(G713="","",VLOOKUP($G713,[1]基础信息!$B:$C,2,FALSE)+SUMIF(G$8:G713,G713,J$8:J713)-SUMIF(G$8:G713,G713,K$8:K713)+SUMIFS([1]内部转账!$G:$G,[1]内部转账!$C:$C,"&lt;="&amp;$D713,[1]内部转账!$E:$E,$G713)-SUMIFS([1]内部转账!$G:$G,[1]内部转账!$C:$C,"&lt;="&amp;$D713,[1]内部转账!$F:$F,$G713)),"")</f>
        <v>0</v>
      </c>
      <c r="M713" s="64" t="s">
        <v>150</v>
      </c>
      <c r="N713" s="69"/>
      <c r="O713" s="64"/>
      <c r="P713" s="64"/>
      <c r="Q713" s="69"/>
      <c r="R713" s="69"/>
      <c r="S713" s="69"/>
    </row>
    <row r="714" s="2" customFormat="1" ht="24.95" customHeight="1" spans="1:19">
      <c r="A714" s="15"/>
      <c r="B714" s="55"/>
      <c r="C714" s="56"/>
      <c r="D714" s="68">
        <v>46068</v>
      </c>
      <c r="E714" s="69"/>
      <c r="F714" s="69" t="s">
        <v>26</v>
      </c>
      <c r="G714" s="65" t="s">
        <v>169</v>
      </c>
      <c r="H714" s="65" t="s">
        <v>62</v>
      </c>
      <c r="I714" s="70" t="s">
        <v>276</v>
      </c>
      <c r="J714" s="71"/>
      <c r="K714" s="71">
        <v>-40000</v>
      </c>
      <c r="L714" s="72">
        <f>IFERROR(IF(G714="","",VLOOKUP($G714,[1]基础信息!$B:$C,2,FALSE)+SUMIF(G$8:G714,G714,J$8:J714)-SUMIF(G$8:G714,G714,K$8:K714)+SUMIFS([1]内部转账!$G:$G,[1]内部转账!$C:$C,"&lt;="&amp;$D714,[1]内部转账!$E:$E,$G714)-SUMIFS([1]内部转账!$G:$G,[1]内部转账!$C:$C,"&lt;="&amp;$D714,[1]内部转账!$F:$F,$G714)),"")</f>
        <v>70000</v>
      </c>
      <c r="M714" s="64" t="s">
        <v>150</v>
      </c>
      <c r="N714" s="69" t="s">
        <v>31</v>
      </c>
      <c r="O714" s="64"/>
      <c r="P714" s="64" t="s">
        <v>122</v>
      </c>
      <c r="Q714" s="69"/>
      <c r="R714" s="69"/>
      <c r="S714" s="69"/>
    </row>
    <row r="715" s="2" customFormat="1" ht="24.95" customHeight="1" spans="1:19">
      <c r="A715" s="15"/>
      <c r="B715" s="55"/>
      <c r="C715" s="56"/>
      <c r="D715" s="68">
        <v>46068</v>
      </c>
      <c r="E715" s="69"/>
      <c r="F715" s="69" t="s">
        <v>26</v>
      </c>
      <c r="G715" s="65" t="s">
        <v>27</v>
      </c>
      <c r="H715" s="65" t="s">
        <v>46</v>
      </c>
      <c r="I715" s="70" t="s">
        <v>373</v>
      </c>
      <c r="J715" s="71"/>
      <c r="K715" s="71">
        <v>12075</v>
      </c>
      <c r="L715" s="72">
        <f>IFERROR(IF(G715="","",VLOOKUP($G715,[1]基础信息!$B:$C,2,FALSE)+SUMIF(G$8:G715,G715,J$8:J715)-SUMIF(G$8:G715,G715,K$8:K715)+SUMIFS([1]内部转账!$G:$G,[1]内部转账!$C:$C,"&lt;="&amp;$D715,[1]内部转账!$E:$E,$G715)-SUMIFS([1]内部转账!$G:$G,[1]内部转账!$C:$C,"&lt;="&amp;$D715,[1]内部转账!$F:$F,$G715)),"")</f>
        <v>251203.939999999</v>
      </c>
      <c r="M715" s="64" t="s">
        <v>150</v>
      </c>
      <c r="N715" s="69"/>
      <c r="O715" s="64"/>
      <c r="P715" s="64"/>
      <c r="Q715" s="69"/>
      <c r="R715" s="69"/>
      <c r="S715" s="69"/>
    </row>
    <row r="716" s="2" customFormat="1" ht="24.95" customHeight="1" spans="1:19">
      <c r="A716" s="15"/>
      <c r="B716" s="55"/>
      <c r="C716" s="56"/>
      <c r="D716" s="68">
        <v>46068</v>
      </c>
      <c r="E716" s="69"/>
      <c r="F716" s="69" t="s">
        <v>26</v>
      </c>
      <c r="G716" s="65" t="s">
        <v>27</v>
      </c>
      <c r="H716" s="65" t="s">
        <v>46</v>
      </c>
      <c r="I716" s="70" t="s">
        <v>69</v>
      </c>
      <c r="J716" s="71"/>
      <c r="K716" s="71">
        <v>40400</v>
      </c>
      <c r="L716" s="72">
        <f>IFERROR(IF(G716="","",VLOOKUP($G716,[1]基础信息!$B:$C,2,FALSE)+SUMIF(G$8:G716,G716,J$8:J716)-SUMIF(G$8:G716,G716,K$8:K716)+SUMIFS([1]内部转账!$G:$G,[1]内部转账!$C:$C,"&lt;="&amp;$D716,[1]内部转账!$E:$E,$G716)-SUMIFS([1]内部转账!$G:$G,[1]内部转账!$C:$C,"&lt;="&amp;$D716,[1]内部转账!$F:$F,$G716)),"")</f>
        <v>210803.939999999</v>
      </c>
      <c r="M716" s="64" t="s">
        <v>206</v>
      </c>
      <c r="N716" s="69"/>
      <c r="O716" s="64"/>
      <c r="P716" s="64"/>
      <c r="Q716" s="69"/>
      <c r="R716" s="69"/>
      <c r="S716" s="69"/>
    </row>
    <row r="717" s="2" customFormat="1" ht="24.95" customHeight="1" spans="1:19">
      <c r="A717" s="15"/>
      <c r="B717" s="55"/>
      <c r="C717" s="56"/>
      <c r="D717" s="68">
        <v>46068</v>
      </c>
      <c r="E717" s="69"/>
      <c r="F717" s="69" t="s">
        <v>26</v>
      </c>
      <c r="G717" s="65" t="s">
        <v>27</v>
      </c>
      <c r="H717" s="65" t="s">
        <v>46</v>
      </c>
      <c r="I717" s="70" t="s">
        <v>301</v>
      </c>
      <c r="J717" s="71"/>
      <c r="K717" s="71">
        <v>33920</v>
      </c>
      <c r="L717" s="72">
        <f>IFERROR(IF(G717="","",VLOOKUP($G717,[1]基础信息!$B:$C,2,FALSE)+SUMIF(G$8:G717,G717,J$8:J717)-SUMIF(G$8:G717,G717,K$8:K717)+SUMIFS([1]内部转账!$G:$G,[1]内部转账!$C:$C,"&lt;="&amp;$D717,[1]内部转账!$E:$E,$G717)-SUMIFS([1]内部转账!$G:$G,[1]内部转账!$C:$C,"&lt;="&amp;$D717,[1]内部转账!$F:$F,$G717)),"")</f>
        <v>176883.939999999</v>
      </c>
      <c r="M717" s="64" t="s">
        <v>150</v>
      </c>
      <c r="N717" s="69"/>
      <c r="O717" s="64"/>
      <c r="P717" s="64"/>
      <c r="Q717" s="69"/>
      <c r="R717" s="69"/>
      <c r="S717" s="69"/>
    </row>
    <row r="718" s="2" customFormat="1" ht="24.95" customHeight="1" spans="1:19">
      <c r="A718" s="15"/>
      <c r="B718" s="55"/>
      <c r="C718" s="56"/>
      <c r="D718" s="68">
        <v>46068</v>
      </c>
      <c r="E718" s="69"/>
      <c r="F718" s="69" t="s">
        <v>26</v>
      </c>
      <c r="G718" s="65" t="s">
        <v>27</v>
      </c>
      <c r="H718" s="65" t="s">
        <v>46</v>
      </c>
      <c r="I718" s="70" t="s">
        <v>96</v>
      </c>
      <c r="J718" s="71"/>
      <c r="K718" s="71">
        <v>31346</v>
      </c>
      <c r="L718" s="72">
        <f>IFERROR(IF(G718="","",VLOOKUP($G718,[1]基础信息!$B:$C,2,FALSE)+SUMIF(G$8:G718,G718,J$8:J718)-SUMIF(G$8:G718,G718,K$8:K718)+SUMIFS([1]内部转账!$G:$G,[1]内部转账!$C:$C,"&lt;="&amp;$D718,[1]内部转账!$E:$E,$G718)-SUMIFS([1]内部转账!$G:$G,[1]内部转账!$C:$C,"&lt;="&amp;$D718,[1]内部转账!$F:$F,$G718)),"")</f>
        <v>145537.939999999</v>
      </c>
      <c r="M718" s="64" t="s">
        <v>206</v>
      </c>
      <c r="N718" s="69"/>
      <c r="O718" s="64"/>
      <c r="P718" s="64"/>
      <c r="Q718" s="69"/>
      <c r="R718" s="69"/>
      <c r="S718" s="69"/>
    </row>
    <row r="719" s="2" customFormat="1" ht="24.95" customHeight="1" spans="1:19">
      <c r="A719" s="15"/>
      <c r="B719" s="55"/>
      <c r="C719" s="56"/>
      <c r="D719" s="68">
        <v>46068</v>
      </c>
      <c r="E719" s="69"/>
      <c r="F719" s="69" t="s">
        <v>26</v>
      </c>
      <c r="G719" s="65" t="s">
        <v>27</v>
      </c>
      <c r="H719" s="65" t="s">
        <v>46</v>
      </c>
      <c r="I719" s="70" t="s">
        <v>374</v>
      </c>
      <c r="J719" s="71"/>
      <c r="K719" s="71">
        <v>6250</v>
      </c>
      <c r="L719" s="72">
        <f>IFERROR(IF(G719="","",VLOOKUP($G719,[1]基础信息!$B:$C,2,FALSE)+SUMIF(G$8:G719,G719,J$8:J719)-SUMIF(G$8:G719,G719,K$8:K719)+SUMIFS([1]内部转账!$G:$G,[1]内部转账!$C:$C,"&lt;="&amp;$D719,[1]内部转账!$E:$E,$G719)-SUMIFS([1]内部转账!$G:$G,[1]内部转账!$C:$C,"&lt;="&amp;$D719,[1]内部转账!$F:$F,$G719)),"")</f>
        <v>139287.939999999</v>
      </c>
      <c r="M719" s="64" t="s">
        <v>206</v>
      </c>
      <c r="N719" s="69"/>
      <c r="O719" s="64"/>
      <c r="P719" s="64"/>
      <c r="Q719" s="69"/>
      <c r="R719" s="69"/>
      <c r="S719" s="69"/>
    </row>
    <row r="720" s="2" customFormat="1" ht="24.95" customHeight="1" spans="1:19">
      <c r="A720" s="15"/>
      <c r="B720" s="55"/>
      <c r="C720" s="56"/>
      <c r="D720" s="68">
        <v>46068</v>
      </c>
      <c r="E720" s="69"/>
      <c r="F720" s="69" t="s">
        <v>26</v>
      </c>
      <c r="G720" s="65" t="s">
        <v>27</v>
      </c>
      <c r="H720" s="65" t="s">
        <v>46</v>
      </c>
      <c r="I720" s="70" t="s">
        <v>374</v>
      </c>
      <c r="J720" s="71"/>
      <c r="K720" s="71">
        <v>-6250</v>
      </c>
      <c r="L720" s="72">
        <f>IFERROR(IF(G720="","",VLOOKUP($G720,[1]基础信息!$B:$C,2,FALSE)+SUMIF(G$8:G720,G720,J$8:J720)-SUMIF(G$8:G720,G720,K$8:K720)+SUMIFS([1]内部转账!$G:$G,[1]内部转账!$C:$C,"&lt;="&amp;$D720,[1]内部转账!$E:$E,$G720)-SUMIFS([1]内部转账!$G:$G,[1]内部转账!$C:$C,"&lt;="&amp;$D720,[1]内部转账!$F:$F,$G720)),"")</f>
        <v>145537.939999999</v>
      </c>
      <c r="M720" s="64" t="s">
        <v>206</v>
      </c>
      <c r="N720" s="69"/>
      <c r="O720" s="64"/>
      <c r="P720" s="64"/>
      <c r="Q720" s="69"/>
      <c r="R720" s="69"/>
      <c r="S720" s="69"/>
    </row>
    <row r="721" s="2" customFormat="1" ht="24.95" customHeight="1" spans="1:19">
      <c r="A721" s="15"/>
      <c r="B721" s="55"/>
      <c r="C721" s="56"/>
      <c r="D721" s="68">
        <v>46068</v>
      </c>
      <c r="E721" s="69"/>
      <c r="F721" s="69" t="s">
        <v>26</v>
      </c>
      <c r="G721" s="65" t="s">
        <v>27</v>
      </c>
      <c r="H721" s="65" t="s">
        <v>58</v>
      </c>
      <c r="I721" s="70" t="s">
        <v>375</v>
      </c>
      <c r="J721" s="71"/>
      <c r="K721" s="71">
        <v>4740</v>
      </c>
      <c r="L721" s="72">
        <f>IFERROR(IF(G721="","",VLOOKUP($G721,[1]基础信息!$B:$C,2,FALSE)+SUMIF(G$8:G721,G721,J$8:J721)-SUMIF(G$8:G721,G721,K$8:K721)+SUMIFS([1]内部转账!$G:$G,[1]内部转账!$C:$C,"&lt;="&amp;$D721,[1]内部转账!$E:$E,$G721)-SUMIFS([1]内部转账!$G:$G,[1]内部转账!$C:$C,"&lt;="&amp;$D721,[1]内部转账!$F:$F,$G721)),"")</f>
        <v>140797.939999999</v>
      </c>
      <c r="M721" s="64" t="s">
        <v>166</v>
      </c>
      <c r="N721" s="69"/>
      <c r="O721" s="64"/>
      <c r="P721" s="64"/>
      <c r="Q721" s="69"/>
      <c r="R721" s="69"/>
      <c r="S721" s="69"/>
    </row>
    <row r="722" s="2" customFormat="1" ht="24.95" customHeight="1" spans="1:19">
      <c r="A722" s="15"/>
      <c r="B722" s="55"/>
      <c r="C722" s="56"/>
      <c r="D722" s="68">
        <v>46068</v>
      </c>
      <c r="E722" s="69"/>
      <c r="F722" s="69" t="s">
        <v>26</v>
      </c>
      <c r="G722" s="65" t="s">
        <v>27</v>
      </c>
      <c r="H722" s="65" t="s">
        <v>138</v>
      </c>
      <c r="I722" s="70" t="s">
        <v>356</v>
      </c>
      <c r="J722" s="71"/>
      <c r="K722" s="71">
        <v>9975</v>
      </c>
      <c r="L722" s="72">
        <f>IFERROR(IF(G722="","",VLOOKUP($G722,[1]基础信息!$B:$C,2,FALSE)+SUMIF(G$8:G722,G722,J$8:J722)-SUMIF(G$8:G722,G722,K$8:K722)+SUMIFS([1]内部转账!$G:$G,[1]内部转账!$C:$C,"&lt;="&amp;$D722,[1]内部转账!$E:$E,$G722)-SUMIFS([1]内部转账!$G:$G,[1]内部转账!$C:$C,"&lt;="&amp;$D722,[1]内部转账!$F:$F,$G722)),"")</f>
        <v>130822.939999999</v>
      </c>
      <c r="M722" s="64" t="s">
        <v>166</v>
      </c>
      <c r="N722" s="69" t="s">
        <v>229</v>
      </c>
      <c r="O722" s="64"/>
      <c r="P722" s="64" t="s">
        <v>229</v>
      </c>
      <c r="Q722" s="69"/>
      <c r="R722" s="69"/>
      <c r="S722" s="69"/>
    </row>
    <row r="723" s="2" customFormat="1" ht="24.95" customHeight="1" spans="1:19">
      <c r="A723" s="15"/>
      <c r="B723" s="55"/>
      <c r="C723" s="56"/>
      <c r="D723" s="68">
        <v>46068</v>
      </c>
      <c r="E723" s="69"/>
      <c r="F723" s="69" t="s">
        <v>26</v>
      </c>
      <c r="G723" s="65" t="s">
        <v>27</v>
      </c>
      <c r="H723" s="65" t="s">
        <v>138</v>
      </c>
      <c r="I723" s="70" t="s">
        <v>363</v>
      </c>
      <c r="J723" s="71"/>
      <c r="K723" s="71">
        <v>10550</v>
      </c>
      <c r="L723" s="72">
        <f>IFERROR(IF(G723="","",VLOOKUP($G723,[1]基础信息!$B:$C,2,FALSE)+SUMIF(G$8:G723,G723,J$8:J723)-SUMIF(G$8:G723,G723,K$8:K723)+SUMIFS([1]内部转账!$G:$G,[1]内部转账!$C:$C,"&lt;="&amp;$D723,[1]内部转账!$E:$E,$G723)-SUMIFS([1]内部转账!$G:$G,[1]内部转账!$C:$C,"&lt;="&amp;$D723,[1]内部转账!$F:$F,$G723)),"")</f>
        <v>120272.939999999</v>
      </c>
      <c r="M723" s="64" t="s">
        <v>166</v>
      </c>
      <c r="N723" s="69" t="s">
        <v>229</v>
      </c>
      <c r="O723" s="64"/>
      <c r="P723" s="64" t="s">
        <v>229</v>
      </c>
      <c r="Q723" s="69"/>
      <c r="R723" s="69"/>
      <c r="S723" s="69"/>
    </row>
    <row r="724" s="2" customFormat="1" ht="24.95" customHeight="1" spans="1:19">
      <c r="A724" s="15"/>
      <c r="B724" s="55"/>
      <c r="C724" s="56"/>
      <c r="D724" s="68">
        <v>46068</v>
      </c>
      <c r="E724" s="69"/>
      <c r="F724" s="69" t="s">
        <v>26</v>
      </c>
      <c r="G724" s="65" t="s">
        <v>27</v>
      </c>
      <c r="H724" s="65" t="s">
        <v>138</v>
      </c>
      <c r="I724" s="70" t="s">
        <v>364</v>
      </c>
      <c r="J724" s="71"/>
      <c r="K724" s="71">
        <v>5250</v>
      </c>
      <c r="L724" s="72">
        <f>IFERROR(IF(G724="","",VLOOKUP($G724,[1]基础信息!$B:$C,2,FALSE)+SUMIF(G$8:G724,G724,J$8:J724)-SUMIF(G$8:G724,G724,K$8:K724)+SUMIFS([1]内部转账!$G:$G,[1]内部转账!$C:$C,"&lt;="&amp;$D724,[1]内部转账!$E:$E,$G724)-SUMIFS([1]内部转账!$G:$G,[1]内部转账!$C:$C,"&lt;="&amp;$D724,[1]内部转账!$F:$F,$G724)),"")</f>
        <v>115022.939999999</v>
      </c>
      <c r="M724" s="64" t="s">
        <v>166</v>
      </c>
      <c r="N724" s="69" t="s">
        <v>229</v>
      </c>
      <c r="O724" s="64"/>
      <c r="P724" s="64" t="s">
        <v>229</v>
      </c>
      <c r="Q724" s="69"/>
      <c r="R724" s="69"/>
      <c r="S724" s="69"/>
    </row>
    <row r="725" s="2" customFormat="1" ht="24.95" customHeight="1" spans="1:19">
      <c r="A725" s="15"/>
      <c r="B725" s="55"/>
      <c r="C725" s="56"/>
      <c r="D725" s="68">
        <v>46068</v>
      </c>
      <c r="E725" s="69"/>
      <c r="F725" s="69" t="s">
        <v>26</v>
      </c>
      <c r="G725" s="65" t="s">
        <v>27</v>
      </c>
      <c r="H725" s="65" t="s">
        <v>46</v>
      </c>
      <c r="I725" s="70" t="s">
        <v>374</v>
      </c>
      <c r="J725" s="71"/>
      <c r="K725" s="71">
        <v>6250</v>
      </c>
      <c r="L725" s="72">
        <f>IFERROR(IF(G725="","",VLOOKUP($G725,[1]基础信息!$B:$C,2,FALSE)+SUMIF(G$8:G725,G725,J$8:J725)-SUMIF(G$8:G725,G725,K$8:K725)+SUMIFS([1]内部转账!$G:$G,[1]内部转账!$C:$C,"&lt;="&amp;$D725,[1]内部转账!$E:$E,$G725)-SUMIFS([1]内部转账!$G:$G,[1]内部转账!$C:$C,"&lt;="&amp;$D725,[1]内部转账!$F:$F,$G725)),"")</f>
        <v>108772.939999999</v>
      </c>
      <c r="M725" s="64" t="s">
        <v>206</v>
      </c>
      <c r="N725" s="69"/>
      <c r="O725" s="64"/>
      <c r="P725" s="64"/>
      <c r="Q725" s="69"/>
      <c r="R725" s="69"/>
      <c r="S725" s="69"/>
    </row>
    <row r="726" s="2" customFormat="1" ht="24.95" customHeight="1" spans="1:19">
      <c r="A726" s="15"/>
      <c r="B726" s="55"/>
      <c r="C726" s="56"/>
      <c r="D726" s="68">
        <v>46068</v>
      </c>
      <c r="E726" s="69"/>
      <c r="F726" s="69" t="s">
        <v>26</v>
      </c>
      <c r="G726" s="65" t="s">
        <v>27</v>
      </c>
      <c r="H726" s="65" t="s">
        <v>138</v>
      </c>
      <c r="I726" s="70" t="s">
        <v>297</v>
      </c>
      <c r="J726" s="71"/>
      <c r="K726" s="71">
        <v>4000</v>
      </c>
      <c r="L726" s="72">
        <f>IFERROR(IF(G726="","",VLOOKUP($G726,[1]基础信息!$B:$C,2,FALSE)+SUMIF(G$8:G726,G726,J$8:J726)-SUMIF(G$8:G726,G726,K$8:K726)+SUMIFS([1]内部转账!$G:$G,[1]内部转账!$C:$C,"&lt;="&amp;$D726,[1]内部转账!$E:$E,$G726)-SUMIFS([1]内部转账!$G:$G,[1]内部转账!$C:$C,"&lt;="&amp;$D726,[1]内部转账!$F:$F,$G726)),"")</f>
        <v>104772.939999999</v>
      </c>
      <c r="M726" s="64" t="s">
        <v>150</v>
      </c>
      <c r="N726" s="69"/>
      <c r="O726" s="64"/>
      <c r="P726" s="64" t="s">
        <v>291</v>
      </c>
      <c r="Q726" s="69"/>
      <c r="R726" s="69"/>
      <c r="S726" s="69"/>
    </row>
    <row r="727" s="2" customFormat="1" ht="24.95" customHeight="1" spans="1:19">
      <c r="A727" s="15"/>
      <c r="B727" s="55"/>
      <c r="C727" s="56"/>
      <c r="D727" s="68">
        <v>46068</v>
      </c>
      <c r="E727" s="69"/>
      <c r="F727" s="69" t="s">
        <v>26</v>
      </c>
      <c r="G727" s="65" t="s">
        <v>27</v>
      </c>
      <c r="H727" s="65" t="s">
        <v>138</v>
      </c>
      <c r="I727" s="70" t="s">
        <v>295</v>
      </c>
      <c r="J727" s="71"/>
      <c r="K727" s="71">
        <v>4500</v>
      </c>
      <c r="L727" s="72">
        <f>IFERROR(IF(G727="","",VLOOKUP($G727,[1]基础信息!$B:$C,2,FALSE)+SUMIF(G$8:G727,G727,J$8:J727)-SUMIF(G$8:G727,G727,K$8:K727)+SUMIFS([1]内部转账!$G:$G,[1]内部转账!$C:$C,"&lt;="&amp;$D727,[1]内部转账!$E:$E,$G727)-SUMIFS([1]内部转账!$G:$G,[1]内部转账!$C:$C,"&lt;="&amp;$D727,[1]内部转账!$F:$F,$G727)),"")</f>
        <v>100272.939999999</v>
      </c>
      <c r="M727" s="64" t="s">
        <v>150</v>
      </c>
      <c r="N727" s="69"/>
      <c r="O727" s="64"/>
      <c r="P727" s="64" t="s">
        <v>291</v>
      </c>
      <c r="Q727" s="69"/>
      <c r="R727" s="69"/>
      <c r="S727" s="69"/>
    </row>
    <row r="728" s="2" customFormat="1" ht="24.95" customHeight="1" spans="1:19">
      <c r="A728" s="15"/>
      <c r="B728" s="55"/>
      <c r="C728" s="56"/>
      <c r="D728" s="68">
        <v>46068</v>
      </c>
      <c r="E728" s="69"/>
      <c r="F728" s="69" t="s">
        <v>26</v>
      </c>
      <c r="G728" s="65" t="s">
        <v>27</v>
      </c>
      <c r="H728" s="65" t="s">
        <v>138</v>
      </c>
      <c r="I728" s="70" t="s">
        <v>294</v>
      </c>
      <c r="J728" s="71"/>
      <c r="K728" s="71">
        <v>4500</v>
      </c>
      <c r="L728" s="72">
        <f>IFERROR(IF(G728="","",VLOOKUP($G728,[1]基础信息!$B:$C,2,FALSE)+SUMIF(G$8:G728,G728,J$8:J728)-SUMIF(G$8:G728,G728,K$8:K728)+SUMIFS([1]内部转账!$G:$G,[1]内部转账!$C:$C,"&lt;="&amp;$D728,[1]内部转账!$E:$E,$G728)-SUMIFS([1]内部转账!$G:$G,[1]内部转账!$C:$C,"&lt;="&amp;$D728,[1]内部转账!$F:$F,$G728)),"")</f>
        <v>95772.9399999995</v>
      </c>
      <c r="M728" s="64" t="s">
        <v>150</v>
      </c>
      <c r="N728" s="69"/>
      <c r="O728" s="64"/>
      <c r="P728" s="64" t="s">
        <v>291</v>
      </c>
      <c r="Q728" s="69"/>
      <c r="R728" s="69"/>
      <c r="S728" s="69"/>
    </row>
    <row r="729" s="2" customFormat="1" ht="24.95" customHeight="1" spans="1:19">
      <c r="A729" s="15"/>
      <c r="B729" s="55"/>
      <c r="C729" s="56"/>
      <c r="D729" s="68">
        <v>46068</v>
      </c>
      <c r="E729" s="69"/>
      <c r="F729" s="69" t="s">
        <v>26</v>
      </c>
      <c r="G729" s="65" t="s">
        <v>27</v>
      </c>
      <c r="H729" s="65" t="s">
        <v>138</v>
      </c>
      <c r="I729" s="70" t="s">
        <v>290</v>
      </c>
      <c r="J729" s="71"/>
      <c r="K729" s="71">
        <v>3000</v>
      </c>
      <c r="L729" s="72">
        <f>IFERROR(IF(G729="","",VLOOKUP($G729,[1]基础信息!$B:$C,2,FALSE)+SUMIF(G$8:G729,G729,J$8:J729)-SUMIF(G$8:G729,G729,K$8:K729)+SUMIFS([1]内部转账!$G:$G,[1]内部转账!$C:$C,"&lt;="&amp;$D729,[1]内部转账!$E:$E,$G729)-SUMIFS([1]内部转账!$G:$G,[1]内部转账!$C:$C,"&lt;="&amp;$D729,[1]内部转账!$F:$F,$G729)),"")</f>
        <v>92772.9399999995</v>
      </c>
      <c r="M729" s="64" t="s">
        <v>150</v>
      </c>
      <c r="N729" s="69"/>
      <c r="O729" s="64"/>
      <c r="P729" s="64" t="s">
        <v>291</v>
      </c>
      <c r="Q729" s="69"/>
      <c r="R729" s="69"/>
      <c r="S729" s="69"/>
    </row>
    <row r="730" s="2" customFormat="1" ht="24.95" customHeight="1" spans="1:19">
      <c r="A730" s="15"/>
      <c r="B730" s="55"/>
      <c r="C730" s="56"/>
      <c r="D730" s="68">
        <v>46068</v>
      </c>
      <c r="E730" s="69"/>
      <c r="F730" s="69" t="s">
        <v>26</v>
      </c>
      <c r="G730" s="65" t="s">
        <v>27</v>
      </c>
      <c r="H730" s="65" t="s">
        <v>138</v>
      </c>
      <c r="I730" s="70" t="s">
        <v>376</v>
      </c>
      <c r="J730" s="71"/>
      <c r="K730" s="71">
        <v>4500</v>
      </c>
      <c r="L730" s="72">
        <f>IFERROR(IF(G730="","",VLOOKUP($G730,[1]基础信息!$B:$C,2,FALSE)+SUMIF(G$8:G730,G730,J$8:J730)-SUMIF(G$8:G730,G730,K$8:K730)+SUMIFS([1]内部转账!$G:$G,[1]内部转账!$C:$C,"&lt;="&amp;$D730,[1]内部转账!$E:$E,$G730)-SUMIFS([1]内部转账!$G:$G,[1]内部转账!$C:$C,"&lt;="&amp;$D730,[1]内部转账!$F:$F,$G730)),"")</f>
        <v>88272.9399999995</v>
      </c>
      <c r="M730" s="64" t="s">
        <v>150</v>
      </c>
      <c r="N730" s="69"/>
      <c r="O730" s="64"/>
      <c r="P730" s="64" t="s">
        <v>291</v>
      </c>
      <c r="Q730" s="69"/>
      <c r="R730" s="69"/>
      <c r="S730" s="69"/>
    </row>
    <row r="731" s="2" customFormat="1" ht="24.95" customHeight="1" spans="1:19">
      <c r="A731" s="15"/>
      <c r="B731" s="55"/>
      <c r="C731" s="56"/>
      <c r="D731" s="68">
        <v>46068</v>
      </c>
      <c r="E731" s="69"/>
      <c r="F731" s="69" t="s">
        <v>26</v>
      </c>
      <c r="G731" s="65" t="s">
        <v>27</v>
      </c>
      <c r="H731" s="65" t="s">
        <v>138</v>
      </c>
      <c r="I731" s="70" t="s">
        <v>377</v>
      </c>
      <c r="J731" s="71"/>
      <c r="K731" s="71">
        <v>4500</v>
      </c>
      <c r="L731" s="72">
        <f>IFERROR(IF(G731="","",VLOOKUP($G731,[1]基础信息!$B:$C,2,FALSE)+SUMIF(G$8:G731,G731,J$8:J731)-SUMIF(G$8:G731,G731,K$8:K731)+SUMIFS([1]内部转账!$G:$G,[1]内部转账!$C:$C,"&lt;="&amp;$D731,[1]内部转账!$E:$E,$G731)-SUMIFS([1]内部转账!$G:$G,[1]内部转账!$C:$C,"&lt;="&amp;$D731,[1]内部转账!$F:$F,$G731)),"")</f>
        <v>83772.9399999995</v>
      </c>
      <c r="M731" s="64" t="s">
        <v>150</v>
      </c>
      <c r="N731" s="69"/>
      <c r="O731" s="64"/>
      <c r="P731" s="64" t="s">
        <v>291</v>
      </c>
      <c r="Q731" s="69"/>
      <c r="R731" s="69"/>
      <c r="S731" s="69"/>
    </row>
    <row r="732" s="2" customFormat="1" ht="24.95" customHeight="1" spans="1:19">
      <c r="A732" s="15"/>
      <c r="B732" s="55"/>
      <c r="C732" s="56"/>
      <c r="D732" s="68">
        <v>46068</v>
      </c>
      <c r="E732" s="69"/>
      <c r="F732" s="69" t="s">
        <v>26</v>
      </c>
      <c r="G732" s="65" t="s">
        <v>27</v>
      </c>
      <c r="H732" s="65" t="s">
        <v>46</v>
      </c>
      <c r="I732" s="73" t="s">
        <v>378</v>
      </c>
      <c r="J732" s="71"/>
      <c r="K732" s="71">
        <v>4550</v>
      </c>
      <c r="L732" s="72">
        <f>IFERROR(IF(G732="","",VLOOKUP($G732,[1]基础信息!$B:$C,2,FALSE)+SUMIF(G$8:G732,G732,J$8:J732)-SUMIF(G$8:G732,G732,K$8:K732)+SUMIFS([1]内部转账!$G:$G,[1]内部转账!$C:$C,"&lt;="&amp;$D732,[1]内部转账!$E:$E,$G732)-SUMIFS([1]内部转账!$G:$G,[1]内部转账!$C:$C,"&lt;="&amp;$D732,[1]内部转账!$F:$F,$G732)),"")</f>
        <v>79222.9399999995</v>
      </c>
      <c r="M732" s="64" t="s">
        <v>206</v>
      </c>
      <c r="N732" s="69" t="s">
        <v>282</v>
      </c>
      <c r="O732" s="64"/>
      <c r="P732" s="64"/>
      <c r="Q732" s="69"/>
      <c r="R732" s="69"/>
      <c r="S732" s="69"/>
    </row>
    <row r="733" s="2" customFormat="1" ht="24.95" customHeight="1" spans="1:19">
      <c r="A733" s="15"/>
      <c r="B733" s="55"/>
      <c r="C733" s="56"/>
      <c r="D733" s="68">
        <v>46068</v>
      </c>
      <c r="E733" s="69"/>
      <c r="F733" s="69" t="s">
        <v>26</v>
      </c>
      <c r="G733" s="65" t="s">
        <v>27</v>
      </c>
      <c r="H733" s="65" t="s">
        <v>46</v>
      </c>
      <c r="I733" s="73" t="s">
        <v>379</v>
      </c>
      <c r="J733" s="71"/>
      <c r="K733" s="71">
        <v>4550</v>
      </c>
      <c r="L733" s="72">
        <f>IFERROR(IF(G733="","",VLOOKUP($G733,[1]基础信息!$B:$C,2,FALSE)+SUMIF(G$8:G733,G733,J$8:J733)-SUMIF(G$8:G733,G733,K$8:K733)+SUMIFS([1]内部转账!$G:$G,[1]内部转账!$C:$C,"&lt;="&amp;$D733,[1]内部转账!$E:$E,$G733)-SUMIFS([1]内部转账!$G:$G,[1]内部转账!$C:$C,"&lt;="&amp;$D733,[1]内部转账!$F:$F,$G733)),"")</f>
        <v>74672.9399999995</v>
      </c>
      <c r="M733" s="64" t="s">
        <v>206</v>
      </c>
      <c r="N733" s="69" t="s">
        <v>282</v>
      </c>
      <c r="O733" s="64"/>
      <c r="P733" s="64"/>
      <c r="Q733" s="69"/>
      <c r="R733" s="69"/>
      <c r="S733" s="69"/>
    </row>
    <row r="734" s="2" customFormat="1" ht="24.95" customHeight="1" spans="1:19">
      <c r="A734" s="15"/>
      <c r="B734" s="55"/>
      <c r="C734" s="56"/>
      <c r="D734" s="68">
        <v>46068</v>
      </c>
      <c r="E734" s="69"/>
      <c r="F734" s="69" t="s">
        <v>26</v>
      </c>
      <c r="G734" s="65" t="s">
        <v>27</v>
      </c>
      <c r="H734" s="65" t="s">
        <v>46</v>
      </c>
      <c r="I734" s="73" t="s">
        <v>380</v>
      </c>
      <c r="J734" s="71"/>
      <c r="K734" s="71">
        <v>4550</v>
      </c>
      <c r="L734" s="72">
        <f>IFERROR(IF(G734="","",VLOOKUP($G734,[1]基础信息!$B:$C,2,FALSE)+SUMIF(G$8:G734,G734,J$8:J734)-SUMIF(G$8:G734,G734,K$8:K734)+SUMIFS([1]内部转账!$G:$G,[1]内部转账!$C:$C,"&lt;="&amp;$D734,[1]内部转账!$E:$E,$G734)-SUMIFS([1]内部转账!$G:$G,[1]内部转账!$C:$C,"&lt;="&amp;$D734,[1]内部转账!$F:$F,$G734)),"")</f>
        <v>70122.9399999995</v>
      </c>
      <c r="M734" s="64" t="s">
        <v>206</v>
      </c>
      <c r="N734" s="69" t="s">
        <v>282</v>
      </c>
      <c r="O734" s="64"/>
      <c r="P734" s="64"/>
      <c r="Q734" s="69"/>
      <c r="R734" s="69"/>
      <c r="S734" s="69"/>
    </row>
    <row r="735" s="2" customFormat="1" ht="24.95" customHeight="1" spans="1:19">
      <c r="A735" s="15"/>
      <c r="B735" s="55"/>
      <c r="C735" s="56"/>
      <c r="D735" s="68">
        <v>46068</v>
      </c>
      <c r="E735" s="69"/>
      <c r="F735" s="69" t="s">
        <v>26</v>
      </c>
      <c r="G735" s="65" t="s">
        <v>27</v>
      </c>
      <c r="H735" s="65" t="s">
        <v>46</v>
      </c>
      <c r="I735" s="73" t="s">
        <v>381</v>
      </c>
      <c r="J735" s="71"/>
      <c r="K735" s="71">
        <v>4200</v>
      </c>
      <c r="L735" s="72">
        <f>IFERROR(IF(G735="","",VLOOKUP($G735,[1]基础信息!$B:$C,2,FALSE)+SUMIF(G$8:G735,G735,J$8:J735)-SUMIF(G$8:G735,G735,K$8:K735)+SUMIFS([1]内部转账!$G:$G,[1]内部转账!$C:$C,"&lt;="&amp;$D735,[1]内部转账!$E:$E,$G735)-SUMIFS([1]内部转账!$G:$G,[1]内部转账!$C:$C,"&lt;="&amp;$D735,[1]内部转账!$F:$F,$G735)),"")</f>
        <v>65922.9399999995</v>
      </c>
      <c r="M735" s="64" t="s">
        <v>206</v>
      </c>
      <c r="N735" s="69" t="s">
        <v>282</v>
      </c>
      <c r="O735" s="64"/>
      <c r="P735" s="64"/>
      <c r="Q735" s="69"/>
      <c r="R735" s="69"/>
      <c r="S735" s="69"/>
    </row>
    <row r="736" s="2" customFormat="1" ht="24.95" customHeight="1" spans="1:19">
      <c r="A736" s="15"/>
      <c r="B736" s="55"/>
      <c r="C736" s="56"/>
      <c r="D736" s="68">
        <v>46068</v>
      </c>
      <c r="E736" s="69"/>
      <c r="F736" s="69" t="s">
        <v>26</v>
      </c>
      <c r="G736" s="65" t="s">
        <v>27</v>
      </c>
      <c r="H736" s="65" t="s">
        <v>138</v>
      </c>
      <c r="I736" s="70" t="s">
        <v>382</v>
      </c>
      <c r="J736" s="71"/>
      <c r="K736" s="71">
        <v>12000</v>
      </c>
      <c r="L736" s="72">
        <f>IFERROR(IF(G736="","",VLOOKUP($G736,[1]基础信息!$B:$C,2,FALSE)+SUMIF(G$8:G736,G736,J$8:J736)-SUMIF(G$8:G736,G736,K$8:K736)+SUMIFS([1]内部转账!$G:$G,[1]内部转账!$C:$C,"&lt;="&amp;$D736,[1]内部转账!$E:$E,$G736)-SUMIFS([1]内部转账!$G:$G,[1]内部转账!$C:$C,"&lt;="&amp;$D736,[1]内部转账!$F:$F,$G736)),"")</f>
        <v>53922.9399999995</v>
      </c>
      <c r="M736" s="64" t="s">
        <v>268</v>
      </c>
      <c r="N736" s="69"/>
      <c r="O736" s="64"/>
      <c r="P736" s="64"/>
      <c r="Q736" s="69"/>
      <c r="R736" s="69"/>
      <c r="S736" s="69"/>
    </row>
    <row r="737" s="2" customFormat="1" ht="24.95" customHeight="1" spans="1:19">
      <c r="A737" s="15"/>
      <c r="B737" s="55"/>
      <c r="C737" s="56"/>
      <c r="D737" s="68">
        <v>46068</v>
      </c>
      <c r="E737" s="69"/>
      <c r="F737" s="69" t="s">
        <v>26</v>
      </c>
      <c r="G737" s="65" t="s">
        <v>27</v>
      </c>
      <c r="H737" s="65" t="s">
        <v>138</v>
      </c>
      <c r="I737" s="73" t="s">
        <v>383</v>
      </c>
      <c r="J737" s="71"/>
      <c r="K737" s="71">
        <v>4950</v>
      </c>
      <c r="L737" s="72">
        <f>IFERROR(IF(G737="","",VLOOKUP($G737,[1]基础信息!$B:$C,2,FALSE)+SUMIF(G$8:G737,G737,J$8:J737)-SUMIF(G$8:G737,G737,K$8:K737)+SUMIFS([1]内部转账!$G:$G,[1]内部转账!$C:$C,"&lt;="&amp;$D737,[1]内部转账!$E:$E,$G737)-SUMIFS([1]内部转账!$G:$G,[1]内部转账!$C:$C,"&lt;="&amp;$D737,[1]内部转账!$F:$F,$G737)),"")</f>
        <v>48972.9399999995</v>
      </c>
      <c r="M737" s="64" t="s">
        <v>150</v>
      </c>
      <c r="N737" s="69" t="s">
        <v>282</v>
      </c>
      <c r="O737" s="64"/>
      <c r="P737" s="64"/>
      <c r="Q737" s="69"/>
      <c r="R737" s="69"/>
      <c r="S737" s="69"/>
    </row>
    <row r="738" s="2" customFormat="1" ht="24.95" customHeight="1" spans="1:19">
      <c r="A738" s="15"/>
      <c r="B738" s="55"/>
      <c r="C738" s="56"/>
      <c r="D738" s="68">
        <v>46068</v>
      </c>
      <c r="E738" s="69"/>
      <c r="F738" s="69" t="s">
        <v>26</v>
      </c>
      <c r="G738" s="65" t="s">
        <v>27</v>
      </c>
      <c r="H738" s="65" t="s">
        <v>138</v>
      </c>
      <c r="I738" s="73" t="s">
        <v>384</v>
      </c>
      <c r="J738" s="71"/>
      <c r="K738" s="71">
        <v>5000</v>
      </c>
      <c r="L738" s="72">
        <f>IFERROR(IF(G738="","",VLOOKUP($G738,[1]基础信息!$B:$C,2,FALSE)+SUMIF(G$8:G738,G738,J$8:J738)-SUMIF(G$8:G738,G738,K$8:K738)+SUMIFS([1]内部转账!$G:$G,[1]内部转账!$C:$C,"&lt;="&amp;$D738,[1]内部转账!$E:$E,$G738)-SUMIFS([1]内部转账!$G:$G,[1]内部转账!$C:$C,"&lt;="&amp;$D738,[1]内部转账!$F:$F,$G738)),"")</f>
        <v>43972.9399999995</v>
      </c>
      <c r="M738" s="64" t="s">
        <v>150</v>
      </c>
      <c r="N738" s="69" t="s">
        <v>282</v>
      </c>
      <c r="O738" s="64"/>
      <c r="P738" s="64"/>
      <c r="Q738" s="69"/>
      <c r="R738" s="69"/>
      <c r="S738" s="69"/>
    </row>
    <row r="739" s="2" customFormat="1" ht="24.95" customHeight="1" spans="1:19">
      <c r="A739" s="15"/>
      <c r="B739" s="55"/>
      <c r="C739" s="56"/>
      <c r="D739" s="68">
        <v>46068</v>
      </c>
      <c r="E739" s="69"/>
      <c r="F739" s="69" t="s">
        <v>26</v>
      </c>
      <c r="G739" s="65" t="s">
        <v>27</v>
      </c>
      <c r="H739" s="65" t="s">
        <v>46</v>
      </c>
      <c r="I739" s="70" t="s">
        <v>65</v>
      </c>
      <c r="J739" s="71"/>
      <c r="K739" s="71">
        <v>26500</v>
      </c>
      <c r="L739" s="72">
        <f>IFERROR(IF(G739="","",VLOOKUP($G739,[1]基础信息!$B:$C,2,FALSE)+SUMIF(G$8:G739,G739,J$8:J739)-SUMIF(G$8:G739,G739,K$8:K739)+SUMIFS([1]内部转账!$G:$G,[1]内部转账!$C:$C,"&lt;="&amp;$D739,[1]内部转账!$E:$E,$G739)-SUMIFS([1]内部转账!$G:$G,[1]内部转账!$C:$C,"&lt;="&amp;$D739,[1]内部转账!$F:$F,$G739)),"")</f>
        <v>17472.9399999995</v>
      </c>
      <c r="M739" s="64" t="s">
        <v>150</v>
      </c>
      <c r="N739" s="69"/>
      <c r="O739" s="64"/>
      <c r="P739" s="64"/>
      <c r="Q739" s="69"/>
      <c r="R739" s="69"/>
      <c r="S739" s="69"/>
    </row>
    <row r="740" s="2" customFormat="1" ht="24.95" customHeight="1" spans="1:19">
      <c r="A740" s="15"/>
      <c r="B740" s="55"/>
      <c r="C740" s="56"/>
      <c r="D740" s="68">
        <v>46068</v>
      </c>
      <c r="E740" s="69"/>
      <c r="F740" s="69" t="s">
        <v>26</v>
      </c>
      <c r="G740" s="65" t="s">
        <v>27</v>
      </c>
      <c r="H740" s="65" t="s">
        <v>62</v>
      </c>
      <c r="I740" s="70" t="s">
        <v>385</v>
      </c>
      <c r="J740" s="71"/>
      <c r="K740" s="71">
        <v>1364.5</v>
      </c>
      <c r="L740" s="72">
        <f>IFERROR(IF(G740="","",VLOOKUP($G740,[1]基础信息!$B:$C,2,FALSE)+SUMIF(G$8:G740,G740,J$8:J740)-SUMIF(G$8:G740,G740,K$8:K740)+SUMIFS([1]内部转账!$G:$G,[1]内部转账!$C:$C,"&lt;="&amp;$D740,[1]内部转账!$E:$E,$G740)-SUMIFS([1]内部转账!$G:$G,[1]内部转账!$C:$C,"&lt;="&amp;$D740,[1]内部转账!$F:$F,$G740)),"")</f>
        <v>16108.4399999995</v>
      </c>
      <c r="M740" s="64" t="s">
        <v>150</v>
      </c>
      <c r="N740" s="58"/>
      <c r="O740" s="64"/>
      <c r="P740" s="64" t="s">
        <v>386</v>
      </c>
      <c r="Q740" s="69"/>
      <c r="R740" s="69"/>
      <c r="S740" s="69"/>
    </row>
    <row r="741" s="2" customFormat="1" ht="24.95" customHeight="1" spans="1:19">
      <c r="A741" s="15"/>
      <c r="B741" s="55"/>
      <c r="C741" s="56"/>
      <c r="D741" s="68">
        <v>46068</v>
      </c>
      <c r="E741" s="69"/>
      <c r="F741" s="69" t="s">
        <v>26</v>
      </c>
      <c r="G741" s="65" t="s">
        <v>27</v>
      </c>
      <c r="H741" s="65" t="s">
        <v>46</v>
      </c>
      <c r="I741" s="70" t="s">
        <v>233</v>
      </c>
      <c r="J741" s="71"/>
      <c r="K741" s="71">
        <v>4440</v>
      </c>
      <c r="L741" s="72">
        <f>IFERROR(IF(G741="","",VLOOKUP($G741,[1]基础信息!$B:$C,2,FALSE)+SUMIF(G$8:G741,G741,J$8:J741)-SUMIF(G$8:G741,G741,K$8:K741)+SUMIFS([1]内部转账!$G:$G,[1]内部转账!$C:$C,"&lt;="&amp;$D741,[1]内部转账!$E:$E,$G741)-SUMIFS([1]内部转账!$G:$G,[1]内部转账!$C:$C,"&lt;="&amp;$D741,[1]内部转账!$F:$F,$G741)),"")</f>
        <v>11668.4399999995</v>
      </c>
      <c r="M741" s="64" t="s">
        <v>206</v>
      </c>
      <c r="N741" s="69"/>
      <c r="O741" s="64"/>
      <c r="P741" s="64"/>
      <c r="Q741" s="69"/>
      <c r="R741" s="69"/>
      <c r="S741" s="69"/>
    </row>
    <row r="742" s="2" customFormat="1" ht="24.95" customHeight="1" spans="1:19">
      <c r="A742" s="15"/>
      <c r="B742" s="55"/>
      <c r="C742" s="56"/>
      <c r="D742" s="68">
        <v>46068</v>
      </c>
      <c r="E742" s="69"/>
      <c r="F742" s="69" t="s">
        <v>26</v>
      </c>
      <c r="G742" s="65" t="s">
        <v>27</v>
      </c>
      <c r="H742" s="65" t="s">
        <v>46</v>
      </c>
      <c r="I742" s="70" t="s">
        <v>387</v>
      </c>
      <c r="J742" s="71"/>
      <c r="K742" s="71">
        <v>2580</v>
      </c>
      <c r="L742" s="72">
        <f>IFERROR(IF(G742="","",VLOOKUP($G742,[1]基础信息!$B:$C,2,FALSE)+SUMIF(G$8:G742,G742,J$8:J742)-SUMIF(G$8:G742,G742,K$8:K742)+SUMIFS([1]内部转账!$G:$G,[1]内部转账!$C:$C,"&lt;="&amp;$D742,[1]内部转账!$E:$E,$G742)-SUMIFS([1]内部转账!$G:$G,[1]内部转账!$C:$C,"&lt;="&amp;$D742,[1]内部转账!$F:$F,$G742)),"")</f>
        <v>9088.43999999948</v>
      </c>
      <c r="M742" s="64" t="s">
        <v>206</v>
      </c>
      <c r="N742" s="69"/>
      <c r="O742" s="64"/>
      <c r="P742" s="64"/>
      <c r="Q742" s="69"/>
      <c r="R742" s="69"/>
      <c r="S742" s="69"/>
    </row>
    <row r="743" s="2" customFormat="1" ht="24.95" customHeight="1" spans="1:19">
      <c r="A743" s="15"/>
      <c r="B743" s="55"/>
      <c r="C743" s="56"/>
      <c r="D743" s="68">
        <v>46068</v>
      </c>
      <c r="E743" s="69"/>
      <c r="F743" s="69" t="s">
        <v>26</v>
      </c>
      <c r="G743" s="65" t="s">
        <v>27</v>
      </c>
      <c r="H743" s="65" t="s">
        <v>28</v>
      </c>
      <c r="I743" s="70" t="s">
        <v>29</v>
      </c>
      <c r="J743" s="71"/>
      <c r="K743" s="71">
        <v>-100000</v>
      </c>
      <c r="L743" s="72">
        <f>IFERROR(IF(G743="","",VLOOKUP($G743,[1]基础信息!$B:$C,2,FALSE)+SUMIF(G$8:G743,G743,J$8:J743)-SUMIF(G$8:G743,G743,K$8:K743)+SUMIFS([1]内部转账!$G:$G,[1]内部转账!$C:$C,"&lt;="&amp;$D743,[1]内部转账!$E:$E,$G743)-SUMIFS([1]内部转账!$G:$G,[1]内部转账!$C:$C,"&lt;="&amp;$D743,[1]内部转账!$F:$F,$G743)),"")</f>
        <v>109088.439999999</v>
      </c>
      <c r="M743" s="64" t="s">
        <v>30</v>
      </c>
      <c r="N743" s="69" t="s">
        <v>31</v>
      </c>
      <c r="O743" s="64"/>
      <c r="P743" s="64" t="s">
        <v>31</v>
      </c>
      <c r="Q743" s="69"/>
      <c r="R743" s="69"/>
      <c r="S743" s="69"/>
    </row>
    <row r="744" s="2" customFormat="1" ht="24.95" customHeight="1" spans="1:19">
      <c r="A744" s="15"/>
      <c r="B744" s="55"/>
      <c r="C744" s="56"/>
      <c r="D744" s="68">
        <v>46068</v>
      </c>
      <c r="E744" s="69"/>
      <c r="F744" s="69" t="s">
        <v>26</v>
      </c>
      <c r="G744" s="65" t="s">
        <v>27</v>
      </c>
      <c r="H744" s="65" t="s">
        <v>138</v>
      </c>
      <c r="I744" s="73" t="s">
        <v>388</v>
      </c>
      <c r="J744" s="71"/>
      <c r="K744" s="71">
        <v>6000</v>
      </c>
      <c r="L744" s="72">
        <f>IFERROR(IF(G744="","",VLOOKUP($G744,[1]基础信息!$B:$C,2,FALSE)+SUMIF(G$8:G744,G744,J$8:J744)-SUMIF(G$8:G744,G744,K$8:K744)+SUMIFS([1]内部转账!$G:$G,[1]内部转账!$C:$C,"&lt;="&amp;$D744,[1]内部转账!$E:$E,$G744)-SUMIFS([1]内部转账!$G:$G,[1]内部转账!$C:$C,"&lt;="&amp;$D744,[1]内部转账!$F:$F,$G744)),"")</f>
        <v>103088.439999999</v>
      </c>
      <c r="M744" s="64" t="s">
        <v>121</v>
      </c>
      <c r="N744" s="69" t="s">
        <v>282</v>
      </c>
      <c r="O744" s="64"/>
      <c r="P744" s="64"/>
      <c r="Q744" s="69"/>
      <c r="R744" s="69"/>
      <c r="S744" s="69"/>
    </row>
    <row r="745" s="2" customFormat="1" ht="24.95" customHeight="1" spans="1:19">
      <c r="A745" s="15"/>
      <c r="B745" s="55"/>
      <c r="C745" s="56"/>
      <c r="D745" s="68">
        <v>46068</v>
      </c>
      <c r="E745" s="69"/>
      <c r="F745" s="69" t="s">
        <v>26</v>
      </c>
      <c r="G745" s="65" t="s">
        <v>27</v>
      </c>
      <c r="H745" s="65" t="s">
        <v>46</v>
      </c>
      <c r="I745" s="70" t="s">
        <v>389</v>
      </c>
      <c r="J745" s="71"/>
      <c r="K745" s="71">
        <v>10650</v>
      </c>
      <c r="L745" s="72">
        <f>IFERROR(IF(G745="","",VLOOKUP($G745,[1]基础信息!$B:$C,2,FALSE)+SUMIF(G$8:G745,G745,J$8:J745)-SUMIF(G$8:G745,G745,K$8:K745)+SUMIFS([1]内部转账!$G:$G,[1]内部转账!$C:$C,"&lt;="&amp;$D745,[1]内部转账!$E:$E,$G745)-SUMIFS([1]内部转账!$G:$G,[1]内部转账!$C:$C,"&lt;="&amp;$D745,[1]内部转账!$F:$F,$G745)),"")</f>
        <v>92438.4399999995</v>
      </c>
      <c r="M745" s="64" t="s">
        <v>206</v>
      </c>
      <c r="N745" s="69"/>
      <c r="O745" s="64"/>
      <c r="P745" s="64"/>
      <c r="Q745" s="69"/>
      <c r="R745" s="69"/>
      <c r="S745" s="69"/>
    </row>
    <row r="746" s="2" customFormat="1" ht="24.95" customHeight="1" spans="1:19">
      <c r="A746" s="15"/>
      <c r="B746" s="55"/>
      <c r="C746" s="56"/>
      <c r="D746" s="68">
        <v>46068</v>
      </c>
      <c r="E746" s="69"/>
      <c r="F746" s="69" t="s">
        <v>26</v>
      </c>
      <c r="G746" s="65" t="s">
        <v>27</v>
      </c>
      <c r="H746" s="65" t="s">
        <v>46</v>
      </c>
      <c r="I746" s="70" t="s">
        <v>390</v>
      </c>
      <c r="J746" s="71"/>
      <c r="K746" s="71">
        <v>9600</v>
      </c>
      <c r="L746" s="72">
        <f>IFERROR(IF(G746="","",VLOOKUP($G746,[1]基础信息!$B:$C,2,FALSE)+SUMIF(G$8:G746,G746,J$8:J746)-SUMIF(G$8:G746,G746,K$8:K746)+SUMIFS([1]内部转账!$G:$G,[1]内部转账!$C:$C,"&lt;="&amp;$D746,[1]内部转账!$E:$E,$G746)-SUMIFS([1]内部转账!$G:$G,[1]内部转账!$C:$C,"&lt;="&amp;$D746,[1]内部转账!$F:$F,$G746)),"")</f>
        <v>82838.4399999995</v>
      </c>
      <c r="M746" s="64" t="s">
        <v>206</v>
      </c>
      <c r="N746" s="69"/>
      <c r="O746" s="64"/>
      <c r="P746" s="64"/>
      <c r="Q746" s="69"/>
      <c r="R746" s="69"/>
      <c r="S746" s="69"/>
    </row>
    <row r="747" s="2" customFormat="1" ht="24.95" customHeight="1" spans="1:19">
      <c r="A747" s="15"/>
      <c r="B747" s="55"/>
      <c r="C747" s="56"/>
      <c r="D747" s="68">
        <v>46068</v>
      </c>
      <c r="E747" s="69"/>
      <c r="F747" s="69" t="s">
        <v>26</v>
      </c>
      <c r="G747" s="65" t="s">
        <v>27</v>
      </c>
      <c r="H747" s="65" t="s">
        <v>46</v>
      </c>
      <c r="I747" s="70" t="s">
        <v>391</v>
      </c>
      <c r="J747" s="71"/>
      <c r="K747" s="71">
        <v>13650</v>
      </c>
      <c r="L747" s="72">
        <f>IFERROR(IF(G747="","",VLOOKUP($G747,[1]基础信息!$B:$C,2,FALSE)+SUMIF(G$8:G747,G747,J$8:J747)-SUMIF(G$8:G747,G747,K$8:K747)+SUMIFS([1]内部转账!$G:$G,[1]内部转账!$C:$C,"&lt;="&amp;$D747,[1]内部转账!$E:$E,$G747)-SUMIFS([1]内部转账!$G:$G,[1]内部转账!$C:$C,"&lt;="&amp;$D747,[1]内部转账!$F:$F,$G747)),"")</f>
        <v>69188.4399999995</v>
      </c>
      <c r="M747" s="64" t="s">
        <v>206</v>
      </c>
      <c r="N747" s="69"/>
      <c r="O747" s="64"/>
      <c r="P747" s="64"/>
      <c r="Q747" s="69"/>
      <c r="R747" s="69"/>
      <c r="S747" s="69"/>
    </row>
    <row r="748" s="2" customFormat="1" ht="24.95" customHeight="1" spans="1:19">
      <c r="A748" s="15"/>
      <c r="B748" s="55"/>
      <c r="C748" s="56"/>
      <c r="D748" s="68">
        <v>46068</v>
      </c>
      <c r="E748" s="69"/>
      <c r="F748" s="69" t="s">
        <v>26</v>
      </c>
      <c r="G748" s="65" t="s">
        <v>27</v>
      </c>
      <c r="H748" s="65" t="s">
        <v>46</v>
      </c>
      <c r="I748" s="70" t="s">
        <v>392</v>
      </c>
      <c r="J748" s="71"/>
      <c r="K748" s="71">
        <v>13650</v>
      </c>
      <c r="L748" s="72">
        <f>IFERROR(IF(G748="","",VLOOKUP($G748,[1]基础信息!$B:$C,2,FALSE)+SUMIF(G$8:G748,G748,J$8:J748)-SUMIF(G$8:G748,G748,K$8:K748)+SUMIFS([1]内部转账!$G:$G,[1]内部转账!$C:$C,"&lt;="&amp;$D748,[1]内部转账!$E:$E,$G748)-SUMIFS([1]内部转账!$G:$G,[1]内部转账!$C:$C,"&lt;="&amp;$D748,[1]内部转账!$F:$F,$G748)),"")</f>
        <v>55538.4399999995</v>
      </c>
      <c r="M748" s="64" t="s">
        <v>206</v>
      </c>
      <c r="N748" s="69"/>
      <c r="O748" s="64"/>
      <c r="P748" s="64"/>
      <c r="Q748" s="69"/>
      <c r="R748" s="69"/>
      <c r="S748" s="69"/>
    </row>
    <row r="749" s="2" customFormat="1" ht="24.95" customHeight="1" spans="1:19">
      <c r="A749" s="15"/>
      <c r="B749" s="55"/>
      <c r="C749" s="56"/>
      <c r="D749" s="68">
        <v>46068</v>
      </c>
      <c r="E749" s="69"/>
      <c r="F749" s="69" t="s">
        <v>26</v>
      </c>
      <c r="G749" s="65" t="s">
        <v>27</v>
      </c>
      <c r="H749" s="65" t="s">
        <v>138</v>
      </c>
      <c r="I749" s="70" t="s">
        <v>147</v>
      </c>
      <c r="J749" s="71"/>
      <c r="K749" s="71">
        <v>10000</v>
      </c>
      <c r="L749" s="72">
        <f>IFERROR(IF(G749="","",VLOOKUP($G749,[1]基础信息!$B:$C,2,FALSE)+SUMIF(G$8:G749,G749,J$8:J749)-SUMIF(G$8:G749,G749,K$8:K749)+SUMIFS([1]内部转账!$G:$G,[1]内部转账!$C:$C,"&lt;="&amp;$D749,[1]内部转账!$E:$E,$G749)-SUMIFS([1]内部转账!$G:$G,[1]内部转账!$C:$C,"&lt;="&amp;$D749,[1]内部转账!$F:$F,$G749)),"")</f>
        <v>45538.4399999995</v>
      </c>
      <c r="M749" s="64" t="s">
        <v>121</v>
      </c>
      <c r="N749" s="69"/>
      <c r="O749" s="64"/>
      <c r="P749" s="64" t="s">
        <v>148</v>
      </c>
      <c r="Q749" s="69"/>
      <c r="R749" s="69"/>
      <c r="S749" s="69"/>
    </row>
    <row r="750" s="2" customFormat="1" ht="24.95" customHeight="1" spans="1:19">
      <c r="A750" s="15"/>
      <c r="B750" s="55"/>
      <c r="C750" s="56"/>
      <c r="D750" s="68">
        <v>46068</v>
      </c>
      <c r="E750" s="69"/>
      <c r="F750" s="69" t="s">
        <v>26</v>
      </c>
      <c r="G750" s="65" t="s">
        <v>27</v>
      </c>
      <c r="H750" s="65" t="s">
        <v>46</v>
      </c>
      <c r="I750" s="70" t="s">
        <v>393</v>
      </c>
      <c r="J750" s="71"/>
      <c r="K750" s="71">
        <v>800</v>
      </c>
      <c r="L750" s="72">
        <f>IFERROR(IF(G750="","",VLOOKUP($G750,[1]基础信息!$B:$C,2,FALSE)+SUMIF(G$8:G750,G750,J$8:J750)-SUMIF(G$8:G750,G750,K$8:K750)+SUMIFS([1]内部转账!$G:$G,[1]内部转账!$C:$C,"&lt;="&amp;$D750,[1]内部转账!$E:$E,$G750)-SUMIFS([1]内部转账!$G:$G,[1]内部转账!$C:$C,"&lt;="&amp;$D750,[1]内部转账!$F:$F,$G750)),"")</f>
        <v>44738.4399999995</v>
      </c>
      <c r="M750" s="64" t="s">
        <v>150</v>
      </c>
      <c r="N750" s="69"/>
      <c r="O750" s="64"/>
      <c r="P750" s="64"/>
      <c r="Q750" s="69"/>
      <c r="R750" s="69"/>
      <c r="S750" s="69"/>
    </row>
    <row r="751" s="2" customFormat="1" ht="24.95" customHeight="1" spans="1:19">
      <c r="A751" s="15"/>
      <c r="B751" s="55"/>
      <c r="C751" s="56"/>
      <c r="D751" s="68">
        <v>46068</v>
      </c>
      <c r="E751" s="69"/>
      <c r="F751" s="69" t="s">
        <v>26</v>
      </c>
      <c r="G751" s="65" t="s">
        <v>27</v>
      </c>
      <c r="H751" s="65" t="s">
        <v>46</v>
      </c>
      <c r="I751" s="73" t="s">
        <v>394</v>
      </c>
      <c r="J751" s="71"/>
      <c r="K751" s="71">
        <v>3300</v>
      </c>
      <c r="L751" s="72">
        <f>IFERROR(IF(G751="","",VLOOKUP($G751,[1]基础信息!$B:$C,2,FALSE)+SUMIF(G$8:G751,G751,J$8:J751)-SUMIF(G$8:G751,G751,K$8:K751)+SUMIFS([1]内部转账!$G:$G,[1]内部转账!$C:$C,"&lt;="&amp;$D751,[1]内部转账!$E:$E,$G751)-SUMIFS([1]内部转账!$G:$G,[1]内部转账!$C:$C,"&lt;="&amp;$D751,[1]内部转账!$F:$F,$G751)),"")</f>
        <v>41438.4399999995</v>
      </c>
      <c r="M751" s="64" t="s">
        <v>206</v>
      </c>
      <c r="N751" s="69"/>
      <c r="O751" s="64"/>
      <c r="P751" s="64"/>
      <c r="Q751" s="69"/>
      <c r="R751" s="69"/>
      <c r="S751" s="69"/>
    </row>
    <row r="752" s="2" customFormat="1" ht="24.95" customHeight="1" spans="1:19">
      <c r="A752" s="15"/>
      <c r="B752" s="55"/>
      <c r="C752" s="56"/>
      <c r="D752" s="68">
        <v>46068</v>
      </c>
      <c r="E752" s="69"/>
      <c r="F752" s="69" t="s">
        <v>26</v>
      </c>
      <c r="G752" s="65" t="s">
        <v>27</v>
      </c>
      <c r="H752" s="65" t="s">
        <v>46</v>
      </c>
      <c r="I752" s="70" t="s">
        <v>137</v>
      </c>
      <c r="J752" s="71"/>
      <c r="K752" s="71">
        <v>16995</v>
      </c>
      <c r="L752" s="72">
        <f>IFERROR(IF(G752="","",VLOOKUP($G752,[1]基础信息!$B:$C,2,FALSE)+SUMIF(G$8:G752,G752,J$8:J752)-SUMIF(G$8:G752,G752,K$8:K752)+SUMIFS([1]内部转账!$G:$G,[1]内部转账!$C:$C,"&lt;="&amp;$D752,[1]内部转账!$E:$E,$G752)-SUMIFS([1]内部转账!$G:$G,[1]内部转账!$C:$C,"&lt;="&amp;$D752,[1]内部转账!$F:$F,$G752)),"")</f>
        <v>24443.4399999995</v>
      </c>
      <c r="M752" s="64" t="s">
        <v>150</v>
      </c>
      <c r="N752" s="69"/>
      <c r="O752" s="64"/>
      <c r="P752" s="64"/>
      <c r="Q752" s="69"/>
      <c r="R752" s="69"/>
      <c r="S752" s="69"/>
    </row>
    <row r="753" s="2" customFormat="1" ht="24.95" customHeight="1" spans="1:19">
      <c r="A753" s="15"/>
      <c r="B753" s="55"/>
      <c r="C753" s="56"/>
      <c r="D753" s="68">
        <v>46068</v>
      </c>
      <c r="E753" s="69"/>
      <c r="F753" s="69" t="s">
        <v>26</v>
      </c>
      <c r="G753" s="65" t="s">
        <v>27</v>
      </c>
      <c r="H753" s="65" t="s">
        <v>46</v>
      </c>
      <c r="I753" s="70" t="s">
        <v>395</v>
      </c>
      <c r="J753" s="71"/>
      <c r="K753" s="71">
        <v>16654</v>
      </c>
      <c r="L753" s="72">
        <f>IFERROR(IF(G753="","",VLOOKUP($G753,[1]基础信息!$B:$C,2,FALSE)+SUMIF(G$8:G753,G753,J$8:J753)-SUMIF(G$8:G753,G753,K$8:K753)+SUMIFS([1]内部转账!$G:$G,[1]内部转账!$C:$C,"&lt;="&amp;$D753,[1]内部转账!$E:$E,$G753)-SUMIFS([1]内部转账!$G:$G,[1]内部转账!$C:$C,"&lt;="&amp;$D753,[1]内部转账!$F:$F,$G753)),"")</f>
        <v>7789.43999999948</v>
      </c>
      <c r="M753" s="64" t="s">
        <v>150</v>
      </c>
      <c r="N753" s="58"/>
      <c r="O753" s="64"/>
      <c r="P753" s="64"/>
      <c r="Q753" s="69"/>
      <c r="R753" s="69"/>
      <c r="S753" s="69"/>
    </row>
    <row r="754" s="2" customFormat="1" ht="24.95" customHeight="1" spans="1:19">
      <c r="A754" s="15"/>
      <c r="B754" s="55"/>
      <c r="C754" s="56"/>
      <c r="D754" s="68">
        <v>46068</v>
      </c>
      <c r="E754" s="69"/>
      <c r="F754" s="69" t="s">
        <v>26</v>
      </c>
      <c r="G754" s="65" t="s">
        <v>27</v>
      </c>
      <c r="H754" s="65" t="s">
        <v>58</v>
      </c>
      <c r="I754" s="70" t="s">
        <v>396</v>
      </c>
      <c r="J754" s="71"/>
      <c r="K754" s="71">
        <v>800</v>
      </c>
      <c r="L754" s="72">
        <f>IFERROR(IF(G754="","",VLOOKUP($G754,[1]基础信息!$B:$C,2,FALSE)+SUMIF(G$8:G754,G754,J$8:J754)-SUMIF(G$8:G754,G754,K$8:K754)+SUMIFS([1]内部转账!$G:$G,[1]内部转账!$C:$C,"&lt;="&amp;$D754,[1]内部转账!$E:$E,$G754)-SUMIFS([1]内部转账!$G:$G,[1]内部转账!$C:$C,"&lt;="&amp;$D754,[1]内部转账!$F:$F,$G754)),"")</f>
        <v>6989.43999999948</v>
      </c>
      <c r="M754" s="64" t="s">
        <v>206</v>
      </c>
      <c r="N754" s="69"/>
      <c r="O754" s="64"/>
      <c r="P754" s="64" t="s">
        <v>397</v>
      </c>
      <c r="Q754" s="69"/>
      <c r="R754" s="69"/>
      <c r="S754" s="69"/>
    </row>
    <row r="755" s="2" customFormat="1" ht="24.95" customHeight="1" spans="1:19">
      <c r="A755" s="15"/>
      <c r="B755" s="55"/>
      <c r="C755" s="56"/>
      <c r="D755" s="68">
        <v>46068</v>
      </c>
      <c r="E755" s="69"/>
      <c r="F755" s="69" t="s">
        <v>26</v>
      </c>
      <c r="G755" s="65" t="s">
        <v>27</v>
      </c>
      <c r="H755" s="65" t="s">
        <v>115</v>
      </c>
      <c r="I755" s="70" t="s">
        <v>398</v>
      </c>
      <c r="J755" s="71"/>
      <c r="K755" s="71">
        <v>3100</v>
      </c>
      <c r="L755" s="72">
        <f>IFERROR(IF(G755="","",VLOOKUP($G755,[1]基础信息!$B:$C,2,FALSE)+SUMIF(G$8:G755,G755,J$8:J755)-SUMIF(G$8:G755,G755,K$8:K755)+SUMIFS([1]内部转账!$G:$G,[1]内部转账!$C:$C,"&lt;="&amp;$D755,[1]内部转账!$E:$E,$G755)-SUMIFS([1]内部转账!$G:$G,[1]内部转账!$C:$C,"&lt;="&amp;$D755,[1]内部转账!$F:$F,$G755)),"")</f>
        <v>3889.43999999948</v>
      </c>
      <c r="M755" s="64" t="s">
        <v>166</v>
      </c>
      <c r="N755" s="69"/>
      <c r="O755" s="64"/>
      <c r="P755" s="64" t="s">
        <v>399</v>
      </c>
      <c r="Q755" s="69"/>
      <c r="R755" s="69"/>
      <c r="S755" s="69"/>
    </row>
    <row r="756" s="2" customFormat="1" ht="24.95" customHeight="1" spans="1:19">
      <c r="A756" s="15"/>
      <c r="B756" s="55"/>
      <c r="C756" s="56"/>
      <c r="D756" s="68">
        <v>46069</v>
      </c>
      <c r="E756" s="69"/>
      <c r="F756" s="69" t="s">
        <v>26</v>
      </c>
      <c r="G756" s="65" t="s">
        <v>27</v>
      </c>
      <c r="H756" s="65" t="s">
        <v>28</v>
      </c>
      <c r="I756" s="70" t="s">
        <v>29</v>
      </c>
      <c r="J756" s="71"/>
      <c r="K756" s="71">
        <v>-30000</v>
      </c>
      <c r="L756" s="72">
        <f>IFERROR(IF(G756="","",VLOOKUP($G756,[1]基础信息!$B:$C,2,FALSE)+SUMIF(G$8:G756,G756,J$8:J756)-SUMIF(G$8:G756,G756,K$8:K756)+SUMIFS([1]内部转账!$G:$G,[1]内部转账!$C:$C,"&lt;="&amp;$D756,[1]内部转账!$E:$E,$G756)-SUMIFS([1]内部转账!$G:$G,[1]内部转账!$C:$C,"&lt;="&amp;$D756,[1]内部转账!$F:$F,$G756)),"")</f>
        <v>33889.4399999995</v>
      </c>
      <c r="M756" s="64" t="s">
        <v>30</v>
      </c>
      <c r="N756" s="58" t="s">
        <v>31</v>
      </c>
      <c r="O756" s="64"/>
      <c r="P756" s="64" t="s">
        <v>31</v>
      </c>
      <c r="Q756" s="69"/>
      <c r="R756" s="69"/>
      <c r="S756" s="69"/>
    </row>
    <row r="757" s="2" customFormat="1" ht="24.95" customHeight="1" spans="1:19">
      <c r="A757" s="15"/>
      <c r="B757" s="55"/>
      <c r="C757" s="56"/>
      <c r="D757" s="68">
        <v>46069</v>
      </c>
      <c r="E757" s="69"/>
      <c r="F757" s="69" t="s">
        <v>26</v>
      </c>
      <c r="G757" s="65" t="s">
        <v>27</v>
      </c>
      <c r="H757" s="65" t="s">
        <v>46</v>
      </c>
      <c r="I757" s="70" t="s">
        <v>74</v>
      </c>
      <c r="J757" s="71"/>
      <c r="K757" s="71">
        <v>24340</v>
      </c>
      <c r="L757" s="72">
        <f>IFERROR(IF(G757="","",VLOOKUP($G757,[1]基础信息!$B:$C,2,FALSE)+SUMIF(G$8:G757,G757,J$8:J757)-SUMIF(G$8:G757,G757,K$8:K757)+SUMIFS([1]内部转账!$G:$G,[1]内部转账!$C:$C,"&lt;="&amp;$D757,[1]内部转账!$E:$E,$G757)-SUMIFS([1]内部转账!$G:$G,[1]内部转账!$C:$C,"&lt;="&amp;$D757,[1]内部转账!$F:$F,$G757)),"")</f>
        <v>9549.43999999948</v>
      </c>
      <c r="M757" s="64" t="s">
        <v>150</v>
      </c>
      <c r="N757" s="69"/>
      <c r="O757" s="64"/>
      <c r="P757" s="64"/>
      <c r="Q757" s="69"/>
      <c r="R757" s="69"/>
      <c r="S757" s="69"/>
    </row>
    <row r="758" s="2" customFormat="1" ht="24.95" customHeight="1" spans="1:19">
      <c r="A758" s="15"/>
      <c r="B758" s="55"/>
      <c r="C758" s="56"/>
      <c r="D758" s="68">
        <v>46069</v>
      </c>
      <c r="E758" s="69"/>
      <c r="F758" s="69" t="s">
        <v>26</v>
      </c>
      <c r="G758" s="65" t="s">
        <v>27</v>
      </c>
      <c r="H758" s="65" t="s">
        <v>62</v>
      </c>
      <c r="I758" s="70" t="s">
        <v>243</v>
      </c>
      <c r="J758" s="71"/>
      <c r="K758" s="71">
        <v>5673</v>
      </c>
      <c r="L758" s="72">
        <f>IFERROR(IF(G758="","",VLOOKUP($G758,[1]基础信息!$B:$C,2,FALSE)+SUMIF(G$8:G758,G758,J$8:J758)-SUMIF(G$8:G758,G758,K$8:K758)+SUMIFS([1]内部转账!$G:$G,[1]内部转账!$C:$C,"&lt;="&amp;$D758,[1]内部转账!$E:$E,$G758)-SUMIFS([1]内部转账!$G:$G,[1]内部转账!$C:$C,"&lt;="&amp;$D758,[1]内部转账!$F:$F,$G758)),"")</f>
        <v>3876.43999999948</v>
      </c>
      <c r="M758" s="64" t="s">
        <v>150</v>
      </c>
      <c r="N758" s="58"/>
      <c r="O758" s="64"/>
      <c r="P758" s="64" t="s">
        <v>244</v>
      </c>
      <c r="Q758" s="69"/>
      <c r="R758" s="69"/>
      <c r="S758" s="69"/>
    </row>
    <row r="759" s="2" customFormat="1" ht="24.95" customHeight="1" spans="1:19">
      <c r="A759" s="15"/>
      <c r="B759" s="55"/>
      <c r="C759" s="56"/>
      <c r="D759" s="68">
        <v>46085</v>
      </c>
      <c r="E759" s="69"/>
      <c r="F759" s="69" t="s">
        <v>26</v>
      </c>
      <c r="G759" s="65" t="s">
        <v>27</v>
      </c>
      <c r="H759" s="65" t="s">
        <v>28</v>
      </c>
      <c r="I759" s="70" t="s">
        <v>29</v>
      </c>
      <c r="J759" s="71"/>
      <c r="K759" s="71">
        <v>-5000</v>
      </c>
      <c r="L759" s="72">
        <f>IFERROR(IF(G759="","",VLOOKUP($G759,[1]基础信息!$B:$C,2,FALSE)+SUMIF(G$8:G759,G759,J$8:J759)-SUMIF(G$8:G759,G759,K$8:K759)+SUMIFS([1]内部转账!$G:$G,[1]内部转账!$C:$C,"&lt;="&amp;$D759,[1]内部转账!$E:$E,$G759)-SUMIFS([1]内部转账!$G:$G,[1]内部转账!$C:$C,"&lt;="&amp;$D759,[1]内部转账!$F:$F,$G759)),"")</f>
        <v>8876.43999999948</v>
      </c>
      <c r="M759" s="64" t="s">
        <v>30</v>
      </c>
      <c r="N759" s="69" t="s">
        <v>31</v>
      </c>
      <c r="O759" s="64"/>
      <c r="P759" s="64" t="s">
        <v>31</v>
      </c>
      <c r="Q759" s="69"/>
      <c r="R759" s="69"/>
      <c r="S759" s="69"/>
    </row>
    <row r="760" s="2" customFormat="1" ht="24.95" customHeight="1" spans="1:19">
      <c r="A760" s="15"/>
      <c r="B760" s="55"/>
      <c r="C760" s="56"/>
      <c r="D760" s="68">
        <v>46085</v>
      </c>
      <c r="E760" s="69"/>
      <c r="F760" s="69" t="s">
        <v>26</v>
      </c>
      <c r="G760" s="65" t="s">
        <v>27</v>
      </c>
      <c r="H760" s="65" t="s">
        <v>62</v>
      </c>
      <c r="I760" s="70" t="s">
        <v>289</v>
      </c>
      <c r="J760" s="71"/>
      <c r="K760" s="71">
        <v>7000</v>
      </c>
      <c r="L760" s="72">
        <f>IFERROR(IF(G760="","",VLOOKUP($G760,[1]基础信息!$B:$C,2,FALSE)+SUMIF(G$8:G760,G760,J$8:J760)-SUMIF(G$8:G760,G760,K$8:K760)+SUMIFS([1]内部转账!$G:$G,[1]内部转账!$C:$C,"&lt;="&amp;$D760,[1]内部转账!$E:$E,$G760)-SUMIFS([1]内部转账!$G:$G,[1]内部转账!$C:$C,"&lt;="&amp;$D760,[1]内部转账!$F:$F,$G760)),"")</f>
        <v>1876.43999999948</v>
      </c>
      <c r="M760" s="64" t="s">
        <v>150</v>
      </c>
      <c r="N760" s="69"/>
      <c r="O760" s="64"/>
      <c r="P760" s="64" t="s">
        <v>263</v>
      </c>
      <c r="Q760" s="69"/>
      <c r="R760" s="69"/>
      <c r="S760" s="69"/>
    </row>
    <row r="761" s="2" customFormat="1" ht="24.95" customHeight="1" spans="1:19">
      <c r="A761" s="15"/>
      <c r="B761" s="55"/>
      <c r="C761" s="56"/>
      <c r="D761" s="68">
        <v>46091</v>
      </c>
      <c r="E761" s="69"/>
      <c r="F761" s="69" t="s">
        <v>26</v>
      </c>
      <c r="G761" s="65" t="s">
        <v>400</v>
      </c>
      <c r="H761" s="65" t="s">
        <v>401</v>
      </c>
      <c r="I761" s="70" t="s">
        <v>402</v>
      </c>
      <c r="J761" s="71"/>
      <c r="K761" s="71">
        <v>-361000</v>
      </c>
      <c r="L761" s="72">
        <f>IFERROR(IF(G761="","",VLOOKUP($G761,[1]基础信息!$B:$C,2,FALSE)+SUMIF(G$8:G761,G761,J$8:J761)-SUMIF(G$8:G761,G761,K$8:K761)+SUMIFS([1]内部转账!$G:$G,[1]内部转账!$C:$C,"&lt;="&amp;$D761,[1]内部转账!$E:$E,$G761)-SUMIFS([1]内部转账!$G:$G,[1]内部转账!$C:$C,"&lt;="&amp;$D761,[1]内部转账!$F:$F,$G761)),"")</f>
        <v>211000</v>
      </c>
      <c r="M761" s="64" t="s">
        <v>402</v>
      </c>
      <c r="N761" s="69"/>
      <c r="O761" s="64"/>
      <c r="P761" s="64"/>
      <c r="Q761" s="69"/>
      <c r="R761" s="69"/>
      <c r="S761" s="69"/>
    </row>
    <row r="762" s="2" customFormat="1" ht="24.95" customHeight="1" spans="1:19">
      <c r="A762" s="15"/>
      <c r="B762" s="55"/>
      <c r="C762" s="56"/>
      <c r="D762" s="68">
        <v>46091</v>
      </c>
      <c r="E762" s="69"/>
      <c r="F762" s="69" t="s">
        <v>26</v>
      </c>
      <c r="G762" s="65" t="s">
        <v>400</v>
      </c>
      <c r="H762" s="65" t="s">
        <v>138</v>
      </c>
      <c r="I762" s="70" t="s">
        <v>403</v>
      </c>
      <c r="J762" s="71"/>
      <c r="K762" s="71">
        <v>7600</v>
      </c>
      <c r="L762" s="72">
        <f>IFERROR(IF(G762="","",VLOOKUP($G762,[1]基础信息!$B:$C,2,FALSE)+SUMIF(G$8:G762,G762,J$8:J762)-SUMIF(G$8:G762,G762,K$8:K762)+SUMIFS([1]内部转账!$G:$G,[1]内部转账!$C:$C,"&lt;="&amp;$D762,[1]内部转账!$E:$E,$G762)-SUMIFS([1]内部转账!$G:$G,[1]内部转账!$C:$C,"&lt;="&amp;$D762,[1]内部转账!$F:$F,$G762)),"")</f>
        <v>203400</v>
      </c>
      <c r="M762" s="64" t="s">
        <v>150</v>
      </c>
      <c r="N762" s="69"/>
      <c r="O762" s="64"/>
      <c r="P762" s="64" t="s">
        <v>216</v>
      </c>
      <c r="Q762" s="69"/>
      <c r="R762" s="69"/>
      <c r="S762" s="69"/>
    </row>
    <row r="763" s="2" customFormat="1" ht="24.95" customHeight="1" spans="1:19">
      <c r="A763" s="15"/>
      <c r="B763" s="55"/>
      <c r="C763" s="56"/>
      <c r="D763" s="68">
        <v>46091</v>
      </c>
      <c r="E763" s="69"/>
      <c r="F763" s="69" t="s">
        <v>26</v>
      </c>
      <c r="G763" s="65" t="s">
        <v>400</v>
      </c>
      <c r="H763" s="65" t="s">
        <v>62</v>
      </c>
      <c r="I763" s="70" t="s">
        <v>285</v>
      </c>
      <c r="J763" s="71"/>
      <c r="K763" s="71">
        <v>11800</v>
      </c>
      <c r="L763" s="72">
        <f>IFERROR(IF(G763="","",VLOOKUP($G763,[1]基础信息!$B:$C,2,FALSE)+SUMIF(G$8:G763,G763,J$8:J763)-SUMIF(G$8:G763,G763,K$8:K763)+SUMIFS([1]内部转账!$G:$G,[1]内部转账!$C:$C,"&lt;="&amp;$D763,[1]内部转账!$E:$E,$G763)-SUMIFS([1]内部转账!$G:$G,[1]内部转账!$C:$C,"&lt;="&amp;$D763,[1]内部转账!$F:$F,$G763)),"")</f>
        <v>191600</v>
      </c>
      <c r="M763" s="64" t="s">
        <v>235</v>
      </c>
      <c r="N763" s="69"/>
      <c r="O763" s="64"/>
      <c r="P763" s="64" t="s">
        <v>246</v>
      </c>
      <c r="Q763" s="69"/>
      <c r="R763" s="69"/>
      <c r="S763" s="69"/>
    </row>
    <row r="764" s="2" customFormat="1" ht="24.95" customHeight="1" spans="1:19">
      <c r="A764" s="15"/>
      <c r="B764" s="55"/>
      <c r="C764" s="56"/>
      <c r="D764" s="68">
        <v>46091</v>
      </c>
      <c r="E764" s="69"/>
      <c r="F764" s="69" t="s">
        <v>26</v>
      </c>
      <c r="G764" s="65" t="s">
        <v>400</v>
      </c>
      <c r="H764" s="65" t="s">
        <v>58</v>
      </c>
      <c r="I764" s="70" t="s">
        <v>404</v>
      </c>
      <c r="J764" s="71"/>
      <c r="K764" s="71">
        <v>9</v>
      </c>
      <c r="L764" s="72">
        <f>IFERROR(IF(G764="","",VLOOKUP($G764,[1]基础信息!$B:$C,2,FALSE)+SUMIF(G$8:G764,G764,J$8:J764)-SUMIF(G$8:G764,G764,K$8:K764)+SUMIFS([1]内部转账!$G:$G,[1]内部转账!$C:$C,"&lt;="&amp;$D764,[1]内部转账!$E:$E,$G764)-SUMIFS([1]内部转账!$G:$G,[1]内部转账!$C:$C,"&lt;="&amp;$D764,[1]内部转账!$F:$F,$G764)),"")</f>
        <v>191591</v>
      </c>
      <c r="M764" s="64" t="s">
        <v>235</v>
      </c>
      <c r="N764" s="69"/>
      <c r="O764" s="64"/>
      <c r="P764" s="64"/>
      <c r="Q764" s="69"/>
      <c r="R764" s="69"/>
      <c r="S764" s="69"/>
    </row>
    <row r="765" s="2" customFormat="1" ht="24.95" customHeight="1" spans="1:19">
      <c r="A765" s="15"/>
      <c r="B765" s="55"/>
      <c r="C765" s="56"/>
      <c r="D765" s="68">
        <v>46091</v>
      </c>
      <c r="E765" s="69"/>
      <c r="F765" s="69" t="s">
        <v>26</v>
      </c>
      <c r="G765" s="65" t="s">
        <v>400</v>
      </c>
      <c r="H765" s="65" t="s">
        <v>62</v>
      </c>
      <c r="I765" s="70" t="s">
        <v>211</v>
      </c>
      <c r="J765" s="71"/>
      <c r="K765" s="71">
        <v>2992</v>
      </c>
      <c r="L765" s="72">
        <f>IFERROR(IF(G765="","",VLOOKUP($G765,[1]基础信息!$B:$C,2,FALSE)+SUMIF(G$8:G765,G765,J$8:J765)-SUMIF(G$8:G765,G765,K$8:K765)+SUMIFS([1]内部转账!$G:$G,[1]内部转账!$C:$C,"&lt;="&amp;$D765,[1]内部转账!$E:$E,$G765)-SUMIFS([1]内部转账!$G:$G,[1]内部转账!$C:$C,"&lt;="&amp;$D765,[1]内部转账!$F:$F,$G765)),"")</f>
        <v>188599</v>
      </c>
      <c r="M765" s="64" t="s">
        <v>317</v>
      </c>
      <c r="N765" s="69"/>
      <c r="O765" s="64"/>
      <c r="P765" s="64" t="s">
        <v>212</v>
      </c>
      <c r="Q765" s="69"/>
      <c r="R765" s="69"/>
      <c r="S765" s="69"/>
    </row>
    <row r="766" s="2" customFormat="1" ht="24.95" customHeight="1" spans="1:19">
      <c r="A766" s="15"/>
      <c r="B766" s="55"/>
      <c r="C766" s="56"/>
      <c r="D766" s="68">
        <v>46091</v>
      </c>
      <c r="E766" s="69"/>
      <c r="F766" s="69" t="s">
        <v>26</v>
      </c>
      <c r="G766" s="65" t="s">
        <v>400</v>
      </c>
      <c r="H766" s="65" t="s">
        <v>58</v>
      </c>
      <c r="I766" s="70" t="s">
        <v>405</v>
      </c>
      <c r="J766" s="71"/>
      <c r="K766" s="71">
        <v>4.5</v>
      </c>
      <c r="L766" s="72">
        <f>IFERROR(IF(G766="","",VLOOKUP($G766,[1]基础信息!$B:$C,2,FALSE)+SUMIF(G$8:G766,G766,J$8:J766)-SUMIF(G$8:G766,G766,K$8:K766)+SUMIFS([1]内部转账!$G:$G,[1]内部转账!$C:$C,"&lt;="&amp;$D766,[1]内部转账!$E:$E,$G766)-SUMIFS([1]内部转账!$G:$G,[1]内部转账!$C:$C,"&lt;="&amp;$D766,[1]内部转账!$F:$F,$G766)),"")</f>
        <v>188594.5</v>
      </c>
      <c r="M766" s="64" t="s">
        <v>317</v>
      </c>
      <c r="N766" s="69"/>
      <c r="O766" s="64"/>
      <c r="P766" s="64"/>
      <c r="Q766" s="69"/>
      <c r="R766" s="69"/>
      <c r="S766" s="69"/>
    </row>
    <row r="767" s="2" customFormat="1" ht="24.95" customHeight="1" spans="1:19">
      <c r="A767" s="15"/>
      <c r="B767" s="55"/>
      <c r="C767" s="56"/>
      <c r="D767" s="68">
        <v>46092</v>
      </c>
      <c r="E767" s="69"/>
      <c r="F767" s="69" t="s">
        <v>26</v>
      </c>
      <c r="G767" s="65" t="s">
        <v>27</v>
      </c>
      <c r="H767" s="65" t="s">
        <v>28</v>
      </c>
      <c r="I767" s="70" t="s">
        <v>406</v>
      </c>
      <c r="J767" s="71"/>
      <c r="K767" s="71">
        <v>50000</v>
      </c>
      <c r="L767" s="72">
        <f>IFERROR(IF(G767="","",VLOOKUP($G767,[1]基础信息!$B:$C,2,FALSE)+SUMIF(G$8:G767,G767,J$8:J767)-SUMIF(G$8:G767,G767,K$8:K767)+SUMIFS([1]内部转账!$G:$G,[1]内部转账!$C:$C,"&lt;="&amp;$D767,[1]内部转账!$E:$E,$G767)-SUMIFS([1]内部转账!$G:$G,[1]内部转账!$C:$C,"&lt;="&amp;$D767,[1]内部转账!$F:$F,$G767)),"")</f>
        <v>101876.439999999</v>
      </c>
      <c r="M767" s="64" t="s">
        <v>30</v>
      </c>
      <c r="N767" s="69" t="s">
        <v>31</v>
      </c>
      <c r="O767" s="64"/>
      <c r="P767" s="64" t="s">
        <v>31</v>
      </c>
      <c r="Q767" s="69"/>
      <c r="R767" s="69"/>
      <c r="S767" s="69"/>
    </row>
    <row r="768" s="2" customFormat="1" ht="24.95" customHeight="1" spans="1:19">
      <c r="A768" s="15"/>
      <c r="B768" s="55"/>
      <c r="C768" s="56"/>
      <c r="D768" s="68">
        <v>46092</v>
      </c>
      <c r="E768" s="69"/>
      <c r="F768" s="69" t="s">
        <v>26</v>
      </c>
      <c r="G768" s="65" t="s">
        <v>400</v>
      </c>
      <c r="H768" s="65" t="s">
        <v>62</v>
      </c>
      <c r="I768" s="70" t="s">
        <v>211</v>
      </c>
      <c r="J768" s="71"/>
      <c r="K768" s="71">
        <v>-2992</v>
      </c>
      <c r="L768" s="72">
        <f>IFERROR(IF(G768="","",VLOOKUP($G768,[1]基础信息!$B:$C,2,FALSE)+SUMIF(G$8:G768,G768,J$8:J768)-SUMIF(G$8:G768,G768,K$8:K768)+SUMIFS([1]内部转账!$G:$G,[1]内部转账!$C:$C,"&lt;="&amp;$D768,[1]内部转账!$E:$E,$G768)-SUMIFS([1]内部转账!$G:$G,[1]内部转账!$C:$C,"&lt;="&amp;$D768,[1]内部转账!$F:$F,$G768)),"")</f>
        <v>191586.5</v>
      </c>
      <c r="M768" s="64" t="s">
        <v>317</v>
      </c>
      <c r="N768" s="58"/>
      <c r="O768" s="64"/>
      <c r="P768" s="64" t="s">
        <v>212</v>
      </c>
      <c r="Q768" s="69"/>
      <c r="R768" s="69"/>
      <c r="S768" s="69"/>
    </row>
    <row r="769" s="2" customFormat="1" ht="24.95" customHeight="1" spans="1:19">
      <c r="A769" s="15"/>
      <c r="B769" s="55"/>
      <c r="C769" s="56"/>
      <c r="D769" s="68">
        <v>46092</v>
      </c>
      <c r="E769" s="69"/>
      <c r="F769" s="69" t="s">
        <v>26</v>
      </c>
      <c r="G769" s="65" t="s">
        <v>400</v>
      </c>
      <c r="H769" s="65" t="s">
        <v>138</v>
      </c>
      <c r="I769" s="70" t="s">
        <v>207</v>
      </c>
      <c r="J769" s="71"/>
      <c r="K769" s="71">
        <v>50000</v>
      </c>
      <c r="L769" s="72">
        <f>IFERROR(IF(G769="","",VLOOKUP($G769,[1]基础信息!$B:$C,2,FALSE)+SUMIF(G$8:G769,G769,J$8:J769)-SUMIF(G$8:G769,G769,K$8:K769)+SUMIFS([1]内部转账!$G:$G,[1]内部转账!$C:$C,"&lt;="&amp;$D769,[1]内部转账!$E:$E,$G769)-SUMIFS([1]内部转账!$G:$G,[1]内部转账!$C:$C,"&lt;="&amp;$D769,[1]内部转账!$F:$F,$G769)),"")</f>
        <v>141586.5</v>
      </c>
      <c r="M769" s="64" t="s">
        <v>150</v>
      </c>
      <c r="N769" s="58"/>
      <c r="O769" s="64"/>
      <c r="P769" s="64" t="s">
        <v>407</v>
      </c>
      <c r="Q769" s="69"/>
      <c r="R769" s="69"/>
      <c r="S769" s="69"/>
    </row>
    <row r="770" s="2" customFormat="1" ht="24.95" customHeight="1" spans="1:19">
      <c r="A770" s="15"/>
      <c r="B770" s="55"/>
      <c r="C770" s="56"/>
      <c r="D770" s="68">
        <v>46092</v>
      </c>
      <c r="E770" s="69"/>
      <c r="F770" s="69" t="s">
        <v>26</v>
      </c>
      <c r="G770" s="65" t="s">
        <v>400</v>
      </c>
      <c r="H770" s="65" t="s">
        <v>58</v>
      </c>
      <c r="I770" s="70" t="s">
        <v>408</v>
      </c>
      <c r="J770" s="71"/>
      <c r="K770" s="71">
        <v>9</v>
      </c>
      <c r="L770" s="72">
        <f>IFERROR(IF(G770="","",VLOOKUP($G770,[1]基础信息!$B:$C,2,FALSE)+SUMIF(G$8:G770,G770,J$8:J770)-SUMIF(G$8:G770,G770,K$8:K770)+SUMIFS([1]内部转账!$G:$G,[1]内部转账!$C:$C,"&lt;="&amp;$D770,[1]内部转账!$E:$E,$G770)-SUMIFS([1]内部转账!$G:$G,[1]内部转账!$C:$C,"&lt;="&amp;$D770,[1]内部转账!$F:$F,$G770)),"")</f>
        <v>141577.5</v>
      </c>
      <c r="M770" s="64" t="s">
        <v>150</v>
      </c>
      <c r="N770" s="69"/>
      <c r="O770" s="64"/>
      <c r="P770" s="64"/>
      <c r="Q770" s="69"/>
      <c r="R770" s="69"/>
      <c r="S770" s="69"/>
    </row>
    <row r="771" s="2" customFormat="1" ht="24.95" customHeight="1" spans="1:19">
      <c r="A771" s="15"/>
      <c r="B771" s="55"/>
      <c r="C771" s="56"/>
      <c r="D771" s="68">
        <v>46093</v>
      </c>
      <c r="E771" s="69"/>
      <c r="F771" s="69" t="s">
        <v>26</v>
      </c>
      <c r="G771" s="65" t="s">
        <v>27</v>
      </c>
      <c r="H771" s="65" t="s">
        <v>62</v>
      </c>
      <c r="I771" s="70" t="s">
        <v>211</v>
      </c>
      <c r="J771" s="71"/>
      <c r="K771" s="71">
        <v>2992</v>
      </c>
      <c r="L771" s="72">
        <f>IFERROR(IF(G771="","",VLOOKUP($G771,[1]基础信息!$B:$C,2,FALSE)+SUMIF(G$8:G771,G771,J$8:J771)-SUMIF(G$8:G771,G771,K$8:K771)+SUMIFS([1]内部转账!$G:$G,[1]内部转账!$C:$C,"&lt;="&amp;$D771,[1]内部转账!$E:$E,$G771)-SUMIFS([1]内部转账!$G:$G,[1]内部转账!$C:$C,"&lt;="&amp;$D771,[1]内部转账!$F:$F,$G771)),"")</f>
        <v>128884.439999999</v>
      </c>
      <c r="M771" s="64" t="s">
        <v>317</v>
      </c>
      <c r="N771" s="69"/>
      <c r="O771" s="64"/>
      <c r="P771" s="64" t="s">
        <v>212</v>
      </c>
      <c r="Q771" s="69"/>
      <c r="R771" s="69"/>
      <c r="S771" s="69"/>
    </row>
    <row r="772" s="2" customFormat="1" ht="24.95" customHeight="1" spans="1:19">
      <c r="A772" s="15"/>
      <c r="B772" s="55"/>
      <c r="C772" s="56"/>
      <c r="D772" s="68">
        <v>46093</v>
      </c>
      <c r="E772" s="69"/>
      <c r="F772" s="69" t="s">
        <v>26</v>
      </c>
      <c r="G772" s="65" t="s">
        <v>27</v>
      </c>
      <c r="H772" s="65" t="s">
        <v>138</v>
      </c>
      <c r="I772" s="70" t="s">
        <v>409</v>
      </c>
      <c r="J772" s="71"/>
      <c r="K772" s="71">
        <v>70000</v>
      </c>
      <c r="L772" s="72">
        <f>IFERROR(IF(G772="","",VLOOKUP($G772,[1]基础信息!$B:$C,2,FALSE)+SUMIF(G$8:G772,G772,J$8:J772)-SUMIF(G$8:G772,G772,K$8:K772)+SUMIFS([1]内部转账!$G:$G,[1]内部转账!$C:$C,"&lt;="&amp;$D772,[1]内部转账!$E:$E,$G772)-SUMIFS([1]内部转账!$G:$G,[1]内部转账!$C:$C,"&lt;="&amp;$D772,[1]内部转账!$F:$F,$G772)),"")</f>
        <v>58884.4399999995</v>
      </c>
      <c r="M772" s="64" t="s">
        <v>317</v>
      </c>
      <c r="N772" s="69" t="s">
        <v>269</v>
      </c>
      <c r="O772" s="64"/>
      <c r="P772" s="64" t="s">
        <v>407</v>
      </c>
      <c r="Q772" s="69"/>
      <c r="R772" s="69"/>
      <c r="S772" s="69"/>
    </row>
    <row r="773" s="2" customFormat="1" ht="24.95" customHeight="1" spans="1:19">
      <c r="A773" s="15"/>
      <c r="B773" s="55"/>
      <c r="C773" s="56"/>
      <c r="D773" s="68">
        <v>46094</v>
      </c>
      <c r="E773" s="69"/>
      <c r="F773" s="69" t="s">
        <v>26</v>
      </c>
      <c r="G773" s="65" t="s">
        <v>27</v>
      </c>
      <c r="H773" s="65" t="s">
        <v>83</v>
      </c>
      <c r="I773" s="70" t="s">
        <v>410</v>
      </c>
      <c r="J773" s="71"/>
      <c r="K773" s="71">
        <v>1739.45</v>
      </c>
      <c r="L773" s="72">
        <f>IFERROR(IF(G773="","",VLOOKUP($G773,[1]基础信息!$B:$C,2,FALSE)+SUMIF(G$8:G773,G773,J$8:J773)-SUMIF(G$8:G773,G773,K$8:K773)+SUMIFS([1]内部转账!$G:$G,[1]内部转账!$C:$C,"&lt;="&amp;$D773,[1]内部转账!$E:$E,$G773)-SUMIFS([1]内部转账!$G:$G,[1]内部转账!$C:$C,"&lt;="&amp;$D773,[1]内部转账!$F:$F,$G773)),"")</f>
        <v>57144.9899999993</v>
      </c>
      <c r="M773" s="64" t="s">
        <v>35</v>
      </c>
      <c r="N773" s="69"/>
      <c r="O773" s="64"/>
      <c r="P773" s="64"/>
      <c r="Q773" s="69"/>
      <c r="R773" s="69"/>
      <c r="S773" s="69"/>
    </row>
    <row r="774" s="2" customFormat="1" ht="24.95" customHeight="1" spans="1:19">
      <c r="A774" s="15"/>
      <c r="B774" s="55"/>
      <c r="C774" s="56"/>
      <c r="D774" s="68">
        <v>46094</v>
      </c>
      <c r="E774" s="69"/>
      <c r="F774" s="69" t="s">
        <v>26</v>
      </c>
      <c r="G774" s="65" t="s">
        <v>27</v>
      </c>
      <c r="H774" s="65" t="s">
        <v>62</v>
      </c>
      <c r="I774" s="70" t="s">
        <v>411</v>
      </c>
      <c r="J774" s="71"/>
      <c r="K774" s="71">
        <v>4500</v>
      </c>
      <c r="L774" s="72">
        <f>IFERROR(IF(G774="","",VLOOKUP($G774,[1]基础信息!$B:$C,2,FALSE)+SUMIF(G$8:G774,G774,J$8:J774)-SUMIF(G$8:G774,G774,K$8:K774)+SUMIFS([1]内部转账!$G:$G,[1]内部转账!$C:$C,"&lt;="&amp;$D774,[1]内部转账!$E:$E,$G774)-SUMIFS([1]内部转账!$G:$G,[1]内部转账!$C:$C,"&lt;="&amp;$D774,[1]内部转账!$F:$F,$G774)),"")</f>
        <v>52644.9899999993</v>
      </c>
      <c r="M774" s="64" t="s">
        <v>150</v>
      </c>
      <c r="N774" s="69"/>
      <c r="O774" s="64"/>
      <c r="P774" s="64" t="s">
        <v>412</v>
      </c>
      <c r="Q774" s="69"/>
      <c r="R774" s="69"/>
      <c r="S774" s="69"/>
    </row>
    <row r="775" s="2" customFormat="1" ht="24.95" customHeight="1" spans="1:19">
      <c r="A775" s="15"/>
      <c r="B775" s="55"/>
      <c r="C775" s="56"/>
      <c r="D775" s="68">
        <v>46094</v>
      </c>
      <c r="E775" s="69"/>
      <c r="F775" s="69" t="s">
        <v>26</v>
      </c>
      <c r="G775" s="65" t="s">
        <v>27</v>
      </c>
      <c r="H775" s="65" t="s">
        <v>62</v>
      </c>
      <c r="I775" s="70" t="s">
        <v>411</v>
      </c>
      <c r="J775" s="71"/>
      <c r="K775" s="71">
        <v>-4500</v>
      </c>
      <c r="L775" s="72">
        <f>IFERROR(IF(G775="","",VLOOKUP($G775,[1]基础信息!$B:$C,2,FALSE)+SUMIF(G$8:G775,G775,J$8:J775)-SUMIF(G$8:G775,G775,K$8:K775)+SUMIFS([1]内部转账!$G:$G,[1]内部转账!$C:$C,"&lt;="&amp;$D775,[1]内部转账!$E:$E,$G775)-SUMIFS([1]内部转账!$G:$G,[1]内部转账!$C:$C,"&lt;="&amp;$D775,[1]内部转账!$F:$F,$G775)),"")</f>
        <v>57144.9899999993</v>
      </c>
      <c r="M775" s="64" t="s">
        <v>150</v>
      </c>
      <c r="N775" s="69"/>
      <c r="O775" s="64"/>
      <c r="P775" s="64" t="s">
        <v>412</v>
      </c>
      <c r="Q775" s="69"/>
      <c r="R775" s="69"/>
      <c r="S775" s="69"/>
    </row>
    <row r="776" s="2" customFormat="1" ht="24.95" customHeight="1" spans="1:19">
      <c r="A776" s="15"/>
      <c r="B776" s="55"/>
      <c r="C776" s="56"/>
      <c r="D776" s="68">
        <v>46094</v>
      </c>
      <c r="E776" s="69"/>
      <c r="F776" s="69" t="s">
        <v>26</v>
      </c>
      <c r="G776" s="65" t="s">
        <v>27</v>
      </c>
      <c r="H776" s="65" t="s">
        <v>62</v>
      </c>
      <c r="I776" s="70" t="s">
        <v>411</v>
      </c>
      <c r="J776" s="71"/>
      <c r="K776" s="71">
        <v>4500</v>
      </c>
      <c r="L776" s="72">
        <f>IFERROR(IF(G776="","",VLOOKUP($G776,[1]基础信息!$B:$C,2,FALSE)+SUMIF(G$8:G776,G776,J$8:J776)-SUMIF(G$8:G776,G776,K$8:K776)+SUMIFS([1]内部转账!$G:$G,[1]内部转账!$C:$C,"&lt;="&amp;$D776,[1]内部转账!$E:$E,$G776)-SUMIFS([1]内部转账!$G:$G,[1]内部转账!$C:$C,"&lt;="&amp;$D776,[1]内部转账!$F:$F,$G776)),"")</f>
        <v>52644.9899999993</v>
      </c>
      <c r="M776" s="64" t="s">
        <v>150</v>
      </c>
      <c r="N776" s="69"/>
      <c r="O776" s="64"/>
      <c r="P776" s="64" t="s">
        <v>412</v>
      </c>
      <c r="Q776" s="69"/>
      <c r="R776" s="69"/>
      <c r="S776" s="69"/>
    </row>
    <row r="777" s="2" customFormat="1" ht="24.95" customHeight="1" spans="1:19">
      <c r="A777" s="15"/>
      <c r="B777" s="55"/>
      <c r="C777" s="56"/>
      <c r="D777" s="68">
        <v>46094</v>
      </c>
      <c r="E777" s="69"/>
      <c r="F777" s="69" t="s">
        <v>26</v>
      </c>
      <c r="G777" s="65" t="s">
        <v>27</v>
      </c>
      <c r="H777" s="65" t="s">
        <v>62</v>
      </c>
      <c r="I777" s="70" t="s">
        <v>413</v>
      </c>
      <c r="J777" s="71"/>
      <c r="K777" s="71">
        <v>17000</v>
      </c>
      <c r="L777" s="72">
        <f>IFERROR(IF(G777="","",VLOOKUP($G777,[1]基础信息!$B:$C,2,FALSE)+SUMIF(G$8:G777,G777,J$8:J777)-SUMIF(G$8:G777,G777,K$8:K777)+SUMIFS([1]内部转账!$G:$G,[1]内部转账!$C:$C,"&lt;="&amp;$D777,[1]内部转账!$E:$E,$G777)-SUMIFS([1]内部转账!$G:$G,[1]内部转账!$C:$C,"&lt;="&amp;$D777,[1]内部转账!$F:$F,$G777)),"")</f>
        <v>35644.9899999993</v>
      </c>
      <c r="M777" s="64" t="s">
        <v>150</v>
      </c>
      <c r="N777" s="69"/>
      <c r="O777" s="64"/>
      <c r="P777" s="64" t="s">
        <v>263</v>
      </c>
      <c r="Q777" s="69"/>
      <c r="R777" s="69"/>
      <c r="S777" s="69"/>
    </row>
    <row r="778" s="2" customFormat="1" ht="24.95" customHeight="1" spans="1:19">
      <c r="A778" s="15"/>
      <c r="B778" s="55"/>
      <c r="C778" s="56"/>
      <c r="D778" s="68">
        <v>46094</v>
      </c>
      <c r="E778" s="69"/>
      <c r="F778" s="69" t="s">
        <v>26</v>
      </c>
      <c r="G778" s="65" t="s">
        <v>27</v>
      </c>
      <c r="H778" s="65" t="s">
        <v>213</v>
      </c>
      <c r="I778" s="70" t="s">
        <v>414</v>
      </c>
      <c r="J778" s="71"/>
      <c r="K778" s="71">
        <v>25000</v>
      </c>
      <c r="L778" s="72">
        <f>IFERROR(IF(G778="","",VLOOKUP($G778,[1]基础信息!$B:$C,2,FALSE)+SUMIF(G$8:G778,G778,J$8:J778)-SUMIF(G$8:G778,G778,K$8:K778)+SUMIFS([1]内部转账!$G:$G,[1]内部转账!$C:$C,"&lt;="&amp;$D778,[1]内部转账!$E:$E,$G778)-SUMIFS([1]内部转账!$G:$G,[1]内部转账!$C:$C,"&lt;="&amp;$D778,[1]内部转账!$F:$F,$G778)),"")</f>
        <v>10644.9899999993</v>
      </c>
      <c r="M778" s="64" t="s">
        <v>30</v>
      </c>
      <c r="N778" s="69" t="s">
        <v>92</v>
      </c>
      <c r="O778" s="64"/>
      <c r="P778" s="64" t="s">
        <v>92</v>
      </c>
      <c r="Q778" s="69"/>
      <c r="R778" s="69"/>
      <c r="S778" s="69"/>
    </row>
    <row r="779" s="2" customFormat="1" ht="24.95" customHeight="1" spans="1:19">
      <c r="A779" s="15"/>
      <c r="B779" s="55"/>
      <c r="C779" s="56"/>
      <c r="D779" s="68">
        <v>46095</v>
      </c>
      <c r="E779" s="69"/>
      <c r="F779" s="69" t="s">
        <v>26</v>
      </c>
      <c r="G779" s="65" t="s">
        <v>400</v>
      </c>
      <c r="H779" s="65" t="s">
        <v>62</v>
      </c>
      <c r="I779" s="70" t="s">
        <v>415</v>
      </c>
      <c r="J779" s="71"/>
      <c r="K779" s="71">
        <v>3216</v>
      </c>
      <c r="L779" s="72">
        <f>IFERROR(IF(G779="","",VLOOKUP($G779,[1]基础信息!$B:$C,2,FALSE)+SUMIF(G$8:G779,G779,J$8:J779)-SUMIF(G$8:G779,G779,K$8:K779)+SUMIFS([1]内部转账!$G:$G,[1]内部转账!$C:$C,"&lt;="&amp;$D779,[1]内部转账!$E:$E,$G779)-SUMIFS([1]内部转账!$G:$G,[1]内部转账!$C:$C,"&lt;="&amp;$D779,[1]内部转账!$F:$F,$G779)),"")</f>
        <v>108361.5</v>
      </c>
      <c r="M779" s="64" t="s">
        <v>150</v>
      </c>
      <c r="N779" s="69"/>
      <c r="O779" s="64"/>
      <c r="P779" s="64" t="s">
        <v>254</v>
      </c>
      <c r="Q779" s="69"/>
      <c r="R779" s="69"/>
      <c r="S779" s="69"/>
    </row>
    <row r="780" s="2" customFormat="1" ht="24.95" customHeight="1" spans="1:19">
      <c r="A780" s="15"/>
      <c r="B780" s="55"/>
      <c r="C780" s="56"/>
      <c r="D780" s="68">
        <v>46097</v>
      </c>
      <c r="E780" s="69"/>
      <c r="F780" s="69" t="s">
        <v>26</v>
      </c>
      <c r="G780" s="65" t="s">
        <v>27</v>
      </c>
      <c r="H780" s="65" t="s">
        <v>138</v>
      </c>
      <c r="I780" s="70" t="s">
        <v>416</v>
      </c>
      <c r="J780" s="71"/>
      <c r="K780" s="71">
        <v>7600</v>
      </c>
      <c r="L780" s="72">
        <f>IFERROR(IF(G780="","",VLOOKUP($G780,[1]基础信息!$B:$C,2,FALSE)+SUMIF(G$8:G780,G780,J$8:J780)-SUMIF(G$8:G780,G780,K$8:K780)+SUMIFS([1]内部转账!$G:$G,[1]内部转账!$C:$C,"&lt;="&amp;$D780,[1]内部转账!$E:$E,$G780)-SUMIFS([1]内部转账!$G:$G,[1]内部转账!$C:$C,"&lt;="&amp;$D780,[1]内部转账!$F:$F,$G780)),"")</f>
        <v>3044.98999999929</v>
      </c>
      <c r="M780" s="64" t="s">
        <v>317</v>
      </c>
      <c r="N780" s="58"/>
      <c r="O780" s="64"/>
      <c r="P780" s="64" t="s">
        <v>216</v>
      </c>
      <c r="Q780" s="69"/>
      <c r="R780" s="69"/>
      <c r="S780" s="69"/>
    </row>
    <row r="781" s="2" customFormat="1" ht="24.95" customHeight="1" spans="1:19">
      <c r="A781" s="15"/>
      <c r="B781" s="55"/>
      <c r="C781" s="56"/>
      <c r="D781" s="68">
        <v>46100</v>
      </c>
      <c r="E781" s="69"/>
      <c r="F781" s="69" t="s">
        <v>26</v>
      </c>
      <c r="G781" s="65" t="s">
        <v>27</v>
      </c>
      <c r="H781" s="65" t="s">
        <v>28</v>
      </c>
      <c r="I781" s="70" t="s">
        <v>417</v>
      </c>
      <c r="J781" s="71"/>
      <c r="K781" s="71">
        <v>35000</v>
      </c>
      <c r="L781" s="72">
        <f>IFERROR(IF(G781="","",VLOOKUP($G781,[1]基础信息!$B:$C,2,FALSE)+SUMIF(G$8:G781,G781,J$8:J781)-SUMIF(G$8:G781,G781,K$8:K781)+SUMIFS([1]内部转账!$G:$G,[1]内部转账!$C:$C,"&lt;="&amp;$D781,[1]内部转账!$E:$E,$G781)-SUMIFS([1]内部转账!$G:$G,[1]内部转账!$C:$C,"&lt;="&amp;$D781,[1]内部转账!$F:$F,$G781)),"")</f>
        <v>68044.9899999993</v>
      </c>
      <c r="M781" s="64" t="s">
        <v>30</v>
      </c>
      <c r="N781" s="69" t="s">
        <v>31</v>
      </c>
      <c r="O781" s="64"/>
      <c r="P781" s="64" t="s">
        <v>31</v>
      </c>
      <c r="Q781" s="69"/>
      <c r="R781" s="69"/>
      <c r="S781" s="69"/>
    </row>
    <row r="782" s="2" customFormat="1" ht="24.95" customHeight="1" spans="1:19">
      <c r="A782" s="15"/>
      <c r="B782" s="55"/>
      <c r="C782" s="56"/>
      <c r="D782" s="68">
        <v>46100</v>
      </c>
      <c r="E782" s="69"/>
      <c r="F782" s="69" t="s">
        <v>26</v>
      </c>
      <c r="G782" s="65" t="s">
        <v>27</v>
      </c>
      <c r="H782" s="65" t="s">
        <v>28</v>
      </c>
      <c r="I782" s="70" t="s">
        <v>418</v>
      </c>
      <c r="J782" s="71"/>
      <c r="K782" s="71">
        <v>25000</v>
      </c>
      <c r="L782" s="72">
        <f>IFERROR(IF(G782="","",VLOOKUP($G782,[1]基础信息!$B:$C,2,FALSE)+SUMIF(G$8:G782,G782,J$8:J782)-SUMIF(G$8:G782,G782,K$8:K782)+SUMIFS([1]内部转账!$G:$G,[1]内部转账!$C:$C,"&lt;="&amp;$D782,[1]内部转账!$E:$E,$G782)-SUMIFS([1]内部转账!$G:$G,[1]内部转账!$C:$C,"&lt;="&amp;$D782,[1]内部转账!$F:$F,$G782)),"")</f>
        <v>43044.9899999993</v>
      </c>
      <c r="M782" s="64" t="s">
        <v>30</v>
      </c>
      <c r="N782" s="69" t="s">
        <v>31</v>
      </c>
      <c r="O782" s="64"/>
      <c r="P782" s="64" t="s">
        <v>31</v>
      </c>
      <c r="Q782" s="69"/>
      <c r="R782" s="69"/>
      <c r="S782" s="69"/>
    </row>
    <row r="783" s="2" customFormat="1" ht="24.95" customHeight="1" spans="1:19">
      <c r="A783" s="15"/>
      <c r="B783" s="55"/>
      <c r="C783" s="56"/>
      <c r="D783" s="68">
        <v>46100</v>
      </c>
      <c r="E783" s="69"/>
      <c r="F783" s="69" t="s">
        <v>26</v>
      </c>
      <c r="G783" s="65" t="s">
        <v>27</v>
      </c>
      <c r="H783" s="65" t="s">
        <v>62</v>
      </c>
      <c r="I783" s="70" t="s">
        <v>289</v>
      </c>
      <c r="J783" s="71"/>
      <c r="K783" s="71">
        <v>9731</v>
      </c>
      <c r="L783" s="72">
        <f>IFERROR(IF(G783="","",VLOOKUP($G783,[1]基础信息!$B:$C,2,FALSE)+SUMIF(G$8:G783,G783,J$8:J783)-SUMIF(G$8:G783,G783,K$8:K783)+SUMIFS([1]内部转账!$G:$G,[1]内部转账!$C:$C,"&lt;="&amp;$D783,[1]内部转账!$E:$E,$G783)-SUMIFS([1]内部转账!$G:$G,[1]内部转账!$C:$C,"&lt;="&amp;$D783,[1]内部转账!$F:$F,$G783)),"")</f>
        <v>33313.9899999993</v>
      </c>
      <c r="M783" s="64" t="s">
        <v>150</v>
      </c>
      <c r="N783" s="69"/>
      <c r="O783" s="64"/>
      <c r="P783" s="64" t="s">
        <v>263</v>
      </c>
      <c r="Q783" s="69"/>
      <c r="R783" s="69"/>
      <c r="S783" s="69"/>
    </row>
    <row r="784" s="2" customFormat="1" ht="24.95" customHeight="1" spans="1:19">
      <c r="A784" s="15"/>
      <c r="B784" s="55"/>
      <c r="C784" s="56"/>
      <c r="D784" s="68">
        <v>46100</v>
      </c>
      <c r="E784" s="69"/>
      <c r="F784" s="69" t="s">
        <v>26</v>
      </c>
      <c r="G784" s="65" t="s">
        <v>400</v>
      </c>
      <c r="H784" s="65" t="s">
        <v>33</v>
      </c>
      <c r="I784" s="70" t="s">
        <v>180</v>
      </c>
      <c r="J784" s="71"/>
      <c r="K784" s="71">
        <v>5000</v>
      </c>
      <c r="L784" s="72">
        <f>IFERROR(IF(G784="","",VLOOKUP($G784,[1]基础信息!$B:$C,2,FALSE)+SUMIF(G$8:G784,G784,J$8:J784)-SUMIF(G$8:G784,G784,K$8:K784)+SUMIFS([1]内部转账!$G:$G,[1]内部转账!$C:$C,"&lt;="&amp;$D784,[1]内部转账!$E:$E,$G784)-SUMIFS([1]内部转账!$G:$G,[1]内部转账!$C:$C,"&lt;="&amp;$D784,[1]内部转账!$F:$F,$G784)),"")</f>
        <v>3361.5</v>
      </c>
      <c r="M784" s="64" t="s">
        <v>35</v>
      </c>
      <c r="N784" s="69" t="s">
        <v>98</v>
      </c>
      <c r="O784" s="64"/>
      <c r="P784" s="64"/>
      <c r="Q784" s="69"/>
      <c r="R784" s="69"/>
      <c r="S784" s="69"/>
    </row>
    <row r="785" s="2" customFormat="1" ht="24.95" customHeight="1" spans="1:19">
      <c r="A785" s="15"/>
      <c r="B785" s="55"/>
      <c r="C785" s="56"/>
      <c r="D785" s="68">
        <v>46100</v>
      </c>
      <c r="E785" s="69"/>
      <c r="F785" s="69" t="s">
        <v>26</v>
      </c>
      <c r="G785" s="65" t="s">
        <v>400</v>
      </c>
      <c r="H785" s="65" t="s">
        <v>33</v>
      </c>
      <c r="I785" s="70" t="s">
        <v>419</v>
      </c>
      <c r="J785" s="71"/>
      <c r="K785" s="71">
        <v>4.5</v>
      </c>
      <c r="L785" s="72">
        <f>IFERROR(IF(G785="","",VLOOKUP($G785,[1]基础信息!$B:$C,2,FALSE)+SUMIF(G$8:G785,G785,J$8:J785)-SUMIF(G$8:G785,G785,K$8:K785)+SUMIFS([1]内部转账!$G:$G,[1]内部转账!$C:$C,"&lt;="&amp;$D785,[1]内部转账!$E:$E,$G785)-SUMIFS([1]内部转账!$G:$G,[1]内部转账!$C:$C,"&lt;="&amp;$D785,[1]内部转账!$F:$F,$G785)),"")</f>
        <v>3357</v>
      </c>
      <c r="M785" s="64" t="s">
        <v>35</v>
      </c>
      <c r="N785" s="69"/>
      <c r="O785" s="64"/>
      <c r="P785" s="64"/>
      <c r="Q785" s="69"/>
      <c r="R785" s="69"/>
      <c r="S785" s="69"/>
    </row>
    <row r="786" s="2" customFormat="1" ht="24.95" customHeight="1" spans="1:19">
      <c r="A786" s="15"/>
      <c r="B786" s="55"/>
      <c r="C786" s="56"/>
      <c r="D786" s="68">
        <v>46102</v>
      </c>
      <c r="E786" s="69"/>
      <c r="F786" s="69" t="s">
        <v>26</v>
      </c>
      <c r="G786" s="65" t="s">
        <v>27</v>
      </c>
      <c r="H786" s="65" t="s">
        <v>33</v>
      </c>
      <c r="I786" s="70" t="s">
        <v>34</v>
      </c>
      <c r="J786" s="71"/>
      <c r="K786" s="71">
        <v>-9.6</v>
      </c>
      <c r="L786" s="72">
        <f>IFERROR(IF(G786="","",VLOOKUP($G786,[1]基础信息!$B:$C,2,FALSE)+SUMIF(G$8:G786,G786,J$8:J786)-SUMIF(G$8:G786,G786,K$8:K786)+SUMIFS([1]内部转账!$G:$G,[1]内部转账!$C:$C,"&lt;="&amp;$D786,[1]内部转账!$E:$E,$G786)-SUMIFS([1]内部转账!$G:$G,[1]内部转账!$C:$C,"&lt;="&amp;$D786,[1]内部转账!$F:$F,$G786)),"")</f>
        <v>33323.5899999989</v>
      </c>
      <c r="M786" s="64" t="s">
        <v>35</v>
      </c>
      <c r="N786" s="69"/>
      <c r="O786" s="64"/>
      <c r="P786" s="64"/>
      <c r="Q786" s="69"/>
      <c r="R786" s="69"/>
      <c r="S786" s="69"/>
    </row>
    <row r="787" s="2" customFormat="1" ht="24.95" customHeight="1" spans="1:19">
      <c r="A787" s="15"/>
      <c r="B787" s="55"/>
      <c r="C787" s="56"/>
      <c r="D787" s="68">
        <v>46102</v>
      </c>
      <c r="E787" s="69"/>
      <c r="F787" s="69" t="s">
        <v>26</v>
      </c>
      <c r="G787" s="65" t="s">
        <v>400</v>
      </c>
      <c r="H787" s="65" t="s">
        <v>33</v>
      </c>
      <c r="I787" s="70" t="s">
        <v>34</v>
      </c>
      <c r="J787" s="71"/>
      <c r="K787" s="71">
        <v>-1.53</v>
      </c>
      <c r="L787" s="72">
        <f>IFERROR(IF(G787="","",VLOOKUP($G787,[1]基础信息!$B:$C,2,FALSE)+SUMIF(G$8:G787,G787,J$8:J787)-SUMIF(G$8:G787,G787,K$8:K787)+SUMIFS([1]内部转账!$G:$G,[1]内部转账!$C:$C,"&lt;="&amp;$D787,[1]内部转账!$E:$E,$G787)-SUMIFS([1]内部转账!$G:$G,[1]内部转账!$C:$C,"&lt;="&amp;$D787,[1]内部转账!$F:$F,$G787)),"")</f>
        <v>3358.53000000003</v>
      </c>
      <c r="M787" s="64" t="s">
        <v>35</v>
      </c>
      <c r="N787" s="58"/>
      <c r="O787" s="64"/>
      <c r="P787" s="64"/>
      <c r="Q787" s="69"/>
      <c r="R787" s="69"/>
      <c r="S787" s="69"/>
    </row>
    <row r="788" s="2" customFormat="1" ht="24.95" customHeight="1" spans="1:19">
      <c r="A788" s="15"/>
      <c r="B788" s="55"/>
      <c r="C788" s="56"/>
      <c r="D788" s="68">
        <v>46102</v>
      </c>
      <c r="E788" s="69"/>
      <c r="F788" s="69" t="s">
        <v>26</v>
      </c>
      <c r="G788" s="65" t="s">
        <v>287</v>
      </c>
      <c r="H788" s="65" t="s">
        <v>33</v>
      </c>
      <c r="I788" s="70" t="s">
        <v>34</v>
      </c>
      <c r="J788" s="71"/>
      <c r="K788" s="71">
        <v>-0.79</v>
      </c>
      <c r="L788" s="72">
        <f>IFERROR(IF(G788="","",VLOOKUP($G788,[1]基础信息!$B:$C,2,FALSE)+SUMIF(G$8:G788,G788,J$8:J788)-SUMIF(G$8:G788,G788,K$8:K788)+SUMIFS([1]内部转账!$G:$G,[1]内部转账!$C:$C,"&lt;="&amp;$D788,[1]内部转账!$E:$E,$G788)-SUMIFS([1]内部转账!$G:$G,[1]内部转账!$C:$C,"&lt;="&amp;$D788,[1]内部转账!$F:$F,$G788)),"")</f>
        <v>148.77999999997</v>
      </c>
      <c r="M788" s="64" t="s">
        <v>35</v>
      </c>
      <c r="N788" s="69"/>
      <c r="O788" s="64"/>
      <c r="P788" s="64"/>
      <c r="Q788" s="69"/>
      <c r="R788" s="69"/>
      <c r="S788" s="69"/>
    </row>
    <row r="789" s="2" customFormat="1" ht="24.95" customHeight="1" spans="1:19">
      <c r="A789" s="15"/>
      <c r="B789" s="55"/>
      <c r="C789" s="56"/>
      <c r="D789" s="68">
        <v>46102</v>
      </c>
      <c r="E789" s="69"/>
      <c r="F789" s="69" t="s">
        <v>26</v>
      </c>
      <c r="G789" s="65" t="s">
        <v>287</v>
      </c>
      <c r="H789" s="65" t="s">
        <v>58</v>
      </c>
      <c r="I789" s="70" t="s">
        <v>300</v>
      </c>
      <c r="J789" s="71"/>
      <c r="K789" s="71">
        <v>0.79</v>
      </c>
      <c r="L789" s="72">
        <f>IFERROR(IF(G789="","",VLOOKUP($G789,[1]基础信息!$B:$C,2,FALSE)+SUMIF(G$8:G789,G789,J$8:J789)-SUMIF(G$8:G789,G789,K$8:K789)+SUMIFS([1]内部转账!$G:$G,[1]内部转账!$C:$C,"&lt;="&amp;$D789,[1]内部转账!$E:$E,$G789)-SUMIFS([1]内部转账!$G:$G,[1]内部转账!$C:$C,"&lt;="&amp;$D789,[1]内部转账!$F:$F,$G789)),"")</f>
        <v>147.989999999991</v>
      </c>
      <c r="M789" s="64" t="s">
        <v>150</v>
      </c>
      <c r="N789" s="69"/>
      <c r="O789" s="64"/>
      <c r="P789" s="64"/>
      <c r="Q789" s="69"/>
      <c r="R789" s="69"/>
      <c r="S789" s="69"/>
    </row>
    <row r="790" s="2" customFormat="1" ht="24.95" customHeight="1" spans="1:19">
      <c r="A790" s="15"/>
      <c r="B790" s="55"/>
      <c r="C790" s="56"/>
      <c r="D790" s="68">
        <v>46105</v>
      </c>
      <c r="E790" s="69"/>
      <c r="F790" s="69" t="s">
        <v>26</v>
      </c>
      <c r="G790" s="65" t="s">
        <v>400</v>
      </c>
      <c r="H790" s="65" t="s">
        <v>33</v>
      </c>
      <c r="I790" s="70" t="s">
        <v>420</v>
      </c>
      <c r="J790" s="71"/>
      <c r="K790" s="71">
        <v>22.8</v>
      </c>
      <c r="L790" s="72">
        <f>IFERROR(IF(G790="","",VLOOKUP($G790,[1]基础信息!$B:$C,2,FALSE)+SUMIF(G$8:G790,G790,J$8:J790)-SUMIF(G$8:G790,G790,K$8:K790)+SUMIFS([1]内部转账!$G:$G,[1]内部转账!$C:$C,"&lt;="&amp;$D790,[1]内部转账!$E:$E,$G790)-SUMIFS([1]内部转账!$G:$G,[1]内部转账!$C:$C,"&lt;="&amp;$D790,[1]内部转账!$F:$F,$G790)),"")</f>
        <v>3335.73000000004</v>
      </c>
      <c r="M790" s="64" t="s">
        <v>35</v>
      </c>
      <c r="N790" s="69"/>
      <c r="O790" s="64"/>
      <c r="P790" s="64"/>
      <c r="Q790" s="69"/>
      <c r="R790" s="69"/>
      <c r="S790" s="69"/>
    </row>
    <row r="791" s="2" customFormat="1" ht="24.95" customHeight="1" spans="1:19">
      <c r="A791" s="15"/>
      <c r="B791" s="55"/>
      <c r="C791" s="56"/>
      <c r="D791" s="68">
        <v>46107</v>
      </c>
      <c r="E791" s="69"/>
      <c r="F791" s="69" t="s">
        <v>26</v>
      </c>
      <c r="G791" s="65" t="s">
        <v>27</v>
      </c>
      <c r="H791" s="65" t="s">
        <v>83</v>
      </c>
      <c r="I791" s="70" t="s">
        <v>421</v>
      </c>
      <c r="J791" s="71"/>
      <c r="K791" s="71">
        <v>15.27</v>
      </c>
      <c r="L791" s="72">
        <f>IFERROR(IF(G791="","",VLOOKUP($G791,[1]基础信息!$B:$C,2,FALSE)+SUMIF(G$8:G791,G791,J$8:J791)-SUMIF(G$8:G791,G791,K$8:K791)+SUMIFS([1]内部转账!$G:$G,[1]内部转账!$C:$C,"&lt;="&amp;$D791,[1]内部转账!$E:$E,$G791)-SUMIFS([1]内部转账!$G:$G,[1]内部转账!$C:$C,"&lt;="&amp;$D791,[1]内部转账!$F:$F,$G791)),"")</f>
        <v>33308.3199999994</v>
      </c>
      <c r="M791" s="64" t="s">
        <v>35</v>
      </c>
      <c r="N791" s="69" t="s">
        <v>422</v>
      </c>
      <c r="O791" s="64"/>
      <c r="P791" s="64" t="s">
        <v>423</v>
      </c>
      <c r="Q791" s="69"/>
      <c r="R791" s="69"/>
      <c r="S791" s="69"/>
    </row>
    <row r="792" s="2" customFormat="1" ht="24.95" customHeight="1" spans="1:19">
      <c r="A792" s="15"/>
      <c r="B792" s="55"/>
      <c r="C792" s="56"/>
      <c r="D792" s="68">
        <v>46107</v>
      </c>
      <c r="E792" s="69"/>
      <c r="F792" s="69" t="s">
        <v>26</v>
      </c>
      <c r="G792" s="65" t="s">
        <v>27</v>
      </c>
      <c r="H792" s="65" t="s">
        <v>83</v>
      </c>
      <c r="I792" s="70" t="s">
        <v>421</v>
      </c>
      <c r="J792" s="71"/>
      <c r="K792" s="71">
        <v>1019.48</v>
      </c>
      <c r="L792" s="72">
        <f>IFERROR(IF(G792="","",VLOOKUP($G792,[1]基础信息!$B:$C,2,FALSE)+SUMIF(G$8:G792,G792,J$8:J792)-SUMIF(G$8:G792,G792,K$8:K792)+SUMIFS([1]内部转账!$G:$G,[1]内部转账!$C:$C,"&lt;="&amp;$D792,[1]内部转账!$E:$E,$G792)-SUMIFS([1]内部转账!$G:$G,[1]内部转账!$C:$C,"&lt;="&amp;$D792,[1]内部转账!$F:$F,$G792)),"")</f>
        <v>32288.8399999989</v>
      </c>
      <c r="M792" s="64" t="s">
        <v>35</v>
      </c>
      <c r="N792" s="69" t="s">
        <v>422</v>
      </c>
      <c r="O792" s="64"/>
      <c r="P792" s="64" t="s">
        <v>423</v>
      </c>
      <c r="Q792" s="69"/>
      <c r="R792" s="69"/>
      <c r="S792" s="69"/>
    </row>
    <row r="793" s="2" customFormat="1" ht="24.95" customHeight="1" spans="1:19">
      <c r="A793" s="15"/>
      <c r="B793" s="55"/>
      <c r="C793" s="56"/>
      <c r="D793" s="68">
        <v>46107</v>
      </c>
      <c r="E793" s="69"/>
      <c r="F793" s="69" t="s">
        <v>26</v>
      </c>
      <c r="G793" s="65" t="s">
        <v>27</v>
      </c>
      <c r="H793" s="65" t="s">
        <v>62</v>
      </c>
      <c r="I793" s="70" t="s">
        <v>289</v>
      </c>
      <c r="J793" s="71"/>
      <c r="K793" s="71">
        <v>812</v>
      </c>
      <c r="L793" s="72">
        <f>IFERROR(IF(G793="","",VLOOKUP($G793,[1]基础信息!$B:$C,2,FALSE)+SUMIF(G$8:G793,G793,J$8:J793)-SUMIF(G$8:G793,G793,K$8:K793)+SUMIFS([1]内部转账!$G:$G,[1]内部转账!$C:$C,"&lt;="&amp;$D793,[1]内部转账!$E:$E,$G793)-SUMIFS([1]内部转账!$G:$G,[1]内部转账!$C:$C,"&lt;="&amp;$D793,[1]内部转账!$F:$F,$G793)),"")</f>
        <v>31476.8399999989</v>
      </c>
      <c r="M793" s="64" t="s">
        <v>150</v>
      </c>
      <c r="N793" s="69"/>
      <c r="O793" s="64"/>
      <c r="P793" s="64" t="s">
        <v>263</v>
      </c>
      <c r="Q793" s="69"/>
      <c r="R793" s="69"/>
      <c r="S793" s="69"/>
    </row>
    <row r="794" s="2" customFormat="1" ht="24.95" customHeight="1" spans="1:19">
      <c r="A794" s="15"/>
      <c r="B794" s="55"/>
      <c r="C794" s="56"/>
      <c r="D794" s="68">
        <v>46107</v>
      </c>
      <c r="E794" s="69"/>
      <c r="F794" s="69" t="s">
        <v>26</v>
      </c>
      <c r="G794" s="65" t="s">
        <v>27</v>
      </c>
      <c r="H794" s="65" t="s">
        <v>33</v>
      </c>
      <c r="I794" s="70" t="s">
        <v>424</v>
      </c>
      <c r="J794" s="71"/>
      <c r="K794" s="71">
        <v>5000</v>
      </c>
      <c r="L794" s="72">
        <f>IFERROR(IF(G794="","",VLOOKUP($G794,[1]基础信息!$B:$C,2,FALSE)+SUMIF(G$8:G794,G794,J$8:J794)-SUMIF(G$8:G794,G794,K$8:K794)+SUMIFS([1]内部转账!$G:$G,[1]内部转账!$C:$C,"&lt;="&amp;$D794,[1]内部转账!$E:$E,$G794)-SUMIFS([1]内部转账!$G:$G,[1]内部转账!$C:$C,"&lt;="&amp;$D794,[1]内部转账!$F:$F,$G794)),"")</f>
        <v>26476.8399999989</v>
      </c>
      <c r="M794" s="64" t="s">
        <v>35</v>
      </c>
      <c r="N794" s="69"/>
      <c r="O794" s="64"/>
      <c r="P794" s="64" t="s">
        <v>425</v>
      </c>
      <c r="Q794" s="69"/>
      <c r="R794" s="69"/>
      <c r="S794" s="69"/>
    </row>
    <row r="795" s="2" customFormat="1" ht="24.95" customHeight="1" spans="1:19">
      <c r="A795" s="15"/>
      <c r="B795" s="55"/>
      <c r="C795" s="56"/>
      <c r="D795" s="68">
        <v>46112</v>
      </c>
      <c r="E795" s="69"/>
      <c r="F795" s="69" t="s">
        <v>42</v>
      </c>
      <c r="G795" s="65" t="s">
        <v>27</v>
      </c>
      <c r="H795" s="65" t="s">
        <v>43</v>
      </c>
      <c r="I795" s="70" t="s">
        <v>426</v>
      </c>
      <c r="J795" s="71">
        <v>113800</v>
      </c>
      <c r="K795" s="71"/>
      <c r="L795" s="72">
        <f>IFERROR(IF(G795="","",VLOOKUP($G795,[1]基础信息!$B:$C,2,FALSE)+SUMIF(G$8:G795,G795,J$8:J795)-SUMIF(G$8:G795,G795,K$8:K795)+SUMIFS([1]内部转账!$G:$G,[1]内部转账!$C:$C,"&lt;="&amp;$D795,[1]内部转账!$E:$E,$G795)-SUMIFS([1]内部转账!$G:$G,[1]内部转账!$C:$C,"&lt;="&amp;$D795,[1]内部转账!$F:$F,$G795)),"")</f>
        <v>140276.839999999</v>
      </c>
      <c r="M795" s="64" t="s">
        <v>427</v>
      </c>
      <c r="N795" s="69"/>
      <c r="O795" s="64" t="s">
        <v>428</v>
      </c>
      <c r="P795" s="64"/>
      <c r="Q795" s="69"/>
      <c r="R795" s="69"/>
      <c r="S795" s="69"/>
    </row>
    <row r="796" s="2" customFormat="1" ht="24.95" customHeight="1" spans="1:19">
      <c r="A796" s="15"/>
      <c r="B796" s="55"/>
      <c r="C796" s="56"/>
      <c r="D796" s="68">
        <v>46112</v>
      </c>
      <c r="E796" s="69"/>
      <c r="F796" s="69" t="s">
        <v>26</v>
      </c>
      <c r="G796" s="65" t="s">
        <v>27</v>
      </c>
      <c r="H796" s="65" t="s">
        <v>62</v>
      </c>
      <c r="I796" s="70" t="s">
        <v>429</v>
      </c>
      <c r="J796" s="71"/>
      <c r="K796" s="71">
        <v>40000</v>
      </c>
      <c r="L796" s="72">
        <f>IFERROR(IF(G796="","",VLOOKUP($G796,[1]基础信息!$B:$C,2,FALSE)+SUMIF(G$8:G796,G796,J$8:J796)-SUMIF(G$8:G796,G796,K$8:K796)+SUMIFS([1]内部转账!$G:$G,[1]内部转账!$C:$C,"&lt;="&amp;$D796,[1]内部转账!$E:$E,$G796)-SUMIFS([1]内部转账!$G:$G,[1]内部转账!$C:$C,"&lt;="&amp;$D796,[1]内部转账!$F:$F,$G796)),"")</f>
        <v>100276.839999999</v>
      </c>
      <c r="M796" s="64" t="s">
        <v>150</v>
      </c>
      <c r="N796" s="69"/>
      <c r="O796" s="64"/>
      <c r="P796" s="64" t="s">
        <v>430</v>
      </c>
      <c r="Q796" s="69"/>
      <c r="R796" s="69"/>
      <c r="S796" s="69"/>
    </row>
    <row r="797" s="2" customFormat="1" ht="24.95" customHeight="1" spans="1:19">
      <c r="A797" s="15"/>
      <c r="B797" s="55"/>
      <c r="C797" s="56"/>
      <c r="D797" s="68">
        <v>46112</v>
      </c>
      <c r="E797" s="69"/>
      <c r="F797" s="69" t="s">
        <v>26</v>
      </c>
      <c r="G797" s="65" t="s">
        <v>27</v>
      </c>
      <c r="H797" s="65" t="s">
        <v>62</v>
      </c>
      <c r="I797" s="70" t="s">
        <v>429</v>
      </c>
      <c r="J797" s="71"/>
      <c r="K797" s="71">
        <v>-40000</v>
      </c>
      <c r="L797" s="72">
        <f>IFERROR(IF(G797="","",VLOOKUP($G797,[1]基础信息!$B:$C,2,FALSE)+SUMIF(G$8:G797,G797,J$8:J797)-SUMIF(G$8:G797,G797,K$8:K797)+SUMIFS([1]内部转账!$G:$G,[1]内部转账!$C:$C,"&lt;="&amp;$D797,[1]内部转账!$E:$E,$G797)-SUMIFS([1]内部转账!$G:$G,[1]内部转账!$C:$C,"&lt;="&amp;$D797,[1]内部转账!$F:$F,$G797)),"")</f>
        <v>140276.839999999</v>
      </c>
      <c r="M797" s="64" t="s">
        <v>150</v>
      </c>
      <c r="N797" s="69"/>
      <c r="O797" s="64"/>
      <c r="P797" s="64" t="s">
        <v>430</v>
      </c>
      <c r="Q797" s="69"/>
      <c r="R797" s="69"/>
      <c r="S797" s="69"/>
    </row>
    <row r="798" s="2" customFormat="1" ht="24.95" customHeight="1" spans="1:19">
      <c r="A798" s="15"/>
      <c r="B798" s="55"/>
      <c r="C798" s="56"/>
      <c r="D798" s="68">
        <v>46113</v>
      </c>
      <c r="E798" s="69"/>
      <c r="F798" s="69" t="s">
        <v>26</v>
      </c>
      <c r="G798" s="65" t="s">
        <v>27</v>
      </c>
      <c r="H798" s="65" t="s">
        <v>62</v>
      </c>
      <c r="I798" s="70" t="s">
        <v>429</v>
      </c>
      <c r="J798" s="71"/>
      <c r="K798" s="71">
        <v>40000</v>
      </c>
      <c r="L798" s="72">
        <f>IFERROR(IF(G798="","",VLOOKUP($G798,[1]基础信息!$B:$C,2,FALSE)+SUMIF(G$8:G798,G798,J$8:J798)-SUMIF(G$8:G798,G798,K$8:K798)+SUMIFS([1]内部转账!$G:$G,[1]内部转账!$C:$C,"&lt;="&amp;$D798,[1]内部转账!$E:$E,$G798)-SUMIFS([1]内部转账!$G:$G,[1]内部转账!$C:$C,"&lt;="&amp;$D798,[1]内部转账!$F:$F,$G798)),"")</f>
        <v>100276.839999999</v>
      </c>
      <c r="M798" s="64" t="s">
        <v>150</v>
      </c>
      <c r="N798" s="69"/>
      <c r="O798" s="64"/>
      <c r="P798" s="64" t="s">
        <v>431</v>
      </c>
      <c r="Q798" s="69"/>
      <c r="R798" s="69"/>
      <c r="S798" s="69"/>
    </row>
    <row r="799" s="2" customFormat="1" ht="24.95" customHeight="1" spans="1:19">
      <c r="A799" s="15"/>
      <c r="B799" s="55"/>
      <c r="C799" s="56"/>
      <c r="D799" s="68">
        <v>46118</v>
      </c>
      <c r="E799" s="69"/>
      <c r="F799" s="69" t="s">
        <v>26</v>
      </c>
      <c r="G799" s="65" t="s">
        <v>27</v>
      </c>
      <c r="H799" s="65" t="s">
        <v>28</v>
      </c>
      <c r="I799" s="70" t="s">
        <v>432</v>
      </c>
      <c r="J799" s="71"/>
      <c r="K799" s="71">
        <v>50000</v>
      </c>
      <c r="L799" s="72">
        <f>IFERROR(IF(G799="","",VLOOKUP($G799,[1]基础信息!$B:$C,2,FALSE)+SUMIF(G$8:G799,G799,J$8:J799)-SUMIF(G$8:G799,G799,K$8:K799)+SUMIFS([1]内部转账!$G:$G,[1]内部转账!$C:$C,"&lt;="&amp;$D799,[1]内部转账!$E:$E,$G799)-SUMIFS([1]内部转账!$G:$G,[1]内部转账!$C:$C,"&lt;="&amp;$D799,[1]内部转账!$F:$F,$G799)),"")</f>
        <v>50276.8399999989</v>
      </c>
      <c r="M799" s="64" t="s">
        <v>30</v>
      </c>
      <c r="N799" s="69" t="s">
        <v>31</v>
      </c>
      <c r="O799" s="64"/>
      <c r="P799" s="64" t="s">
        <v>31</v>
      </c>
      <c r="Q799" s="69"/>
      <c r="R799" s="69"/>
      <c r="S799" s="69"/>
    </row>
    <row r="800" s="2" customFormat="1" ht="24.95" customHeight="1" spans="1:19">
      <c r="A800" s="15"/>
      <c r="B800" s="55"/>
      <c r="C800" s="56"/>
      <c r="D800" s="68">
        <v>46123</v>
      </c>
      <c r="E800" s="69"/>
      <c r="F800" s="69" t="s">
        <v>26</v>
      </c>
      <c r="G800" s="65" t="s">
        <v>27</v>
      </c>
      <c r="H800" s="65" t="s">
        <v>138</v>
      </c>
      <c r="I800" s="70" t="s">
        <v>403</v>
      </c>
      <c r="J800" s="71"/>
      <c r="K800" s="71">
        <v>21658</v>
      </c>
      <c r="L800" s="72">
        <f>IFERROR(IF(G800="","",VLOOKUP($G800,[1]基础信息!$B:$C,2,FALSE)+SUMIF(G$8:G800,G800,J$8:J800)-SUMIF(G$8:G800,G800,K$8:K800)+SUMIFS([1]内部转账!$G:$G,[1]内部转账!$C:$C,"&lt;="&amp;$D800,[1]内部转账!$E:$E,$G800)-SUMIFS([1]内部转账!$G:$G,[1]内部转账!$C:$C,"&lt;="&amp;$D800,[1]内部转账!$F:$F,$G800)),"")</f>
        <v>28618.8399999989</v>
      </c>
      <c r="M800" s="64" t="s">
        <v>150</v>
      </c>
      <c r="N800" s="69"/>
      <c r="O800" s="64"/>
      <c r="P800" s="64" t="s">
        <v>216</v>
      </c>
      <c r="Q800" s="69"/>
      <c r="R800" s="69"/>
      <c r="S800" s="69"/>
    </row>
    <row r="801" s="2" customFormat="1" ht="24.95" customHeight="1" spans="1:19">
      <c r="A801" s="15"/>
      <c r="B801" s="55"/>
      <c r="C801" s="56"/>
      <c r="D801" s="68">
        <v>46123</v>
      </c>
      <c r="E801" s="69"/>
      <c r="F801" s="69" t="s">
        <v>26</v>
      </c>
      <c r="G801" s="65" t="s">
        <v>27</v>
      </c>
      <c r="H801" s="65" t="s">
        <v>62</v>
      </c>
      <c r="I801" s="70" t="s">
        <v>289</v>
      </c>
      <c r="J801" s="71"/>
      <c r="K801" s="71">
        <v>4666</v>
      </c>
      <c r="L801" s="72">
        <f>IFERROR(IF(G801="","",VLOOKUP($G801,[1]基础信息!$B:$C,2,FALSE)+SUMIF(G$8:G801,G801,J$8:J801)-SUMIF(G$8:G801,G801,K$8:K801)+SUMIFS([1]内部转账!$G:$G,[1]内部转账!$C:$C,"&lt;="&amp;$D801,[1]内部转账!$E:$E,$G801)-SUMIFS([1]内部转账!$G:$G,[1]内部转账!$C:$C,"&lt;="&amp;$D801,[1]内部转账!$F:$F,$G801)),"")</f>
        <v>23952.8399999989</v>
      </c>
      <c r="M801" s="64" t="s">
        <v>150</v>
      </c>
      <c r="N801" s="69"/>
      <c r="O801" s="64"/>
      <c r="P801" s="64" t="s">
        <v>263</v>
      </c>
      <c r="Q801" s="69"/>
      <c r="R801" s="69"/>
      <c r="S801" s="69"/>
    </row>
    <row r="802" s="2" customFormat="1" ht="24.95" customHeight="1" spans="1:19">
      <c r="A802" s="15"/>
      <c r="B802" s="55"/>
      <c r="C802" s="56"/>
      <c r="D802" s="68">
        <v>46126</v>
      </c>
      <c r="E802" s="69"/>
      <c r="F802" s="69" t="s">
        <v>26</v>
      </c>
      <c r="G802" s="65" t="s">
        <v>27</v>
      </c>
      <c r="H802" s="65" t="s">
        <v>33</v>
      </c>
      <c r="I802" s="70" t="s">
        <v>424</v>
      </c>
      <c r="J802" s="71"/>
      <c r="K802" s="71">
        <v>5300</v>
      </c>
      <c r="L802" s="72">
        <f>IFERROR(IF(G802="","",VLOOKUP($G802,[1]基础信息!$B:$C,2,FALSE)+SUMIF(G$8:G802,G802,J$8:J802)-SUMIF(G$8:G802,G802,K$8:K802)+SUMIFS([1]内部转账!$G:$G,[1]内部转账!$C:$C,"&lt;="&amp;$D802,[1]内部转账!$E:$E,$G802)-SUMIFS([1]内部转账!$G:$G,[1]内部转账!$C:$C,"&lt;="&amp;$D802,[1]内部转账!$F:$F,$G802)),"")</f>
        <v>18652.8399999989</v>
      </c>
      <c r="M802" s="64" t="s">
        <v>35</v>
      </c>
      <c r="N802" s="69"/>
      <c r="O802" s="64"/>
      <c r="P802" s="64" t="s">
        <v>425</v>
      </c>
      <c r="Q802" s="69"/>
      <c r="R802" s="69"/>
      <c r="S802" s="69"/>
    </row>
    <row r="803" s="2" customFormat="1" ht="24.95" customHeight="1" spans="1:19">
      <c r="A803" s="15"/>
      <c r="B803" s="55"/>
      <c r="C803" s="56"/>
      <c r="D803" s="68">
        <v>46127</v>
      </c>
      <c r="E803" s="69"/>
      <c r="F803" s="69" t="s">
        <v>26</v>
      </c>
      <c r="G803" s="65" t="s">
        <v>27</v>
      </c>
      <c r="H803" s="65" t="s">
        <v>138</v>
      </c>
      <c r="I803" s="70" t="s">
        <v>433</v>
      </c>
      <c r="J803" s="71"/>
      <c r="K803" s="71">
        <v>11000</v>
      </c>
      <c r="L803" s="72">
        <f>IFERROR(IF(G803="","",VLOOKUP($G803,[1]基础信息!$B:$C,2,FALSE)+SUMIF(G$8:G803,G803,J$8:J803)-SUMIF(G$8:G803,G803,K$8:K803)+SUMIFS([1]内部转账!$G:$G,[1]内部转账!$C:$C,"&lt;="&amp;$D803,[1]内部转账!$E:$E,$G803)-SUMIFS([1]内部转账!$G:$G,[1]内部转账!$C:$C,"&lt;="&amp;$D803,[1]内部转账!$F:$F,$G803)),"")</f>
        <v>7652.83999999892</v>
      </c>
      <c r="M803" s="64" t="s">
        <v>150</v>
      </c>
      <c r="N803" s="69"/>
      <c r="O803" s="64"/>
      <c r="P803" s="64" t="s">
        <v>239</v>
      </c>
      <c r="Q803" s="69"/>
      <c r="R803" s="69"/>
      <c r="S803" s="69"/>
    </row>
    <row r="804" s="2" customFormat="1" ht="24.95" customHeight="1" spans="1:19">
      <c r="A804" s="15"/>
      <c r="B804" s="55"/>
      <c r="C804" s="56"/>
      <c r="D804" s="68">
        <v>46129</v>
      </c>
      <c r="E804" s="69"/>
      <c r="F804" s="69" t="s">
        <v>26</v>
      </c>
      <c r="G804" s="65" t="s">
        <v>27</v>
      </c>
      <c r="H804" s="65" t="s">
        <v>138</v>
      </c>
      <c r="I804" s="70" t="s">
        <v>219</v>
      </c>
      <c r="J804" s="71"/>
      <c r="K804" s="71">
        <v>6000</v>
      </c>
      <c r="L804" s="72">
        <f>IFERROR(IF(G804="","",VLOOKUP($G804,[1]基础信息!$B:$C,2,FALSE)+SUMIF(G$8:G804,G804,J$8:J804)-SUMIF(G$8:G804,G804,K$8:K804)+SUMIFS([1]内部转账!$G:$G,[1]内部转账!$C:$C,"&lt;="&amp;$D804,[1]内部转账!$E:$E,$G804)-SUMIFS([1]内部转账!$G:$G,[1]内部转账!$C:$C,"&lt;="&amp;$D804,[1]内部转账!$F:$F,$G804)),"")</f>
        <v>1652.83999999892</v>
      </c>
      <c r="M804" s="64" t="s">
        <v>150</v>
      </c>
      <c r="N804" s="69"/>
      <c r="O804" s="64"/>
      <c r="P804" s="64" t="s">
        <v>220</v>
      </c>
      <c r="Q804" s="69"/>
      <c r="R804" s="69"/>
      <c r="S804" s="69"/>
    </row>
    <row r="805" s="2" customFormat="1" ht="24.95" customHeight="1" spans="1:19">
      <c r="A805" s="15"/>
      <c r="B805" s="55"/>
      <c r="C805" s="56"/>
      <c r="D805" s="68">
        <v>46132</v>
      </c>
      <c r="E805" s="69"/>
      <c r="F805" s="69" t="s">
        <v>26</v>
      </c>
      <c r="G805" s="65" t="s">
        <v>27</v>
      </c>
      <c r="H805" s="65" t="s">
        <v>83</v>
      </c>
      <c r="I805" s="70" t="s">
        <v>434</v>
      </c>
      <c r="J805" s="71"/>
      <c r="K805" s="71">
        <v>248.26</v>
      </c>
      <c r="L805" s="72">
        <f>IFERROR(IF(G805="","",VLOOKUP($G805,[1]基础信息!$B:$C,2,FALSE)+SUMIF(G$8:G805,G805,J$8:J805)-SUMIF(G$8:G805,G805,K$8:K805)+SUMIFS([1]内部转账!$G:$G,[1]内部转账!$C:$C,"&lt;="&amp;$D805,[1]内部转账!$E:$E,$G805)-SUMIFS([1]内部转账!$G:$G,[1]内部转账!$C:$C,"&lt;="&amp;$D805,[1]内部转账!$F:$F,$G805)),"")</f>
        <v>1404.57999999914</v>
      </c>
      <c r="M805" s="64" t="s">
        <v>35</v>
      </c>
      <c r="N805" s="69"/>
      <c r="O805" s="64"/>
      <c r="P805" s="64"/>
      <c r="Q805" s="69"/>
      <c r="R805" s="69"/>
      <c r="S805" s="69"/>
    </row>
    <row r="806" s="2" customFormat="1" ht="24.95" customHeight="1" spans="1:19">
      <c r="A806" s="15"/>
      <c r="B806" s="55"/>
      <c r="C806" s="56"/>
      <c r="D806" s="68">
        <v>46133</v>
      </c>
      <c r="E806" s="69"/>
      <c r="F806" s="69" t="s">
        <v>26</v>
      </c>
      <c r="G806" s="65" t="s">
        <v>400</v>
      </c>
      <c r="H806" s="65" t="s">
        <v>435</v>
      </c>
      <c r="I806" s="70" t="s">
        <v>436</v>
      </c>
      <c r="J806" s="71"/>
      <c r="K806" s="71">
        <v>1474.08</v>
      </c>
      <c r="L806" s="72">
        <f>IFERROR(IF(G806="","",VLOOKUP($G806,[1]基础信息!$B:$C,2,FALSE)+SUMIF(G$8:G806,G806,J$8:J806)-SUMIF(G$8:G806,G806,K$8:K806)+SUMIFS([1]内部转账!$G:$G,[1]内部转账!$C:$C,"&lt;="&amp;$D806,[1]内部转账!$E:$E,$G806)-SUMIFS([1]内部转账!$G:$G,[1]内部转账!$C:$C,"&lt;="&amp;$D806,[1]内部转账!$F:$F,$G806)),"")</f>
        <v>1861.65000000002</v>
      </c>
      <c r="M806" s="64" t="s">
        <v>402</v>
      </c>
      <c r="N806" s="69"/>
      <c r="O806" s="64"/>
      <c r="P806" s="64"/>
      <c r="Q806" s="69"/>
      <c r="R806" s="69"/>
      <c r="S806" s="69"/>
    </row>
    <row r="807" s="2" customFormat="1" ht="24.95" customHeight="1" spans="1:19">
      <c r="A807" s="15"/>
      <c r="B807" s="55"/>
      <c r="C807" s="56"/>
      <c r="D807" s="68">
        <v>46136</v>
      </c>
      <c r="E807" s="69"/>
      <c r="F807" s="69" t="s">
        <v>26</v>
      </c>
      <c r="G807" s="65" t="s">
        <v>400</v>
      </c>
      <c r="H807" s="65" t="s">
        <v>33</v>
      </c>
      <c r="I807" s="70" t="s">
        <v>437</v>
      </c>
      <c r="J807" s="71"/>
      <c r="K807" s="71">
        <v>150</v>
      </c>
      <c r="L807" s="72">
        <f>IFERROR(IF(G807="","",VLOOKUP($G807,[1]基础信息!$B:$C,2,FALSE)+SUMIF(G$8:G807,G807,J$8:J807)-SUMIF(G$8:G807,G807,K$8:K807)+SUMIFS([1]内部转账!$G:$G,[1]内部转账!$C:$C,"&lt;="&amp;$D807,[1]内部转账!$E:$E,$G807)-SUMIFS([1]内部转账!$G:$G,[1]内部转账!$C:$C,"&lt;="&amp;$D807,[1]内部转账!$F:$F,$G807)),"")</f>
        <v>1711.65000000002</v>
      </c>
      <c r="M807" s="64" t="s">
        <v>35</v>
      </c>
      <c r="N807" s="69"/>
      <c r="O807" s="64"/>
      <c r="P807" s="64"/>
      <c r="Q807" s="69"/>
      <c r="R807" s="69"/>
      <c r="S807" s="69"/>
    </row>
    <row r="808" s="2" customFormat="1" ht="24.95" customHeight="1" spans="1:19">
      <c r="A808" s="15"/>
      <c r="B808" s="55"/>
      <c r="C808" s="56"/>
      <c r="D808" s="68">
        <v>46136</v>
      </c>
      <c r="E808" s="69"/>
      <c r="F808" s="69" t="s">
        <v>26</v>
      </c>
      <c r="G808" s="65" t="s">
        <v>400</v>
      </c>
      <c r="H808" s="65" t="s">
        <v>33</v>
      </c>
      <c r="I808" s="70" t="s">
        <v>438</v>
      </c>
      <c r="J808" s="71"/>
      <c r="K808" s="71">
        <v>50</v>
      </c>
      <c r="L808" s="72">
        <f>IFERROR(IF(G808="","",VLOOKUP($G808,[1]基础信息!$B:$C,2,FALSE)+SUMIF(G$8:G808,G808,J$8:J808)-SUMIF(G$8:G808,G808,K$8:K808)+SUMIFS([1]内部转账!$G:$G,[1]内部转账!$C:$C,"&lt;="&amp;$D808,[1]内部转账!$E:$E,$G808)-SUMIFS([1]内部转账!$G:$G,[1]内部转账!$C:$C,"&lt;="&amp;$D808,[1]内部转账!$F:$F,$G808)),"")</f>
        <v>1661.65000000002</v>
      </c>
      <c r="M808" s="64" t="s">
        <v>35</v>
      </c>
      <c r="N808" s="69"/>
      <c r="O808" s="64"/>
      <c r="P808" s="64"/>
      <c r="Q808" s="69"/>
      <c r="R808" s="69"/>
      <c r="S808" s="69"/>
    </row>
    <row r="809" s="2" customFormat="1" ht="24.95" customHeight="1" spans="1:19">
      <c r="A809" s="15"/>
      <c r="B809" s="55"/>
      <c r="C809" s="56"/>
      <c r="D809" s="68">
        <v>46139</v>
      </c>
      <c r="E809" s="69"/>
      <c r="F809" s="69" t="s">
        <v>26</v>
      </c>
      <c r="G809" s="65" t="s">
        <v>27</v>
      </c>
      <c r="H809" s="65" t="s">
        <v>28</v>
      </c>
      <c r="I809" s="70" t="s">
        <v>29</v>
      </c>
      <c r="J809" s="71"/>
      <c r="K809" s="71">
        <v>-2000</v>
      </c>
      <c r="L809" s="72">
        <f>IFERROR(IF(G809="","",VLOOKUP($G809,[1]基础信息!$B:$C,2,FALSE)+SUMIF(G$8:G809,G809,J$8:J809)-SUMIF(G$8:G809,G809,K$8:K809)+SUMIFS([1]内部转账!$G:$G,[1]内部转账!$C:$C,"&lt;="&amp;$D809,[1]内部转账!$E:$E,$G809)-SUMIFS([1]内部转账!$G:$G,[1]内部转账!$C:$C,"&lt;="&amp;$D809,[1]内部转账!$F:$F,$G809)),"")</f>
        <v>3404.57999999914</v>
      </c>
      <c r="M809" s="64" t="s">
        <v>30</v>
      </c>
      <c r="N809" s="69" t="s">
        <v>31</v>
      </c>
      <c r="O809" s="64"/>
      <c r="P809" s="64" t="s">
        <v>31</v>
      </c>
      <c r="Q809" s="69"/>
      <c r="R809" s="69"/>
      <c r="S809" s="69"/>
    </row>
    <row r="810" s="2" customFormat="1" ht="24.95" customHeight="1" spans="1:19">
      <c r="A810" s="15"/>
      <c r="B810" s="55"/>
      <c r="C810" s="56"/>
      <c r="D810" s="68">
        <v>46139</v>
      </c>
      <c r="E810" s="69"/>
      <c r="F810" s="69" t="s">
        <v>26</v>
      </c>
      <c r="G810" s="65" t="s">
        <v>27</v>
      </c>
      <c r="H810" s="65" t="s">
        <v>83</v>
      </c>
      <c r="I810" s="70" t="s">
        <v>421</v>
      </c>
      <c r="J810" s="71"/>
      <c r="K810" s="71">
        <v>1019.48</v>
      </c>
      <c r="L810" s="72">
        <f>IFERROR(IF(G810="","",VLOOKUP($G810,[1]基础信息!$B:$C,2,FALSE)+SUMIF(G$8:G810,G810,J$8:J810)-SUMIF(G$8:G810,G810,K$8:K810)+SUMIFS([1]内部转账!$G:$G,[1]内部转账!$C:$C,"&lt;="&amp;$D810,[1]内部转账!$E:$E,$G810)-SUMIFS([1]内部转账!$G:$G,[1]内部转账!$C:$C,"&lt;="&amp;$D810,[1]内部转账!$F:$F,$G810)),"")</f>
        <v>2385.0999999987</v>
      </c>
      <c r="M810" s="64" t="s">
        <v>35</v>
      </c>
      <c r="N810" s="69" t="s">
        <v>422</v>
      </c>
      <c r="O810" s="64"/>
      <c r="P810" s="64" t="s">
        <v>423</v>
      </c>
      <c r="Q810" s="69"/>
      <c r="R810" s="69"/>
      <c r="S810" s="69"/>
    </row>
    <row r="811" s="2" customFormat="1" ht="24.95" customHeight="1" spans="1:19">
      <c r="A811" s="15"/>
      <c r="B811" s="55"/>
      <c r="C811" s="56"/>
      <c r="D811" s="68">
        <v>46139</v>
      </c>
      <c r="E811" s="69"/>
      <c r="F811" s="69" t="s">
        <v>26</v>
      </c>
      <c r="G811" s="65" t="s">
        <v>27</v>
      </c>
      <c r="H811" s="65" t="s">
        <v>439</v>
      </c>
      <c r="I811" s="70" t="s">
        <v>440</v>
      </c>
      <c r="J811" s="71"/>
      <c r="K811" s="71">
        <v>1019.48</v>
      </c>
      <c r="L811" s="72">
        <f>IFERROR(IF(G811="","",VLOOKUP($G811,[1]基础信息!$B:$C,2,FALSE)+SUMIF(G$8:G811,G811,J$8:J811)-SUMIF(G$8:G811,G811,K$8:K811)+SUMIFS([1]内部转账!$G:$G,[1]内部转账!$C:$C,"&lt;="&amp;$D811,[1]内部转账!$E:$E,$G811)-SUMIFS([1]内部转账!$G:$G,[1]内部转账!$C:$C,"&lt;="&amp;$D811,[1]内部转账!$F:$F,$G811)),"")</f>
        <v>1365.61999999825</v>
      </c>
      <c r="M811" s="64" t="s">
        <v>441</v>
      </c>
      <c r="N811" s="69"/>
      <c r="O811" s="64"/>
      <c r="P811" s="64" t="s">
        <v>423</v>
      </c>
      <c r="Q811" s="69"/>
      <c r="R811" s="69"/>
      <c r="S811" s="69"/>
    </row>
    <row r="812" s="2" customFormat="1" ht="24.95" customHeight="1" spans="1:19">
      <c r="A812" s="15"/>
      <c r="B812" s="55"/>
      <c r="C812" s="56"/>
      <c r="D812" s="68">
        <v>46141</v>
      </c>
      <c r="E812" s="69"/>
      <c r="F812" s="69" t="s">
        <v>42</v>
      </c>
      <c r="G812" s="65" t="s">
        <v>27</v>
      </c>
      <c r="H812" s="65" t="s">
        <v>43</v>
      </c>
      <c r="I812" s="70" t="s">
        <v>342</v>
      </c>
      <c r="J812" s="71">
        <v>98825.9</v>
      </c>
      <c r="K812" s="71"/>
      <c r="L812" s="72">
        <f>IFERROR(IF(G812="","",VLOOKUP($G812,[1]基础信息!$B:$C,2,FALSE)+SUMIF(G$8:G812,G812,J$8:J812)-SUMIF(G$8:G812,G812,K$8:K812)+SUMIFS([1]内部转账!$G:$G,[1]内部转账!$C:$C,"&lt;="&amp;$D812,[1]内部转账!$E:$E,$G812)-SUMIFS([1]内部转账!$G:$G,[1]内部转账!$C:$C,"&lt;="&amp;$D812,[1]内部转账!$F:$F,$G812)),"")</f>
        <v>100191.519999999</v>
      </c>
      <c r="M812" s="64" t="s">
        <v>317</v>
      </c>
      <c r="N812" s="69"/>
      <c r="O812" s="64" t="s">
        <v>183</v>
      </c>
      <c r="P812" s="64"/>
      <c r="Q812" s="69"/>
      <c r="R812" s="69"/>
      <c r="S812" s="69"/>
    </row>
    <row r="813" s="2" customFormat="1" ht="24.95" customHeight="1" spans="1:19">
      <c r="A813" s="15"/>
      <c r="B813" s="55"/>
      <c r="C813" s="56"/>
      <c r="D813" s="68">
        <v>46142</v>
      </c>
      <c r="E813" s="69"/>
      <c r="F813" s="69" t="s">
        <v>42</v>
      </c>
      <c r="G813" s="65" t="s">
        <v>279</v>
      </c>
      <c r="H813" s="65" t="s">
        <v>43</v>
      </c>
      <c r="I813" s="70" t="s">
        <v>442</v>
      </c>
      <c r="J813" s="71">
        <v>211477</v>
      </c>
      <c r="K813" s="71"/>
      <c r="L813" s="72">
        <f>IFERROR(IF(G813="","",VLOOKUP($G813,[1]基础信息!$B:$C,2,FALSE)+SUMIF(G$8:G813,G813,J$8:J813)-SUMIF(G$8:G813,G813,K$8:K813)+SUMIFS([1]内部转账!$G:$G,[1]内部转账!$C:$C,"&lt;="&amp;$D813,[1]内部转账!$E:$E,$G813)-SUMIFS([1]内部转账!$G:$G,[1]内部转账!$C:$C,"&lt;="&amp;$D813,[1]内部转账!$F:$F,$G813)),"")</f>
        <v>211477</v>
      </c>
      <c r="M813" s="64" t="s">
        <v>317</v>
      </c>
      <c r="N813" s="69"/>
      <c r="O813" s="64" t="s">
        <v>183</v>
      </c>
      <c r="P813" s="64"/>
      <c r="Q813" s="69"/>
      <c r="R813" s="69"/>
      <c r="S813" s="69"/>
    </row>
    <row r="814" s="2" customFormat="1" ht="24.95" customHeight="1" spans="1:19">
      <c r="A814" s="15"/>
      <c r="B814" s="55"/>
      <c r="C814" s="56"/>
      <c r="D814" s="68">
        <v>46142</v>
      </c>
      <c r="E814" s="69"/>
      <c r="F814" s="69" t="s">
        <v>26</v>
      </c>
      <c r="G814" s="65" t="s">
        <v>279</v>
      </c>
      <c r="H814" s="65" t="s">
        <v>138</v>
      </c>
      <c r="I814" s="70" t="s">
        <v>228</v>
      </c>
      <c r="J814" s="71"/>
      <c r="K814" s="71">
        <v>22750</v>
      </c>
      <c r="L814" s="72">
        <f>IFERROR(IF(G814="","",VLOOKUP($G814,[1]基础信息!$B:$C,2,FALSE)+SUMIF(G$8:G814,G814,J$8:J814)-SUMIF(G$8:G814,G814,K$8:K814)+SUMIFS([1]内部转账!$G:$G,[1]内部转账!$C:$C,"&lt;="&amp;$D814,[1]内部转账!$E:$E,$G814)-SUMIFS([1]内部转账!$G:$G,[1]内部转账!$C:$C,"&lt;="&amp;$D814,[1]内部转账!$F:$F,$G814)),"")</f>
        <v>188727</v>
      </c>
      <c r="M814" s="64" t="s">
        <v>317</v>
      </c>
      <c r="N814" s="69" t="s">
        <v>229</v>
      </c>
      <c r="O814" s="64" t="s">
        <v>183</v>
      </c>
      <c r="P814" s="64" t="s">
        <v>229</v>
      </c>
      <c r="Q814" s="69"/>
      <c r="R814" s="69"/>
      <c r="S814" s="69"/>
    </row>
    <row r="815" s="2" customFormat="1" ht="24.95" customHeight="1" spans="1:19">
      <c r="A815" s="15"/>
      <c r="B815" s="55"/>
      <c r="C815" s="56"/>
      <c r="D815" s="68">
        <v>46142</v>
      </c>
      <c r="E815" s="69"/>
      <c r="F815" s="69" t="s">
        <v>26</v>
      </c>
      <c r="G815" s="65" t="s">
        <v>279</v>
      </c>
      <c r="H815" s="65" t="s">
        <v>138</v>
      </c>
      <c r="I815" s="70" t="s">
        <v>364</v>
      </c>
      <c r="J815" s="71"/>
      <c r="K815" s="71">
        <v>980</v>
      </c>
      <c r="L815" s="72">
        <f>IFERROR(IF(G815="","",VLOOKUP($G815,[1]基础信息!$B:$C,2,FALSE)+SUMIF(G$8:G815,G815,J$8:J815)-SUMIF(G$8:G815,G815,K$8:K815)+SUMIFS([1]内部转账!$G:$G,[1]内部转账!$C:$C,"&lt;="&amp;$D815,[1]内部转账!$E:$E,$G815)-SUMIFS([1]内部转账!$G:$G,[1]内部转账!$C:$C,"&lt;="&amp;$D815,[1]内部转账!$F:$F,$G815)),"")</f>
        <v>187747</v>
      </c>
      <c r="M815" s="64" t="s">
        <v>317</v>
      </c>
      <c r="N815" s="69" t="s">
        <v>229</v>
      </c>
      <c r="O815" s="64" t="s">
        <v>183</v>
      </c>
      <c r="P815" s="64" t="s">
        <v>229</v>
      </c>
      <c r="Q815" s="69"/>
      <c r="R815" s="69"/>
      <c r="S815" s="69"/>
    </row>
    <row r="816" s="2" customFormat="1" ht="24.95" customHeight="1" spans="1:19">
      <c r="A816" s="15"/>
      <c r="B816" s="55"/>
      <c r="C816" s="56"/>
      <c r="D816" s="68">
        <v>46142</v>
      </c>
      <c r="E816" s="69"/>
      <c r="F816" s="69" t="s">
        <v>26</v>
      </c>
      <c r="G816" s="65" t="s">
        <v>279</v>
      </c>
      <c r="H816" s="65" t="s">
        <v>138</v>
      </c>
      <c r="I816" s="70" t="s">
        <v>361</v>
      </c>
      <c r="J816" s="71"/>
      <c r="K816" s="71">
        <v>16492</v>
      </c>
      <c r="L816" s="72">
        <f>IFERROR(IF(G816="","",VLOOKUP($G816,[1]基础信息!$B:$C,2,FALSE)+SUMIF(G$8:G816,G816,J$8:J816)-SUMIF(G$8:G816,G816,K$8:K816)+SUMIFS([1]内部转账!$G:$G,[1]内部转账!$C:$C,"&lt;="&amp;$D816,[1]内部转账!$E:$E,$G816)-SUMIFS([1]内部转账!$G:$G,[1]内部转账!$C:$C,"&lt;="&amp;$D816,[1]内部转账!$F:$F,$G816)),"")</f>
        <v>171255</v>
      </c>
      <c r="M816" s="64" t="s">
        <v>317</v>
      </c>
      <c r="N816" s="69" t="s">
        <v>229</v>
      </c>
      <c r="O816" s="64" t="s">
        <v>183</v>
      </c>
      <c r="P816" s="64" t="s">
        <v>229</v>
      </c>
      <c r="Q816" s="69"/>
      <c r="R816" s="69"/>
      <c r="S816" s="69"/>
    </row>
    <row r="817" s="2" customFormat="1" ht="24.95" customHeight="1" spans="1:19">
      <c r="A817" s="15"/>
      <c r="B817" s="55"/>
      <c r="C817" s="56"/>
      <c r="D817" s="68">
        <v>46142</v>
      </c>
      <c r="E817" s="69"/>
      <c r="F817" s="69" t="s">
        <v>26</v>
      </c>
      <c r="G817" s="65" t="s">
        <v>279</v>
      </c>
      <c r="H817" s="65" t="s">
        <v>138</v>
      </c>
      <c r="I817" s="70" t="s">
        <v>443</v>
      </c>
      <c r="J817" s="71"/>
      <c r="K817" s="71">
        <v>14700</v>
      </c>
      <c r="L817" s="72">
        <f>IFERROR(IF(G817="","",VLOOKUP($G817,[1]基础信息!$B:$C,2,FALSE)+SUMIF(G$8:G817,G817,J$8:J817)-SUMIF(G$8:G817,G817,K$8:K817)+SUMIFS([1]内部转账!$G:$G,[1]内部转账!$C:$C,"&lt;="&amp;$D817,[1]内部转账!$E:$E,$G817)-SUMIFS([1]内部转账!$G:$G,[1]内部转账!$C:$C,"&lt;="&amp;$D817,[1]内部转账!$F:$F,$G817)),"")</f>
        <v>156555</v>
      </c>
      <c r="M817" s="64" t="s">
        <v>317</v>
      </c>
      <c r="N817" s="69" t="s">
        <v>229</v>
      </c>
      <c r="O817" s="64" t="s">
        <v>183</v>
      </c>
      <c r="P817" s="64" t="s">
        <v>229</v>
      </c>
      <c r="Q817" s="69"/>
      <c r="R817" s="69"/>
      <c r="S817" s="69"/>
    </row>
    <row r="818" s="2" customFormat="1" ht="24.95" customHeight="1" spans="1:19">
      <c r="A818" s="15"/>
      <c r="B818" s="55"/>
      <c r="C818" s="56"/>
      <c r="D818" s="68">
        <v>46142</v>
      </c>
      <c r="E818" s="69"/>
      <c r="F818" s="69" t="s">
        <v>26</v>
      </c>
      <c r="G818" s="65" t="s">
        <v>279</v>
      </c>
      <c r="H818" s="65" t="s">
        <v>138</v>
      </c>
      <c r="I818" s="70" t="s">
        <v>308</v>
      </c>
      <c r="J818" s="71"/>
      <c r="K818" s="71">
        <v>15190</v>
      </c>
      <c r="L818" s="72">
        <f>IFERROR(IF(G818="","",VLOOKUP($G818,[1]基础信息!$B:$C,2,FALSE)+SUMIF(G$8:G818,G818,J$8:J818)-SUMIF(G$8:G818,G818,K$8:K818)+SUMIFS([1]内部转账!$G:$G,[1]内部转账!$C:$C,"&lt;="&amp;$D818,[1]内部转账!$E:$E,$G818)-SUMIFS([1]内部转账!$G:$G,[1]内部转账!$C:$C,"&lt;="&amp;$D818,[1]内部转账!$F:$F,$G818)),"")</f>
        <v>141365</v>
      </c>
      <c r="M818" s="64" t="s">
        <v>317</v>
      </c>
      <c r="N818" s="69" t="s">
        <v>229</v>
      </c>
      <c r="O818" s="64" t="s">
        <v>183</v>
      </c>
      <c r="P818" s="64" t="s">
        <v>229</v>
      </c>
      <c r="Q818" s="69"/>
      <c r="R818" s="69"/>
      <c r="S818" s="69"/>
    </row>
    <row r="819" s="2" customFormat="1" ht="24.95" customHeight="1" spans="1:19">
      <c r="A819" s="15"/>
      <c r="B819" s="55"/>
      <c r="C819" s="56"/>
      <c r="D819" s="68">
        <v>46142</v>
      </c>
      <c r="E819" s="69"/>
      <c r="F819" s="69" t="s">
        <v>26</v>
      </c>
      <c r="G819" s="65" t="s">
        <v>279</v>
      </c>
      <c r="H819" s="65" t="s">
        <v>138</v>
      </c>
      <c r="I819" s="70" t="s">
        <v>360</v>
      </c>
      <c r="J819" s="71"/>
      <c r="K819" s="71">
        <v>10290</v>
      </c>
      <c r="L819" s="72">
        <f>IFERROR(IF(G819="","",VLOOKUP($G819,[1]基础信息!$B:$C,2,FALSE)+SUMIF(G$8:G819,G819,J$8:J819)-SUMIF(G$8:G819,G819,K$8:K819)+SUMIFS([1]内部转账!$G:$G,[1]内部转账!$C:$C,"&lt;="&amp;$D819,[1]内部转账!$E:$E,$G819)-SUMIFS([1]内部转账!$G:$G,[1]内部转账!$C:$C,"&lt;="&amp;$D819,[1]内部转账!$F:$F,$G819)),"")</f>
        <v>131075</v>
      </c>
      <c r="M819" s="64" t="s">
        <v>317</v>
      </c>
      <c r="N819" s="69" t="s">
        <v>229</v>
      </c>
      <c r="O819" s="64" t="s">
        <v>183</v>
      </c>
      <c r="P819" s="64" t="s">
        <v>229</v>
      </c>
      <c r="Q819" s="69"/>
      <c r="R819" s="69"/>
      <c r="S819" s="69"/>
    </row>
    <row r="820" s="2" customFormat="1" ht="24.95" customHeight="1" spans="1:19">
      <c r="A820" s="15"/>
      <c r="B820" s="55"/>
      <c r="C820" s="56"/>
      <c r="D820" s="68">
        <v>46142</v>
      </c>
      <c r="E820" s="69"/>
      <c r="F820" s="69" t="s">
        <v>26</v>
      </c>
      <c r="G820" s="65" t="s">
        <v>279</v>
      </c>
      <c r="H820" s="65" t="s">
        <v>138</v>
      </c>
      <c r="I820" s="70" t="s">
        <v>352</v>
      </c>
      <c r="J820" s="71"/>
      <c r="K820" s="71">
        <v>13720</v>
      </c>
      <c r="L820" s="72">
        <f>IFERROR(IF(G820="","",VLOOKUP($G820,[1]基础信息!$B:$C,2,FALSE)+SUMIF(G$8:G820,G820,J$8:J820)-SUMIF(G$8:G820,G820,K$8:K820)+SUMIFS([1]内部转账!$G:$G,[1]内部转账!$C:$C,"&lt;="&amp;$D820,[1]内部转账!$E:$E,$G820)-SUMIFS([1]内部转账!$G:$G,[1]内部转账!$C:$C,"&lt;="&amp;$D820,[1]内部转账!$F:$F,$G820)),"")</f>
        <v>117355</v>
      </c>
      <c r="M820" s="64" t="s">
        <v>317</v>
      </c>
      <c r="N820" s="69" t="s">
        <v>229</v>
      </c>
      <c r="O820" s="64" t="s">
        <v>183</v>
      </c>
      <c r="P820" s="64" t="s">
        <v>229</v>
      </c>
      <c r="Q820" s="69"/>
      <c r="R820" s="69"/>
      <c r="S820" s="69"/>
    </row>
    <row r="821" s="2" customFormat="1" ht="24.95" customHeight="1" spans="1:19">
      <c r="A821" s="15"/>
      <c r="B821" s="55"/>
      <c r="C821" s="56"/>
      <c r="D821" s="68">
        <v>46142</v>
      </c>
      <c r="E821" s="69"/>
      <c r="F821" s="69" t="s">
        <v>26</v>
      </c>
      <c r="G821" s="65" t="s">
        <v>279</v>
      </c>
      <c r="H821" s="65" t="s">
        <v>138</v>
      </c>
      <c r="I821" s="70" t="s">
        <v>444</v>
      </c>
      <c r="J821" s="71"/>
      <c r="K821" s="71">
        <v>5040</v>
      </c>
      <c r="L821" s="72">
        <f>IFERROR(IF(G821="","",VLOOKUP($G821,[1]基础信息!$B:$C,2,FALSE)+SUMIF(G$8:G821,G821,J$8:J821)-SUMIF(G$8:G821,G821,K$8:K821)+SUMIFS([1]内部转账!$G:$G,[1]内部转账!$C:$C,"&lt;="&amp;$D821,[1]内部转账!$E:$E,$G821)-SUMIFS([1]内部转账!$G:$G,[1]内部转账!$C:$C,"&lt;="&amp;$D821,[1]内部转账!$F:$F,$G821)),"")</f>
        <v>112315</v>
      </c>
      <c r="M821" s="64" t="s">
        <v>317</v>
      </c>
      <c r="N821" s="69" t="s">
        <v>229</v>
      </c>
      <c r="O821" s="64" t="s">
        <v>183</v>
      </c>
      <c r="P821" s="64" t="s">
        <v>229</v>
      </c>
      <c r="Q821" s="69"/>
      <c r="R821" s="69"/>
      <c r="S821" s="69"/>
    </row>
    <row r="822" s="2" customFormat="1" ht="24.95" customHeight="1" spans="1:19">
      <c r="A822" s="15"/>
      <c r="B822" s="55"/>
      <c r="C822" s="56"/>
      <c r="D822" s="68">
        <v>46142</v>
      </c>
      <c r="E822" s="69"/>
      <c r="F822" s="69" t="s">
        <v>26</v>
      </c>
      <c r="G822" s="65" t="s">
        <v>279</v>
      </c>
      <c r="H822" s="65" t="s">
        <v>138</v>
      </c>
      <c r="I822" s="70" t="s">
        <v>445</v>
      </c>
      <c r="J822" s="71"/>
      <c r="K822" s="71">
        <v>5040</v>
      </c>
      <c r="L822" s="72">
        <f>IFERROR(IF(G822="","",VLOOKUP($G822,[1]基础信息!$B:$C,2,FALSE)+SUMIF(G$8:G822,G822,J$8:J822)-SUMIF(G$8:G822,G822,K$8:K822)+SUMIFS([1]内部转账!$G:$G,[1]内部转账!$C:$C,"&lt;="&amp;$D822,[1]内部转账!$E:$E,$G822)-SUMIFS([1]内部转账!$G:$G,[1]内部转账!$C:$C,"&lt;="&amp;$D822,[1]内部转账!$F:$F,$G822)),"")</f>
        <v>107275</v>
      </c>
      <c r="M822" s="64" t="s">
        <v>317</v>
      </c>
      <c r="N822" s="69" t="s">
        <v>229</v>
      </c>
      <c r="O822" s="64" t="s">
        <v>183</v>
      </c>
      <c r="P822" s="64" t="s">
        <v>229</v>
      </c>
      <c r="Q822" s="69"/>
      <c r="R822" s="69"/>
      <c r="S822" s="69"/>
    </row>
    <row r="823" s="2" customFormat="1" ht="24.95" customHeight="1" spans="1:19">
      <c r="A823" s="15"/>
      <c r="B823" s="55"/>
      <c r="C823" s="56"/>
      <c r="D823" s="68">
        <v>46142</v>
      </c>
      <c r="E823" s="69"/>
      <c r="F823" s="69" t="s">
        <v>26</v>
      </c>
      <c r="G823" s="65" t="s">
        <v>279</v>
      </c>
      <c r="H823" s="65" t="s">
        <v>138</v>
      </c>
      <c r="I823" s="70" t="s">
        <v>351</v>
      </c>
      <c r="J823" s="71"/>
      <c r="K823" s="71">
        <v>13965</v>
      </c>
      <c r="L823" s="72">
        <f>IFERROR(IF(G823="","",VLOOKUP($G823,[1]基础信息!$B:$C,2,FALSE)+SUMIF(G$8:G823,G823,J$8:J823)-SUMIF(G$8:G823,G823,K$8:K823)+SUMIFS([1]内部转账!$G:$G,[1]内部转账!$C:$C,"&lt;="&amp;$D823,[1]内部转账!$E:$E,$G823)-SUMIFS([1]内部转账!$G:$G,[1]内部转账!$C:$C,"&lt;="&amp;$D823,[1]内部转账!$F:$F,$G823)),"")</f>
        <v>93310</v>
      </c>
      <c r="M823" s="64" t="s">
        <v>317</v>
      </c>
      <c r="N823" s="69" t="s">
        <v>229</v>
      </c>
      <c r="O823" s="64" t="s">
        <v>183</v>
      </c>
      <c r="P823" s="64" t="s">
        <v>229</v>
      </c>
      <c r="Q823" s="69"/>
      <c r="R823" s="69"/>
      <c r="S823" s="69"/>
    </row>
    <row r="824" s="2" customFormat="1" ht="24.95" customHeight="1" spans="1:19">
      <c r="A824" s="15"/>
      <c r="B824" s="55"/>
      <c r="C824" s="56"/>
      <c r="D824" s="68">
        <v>46142</v>
      </c>
      <c r="E824" s="69"/>
      <c r="F824" s="69" t="s">
        <v>26</v>
      </c>
      <c r="G824" s="65" t="s">
        <v>279</v>
      </c>
      <c r="H824" s="65" t="s">
        <v>138</v>
      </c>
      <c r="I824" s="70" t="s">
        <v>357</v>
      </c>
      <c r="J824" s="71"/>
      <c r="K824" s="71">
        <v>15190</v>
      </c>
      <c r="L824" s="72">
        <f>IFERROR(IF(G824="","",VLOOKUP($G824,[1]基础信息!$B:$C,2,FALSE)+SUMIF(G$8:G824,G824,J$8:J824)-SUMIF(G$8:G824,G824,K$8:K824)+SUMIFS([1]内部转账!$G:$G,[1]内部转账!$C:$C,"&lt;="&amp;$D824,[1]内部转账!$E:$E,$G824)-SUMIFS([1]内部转账!$G:$G,[1]内部转账!$C:$C,"&lt;="&amp;$D824,[1]内部转账!$F:$F,$G824)),"")</f>
        <v>78120</v>
      </c>
      <c r="M824" s="64" t="s">
        <v>317</v>
      </c>
      <c r="N824" s="69" t="s">
        <v>229</v>
      </c>
      <c r="O824" s="64" t="s">
        <v>183</v>
      </c>
      <c r="P824" s="64" t="s">
        <v>229</v>
      </c>
      <c r="Q824" s="69"/>
      <c r="R824" s="69"/>
      <c r="S824" s="69"/>
    </row>
    <row r="825" s="2" customFormat="1" ht="24.95" customHeight="1" spans="1:19">
      <c r="A825" s="15"/>
      <c r="B825" s="55"/>
      <c r="C825" s="56"/>
      <c r="D825" s="68">
        <v>46142</v>
      </c>
      <c r="E825" s="69"/>
      <c r="F825" s="69" t="s">
        <v>26</v>
      </c>
      <c r="G825" s="65" t="s">
        <v>279</v>
      </c>
      <c r="H825" s="65" t="s">
        <v>138</v>
      </c>
      <c r="I825" s="70" t="s">
        <v>446</v>
      </c>
      <c r="J825" s="71"/>
      <c r="K825" s="71">
        <v>17360</v>
      </c>
      <c r="L825" s="72">
        <f>IFERROR(IF(G825="","",VLOOKUP($G825,[1]基础信息!$B:$C,2,FALSE)+SUMIF(G$8:G825,G825,J$8:J825)-SUMIF(G$8:G825,G825,K$8:K825)+SUMIFS([1]内部转账!$G:$G,[1]内部转账!$C:$C,"&lt;="&amp;$D825,[1]内部转账!$E:$E,$G825)-SUMIFS([1]内部转账!$G:$G,[1]内部转账!$C:$C,"&lt;="&amp;$D825,[1]内部转账!$F:$F,$G825)),"")</f>
        <v>60760</v>
      </c>
      <c r="M825" s="64" t="s">
        <v>317</v>
      </c>
      <c r="N825" s="69" t="s">
        <v>92</v>
      </c>
      <c r="O825" s="64" t="s">
        <v>183</v>
      </c>
      <c r="P825" s="64" t="s">
        <v>229</v>
      </c>
      <c r="Q825" s="69"/>
      <c r="R825" s="69"/>
      <c r="S825" s="69"/>
    </row>
    <row r="826" s="2" customFormat="1" ht="24.95" customHeight="1" spans="1:19">
      <c r="A826" s="15"/>
      <c r="B826" s="55"/>
      <c r="C826" s="56"/>
      <c r="D826" s="68">
        <v>46142</v>
      </c>
      <c r="E826" s="69"/>
      <c r="F826" s="69" t="s">
        <v>26</v>
      </c>
      <c r="G826" s="65" t="s">
        <v>279</v>
      </c>
      <c r="H826" s="65" t="s">
        <v>138</v>
      </c>
      <c r="I826" s="70" t="s">
        <v>447</v>
      </c>
      <c r="J826" s="71"/>
      <c r="K826" s="71">
        <v>9870</v>
      </c>
      <c r="L826" s="72">
        <f>IFERROR(IF(G826="","",VLOOKUP($G826,[1]基础信息!$B:$C,2,FALSE)+SUMIF(G$8:G826,G826,J$8:J826)-SUMIF(G$8:G826,G826,K$8:K826)+SUMIFS([1]内部转账!$G:$G,[1]内部转账!$C:$C,"&lt;="&amp;$D826,[1]内部转账!$E:$E,$G826)-SUMIFS([1]内部转账!$G:$G,[1]内部转账!$C:$C,"&lt;="&amp;$D826,[1]内部转账!$F:$F,$G826)),"")</f>
        <v>50890</v>
      </c>
      <c r="M826" s="64" t="s">
        <v>317</v>
      </c>
      <c r="N826" s="69" t="s">
        <v>92</v>
      </c>
      <c r="O826" s="64" t="s">
        <v>183</v>
      </c>
      <c r="P826" s="64" t="s">
        <v>229</v>
      </c>
      <c r="Q826" s="69"/>
      <c r="R826" s="69"/>
      <c r="S826" s="69"/>
    </row>
    <row r="827" s="2" customFormat="1" ht="24.95" customHeight="1" spans="1:19">
      <c r="A827" s="15"/>
      <c r="B827" s="55"/>
      <c r="C827" s="56"/>
      <c r="D827" s="68">
        <v>46142</v>
      </c>
      <c r="E827" s="69"/>
      <c r="F827" s="69" t="s">
        <v>26</v>
      </c>
      <c r="G827" s="65" t="s">
        <v>279</v>
      </c>
      <c r="H827" s="65" t="s">
        <v>138</v>
      </c>
      <c r="I827" s="70" t="s">
        <v>359</v>
      </c>
      <c r="J827" s="71"/>
      <c r="K827" s="71">
        <v>16492</v>
      </c>
      <c r="L827" s="72">
        <f>IFERROR(IF(G827="","",VLOOKUP($G827,[1]基础信息!$B:$C,2,FALSE)+SUMIF(G$8:G827,G827,J$8:J827)-SUMIF(G$8:G827,G827,K$8:K827)+SUMIFS([1]内部转账!$G:$G,[1]内部转账!$C:$C,"&lt;="&amp;$D827,[1]内部转账!$E:$E,$G827)-SUMIFS([1]内部转账!$G:$G,[1]内部转账!$C:$C,"&lt;="&amp;$D827,[1]内部转账!$F:$F,$G827)),"")</f>
        <v>34398</v>
      </c>
      <c r="M827" s="64" t="s">
        <v>317</v>
      </c>
      <c r="N827" s="69" t="s">
        <v>229</v>
      </c>
      <c r="O827" s="64" t="s">
        <v>183</v>
      </c>
      <c r="P827" s="64" t="s">
        <v>229</v>
      </c>
      <c r="Q827" s="69"/>
      <c r="R827" s="69"/>
      <c r="S827" s="69"/>
    </row>
    <row r="828" s="2" customFormat="1" ht="24.95" customHeight="1" spans="1:19">
      <c r="A828" s="15"/>
      <c r="B828" s="55"/>
      <c r="C828" s="56"/>
      <c r="D828" s="68">
        <v>46142</v>
      </c>
      <c r="E828" s="69"/>
      <c r="F828" s="69" t="s">
        <v>26</v>
      </c>
      <c r="G828" s="65" t="s">
        <v>279</v>
      </c>
      <c r="H828" s="65" t="s">
        <v>138</v>
      </c>
      <c r="I828" s="70" t="s">
        <v>307</v>
      </c>
      <c r="J828" s="71"/>
      <c r="K828" s="71">
        <v>17640</v>
      </c>
      <c r="L828" s="72">
        <f>IFERROR(IF(G828="","",VLOOKUP($G828,[1]基础信息!$B:$C,2,FALSE)+SUMIF(G$8:G828,G828,J$8:J828)-SUMIF(G$8:G828,G828,K$8:K828)+SUMIFS([1]内部转账!$G:$G,[1]内部转账!$C:$C,"&lt;="&amp;$D828,[1]内部转账!$E:$E,$G828)-SUMIFS([1]内部转账!$G:$G,[1]内部转账!$C:$C,"&lt;="&amp;$D828,[1]内部转账!$F:$F,$G828)),"")</f>
        <v>16758</v>
      </c>
      <c r="M828" s="64" t="s">
        <v>317</v>
      </c>
      <c r="N828" s="69" t="s">
        <v>229</v>
      </c>
      <c r="O828" s="64" t="s">
        <v>183</v>
      </c>
      <c r="P828" s="64" t="s">
        <v>229</v>
      </c>
      <c r="Q828" s="69"/>
      <c r="R828" s="69"/>
      <c r="S828" s="69"/>
    </row>
    <row r="829" s="2" customFormat="1" ht="24.95" customHeight="1" spans="1:19">
      <c r="A829" s="15"/>
      <c r="B829" s="55"/>
      <c r="C829" s="56"/>
      <c r="D829" s="68">
        <v>46142</v>
      </c>
      <c r="E829" s="69"/>
      <c r="F829" s="69" t="s">
        <v>26</v>
      </c>
      <c r="G829" s="65" t="s">
        <v>279</v>
      </c>
      <c r="H829" s="65" t="s">
        <v>138</v>
      </c>
      <c r="I829" s="70" t="s">
        <v>448</v>
      </c>
      <c r="J829" s="71"/>
      <c r="K829" s="71">
        <v>16758</v>
      </c>
      <c r="L829" s="72">
        <f>IFERROR(IF(G829="","",VLOOKUP($G829,[1]基础信息!$B:$C,2,FALSE)+SUMIF(G$8:G829,G829,J$8:J829)-SUMIF(G$8:G829,G829,K$8:K829)+SUMIFS([1]内部转账!$G:$G,[1]内部转账!$C:$C,"&lt;="&amp;$D829,[1]内部转账!$E:$E,$G829)-SUMIFS([1]内部转账!$G:$G,[1]内部转账!$C:$C,"&lt;="&amp;$D829,[1]内部转账!$F:$F,$G829)),"")</f>
        <v>0</v>
      </c>
      <c r="M829" s="64" t="s">
        <v>317</v>
      </c>
      <c r="N829" s="69" t="s">
        <v>229</v>
      </c>
      <c r="O829" s="64" t="s">
        <v>183</v>
      </c>
      <c r="P829" s="64" t="s">
        <v>229</v>
      </c>
      <c r="Q829" s="69"/>
      <c r="R829" s="69"/>
      <c r="S829" s="69"/>
    </row>
    <row r="830" s="2" customFormat="1" ht="24.95" customHeight="1" spans="1:19">
      <c r="A830" s="15"/>
      <c r="B830" s="55"/>
      <c r="C830" s="56"/>
      <c r="D830" s="68">
        <v>46142</v>
      </c>
      <c r="E830" s="69"/>
      <c r="F830" s="69" t="s">
        <v>26</v>
      </c>
      <c r="G830" s="65" t="s">
        <v>27</v>
      </c>
      <c r="H830" s="65" t="s">
        <v>138</v>
      </c>
      <c r="I830" s="70" t="s">
        <v>416</v>
      </c>
      <c r="J830" s="71"/>
      <c r="K830" s="71">
        <v>26584</v>
      </c>
      <c r="L830" s="72">
        <f>IFERROR(IF(G830="","",VLOOKUP($G830,[1]基础信息!$B:$C,2,FALSE)+SUMIF(G$8:G830,G830,J$8:J830)-SUMIF(G$8:G830,G830,K$8:K830)+SUMIFS([1]内部转账!$G:$G,[1]内部转账!$C:$C,"&lt;="&amp;$D830,[1]内部转账!$E:$E,$G830)-SUMIFS([1]内部转账!$G:$G,[1]内部转账!$C:$C,"&lt;="&amp;$D830,[1]内部转账!$F:$F,$G830)),"")</f>
        <v>73607.5199999986</v>
      </c>
      <c r="M830" s="64" t="s">
        <v>317</v>
      </c>
      <c r="N830" s="69"/>
      <c r="O830" s="64" t="s">
        <v>449</v>
      </c>
      <c r="P830" s="64" t="s">
        <v>216</v>
      </c>
      <c r="Q830" s="69"/>
      <c r="R830" s="69"/>
      <c r="S830" s="69"/>
    </row>
    <row r="831" s="2" customFormat="1" ht="24.95" customHeight="1" spans="1:19">
      <c r="A831" s="15"/>
      <c r="B831" s="55"/>
      <c r="C831" s="56"/>
      <c r="D831" s="68">
        <v>46142</v>
      </c>
      <c r="E831" s="69"/>
      <c r="F831" s="69" t="s">
        <v>26</v>
      </c>
      <c r="G831" s="65" t="s">
        <v>27</v>
      </c>
      <c r="H831" s="65" t="s">
        <v>62</v>
      </c>
      <c r="I831" s="70" t="s">
        <v>450</v>
      </c>
      <c r="J831" s="71"/>
      <c r="K831" s="71">
        <v>32226</v>
      </c>
      <c r="L831" s="72">
        <f>IFERROR(IF(G831="","",VLOOKUP($G831,[1]基础信息!$B:$C,2,FALSE)+SUMIF(G$8:G831,G831,J$8:J831)-SUMIF(G$8:G831,G831,K$8:K831)+SUMIFS([1]内部转账!$G:$G,[1]内部转账!$C:$C,"&lt;="&amp;$D831,[1]内部转账!$E:$E,$G831)-SUMIFS([1]内部转账!$G:$G,[1]内部转账!$C:$C,"&lt;="&amp;$D831,[1]内部转账!$F:$F,$G831)),"")</f>
        <v>41381.5199999986</v>
      </c>
      <c r="M831" s="64" t="s">
        <v>150</v>
      </c>
      <c r="N831" s="69"/>
      <c r="O831" s="64"/>
      <c r="P831" s="64" t="s">
        <v>451</v>
      </c>
      <c r="Q831" s="69"/>
      <c r="R831" s="69"/>
      <c r="S831" s="69"/>
    </row>
    <row r="832" s="2" customFormat="1" ht="24.95" customHeight="1" spans="1:19">
      <c r="A832" s="15"/>
      <c r="B832" s="55"/>
      <c r="C832" s="56"/>
      <c r="D832" s="68">
        <v>46143</v>
      </c>
      <c r="E832" s="69"/>
      <c r="F832" s="69" t="s">
        <v>26</v>
      </c>
      <c r="G832" s="65" t="s">
        <v>27</v>
      </c>
      <c r="H832" s="65" t="s">
        <v>138</v>
      </c>
      <c r="I832" s="70" t="s">
        <v>433</v>
      </c>
      <c r="J832" s="71"/>
      <c r="K832" s="71">
        <v>15000</v>
      </c>
      <c r="L832" s="72">
        <f>IFERROR(IF(G832="","",VLOOKUP($G832,[1]基础信息!$B:$C,2,FALSE)+SUMIF(G$8:G832,G832,J$8:J832)-SUMIF(G$8:G832,G832,K$8:K832)+SUMIFS([1]内部转账!$G:$G,[1]内部转账!$C:$C,"&lt;="&amp;$D832,[1]内部转账!$E:$E,$G832)-SUMIFS([1]内部转账!$G:$G,[1]内部转账!$C:$C,"&lt;="&amp;$D832,[1]内部转账!$F:$F,$G832)),"")</f>
        <v>26381.5199999986</v>
      </c>
      <c r="M832" s="64" t="s">
        <v>150</v>
      </c>
      <c r="N832" s="69"/>
      <c r="O832" s="64"/>
      <c r="P832" s="64" t="s">
        <v>239</v>
      </c>
      <c r="Q832" s="69"/>
      <c r="R832" s="69"/>
      <c r="S832" s="69"/>
    </row>
    <row r="833" s="2" customFormat="1" ht="24.95" customHeight="1" spans="1:19">
      <c r="A833" s="15"/>
      <c r="B833" s="55"/>
      <c r="C833" s="56"/>
      <c r="D833" s="68">
        <v>46144</v>
      </c>
      <c r="E833" s="69"/>
      <c r="F833" s="69" t="s">
        <v>26</v>
      </c>
      <c r="G833" s="65" t="s">
        <v>27</v>
      </c>
      <c r="H833" s="65" t="s">
        <v>46</v>
      </c>
      <c r="I833" s="70" t="s">
        <v>286</v>
      </c>
      <c r="J833" s="71"/>
      <c r="K833" s="71">
        <v>3000</v>
      </c>
      <c r="L833" s="72">
        <f>IFERROR(IF(G833="","",VLOOKUP($G833,[1]基础信息!$B:$C,2,FALSE)+SUMIF(G$8:G833,G833,J$8:J833)-SUMIF(G$8:G833,G833,K$8:K833)+SUMIFS([1]内部转账!$G:$G,[1]内部转账!$C:$C,"&lt;="&amp;$D833,[1]内部转账!$E:$E,$G833)-SUMIFS([1]内部转账!$G:$G,[1]内部转账!$C:$C,"&lt;="&amp;$D833,[1]内部转账!$F:$F,$G833)),"")</f>
        <v>23381.5199999986</v>
      </c>
      <c r="M833" s="64" t="s">
        <v>150</v>
      </c>
      <c r="N833" s="69"/>
      <c r="O833" s="64"/>
      <c r="P833" s="64"/>
      <c r="Q833" s="69"/>
      <c r="R833" s="69"/>
      <c r="S833" s="69"/>
    </row>
    <row r="834" s="2" customFormat="1" ht="24.95" customHeight="1" spans="1:19">
      <c r="A834" s="15"/>
      <c r="B834" s="55"/>
      <c r="C834" s="56"/>
      <c r="D834" s="68">
        <v>46144</v>
      </c>
      <c r="E834" s="69"/>
      <c r="F834" s="69" t="s">
        <v>26</v>
      </c>
      <c r="G834" s="65" t="s">
        <v>27</v>
      </c>
      <c r="H834" s="65" t="s">
        <v>46</v>
      </c>
      <c r="I834" s="70" t="s">
        <v>68</v>
      </c>
      <c r="J834" s="71"/>
      <c r="K834" s="71">
        <v>3000</v>
      </c>
      <c r="L834" s="72">
        <f>IFERROR(IF(G834="","",VLOOKUP($G834,[1]基础信息!$B:$C,2,FALSE)+SUMIF(G$8:G834,G834,J$8:J834)-SUMIF(G$8:G834,G834,K$8:K834)+SUMIFS([1]内部转账!$G:$G,[1]内部转账!$C:$C,"&lt;="&amp;$D834,[1]内部转账!$E:$E,$G834)-SUMIFS([1]内部转账!$G:$G,[1]内部转账!$C:$C,"&lt;="&amp;$D834,[1]内部转账!$F:$F,$G834)),"")</f>
        <v>20381.5199999986</v>
      </c>
      <c r="M834" s="64" t="s">
        <v>150</v>
      </c>
      <c r="N834" s="69"/>
      <c r="O834" s="64"/>
      <c r="P834" s="64"/>
      <c r="Q834" s="69"/>
      <c r="R834" s="69"/>
      <c r="S834" s="69"/>
    </row>
    <row r="835" s="2" customFormat="1" ht="24.95" customHeight="1" spans="1:19">
      <c r="A835" s="15"/>
      <c r="B835" s="55"/>
      <c r="C835" s="56"/>
      <c r="D835" s="68">
        <v>46144</v>
      </c>
      <c r="E835" s="69"/>
      <c r="F835" s="69" t="s">
        <v>26</v>
      </c>
      <c r="G835" s="65" t="s">
        <v>27</v>
      </c>
      <c r="H835" s="65" t="s">
        <v>46</v>
      </c>
      <c r="I835" s="70" t="s">
        <v>132</v>
      </c>
      <c r="J835" s="71"/>
      <c r="K835" s="71">
        <v>3000</v>
      </c>
      <c r="L835" s="72">
        <f>IFERROR(IF(G835="","",VLOOKUP($G835,[1]基础信息!$B:$C,2,FALSE)+SUMIF(G$8:G835,G835,J$8:J835)-SUMIF(G$8:G835,G835,K$8:K835)+SUMIFS([1]内部转账!$G:$G,[1]内部转账!$C:$C,"&lt;="&amp;$D835,[1]内部转账!$E:$E,$G835)-SUMIFS([1]内部转账!$G:$G,[1]内部转账!$C:$C,"&lt;="&amp;$D835,[1]内部转账!$F:$F,$G835)),"")</f>
        <v>17381.5199999986</v>
      </c>
      <c r="M835" s="64" t="s">
        <v>150</v>
      </c>
      <c r="N835" s="69"/>
      <c r="O835" s="64"/>
      <c r="P835" s="64"/>
      <c r="Q835" s="69"/>
      <c r="R835" s="69"/>
      <c r="S835" s="69"/>
    </row>
    <row r="836" s="2" customFormat="1" ht="24.95" customHeight="1" spans="1:19">
      <c r="A836" s="15"/>
      <c r="B836" s="55"/>
      <c r="C836" s="56"/>
      <c r="D836" s="68">
        <v>46145</v>
      </c>
      <c r="E836" s="69"/>
      <c r="F836" s="69" t="s">
        <v>26</v>
      </c>
      <c r="G836" s="65" t="s">
        <v>27</v>
      </c>
      <c r="H836" s="65" t="s">
        <v>46</v>
      </c>
      <c r="I836" s="70" t="s">
        <v>48</v>
      </c>
      <c r="J836" s="71"/>
      <c r="K836" s="71">
        <v>4000</v>
      </c>
      <c r="L836" s="72">
        <f>IFERROR(IF(G836="","",VLOOKUP($G836,[1]基础信息!$B:$C,2,FALSE)+SUMIF(G$8:G836,G836,J$8:J836)-SUMIF(G$8:G836,G836,K$8:K836)+SUMIFS([1]内部转账!$G:$G,[1]内部转账!$C:$C,"&lt;="&amp;$D836,[1]内部转账!$E:$E,$G836)-SUMIFS([1]内部转账!$G:$G,[1]内部转账!$C:$C,"&lt;="&amp;$D836,[1]内部转账!$F:$F,$G836)),"")</f>
        <v>13381.5199999986</v>
      </c>
      <c r="M836" s="64" t="s">
        <v>150</v>
      </c>
      <c r="N836" s="69"/>
      <c r="O836" s="64"/>
      <c r="P836" s="64"/>
      <c r="Q836" s="69"/>
      <c r="R836" s="69"/>
      <c r="S836" s="69"/>
    </row>
    <row r="837" s="2" customFormat="1" ht="24.95" customHeight="1" spans="1:19">
      <c r="A837" s="15"/>
      <c r="B837" s="55"/>
      <c r="C837" s="56"/>
      <c r="D837" s="68">
        <v>46148</v>
      </c>
      <c r="E837" s="69"/>
      <c r="F837" s="69" t="s">
        <v>26</v>
      </c>
      <c r="G837" s="65" t="s">
        <v>27</v>
      </c>
      <c r="H837" s="65" t="s">
        <v>138</v>
      </c>
      <c r="I837" s="70" t="s">
        <v>403</v>
      </c>
      <c r="J837" s="71"/>
      <c r="K837" s="71">
        <v>4940</v>
      </c>
      <c r="L837" s="72">
        <f>IFERROR(IF(G837="","",VLOOKUP($G837,[1]基础信息!$B:$C,2,FALSE)+SUMIF(G$8:G837,G837,J$8:J837)-SUMIF(G$8:G837,G837,K$8:K837)+SUMIFS([1]内部转账!$G:$G,[1]内部转账!$C:$C,"&lt;="&amp;$D837,[1]内部转账!$E:$E,$G837)-SUMIFS([1]内部转账!$G:$G,[1]内部转账!$C:$C,"&lt;="&amp;$D837,[1]内部转账!$F:$F,$G837)),"")</f>
        <v>8441.51999999862</v>
      </c>
      <c r="M837" s="64" t="s">
        <v>150</v>
      </c>
      <c r="N837" s="69"/>
      <c r="O837" s="64"/>
      <c r="P837" s="64" t="s">
        <v>216</v>
      </c>
      <c r="Q837" s="69"/>
      <c r="R837" s="69"/>
      <c r="S837" s="69"/>
    </row>
    <row r="838" s="2" customFormat="1" ht="24.95" customHeight="1" spans="1:19">
      <c r="A838" s="15"/>
      <c r="B838" s="55"/>
      <c r="C838" s="56"/>
      <c r="D838" s="68">
        <v>46150</v>
      </c>
      <c r="E838" s="69"/>
      <c r="F838" s="69" t="s">
        <v>26</v>
      </c>
      <c r="G838" s="65" t="s">
        <v>27</v>
      </c>
      <c r="H838" s="65" t="s">
        <v>28</v>
      </c>
      <c r="I838" s="70" t="s">
        <v>29</v>
      </c>
      <c r="J838" s="71"/>
      <c r="K838" s="71">
        <v>-10000</v>
      </c>
      <c r="L838" s="72">
        <f>IFERROR(IF(G838="","",VLOOKUP($G838,[1]基础信息!$B:$C,2,FALSE)+SUMIF(G$8:G838,G838,J$8:J838)-SUMIF(G$8:G838,G838,K$8:K838)+SUMIFS([1]内部转账!$G:$G,[1]内部转账!$C:$C,"&lt;="&amp;$D838,[1]内部转账!$E:$E,$G838)-SUMIFS([1]内部转账!$G:$G,[1]内部转账!$C:$C,"&lt;="&amp;$D838,[1]内部转账!$F:$F,$G838)),"")</f>
        <v>18441.5199999986</v>
      </c>
      <c r="M838" s="64" t="s">
        <v>30</v>
      </c>
      <c r="N838" s="69" t="s">
        <v>31</v>
      </c>
      <c r="O838" s="64"/>
      <c r="P838" s="64" t="s">
        <v>31</v>
      </c>
      <c r="Q838" s="69"/>
      <c r="R838" s="69"/>
      <c r="S838" s="69"/>
    </row>
    <row r="839" s="2" customFormat="1" ht="24.95" customHeight="1" spans="1:19">
      <c r="A839" s="15"/>
      <c r="B839" s="55"/>
      <c r="C839" s="56"/>
      <c r="D839" s="68">
        <v>46150</v>
      </c>
      <c r="E839" s="69"/>
      <c r="F839" s="69" t="s">
        <v>26</v>
      </c>
      <c r="G839" s="65" t="s">
        <v>27</v>
      </c>
      <c r="H839" s="65" t="s">
        <v>28</v>
      </c>
      <c r="I839" s="70" t="s">
        <v>29</v>
      </c>
      <c r="J839" s="71"/>
      <c r="K839" s="71">
        <v>-2000</v>
      </c>
      <c r="L839" s="72">
        <f>IFERROR(IF(G839="","",VLOOKUP($G839,[1]基础信息!$B:$C,2,FALSE)+SUMIF(G$8:G839,G839,J$8:J839)-SUMIF(G$8:G839,G839,K$8:K839)+SUMIFS([1]内部转账!$G:$G,[1]内部转账!$C:$C,"&lt;="&amp;$D839,[1]内部转账!$E:$E,$G839)-SUMIFS([1]内部转账!$G:$G,[1]内部转账!$C:$C,"&lt;="&amp;$D839,[1]内部转账!$F:$F,$G839)),"")</f>
        <v>20441.5199999986</v>
      </c>
      <c r="M839" s="64" t="s">
        <v>30</v>
      </c>
      <c r="N839" s="69" t="s">
        <v>31</v>
      </c>
      <c r="O839" s="64"/>
      <c r="P839" s="64" t="s">
        <v>31</v>
      </c>
      <c r="Q839" s="69"/>
      <c r="R839" s="69"/>
      <c r="S839" s="69"/>
    </row>
    <row r="840" s="2" customFormat="1" ht="24.95" customHeight="1" spans="1:19">
      <c r="A840" s="15"/>
      <c r="B840" s="55"/>
      <c r="C840" s="56"/>
      <c r="D840" s="68">
        <v>46150</v>
      </c>
      <c r="E840" s="69"/>
      <c r="F840" s="69" t="s">
        <v>26</v>
      </c>
      <c r="G840" s="65" t="s">
        <v>27</v>
      </c>
      <c r="H840" s="65" t="s">
        <v>28</v>
      </c>
      <c r="I840" s="70" t="s">
        <v>452</v>
      </c>
      <c r="J840" s="71"/>
      <c r="K840" s="71">
        <v>20000</v>
      </c>
      <c r="L840" s="72">
        <f>IFERROR(IF(G840="","",VLOOKUP($G840,[1]基础信息!$B:$C,2,FALSE)+SUMIF(G$8:G840,G840,J$8:J840)-SUMIF(G$8:G840,G840,K$8:K840)+SUMIFS([1]内部转账!$G:$G,[1]内部转账!$C:$C,"&lt;="&amp;$D840,[1]内部转账!$E:$E,$G840)-SUMIFS([1]内部转账!$G:$G,[1]内部转账!$C:$C,"&lt;="&amp;$D840,[1]内部转账!$F:$F,$G840)),"")</f>
        <v>441.519999998622</v>
      </c>
      <c r="M840" s="64" t="s">
        <v>30</v>
      </c>
      <c r="N840" s="69" t="s">
        <v>31</v>
      </c>
      <c r="O840" s="64"/>
      <c r="P840" s="64" t="s">
        <v>453</v>
      </c>
      <c r="Q840" s="69"/>
      <c r="R840" s="69"/>
      <c r="S840" s="69"/>
    </row>
    <row r="841" s="2" customFormat="1" ht="24.95" customHeight="1" spans="1:19">
      <c r="A841" s="15"/>
      <c r="B841" s="55"/>
      <c r="C841" s="56"/>
      <c r="D841" s="68">
        <v>46150</v>
      </c>
      <c r="E841" s="69"/>
      <c r="F841" s="69" t="s">
        <v>26</v>
      </c>
      <c r="G841" s="65" t="s">
        <v>27</v>
      </c>
      <c r="H841" s="65" t="s">
        <v>28</v>
      </c>
      <c r="I841" s="70" t="s">
        <v>452</v>
      </c>
      <c r="J841" s="71"/>
      <c r="K841" s="71">
        <v>-20000</v>
      </c>
      <c r="L841" s="72">
        <f>IFERROR(IF(G841="","",VLOOKUP($G841,[1]基础信息!$B:$C,2,FALSE)+SUMIF(G$8:G841,G841,J$8:J841)-SUMIF(G$8:G841,G841,K$8:K841)+SUMIFS([1]内部转账!$G:$G,[1]内部转账!$C:$C,"&lt;="&amp;$D841,[1]内部转账!$E:$E,$G841)-SUMIFS([1]内部转账!$G:$G,[1]内部转账!$C:$C,"&lt;="&amp;$D841,[1]内部转账!$F:$F,$G841)),"")</f>
        <v>20441.5199999986</v>
      </c>
      <c r="M841" s="64" t="s">
        <v>30</v>
      </c>
      <c r="N841" s="69" t="s">
        <v>31</v>
      </c>
      <c r="O841" s="64"/>
      <c r="P841" s="64" t="s">
        <v>453</v>
      </c>
      <c r="Q841" s="69"/>
      <c r="R841" s="69"/>
      <c r="S841" s="69"/>
    </row>
    <row r="842" s="2" customFormat="1" ht="24.95" customHeight="1" spans="1:19">
      <c r="A842" s="15"/>
      <c r="B842" s="55"/>
      <c r="C842" s="56"/>
      <c r="D842" s="68">
        <v>46150</v>
      </c>
      <c r="E842" s="69"/>
      <c r="F842" s="69" t="s">
        <v>26</v>
      </c>
      <c r="G842" s="65" t="s">
        <v>27</v>
      </c>
      <c r="H842" s="65" t="s">
        <v>28</v>
      </c>
      <c r="I842" s="70" t="s">
        <v>452</v>
      </c>
      <c r="J842" s="71"/>
      <c r="K842" s="71">
        <v>20000</v>
      </c>
      <c r="L842" s="72">
        <f>IFERROR(IF(G842="","",VLOOKUP($G842,[1]基础信息!$B:$C,2,FALSE)+SUMIF(G$8:G842,G842,J$8:J842)-SUMIF(G$8:G842,G842,K$8:K842)+SUMIFS([1]内部转账!$G:$G,[1]内部转账!$C:$C,"&lt;="&amp;$D842,[1]内部转账!$E:$E,$G842)-SUMIFS([1]内部转账!$G:$G,[1]内部转账!$C:$C,"&lt;="&amp;$D842,[1]内部转账!$F:$F,$G842)),"")</f>
        <v>441.519999998622</v>
      </c>
      <c r="M842" s="64" t="s">
        <v>30</v>
      </c>
      <c r="N842" s="58" t="s">
        <v>31</v>
      </c>
      <c r="O842" s="64"/>
      <c r="P842" s="64" t="s">
        <v>453</v>
      </c>
      <c r="Q842" s="69"/>
      <c r="R842" s="69"/>
      <c r="S842" s="69"/>
    </row>
    <row r="843" s="2" customFormat="1" ht="24.95" customHeight="1" spans="1:19">
      <c r="A843" s="15"/>
      <c r="B843" s="55"/>
      <c r="C843" s="56"/>
      <c r="D843" s="68">
        <v>46150</v>
      </c>
      <c r="E843" s="69"/>
      <c r="F843" s="69" t="s">
        <v>26</v>
      </c>
      <c r="G843" s="65" t="s">
        <v>27</v>
      </c>
      <c r="H843" s="65" t="s">
        <v>28</v>
      </c>
      <c r="I843" s="70" t="s">
        <v>452</v>
      </c>
      <c r="J843" s="71"/>
      <c r="K843" s="71">
        <v>-20000</v>
      </c>
      <c r="L843" s="72">
        <f>IFERROR(IF(G843="","",VLOOKUP($G843,[1]基础信息!$B:$C,2,FALSE)+SUMIF(G$8:G843,G843,J$8:J843)-SUMIF(G$8:G843,G843,K$8:K843)+SUMIFS([1]内部转账!$G:$G,[1]内部转账!$C:$C,"&lt;="&amp;$D843,[1]内部转账!$E:$E,$G843)-SUMIFS([1]内部转账!$G:$G,[1]内部转账!$C:$C,"&lt;="&amp;$D843,[1]内部转账!$F:$F,$G843)),"")</f>
        <v>20441.5199999986</v>
      </c>
      <c r="M843" s="64" t="s">
        <v>30</v>
      </c>
      <c r="N843" s="58" t="s">
        <v>31</v>
      </c>
      <c r="O843" s="64"/>
      <c r="P843" s="64" t="s">
        <v>453</v>
      </c>
      <c r="Q843" s="69"/>
      <c r="R843" s="69"/>
      <c r="S843" s="69"/>
    </row>
    <row r="844" s="2" customFormat="1" ht="24.95" customHeight="1" spans="1:19">
      <c r="A844" s="15"/>
      <c r="B844" s="55"/>
      <c r="C844" s="56"/>
      <c r="D844" s="68">
        <v>46150</v>
      </c>
      <c r="E844" s="69"/>
      <c r="F844" s="69" t="s">
        <v>26</v>
      </c>
      <c r="G844" s="65" t="s">
        <v>27</v>
      </c>
      <c r="H844" s="65" t="s">
        <v>28</v>
      </c>
      <c r="I844" s="70" t="s">
        <v>452</v>
      </c>
      <c r="J844" s="71"/>
      <c r="K844" s="71">
        <v>20000</v>
      </c>
      <c r="L844" s="72">
        <f>IFERROR(IF(G844="","",VLOOKUP($G844,[1]基础信息!$B:$C,2,FALSE)+SUMIF(G$8:G844,G844,J$8:J844)-SUMIF(G$8:G844,G844,K$8:K844)+SUMIFS([1]内部转账!$G:$G,[1]内部转账!$C:$C,"&lt;="&amp;$D844,[1]内部转账!$E:$E,$G844)-SUMIFS([1]内部转账!$G:$G,[1]内部转账!$C:$C,"&lt;="&amp;$D844,[1]内部转账!$F:$F,$G844)),"")</f>
        <v>441.519999998622</v>
      </c>
      <c r="M844" s="64" t="s">
        <v>30</v>
      </c>
      <c r="N844" s="58" t="s">
        <v>31</v>
      </c>
      <c r="O844" s="64"/>
      <c r="P844" s="64" t="s">
        <v>453</v>
      </c>
      <c r="Q844" s="69"/>
      <c r="R844" s="69"/>
      <c r="S844" s="69"/>
    </row>
    <row r="845" s="2" customFormat="1" ht="24.95" customHeight="1" spans="1:19">
      <c r="A845" s="15"/>
      <c r="B845" s="55"/>
      <c r="C845" s="56"/>
      <c r="D845" s="68">
        <v>46155</v>
      </c>
      <c r="E845" s="69"/>
      <c r="F845" s="69" t="s">
        <v>26</v>
      </c>
      <c r="G845" s="65" t="s">
        <v>27</v>
      </c>
      <c r="H845" s="65" t="s">
        <v>28</v>
      </c>
      <c r="I845" s="70" t="s">
        <v>29</v>
      </c>
      <c r="J845" s="71"/>
      <c r="K845" s="71">
        <v>-10000</v>
      </c>
      <c r="L845" s="72">
        <f>IFERROR(IF(G845="","",VLOOKUP($G845,[1]基础信息!$B:$C,2,FALSE)+SUMIF(G$8:G845,G845,J$8:J845)-SUMIF(G$8:G845,G845,K$8:K845)+SUMIFS([1]内部转账!$G:$G,[1]内部转账!$C:$C,"&lt;="&amp;$D845,[1]内部转账!$E:$E,$G845)-SUMIFS([1]内部转账!$G:$G,[1]内部转账!$C:$C,"&lt;="&amp;$D845,[1]内部转账!$F:$F,$G845)),"")</f>
        <v>10441.5199999986</v>
      </c>
      <c r="M845" s="64" t="s">
        <v>30</v>
      </c>
      <c r="N845" s="58" t="s">
        <v>31</v>
      </c>
      <c r="O845" s="64"/>
      <c r="P845" s="64" t="s">
        <v>31</v>
      </c>
      <c r="Q845" s="69"/>
      <c r="R845" s="69"/>
      <c r="S845" s="69"/>
    </row>
    <row r="846" s="2" customFormat="1" ht="24.95" customHeight="1" spans="1:19">
      <c r="A846" s="15"/>
      <c r="B846" s="55"/>
      <c r="C846" s="56"/>
      <c r="D846" s="68">
        <v>46155</v>
      </c>
      <c r="E846" s="69"/>
      <c r="F846" s="69" t="s">
        <v>26</v>
      </c>
      <c r="G846" s="65" t="s">
        <v>27</v>
      </c>
      <c r="H846" s="65" t="s">
        <v>83</v>
      </c>
      <c r="I846" s="70" t="s">
        <v>454</v>
      </c>
      <c r="J846" s="71"/>
      <c r="K846" s="71">
        <v>6467.49</v>
      </c>
      <c r="L846" s="72">
        <f>IFERROR(IF(G846="","",VLOOKUP($G846,[1]基础信息!$B:$C,2,FALSE)+SUMIF(G$8:G846,G846,J$8:J846)-SUMIF(G$8:G846,G846,K$8:K846)+SUMIFS([1]内部转账!$G:$G,[1]内部转账!$C:$C,"&lt;="&amp;$D846,[1]内部转账!$E:$E,$G846)-SUMIFS([1]内部转账!$G:$G,[1]内部转账!$C:$C,"&lt;="&amp;$D846,[1]内部转账!$F:$F,$G846)),"")</f>
        <v>3974.0299999984</v>
      </c>
      <c r="M846" s="64" t="s">
        <v>317</v>
      </c>
      <c r="N846" s="58"/>
      <c r="O846" s="64"/>
      <c r="P846" s="64"/>
      <c r="Q846" s="69"/>
      <c r="R846" s="69"/>
      <c r="S846" s="69"/>
    </row>
    <row r="847" s="2" customFormat="1" ht="24.95" customHeight="1" spans="1:19">
      <c r="A847" s="15"/>
      <c r="B847" s="55"/>
      <c r="C847" s="56"/>
      <c r="D847" s="68">
        <v>46155</v>
      </c>
      <c r="E847" s="69"/>
      <c r="F847" s="69" t="s">
        <v>26</v>
      </c>
      <c r="G847" s="65" t="s">
        <v>27</v>
      </c>
      <c r="H847" s="65" t="s">
        <v>83</v>
      </c>
      <c r="I847" s="70" t="s">
        <v>455</v>
      </c>
      <c r="J847" s="71"/>
      <c r="K847" s="71">
        <v>410.63</v>
      </c>
      <c r="L847" s="72">
        <f>IFERROR(IF(G847="","",VLOOKUP($G847,[1]基础信息!$B:$C,2,FALSE)+SUMIF(G$8:G847,G847,J$8:J847)-SUMIF(G$8:G847,G847,K$8:K847)+SUMIFS([1]内部转账!$G:$G,[1]内部转账!$C:$C,"&lt;="&amp;$D847,[1]内部转账!$E:$E,$G847)-SUMIFS([1]内部转账!$G:$G,[1]内部转账!$C:$C,"&lt;="&amp;$D847,[1]内部转账!$F:$F,$G847)),"")</f>
        <v>3563.39999999851</v>
      </c>
      <c r="M847" s="64" t="s">
        <v>317</v>
      </c>
      <c r="N847" s="58"/>
      <c r="O847" s="64"/>
      <c r="P847" s="64"/>
      <c r="Q847" s="69"/>
      <c r="R847" s="69"/>
      <c r="S847" s="69"/>
    </row>
    <row r="848" s="2" customFormat="1" ht="24.95" customHeight="1" spans="1:19">
      <c r="A848" s="15"/>
      <c r="B848" s="55"/>
      <c r="C848" s="56"/>
      <c r="D848" s="68">
        <v>46155</v>
      </c>
      <c r="E848" s="69"/>
      <c r="F848" s="69" t="s">
        <v>26</v>
      </c>
      <c r="G848" s="65" t="s">
        <v>27</v>
      </c>
      <c r="H848" s="65" t="s">
        <v>83</v>
      </c>
      <c r="I848" s="70" t="s">
        <v>456</v>
      </c>
      <c r="J848" s="71"/>
      <c r="K848" s="71">
        <v>1245.06</v>
      </c>
      <c r="L848" s="72">
        <f>IFERROR(IF(G848="","",VLOOKUP($G848,[1]基础信息!$B:$C,2,FALSE)+SUMIF(G$8:G848,G848,J$8:J848)-SUMIF(G$8:G848,G848,K$8:K848)+SUMIFS([1]内部转账!$G:$G,[1]内部转账!$C:$C,"&lt;="&amp;$D848,[1]内部转账!$E:$E,$G848)-SUMIFS([1]内部转账!$G:$G,[1]内部转账!$C:$C,"&lt;="&amp;$D848,[1]内部转账!$F:$F,$G848)),"")</f>
        <v>2318.33999999892</v>
      </c>
      <c r="M848" s="64" t="s">
        <v>35</v>
      </c>
      <c r="N848" s="58"/>
      <c r="O848" s="64"/>
      <c r="P848" s="64"/>
      <c r="Q848" s="69"/>
      <c r="R848" s="69"/>
      <c r="S848" s="69"/>
    </row>
    <row r="849" s="2" customFormat="1" ht="24.95" customHeight="1" spans="1:19">
      <c r="A849" s="15"/>
      <c r="B849" s="55"/>
      <c r="C849" s="56"/>
      <c r="D849" s="68">
        <v>46155</v>
      </c>
      <c r="E849" s="69"/>
      <c r="F849" s="69" t="s">
        <v>42</v>
      </c>
      <c r="G849" s="65" t="s">
        <v>279</v>
      </c>
      <c r="H849" s="65" t="s">
        <v>43</v>
      </c>
      <c r="I849" s="70" t="s">
        <v>280</v>
      </c>
      <c r="J849" s="71">
        <v>95300</v>
      </c>
      <c r="K849" s="71"/>
      <c r="L849" s="72">
        <f>IFERROR(IF(G849="","",VLOOKUP($G849,[1]基础信息!$B:$C,2,FALSE)+SUMIF(G$8:G849,G849,J$8:J849)-SUMIF(G$8:G849,G849,K$8:K849)+SUMIFS([1]内部转账!$G:$G,[1]内部转账!$C:$C,"&lt;="&amp;$D849,[1]内部转账!$E:$E,$G849)-SUMIFS([1]内部转账!$G:$G,[1]内部转账!$C:$C,"&lt;="&amp;$D849,[1]内部转账!$F:$F,$G849)),"")</f>
        <v>95300</v>
      </c>
      <c r="M849" s="64" t="s">
        <v>150</v>
      </c>
      <c r="N849" s="58"/>
      <c r="O849" s="64" t="s">
        <v>151</v>
      </c>
      <c r="P849" s="64"/>
      <c r="Q849" s="69">
        <v>1001</v>
      </c>
      <c r="R849" s="69"/>
      <c r="S849" s="69"/>
    </row>
    <row r="850" s="2" customFormat="1" ht="24.95" customHeight="1" spans="1:19">
      <c r="A850" s="15"/>
      <c r="B850" s="55"/>
      <c r="C850" s="56"/>
      <c r="D850" s="68">
        <v>46155</v>
      </c>
      <c r="E850" s="69"/>
      <c r="F850" s="69" t="s">
        <v>26</v>
      </c>
      <c r="G850" s="65" t="s">
        <v>279</v>
      </c>
      <c r="H850" s="65" t="s">
        <v>46</v>
      </c>
      <c r="I850" s="70" t="s">
        <v>457</v>
      </c>
      <c r="J850" s="71"/>
      <c r="K850" s="71">
        <v>15800</v>
      </c>
      <c r="L850" s="72">
        <f>IFERROR(IF(G850="","",VLOOKUP($G850,[1]基础信息!$B:$C,2,FALSE)+SUMIF(G$8:G850,G850,J$8:J850)-SUMIF(G$8:G850,G850,K$8:K850)+SUMIFS([1]内部转账!$G:$G,[1]内部转账!$C:$C,"&lt;="&amp;$D850,[1]内部转账!$E:$E,$G850)-SUMIFS([1]内部转账!$G:$G,[1]内部转账!$C:$C,"&lt;="&amp;$D850,[1]内部转账!$F:$F,$G850)),"")</f>
        <v>79500</v>
      </c>
      <c r="M850" s="64" t="s">
        <v>150</v>
      </c>
      <c r="N850" s="69"/>
      <c r="O850" s="64"/>
      <c r="P850" s="64"/>
      <c r="Q850" s="69"/>
      <c r="R850" s="69"/>
      <c r="S850" s="69"/>
    </row>
    <row r="851" s="2" customFormat="1" ht="24.95" customHeight="1" spans="1:19">
      <c r="A851" s="15"/>
      <c r="B851" s="55"/>
      <c r="C851" s="56"/>
      <c r="D851" s="68">
        <v>46155</v>
      </c>
      <c r="E851" s="69"/>
      <c r="F851" s="69" t="s">
        <v>26</v>
      </c>
      <c r="G851" s="65" t="s">
        <v>279</v>
      </c>
      <c r="H851" s="65" t="s">
        <v>46</v>
      </c>
      <c r="I851" s="70" t="s">
        <v>458</v>
      </c>
      <c r="J851" s="71"/>
      <c r="K851" s="71">
        <v>15800</v>
      </c>
      <c r="L851" s="72">
        <f>IFERROR(IF(G851="","",VLOOKUP($G851,[1]基础信息!$B:$C,2,FALSE)+SUMIF(G$8:G851,G851,J$8:J851)-SUMIF(G$8:G851,G851,K$8:K851)+SUMIFS([1]内部转账!$G:$G,[1]内部转账!$C:$C,"&lt;="&amp;$D851,[1]内部转账!$E:$E,$G851)-SUMIFS([1]内部转账!$G:$G,[1]内部转账!$C:$C,"&lt;="&amp;$D851,[1]内部转账!$F:$F,$G851)),"")</f>
        <v>63700</v>
      </c>
      <c r="M851" s="64" t="s">
        <v>150</v>
      </c>
      <c r="N851" s="69"/>
      <c r="O851" s="64"/>
      <c r="P851" s="64"/>
      <c r="Q851" s="69"/>
      <c r="R851" s="69"/>
      <c r="S851" s="69"/>
    </row>
    <row r="852" s="2" customFormat="1" ht="24.95" customHeight="1" spans="1:19">
      <c r="A852" s="15"/>
      <c r="B852" s="55"/>
      <c r="C852" s="56"/>
      <c r="D852" s="68">
        <v>46155</v>
      </c>
      <c r="E852" s="69"/>
      <c r="F852" s="69" t="s">
        <v>26</v>
      </c>
      <c r="G852" s="65" t="s">
        <v>279</v>
      </c>
      <c r="H852" s="65" t="s">
        <v>46</v>
      </c>
      <c r="I852" s="70" t="s">
        <v>459</v>
      </c>
      <c r="J852" s="71"/>
      <c r="K852" s="71">
        <v>15800</v>
      </c>
      <c r="L852" s="72">
        <f>IFERROR(IF(G852="","",VLOOKUP($G852,[1]基础信息!$B:$C,2,FALSE)+SUMIF(G$8:G852,G852,J$8:J852)-SUMIF(G$8:G852,G852,K$8:K852)+SUMIFS([1]内部转账!$G:$G,[1]内部转账!$C:$C,"&lt;="&amp;$D852,[1]内部转账!$E:$E,$G852)-SUMIFS([1]内部转账!$G:$G,[1]内部转账!$C:$C,"&lt;="&amp;$D852,[1]内部转账!$F:$F,$G852)),"")</f>
        <v>47900</v>
      </c>
      <c r="M852" s="64" t="s">
        <v>150</v>
      </c>
      <c r="N852" s="69"/>
      <c r="O852" s="64"/>
      <c r="P852" s="64"/>
      <c r="Q852" s="69"/>
      <c r="R852" s="69"/>
      <c r="S852" s="69"/>
    </row>
    <row r="853" s="2" customFormat="1" ht="24.95" customHeight="1" spans="1:19">
      <c r="A853" s="15"/>
      <c r="B853" s="55"/>
      <c r="C853" s="56"/>
      <c r="D853" s="68">
        <v>46155</v>
      </c>
      <c r="E853" s="69"/>
      <c r="F853" s="69" t="s">
        <v>26</v>
      </c>
      <c r="G853" s="65" t="s">
        <v>279</v>
      </c>
      <c r="H853" s="65" t="s">
        <v>46</v>
      </c>
      <c r="I853" s="70" t="s">
        <v>460</v>
      </c>
      <c r="J853" s="71"/>
      <c r="K853" s="71">
        <v>16300</v>
      </c>
      <c r="L853" s="72">
        <f>IFERROR(IF(G853="","",VLOOKUP($G853,[1]基础信息!$B:$C,2,FALSE)+SUMIF(G$8:G853,G853,J$8:J853)-SUMIF(G$8:G853,G853,K$8:K853)+SUMIFS([1]内部转账!$G:$G,[1]内部转账!$C:$C,"&lt;="&amp;$D853,[1]内部转账!$E:$E,$G853)-SUMIFS([1]内部转账!$G:$G,[1]内部转账!$C:$C,"&lt;="&amp;$D853,[1]内部转账!$F:$F,$G853)),"")</f>
        <v>31600</v>
      </c>
      <c r="M853" s="64" t="s">
        <v>150</v>
      </c>
      <c r="N853" s="69"/>
      <c r="O853" s="64"/>
      <c r="P853" s="64"/>
      <c r="Q853" s="69"/>
      <c r="R853" s="69"/>
      <c r="S853" s="69"/>
    </row>
    <row r="854" s="2" customFormat="1" ht="24.95" customHeight="1" spans="1:19">
      <c r="A854" s="15"/>
      <c r="B854" s="55"/>
      <c r="C854" s="56"/>
      <c r="D854" s="68">
        <v>46155</v>
      </c>
      <c r="E854" s="69"/>
      <c r="F854" s="69" t="s">
        <v>26</v>
      </c>
      <c r="G854" s="65" t="s">
        <v>279</v>
      </c>
      <c r="H854" s="65" t="s">
        <v>53</v>
      </c>
      <c r="I854" s="70" t="s">
        <v>461</v>
      </c>
      <c r="J854" s="71"/>
      <c r="K854" s="71">
        <v>15800</v>
      </c>
      <c r="L854" s="72">
        <f>IFERROR(IF(G854="","",VLOOKUP($G854,[1]基础信息!$B:$C,2,FALSE)+SUMIF(G$8:G854,G854,J$8:J854)-SUMIF(G$8:G854,G854,K$8:K854)+SUMIFS([1]内部转账!$G:$G,[1]内部转账!$C:$C,"&lt;="&amp;$D854,[1]内部转账!$E:$E,$G854)-SUMIFS([1]内部转账!$G:$G,[1]内部转账!$C:$C,"&lt;="&amp;$D854,[1]内部转账!$F:$F,$G854)),"")</f>
        <v>15800</v>
      </c>
      <c r="M854" s="64" t="s">
        <v>150</v>
      </c>
      <c r="N854" s="69" t="s">
        <v>98</v>
      </c>
      <c r="O854" s="64"/>
      <c r="P854" s="64"/>
      <c r="Q854" s="69"/>
      <c r="R854" s="69"/>
      <c r="S854" s="69"/>
    </row>
    <row r="855" s="2" customFormat="1" ht="24.95" customHeight="1" spans="1:19">
      <c r="A855" s="15"/>
      <c r="B855" s="55"/>
      <c r="C855" s="56"/>
      <c r="D855" s="68">
        <v>46155</v>
      </c>
      <c r="E855" s="69"/>
      <c r="F855" s="69" t="s">
        <v>26</v>
      </c>
      <c r="G855" s="65" t="s">
        <v>279</v>
      </c>
      <c r="H855" s="65" t="s">
        <v>46</v>
      </c>
      <c r="I855" s="70" t="s">
        <v>462</v>
      </c>
      <c r="J855" s="71"/>
      <c r="K855" s="71">
        <v>15800</v>
      </c>
      <c r="L855" s="72">
        <f>IFERROR(IF(G855="","",VLOOKUP($G855,[1]基础信息!$B:$C,2,FALSE)+SUMIF(G$8:G855,G855,J$8:J855)-SUMIF(G$8:G855,G855,K$8:K855)+SUMIFS([1]内部转账!$G:$G,[1]内部转账!$C:$C,"&lt;="&amp;$D855,[1]内部转账!$E:$E,$G855)-SUMIFS([1]内部转账!$G:$G,[1]内部转账!$C:$C,"&lt;="&amp;$D855,[1]内部转账!$F:$F,$G855)),"")</f>
        <v>0</v>
      </c>
      <c r="M855" s="64" t="s">
        <v>150</v>
      </c>
      <c r="N855" s="69"/>
      <c r="O855" s="64"/>
      <c r="P855" s="64"/>
      <c r="Q855" s="69"/>
      <c r="R855" s="69"/>
      <c r="S855" s="69"/>
    </row>
    <row r="856" s="2" customFormat="1" ht="24.95" customHeight="1" spans="1:19">
      <c r="A856" s="15"/>
      <c r="B856" s="55"/>
      <c r="C856" s="56"/>
      <c r="D856" s="68">
        <v>46156</v>
      </c>
      <c r="E856" s="69"/>
      <c r="F856" s="69" t="s">
        <v>26</v>
      </c>
      <c r="G856" s="65" t="s">
        <v>125</v>
      </c>
      <c r="H856" s="65" t="s">
        <v>46</v>
      </c>
      <c r="I856" s="70" t="s">
        <v>463</v>
      </c>
      <c r="J856" s="71"/>
      <c r="K856" s="71">
        <v>-13300</v>
      </c>
      <c r="L856" s="72">
        <f>IFERROR(IF(G856="","",VLOOKUP($G856,[1]基础信息!$B:$C,2,FALSE)+SUMIF(G$8:G856,G856,J$8:J856)-SUMIF(G$8:G856,G856,K$8:K856)+SUMIFS([1]内部转账!$G:$G,[1]内部转账!$C:$C,"&lt;="&amp;$D856,[1]内部转账!$E:$E,$G856)-SUMIFS([1]内部转账!$G:$G,[1]内部转账!$C:$C,"&lt;="&amp;$D856,[1]内部转账!$F:$F,$G856)),"")</f>
        <v>-66700</v>
      </c>
      <c r="M856" s="64" t="s">
        <v>150</v>
      </c>
      <c r="N856" s="69" t="s">
        <v>98</v>
      </c>
      <c r="O856" s="64"/>
      <c r="P856" s="64"/>
      <c r="Q856" s="69"/>
      <c r="R856" s="69"/>
      <c r="S856" s="69"/>
    </row>
    <row r="857" s="2" customFormat="1" ht="24.95" customHeight="1" spans="1:19">
      <c r="A857" s="15"/>
      <c r="B857" s="55"/>
      <c r="C857" s="56"/>
      <c r="D857" s="68">
        <v>46156</v>
      </c>
      <c r="E857" s="69"/>
      <c r="F857" s="69" t="s">
        <v>26</v>
      </c>
      <c r="G857" s="65" t="s">
        <v>125</v>
      </c>
      <c r="H857" s="65" t="s">
        <v>46</v>
      </c>
      <c r="I857" s="70" t="s">
        <v>464</v>
      </c>
      <c r="J857" s="71"/>
      <c r="K857" s="71">
        <v>-15800</v>
      </c>
      <c r="L857" s="72">
        <f>IFERROR(IF(G857="","",VLOOKUP($G857,[1]基础信息!$B:$C,2,FALSE)+SUMIF(G$8:G857,G857,J$8:J857)-SUMIF(G$8:G857,G857,K$8:K857)+SUMIFS([1]内部转账!$G:$G,[1]内部转账!$C:$C,"&lt;="&amp;$D857,[1]内部转账!$E:$E,$G857)-SUMIFS([1]内部转账!$G:$G,[1]内部转账!$C:$C,"&lt;="&amp;$D857,[1]内部转账!$F:$F,$G857)),"")</f>
        <v>-50900</v>
      </c>
      <c r="M857" s="64" t="s">
        <v>150</v>
      </c>
      <c r="N857" s="69" t="s">
        <v>98</v>
      </c>
      <c r="O857" s="64"/>
      <c r="P857" s="64"/>
      <c r="Q857" s="69"/>
      <c r="R857" s="69"/>
      <c r="S857" s="69"/>
    </row>
    <row r="858" s="2" customFormat="1" ht="24.95" customHeight="1" spans="1:19">
      <c r="A858" s="15"/>
      <c r="B858" s="55"/>
      <c r="C858" s="56"/>
      <c r="D858" s="68">
        <v>46156</v>
      </c>
      <c r="E858" s="69"/>
      <c r="F858" s="69" t="s">
        <v>26</v>
      </c>
      <c r="G858" s="65" t="s">
        <v>125</v>
      </c>
      <c r="H858" s="65" t="s">
        <v>46</v>
      </c>
      <c r="I858" s="70" t="s">
        <v>465</v>
      </c>
      <c r="J858" s="71"/>
      <c r="K858" s="71">
        <v>-15800</v>
      </c>
      <c r="L858" s="72">
        <f>IFERROR(IF(G858="","",VLOOKUP($G858,[1]基础信息!$B:$C,2,FALSE)+SUMIF(G$8:G858,G858,J$8:J858)-SUMIF(G$8:G858,G858,K$8:K858)+SUMIFS([1]内部转账!$G:$G,[1]内部转账!$C:$C,"&lt;="&amp;$D858,[1]内部转账!$E:$E,$G858)-SUMIFS([1]内部转账!$G:$G,[1]内部转账!$C:$C,"&lt;="&amp;$D858,[1]内部转账!$F:$F,$G858)),"")</f>
        <v>-35100</v>
      </c>
      <c r="M858" s="64" t="s">
        <v>150</v>
      </c>
      <c r="N858" s="69" t="s">
        <v>98</v>
      </c>
      <c r="O858" s="64"/>
      <c r="P858" s="64"/>
      <c r="Q858" s="69"/>
      <c r="R858" s="69"/>
      <c r="S858" s="69"/>
    </row>
    <row r="859" s="2" customFormat="1" ht="24.95" customHeight="1" spans="1:19">
      <c r="A859" s="15"/>
      <c r="B859" s="55"/>
      <c r="C859" s="56"/>
      <c r="D859" s="68">
        <v>46156</v>
      </c>
      <c r="E859" s="69"/>
      <c r="F859" s="69" t="s">
        <v>26</v>
      </c>
      <c r="G859" s="65" t="s">
        <v>125</v>
      </c>
      <c r="H859" s="65" t="s">
        <v>46</v>
      </c>
      <c r="I859" s="70" t="s">
        <v>466</v>
      </c>
      <c r="J859" s="71"/>
      <c r="K859" s="71">
        <v>-12800</v>
      </c>
      <c r="L859" s="72">
        <f>IFERROR(IF(G859="","",VLOOKUP($G859,[1]基础信息!$B:$C,2,FALSE)+SUMIF(G$8:G859,G859,J$8:J859)-SUMIF(G$8:G859,G859,K$8:K859)+SUMIFS([1]内部转账!$G:$G,[1]内部转账!$C:$C,"&lt;="&amp;$D859,[1]内部转账!$E:$E,$G859)-SUMIFS([1]内部转账!$G:$G,[1]内部转账!$C:$C,"&lt;="&amp;$D859,[1]内部转账!$F:$F,$G859)),"")</f>
        <v>-22300</v>
      </c>
      <c r="M859" s="64" t="s">
        <v>150</v>
      </c>
      <c r="N859" s="69" t="s">
        <v>98</v>
      </c>
      <c r="O859" s="64"/>
      <c r="P859" s="64"/>
      <c r="Q859" s="69"/>
      <c r="R859" s="69"/>
      <c r="S859" s="69"/>
    </row>
    <row r="860" s="2" customFormat="1" ht="24.95" customHeight="1" spans="1:19">
      <c r="A860" s="15"/>
      <c r="B860" s="55"/>
      <c r="C860" s="56"/>
      <c r="D860" s="68">
        <v>46156</v>
      </c>
      <c r="E860" s="69"/>
      <c r="F860" s="69" t="s">
        <v>26</v>
      </c>
      <c r="G860" s="65" t="s">
        <v>125</v>
      </c>
      <c r="H860" s="65" t="s">
        <v>53</v>
      </c>
      <c r="I860" s="70" t="s">
        <v>467</v>
      </c>
      <c r="J860" s="71"/>
      <c r="K860" s="71">
        <v>-10000</v>
      </c>
      <c r="L860" s="72">
        <f>IFERROR(IF(G860="","",VLOOKUP($G860,[1]基础信息!$B:$C,2,FALSE)+SUMIF(G$8:G860,G860,J$8:J860)-SUMIF(G$8:G860,G860,K$8:K860)+SUMIFS([1]内部转账!$G:$G,[1]内部转账!$C:$C,"&lt;="&amp;$D860,[1]内部转账!$E:$E,$G860)-SUMIFS([1]内部转账!$G:$G,[1]内部转账!$C:$C,"&lt;="&amp;$D860,[1]内部转账!$F:$F,$G860)),"")</f>
        <v>-12300</v>
      </c>
      <c r="M860" s="64" t="s">
        <v>150</v>
      </c>
      <c r="N860" s="69" t="s">
        <v>98</v>
      </c>
      <c r="O860" s="64"/>
      <c r="P860" s="64"/>
      <c r="Q860" s="69"/>
      <c r="R860" s="69"/>
      <c r="S860" s="69"/>
    </row>
    <row r="861" s="2" customFormat="1" ht="24.95" customHeight="1" spans="1:19">
      <c r="A861" s="15"/>
      <c r="B861" s="55"/>
      <c r="C861" s="56"/>
      <c r="D861" s="68">
        <v>46156</v>
      </c>
      <c r="E861" s="69"/>
      <c r="F861" s="69" t="s">
        <v>26</v>
      </c>
      <c r="G861" s="65" t="s">
        <v>125</v>
      </c>
      <c r="H861" s="65" t="s">
        <v>46</v>
      </c>
      <c r="I861" s="70" t="s">
        <v>468</v>
      </c>
      <c r="J861" s="71"/>
      <c r="K861" s="71">
        <v>-12800</v>
      </c>
      <c r="L861" s="72">
        <f>IFERROR(IF(G861="","",VLOOKUP($G861,[1]基础信息!$B:$C,2,FALSE)+SUMIF(G$8:G861,G861,J$8:J861)-SUMIF(G$8:G861,G861,K$8:K861)+SUMIFS([1]内部转账!$G:$G,[1]内部转账!$C:$C,"&lt;="&amp;$D861,[1]内部转账!$E:$E,$G861)-SUMIFS([1]内部转账!$G:$G,[1]内部转账!$C:$C,"&lt;="&amp;$D861,[1]内部转账!$F:$F,$G861)),"")</f>
        <v>500</v>
      </c>
      <c r="M861" s="64" t="s">
        <v>150</v>
      </c>
      <c r="N861" s="69" t="s">
        <v>98</v>
      </c>
      <c r="O861" s="64"/>
      <c r="P861" s="64"/>
      <c r="Q861" s="69"/>
      <c r="R861" s="69"/>
      <c r="S861" s="69"/>
    </row>
    <row r="862" s="2" customFormat="1" ht="24.95" customHeight="1" spans="1:19">
      <c r="A862" s="15"/>
      <c r="B862" s="55"/>
      <c r="C862" s="56"/>
      <c r="D862" s="68">
        <v>46156</v>
      </c>
      <c r="E862" s="69"/>
      <c r="F862" s="69" t="s">
        <v>26</v>
      </c>
      <c r="G862" s="65" t="s">
        <v>27</v>
      </c>
      <c r="H862" s="65" t="s">
        <v>28</v>
      </c>
      <c r="I862" s="70" t="s">
        <v>29</v>
      </c>
      <c r="J862" s="71"/>
      <c r="K862" s="71">
        <v>-40000</v>
      </c>
      <c r="L862" s="72">
        <f>IFERROR(IF(G862="","",VLOOKUP($G862,[1]基础信息!$B:$C,2,FALSE)+SUMIF(G$8:G862,G862,J$8:J862)-SUMIF(G$8:G862,G862,K$8:K862)+SUMIFS([1]内部转账!$G:$G,[1]内部转账!$C:$C,"&lt;="&amp;$D862,[1]内部转账!$E:$E,$G862)-SUMIFS([1]内部转账!$G:$G,[1]内部转账!$C:$C,"&lt;="&amp;$D862,[1]内部转账!$F:$F,$G862)),"")</f>
        <v>42318.3399999989</v>
      </c>
      <c r="M862" s="64" t="s">
        <v>30</v>
      </c>
      <c r="N862" s="69" t="s">
        <v>31</v>
      </c>
      <c r="O862" s="64"/>
      <c r="P862" s="64" t="s">
        <v>31</v>
      </c>
      <c r="Q862" s="69"/>
      <c r="R862" s="69"/>
      <c r="S862" s="69"/>
    </row>
    <row r="863" s="2" customFormat="1" ht="24.95" customHeight="1" spans="1:19">
      <c r="A863" s="15"/>
      <c r="B863" s="55"/>
      <c r="C863" s="56"/>
      <c r="D863" s="68">
        <v>46156</v>
      </c>
      <c r="E863" s="69"/>
      <c r="F863" s="69" t="s">
        <v>26</v>
      </c>
      <c r="G863" s="65" t="s">
        <v>27</v>
      </c>
      <c r="H863" s="65" t="s">
        <v>62</v>
      </c>
      <c r="I863" s="70" t="s">
        <v>469</v>
      </c>
      <c r="J863" s="71"/>
      <c r="K863" s="71">
        <v>7397</v>
      </c>
      <c r="L863" s="72">
        <f>IFERROR(IF(G863="","",VLOOKUP($G863,[1]基础信息!$B:$C,2,FALSE)+SUMIF(G$8:G863,G863,J$8:J863)-SUMIF(G$8:G863,G863,K$8:K863)+SUMIFS([1]内部转账!$G:$G,[1]内部转账!$C:$C,"&lt;="&amp;$D863,[1]内部转账!$E:$E,$G863)-SUMIFS([1]内部转账!$G:$G,[1]内部转账!$C:$C,"&lt;="&amp;$D863,[1]内部转账!$F:$F,$G863)),"")</f>
        <v>34921.3399999989</v>
      </c>
      <c r="M863" s="64" t="s">
        <v>150</v>
      </c>
      <c r="N863" s="69"/>
      <c r="O863" s="64"/>
      <c r="P863" s="64" t="s">
        <v>263</v>
      </c>
      <c r="Q863" s="69"/>
      <c r="R863" s="69"/>
      <c r="S863" s="69"/>
    </row>
    <row r="864" s="2" customFormat="1" ht="24.95" customHeight="1" spans="1:19">
      <c r="A864" s="15"/>
      <c r="B864" s="55"/>
      <c r="C864" s="56"/>
      <c r="D864" s="68">
        <v>46157</v>
      </c>
      <c r="E864" s="69"/>
      <c r="F864" s="69" t="s">
        <v>26</v>
      </c>
      <c r="G864" s="65" t="s">
        <v>27</v>
      </c>
      <c r="H864" s="65" t="s">
        <v>138</v>
      </c>
      <c r="I864" s="70" t="s">
        <v>207</v>
      </c>
      <c r="J864" s="71"/>
      <c r="K864" s="71">
        <v>10000</v>
      </c>
      <c r="L864" s="72">
        <f>IFERROR(IF(G864="","",VLOOKUP($G864,[1]基础信息!$B:$C,2,FALSE)+SUMIF(G$8:G864,G864,J$8:J864)-SUMIF(G$8:G864,G864,K$8:K864)+SUMIFS([1]内部转账!$G:$G,[1]内部转账!$C:$C,"&lt;="&amp;$D864,[1]内部转账!$E:$E,$G864)-SUMIFS([1]内部转账!$G:$G,[1]内部转账!$C:$C,"&lt;="&amp;$D864,[1]内部转账!$F:$F,$G864)),"")</f>
        <v>24921.3399999989</v>
      </c>
      <c r="M864" s="64" t="s">
        <v>150</v>
      </c>
      <c r="N864" s="69"/>
      <c r="O864" s="64"/>
      <c r="P864" s="64" t="s">
        <v>263</v>
      </c>
      <c r="Q864" s="69"/>
      <c r="R864" s="69"/>
      <c r="S864" s="69"/>
    </row>
    <row r="865" s="2" customFormat="1" ht="24.95" customHeight="1" spans="1:19">
      <c r="A865" s="15"/>
      <c r="B865" s="55"/>
      <c r="C865" s="56"/>
      <c r="D865" s="68">
        <v>46158</v>
      </c>
      <c r="E865" s="69"/>
      <c r="F865" s="69" t="s">
        <v>26</v>
      </c>
      <c r="G865" s="65" t="s">
        <v>27</v>
      </c>
      <c r="H865" s="65" t="s">
        <v>62</v>
      </c>
      <c r="I865" s="70" t="s">
        <v>328</v>
      </c>
      <c r="J865" s="71"/>
      <c r="K865" s="71">
        <v>22000</v>
      </c>
      <c r="L865" s="72">
        <f>IFERROR(IF(G865="","",VLOOKUP($G865,[1]基础信息!$B:$C,2,FALSE)+SUMIF(G$8:G865,G865,J$8:J865)-SUMIF(G$8:G865,G865,K$8:K865)+SUMIFS([1]内部转账!$G:$G,[1]内部转账!$C:$C,"&lt;="&amp;$D865,[1]内部转账!$E:$E,$G865)-SUMIFS([1]内部转账!$G:$G,[1]内部转账!$C:$C,"&lt;="&amp;$D865,[1]内部转账!$F:$F,$G865)),"")</f>
        <v>2921.33999999892</v>
      </c>
      <c r="M865" s="64" t="s">
        <v>235</v>
      </c>
      <c r="N865" s="69"/>
      <c r="O865" s="64"/>
      <c r="P865" s="64" t="s">
        <v>329</v>
      </c>
      <c r="Q865" s="69"/>
      <c r="R865" s="69"/>
      <c r="S865" s="69"/>
    </row>
    <row r="866" s="2" customFormat="1" ht="24.95" customHeight="1" spans="1:19">
      <c r="A866" s="15"/>
      <c r="B866" s="55"/>
      <c r="C866" s="56"/>
      <c r="D866" s="68">
        <v>46161</v>
      </c>
      <c r="E866" s="69"/>
      <c r="F866" s="69" t="s">
        <v>26</v>
      </c>
      <c r="G866" s="65" t="s">
        <v>27</v>
      </c>
      <c r="H866" s="65" t="s">
        <v>28</v>
      </c>
      <c r="I866" s="70" t="s">
        <v>29</v>
      </c>
      <c r="J866" s="71"/>
      <c r="K866" s="71">
        <v>-90000</v>
      </c>
      <c r="L866" s="72">
        <f>IFERROR(IF(G866="","",VLOOKUP($G866,[1]基础信息!$B:$C,2,FALSE)+SUMIF(G$8:G866,G866,J$8:J866)-SUMIF(G$8:G866,G866,K$8:K866)+SUMIFS([1]内部转账!$G:$G,[1]内部转账!$C:$C,"&lt;="&amp;$D866,[1]内部转账!$E:$E,$G866)-SUMIFS([1]内部转账!$G:$G,[1]内部转账!$C:$C,"&lt;="&amp;$D866,[1]内部转账!$F:$F,$G866)),"")</f>
        <v>92921.3399999989</v>
      </c>
      <c r="M866" s="64" t="s">
        <v>30</v>
      </c>
      <c r="N866" s="58" t="s">
        <v>31</v>
      </c>
      <c r="O866" s="64"/>
      <c r="P866" s="64" t="s">
        <v>31</v>
      </c>
      <c r="Q866" s="69"/>
      <c r="R866" s="69"/>
      <c r="S866" s="69"/>
    </row>
    <row r="867" s="2" customFormat="1" ht="24.95" customHeight="1" spans="1:19">
      <c r="A867" s="15"/>
      <c r="B867" s="55"/>
      <c r="C867" s="56"/>
      <c r="D867" s="68">
        <v>46161</v>
      </c>
      <c r="E867" s="69"/>
      <c r="F867" s="69" t="s">
        <v>26</v>
      </c>
      <c r="G867" s="65" t="s">
        <v>27</v>
      </c>
      <c r="H867" s="65" t="s">
        <v>108</v>
      </c>
      <c r="I867" s="70" t="s">
        <v>470</v>
      </c>
      <c r="J867" s="71"/>
      <c r="K867" s="71">
        <v>90000</v>
      </c>
      <c r="L867" s="72">
        <f>IFERROR(IF(G867="","",VLOOKUP($G867,[1]基础信息!$B:$C,2,FALSE)+SUMIF(G$8:G867,G867,J$8:J867)-SUMIF(G$8:G867,G867,K$8:K867)+SUMIFS([1]内部转账!$G:$G,[1]内部转账!$C:$C,"&lt;="&amp;$D867,[1]内部转账!$E:$E,$G867)-SUMIFS([1]内部转账!$G:$G,[1]内部转账!$C:$C,"&lt;="&amp;$D867,[1]内部转账!$F:$F,$G867)),"")</f>
        <v>2921.33999999892</v>
      </c>
      <c r="M867" s="64" t="s">
        <v>35</v>
      </c>
      <c r="N867" s="69"/>
      <c r="O867" s="64"/>
      <c r="P867" s="64"/>
      <c r="Q867" s="69"/>
      <c r="R867" s="69"/>
      <c r="S867" s="69"/>
    </row>
    <row r="868" s="2" customFormat="1" ht="24.95" customHeight="1" spans="1:19">
      <c r="A868" s="15"/>
      <c r="B868" s="55"/>
      <c r="C868" s="56"/>
      <c r="D868" s="68">
        <v>46161</v>
      </c>
      <c r="E868" s="69"/>
      <c r="F868" s="69" t="s">
        <v>26</v>
      </c>
      <c r="G868" s="65" t="s">
        <v>27</v>
      </c>
      <c r="H868" s="65" t="s">
        <v>108</v>
      </c>
      <c r="I868" s="70" t="s">
        <v>470</v>
      </c>
      <c r="J868" s="71"/>
      <c r="K868" s="71">
        <v>-90000</v>
      </c>
      <c r="L868" s="72">
        <f>IFERROR(IF(G868="","",VLOOKUP($G868,[1]基础信息!$B:$C,2,FALSE)+SUMIF(G$8:G868,G868,J$8:J868)-SUMIF(G$8:G868,G868,K$8:K868)+SUMIFS([1]内部转账!$G:$G,[1]内部转账!$C:$C,"&lt;="&amp;$D868,[1]内部转账!$E:$E,$G868)-SUMIFS([1]内部转账!$G:$G,[1]内部转账!$C:$C,"&lt;="&amp;$D868,[1]内部转账!$F:$F,$G868)),"")</f>
        <v>92921.3399999989</v>
      </c>
      <c r="M868" s="64" t="s">
        <v>35</v>
      </c>
      <c r="N868" s="69"/>
      <c r="O868" s="64"/>
      <c r="P868" s="64"/>
      <c r="Q868" s="69"/>
      <c r="R868" s="69"/>
      <c r="S868" s="69"/>
    </row>
    <row r="869" s="2" customFormat="1" ht="24.95" customHeight="1" spans="1:19">
      <c r="A869" s="15"/>
      <c r="B869" s="55"/>
      <c r="C869" s="56"/>
      <c r="D869" s="68">
        <v>46161</v>
      </c>
      <c r="E869" s="69"/>
      <c r="F869" s="69" t="s">
        <v>26</v>
      </c>
      <c r="G869" s="65" t="s">
        <v>27</v>
      </c>
      <c r="H869" s="65" t="s">
        <v>108</v>
      </c>
      <c r="I869" s="70" t="s">
        <v>470</v>
      </c>
      <c r="J869" s="71"/>
      <c r="K869" s="71">
        <v>90000</v>
      </c>
      <c r="L869" s="72">
        <f>IFERROR(IF(G869="","",VLOOKUP($G869,[1]基础信息!$B:$C,2,FALSE)+SUMIF(G$8:G869,G869,J$8:J869)-SUMIF(G$8:G869,G869,K$8:K869)+SUMIFS([1]内部转账!$G:$G,[1]内部转账!$C:$C,"&lt;="&amp;$D869,[1]内部转账!$E:$E,$G869)-SUMIFS([1]内部转账!$G:$G,[1]内部转账!$C:$C,"&lt;="&amp;$D869,[1]内部转账!$F:$F,$G869)),"")</f>
        <v>2921.33999999892</v>
      </c>
      <c r="M869" s="64" t="s">
        <v>35</v>
      </c>
      <c r="N869" s="69"/>
      <c r="O869" s="64"/>
      <c r="P869" s="64"/>
      <c r="Q869" s="69"/>
      <c r="R869" s="69"/>
      <c r="S869" s="69"/>
    </row>
    <row r="870" s="2" customFormat="1" ht="24.95" customHeight="1" spans="1:19">
      <c r="A870" s="15"/>
      <c r="B870" s="55"/>
      <c r="C870" s="56"/>
      <c r="D870" s="68">
        <v>46163</v>
      </c>
      <c r="E870" s="69"/>
      <c r="F870" s="69" t="s">
        <v>26</v>
      </c>
      <c r="G870" s="65" t="s">
        <v>400</v>
      </c>
      <c r="H870" s="65" t="s">
        <v>435</v>
      </c>
      <c r="I870" s="70" t="s">
        <v>436</v>
      </c>
      <c r="J870" s="71"/>
      <c r="K870" s="71">
        <v>1052.92</v>
      </c>
      <c r="L870" s="72">
        <f>IFERROR(IF(G870="","",VLOOKUP($G870,[1]基础信息!$B:$C,2,FALSE)+SUMIF(G$8:G870,G870,J$8:J870)-SUMIF(G$8:G870,G870,K$8:K870)+SUMIFS([1]内部转账!$G:$G,[1]内部转账!$C:$C,"&lt;="&amp;$D870,[1]内部转账!$E:$E,$G870)-SUMIFS([1]内部转账!$G:$G,[1]内部转账!$C:$C,"&lt;="&amp;$D870,[1]内部转账!$F:$F,$G870)),"")</f>
        <v>608.73000000004</v>
      </c>
      <c r="M870" s="64" t="s">
        <v>402</v>
      </c>
      <c r="N870" s="58"/>
      <c r="O870" s="64"/>
      <c r="P870" s="64"/>
      <c r="Q870" s="69"/>
      <c r="R870" s="69"/>
      <c r="S870" s="69"/>
    </row>
    <row r="871" s="2" customFormat="1" ht="24.95" customHeight="1" spans="1:19">
      <c r="A871" s="15"/>
      <c r="B871" s="55"/>
      <c r="C871" s="56"/>
      <c r="D871" s="68">
        <v>46163</v>
      </c>
      <c r="E871" s="69"/>
      <c r="F871" s="69" t="s">
        <v>42</v>
      </c>
      <c r="G871" s="65" t="s">
        <v>27</v>
      </c>
      <c r="H871" s="65" t="s">
        <v>43</v>
      </c>
      <c r="I871" s="70" t="s">
        <v>471</v>
      </c>
      <c r="J871" s="71">
        <v>14502.87</v>
      </c>
      <c r="K871" s="71"/>
      <c r="L871" s="72">
        <f>IFERROR(IF(G871="","",VLOOKUP($G871,[1]基础信息!$B:$C,2,FALSE)+SUMIF(G$8:G871,G871,J$8:J871)-SUMIF(G$8:G871,G871,K$8:K871)+SUMIFS([1]内部转账!$G:$G,[1]内部转账!$C:$C,"&lt;="&amp;$D871,[1]内部转账!$E:$E,$G871)-SUMIFS([1]内部转账!$G:$G,[1]内部转账!$C:$C,"&lt;="&amp;$D871,[1]内部转账!$F:$F,$G871)),"")</f>
        <v>17424.209999999</v>
      </c>
      <c r="M871" s="64" t="s">
        <v>109</v>
      </c>
      <c r="N871" s="69"/>
      <c r="O871" s="64"/>
      <c r="P871" s="64"/>
      <c r="Q871" s="69"/>
      <c r="R871" s="69"/>
      <c r="S871" s="69"/>
    </row>
    <row r="872" s="2" customFormat="1" ht="24.95" customHeight="1" spans="1:19">
      <c r="A872" s="15"/>
      <c r="B872" s="55"/>
      <c r="C872" s="56"/>
      <c r="D872" s="68">
        <v>46164</v>
      </c>
      <c r="E872" s="69"/>
      <c r="F872" s="69" t="s">
        <v>26</v>
      </c>
      <c r="G872" s="65" t="s">
        <v>27</v>
      </c>
      <c r="H872" s="65" t="s">
        <v>108</v>
      </c>
      <c r="I872" s="70" t="s">
        <v>470</v>
      </c>
      <c r="J872" s="71"/>
      <c r="K872" s="71">
        <v>-90000</v>
      </c>
      <c r="L872" s="72">
        <f>IFERROR(IF(G872="","",VLOOKUP($G872,[1]基础信息!$B:$C,2,FALSE)+SUMIF(G$8:G872,G872,J$8:J872)-SUMIF(G$8:G872,G872,K$8:K872)+SUMIFS([1]内部转账!$G:$G,[1]内部转账!$C:$C,"&lt;="&amp;$D872,[1]内部转账!$E:$E,$G872)-SUMIFS([1]内部转账!$G:$G,[1]内部转账!$C:$C,"&lt;="&amp;$D872,[1]内部转账!$F:$F,$G872)),"")</f>
        <v>107424.209999999</v>
      </c>
      <c r="M872" s="64" t="s">
        <v>35</v>
      </c>
      <c r="N872" s="69"/>
      <c r="O872" s="64"/>
      <c r="P872" s="64"/>
      <c r="Q872" s="69"/>
      <c r="R872" s="69"/>
      <c r="S872" s="69"/>
    </row>
    <row r="873" s="2" customFormat="1" ht="24.95" customHeight="1" spans="1:19">
      <c r="A873" s="15"/>
      <c r="B873" s="55"/>
      <c r="C873" s="56"/>
      <c r="D873" s="68">
        <v>46165</v>
      </c>
      <c r="E873" s="69"/>
      <c r="F873" s="69" t="s">
        <v>26</v>
      </c>
      <c r="G873" s="65" t="s">
        <v>27</v>
      </c>
      <c r="H873" s="65" t="s">
        <v>28</v>
      </c>
      <c r="I873" s="70" t="s">
        <v>29</v>
      </c>
      <c r="J873" s="71"/>
      <c r="K873" s="71">
        <v>10000</v>
      </c>
      <c r="L873" s="72">
        <f>IFERROR(IF(G873="","",VLOOKUP($G873,[1]基础信息!$B:$C,2,FALSE)+SUMIF(G$8:G873,G873,J$8:J873)-SUMIF(G$8:G873,G873,K$8:K873)+SUMIFS([1]内部转账!$G:$G,[1]内部转账!$C:$C,"&lt;="&amp;$D873,[1]内部转账!$E:$E,$G873)-SUMIFS([1]内部转账!$G:$G,[1]内部转账!$C:$C,"&lt;="&amp;$D873,[1]内部转账!$F:$F,$G873)),"")</f>
        <v>97424.209999999</v>
      </c>
      <c r="M873" s="64" t="s">
        <v>30</v>
      </c>
      <c r="N873" s="69" t="s">
        <v>31</v>
      </c>
      <c r="O873" s="64"/>
      <c r="P873" s="64"/>
      <c r="Q873" s="69"/>
      <c r="R873" s="69"/>
      <c r="S873" s="69"/>
    </row>
    <row r="874" s="2" customFormat="1" ht="24.95" customHeight="1" spans="1:19">
      <c r="A874" s="15"/>
      <c r="B874" s="55"/>
      <c r="C874" s="56"/>
      <c r="D874" s="68">
        <v>46165</v>
      </c>
      <c r="E874" s="69"/>
      <c r="F874" s="69" t="s">
        <v>26</v>
      </c>
      <c r="G874" s="65" t="s">
        <v>27</v>
      </c>
      <c r="H874" s="65" t="s">
        <v>28</v>
      </c>
      <c r="I874" s="70" t="s">
        <v>29</v>
      </c>
      <c r="J874" s="71"/>
      <c r="K874" s="71">
        <v>80000</v>
      </c>
      <c r="L874" s="72">
        <f>IFERROR(IF(G874="","",VLOOKUP($G874,[1]基础信息!$B:$C,2,FALSE)+SUMIF(G$8:G874,G874,J$8:J874)-SUMIF(G$8:G874,G874,K$8:K874)+SUMIFS([1]内部转账!$G:$G,[1]内部转账!$C:$C,"&lt;="&amp;$D874,[1]内部转账!$E:$E,$G874)-SUMIFS([1]内部转账!$G:$G,[1]内部转账!$C:$C,"&lt;="&amp;$D874,[1]内部转账!$F:$F,$G874)),"")</f>
        <v>17424.209999999</v>
      </c>
      <c r="M874" s="64" t="s">
        <v>30</v>
      </c>
      <c r="N874" s="69" t="s">
        <v>31</v>
      </c>
      <c r="O874" s="64"/>
      <c r="P874" s="64"/>
      <c r="Q874" s="69"/>
      <c r="R874" s="69"/>
      <c r="S874" s="69"/>
    </row>
    <row r="875" s="2" customFormat="1" ht="24.95" customHeight="1" spans="1:19">
      <c r="A875" s="15"/>
      <c r="B875" s="55"/>
      <c r="C875" s="56"/>
      <c r="D875" s="68">
        <v>46167</v>
      </c>
      <c r="E875" s="69"/>
      <c r="F875" s="69" t="s">
        <v>26</v>
      </c>
      <c r="G875" s="65" t="s">
        <v>27</v>
      </c>
      <c r="H875" s="65" t="s">
        <v>83</v>
      </c>
      <c r="I875" s="70" t="s">
        <v>421</v>
      </c>
      <c r="J875" s="71"/>
      <c r="K875" s="71">
        <v>1019.48</v>
      </c>
      <c r="L875" s="72">
        <f>IFERROR(IF(G875="","",VLOOKUP($G875,[1]基础信息!$B:$C,2,FALSE)+SUMIF(G$8:G875,G875,J$8:J875)-SUMIF(G$8:G875,G875,K$8:K875)+SUMIFS([1]内部转账!$G:$G,[1]内部转账!$C:$C,"&lt;="&amp;$D875,[1]内部转账!$E:$E,$G875)-SUMIFS([1]内部转账!$G:$G,[1]内部转账!$C:$C,"&lt;="&amp;$D875,[1]内部转账!$F:$F,$G875)),"")</f>
        <v>16404.7299999986</v>
      </c>
      <c r="M875" s="64" t="s">
        <v>35</v>
      </c>
      <c r="N875" s="69" t="s">
        <v>422</v>
      </c>
      <c r="O875" s="64"/>
      <c r="P875" s="64" t="s">
        <v>423</v>
      </c>
      <c r="Q875" s="69"/>
      <c r="R875" s="69"/>
      <c r="S875" s="69"/>
    </row>
    <row r="876" s="2" customFormat="1" ht="24.95" customHeight="1" spans="1:19">
      <c r="A876" s="15"/>
      <c r="B876" s="55"/>
      <c r="C876" s="56"/>
      <c r="D876" s="68">
        <v>46167</v>
      </c>
      <c r="E876" s="69"/>
      <c r="F876" s="69" t="s">
        <v>26</v>
      </c>
      <c r="G876" s="65" t="s">
        <v>27</v>
      </c>
      <c r="H876" s="65" t="s">
        <v>439</v>
      </c>
      <c r="I876" s="70" t="s">
        <v>440</v>
      </c>
      <c r="J876" s="71"/>
      <c r="K876" s="71">
        <v>1019.48</v>
      </c>
      <c r="L876" s="72">
        <f>IFERROR(IF(G876="","",VLOOKUP($G876,[1]基础信息!$B:$C,2,FALSE)+SUMIF(G$8:G876,G876,J$8:J876)-SUMIF(G$8:G876,G876,K$8:K876)+SUMIFS([1]内部转账!$G:$G,[1]内部转账!$C:$C,"&lt;="&amp;$D876,[1]内部转账!$E:$E,$G876)-SUMIFS([1]内部转账!$G:$G,[1]内部转账!$C:$C,"&lt;="&amp;$D876,[1]内部转账!$F:$F,$G876)),"")</f>
        <v>15385.2499999981</v>
      </c>
      <c r="M876" s="64" t="s">
        <v>441</v>
      </c>
      <c r="N876" s="58"/>
      <c r="O876" s="64"/>
      <c r="P876" s="64" t="s">
        <v>423</v>
      </c>
      <c r="Q876" s="69"/>
      <c r="R876" s="69"/>
      <c r="S876" s="69"/>
    </row>
    <row r="877" s="2" customFormat="1" ht="24.95" customHeight="1" spans="1:19">
      <c r="A877" s="15"/>
      <c r="B877" s="55"/>
      <c r="C877" s="56"/>
      <c r="D877" s="68">
        <v>46170</v>
      </c>
      <c r="E877" s="69"/>
      <c r="F877" s="69" t="s">
        <v>26</v>
      </c>
      <c r="G877" s="65" t="s">
        <v>27</v>
      </c>
      <c r="H877" s="65" t="s">
        <v>33</v>
      </c>
      <c r="I877" s="70" t="s">
        <v>472</v>
      </c>
      <c r="J877" s="71"/>
      <c r="K877" s="71">
        <v>1000</v>
      </c>
      <c r="L877" s="72">
        <f>IFERROR(IF(G877="","",VLOOKUP($G877,[1]基础信息!$B:$C,2,FALSE)+SUMIF(G$8:G877,G877,J$8:J877)-SUMIF(G$8:G877,G877,K$8:K877)+SUMIFS([1]内部转账!$G:$G,[1]内部转账!$C:$C,"&lt;="&amp;$D877,[1]内部转账!$E:$E,$G877)-SUMIFS([1]内部转账!$G:$G,[1]内部转账!$C:$C,"&lt;="&amp;$D877,[1]内部转账!$F:$F,$G877)),"")</f>
        <v>14385.2499999981</v>
      </c>
      <c r="M877" s="64" t="s">
        <v>35</v>
      </c>
      <c r="N877" s="58"/>
      <c r="O877" s="64"/>
      <c r="P877" s="64" t="s">
        <v>473</v>
      </c>
      <c r="Q877" s="69"/>
      <c r="R877" s="69"/>
      <c r="S877" s="69"/>
    </row>
    <row r="878" s="2" customFormat="1" ht="24.95" customHeight="1" spans="1:19">
      <c r="A878" s="15"/>
      <c r="B878" s="55"/>
      <c r="C878" s="56"/>
      <c r="D878" s="68">
        <v>46177</v>
      </c>
      <c r="E878" s="69"/>
      <c r="F878" s="69" t="s">
        <v>26</v>
      </c>
      <c r="G878" s="65" t="s">
        <v>27</v>
      </c>
      <c r="H878" s="65" t="s">
        <v>46</v>
      </c>
      <c r="I878" s="70" t="s">
        <v>130</v>
      </c>
      <c r="J878" s="71"/>
      <c r="K878" s="71">
        <v>2000</v>
      </c>
      <c r="L878" s="72">
        <f>IFERROR(IF(G878="","",VLOOKUP($G878,[1]基础信息!$B:$C,2,FALSE)+SUMIF(G$8:G878,G878,J$8:J878)-SUMIF(G$8:G878,G878,K$8:K878)+SUMIFS([1]内部转账!$G:$G,[1]内部转账!$C:$C,"&lt;="&amp;$D878,[1]内部转账!$E:$E,$G878)-SUMIFS([1]内部转账!$G:$G,[1]内部转账!$C:$C,"&lt;="&amp;$D878,[1]内部转账!$F:$F,$G878)),"")</f>
        <v>12385.2499999981</v>
      </c>
      <c r="M878" s="64" t="s">
        <v>150</v>
      </c>
      <c r="N878" s="69"/>
      <c r="O878" s="64"/>
      <c r="P878" s="64"/>
      <c r="Q878" s="69"/>
      <c r="R878" s="69"/>
      <c r="S878" s="69"/>
    </row>
    <row r="879" s="2" customFormat="1" ht="24.95" customHeight="1" spans="1:19">
      <c r="A879" s="15"/>
      <c r="B879" s="55"/>
      <c r="C879" s="56"/>
      <c r="D879" s="68">
        <v>46177</v>
      </c>
      <c r="E879" s="69"/>
      <c r="F879" s="69" t="s">
        <v>26</v>
      </c>
      <c r="G879" s="65" t="s">
        <v>27</v>
      </c>
      <c r="H879" s="65" t="s">
        <v>46</v>
      </c>
      <c r="I879" s="70" t="s">
        <v>127</v>
      </c>
      <c r="J879" s="71"/>
      <c r="K879" s="71">
        <v>2000</v>
      </c>
      <c r="L879" s="72">
        <f>IFERROR(IF(G879="","",VLOOKUP($G879,[1]基础信息!$B:$C,2,FALSE)+SUMIF(G$8:G879,G879,J$8:J879)-SUMIF(G$8:G879,G879,K$8:K879)+SUMIFS([1]内部转账!$G:$G,[1]内部转账!$C:$C,"&lt;="&amp;$D879,[1]内部转账!$E:$E,$G879)-SUMIFS([1]内部转账!$G:$G,[1]内部转账!$C:$C,"&lt;="&amp;$D879,[1]内部转账!$F:$F,$G879)),"")</f>
        <v>10385.2499999981</v>
      </c>
      <c r="M879" s="64" t="s">
        <v>150</v>
      </c>
      <c r="N879" s="69"/>
      <c r="O879" s="64"/>
      <c r="P879" s="64"/>
      <c r="Q879" s="69"/>
      <c r="R879" s="69"/>
      <c r="S879" s="69"/>
    </row>
    <row r="880" s="2" customFormat="1" ht="24.95" customHeight="1" spans="1:19">
      <c r="A880" s="15"/>
      <c r="B880" s="55"/>
      <c r="C880" s="56"/>
      <c r="D880" s="68">
        <v>46178</v>
      </c>
      <c r="E880" s="69"/>
      <c r="F880" s="69" t="s">
        <v>26</v>
      </c>
      <c r="G880" s="65" t="s">
        <v>27</v>
      </c>
      <c r="H880" s="65" t="s">
        <v>33</v>
      </c>
      <c r="I880" s="70" t="s">
        <v>474</v>
      </c>
      <c r="J880" s="71"/>
      <c r="K880" s="71">
        <v>1100</v>
      </c>
      <c r="L880" s="72">
        <f>IFERROR(IF(G880="","",VLOOKUP($G880,[1]基础信息!$B:$C,2,FALSE)+SUMIF(G$8:G880,G880,J$8:J880)-SUMIF(G$8:G880,G880,K$8:K880)+SUMIFS([1]内部转账!$G:$G,[1]内部转账!$C:$C,"&lt;="&amp;$D880,[1]内部转账!$E:$E,$G880)-SUMIFS([1]内部转账!$G:$G,[1]内部转账!$C:$C,"&lt;="&amp;$D880,[1]内部转账!$F:$F,$G880)),"")</f>
        <v>9285.24999999814</v>
      </c>
      <c r="M880" s="64" t="s">
        <v>35</v>
      </c>
      <c r="N880" s="69"/>
      <c r="O880" s="64"/>
      <c r="P880" s="64" t="s">
        <v>475</v>
      </c>
      <c r="Q880" s="69"/>
      <c r="R880" s="69"/>
      <c r="S880" s="69"/>
    </row>
    <row r="881" s="2" customFormat="1" ht="24.95" customHeight="1" spans="1:19">
      <c r="A881" s="15"/>
      <c r="B881" s="55"/>
      <c r="C881" s="56"/>
      <c r="D881" s="68">
        <v>46178</v>
      </c>
      <c r="E881" s="69"/>
      <c r="F881" s="69" t="s">
        <v>26</v>
      </c>
      <c r="G881" s="65" t="s">
        <v>27</v>
      </c>
      <c r="H881" s="65" t="s">
        <v>53</v>
      </c>
      <c r="I881" s="70" t="s">
        <v>476</v>
      </c>
      <c r="J881" s="71"/>
      <c r="K881" s="71">
        <v>2000</v>
      </c>
      <c r="L881" s="72">
        <f>IFERROR(IF(G881="","",VLOOKUP($G881,[1]基础信息!$B:$C,2,FALSE)+SUMIF(G$8:G881,G881,J$8:J881)-SUMIF(G$8:G881,G881,K$8:K881)+SUMIFS([1]内部转账!$G:$G,[1]内部转账!$C:$C,"&lt;="&amp;$D881,[1]内部转账!$E:$E,$G881)-SUMIFS([1]内部转账!$G:$G,[1]内部转账!$C:$C,"&lt;="&amp;$D881,[1]内部转账!$F:$F,$G881)),"")</f>
        <v>7285.24999999814</v>
      </c>
      <c r="M881" s="64" t="s">
        <v>35</v>
      </c>
      <c r="N881" s="69" t="s">
        <v>422</v>
      </c>
      <c r="O881" s="64"/>
      <c r="P881" s="64"/>
      <c r="Q881" s="69"/>
      <c r="R881" s="69"/>
      <c r="S881" s="69"/>
    </row>
    <row r="882" s="2" customFormat="1" ht="24.95" customHeight="1" spans="1:19">
      <c r="A882" s="15"/>
      <c r="B882" s="55"/>
      <c r="C882" s="56"/>
      <c r="D882" s="68">
        <v>46178</v>
      </c>
      <c r="E882" s="69"/>
      <c r="F882" s="69" t="s">
        <v>26</v>
      </c>
      <c r="G882" s="65" t="s">
        <v>27</v>
      </c>
      <c r="H882" s="65" t="s">
        <v>53</v>
      </c>
      <c r="I882" s="70" t="s">
        <v>477</v>
      </c>
      <c r="J882" s="71"/>
      <c r="K882" s="71">
        <v>3500</v>
      </c>
      <c r="L882" s="72">
        <f>IFERROR(IF(G882="","",VLOOKUP($G882,[1]基础信息!$B:$C,2,FALSE)+SUMIF(G$8:G882,G882,J$8:J882)-SUMIF(G$8:G882,G882,K$8:K882)+SUMIFS([1]内部转账!$G:$G,[1]内部转账!$C:$C,"&lt;="&amp;$D882,[1]内部转账!$E:$E,$G882)-SUMIFS([1]内部转账!$G:$G,[1]内部转账!$C:$C,"&lt;="&amp;$D882,[1]内部转账!$F:$F,$G882)),"")</f>
        <v>3785.24999999814</v>
      </c>
      <c r="M882" s="64" t="s">
        <v>35</v>
      </c>
      <c r="N882" s="69" t="s">
        <v>422</v>
      </c>
      <c r="O882" s="64"/>
      <c r="P882" s="64"/>
      <c r="Q882" s="69"/>
      <c r="R882" s="69"/>
      <c r="S882" s="69"/>
    </row>
    <row r="883" s="2" customFormat="1" ht="24.95" customHeight="1" spans="1:19">
      <c r="A883" s="15"/>
      <c r="B883" s="55"/>
      <c r="C883" s="56"/>
      <c r="D883" s="68">
        <v>46181</v>
      </c>
      <c r="E883" s="69"/>
      <c r="F883" s="69" t="s">
        <v>26</v>
      </c>
      <c r="G883" s="65" t="s">
        <v>27</v>
      </c>
      <c r="H883" s="65" t="s">
        <v>62</v>
      </c>
      <c r="I883" s="70" t="s">
        <v>478</v>
      </c>
      <c r="J883" s="71"/>
      <c r="K883" s="71">
        <v>303.2</v>
      </c>
      <c r="L883" s="72">
        <f>IFERROR(IF(G883="","",VLOOKUP($G883,[1]基础信息!$B:$C,2,FALSE)+SUMIF(G$8:G883,G883,J$8:J883)-SUMIF(G$8:G883,G883,K$8:K883)+SUMIFS([1]内部转账!$G:$G,[1]内部转账!$C:$C,"&lt;="&amp;$D883,[1]内部转账!$E:$E,$G883)-SUMIFS([1]内部转账!$G:$G,[1]内部转账!$C:$C,"&lt;="&amp;$D883,[1]内部转账!$F:$F,$G883)),"")</f>
        <v>3482.04999999795</v>
      </c>
      <c r="M883" s="64" t="s">
        <v>235</v>
      </c>
      <c r="N883" s="69"/>
      <c r="O883" s="64"/>
      <c r="P883" s="64" t="s">
        <v>479</v>
      </c>
      <c r="Q883" s="69"/>
      <c r="R883" s="69"/>
      <c r="S883" s="69"/>
    </row>
    <row r="884" s="2" customFormat="1" ht="24.95" customHeight="1" spans="1:19">
      <c r="A884" s="15"/>
      <c r="B884" s="55"/>
      <c r="C884" s="56"/>
      <c r="D884" s="68">
        <v>46181</v>
      </c>
      <c r="E884" s="69"/>
      <c r="F884" s="69" t="s">
        <v>26</v>
      </c>
      <c r="G884" s="65" t="s">
        <v>27</v>
      </c>
      <c r="H884" s="65" t="s">
        <v>62</v>
      </c>
      <c r="I884" s="70" t="s">
        <v>478</v>
      </c>
      <c r="J884" s="71"/>
      <c r="K884" s="71">
        <v>-303.2</v>
      </c>
      <c r="L884" s="72">
        <f>IFERROR(IF(G884="","",VLOOKUP($G884,[1]基础信息!$B:$C,2,FALSE)+SUMIF(G$8:G884,G884,J$8:J884)-SUMIF(G$8:G884,G884,K$8:K884)+SUMIFS([1]内部转账!$G:$G,[1]内部转账!$C:$C,"&lt;="&amp;$D884,[1]内部转账!$E:$E,$G884)-SUMIFS([1]内部转账!$G:$G,[1]内部转账!$C:$C,"&lt;="&amp;$D884,[1]内部转账!$F:$F,$G884)),"")</f>
        <v>3785.24999999814</v>
      </c>
      <c r="M884" s="64" t="s">
        <v>235</v>
      </c>
      <c r="N884" s="69"/>
      <c r="O884" s="64"/>
      <c r="P884" s="64" t="s">
        <v>479</v>
      </c>
      <c r="Q884" s="69"/>
      <c r="R884" s="69"/>
      <c r="S884" s="69"/>
    </row>
    <row r="885" s="2" customFormat="1" ht="24.95" customHeight="1" spans="1:19">
      <c r="A885" s="15"/>
      <c r="B885" s="55"/>
      <c r="C885" s="56"/>
      <c r="D885" s="68">
        <v>46181</v>
      </c>
      <c r="E885" s="69"/>
      <c r="F885" s="69" t="s">
        <v>26</v>
      </c>
      <c r="G885" s="65" t="s">
        <v>27</v>
      </c>
      <c r="H885" s="65" t="s">
        <v>33</v>
      </c>
      <c r="I885" s="70" t="s">
        <v>480</v>
      </c>
      <c r="J885" s="71"/>
      <c r="K885" s="71">
        <v>1098</v>
      </c>
      <c r="L885" s="72">
        <f>IFERROR(IF(G885="","",VLOOKUP($G885,[1]基础信息!$B:$C,2,FALSE)+SUMIF(G$8:G885,G885,J$8:J885)-SUMIF(G$8:G885,G885,K$8:K885)+SUMIFS([1]内部转账!$G:$G,[1]内部转账!$C:$C,"&lt;="&amp;$D885,[1]内部转账!$E:$E,$G885)-SUMIFS([1]内部转账!$G:$G,[1]内部转账!$C:$C,"&lt;="&amp;$D885,[1]内部转账!$F:$F,$G885)),"")</f>
        <v>2687.24999999814</v>
      </c>
      <c r="M885" s="64" t="s">
        <v>35</v>
      </c>
      <c r="N885" s="69"/>
      <c r="O885" s="64"/>
      <c r="P885" s="64" t="s">
        <v>481</v>
      </c>
      <c r="Q885" s="69"/>
      <c r="R885" s="69"/>
      <c r="S885" s="69"/>
    </row>
    <row r="886" s="2" customFormat="1" ht="24.95" customHeight="1" spans="1:19">
      <c r="A886" s="15"/>
      <c r="B886" s="55"/>
      <c r="C886" s="56"/>
      <c r="D886" s="68">
        <v>46181</v>
      </c>
      <c r="E886" s="69"/>
      <c r="F886" s="69" t="s">
        <v>26</v>
      </c>
      <c r="G886" s="65" t="s">
        <v>27</v>
      </c>
      <c r="H886" s="65" t="s">
        <v>33</v>
      </c>
      <c r="I886" s="70" t="s">
        <v>480</v>
      </c>
      <c r="J886" s="71"/>
      <c r="K886" s="71">
        <v>-1098</v>
      </c>
      <c r="L886" s="72">
        <f>IFERROR(IF(G886="","",VLOOKUP($G886,[1]基础信息!$B:$C,2,FALSE)+SUMIF(G$8:G886,G886,J$8:J886)-SUMIF(G$8:G886,G886,K$8:K886)+SUMIFS([1]内部转账!$G:$G,[1]内部转账!$C:$C,"&lt;="&amp;$D886,[1]内部转账!$E:$E,$G886)-SUMIFS([1]内部转账!$G:$G,[1]内部转账!$C:$C,"&lt;="&amp;$D886,[1]内部转账!$F:$F,$G886)),"")</f>
        <v>3785.24999999814</v>
      </c>
      <c r="M886" s="64" t="s">
        <v>35</v>
      </c>
      <c r="N886" s="69"/>
      <c r="O886" s="64"/>
      <c r="P886" s="64" t="s">
        <v>481</v>
      </c>
      <c r="Q886" s="69"/>
      <c r="R886" s="69"/>
      <c r="S886" s="69"/>
    </row>
    <row r="887" s="2" customFormat="1" ht="24.95" customHeight="1" spans="1:19">
      <c r="A887" s="15"/>
      <c r="B887" s="55"/>
      <c r="C887" s="56"/>
      <c r="D887" s="68">
        <v>46181</v>
      </c>
      <c r="E887" s="69"/>
      <c r="F887" s="69" t="s">
        <v>26</v>
      </c>
      <c r="G887" s="65" t="s">
        <v>27</v>
      </c>
      <c r="H887" s="65" t="s">
        <v>33</v>
      </c>
      <c r="I887" s="70" t="s">
        <v>480</v>
      </c>
      <c r="J887" s="71"/>
      <c r="K887" s="71">
        <v>1098</v>
      </c>
      <c r="L887" s="72">
        <f>IFERROR(IF(G887="","",VLOOKUP($G887,[1]基础信息!$B:$C,2,FALSE)+SUMIF(G$8:G887,G887,J$8:J887)-SUMIF(G$8:G887,G887,K$8:K887)+SUMIFS([1]内部转账!$G:$G,[1]内部转账!$C:$C,"&lt;="&amp;$D887,[1]内部转账!$E:$E,$G887)-SUMIFS([1]内部转账!$G:$G,[1]内部转账!$C:$C,"&lt;="&amp;$D887,[1]内部转账!$F:$F,$G887)),"")</f>
        <v>2687.24999999814</v>
      </c>
      <c r="M887" s="64" t="s">
        <v>35</v>
      </c>
      <c r="N887" s="69"/>
      <c r="O887" s="64"/>
      <c r="P887" s="64" t="s">
        <v>481</v>
      </c>
      <c r="Q887" s="69"/>
      <c r="R887" s="69"/>
      <c r="S887" s="69"/>
    </row>
    <row r="888" s="2" customFormat="1" ht="24.95" customHeight="1" spans="1:19">
      <c r="A888" s="15"/>
      <c r="B888" s="55"/>
      <c r="C888" s="56"/>
      <c r="D888" s="68">
        <v>46181</v>
      </c>
      <c r="E888" s="69"/>
      <c r="F888" s="69" t="s">
        <v>26</v>
      </c>
      <c r="G888" s="65" t="s">
        <v>27</v>
      </c>
      <c r="H888" s="65" t="s">
        <v>33</v>
      </c>
      <c r="I888" s="70" t="s">
        <v>480</v>
      </c>
      <c r="J888" s="71"/>
      <c r="K888" s="71">
        <v>-1098</v>
      </c>
      <c r="L888" s="72">
        <f>IFERROR(IF(G888="","",VLOOKUP($G888,[1]基础信息!$B:$C,2,FALSE)+SUMIF(G$8:G888,G888,J$8:J888)-SUMIF(G$8:G888,G888,K$8:K888)+SUMIFS([1]内部转账!$G:$G,[1]内部转账!$C:$C,"&lt;="&amp;$D888,[1]内部转账!$E:$E,$G888)-SUMIFS([1]内部转账!$G:$G,[1]内部转账!$C:$C,"&lt;="&amp;$D888,[1]内部转账!$F:$F,$G888)),"")</f>
        <v>3785.24999999814</v>
      </c>
      <c r="M888" s="64" t="s">
        <v>35</v>
      </c>
      <c r="N888" s="69"/>
      <c r="O888" s="64"/>
      <c r="P888" s="64" t="s">
        <v>481</v>
      </c>
      <c r="Q888" s="69"/>
      <c r="R888" s="69"/>
      <c r="S888" s="69"/>
    </row>
    <row r="889" s="2" customFormat="1" ht="24.95" customHeight="1" spans="1:19">
      <c r="A889" s="15"/>
      <c r="B889" s="55"/>
      <c r="C889" s="56"/>
      <c r="D889" s="68">
        <v>46181</v>
      </c>
      <c r="E889" s="69"/>
      <c r="F889" s="69" t="s">
        <v>26</v>
      </c>
      <c r="G889" s="65" t="s">
        <v>27</v>
      </c>
      <c r="H889" s="65" t="s">
        <v>62</v>
      </c>
      <c r="I889" s="70" t="s">
        <v>478</v>
      </c>
      <c r="J889" s="71"/>
      <c r="K889" s="71">
        <v>303.2</v>
      </c>
      <c r="L889" s="72">
        <f>IFERROR(IF(G889="","",VLOOKUP($G889,[1]基础信息!$B:$C,2,FALSE)+SUMIF(G$8:G889,G889,J$8:J889)-SUMIF(G$8:G889,G889,K$8:K889)+SUMIFS([1]内部转账!$G:$G,[1]内部转账!$C:$C,"&lt;="&amp;$D889,[1]内部转账!$E:$E,$G889)-SUMIFS([1]内部转账!$G:$G,[1]内部转账!$C:$C,"&lt;="&amp;$D889,[1]内部转账!$F:$F,$G889)),"")</f>
        <v>3482.04999999795</v>
      </c>
      <c r="M889" s="64" t="s">
        <v>235</v>
      </c>
      <c r="N889" s="69"/>
      <c r="O889" s="64"/>
      <c r="P889" s="64" t="s">
        <v>479</v>
      </c>
      <c r="Q889" s="69"/>
      <c r="R889" s="69"/>
      <c r="S889" s="69"/>
    </row>
    <row r="890" s="2" customFormat="1" ht="24.95" customHeight="1" spans="1:19">
      <c r="A890" s="15"/>
      <c r="B890" s="55"/>
      <c r="C890" s="56"/>
      <c r="D890" s="68">
        <v>46181</v>
      </c>
      <c r="E890" s="69"/>
      <c r="F890" s="69" t="s">
        <v>26</v>
      </c>
      <c r="G890" s="65" t="s">
        <v>27</v>
      </c>
      <c r="H890" s="65" t="s">
        <v>33</v>
      </c>
      <c r="I890" s="70" t="s">
        <v>480</v>
      </c>
      <c r="J890" s="71"/>
      <c r="K890" s="71">
        <v>1098</v>
      </c>
      <c r="L890" s="72">
        <f>IFERROR(IF(G890="","",VLOOKUP($G890,[1]基础信息!$B:$C,2,FALSE)+SUMIF(G$8:G890,G890,J$8:J890)-SUMIF(G$8:G890,G890,K$8:K890)+SUMIFS([1]内部转账!$G:$G,[1]内部转账!$C:$C,"&lt;="&amp;$D890,[1]内部转账!$E:$E,$G890)-SUMIFS([1]内部转账!$G:$G,[1]内部转账!$C:$C,"&lt;="&amp;$D890,[1]内部转账!$F:$F,$G890)),"")</f>
        <v>2384.04999999795</v>
      </c>
      <c r="M890" s="64" t="s">
        <v>35</v>
      </c>
      <c r="N890" s="69"/>
      <c r="O890" s="64"/>
      <c r="P890" s="64" t="s">
        <v>481</v>
      </c>
      <c r="Q890" s="69"/>
      <c r="R890" s="69"/>
      <c r="S890" s="69"/>
    </row>
    <row r="891" s="2" customFormat="1" ht="24.95" customHeight="1" spans="1:19">
      <c r="A891" s="15"/>
      <c r="B891" s="55"/>
      <c r="C891" s="56"/>
      <c r="D891" s="68">
        <v>46181</v>
      </c>
      <c r="E891" s="69"/>
      <c r="F891" s="69" t="s">
        <v>26</v>
      </c>
      <c r="G891" s="65" t="s">
        <v>27</v>
      </c>
      <c r="H891" s="65" t="s">
        <v>33</v>
      </c>
      <c r="I891" s="70" t="s">
        <v>480</v>
      </c>
      <c r="J891" s="71"/>
      <c r="K891" s="71">
        <v>-1098</v>
      </c>
      <c r="L891" s="72">
        <f>IFERROR(IF(G891="","",VLOOKUP($G891,[1]基础信息!$B:$C,2,FALSE)+SUMIF(G$8:G891,G891,J$8:J891)-SUMIF(G$8:G891,G891,K$8:K891)+SUMIFS([1]内部转账!$G:$G,[1]内部转账!$C:$C,"&lt;="&amp;$D891,[1]内部转账!$E:$E,$G891)-SUMIFS([1]内部转账!$G:$G,[1]内部转账!$C:$C,"&lt;="&amp;$D891,[1]内部转账!$F:$F,$G891)),"")</f>
        <v>3482.04999999795</v>
      </c>
      <c r="M891" s="64" t="s">
        <v>35</v>
      </c>
      <c r="N891" s="69"/>
      <c r="O891" s="64"/>
      <c r="P891" s="64" t="s">
        <v>481</v>
      </c>
      <c r="Q891" s="69"/>
      <c r="R891" s="69"/>
      <c r="S891" s="69"/>
    </row>
    <row r="892" s="2" customFormat="1" ht="24.95" customHeight="1" spans="1:19">
      <c r="A892" s="15"/>
      <c r="B892" s="55"/>
      <c r="C892" s="56"/>
      <c r="D892" s="68">
        <v>46183</v>
      </c>
      <c r="E892" s="69"/>
      <c r="F892" s="69" t="s">
        <v>26</v>
      </c>
      <c r="G892" s="65" t="s">
        <v>27</v>
      </c>
      <c r="H892" s="65" t="s">
        <v>58</v>
      </c>
      <c r="I892" s="70" t="s">
        <v>482</v>
      </c>
      <c r="J892" s="71"/>
      <c r="K892" s="71">
        <v>2500</v>
      </c>
      <c r="L892" s="72">
        <f>IFERROR(IF(G892="","",VLOOKUP($G892,[1]基础信息!$B:$C,2,FALSE)+SUMIF(G$8:G892,G892,J$8:J892)-SUMIF(G$8:G892,G892,K$8:K892)+SUMIFS([1]内部转账!$G:$G,[1]内部转账!$C:$C,"&lt;="&amp;$D892,[1]内部转账!$E:$E,$G892)-SUMIFS([1]内部转账!$G:$G,[1]内部转账!$C:$C,"&lt;="&amp;$D892,[1]内部转账!$F:$F,$G892)),"")</f>
        <v>982.049999997951</v>
      </c>
      <c r="M892" s="64" t="s">
        <v>235</v>
      </c>
      <c r="N892" s="69"/>
      <c r="O892" s="64"/>
      <c r="P892" s="64" t="s">
        <v>483</v>
      </c>
      <c r="Q892" s="69"/>
      <c r="R892" s="69"/>
      <c r="S892" s="69"/>
    </row>
    <row r="893" s="2" customFormat="1" ht="24.95" customHeight="1" spans="1:19">
      <c r="A893" s="15"/>
      <c r="B893" s="55"/>
      <c r="C893" s="56"/>
      <c r="D893" s="68">
        <v>46183</v>
      </c>
      <c r="E893" s="69"/>
      <c r="F893" s="69" t="s">
        <v>26</v>
      </c>
      <c r="G893" s="65" t="s">
        <v>27</v>
      </c>
      <c r="H893" s="65" t="s">
        <v>58</v>
      </c>
      <c r="I893" s="70" t="s">
        <v>482</v>
      </c>
      <c r="J893" s="71"/>
      <c r="K893" s="71">
        <v>-2500</v>
      </c>
      <c r="L893" s="72">
        <f>IFERROR(IF(G893="","",VLOOKUP($G893,[1]基础信息!$B:$C,2,FALSE)+SUMIF(G$8:G893,G893,J$8:J893)-SUMIF(G$8:G893,G893,K$8:K893)+SUMIFS([1]内部转账!$G:$G,[1]内部转账!$C:$C,"&lt;="&amp;$D893,[1]内部转账!$E:$E,$G893)-SUMIFS([1]内部转账!$G:$G,[1]内部转账!$C:$C,"&lt;="&amp;$D893,[1]内部转账!$F:$F,$G893)),"")</f>
        <v>3482.04999999795</v>
      </c>
      <c r="M893" s="64" t="s">
        <v>235</v>
      </c>
      <c r="N893" s="69"/>
      <c r="O893" s="64"/>
      <c r="P893" s="64" t="s">
        <v>483</v>
      </c>
      <c r="Q893" s="69"/>
      <c r="R893" s="69"/>
      <c r="S893" s="69"/>
    </row>
    <row r="894" s="2" customFormat="1" ht="24.95" customHeight="1" spans="1:19">
      <c r="A894" s="15"/>
      <c r="B894" s="55"/>
      <c r="C894" s="56"/>
      <c r="D894" s="68">
        <v>46183</v>
      </c>
      <c r="E894" s="69"/>
      <c r="F894" s="69" t="s">
        <v>26</v>
      </c>
      <c r="G894" s="65" t="s">
        <v>27</v>
      </c>
      <c r="H894" s="65" t="s">
        <v>58</v>
      </c>
      <c r="I894" s="70" t="s">
        <v>482</v>
      </c>
      <c r="J894" s="71"/>
      <c r="K894" s="71">
        <v>2500</v>
      </c>
      <c r="L894" s="72">
        <f>IFERROR(IF(G894="","",VLOOKUP($G894,[1]基础信息!$B:$C,2,FALSE)+SUMIF(G$8:G894,G894,J$8:J894)-SUMIF(G$8:G894,G894,K$8:K894)+SUMIFS([1]内部转账!$G:$G,[1]内部转账!$C:$C,"&lt;="&amp;$D894,[1]内部转账!$E:$E,$G894)-SUMIFS([1]内部转账!$G:$G,[1]内部转账!$C:$C,"&lt;="&amp;$D894,[1]内部转账!$F:$F,$G894)),"")</f>
        <v>982.049999997951</v>
      </c>
      <c r="M894" s="64" t="s">
        <v>235</v>
      </c>
      <c r="N894" s="69"/>
      <c r="O894" s="64"/>
      <c r="P894" s="64" t="s">
        <v>483</v>
      </c>
      <c r="Q894" s="69"/>
      <c r="R894" s="69"/>
      <c r="S894" s="69"/>
    </row>
    <row r="895" s="2" customFormat="1" ht="24.95" customHeight="1" spans="1:19">
      <c r="A895" s="15"/>
      <c r="B895" s="55"/>
      <c r="C895" s="56"/>
      <c r="D895" s="68">
        <v>46184</v>
      </c>
      <c r="E895" s="69"/>
      <c r="F895" s="69" t="s">
        <v>26</v>
      </c>
      <c r="G895" s="65" t="s">
        <v>27</v>
      </c>
      <c r="H895" s="65" t="s">
        <v>28</v>
      </c>
      <c r="I895" s="70" t="s">
        <v>29</v>
      </c>
      <c r="J895" s="71"/>
      <c r="K895" s="71">
        <v>-2000</v>
      </c>
      <c r="L895" s="72">
        <f>IFERROR(IF(G895="","",VLOOKUP($G895,[1]基础信息!$B:$C,2,FALSE)+SUMIF(G$8:G895,G895,J$8:J895)-SUMIF(G$8:G895,G895,K$8:K895)+SUMIFS([1]内部转账!$G:$G,[1]内部转账!$C:$C,"&lt;="&amp;$D895,[1]内部转账!$E:$E,$G895)-SUMIFS([1]内部转账!$G:$G,[1]内部转账!$C:$C,"&lt;="&amp;$D895,[1]内部转账!$F:$F,$G895)),"")</f>
        <v>2982.04999999795</v>
      </c>
      <c r="M895" s="64" t="s">
        <v>30</v>
      </c>
      <c r="N895" s="69" t="s">
        <v>31</v>
      </c>
      <c r="O895" s="64"/>
      <c r="P895" s="64" t="s">
        <v>31</v>
      </c>
      <c r="Q895" s="69"/>
      <c r="R895" s="69"/>
      <c r="S895" s="69"/>
    </row>
    <row r="896" s="2" customFormat="1" ht="24.95" customHeight="1" spans="1:19">
      <c r="A896" s="15"/>
      <c r="B896" s="55"/>
      <c r="C896" s="56"/>
      <c r="D896" s="68">
        <v>46184</v>
      </c>
      <c r="E896" s="69"/>
      <c r="F896" s="69" t="s">
        <v>26</v>
      </c>
      <c r="G896" s="65" t="s">
        <v>27</v>
      </c>
      <c r="H896" s="65" t="s">
        <v>62</v>
      </c>
      <c r="I896" s="70" t="s">
        <v>484</v>
      </c>
      <c r="J896" s="71"/>
      <c r="K896" s="71">
        <v>1140</v>
      </c>
      <c r="L896" s="72">
        <f>IFERROR(IF(G896="","",VLOOKUP($G896,[1]基础信息!$B:$C,2,FALSE)+SUMIF(G$8:G896,G896,J$8:J896)-SUMIF(G$8:G896,G896,K$8:K896)+SUMIFS([1]内部转账!$G:$G,[1]内部转账!$C:$C,"&lt;="&amp;$D896,[1]内部转账!$E:$E,$G896)-SUMIFS([1]内部转账!$G:$G,[1]内部转账!$C:$C,"&lt;="&amp;$D896,[1]内部转账!$F:$F,$G896)),"")</f>
        <v>1842.04999999795</v>
      </c>
      <c r="M896" s="64" t="s">
        <v>235</v>
      </c>
      <c r="N896" s="69"/>
      <c r="O896" s="64"/>
      <c r="P896" s="64" t="s">
        <v>331</v>
      </c>
      <c r="Q896" s="69"/>
      <c r="R896" s="69"/>
      <c r="S896" s="69"/>
    </row>
    <row r="897" s="2" customFormat="1" ht="24.95" customHeight="1" spans="1:19">
      <c r="A897" s="15"/>
      <c r="B897" s="55"/>
      <c r="C897" s="56"/>
      <c r="D897" s="68">
        <v>46188</v>
      </c>
      <c r="E897" s="69"/>
      <c r="F897" s="69" t="s">
        <v>26</v>
      </c>
      <c r="G897" s="65" t="s">
        <v>27</v>
      </c>
      <c r="H897" s="65" t="s">
        <v>28</v>
      </c>
      <c r="I897" s="70" t="s">
        <v>29</v>
      </c>
      <c r="J897" s="71"/>
      <c r="K897" s="71">
        <v>-2000</v>
      </c>
      <c r="L897" s="72">
        <f>IFERROR(IF(G897="","",VLOOKUP($G897,[1]基础信息!$B:$C,2,FALSE)+SUMIF(G$8:G897,G897,J$8:J897)-SUMIF(G$8:G897,G897,K$8:K897)+SUMIFS([1]内部转账!$G:$G,[1]内部转账!$C:$C,"&lt;="&amp;$D897,[1]内部转账!$E:$E,$G897)-SUMIFS([1]内部转账!$G:$G,[1]内部转账!$C:$C,"&lt;="&amp;$D897,[1]内部转账!$F:$F,$G897)),"")</f>
        <v>3842.04999999795</v>
      </c>
      <c r="M897" s="64" t="s">
        <v>30</v>
      </c>
      <c r="N897" s="69" t="s">
        <v>31</v>
      </c>
      <c r="O897" s="64"/>
      <c r="P897" s="64" t="s">
        <v>31</v>
      </c>
      <c r="Q897" s="69"/>
      <c r="R897" s="69"/>
      <c r="S897" s="69"/>
    </row>
    <row r="898" s="2" customFormat="1" ht="24.95" customHeight="1" spans="1:19">
      <c r="A898" s="15"/>
      <c r="B898" s="55"/>
      <c r="C898" s="56"/>
      <c r="D898" s="68">
        <v>46188</v>
      </c>
      <c r="E898" s="69"/>
      <c r="F898" s="69" t="s">
        <v>26</v>
      </c>
      <c r="G898" s="65" t="s">
        <v>27</v>
      </c>
      <c r="H898" s="65" t="s">
        <v>58</v>
      </c>
      <c r="I898" s="70" t="s">
        <v>485</v>
      </c>
      <c r="J898" s="71"/>
      <c r="K898" s="71">
        <v>2500</v>
      </c>
      <c r="L898" s="72">
        <f>IFERROR(IF(G898="","",VLOOKUP($G898,[1]基础信息!$B:$C,2,FALSE)+SUMIF(G$8:G898,G898,J$8:J898)-SUMIF(G$8:G898,G898,K$8:K898)+SUMIFS([1]内部转账!$G:$G,[1]内部转账!$C:$C,"&lt;="&amp;$D898,[1]内部转账!$E:$E,$G898)-SUMIFS([1]内部转账!$G:$G,[1]内部转账!$C:$C,"&lt;="&amp;$D898,[1]内部转账!$F:$F,$G898)),"")</f>
        <v>1342.04999999795</v>
      </c>
      <c r="M898" s="64" t="s">
        <v>486</v>
      </c>
      <c r="N898" s="58"/>
      <c r="O898" s="64"/>
      <c r="P898" s="64" t="s">
        <v>483</v>
      </c>
      <c r="Q898" s="69"/>
      <c r="R898" s="69"/>
      <c r="S898" s="69"/>
    </row>
    <row r="899" s="2" customFormat="1" ht="24.95" customHeight="1" spans="1:19">
      <c r="A899" s="15"/>
      <c r="B899" s="55"/>
      <c r="C899" s="56"/>
      <c r="D899" s="68">
        <v>46188</v>
      </c>
      <c r="E899" s="69"/>
      <c r="F899" s="69" t="s">
        <v>26</v>
      </c>
      <c r="G899" s="65" t="s">
        <v>27</v>
      </c>
      <c r="H899" s="65" t="s">
        <v>58</v>
      </c>
      <c r="I899" s="70" t="s">
        <v>485</v>
      </c>
      <c r="J899" s="71"/>
      <c r="K899" s="71">
        <v>-2500</v>
      </c>
      <c r="L899" s="72">
        <f>IFERROR(IF(G899="","",VLOOKUP($G899,[1]基础信息!$B:$C,2,FALSE)+SUMIF(G$8:G899,G899,J$8:J899)-SUMIF(G$8:G899,G899,K$8:K899)+SUMIFS([1]内部转账!$G:$G,[1]内部转账!$C:$C,"&lt;="&amp;$D899,[1]内部转账!$E:$E,$G899)-SUMIFS([1]内部转账!$G:$G,[1]内部转账!$C:$C,"&lt;="&amp;$D899,[1]内部转账!$F:$F,$G899)),"")</f>
        <v>3842.04999999795</v>
      </c>
      <c r="M899" s="64" t="s">
        <v>486</v>
      </c>
      <c r="N899" s="69"/>
      <c r="O899" s="64"/>
      <c r="P899" s="64" t="s">
        <v>483</v>
      </c>
      <c r="Q899" s="69"/>
      <c r="R899" s="69"/>
      <c r="S899" s="69"/>
    </row>
    <row r="900" s="2" customFormat="1" ht="24.95" customHeight="1" spans="1:19">
      <c r="A900" s="15"/>
      <c r="B900" s="55"/>
      <c r="C900" s="56"/>
      <c r="D900" s="68">
        <v>46188</v>
      </c>
      <c r="E900" s="69"/>
      <c r="F900" s="69" t="s">
        <v>26</v>
      </c>
      <c r="G900" s="65" t="s">
        <v>27</v>
      </c>
      <c r="H900" s="65" t="s">
        <v>58</v>
      </c>
      <c r="I900" s="70" t="s">
        <v>485</v>
      </c>
      <c r="J900" s="71"/>
      <c r="K900" s="71">
        <v>2500</v>
      </c>
      <c r="L900" s="72">
        <f>IFERROR(IF(G900="","",VLOOKUP($G900,[1]基础信息!$B:$C,2,FALSE)+SUMIF(G$8:G900,G900,J$8:J900)-SUMIF(G$8:G900,G900,K$8:K900)+SUMIFS([1]内部转账!$G:$G,[1]内部转账!$C:$C,"&lt;="&amp;$D900,[1]内部转账!$E:$E,$G900)-SUMIFS([1]内部转账!$G:$G,[1]内部转账!$C:$C,"&lt;="&amp;$D900,[1]内部转账!$F:$F,$G900)),"")</f>
        <v>1342.04999999795</v>
      </c>
      <c r="M900" s="64" t="s">
        <v>486</v>
      </c>
      <c r="N900" s="58"/>
      <c r="O900" s="64"/>
      <c r="P900" s="64" t="s">
        <v>483</v>
      </c>
      <c r="Q900" s="69"/>
      <c r="R900" s="69"/>
      <c r="S900" s="69"/>
    </row>
    <row r="901" s="2" customFormat="1" ht="24.95" customHeight="1" spans="1:19">
      <c r="A901" s="15"/>
      <c r="B901" s="55"/>
      <c r="C901" s="56"/>
      <c r="D901" s="68">
        <v>46190</v>
      </c>
      <c r="E901" s="69"/>
      <c r="F901" s="69" t="s">
        <v>42</v>
      </c>
      <c r="G901" s="65" t="s">
        <v>279</v>
      </c>
      <c r="H901" s="65" t="s">
        <v>43</v>
      </c>
      <c r="I901" s="70" t="s">
        <v>442</v>
      </c>
      <c r="J901" s="71">
        <v>57183</v>
      </c>
      <c r="K901" s="71"/>
      <c r="L901" s="72">
        <f>IFERROR(IF(G901="","",VLOOKUP($G901,[1]基础信息!$B:$C,2,FALSE)+SUMIF(G$8:G901,G901,J$8:J901)-SUMIF(G$8:G901,G901,K$8:K901)+SUMIFS([1]内部转账!$G:$G,[1]内部转账!$C:$C,"&lt;="&amp;$D901,[1]内部转账!$E:$E,$G901)-SUMIFS([1]内部转账!$G:$G,[1]内部转账!$C:$C,"&lt;="&amp;$D901,[1]内部转账!$F:$F,$G901)),"")</f>
        <v>57183</v>
      </c>
      <c r="M901" s="64" t="s">
        <v>317</v>
      </c>
      <c r="N901" s="69"/>
      <c r="O901" s="64"/>
      <c r="P901" s="64"/>
      <c r="Q901" s="69"/>
      <c r="R901" s="69"/>
      <c r="S901" s="69"/>
    </row>
    <row r="902" s="2" customFormat="1" ht="24.95" customHeight="1" spans="1:19">
      <c r="A902" s="15"/>
      <c r="B902" s="55"/>
      <c r="C902" s="56"/>
      <c r="D902" s="68">
        <v>46190</v>
      </c>
      <c r="E902" s="69"/>
      <c r="F902" s="69" t="s">
        <v>26</v>
      </c>
      <c r="G902" s="65" t="s">
        <v>279</v>
      </c>
      <c r="H902" s="65" t="s">
        <v>138</v>
      </c>
      <c r="I902" s="70" t="s">
        <v>228</v>
      </c>
      <c r="J902" s="71"/>
      <c r="K902" s="71">
        <v>19950</v>
      </c>
      <c r="L902" s="72">
        <f>IFERROR(IF(G902="","",VLOOKUP($G902,[1]基础信息!$B:$C,2,FALSE)+SUMIF(G$8:G902,G902,J$8:J902)-SUMIF(G$8:G902,G902,K$8:K902)+SUMIFS([1]内部转账!$G:$G,[1]内部转账!$C:$C,"&lt;="&amp;$D902,[1]内部转账!$E:$E,$G902)-SUMIFS([1]内部转账!$G:$G,[1]内部转账!$C:$C,"&lt;="&amp;$D902,[1]内部转账!$F:$F,$G902)),"")</f>
        <v>37233</v>
      </c>
      <c r="M902" s="64" t="s">
        <v>317</v>
      </c>
      <c r="N902" s="69" t="s">
        <v>229</v>
      </c>
      <c r="O902" s="64"/>
      <c r="P902" s="64" t="s">
        <v>229</v>
      </c>
      <c r="Q902" s="69"/>
      <c r="R902" s="69"/>
      <c r="S902" s="69"/>
    </row>
    <row r="903" s="2" customFormat="1" ht="24.95" customHeight="1" spans="1:19">
      <c r="A903" s="15"/>
      <c r="B903" s="55"/>
      <c r="C903" s="56"/>
      <c r="D903" s="68">
        <v>46190</v>
      </c>
      <c r="E903" s="69"/>
      <c r="F903" s="69" t="s">
        <v>26</v>
      </c>
      <c r="G903" s="65" t="s">
        <v>279</v>
      </c>
      <c r="H903" s="65" t="s">
        <v>138</v>
      </c>
      <c r="I903" s="70" t="s">
        <v>361</v>
      </c>
      <c r="J903" s="71"/>
      <c r="K903" s="71">
        <v>15428</v>
      </c>
      <c r="L903" s="72">
        <f>IFERROR(IF(G903="","",VLOOKUP($G903,[1]基础信息!$B:$C,2,FALSE)+SUMIF(G$8:G903,G903,J$8:J903)-SUMIF(G$8:G903,G903,K$8:K903)+SUMIFS([1]内部转账!$G:$G,[1]内部转账!$C:$C,"&lt;="&amp;$D903,[1]内部转账!$E:$E,$G903)-SUMIFS([1]内部转账!$G:$G,[1]内部转账!$C:$C,"&lt;="&amp;$D903,[1]内部转账!$F:$F,$G903)),"")</f>
        <v>21805</v>
      </c>
      <c r="M903" s="64" t="s">
        <v>317</v>
      </c>
      <c r="N903" s="69" t="s">
        <v>229</v>
      </c>
      <c r="O903" s="64"/>
      <c r="P903" s="64" t="s">
        <v>229</v>
      </c>
      <c r="Q903" s="69"/>
      <c r="R903" s="69"/>
      <c r="S903" s="69"/>
    </row>
    <row r="904" s="2" customFormat="1" ht="24.95" customHeight="1" spans="1:19">
      <c r="A904" s="15"/>
      <c r="B904" s="55"/>
      <c r="C904" s="56"/>
      <c r="D904" s="68">
        <v>46190</v>
      </c>
      <c r="E904" s="69"/>
      <c r="F904" s="69" t="s">
        <v>26</v>
      </c>
      <c r="G904" s="65" t="s">
        <v>279</v>
      </c>
      <c r="H904" s="65" t="s">
        <v>138</v>
      </c>
      <c r="I904" s="70" t="s">
        <v>444</v>
      </c>
      <c r="J904" s="71"/>
      <c r="K904" s="71">
        <v>2940</v>
      </c>
      <c r="L904" s="72">
        <f>IFERROR(IF(G904="","",VLOOKUP($G904,[1]基础信息!$B:$C,2,FALSE)+SUMIF(G$8:G904,G904,J$8:J904)-SUMIF(G$8:G904,G904,K$8:K904)+SUMIFS([1]内部转账!$G:$G,[1]内部转账!$C:$C,"&lt;="&amp;$D904,[1]内部转账!$E:$E,$G904)-SUMIFS([1]内部转账!$G:$G,[1]内部转账!$C:$C,"&lt;="&amp;$D904,[1]内部转账!$F:$F,$G904)),"")</f>
        <v>18865</v>
      </c>
      <c r="M904" s="64" t="s">
        <v>317</v>
      </c>
      <c r="N904" s="69" t="s">
        <v>229</v>
      </c>
      <c r="O904" s="64"/>
      <c r="P904" s="64" t="s">
        <v>229</v>
      </c>
      <c r="Q904" s="69"/>
      <c r="R904" s="69"/>
      <c r="S904" s="69"/>
    </row>
    <row r="905" s="2" customFormat="1" ht="24.95" customHeight="1" spans="1:19">
      <c r="A905" s="15"/>
      <c r="B905" s="55"/>
      <c r="C905" s="56"/>
      <c r="D905" s="68">
        <v>46190</v>
      </c>
      <c r="E905" s="69"/>
      <c r="F905" s="69" t="s">
        <v>26</v>
      </c>
      <c r="G905" s="65" t="s">
        <v>279</v>
      </c>
      <c r="H905" s="65" t="s">
        <v>138</v>
      </c>
      <c r="I905" s="70" t="s">
        <v>445</v>
      </c>
      <c r="J905" s="71"/>
      <c r="K905" s="71">
        <v>2940</v>
      </c>
      <c r="L905" s="72">
        <f>IFERROR(IF(G905="","",VLOOKUP($G905,[1]基础信息!$B:$C,2,FALSE)+SUMIF(G$8:G905,G905,J$8:J905)-SUMIF(G$8:G905,G905,K$8:K905)+SUMIFS([1]内部转账!$G:$G,[1]内部转账!$C:$C,"&lt;="&amp;$D905,[1]内部转账!$E:$E,$G905)-SUMIFS([1]内部转账!$G:$G,[1]内部转账!$C:$C,"&lt;="&amp;$D905,[1]内部转账!$F:$F,$G905)),"")</f>
        <v>15925</v>
      </c>
      <c r="M905" s="64" t="s">
        <v>317</v>
      </c>
      <c r="N905" s="58" t="s">
        <v>229</v>
      </c>
      <c r="O905" s="64"/>
      <c r="P905" s="64" t="s">
        <v>229</v>
      </c>
      <c r="Q905" s="69"/>
      <c r="R905" s="69"/>
      <c r="S905" s="69"/>
    </row>
    <row r="906" s="2" customFormat="1" ht="24.95" customHeight="1" spans="1:19">
      <c r="A906" s="15"/>
      <c r="B906" s="55"/>
      <c r="C906" s="56"/>
      <c r="D906" s="68">
        <v>46190</v>
      </c>
      <c r="E906" s="69"/>
      <c r="F906" s="69" t="s">
        <v>26</v>
      </c>
      <c r="G906" s="65" t="s">
        <v>279</v>
      </c>
      <c r="H906" s="65" t="s">
        <v>138</v>
      </c>
      <c r="I906" s="70" t="s">
        <v>307</v>
      </c>
      <c r="J906" s="71"/>
      <c r="K906" s="71">
        <v>15925</v>
      </c>
      <c r="L906" s="72">
        <f>IFERROR(IF(G906="","",VLOOKUP($G906,[1]基础信息!$B:$C,2,FALSE)+SUMIF(G$8:G906,G906,J$8:J906)-SUMIF(G$8:G906,G906,K$8:K906)+SUMIFS([1]内部转账!$G:$G,[1]内部转账!$C:$C,"&lt;="&amp;$D906,[1]内部转账!$E:$E,$G906)-SUMIFS([1]内部转账!$G:$G,[1]内部转账!$C:$C,"&lt;="&amp;$D906,[1]内部转账!$F:$F,$G906)),"")</f>
        <v>0</v>
      </c>
      <c r="M906" s="64" t="s">
        <v>317</v>
      </c>
      <c r="N906" s="69" t="s">
        <v>229</v>
      </c>
      <c r="O906" s="64"/>
      <c r="P906" s="64" t="s">
        <v>229</v>
      </c>
      <c r="Q906" s="69"/>
      <c r="R906" s="69"/>
      <c r="S906" s="69"/>
    </row>
    <row r="907" s="2" customFormat="1" ht="24.95" customHeight="1" spans="1:19">
      <c r="A907" s="15"/>
      <c r="B907" s="55"/>
      <c r="C907" s="56"/>
      <c r="D907" s="68">
        <v>46191</v>
      </c>
      <c r="E907" s="69"/>
      <c r="F907" s="69" t="s">
        <v>26</v>
      </c>
      <c r="G907" s="65" t="s">
        <v>27</v>
      </c>
      <c r="H907" s="65" t="s">
        <v>33</v>
      </c>
      <c r="I907" s="70" t="s">
        <v>487</v>
      </c>
      <c r="J907" s="71"/>
      <c r="K907" s="71">
        <v>-703.2</v>
      </c>
      <c r="L907" s="72">
        <f>IFERROR(IF(G907="","",VLOOKUP($G907,[1]基础信息!$B:$C,2,FALSE)+SUMIF(G$8:G907,G907,J$8:J907)-SUMIF(G$8:G907,G907,K$8:K907)+SUMIFS([1]内部转账!$G:$G,[1]内部转账!$C:$C,"&lt;="&amp;$D907,[1]内部转账!$E:$E,$G907)-SUMIFS([1]内部转账!$G:$G,[1]内部转账!$C:$C,"&lt;="&amp;$D907,[1]内部转账!$F:$F,$G907)),"")</f>
        <v>2045.24999999814</v>
      </c>
      <c r="M907" s="64" t="s">
        <v>35</v>
      </c>
      <c r="N907" s="69"/>
      <c r="O907" s="64"/>
      <c r="P907" s="64" t="s">
        <v>488</v>
      </c>
      <c r="Q907" s="69"/>
      <c r="R907" s="69"/>
      <c r="S907" s="69"/>
    </row>
    <row r="908" s="2" customFormat="1" ht="24.95" customHeight="1" spans="1:19">
      <c r="A908" s="15"/>
      <c r="B908" s="55"/>
      <c r="C908" s="56"/>
      <c r="D908" s="68">
        <v>46191</v>
      </c>
      <c r="E908" s="69"/>
      <c r="F908" s="69" t="s">
        <v>26</v>
      </c>
      <c r="G908" s="65" t="s">
        <v>27</v>
      </c>
      <c r="H908" s="65" t="s">
        <v>28</v>
      </c>
      <c r="I908" s="70" t="s">
        <v>29</v>
      </c>
      <c r="J908" s="71"/>
      <c r="K908" s="71">
        <v>-5000</v>
      </c>
      <c r="L908" s="72">
        <f>IFERROR(IF(G908="","",VLOOKUP($G908,[1]基础信息!$B:$C,2,FALSE)+SUMIF(G$8:G908,G908,J$8:J908)-SUMIF(G$8:G908,G908,K$8:K908)+SUMIFS([1]内部转账!$G:$G,[1]内部转账!$C:$C,"&lt;="&amp;$D908,[1]内部转账!$E:$E,$G908)-SUMIFS([1]内部转账!$G:$G,[1]内部转账!$C:$C,"&lt;="&amp;$D908,[1]内部转账!$F:$F,$G908)),"")</f>
        <v>7045.24999999814</v>
      </c>
      <c r="M908" s="64" t="s">
        <v>30</v>
      </c>
      <c r="N908" s="69" t="s">
        <v>31</v>
      </c>
      <c r="O908" s="64"/>
      <c r="P908" s="64"/>
      <c r="Q908" s="69"/>
      <c r="R908" s="69"/>
      <c r="S908" s="69"/>
    </row>
    <row r="909" s="2" customFormat="1" ht="24.95" customHeight="1" spans="1:19">
      <c r="A909" s="15"/>
      <c r="B909" s="55"/>
      <c r="C909" s="56"/>
      <c r="D909" s="68">
        <v>46191</v>
      </c>
      <c r="E909" s="69"/>
      <c r="F909" s="69" t="s">
        <v>26</v>
      </c>
      <c r="G909" s="65" t="s">
        <v>27</v>
      </c>
      <c r="H909" s="65" t="s">
        <v>46</v>
      </c>
      <c r="I909" s="70" t="s">
        <v>286</v>
      </c>
      <c r="J909" s="71"/>
      <c r="K909" s="71">
        <v>3000</v>
      </c>
      <c r="L909" s="72">
        <f>IFERROR(IF(G909="","",VLOOKUP($G909,[1]基础信息!$B:$C,2,FALSE)+SUMIF(G$8:G909,G909,J$8:J909)-SUMIF(G$8:G909,G909,K$8:K909)+SUMIFS([1]内部转账!$G:$G,[1]内部转账!$C:$C,"&lt;="&amp;$D909,[1]内部转账!$E:$E,$G909)-SUMIFS([1]内部转账!$G:$G,[1]内部转账!$C:$C,"&lt;="&amp;$D909,[1]内部转账!$F:$F,$G909)),"")</f>
        <v>4045.24999999814</v>
      </c>
      <c r="M909" s="64" t="s">
        <v>150</v>
      </c>
      <c r="N909" s="69" t="s">
        <v>286</v>
      </c>
      <c r="O909" s="64"/>
      <c r="P909" s="64"/>
      <c r="Q909" s="69"/>
      <c r="R909" s="69"/>
      <c r="S909" s="69"/>
    </row>
    <row r="910" s="2" customFormat="1" ht="24.95" customHeight="1" spans="1:19">
      <c r="A910" s="15"/>
      <c r="B910" s="55"/>
      <c r="C910" s="56"/>
      <c r="D910" s="68">
        <v>46191</v>
      </c>
      <c r="E910" s="69"/>
      <c r="F910" s="69" t="s">
        <v>26</v>
      </c>
      <c r="G910" s="65" t="s">
        <v>27</v>
      </c>
      <c r="H910" s="65" t="s">
        <v>46</v>
      </c>
      <c r="I910" s="70" t="s">
        <v>130</v>
      </c>
      <c r="J910" s="71"/>
      <c r="K910" s="71">
        <v>2000</v>
      </c>
      <c r="L910" s="72">
        <f>IFERROR(IF(G910="","",VLOOKUP($G910,[1]基础信息!$B:$C,2,FALSE)+SUMIF(G$8:G910,G910,J$8:J910)-SUMIF(G$8:G910,G910,K$8:K910)+SUMIFS([1]内部转账!$G:$G,[1]内部转账!$C:$C,"&lt;="&amp;$D910,[1]内部转账!$E:$E,$G910)-SUMIFS([1]内部转账!$G:$G,[1]内部转账!$C:$C,"&lt;="&amp;$D910,[1]内部转账!$F:$F,$G910)),"")</f>
        <v>2045.24999999814</v>
      </c>
      <c r="M910" s="64" t="s">
        <v>150</v>
      </c>
      <c r="N910" s="69" t="s">
        <v>130</v>
      </c>
      <c r="O910" s="64"/>
      <c r="P910" s="64"/>
      <c r="Q910" s="69"/>
      <c r="R910" s="69"/>
      <c r="S910" s="69"/>
    </row>
    <row r="911" s="2" customFormat="1" ht="24.95" customHeight="1" spans="1:19">
      <c r="A911" s="15"/>
      <c r="B911" s="55"/>
      <c r="C911" s="56"/>
      <c r="D911" s="68">
        <v>46191</v>
      </c>
      <c r="E911" s="69"/>
      <c r="F911" s="69" t="s">
        <v>26</v>
      </c>
      <c r="G911" s="65" t="s">
        <v>27</v>
      </c>
      <c r="H911" s="65" t="s">
        <v>46</v>
      </c>
      <c r="I911" s="70" t="s">
        <v>130</v>
      </c>
      <c r="J911" s="71"/>
      <c r="K911" s="71">
        <v>700</v>
      </c>
      <c r="L911" s="72">
        <f>IFERROR(IF(G911="","",VLOOKUP($G911,[1]基础信息!$B:$C,2,FALSE)+SUMIF(G$8:G911,G911,J$8:J911)-SUMIF(G$8:G911,G911,K$8:K911)+SUMIFS([1]内部转账!$G:$G,[1]内部转账!$C:$C,"&lt;="&amp;$D911,[1]内部转账!$E:$E,$G911)-SUMIFS([1]内部转账!$G:$G,[1]内部转账!$C:$C,"&lt;="&amp;$D911,[1]内部转账!$F:$F,$G911)),"")</f>
        <v>1345.24999999814</v>
      </c>
      <c r="M911" s="64" t="s">
        <v>150</v>
      </c>
      <c r="N911" s="69" t="s">
        <v>130</v>
      </c>
      <c r="O911" s="64"/>
      <c r="P911" s="64"/>
      <c r="Q911" s="69"/>
      <c r="R911" s="69"/>
      <c r="S911" s="69"/>
    </row>
    <row r="912" s="2" customFormat="1" ht="24.95" customHeight="1" spans="1:19">
      <c r="A912" s="15"/>
      <c r="B912" s="55"/>
      <c r="C912" s="56"/>
      <c r="D912" s="68">
        <v>46191</v>
      </c>
      <c r="E912" s="69"/>
      <c r="F912" s="69" t="s">
        <v>42</v>
      </c>
      <c r="G912" s="65" t="s">
        <v>279</v>
      </c>
      <c r="H912" s="65" t="s">
        <v>43</v>
      </c>
      <c r="I912" s="70" t="s">
        <v>489</v>
      </c>
      <c r="J912" s="71">
        <v>12750</v>
      </c>
      <c r="K912" s="71"/>
      <c r="L912" s="72">
        <f>IFERROR(IF(G912="","",VLOOKUP($G912,[1]基础信息!$B:$C,2,FALSE)+SUMIF(G$8:G912,G912,J$8:J912)-SUMIF(G$8:G912,G912,K$8:K912)+SUMIFS([1]内部转账!$G:$G,[1]内部转账!$C:$C,"&lt;="&amp;$D912,[1]内部转账!$E:$E,$G912)-SUMIFS([1]内部转账!$G:$G,[1]内部转账!$C:$C,"&lt;="&amp;$D912,[1]内部转账!$F:$F,$G912)),"")</f>
        <v>12750</v>
      </c>
      <c r="M912" s="64" t="s">
        <v>235</v>
      </c>
      <c r="N912" s="69"/>
      <c r="O912" s="64"/>
      <c r="P912" s="64"/>
      <c r="Q912" s="69"/>
      <c r="R912" s="69"/>
      <c r="S912" s="69"/>
    </row>
    <row r="913" s="2" customFormat="1" ht="24.95" customHeight="1" spans="1:19">
      <c r="A913" s="15"/>
      <c r="B913" s="55"/>
      <c r="C913" s="56"/>
      <c r="D913" s="68">
        <v>46191</v>
      </c>
      <c r="E913" s="69"/>
      <c r="F913" s="69" t="s">
        <v>26</v>
      </c>
      <c r="G913" s="65" t="s">
        <v>279</v>
      </c>
      <c r="H913" s="65" t="s">
        <v>46</v>
      </c>
      <c r="I913" s="70" t="s">
        <v>94</v>
      </c>
      <c r="J913" s="71"/>
      <c r="K913" s="71">
        <v>5000</v>
      </c>
      <c r="L913" s="72">
        <f>IFERROR(IF(G913="","",VLOOKUP($G913,[1]基础信息!$B:$C,2,FALSE)+SUMIF(G$8:G913,G913,J$8:J913)-SUMIF(G$8:G913,G913,K$8:K913)+SUMIFS([1]内部转账!$G:$G,[1]内部转账!$C:$C,"&lt;="&amp;$D913,[1]内部转账!$E:$E,$G913)-SUMIFS([1]内部转账!$G:$G,[1]内部转账!$C:$C,"&lt;="&amp;$D913,[1]内部转账!$F:$F,$G913)),"")</f>
        <v>7750</v>
      </c>
      <c r="M913" s="64" t="s">
        <v>235</v>
      </c>
      <c r="N913" s="69"/>
      <c r="O913" s="64"/>
      <c r="P913" s="64"/>
      <c r="Q913" s="69"/>
      <c r="R913" s="69"/>
      <c r="S913" s="69"/>
    </row>
    <row r="914" s="2" customFormat="1" ht="24.95" customHeight="1" spans="1:19">
      <c r="A914" s="15"/>
      <c r="B914" s="55"/>
      <c r="C914" s="56"/>
      <c r="D914" s="68">
        <v>46191</v>
      </c>
      <c r="E914" s="69"/>
      <c r="F914" s="69" t="s">
        <v>26</v>
      </c>
      <c r="G914" s="65" t="s">
        <v>279</v>
      </c>
      <c r="H914" s="65" t="s">
        <v>46</v>
      </c>
      <c r="I914" s="70" t="s">
        <v>131</v>
      </c>
      <c r="J914" s="71"/>
      <c r="K914" s="71">
        <v>5000</v>
      </c>
      <c r="L914" s="72">
        <f>IFERROR(IF(G914="","",VLOOKUP($G914,[1]基础信息!$B:$C,2,FALSE)+SUMIF(G$8:G914,G914,J$8:J914)-SUMIF(G$8:G914,G914,K$8:K914)+SUMIFS([1]内部转账!$G:$G,[1]内部转账!$C:$C,"&lt;="&amp;$D914,[1]内部转账!$E:$E,$G914)-SUMIFS([1]内部转账!$G:$G,[1]内部转账!$C:$C,"&lt;="&amp;$D914,[1]内部转账!$F:$F,$G914)),"")</f>
        <v>2750</v>
      </c>
      <c r="M914" s="64" t="s">
        <v>235</v>
      </c>
      <c r="N914" s="69"/>
      <c r="O914" s="64"/>
      <c r="P914" s="64"/>
      <c r="Q914" s="69"/>
      <c r="R914" s="69"/>
      <c r="S914" s="69"/>
    </row>
    <row r="915" s="2" customFormat="1" ht="24.95" customHeight="1" spans="1:19">
      <c r="A915" s="15"/>
      <c r="B915" s="55"/>
      <c r="C915" s="56"/>
      <c r="D915" s="68">
        <v>46191</v>
      </c>
      <c r="E915" s="69"/>
      <c r="F915" s="69" t="s">
        <v>26</v>
      </c>
      <c r="G915" s="65" t="s">
        <v>279</v>
      </c>
      <c r="H915" s="65" t="s">
        <v>53</v>
      </c>
      <c r="I915" s="70" t="s">
        <v>98</v>
      </c>
      <c r="J915" s="71"/>
      <c r="K915" s="71">
        <v>2750</v>
      </c>
      <c r="L915" s="72">
        <f>IFERROR(IF(G915="","",VLOOKUP($G915,[1]基础信息!$B:$C,2,FALSE)+SUMIF(G$8:G915,G915,J$8:J915)-SUMIF(G$8:G915,G915,K$8:K915)+SUMIFS([1]内部转账!$G:$G,[1]内部转账!$C:$C,"&lt;="&amp;$D915,[1]内部转账!$E:$E,$G915)-SUMIFS([1]内部转账!$G:$G,[1]内部转账!$C:$C,"&lt;="&amp;$D915,[1]内部转账!$F:$F,$G915)),"")</f>
        <v>0</v>
      </c>
      <c r="M915" s="64" t="s">
        <v>235</v>
      </c>
      <c r="N915" s="69" t="s">
        <v>98</v>
      </c>
      <c r="O915" s="64"/>
      <c r="P915" s="64"/>
      <c r="Q915" s="69"/>
      <c r="R915" s="69"/>
      <c r="S915" s="69"/>
    </row>
    <row r="916" s="2" customFormat="1" ht="24.95" customHeight="1" spans="1:19">
      <c r="A916" s="15"/>
      <c r="B916" s="55"/>
      <c r="C916" s="56"/>
      <c r="D916" s="68">
        <v>46191</v>
      </c>
      <c r="E916" s="69"/>
      <c r="F916" s="69" t="s">
        <v>26</v>
      </c>
      <c r="G916" s="65" t="s">
        <v>125</v>
      </c>
      <c r="H916" s="65" t="s">
        <v>46</v>
      </c>
      <c r="I916" s="70" t="s">
        <v>466</v>
      </c>
      <c r="J916" s="71"/>
      <c r="K916" s="71">
        <v>-1500</v>
      </c>
      <c r="L916" s="72">
        <f>IFERROR(IF(G916="","",VLOOKUP($G916,[1]基础信息!$B:$C,2,FALSE)+SUMIF(G$8:G916,G916,J$8:J916)-SUMIF(G$8:G916,G916,K$8:K916)+SUMIFS([1]内部转账!$G:$G,[1]内部转账!$C:$C,"&lt;="&amp;$D916,[1]内部转账!$E:$E,$G916)-SUMIFS([1]内部转账!$G:$G,[1]内部转账!$C:$C,"&lt;="&amp;$D916,[1]内部转账!$F:$F,$G916)),"")</f>
        <v>-3700</v>
      </c>
      <c r="M916" s="64" t="s">
        <v>235</v>
      </c>
      <c r="N916" s="69" t="s">
        <v>98</v>
      </c>
      <c r="O916" s="64"/>
      <c r="P916" s="64"/>
      <c r="Q916" s="69"/>
      <c r="R916" s="69"/>
      <c r="S916" s="69"/>
    </row>
    <row r="917" s="2" customFormat="1" ht="24.95" customHeight="1" spans="1:19">
      <c r="A917" s="15"/>
      <c r="B917" s="55"/>
      <c r="C917" s="56"/>
      <c r="D917" s="68">
        <v>46191</v>
      </c>
      <c r="E917" s="69"/>
      <c r="F917" s="69" t="s">
        <v>26</v>
      </c>
      <c r="G917" s="65" t="s">
        <v>125</v>
      </c>
      <c r="H917" s="65" t="s">
        <v>46</v>
      </c>
      <c r="I917" s="70" t="s">
        <v>468</v>
      </c>
      <c r="J917" s="71"/>
      <c r="K917" s="71">
        <v>-1500</v>
      </c>
      <c r="L917" s="72">
        <f>IFERROR(IF(G917="","",VLOOKUP($G917,[1]基础信息!$B:$C,2,FALSE)+SUMIF(G$8:G917,G917,J$8:J917)-SUMIF(G$8:G917,G917,K$8:K917)+SUMIFS([1]内部转账!$G:$G,[1]内部转账!$C:$C,"&lt;="&amp;$D917,[1]内部转账!$E:$E,$G917)-SUMIFS([1]内部转账!$G:$G,[1]内部转账!$C:$C,"&lt;="&amp;$D917,[1]内部转账!$F:$F,$G917)),"")</f>
        <v>-2200</v>
      </c>
      <c r="M917" s="64" t="s">
        <v>235</v>
      </c>
      <c r="N917" s="69" t="s">
        <v>98</v>
      </c>
      <c r="O917" s="64"/>
      <c r="P917" s="64"/>
      <c r="Q917" s="69"/>
      <c r="R917" s="69"/>
      <c r="S917" s="69"/>
    </row>
    <row r="918" s="2" customFormat="1" ht="24.95" customHeight="1" spans="1:19">
      <c r="A918" s="15"/>
      <c r="B918" s="55"/>
      <c r="C918" s="56"/>
      <c r="D918" s="68">
        <v>46191</v>
      </c>
      <c r="E918" s="69"/>
      <c r="F918" s="69" t="s">
        <v>26</v>
      </c>
      <c r="G918" s="65" t="s">
        <v>125</v>
      </c>
      <c r="H918" s="65" t="s">
        <v>53</v>
      </c>
      <c r="I918" s="70" t="s">
        <v>467</v>
      </c>
      <c r="J918" s="71"/>
      <c r="K918" s="71">
        <v>-2700</v>
      </c>
      <c r="L918" s="72">
        <f>IFERROR(IF(G918="","",VLOOKUP($G918,[1]基础信息!$B:$C,2,FALSE)+SUMIF(G$8:G918,G918,J$8:J918)-SUMIF(G$8:G918,G918,K$8:K918)+SUMIFS([1]内部转账!$G:$G,[1]内部转账!$C:$C,"&lt;="&amp;$D918,[1]内部转账!$E:$E,$G918)-SUMIFS([1]内部转账!$G:$G,[1]内部转账!$C:$C,"&lt;="&amp;$D918,[1]内部转账!$F:$F,$G918)),"")</f>
        <v>500</v>
      </c>
      <c r="M918" s="64" t="s">
        <v>235</v>
      </c>
      <c r="N918" s="69" t="s">
        <v>98</v>
      </c>
      <c r="O918" s="64"/>
      <c r="P918" s="64"/>
      <c r="Q918" s="69"/>
      <c r="R918" s="69"/>
      <c r="S918" s="69"/>
    </row>
    <row r="919" s="2" customFormat="1" ht="24.95" customHeight="1" spans="1:19">
      <c r="A919" s="15"/>
      <c r="B919" s="55"/>
      <c r="C919" s="56"/>
      <c r="D919" s="68">
        <v>46193</v>
      </c>
      <c r="E919" s="69"/>
      <c r="F919" s="69" t="s">
        <v>26</v>
      </c>
      <c r="G919" s="65" t="s">
        <v>400</v>
      </c>
      <c r="H919" s="65" t="s">
        <v>490</v>
      </c>
      <c r="I919" s="70" t="s">
        <v>491</v>
      </c>
      <c r="J919" s="71"/>
      <c r="K919" s="71">
        <v>-500</v>
      </c>
      <c r="L919" s="72">
        <f>IFERROR(IF(G919="","",VLOOKUP($G919,[1]基础信息!$B:$C,2,FALSE)+SUMIF(G$8:G919,G919,J$8:J919)-SUMIF(G$8:G919,G919,K$8:K919)+SUMIFS([1]内部转账!$G:$G,[1]内部转账!$C:$C,"&lt;="&amp;$D919,[1]内部转账!$E:$E,$G919)-SUMIFS([1]内部转账!$G:$G,[1]内部转账!$C:$C,"&lt;="&amp;$D919,[1]内部转账!$F:$F,$G919)),"")</f>
        <v>1108.73000000004</v>
      </c>
      <c r="M919" s="64" t="s">
        <v>30</v>
      </c>
      <c r="N919" s="69" t="s">
        <v>98</v>
      </c>
      <c r="O919" s="64"/>
      <c r="P919" s="64" t="s">
        <v>492</v>
      </c>
      <c r="Q919" s="69"/>
      <c r="R919" s="69"/>
      <c r="S919" s="69"/>
    </row>
    <row r="920" s="2" customFormat="1" ht="24.95" customHeight="1" spans="1:19">
      <c r="A920" s="15"/>
      <c r="B920" s="55"/>
      <c r="C920" s="56"/>
      <c r="D920" s="68">
        <v>46193</v>
      </c>
      <c r="E920" s="69"/>
      <c r="F920" s="69" t="s">
        <v>26</v>
      </c>
      <c r="G920" s="65" t="s">
        <v>400</v>
      </c>
      <c r="H920" s="65" t="s">
        <v>435</v>
      </c>
      <c r="I920" s="70" t="s">
        <v>436</v>
      </c>
      <c r="J920" s="71"/>
      <c r="K920" s="71">
        <v>1088.01</v>
      </c>
      <c r="L920" s="72">
        <f>IFERROR(IF(G920="","",VLOOKUP($G920,[1]基础信息!$B:$C,2,FALSE)+SUMIF(G$8:G920,G920,J$8:J920)-SUMIF(G$8:G920,G920,K$8:K920)+SUMIFS([1]内部转账!$G:$G,[1]内部转账!$C:$C,"&lt;="&amp;$D920,[1]内部转账!$E:$E,$G920)-SUMIFS([1]内部转账!$G:$G,[1]内部转账!$C:$C,"&lt;="&amp;$D920,[1]内部转账!$F:$F,$G920)),"")</f>
        <v>20.7200000000303</v>
      </c>
      <c r="M920" s="64" t="s">
        <v>402</v>
      </c>
      <c r="N920" s="69"/>
      <c r="O920" s="64"/>
      <c r="P920" s="64"/>
      <c r="Q920" s="69"/>
      <c r="R920" s="69"/>
      <c r="S920" s="69"/>
    </row>
    <row r="921" s="2" customFormat="1" ht="24.95" customHeight="1" spans="1:19">
      <c r="A921" s="15"/>
      <c r="B921" s="55"/>
      <c r="C921" s="56"/>
      <c r="D921" s="68">
        <v>46193</v>
      </c>
      <c r="E921" s="69"/>
      <c r="F921" s="69" t="s">
        <v>26</v>
      </c>
      <c r="G921" s="65" t="s">
        <v>27</v>
      </c>
      <c r="H921" s="65" t="s">
        <v>33</v>
      </c>
      <c r="I921" s="70" t="s">
        <v>493</v>
      </c>
      <c r="J921" s="71"/>
      <c r="K921" s="71">
        <v>588</v>
      </c>
      <c r="L921" s="72">
        <f>IFERROR(IF(G921="","",VLOOKUP($G921,[1]基础信息!$B:$C,2,FALSE)+SUMIF(G$8:G921,G921,J$8:J921)-SUMIF(G$8:G921,G921,K$8:K921)+SUMIFS([1]内部转账!$G:$G,[1]内部转账!$C:$C,"&lt;="&amp;$D921,[1]内部转账!$E:$E,$G921)-SUMIFS([1]内部转账!$G:$G,[1]内部转账!$C:$C,"&lt;="&amp;$D921,[1]内部转账!$F:$F,$G921)),"")</f>
        <v>757.249999998137</v>
      </c>
      <c r="M921" s="64" t="s">
        <v>35</v>
      </c>
      <c r="N921" s="69"/>
      <c r="O921" s="64"/>
      <c r="P921" s="64"/>
      <c r="Q921" s="69"/>
      <c r="R921" s="69"/>
      <c r="S921" s="69"/>
    </row>
    <row r="922" s="2" customFormat="1" ht="24.95" customHeight="1" spans="1:19">
      <c r="A922" s="15"/>
      <c r="B922" s="55"/>
      <c r="C922" s="56"/>
      <c r="D922" s="68">
        <v>46193</v>
      </c>
      <c r="E922" s="69"/>
      <c r="F922" s="69" t="s">
        <v>26</v>
      </c>
      <c r="G922" s="65" t="s">
        <v>27</v>
      </c>
      <c r="H922" s="65" t="s">
        <v>33</v>
      </c>
      <c r="I922" s="70" t="s">
        <v>493</v>
      </c>
      <c r="J922" s="71"/>
      <c r="K922" s="71">
        <v>-588</v>
      </c>
      <c r="L922" s="72">
        <f>IFERROR(IF(G922="","",VLOOKUP($G922,[1]基础信息!$B:$C,2,FALSE)+SUMIF(G$8:G922,G922,J$8:J922)-SUMIF(G$8:G922,G922,K$8:K922)+SUMIFS([1]内部转账!$G:$G,[1]内部转账!$C:$C,"&lt;="&amp;$D922,[1]内部转账!$E:$E,$G922)-SUMIFS([1]内部转账!$G:$G,[1]内部转账!$C:$C,"&lt;="&amp;$D922,[1]内部转账!$F:$F,$G922)),"")</f>
        <v>1345.24999999814</v>
      </c>
      <c r="M922" s="64" t="s">
        <v>35</v>
      </c>
      <c r="N922" s="69"/>
      <c r="O922" s="64"/>
      <c r="P922" s="64"/>
      <c r="Q922" s="69"/>
      <c r="R922" s="69"/>
      <c r="S922" s="69"/>
    </row>
    <row r="923" s="2" customFormat="1" ht="24.95" customHeight="1" spans="1:19">
      <c r="A923" s="15"/>
      <c r="B923" s="55"/>
      <c r="C923" s="56"/>
      <c r="D923" s="68">
        <v>46193</v>
      </c>
      <c r="E923" s="69"/>
      <c r="F923" s="69" t="s">
        <v>26</v>
      </c>
      <c r="G923" s="65" t="s">
        <v>27</v>
      </c>
      <c r="H923" s="65" t="s">
        <v>33</v>
      </c>
      <c r="I923" s="70" t="s">
        <v>493</v>
      </c>
      <c r="J923" s="71"/>
      <c r="K923" s="71">
        <v>588</v>
      </c>
      <c r="L923" s="72">
        <f>IFERROR(IF(G923="","",VLOOKUP($G923,[1]基础信息!$B:$C,2,FALSE)+SUMIF(G$8:G923,G923,J$8:J923)-SUMIF(G$8:G923,G923,K$8:K923)+SUMIFS([1]内部转账!$G:$G,[1]内部转账!$C:$C,"&lt;="&amp;$D923,[1]内部转账!$E:$E,$G923)-SUMIFS([1]内部转账!$G:$G,[1]内部转账!$C:$C,"&lt;="&amp;$D923,[1]内部转账!$F:$F,$G923)),"")</f>
        <v>757.249999998137</v>
      </c>
      <c r="M923" s="64" t="s">
        <v>35</v>
      </c>
      <c r="N923" s="69"/>
      <c r="O923" s="64"/>
      <c r="P923" s="64"/>
      <c r="Q923" s="69"/>
      <c r="R923" s="69"/>
      <c r="S923" s="69"/>
    </row>
    <row r="924" s="2" customFormat="1" ht="24.95" customHeight="1" spans="1:19">
      <c r="A924" s="15"/>
      <c r="B924" s="55"/>
      <c r="C924" s="56"/>
      <c r="D924" s="68">
        <v>46193</v>
      </c>
      <c r="E924" s="69"/>
      <c r="F924" s="69" t="s">
        <v>26</v>
      </c>
      <c r="G924" s="65" t="s">
        <v>27</v>
      </c>
      <c r="H924" s="65" t="s">
        <v>33</v>
      </c>
      <c r="I924" s="70" t="s">
        <v>493</v>
      </c>
      <c r="J924" s="71"/>
      <c r="K924" s="71">
        <v>-588</v>
      </c>
      <c r="L924" s="72">
        <f>IFERROR(IF(G924="","",VLOOKUP($G924,[1]基础信息!$B:$C,2,FALSE)+SUMIF(G$8:G924,G924,J$8:J924)-SUMIF(G$8:G924,G924,K$8:K924)+SUMIFS([1]内部转账!$G:$G,[1]内部转账!$C:$C,"&lt;="&amp;$D924,[1]内部转账!$E:$E,$G924)-SUMIFS([1]内部转账!$G:$G,[1]内部转账!$C:$C,"&lt;="&amp;$D924,[1]内部转账!$F:$F,$G924)),"")</f>
        <v>1345.24999999814</v>
      </c>
      <c r="M924" s="64" t="s">
        <v>35</v>
      </c>
      <c r="N924" s="69"/>
      <c r="O924" s="64"/>
      <c r="P924" s="64"/>
      <c r="Q924" s="69"/>
      <c r="R924" s="69"/>
      <c r="S924" s="69"/>
    </row>
    <row r="925" s="2" customFormat="1" ht="24.95" customHeight="1" spans="1:19">
      <c r="A925" s="15"/>
      <c r="B925" s="55"/>
      <c r="C925" s="56"/>
      <c r="D925" s="68">
        <v>46194</v>
      </c>
      <c r="E925" s="69"/>
      <c r="F925" s="69" t="s">
        <v>26</v>
      </c>
      <c r="G925" s="65" t="s">
        <v>400</v>
      </c>
      <c r="H925" s="65" t="s">
        <v>33</v>
      </c>
      <c r="I925" s="70" t="s">
        <v>34</v>
      </c>
      <c r="J925" s="71"/>
      <c r="K925" s="71">
        <v>-0.24</v>
      </c>
      <c r="L925" s="72">
        <f>IFERROR(IF(G925="","",VLOOKUP($G925,[1]基础信息!$B:$C,2,FALSE)+SUMIF(G$8:G925,G925,J$8:J925)-SUMIF(G$8:G925,G925,K$8:K925)+SUMIFS([1]内部转账!$G:$G,[1]内部转账!$C:$C,"&lt;="&amp;$D925,[1]内部转账!$E:$E,$G925)-SUMIFS([1]内部转账!$G:$G,[1]内部转账!$C:$C,"&lt;="&amp;$D925,[1]内部转账!$F:$F,$G925)),"")</f>
        <v>20.960000000021</v>
      </c>
      <c r="M925" s="64" t="s">
        <v>35</v>
      </c>
      <c r="N925" s="69"/>
      <c r="O925" s="64"/>
      <c r="P925" s="64"/>
      <c r="Q925" s="69"/>
      <c r="R925" s="69"/>
      <c r="S925" s="69"/>
    </row>
    <row r="926" s="2" customFormat="1" ht="24.95" customHeight="1" spans="1:19">
      <c r="A926" s="15"/>
      <c r="B926" s="55"/>
      <c r="C926" s="56"/>
      <c r="D926" s="68">
        <v>46194</v>
      </c>
      <c r="E926" s="69"/>
      <c r="F926" s="69" t="s">
        <v>26</v>
      </c>
      <c r="G926" s="65" t="s">
        <v>27</v>
      </c>
      <c r="H926" s="65" t="s">
        <v>33</v>
      </c>
      <c r="I926" s="70" t="s">
        <v>34</v>
      </c>
      <c r="J926" s="71"/>
      <c r="K926" s="71">
        <v>-2.76</v>
      </c>
      <c r="L926" s="72">
        <f>IFERROR(IF(G926="","",VLOOKUP($G926,[1]基础信息!$B:$C,2,FALSE)+SUMIF(G$8:G926,G926,J$8:J926)-SUMIF(G$8:G926,G926,K$8:K926)+SUMIFS([1]内部转账!$G:$G,[1]内部转账!$C:$C,"&lt;="&amp;$D926,[1]内部转账!$E:$E,$G926)-SUMIFS([1]内部转账!$G:$G,[1]内部转账!$C:$C,"&lt;="&amp;$D926,[1]内部转账!$F:$F,$G926)),"")</f>
        <v>1348.00999999791</v>
      </c>
      <c r="M926" s="64" t="s">
        <v>35</v>
      </c>
      <c r="N926" s="69"/>
      <c r="O926" s="64"/>
      <c r="P926" s="64"/>
      <c r="Q926" s="69"/>
      <c r="R926" s="69"/>
      <c r="S926" s="69"/>
    </row>
    <row r="927" s="2" customFormat="1" ht="24.95" customHeight="1" spans="1:19">
      <c r="A927" s="15"/>
      <c r="B927" s="55"/>
      <c r="C927" s="56"/>
      <c r="D927" s="68">
        <v>46198</v>
      </c>
      <c r="E927" s="69"/>
      <c r="F927" s="69" t="s">
        <v>42</v>
      </c>
      <c r="G927" s="65" t="s">
        <v>27</v>
      </c>
      <c r="H927" s="65" t="s">
        <v>43</v>
      </c>
      <c r="I927" s="70" t="s">
        <v>494</v>
      </c>
      <c r="J927" s="71">
        <v>280819.79</v>
      </c>
      <c r="K927" s="71"/>
      <c r="L927" s="72">
        <f>IFERROR(IF(G927="","",VLOOKUP($G927,[1]基础信息!$B:$C,2,FALSE)+SUMIF(G$8:G927,G927,J$8:J927)-SUMIF(G$8:G927,G927,K$8:K927)+SUMIFS([1]内部转账!$G:$G,[1]内部转账!$C:$C,"&lt;="&amp;$D927,[1]内部转账!$E:$E,$G927)-SUMIFS([1]内部转账!$G:$G,[1]内部转账!$C:$C,"&lt;="&amp;$D927,[1]内部转账!$F:$F,$G927)),"")</f>
        <v>282167.799999998</v>
      </c>
      <c r="M927" s="64" t="s">
        <v>150</v>
      </c>
      <c r="N927" s="69"/>
      <c r="O927" s="64"/>
      <c r="P927" s="64"/>
      <c r="Q927" s="69"/>
      <c r="R927" s="69"/>
      <c r="S927" s="69"/>
    </row>
    <row r="928" s="2" customFormat="1" ht="24.95" customHeight="1" spans="1:19">
      <c r="A928" s="15"/>
      <c r="B928" s="55"/>
      <c r="C928" s="56"/>
      <c r="D928" s="68">
        <v>46198</v>
      </c>
      <c r="E928" s="69"/>
      <c r="F928" s="69" t="s">
        <v>26</v>
      </c>
      <c r="G928" s="65" t="s">
        <v>27</v>
      </c>
      <c r="H928" s="65" t="s">
        <v>495</v>
      </c>
      <c r="I928" s="70" t="s">
        <v>496</v>
      </c>
      <c r="J928" s="71"/>
      <c r="K928" s="71">
        <v>1359.64</v>
      </c>
      <c r="L928" s="72">
        <f>IFERROR(IF(G928="","",VLOOKUP($G928,[1]基础信息!$B:$C,2,FALSE)+SUMIF(G$8:G928,G928,J$8:J928)-SUMIF(G$8:G928,G928,K$8:K928)+SUMIFS([1]内部转账!$G:$G,[1]内部转账!$C:$C,"&lt;="&amp;$D928,[1]内部转账!$E:$E,$G928)-SUMIFS([1]内部转账!$G:$G,[1]内部转账!$C:$C,"&lt;="&amp;$D928,[1]内部转账!$F:$F,$G928)),"")</f>
        <v>280808.159999998</v>
      </c>
      <c r="M928" s="64" t="s">
        <v>150</v>
      </c>
      <c r="N928" s="69"/>
      <c r="O928" s="64"/>
      <c r="P928" s="64"/>
      <c r="Q928" s="69"/>
      <c r="R928" s="69"/>
      <c r="S928" s="69"/>
    </row>
    <row r="929" s="2" customFormat="1" ht="24.95" customHeight="1" spans="1:19">
      <c r="A929" s="15"/>
      <c r="B929" s="55"/>
      <c r="C929" s="56"/>
      <c r="D929" s="68">
        <v>46198</v>
      </c>
      <c r="E929" s="69"/>
      <c r="F929" s="69" t="s">
        <v>26</v>
      </c>
      <c r="G929" s="65" t="s">
        <v>27</v>
      </c>
      <c r="H929" s="65" t="s">
        <v>83</v>
      </c>
      <c r="I929" s="70" t="s">
        <v>421</v>
      </c>
      <c r="J929" s="71"/>
      <c r="K929" s="71">
        <v>1019.48</v>
      </c>
      <c r="L929" s="72">
        <f>IFERROR(IF(G929="","",VLOOKUP($G929,[1]基础信息!$B:$C,2,FALSE)+SUMIF(G$8:G929,G929,J$8:J929)-SUMIF(G$8:G929,G929,K$8:K929)+SUMIFS([1]内部转账!$G:$G,[1]内部转账!$C:$C,"&lt;="&amp;$D929,[1]内部转账!$E:$E,$G929)-SUMIFS([1]内部转账!$G:$G,[1]内部转账!$C:$C,"&lt;="&amp;$D929,[1]内部转账!$F:$F,$G929)),"")</f>
        <v>279788.679999998</v>
      </c>
      <c r="M929" s="64" t="s">
        <v>35</v>
      </c>
      <c r="N929" s="69" t="s">
        <v>422</v>
      </c>
      <c r="O929" s="64"/>
      <c r="P929" s="64" t="s">
        <v>423</v>
      </c>
      <c r="Q929" s="69"/>
      <c r="R929" s="69"/>
      <c r="S929" s="69"/>
    </row>
    <row r="930" s="2" customFormat="1" ht="24.95" customHeight="1" spans="1:19">
      <c r="A930" s="15"/>
      <c r="B930" s="55"/>
      <c r="C930" s="56"/>
      <c r="D930" s="68">
        <v>46198</v>
      </c>
      <c r="E930" s="69"/>
      <c r="F930" s="69" t="s">
        <v>26</v>
      </c>
      <c r="G930" s="65" t="s">
        <v>27</v>
      </c>
      <c r="H930" s="65" t="s">
        <v>439</v>
      </c>
      <c r="I930" s="70" t="s">
        <v>440</v>
      </c>
      <c r="J930" s="71"/>
      <c r="K930" s="71">
        <v>1019.48</v>
      </c>
      <c r="L930" s="72">
        <f>IFERROR(IF(G930="","",VLOOKUP($G930,[1]基础信息!$B:$C,2,FALSE)+SUMIF(G$8:G930,G930,J$8:J930)-SUMIF(G$8:G930,G930,K$8:K930)+SUMIFS([1]内部转账!$G:$G,[1]内部转账!$C:$C,"&lt;="&amp;$D930,[1]内部转账!$E:$E,$G930)-SUMIFS([1]内部转账!$G:$G,[1]内部转账!$C:$C,"&lt;="&amp;$D930,[1]内部转账!$F:$F,$G930)),"")</f>
        <v>278769.199999997</v>
      </c>
      <c r="M930" s="64" t="s">
        <v>441</v>
      </c>
      <c r="N930" s="69"/>
      <c r="O930" s="64"/>
      <c r="P930" s="64" t="s">
        <v>423</v>
      </c>
      <c r="Q930" s="69"/>
      <c r="R930" s="69"/>
      <c r="S930" s="69"/>
    </row>
    <row r="931" s="2" customFormat="1" ht="24.95" customHeight="1" spans="1:19">
      <c r="A931" s="15"/>
      <c r="B931" s="55"/>
      <c r="C931" s="56"/>
      <c r="D931" s="68">
        <v>46198</v>
      </c>
      <c r="E931" s="69"/>
      <c r="F931" s="69" t="s">
        <v>26</v>
      </c>
      <c r="G931" s="65" t="s">
        <v>27</v>
      </c>
      <c r="H931" s="65" t="s">
        <v>46</v>
      </c>
      <c r="I931" s="70" t="s">
        <v>286</v>
      </c>
      <c r="J931" s="71"/>
      <c r="K931" s="71">
        <v>19184.31</v>
      </c>
      <c r="L931" s="72">
        <f>IFERROR(IF(G931="","",VLOOKUP($G931,[1]基础信息!$B:$C,2,FALSE)+SUMIF(G$8:G931,G931,J$8:J931)-SUMIF(G$8:G931,G931,K$8:K931)+SUMIFS([1]内部转账!$G:$G,[1]内部转账!$C:$C,"&lt;="&amp;$D931,[1]内部转账!$E:$E,$G931)-SUMIFS([1]内部转账!$G:$G,[1]内部转账!$C:$C,"&lt;="&amp;$D931,[1]内部转账!$F:$F,$G931)),"")</f>
        <v>259584.889999998</v>
      </c>
      <c r="M931" s="64" t="s">
        <v>150</v>
      </c>
      <c r="N931" s="69" t="s">
        <v>286</v>
      </c>
      <c r="O931" s="64"/>
      <c r="P931" s="64"/>
      <c r="Q931" s="69"/>
      <c r="R931" s="69"/>
      <c r="S931" s="69"/>
    </row>
    <row r="932" s="2" customFormat="1" ht="24.95" customHeight="1" spans="1:19">
      <c r="A932" s="15"/>
      <c r="B932" s="55"/>
      <c r="C932" s="56"/>
      <c r="D932" s="68">
        <v>46198</v>
      </c>
      <c r="E932" s="69"/>
      <c r="F932" s="69" t="s">
        <v>26</v>
      </c>
      <c r="G932" s="65" t="s">
        <v>27</v>
      </c>
      <c r="H932" s="65" t="s">
        <v>46</v>
      </c>
      <c r="I932" s="70" t="s">
        <v>130</v>
      </c>
      <c r="J932" s="71"/>
      <c r="K932" s="71">
        <v>8887</v>
      </c>
      <c r="L932" s="72">
        <f>IFERROR(IF(G932="","",VLOOKUP($G932,[1]基础信息!$B:$C,2,FALSE)+SUMIF(G$8:G932,G932,J$8:J932)-SUMIF(G$8:G932,G932,K$8:K932)+SUMIFS([1]内部转账!$G:$G,[1]内部转账!$C:$C,"&lt;="&amp;$D932,[1]内部转账!$E:$E,$G932)-SUMIFS([1]内部转账!$G:$G,[1]内部转账!$C:$C,"&lt;="&amp;$D932,[1]内部转账!$F:$F,$G932)),"")</f>
        <v>250697.889999998</v>
      </c>
      <c r="M932" s="64" t="s">
        <v>150</v>
      </c>
      <c r="N932" s="69" t="s">
        <v>130</v>
      </c>
      <c r="O932" s="64"/>
      <c r="P932" s="64"/>
      <c r="Q932" s="69"/>
      <c r="R932" s="69"/>
      <c r="S932" s="69"/>
    </row>
    <row r="933" s="2" customFormat="1" ht="24.95" customHeight="1" spans="1:19">
      <c r="A933" s="15"/>
      <c r="B933" s="55"/>
      <c r="C933" s="56"/>
      <c r="D933" s="68">
        <v>46198</v>
      </c>
      <c r="E933" s="69"/>
      <c r="F933" s="69" t="s">
        <v>26</v>
      </c>
      <c r="G933" s="65" t="s">
        <v>27</v>
      </c>
      <c r="H933" s="65" t="s">
        <v>62</v>
      </c>
      <c r="I933" s="70" t="s">
        <v>497</v>
      </c>
      <c r="J933" s="71"/>
      <c r="K933" s="71">
        <v>10358</v>
      </c>
      <c r="L933" s="72">
        <f>IFERROR(IF(G933="","",VLOOKUP($G933,[1]基础信息!$B:$C,2,FALSE)+SUMIF(G$8:G933,G933,J$8:J933)-SUMIF(G$8:G933,G933,K$8:K933)+SUMIFS([1]内部转账!$G:$G,[1]内部转账!$C:$C,"&lt;="&amp;$D933,[1]内部转账!$E:$E,$G933)-SUMIFS([1]内部转账!$G:$G,[1]内部转账!$C:$C,"&lt;="&amp;$D933,[1]内部转账!$F:$F,$G933)),"")</f>
        <v>240339.889999998</v>
      </c>
      <c r="M933" s="64" t="s">
        <v>206</v>
      </c>
      <c r="N933" s="69"/>
      <c r="O933" s="64"/>
      <c r="P933" s="64" t="s">
        <v>314</v>
      </c>
      <c r="Q933" s="69"/>
      <c r="R933" s="69"/>
      <c r="S933" s="69"/>
    </row>
    <row r="934" s="2" customFormat="1" ht="24.95" customHeight="1" spans="1:19">
      <c r="A934" s="15"/>
      <c r="B934" s="55"/>
      <c r="C934" s="56"/>
      <c r="D934" s="68">
        <v>46198</v>
      </c>
      <c r="E934" s="69"/>
      <c r="F934" s="69" t="s">
        <v>26</v>
      </c>
      <c r="G934" s="65" t="s">
        <v>27</v>
      </c>
      <c r="H934" s="65" t="s">
        <v>53</v>
      </c>
      <c r="I934" s="70" t="s">
        <v>98</v>
      </c>
      <c r="J934" s="71"/>
      <c r="K934" s="71">
        <v>10000</v>
      </c>
      <c r="L934" s="72">
        <f>IFERROR(IF(G934="","",VLOOKUP($G934,[1]基础信息!$B:$C,2,FALSE)+SUMIF(G$8:G934,G934,J$8:J934)-SUMIF(G$8:G934,G934,K$8:K934)+SUMIFS([1]内部转账!$G:$G,[1]内部转账!$C:$C,"&lt;="&amp;$D934,[1]内部转账!$E:$E,$G934)-SUMIFS([1]内部转账!$G:$G,[1]内部转账!$C:$C,"&lt;="&amp;$D934,[1]内部转账!$F:$F,$G934)),"")</f>
        <v>230339.889999998</v>
      </c>
      <c r="M934" s="64" t="s">
        <v>35</v>
      </c>
      <c r="N934" s="69" t="s">
        <v>98</v>
      </c>
      <c r="O934" s="64"/>
      <c r="P934" s="64" t="s">
        <v>98</v>
      </c>
      <c r="Q934" s="69"/>
      <c r="R934" s="69"/>
      <c r="S934" s="69"/>
    </row>
    <row r="935" s="2" customFormat="1" ht="24.95" customHeight="1" spans="1:19">
      <c r="A935" s="15"/>
      <c r="B935" s="55"/>
      <c r="C935" s="56"/>
      <c r="D935" s="68">
        <v>46198</v>
      </c>
      <c r="E935" s="69"/>
      <c r="F935" s="69" t="s">
        <v>26</v>
      </c>
      <c r="G935" s="65" t="s">
        <v>27</v>
      </c>
      <c r="H935" s="65" t="s">
        <v>33</v>
      </c>
      <c r="I935" s="70" t="s">
        <v>498</v>
      </c>
      <c r="J935" s="71"/>
      <c r="K935" s="71">
        <v>1700</v>
      </c>
      <c r="L935" s="72">
        <f>IFERROR(IF(G935="","",VLOOKUP($G935,[1]基础信息!$B:$C,2,FALSE)+SUMIF(G$8:G935,G935,J$8:J935)-SUMIF(G$8:G935,G935,K$8:K935)+SUMIFS([1]内部转账!$G:$G,[1]内部转账!$C:$C,"&lt;="&amp;$D935,[1]内部转账!$E:$E,$G935)-SUMIFS([1]内部转账!$G:$G,[1]内部转账!$C:$C,"&lt;="&amp;$D935,[1]内部转账!$F:$F,$G935)),"")</f>
        <v>228639.889999998</v>
      </c>
      <c r="M935" s="64" t="s">
        <v>35</v>
      </c>
      <c r="N935" s="69"/>
      <c r="O935" s="64"/>
      <c r="P935" s="64" t="s">
        <v>499</v>
      </c>
      <c r="Q935" s="69"/>
      <c r="R935" s="69"/>
      <c r="S935" s="69"/>
    </row>
    <row r="936" s="2" customFormat="1" ht="24.95" customHeight="1" spans="1:19">
      <c r="A936" s="15"/>
      <c r="B936" s="55"/>
      <c r="C936" s="56"/>
      <c r="D936" s="68">
        <v>46198</v>
      </c>
      <c r="E936" s="69"/>
      <c r="F936" s="69" t="s">
        <v>26</v>
      </c>
      <c r="G936" s="65" t="s">
        <v>27</v>
      </c>
      <c r="H936" s="65" t="s">
        <v>138</v>
      </c>
      <c r="I936" s="70" t="s">
        <v>219</v>
      </c>
      <c r="J936" s="71"/>
      <c r="K936" s="71">
        <v>20000</v>
      </c>
      <c r="L936" s="72">
        <f>IFERROR(IF(G936="","",VLOOKUP($G936,[1]基础信息!$B:$C,2,FALSE)+SUMIF(G$8:G936,G936,J$8:J936)-SUMIF(G$8:G936,G936,K$8:K936)+SUMIFS([1]内部转账!$G:$G,[1]内部转账!$C:$C,"&lt;="&amp;$D936,[1]内部转账!$E:$E,$G936)-SUMIFS([1]内部转账!$G:$G,[1]内部转账!$C:$C,"&lt;="&amp;$D936,[1]内部转账!$F:$F,$G936)),"")</f>
        <v>208639.889999998</v>
      </c>
      <c r="M936" s="64" t="s">
        <v>150</v>
      </c>
      <c r="N936" s="69"/>
      <c r="O936" s="64"/>
      <c r="P936" s="64" t="s">
        <v>220</v>
      </c>
      <c r="Q936" s="69"/>
      <c r="R936" s="69"/>
      <c r="S936" s="69"/>
    </row>
    <row r="937" s="2" customFormat="1" ht="24.95" customHeight="1" spans="1:19">
      <c r="A937" s="15"/>
      <c r="B937" s="55"/>
      <c r="C937" s="56"/>
      <c r="D937" s="68">
        <v>46198</v>
      </c>
      <c r="E937" s="69"/>
      <c r="F937" s="69" t="s">
        <v>26</v>
      </c>
      <c r="G937" s="65" t="s">
        <v>27</v>
      </c>
      <c r="H937" s="65" t="s">
        <v>62</v>
      </c>
      <c r="I937" s="70" t="s">
        <v>500</v>
      </c>
      <c r="J937" s="71"/>
      <c r="K937" s="71">
        <v>9459</v>
      </c>
      <c r="L937" s="72">
        <f>IFERROR(IF(G937="","",VLOOKUP($G937,[1]基础信息!$B:$C,2,FALSE)+SUMIF(G$8:G937,G937,J$8:J937)-SUMIF(G$8:G937,G937,K$8:K937)+SUMIFS([1]内部转账!$G:$G,[1]内部转账!$C:$C,"&lt;="&amp;$D937,[1]内部转账!$E:$E,$G937)-SUMIFS([1]内部转账!$G:$G,[1]内部转账!$C:$C,"&lt;="&amp;$D937,[1]内部转账!$F:$F,$G937)),"")</f>
        <v>199180.889999998</v>
      </c>
      <c r="M937" s="64" t="s">
        <v>235</v>
      </c>
      <c r="N937" s="69"/>
      <c r="O937" s="64"/>
      <c r="P937" s="64" t="s">
        <v>231</v>
      </c>
      <c r="Q937" s="69"/>
      <c r="R937" s="69"/>
      <c r="S937" s="69"/>
    </row>
    <row r="938" s="2" customFormat="1" ht="24.95" customHeight="1" spans="1:19">
      <c r="A938" s="15"/>
      <c r="B938" s="55"/>
      <c r="C938" s="56"/>
      <c r="D938" s="68">
        <v>46198</v>
      </c>
      <c r="E938" s="69"/>
      <c r="F938" s="69" t="s">
        <v>26</v>
      </c>
      <c r="G938" s="65" t="s">
        <v>27</v>
      </c>
      <c r="H938" s="65" t="s">
        <v>62</v>
      </c>
      <c r="I938" s="70" t="s">
        <v>500</v>
      </c>
      <c r="J938" s="71"/>
      <c r="K938" s="71">
        <v>34057</v>
      </c>
      <c r="L938" s="72">
        <f>IFERROR(IF(G938="","",VLOOKUP($G938,[1]基础信息!$B:$C,2,FALSE)+SUMIF(G$8:G938,G938,J$8:J938)-SUMIF(G$8:G938,G938,K$8:K938)+SUMIFS([1]内部转账!$G:$G,[1]内部转账!$C:$C,"&lt;="&amp;$D938,[1]内部转账!$E:$E,$G938)-SUMIFS([1]内部转账!$G:$G,[1]内部转账!$C:$C,"&lt;="&amp;$D938,[1]内部转账!$F:$F,$G938)),"")</f>
        <v>165123.889999998</v>
      </c>
      <c r="M938" s="64" t="s">
        <v>317</v>
      </c>
      <c r="N938" s="69"/>
      <c r="O938" s="64"/>
      <c r="P938" s="64" t="s">
        <v>501</v>
      </c>
      <c r="Q938" s="69"/>
      <c r="R938" s="69"/>
      <c r="S938" s="69"/>
    </row>
    <row r="939" s="2" customFormat="1" ht="24.95" customHeight="1" spans="1:19">
      <c r="A939" s="15"/>
      <c r="B939" s="55"/>
      <c r="C939" s="56"/>
      <c r="D939" s="68">
        <v>46198</v>
      </c>
      <c r="E939" s="69"/>
      <c r="F939" s="69" t="s">
        <v>26</v>
      </c>
      <c r="G939" s="65" t="s">
        <v>27</v>
      </c>
      <c r="H939" s="65" t="s">
        <v>62</v>
      </c>
      <c r="I939" s="70" t="s">
        <v>277</v>
      </c>
      <c r="J939" s="71"/>
      <c r="K939" s="71">
        <v>30551.22</v>
      </c>
      <c r="L939" s="72">
        <f>IFERROR(IF(G939="","",VLOOKUP($G939,[1]基础信息!$B:$C,2,FALSE)+SUMIF(G$8:G939,G939,J$8:J939)-SUMIF(G$8:G939,G939,K$8:K939)+SUMIFS([1]内部转账!$G:$G,[1]内部转账!$C:$C,"&lt;="&amp;$D939,[1]内部转账!$E:$E,$G939)-SUMIFS([1]内部转账!$G:$G,[1]内部转账!$C:$C,"&lt;="&amp;$D939,[1]内部转账!$F:$F,$G939)),"")</f>
        <v>134572.669999998</v>
      </c>
      <c r="M939" s="64" t="s">
        <v>150</v>
      </c>
      <c r="N939" s="69"/>
      <c r="O939" s="64"/>
      <c r="P939" s="64" t="s">
        <v>278</v>
      </c>
      <c r="Q939" s="69"/>
      <c r="R939" s="69"/>
      <c r="S939" s="69"/>
    </row>
    <row r="940" s="2" customFormat="1" ht="24.95" customHeight="1" spans="1:19">
      <c r="A940" s="15"/>
      <c r="B940" s="55"/>
      <c r="C940" s="56"/>
      <c r="D940" s="68">
        <v>46198</v>
      </c>
      <c r="E940" s="69"/>
      <c r="F940" s="69" t="s">
        <v>26</v>
      </c>
      <c r="G940" s="65" t="s">
        <v>27</v>
      </c>
      <c r="H940" s="65" t="s">
        <v>33</v>
      </c>
      <c r="I940" s="70" t="s">
        <v>480</v>
      </c>
      <c r="J940" s="71"/>
      <c r="K940" s="71">
        <v>1098</v>
      </c>
      <c r="L940" s="72">
        <f>IFERROR(IF(G940="","",VLOOKUP($G940,[1]基础信息!$B:$C,2,FALSE)+SUMIF(G$8:G940,G940,J$8:J940)-SUMIF(G$8:G940,G940,K$8:K940)+SUMIFS([1]内部转账!$G:$G,[1]内部转账!$C:$C,"&lt;="&amp;$D940,[1]内部转账!$E:$E,$G940)-SUMIFS([1]内部转账!$G:$G,[1]内部转账!$C:$C,"&lt;="&amp;$D940,[1]内部转账!$F:$F,$G940)),"")</f>
        <v>133474.669999998</v>
      </c>
      <c r="M940" s="64" t="s">
        <v>35</v>
      </c>
      <c r="N940" s="69"/>
      <c r="O940" s="64"/>
      <c r="P940" s="64" t="s">
        <v>481</v>
      </c>
      <c r="Q940" s="69"/>
      <c r="R940" s="69"/>
      <c r="S940" s="69"/>
    </row>
    <row r="941" s="2" customFormat="1" ht="24.95" customHeight="1" spans="1:19">
      <c r="A941" s="15"/>
      <c r="B941" s="55"/>
      <c r="C941" s="56"/>
      <c r="D941" s="68">
        <v>46198</v>
      </c>
      <c r="E941" s="69"/>
      <c r="F941" s="69" t="s">
        <v>26</v>
      </c>
      <c r="G941" s="65" t="s">
        <v>27</v>
      </c>
      <c r="H941" s="65" t="s">
        <v>33</v>
      </c>
      <c r="I941" s="70" t="s">
        <v>502</v>
      </c>
      <c r="J941" s="71"/>
      <c r="K941" s="71">
        <v>1200</v>
      </c>
      <c r="L941" s="72">
        <f>IFERROR(IF(G941="","",VLOOKUP($G941,[1]基础信息!$B:$C,2,FALSE)+SUMIF(G$8:G941,G941,J$8:J941)-SUMIF(G$8:G941,G941,K$8:K941)+SUMIFS([1]内部转账!$G:$G,[1]内部转账!$C:$C,"&lt;="&amp;$D941,[1]内部转账!$E:$E,$G941)-SUMIFS([1]内部转账!$G:$G,[1]内部转账!$C:$C,"&lt;="&amp;$D941,[1]内部转账!$F:$F,$G941)),"")</f>
        <v>132274.669999998</v>
      </c>
      <c r="M941" s="64" t="s">
        <v>35</v>
      </c>
      <c r="N941" s="69"/>
      <c r="O941" s="64"/>
      <c r="P941" s="64" t="s">
        <v>503</v>
      </c>
      <c r="Q941" s="69"/>
      <c r="R941" s="69"/>
      <c r="S941" s="69"/>
    </row>
    <row r="942" s="2" customFormat="1" ht="24.95" customHeight="1" spans="1:19">
      <c r="A942" s="15"/>
      <c r="B942" s="55"/>
      <c r="C942" s="56"/>
      <c r="D942" s="68">
        <v>46199</v>
      </c>
      <c r="E942" s="69"/>
      <c r="F942" s="69" t="s">
        <v>26</v>
      </c>
      <c r="G942" s="65" t="s">
        <v>27</v>
      </c>
      <c r="H942" s="65" t="s">
        <v>46</v>
      </c>
      <c r="I942" s="70" t="s">
        <v>68</v>
      </c>
      <c r="J942" s="71"/>
      <c r="K942" s="71">
        <v>10000</v>
      </c>
      <c r="L942" s="72">
        <f>IFERROR(IF(G942="","",VLOOKUP($G942,[1]基础信息!$B:$C,2,FALSE)+SUMIF(G$8:G942,G942,J$8:J942)-SUMIF(G$8:G942,G942,K$8:K942)+SUMIFS([1]内部转账!$G:$G,[1]内部转账!$C:$C,"&lt;="&amp;$D942,[1]内部转账!$E:$E,$G942)-SUMIFS([1]内部转账!$G:$G,[1]内部转账!$C:$C,"&lt;="&amp;$D942,[1]内部转账!$F:$F,$G942)),"")</f>
        <v>122274.669999998</v>
      </c>
      <c r="M942" s="64" t="s">
        <v>235</v>
      </c>
      <c r="N942" s="69" t="s">
        <v>68</v>
      </c>
      <c r="O942" s="64"/>
      <c r="P942" s="64"/>
      <c r="Q942" s="69"/>
      <c r="R942" s="69"/>
      <c r="S942" s="69"/>
    </row>
    <row r="943" s="2" customFormat="1" ht="24.95" customHeight="1" spans="1:19">
      <c r="A943" s="15"/>
      <c r="B943" s="55"/>
      <c r="C943" s="56"/>
      <c r="D943" s="68">
        <v>46199</v>
      </c>
      <c r="E943" s="69"/>
      <c r="F943" s="69" t="s">
        <v>26</v>
      </c>
      <c r="G943" s="65" t="s">
        <v>27</v>
      </c>
      <c r="H943" s="65" t="s">
        <v>46</v>
      </c>
      <c r="I943" s="70" t="s">
        <v>131</v>
      </c>
      <c r="J943" s="71"/>
      <c r="K943" s="71">
        <v>4000</v>
      </c>
      <c r="L943" s="72">
        <f>IFERROR(IF(G943="","",VLOOKUP($G943,[1]基础信息!$B:$C,2,FALSE)+SUMIF(G$8:G943,G943,J$8:J943)-SUMIF(G$8:G943,G943,K$8:K943)+SUMIFS([1]内部转账!$G:$G,[1]内部转账!$C:$C,"&lt;="&amp;$D943,[1]内部转账!$E:$E,$G943)-SUMIFS([1]内部转账!$G:$G,[1]内部转账!$C:$C,"&lt;="&amp;$D943,[1]内部转账!$F:$F,$G943)),"")</f>
        <v>118274.669999998</v>
      </c>
      <c r="M943" s="64" t="s">
        <v>235</v>
      </c>
      <c r="N943" s="69" t="s">
        <v>131</v>
      </c>
      <c r="O943" s="64"/>
      <c r="P943" s="64"/>
      <c r="Q943" s="69"/>
      <c r="R943" s="69"/>
      <c r="S943" s="69"/>
    </row>
    <row r="944" s="2" customFormat="1" ht="24.95" customHeight="1" spans="1:19">
      <c r="A944" s="15"/>
      <c r="B944" s="55"/>
      <c r="C944" s="56"/>
      <c r="D944" s="68">
        <v>46199</v>
      </c>
      <c r="E944" s="69"/>
      <c r="F944" s="69" t="s">
        <v>26</v>
      </c>
      <c r="G944" s="65" t="s">
        <v>27</v>
      </c>
      <c r="H944" s="65" t="s">
        <v>46</v>
      </c>
      <c r="I944" s="70" t="s">
        <v>94</v>
      </c>
      <c r="J944" s="71"/>
      <c r="K944" s="71">
        <v>4000</v>
      </c>
      <c r="L944" s="72">
        <f>IFERROR(IF(G944="","",VLOOKUP($G944,[1]基础信息!$B:$C,2,FALSE)+SUMIF(G$8:G944,G944,J$8:J944)-SUMIF(G$8:G944,G944,K$8:K944)+SUMIFS([1]内部转账!$G:$G,[1]内部转账!$C:$C,"&lt;="&amp;$D944,[1]内部转账!$E:$E,$G944)-SUMIFS([1]内部转账!$G:$G,[1]内部转账!$C:$C,"&lt;="&amp;$D944,[1]内部转账!$F:$F,$G944)),"")</f>
        <v>114274.669999998</v>
      </c>
      <c r="M944" s="64" t="s">
        <v>235</v>
      </c>
      <c r="N944" s="69" t="s">
        <v>94</v>
      </c>
      <c r="O944" s="64"/>
      <c r="P944" s="64"/>
      <c r="Q944" s="69"/>
      <c r="R944" s="69"/>
      <c r="S944" s="69"/>
    </row>
    <row r="945" s="2" customFormat="1" ht="24.95" customHeight="1" spans="1:19">
      <c r="A945" s="15"/>
      <c r="B945" s="55"/>
      <c r="C945" s="56"/>
      <c r="D945" s="68">
        <v>46199</v>
      </c>
      <c r="E945" s="69"/>
      <c r="F945" s="69" t="s">
        <v>26</v>
      </c>
      <c r="G945" s="65" t="s">
        <v>27</v>
      </c>
      <c r="H945" s="65" t="s">
        <v>46</v>
      </c>
      <c r="I945" s="70" t="s">
        <v>65</v>
      </c>
      <c r="J945" s="71"/>
      <c r="K945" s="71">
        <v>5000</v>
      </c>
      <c r="L945" s="72">
        <f>IFERROR(IF(G945="","",VLOOKUP($G945,[1]基础信息!$B:$C,2,FALSE)+SUMIF(G$8:G945,G945,J$8:J945)-SUMIF(G$8:G945,G945,K$8:K945)+SUMIFS([1]内部转账!$G:$G,[1]内部转账!$C:$C,"&lt;="&amp;$D945,[1]内部转账!$E:$E,$G945)-SUMIFS([1]内部转账!$G:$G,[1]内部转账!$C:$C,"&lt;="&amp;$D945,[1]内部转账!$F:$F,$G945)),"")</f>
        <v>109274.669999998</v>
      </c>
      <c r="M945" s="64" t="s">
        <v>235</v>
      </c>
      <c r="N945" s="69" t="s">
        <v>65</v>
      </c>
      <c r="O945" s="64"/>
      <c r="P945" s="64"/>
      <c r="Q945" s="69"/>
      <c r="R945" s="69"/>
      <c r="S945" s="69"/>
    </row>
    <row r="946" s="2" customFormat="1" ht="24.95" customHeight="1" spans="1:19">
      <c r="A946" s="15"/>
      <c r="B946" s="55"/>
      <c r="C946" s="56"/>
      <c r="D946" s="68">
        <v>46199</v>
      </c>
      <c r="E946" s="69"/>
      <c r="F946" s="69" t="s">
        <v>26</v>
      </c>
      <c r="G946" s="65" t="s">
        <v>27</v>
      </c>
      <c r="H946" s="65" t="s">
        <v>46</v>
      </c>
      <c r="I946" s="70" t="s">
        <v>127</v>
      </c>
      <c r="J946" s="71"/>
      <c r="K946" s="71">
        <v>4000</v>
      </c>
      <c r="L946" s="72">
        <f>IFERROR(IF(G946="","",VLOOKUP($G946,[1]基础信息!$B:$C,2,FALSE)+SUMIF(G$8:G946,G946,J$8:J946)-SUMIF(G$8:G946,G946,K$8:K946)+SUMIFS([1]内部转账!$G:$G,[1]内部转账!$C:$C,"&lt;="&amp;$D946,[1]内部转账!$E:$E,$G946)-SUMIFS([1]内部转账!$G:$G,[1]内部转账!$C:$C,"&lt;="&amp;$D946,[1]内部转账!$F:$F,$G946)),"")</f>
        <v>105274.669999998</v>
      </c>
      <c r="M946" s="64" t="s">
        <v>150</v>
      </c>
      <c r="N946" s="69" t="s">
        <v>127</v>
      </c>
      <c r="O946" s="64"/>
      <c r="P946" s="64"/>
      <c r="Q946" s="69"/>
      <c r="R946" s="69"/>
      <c r="S946" s="69"/>
    </row>
    <row r="947" s="2" customFormat="1" ht="24.95" customHeight="1" spans="1:19">
      <c r="A947" s="15"/>
      <c r="B947" s="55"/>
      <c r="C947" s="56"/>
      <c r="D947" s="68">
        <v>46199</v>
      </c>
      <c r="E947" s="69"/>
      <c r="F947" s="69" t="s">
        <v>26</v>
      </c>
      <c r="G947" s="65" t="s">
        <v>27</v>
      </c>
      <c r="H947" s="65" t="s">
        <v>46</v>
      </c>
      <c r="I947" s="70" t="s">
        <v>78</v>
      </c>
      <c r="J947" s="71"/>
      <c r="K947" s="71">
        <v>4000</v>
      </c>
      <c r="L947" s="72">
        <f>IFERROR(IF(G947="","",VLOOKUP($G947,[1]基础信息!$B:$C,2,FALSE)+SUMIF(G$8:G947,G947,J$8:J947)-SUMIF(G$8:G947,G947,K$8:K947)+SUMIFS([1]内部转账!$G:$G,[1]内部转账!$C:$C,"&lt;="&amp;$D947,[1]内部转账!$E:$E,$G947)-SUMIFS([1]内部转账!$G:$G,[1]内部转账!$C:$C,"&lt;="&amp;$D947,[1]内部转账!$F:$F,$G947)),"")</f>
        <v>101274.669999998</v>
      </c>
      <c r="M947" s="64" t="s">
        <v>150</v>
      </c>
      <c r="N947" s="69" t="s">
        <v>78</v>
      </c>
      <c r="O947" s="64"/>
      <c r="P947" s="64"/>
      <c r="Q947" s="69"/>
      <c r="R947" s="69"/>
      <c r="S947" s="69"/>
    </row>
    <row r="948" s="2" customFormat="1" ht="24.95" customHeight="1" spans="1:19">
      <c r="A948" s="15"/>
      <c r="B948" s="55"/>
      <c r="C948" s="56"/>
      <c r="D948" s="68">
        <v>46199</v>
      </c>
      <c r="E948" s="69"/>
      <c r="F948" s="69" t="s">
        <v>26</v>
      </c>
      <c r="G948" s="65" t="s">
        <v>27</v>
      </c>
      <c r="H948" s="65" t="s">
        <v>46</v>
      </c>
      <c r="I948" s="70" t="s">
        <v>309</v>
      </c>
      <c r="J948" s="71"/>
      <c r="K948" s="71">
        <v>4000</v>
      </c>
      <c r="L948" s="72">
        <f>IFERROR(IF(G948="","",VLOOKUP($G948,[1]基础信息!$B:$C,2,FALSE)+SUMIF(G$8:G948,G948,J$8:J948)-SUMIF(G$8:G948,G948,K$8:K948)+SUMIFS([1]内部转账!$G:$G,[1]内部转账!$C:$C,"&lt;="&amp;$D948,[1]内部转账!$E:$E,$G948)-SUMIFS([1]内部转账!$G:$G,[1]内部转账!$C:$C,"&lt;="&amp;$D948,[1]内部转账!$F:$F,$G948)),"")</f>
        <v>97274.6699999981</v>
      </c>
      <c r="M948" s="64" t="s">
        <v>150</v>
      </c>
      <c r="N948" s="69" t="s">
        <v>309</v>
      </c>
      <c r="O948" s="64"/>
      <c r="P948" s="64"/>
      <c r="Q948" s="69"/>
      <c r="R948" s="69"/>
      <c r="S948" s="69"/>
    </row>
    <row r="949" s="2" customFormat="1" ht="24.95" customHeight="1" spans="1:19">
      <c r="A949" s="15"/>
      <c r="B949" s="55"/>
      <c r="C949" s="56"/>
      <c r="D949" s="68">
        <v>46199</v>
      </c>
      <c r="E949" s="69"/>
      <c r="F949" s="69" t="s">
        <v>26</v>
      </c>
      <c r="G949" s="65" t="s">
        <v>27</v>
      </c>
      <c r="H949" s="65" t="s">
        <v>46</v>
      </c>
      <c r="I949" s="70" t="s">
        <v>312</v>
      </c>
      <c r="J949" s="71"/>
      <c r="K949" s="71">
        <v>4000</v>
      </c>
      <c r="L949" s="72">
        <f>IFERROR(IF(G949="","",VLOOKUP($G949,[1]基础信息!$B:$C,2,FALSE)+SUMIF(G$8:G949,G949,J$8:J949)-SUMIF(G$8:G949,G949,K$8:K949)+SUMIFS([1]内部转账!$G:$G,[1]内部转账!$C:$C,"&lt;="&amp;$D949,[1]内部转账!$E:$E,$G949)-SUMIFS([1]内部转账!$G:$G,[1]内部转账!$C:$C,"&lt;="&amp;$D949,[1]内部转账!$F:$F,$G949)),"")</f>
        <v>93274.6699999981</v>
      </c>
      <c r="M949" s="64" t="s">
        <v>150</v>
      </c>
      <c r="N949" s="69" t="s">
        <v>312</v>
      </c>
      <c r="O949" s="64"/>
      <c r="P949" s="64"/>
      <c r="Q949" s="69"/>
      <c r="R949" s="69"/>
      <c r="S949" s="69"/>
    </row>
    <row r="950" s="2" customFormat="1" ht="24.95" customHeight="1" spans="1:19">
      <c r="A950" s="15"/>
      <c r="B950" s="55"/>
      <c r="C950" s="56"/>
      <c r="D950" s="68">
        <v>46199</v>
      </c>
      <c r="E950" s="69"/>
      <c r="F950" s="69" t="s">
        <v>26</v>
      </c>
      <c r="G950" s="65" t="s">
        <v>27</v>
      </c>
      <c r="H950" s="65" t="s">
        <v>46</v>
      </c>
      <c r="I950" s="70" t="s">
        <v>201</v>
      </c>
      <c r="J950" s="71"/>
      <c r="K950" s="71">
        <v>4000</v>
      </c>
      <c r="L950" s="72">
        <f>IFERROR(IF(G950="","",VLOOKUP($G950,[1]基础信息!$B:$C,2,FALSE)+SUMIF(G$8:G950,G950,J$8:J950)-SUMIF(G$8:G950,G950,K$8:K950)+SUMIFS([1]内部转账!$G:$G,[1]内部转账!$C:$C,"&lt;="&amp;$D950,[1]内部转账!$E:$E,$G950)-SUMIFS([1]内部转账!$G:$G,[1]内部转账!$C:$C,"&lt;="&amp;$D950,[1]内部转账!$F:$F,$G950)),"")</f>
        <v>89274.6699999981</v>
      </c>
      <c r="M950" s="64" t="s">
        <v>150</v>
      </c>
      <c r="N950" s="69" t="s">
        <v>201</v>
      </c>
      <c r="O950" s="64"/>
      <c r="P950" s="64"/>
      <c r="Q950" s="69"/>
      <c r="R950" s="69"/>
      <c r="S950" s="69"/>
    </row>
    <row r="951" s="2" customFormat="1" ht="24.95" customHeight="1" spans="1:19">
      <c r="A951" s="15"/>
      <c r="B951" s="55"/>
      <c r="C951" s="56"/>
      <c r="D951" s="68">
        <v>46199</v>
      </c>
      <c r="E951" s="69"/>
      <c r="F951" s="69" t="s">
        <v>26</v>
      </c>
      <c r="G951" s="65" t="s">
        <v>27</v>
      </c>
      <c r="H951" s="65" t="s">
        <v>46</v>
      </c>
      <c r="I951" s="70" t="s">
        <v>504</v>
      </c>
      <c r="J951" s="71"/>
      <c r="K951" s="71">
        <v>4000</v>
      </c>
      <c r="L951" s="72">
        <f>IFERROR(IF(G951="","",VLOOKUP($G951,[1]基础信息!$B:$C,2,FALSE)+SUMIF(G$8:G951,G951,J$8:J951)-SUMIF(G$8:G951,G951,K$8:K951)+SUMIFS([1]内部转账!$G:$G,[1]内部转账!$C:$C,"&lt;="&amp;$D951,[1]内部转账!$E:$E,$G951)-SUMIFS([1]内部转账!$G:$G,[1]内部转账!$C:$C,"&lt;="&amp;$D951,[1]内部转账!$F:$F,$G951)),"")</f>
        <v>85274.6699999981</v>
      </c>
      <c r="M951" s="64" t="s">
        <v>150</v>
      </c>
      <c r="N951" s="58" t="s">
        <v>504</v>
      </c>
      <c r="O951" s="64"/>
      <c r="P951" s="64"/>
      <c r="Q951" s="69"/>
      <c r="R951" s="69"/>
      <c r="S951" s="69"/>
    </row>
    <row r="952" s="2" customFormat="1" ht="24.95" customHeight="1" spans="1:19">
      <c r="A952" s="15"/>
      <c r="B952" s="55"/>
      <c r="C952" s="56"/>
      <c r="D952" s="68">
        <v>46199</v>
      </c>
      <c r="E952" s="69"/>
      <c r="F952" s="69" t="s">
        <v>26</v>
      </c>
      <c r="G952" s="65" t="s">
        <v>27</v>
      </c>
      <c r="H952" s="65" t="s">
        <v>46</v>
      </c>
      <c r="I952" s="70" t="s">
        <v>48</v>
      </c>
      <c r="J952" s="71"/>
      <c r="K952" s="71">
        <v>5000</v>
      </c>
      <c r="L952" s="72">
        <f>IFERROR(IF(G952="","",VLOOKUP($G952,[1]基础信息!$B:$C,2,FALSE)+SUMIF(G$8:G952,G952,J$8:J952)-SUMIF(G$8:G952,G952,K$8:K952)+SUMIFS([1]内部转账!$G:$G,[1]内部转账!$C:$C,"&lt;="&amp;$D952,[1]内部转账!$E:$E,$G952)-SUMIFS([1]内部转账!$G:$G,[1]内部转账!$C:$C,"&lt;="&amp;$D952,[1]内部转账!$F:$F,$G952)),"")</f>
        <v>80274.6699999981</v>
      </c>
      <c r="M952" s="64" t="s">
        <v>150</v>
      </c>
      <c r="N952" s="69" t="s">
        <v>48</v>
      </c>
      <c r="O952" s="64"/>
      <c r="P952" s="64"/>
      <c r="Q952" s="69"/>
      <c r="R952" s="69"/>
      <c r="S952" s="69"/>
    </row>
    <row r="953" s="2" customFormat="1" ht="24.95" customHeight="1" spans="1:19">
      <c r="A953" s="15"/>
      <c r="B953" s="55"/>
      <c r="C953" s="56"/>
      <c r="D953" s="68">
        <v>46199</v>
      </c>
      <c r="E953" s="69"/>
      <c r="F953" s="69" t="s">
        <v>26</v>
      </c>
      <c r="G953" s="65" t="s">
        <v>27</v>
      </c>
      <c r="H953" s="65" t="s">
        <v>46</v>
      </c>
      <c r="I953" s="70" t="s">
        <v>505</v>
      </c>
      <c r="J953" s="71"/>
      <c r="K953" s="71">
        <v>4000</v>
      </c>
      <c r="L953" s="72">
        <f>IFERROR(IF(G953="","",VLOOKUP($G953,[1]基础信息!$B:$C,2,FALSE)+SUMIF(G$8:G953,G953,J$8:J953)-SUMIF(G$8:G953,G953,K$8:K953)+SUMIFS([1]内部转账!$G:$G,[1]内部转账!$C:$C,"&lt;="&amp;$D953,[1]内部转账!$E:$E,$G953)-SUMIFS([1]内部转账!$G:$G,[1]内部转账!$C:$C,"&lt;="&amp;$D953,[1]内部转账!$F:$F,$G953)),"")</f>
        <v>76274.6699999981</v>
      </c>
      <c r="M953" s="64" t="s">
        <v>150</v>
      </c>
      <c r="N953" s="69" t="s">
        <v>505</v>
      </c>
      <c r="O953" s="64"/>
      <c r="P953" s="64"/>
      <c r="Q953" s="69"/>
      <c r="R953" s="69"/>
      <c r="S953" s="69"/>
    </row>
    <row r="954" s="2" customFormat="1" ht="24.95" customHeight="1" spans="1:19">
      <c r="A954" s="15"/>
      <c r="B954" s="55"/>
      <c r="C954" s="56"/>
      <c r="D954" s="68">
        <v>46199</v>
      </c>
      <c r="E954" s="69"/>
      <c r="F954" s="69" t="s">
        <v>26</v>
      </c>
      <c r="G954" s="65" t="s">
        <v>27</v>
      </c>
      <c r="H954" s="65" t="s">
        <v>46</v>
      </c>
      <c r="I954" s="70" t="s">
        <v>506</v>
      </c>
      <c r="J954" s="71"/>
      <c r="K954" s="71">
        <v>4000</v>
      </c>
      <c r="L954" s="72">
        <f>IFERROR(IF(G954="","",VLOOKUP($G954,[1]基础信息!$B:$C,2,FALSE)+SUMIF(G$8:G954,G954,J$8:J954)-SUMIF(G$8:G954,G954,K$8:K954)+SUMIFS([1]内部转账!$G:$G,[1]内部转账!$C:$C,"&lt;="&amp;$D954,[1]内部转账!$E:$E,$G954)-SUMIFS([1]内部转账!$G:$G,[1]内部转账!$C:$C,"&lt;="&amp;$D954,[1]内部转账!$F:$F,$G954)),"")</f>
        <v>72274.6699999981</v>
      </c>
      <c r="M954" s="64" t="s">
        <v>150</v>
      </c>
      <c r="N954" s="69" t="s">
        <v>506</v>
      </c>
      <c r="O954" s="64"/>
      <c r="P954" s="64"/>
      <c r="Q954" s="69"/>
      <c r="R954" s="69"/>
      <c r="S954" s="69"/>
    </row>
    <row r="955" s="2" customFormat="1" ht="24.95" customHeight="1" spans="1:19">
      <c r="A955" s="15"/>
      <c r="B955" s="55"/>
      <c r="C955" s="56"/>
      <c r="D955" s="68">
        <v>46199</v>
      </c>
      <c r="E955" s="69"/>
      <c r="F955" s="69" t="s">
        <v>26</v>
      </c>
      <c r="G955" s="65" t="s">
        <v>27</v>
      </c>
      <c r="H955" s="65" t="s">
        <v>46</v>
      </c>
      <c r="I955" s="70" t="s">
        <v>69</v>
      </c>
      <c r="J955" s="71"/>
      <c r="K955" s="71">
        <v>4000</v>
      </c>
      <c r="L955" s="72">
        <f>IFERROR(IF(G955="","",VLOOKUP($G955,[1]基础信息!$B:$C,2,FALSE)+SUMIF(G$8:G955,G955,J$8:J955)-SUMIF(G$8:G955,G955,K$8:K955)+SUMIFS([1]内部转账!$G:$G,[1]内部转账!$C:$C,"&lt;="&amp;$D955,[1]内部转账!$E:$E,$G955)-SUMIFS([1]内部转账!$G:$G,[1]内部转账!$C:$C,"&lt;="&amp;$D955,[1]内部转账!$F:$F,$G955)),"")</f>
        <v>68274.6699999981</v>
      </c>
      <c r="M955" s="64" t="s">
        <v>150</v>
      </c>
      <c r="N955" s="69" t="s">
        <v>69</v>
      </c>
      <c r="O955" s="64"/>
      <c r="P955" s="64"/>
      <c r="Q955" s="69"/>
      <c r="R955" s="69"/>
      <c r="S955" s="69"/>
    </row>
    <row r="956" s="2" customFormat="1" ht="24.95" customHeight="1" spans="1:19">
      <c r="A956" s="15"/>
      <c r="B956" s="55"/>
      <c r="C956" s="56"/>
      <c r="D956" s="68">
        <v>46199</v>
      </c>
      <c r="E956" s="69"/>
      <c r="F956" s="69" t="s">
        <v>26</v>
      </c>
      <c r="G956" s="65" t="s">
        <v>27</v>
      </c>
      <c r="H956" s="65" t="s">
        <v>46</v>
      </c>
      <c r="I956" s="70" t="s">
        <v>132</v>
      </c>
      <c r="J956" s="71"/>
      <c r="K956" s="71">
        <v>10000</v>
      </c>
      <c r="L956" s="72">
        <f>IFERROR(IF(G956="","",VLOOKUP($G956,[1]基础信息!$B:$C,2,FALSE)+SUMIF(G$8:G956,G956,J$8:J956)-SUMIF(G$8:G956,G956,K$8:K956)+SUMIFS([1]内部转账!$G:$G,[1]内部转账!$C:$C,"&lt;="&amp;$D956,[1]内部转账!$E:$E,$G956)-SUMIFS([1]内部转账!$G:$G,[1]内部转账!$C:$C,"&lt;="&amp;$D956,[1]内部转账!$F:$F,$G956)),"")</f>
        <v>58274.6699999981</v>
      </c>
      <c r="M956" s="64" t="s">
        <v>206</v>
      </c>
      <c r="N956" s="69" t="s">
        <v>132</v>
      </c>
      <c r="O956" s="64"/>
      <c r="P956" s="64"/>
      <c r="Q956" s="69"/>
      <c r="R956" s="69"/>
      <c r="S956" s="69"/>
    </row>
    <row r="957" s="2" customFormat="1" ht="24.95" customHeight="1" spans="1:19">
      <c r="A957" s="15"/>
      <c r="B957" s="55"/>
      <c r="C957" s="56"/>
      <c r="D957" s="68">
        <v>46200</v>
      </c>
      <c r="E957" s="69"/>
      <c r="F957" s="69" t="s">
        <v>26</v>
      </c>
      <c r="G957" s="65" t="s">
        <v>27</v>
      </c>
      <c r="H957" s="65" t="s">
        <v>28</v>
      </c>
      <c r="I957" s="70" t="s">
        <v>432</v>
      </c>
      <c r="J957" s="71"/>
      <c r="K957" s="71">
        <v>50000</v>
      </c>
      <c r="L957" s="72">
        <f>IFERROR(IF(G957="","",VLOOKUP($G957,[1]基础信息!$B:$C,2,FALSE)+SUMIF(G$8:G957,G957,J$8:J957)-SUMIF(G$8:G957,G957,K$8:K957)+SUMIFS([1]内部转账!$G:$G,[1]内部转账!$C:$C,"&lt;="&amp;$D957,[1]内部转账!$E:$E,$G957)-SUMIFS([1]内部转账!$G:$G,[1]内部转账!$C:$C,"&lt;="&amp;$D957,[1]内部转账!$F:$F,$G957)),"")</f>
        <v>8274.66999999806</v>
      </c>
      <c r="M957" s="64" t="s">
        <v>30</v>
      </c>
      <c r="N957" s="69" t="s">
        <v>31</v>
      </c>
      <c r="O957" s="64"/>
      <c r="P957" s="64"/>
      <c r="Q957" s="69"/>
      <c r="R957" s="69"/>
      <c r="S957" s="69"/>
    </row>
    <row r="958" s="2" customFormat="1" ht="24.95" customHeight="1" spans="1:19">
      <c r="A958" s="15"/>
      <c r="B958" s="55"/>
      <c r="C958" s="56"/>
      <c r="D958" s="68">
        <v>46201</v>
      </c>
      <c r="E958" s="69"/>
      <c r="F958" s="69" t="s">
        <v>26</v>
      </c>
      <c r="G958" s="65" t="s">
        <v>507</v>
      </c>
      <c r="H958" s="65" t="s">
        <v>439</v>
      </c>
      <c r="I958" s="70" t="s">
        <v>508</v>
      </c>
      <c r="J958" s="71"/>
      <c r="K958" s="71">
        <v>-3060</v>
      </c>
      <c r="L958" s="72">
        <f>IFERROR(IF(G958="","",VLOOKUP($G958,[1]基础信息!$B:$C,2,FALSE)+SUMIF(G$8:G958,G958,J$8:J958)-SUMIF(G$8:G958,G958,K$8:K958)+SUMIFS([1]内部转账!$G:$G,[1]内部转账!$C:$C,"&lt;="&amp;$D958,[1]内部转账!$E:$E,$G958)-SUMIFS([1]内部转账!$G:$G,[1]内部转账!$C:$C,"&lt;="&amp;$D958,[1]内部转账!$F:$F,$G958)),"")</f>
        <v>3060</v>
      </c>
      <c r="M958" s="64" t="s">
        <v>441</v>
      </c>
      <c r="N958" s="69" t="s">
        <v>98</v>
      </c>
      <c r="O958" s="64"/>
      <c r="P958" s="64"/>
      <c r="Q958" s="69"/>
      <c r="R958" s="69"/>
      <c r="S958" s="69"/>
    </row>
    <row r="959" s="2" customFormat="1" ht="24.95" customHeight="1" spans="1:19">
      <c r="A959" s="15"/>
      <c r="B959" s="55"/>
      <c r="C959" s="56"/>
      <c r="D959" s="68">
        <v>46202</v>
      </c>
      <c r="E959" s="69"/>
      <c r="F959" s="69" t="s">
        <v>42</v>
      </c>
      <c r="G959" s="65" t="s">
        <v>27</v>
      </c>
      <c r="H959" s="65" t="s">
        <v>43</v>
      </c>
      <c r="I959" s="70" t="s">
        <v>509</v>
      </c>
      <c r="J959" s="71">
        <v>50996.59</v>
      </c>
      <c r="K959" s="71"/>
      <c r="L959" s="72">
        <f>IFERROR(IF(G959="","",VLOOKUP($G959,[1]基础信息!$B:$C,2,FALSE)+SUMIF(G$8:G959,G959,J$8:J959)-SUMIF(G$8:G959,G959,K$8:K959)+SUMIFS([1]内部转账!$G:$G,[1]内部转账!$C:$C,"&lt;="&amp;$D959,[1]内部转账!$E:$E,$G959)-SUMIFS([1]内部转账!$G:$G,[1]内部转账!$C:$C,"&lt;="&amp;$D959,[1]内部转账!$F:$F,$G959)),"")</f>
        <v>59271.2599999979</v>
      </c>
      <c r="M959" s="64" t="s">
        <v>235</v>
      </c>
      <c r="N959" s="69"/>
      <c r="O959" s="64"/>
      <c r="P959" s="64"/>
      <c r="Q959" s="69"/>
      <c r="R959" s="69"/>
      <c r="S959" s="69"/>
    </row>
    <row r="960" s="2" customFormat="1" ht="24.95" customHeight="1" spans="1:19">
      <c r="A960" s="15"/>
      <c r="B960" s="55"/>
      <c r="C960" s="56"/>
      <c r="D960" s="68">
        <v>46202</v>
      </c>
      <c r="E960" s="69"/>
      <c r="F960" s="69" t="s">
        <v>26</v>
      </c>
      <c r="G960" s="65" t="s">
        <v>27</v>
      </c>
      <c r="H960" s="65" t="s">
        <v>495</v>
      </c>
      <c r="I960" s="70" t="s">
        <v>496</v>
      </c>
      <c r="J960" s="71"/>
      <c r="K960" s="71">
        <v>229.48</v>
      </c>
      <c r="L960" s="72">
        <f>IFERROR(IF(G960="","",VLOOKUP($G960,[1]基础信息!$B:$C,2,FALSE)+SUMIF(G$8:G960,G960,J$8:J960)-SUMIF(G$8:G960,G960,K$8:K960)+SUMIFS([1]内部转账!$G:$G,[1]内部转账!$C:$C,"&lt;="&amp;$D960,[1]内部转账!$E:$E,$G960)-SUMIFS([1]内部转账!$G:$G,[1]内部转账!$C:$C,"&lt;="&amp;$D960,[1]内部转账!$F:$F,$G960)),"")</f>
        <v>59041.7799999975</v>
      </c>
      <c r="M960" s="64" t="s">
        <v>235</v>
      </c>
      <c r="N960" s="69"/>
      <c r="O960" s="64"/>
      <c r="P960" s="64"/>
      <c r="Q960" s="69"/>
      <c r="R960" s="69"/>
      <c r="S960" s="69"/>
    </row>
    <row r="961" s="2" customFormat="1" ht="24.95" customHeight="1" spans="1:19">
      <c r="A961" s="15"/>
      <c r="B961" s="55"/>
      <c r="C961" s="56"/>
      <c r="D961" s="68">
        <v>46203</v>
      </c>
      <c r="E961" s="69"/>
      <c r="F961" s="69" t="s">
        <v>26</v>
      </c>
      <c r="G961" s="65" t="s">
        <v>27</v>
      </c>
      <c r="H961" s="65" t="s">
        <v>62</v>
      </c>
      <c r="I961" s="70" t="s">
        <v>277</v>
      </c>
      <c r="J961" s="71"/>
      <c r="K961" s="71">
        <v>30000</v>
      </c>
      <c r="L961" s="72">
        <f>IFERROR(IF(G961="","",VLOOKUP($G961,[1]基础信息!$B:$C,2,FALSE)+SUMIF(G$8:G961,G961,J$8:J961)-SUMIF(G$8:G961,G961,K$8:K961)+SUMIFS([1]内部转账!$G:$G,[1]内部转账!$C:$C,"&lt;="&amp;$D961,[1]内部转账!$E:$E,$G961)-SUMIFS([1]内部转账!$G:$G,[1]内部转账!$C:$C,"&lt;="&amp;$D961,[1]内部转账!$F:$F,$G961)),"")</f>
        <v>29041.7799999975</v>
      </c>
      <c r="M961" s="64" t="s">
        <v>150</v>
      </c>
      <c r="N961" s="69"/>
      <c r="O961" s="64"/>
      <c r="P961" s="64" t="s">
        <v>278</v>
      </c>
      <c r="Q961" s="69"/>
      <c r="R961" s="69"/>
      <c r="S961" s="69"/>
    </row>
    <row r="962" s="2" customFormat="1" ht="24.95" customHeight="1" spans="1:19">
      <c r="A962" s="15"/>
      <c r="B962" s="55"/>
      <c r="C962" s="56"/>
      <c r="D962" s="68">
        <v>46203</v>
      </c>
      <c r="E962" s="69"/>
      <c r="F962" s="69" t="s">
        <v>26</v>
      </c>
      <c r="G962" s="65" t="s">
        <v>27</v>
      </c>
      <c r="H962" s="65" t="s">
        <v>33</v>
      </c>
      <c r="I962" s="70" t="s">
        <v>472</v>
      </c>
      <c r="J962" s="71"/>
      <c r="K962" s="71">
        <v>10000</v>
      </c>
      <c r="L962" s="72">
        <f>IFERROR(IF(G962="","",VLOOKUP($G962,[1]基础信息!$B:$C,2,FALSE)+SUMIF(G$8:G962,G962,J$8:J962)-SUMIF(G$8:G962,G962,K$8:K962)+SUMIFS([1]内部转账!$G:$G,[1]内部转账!$C:$C,"&lt;="&amp;$D962,[1]内部转账!$E:$E,$G962)-SUMIFS([1]内部转账!$G:$G,[1]内部转账!$C:$C,"&lt;="&amp;$D962,[1]内部转账!$F:$F,$G962)),"")</f>
        <v>19041.7799999975</v>
      </c>
      <c r="M962" s="64" t="s">
        <v>35</v>
      </c>
      <c r="N962" s="69"/>
      <c r="O962" s="64"/>
      <c r="P962" s="64" t="s">
        <v>510</v>
      </c>
      <c r="Q962" s="69"/>
      <c r="R962" s="69"/>
      <c r="S962" s="69"/>
    </row>
    <row r="963" s="2" customFormat="1" ht="24.95" customHeight="1" spans="1:19">
      <c r="A963" s="15"/>
      <c r="B963" s="55"/>
      <c r="C963" s="56"/>
      <c r="D963" s="68">
        <v>46205</v>
      </c>
      <c r="E963" s="69"/>
      <c r="F963" s="69" t="s">
        <v>26</v>
      </c>
      <c r="G963" s="65" t="s">
        <v>27</v>
      </c>
      <c r="H963" s="65" t="s">
        <v>46</v>
      </c>
      <c r="I963" s="70" t="s">
        <v>85</v>
      </c>
      <c r="J963" s="71"/>
      <c r="K963" s="71">
        <v>3000</v>
      </c>
      <c r="L963" s="72">
        <f>IFERROR(IF(G963="","",VLOOKUP($G963,[1]基础信息!$B:$C,2,FALSE)+SUMIF(G$8:G963,G963,J$8:J963)-SUMIF(G$8:G963,G963,K$8:K963)+SUMIFS([1]内部转账!$G:$G,[1]内部转账!$C:$C,"&lt;="&amp;$D963,[1]内部转账!$E:$E,$G963)-SUMIFS([1]内部转账!$G:$G,[1]内部转账!$C:$C,"&lt;="&amp;$D963,[1]内部转账!$F:$F,$G963)),"")</f>
        <v>16041.7799999975</v>
      </c>
      <c r="M963" s="64" t="s">
        <v>150</v>
      </c>
      <c r="N963" s="69"/>
      <c r="O963" s="64"/>
      <c r="P963" s="64"/>
      <c r="Q963" s="69"/>
      <c r="R963" s="69"/>
      <c r="S963" s="69"/>
    </row>
    <row r="964" s="2" customFormat="1" ht="24.95" customHeight="1" spans="1:19">
      <c r="A964" s="15"/>
      <c r="B964" s="55"/>
      <c r="C964" s="56"/>
      <c r="D964" s="68">
        <v>46205</v>
      </c>
      <c r="E964" s="69"/>
      <c r="F964" s="69" t="s">
        <v>26</v>
      </c>
      <c r="G964" s="65" t="s">
        <v>27</v>
      </c>
      <c r="H964" s="65" t="s">
        <v>46</v>
      </c>
      <c r="I964" s="70" t="s">
        <v>511</v>
      </c>
      <c r="J964" s="71"/>
      <c r="K964" s="71">
        <v>4000</v>
      </c>
      <c r="L964" s="72">
        <f>IFERROR(IF(G964="","",VLOOKUP($G964,[1]基础信息!$B:$C,2,FALSE)+SUMIF(G$8:G964,G964,J$8:J964)-SUMIF(G$8:G964,G964,K$8:K964)+SUMIFS([1]内部转账!$G:$G,[1]内部转账!$C:$C,"&lt;="&amp;$D964,[1]内部转账!$E:$E,$G964)-SUMIFS([1]内部转账!$G:$G,[1]内部转账!$C:$C,"&lt;="&amp;$D964,[1]内部转账!$F:$F,$G964)),"")</f>
        <v>12041.7799999975</v>
      </c>
      <c r="M964" s="64" t="s">
        <v>150</v>
      </c>
      <c r="N964" s="69"/>
      <c r="O964" s="64"/>
      <c r="P964" s="64"/>
      <c r="Q964" s="69"/>
      <c r="R964" s="69"/>
      <c r="S964" s="69"/>
    </row>
    <row r="965" s="2" customFormat="1" ht="24.95" customHeight="1" spans="1:19">
      <c r="A965" s="15"/>
      <c r="B965" s="55"/>
      <c r="C965" s="56"/>
      <c r="D965" s="68">
        <v>46205</v>
      </c>
      <c r="E965" s="69"/>
      <c r="F965" s="69" t="s">
        <v>26</v>
      </c>
      <c r="G965" s="65" t="s">
        <v>27</v>
      </c>
      <c r="H965" s="65" t="s">
        <v>46</v>
      </c>
      <c r="I965" s="70" t="s">
        <v>512</v>
      </c>
      <c r="J965" s="71"/>
      <c r="K965" s="71">
        <v>5000</v>
      </c>
      <c r="L965" s="72">
        <f>IFERROR(IF(G965="","",VLOOKUP($G965,[1]基础信息!$B:$C,2,FALSE)+SUMIF(G$8:G965,G965,J$8:J965)-SUMIF(G$8:G965,G965,K$8:K965)+SUMIFS([1]内部转账!$G:$G,[1]内部转账!$C:$C,"&lt;="&amp;$D965,[1]内部转账!$E:$E,$G965)-SUMIFS([1]内部转账!$G:$G,[1]内部转账!$C:$C,"&lt;="&amp;$D965,[1]内部转账!$F:$F,$G965)),"")</f>
        <v>7041.77999999747</v>
      </c>
      <c r="M965" s="64" t="s">
        <v>150</v>
      </c>
      <c r="N965" s="69"/>
      <c r="O965" s="64"/>
      <c r="P965" s="64"/>
      <c r="Q965" s="69"/>
      <c r="R965" s="69"/>
      <c r="S965" s="69"/>
    </row>
    <row r="966" s="2" customFormat="1" ht="24.95" customHeight="1" spans="1:19">
      <c r="A966" s="15"/>
      <c r="B966" s="55"/>
      <c r="C966" s="56"/>
      <c r="D966" s="68">
        <v>46205</v>
      </c>
      <c r="E966" s="69"/>
      <c r="F966" s="69" t="s">
        <v>26</v>
      </c>
      <c r="G966" s="65" t="s">
        <v>27</v>
      </c>
      <c r="H966" s="65" t="s">
        <v>46</v>
      </c>
      <c r="I966" s="70" t="s">
        <v>512</v>
      </c>
      <c r="J966" s="71"/>
      <c r="K966" s="71">
        <v>-5000</v>
      </c>
      <c r="L966" s="72">
        <f>IFERROR(IF(G966="","",VLOOKUP($G966,[1]基础信息!$B:$C,2,FALSE)+SUMIF(G$8:G966,G966,J$8:J966)-SUMIF(G$8:G966,G966,K$8:K966)+SUMIFS([1]内部转账!$G:$G,[1]内部转账!$C:$C,"&lt;="&amp;$D966,[1]内部转账!$E:$E,$G966)-SUMIFS([1]内部转账!$G:$G,[1]内部转账!$C:$C,"&lt;="&amp;$D966,[1]内部转账!$F:$F,$G966)),"")</f>
        <v>12041.7799999975</v>
      </c>
      <c r="M966" s="64" t="s">
        <v>150</v>
      </c>
      <c r="N966" s="69"/>
      <c r="O966" s="64"/>
      <c r="P966" s="64"/>
      <c r="Q966" s="69"/>
      <c r="R966" s="69"/>
      <c r="S966" s="69"/>
    </row>
    <row r="967" s="2" customFormat="1" ht="24.95" customHeight="1" spans="1:19">
      <c r="A967" s="15"/>
      <c r="B967" s="55"/>
      <c r="C967" s="56"/>
      <c r="D967" s="68">
        <v>46205</v>
      </c>
      <c r="E967" s="69"/>
      <c r="F967" s="69" t="s">
        <v>26</v>
      </c>
      <c r="G967" s="65" t="s">
        <v>27</v>
      </c>
      <c r="H967" s="65" t="s">
        <v>62</v>
      </c>
      <c r="I967" s="70" t="s">
        <v>513</v>
      </c>
      <c r="J967" s="71"/>
      <c r="K967" s="71">
        <v>574</v>
      </c>
      <c r="L967" s="72">
        <f>IFERROR(IF(G967="","",VLOOKUP($G967,[1]基础信息!$B:$C,2,FALSE)+SUMIF(G$8:G967,G967,J$8:J967)-SUMIF(G$8:G967,G967,K$8:K967)+SUMIFS([1]内部转账!$G:$G,[1]内部转账!$C:$C,"&lt;="&amp;$D967,[1]内部转账!$E:$E,$G967)-SUMIFS([1]内部转账!$G:$G,[1]内部转账!$C:$C,"&lt;="&amp;$D967,[1]内部转账!$F:$F,$G967)),"")</f>
        <v>11467.7799999975</v>
      </c>
      <c r="M967" s="64" t="s">
        <v>150</v>
      </c>
      <c r="N967" s="69"/>
      <c r="O967" s="64"/>
      <c r="P967" s="64" t="s">
        <v>514</v>
      </c>
      <c r="Q967" s="69"/>
      <c r="R967" s="69"/>
      <c r="S967" s="69"/>
    </row>
    <row r="968" s="2" customFormat="1" ht="24.95" customHeight="1" spans="1:19">
      <c r="A968" s="15"/>
      <c r="B968" s="55"/>
      <c r="C968" s="56"/>
      <c r="D968" s="68">
        <v>46205</v>
      </c>
      <c r="E968" s="69"/>
      <c r="F968" s="69" t="s">
        <v>26</v>
      </c>
      <c r="G968" s="65" t="s">
        <v>27</v>
      </c>
      <c r="H968" s="65" t="s">
        <v>115</v>
      </c>
      <c r="I968" s="70" t="s">
        <v>515</v>
      </c>
      <c r="J968" s="71"/>
      <c r="K968" s="71">
        <v>800</v>
      </c>
      <c r="L968" s="72">
        <f>IFERROR(IF(G968="","",VLOOKUP($G968,[1]基础信息!$B:$C,2,FALSE)+SUMIF(G$8:G968,G968,J$8:J968)-SUMIF(G$8:G968,G968,K$8:K968)+SUMIFS([1]内部转账!$G:$G,[1]内部转账!$C:$C,"&lt;="&amp;$D968,[1]内部转账!$E:$E,$G968)-SUMIFS([1]内部转账!$G:$G,[1]内部转账!$C:$C,"&lt;="&amp;$D968,[1]内部转账!$F:$F,$G968)),"")</f>
        <v>10667.7799999975</v>
      </c>
      <c r="M968" s="64" t="s">
        <v>516</v>
      </c>
      <c r="N968" s="69"/>
      <c r="O968" s="64"/>
      <c r="P968" s="64" t="s">
        <v>517</v>
      </c>
      <c r="Q968" s="69"/>
      <c r="R968" s="69"/>
      <c r="S968" s="69"/>
    </row>
    <row r="969" s="2" customFormat="1" ht="24.95" customHeight="1" spans="1:19">
      <c r="A969" s="15"/>
      <c r="B969" s="55"/>
      <c r="C969" s="56"/>
      <c r="D969" s="68">
        <v>46205</v>
      </c>
      <c r="E969" s="69"/>
      <c r="F969" s="69" t="s">
        <v>26</v>
      </c>
      <c r="G969" s="65" t="s">
        <v>27</v>
      </c>
      <c r="H969" s="65" t="s">
        <v>46</v>
      </c>
      <c r="I969" s="70" t="s">
        <v>518</v>
      </c>
      <c r="J969" s="71"/>
      <c r="K969" s="71">
        <v>5000</v>
      </c>
      <c r="L969" s="72">
        <f>IFERROR(IF(G969="","",VLOOKUP($G969,[1]基础信息!$B:$C,2,FALSE)+SUMIF(G$8:G969,G969,J$8:J969)-SUMIF(G$8:G969,G969,K$8:K969)+SUMIFS([1]内部转账!$G:$G,[1]内部转账!$C:$C,"&lt;="&amp;$D969,[1]内部转账!$E:$E,$G969)-SUMIFS([1]内部转账!$G:$G,[1]内部转账!$C:$C,"&lt;="&amp;$D969,[1]内部转账!$F:$F,$G969)),"")</f>
        <v>5667.77999999747</v>
      </c>
      <c r="M969" s="64" t="s">
        <v>206</v>
      </c>
      <c r="N969" s="69"/>
      <c r="O969" s="64"/>
      <c r="P969" s="64"/>
      <c r="Q969" s="69"/>
      <c r="R969" s="69"/>
      <c r="S969" s="69"/>
    </row>
    <row r="970" s="2" customFormat="1" ht="24.95" customHeight="1" spans="1:19">
      <c r="A970" s="15"/>
      <c r="B970" s="55"/>
      <c r="C970" s="56"/>
      <c r="D970" s="68">
        <v>46207</v>
      </c>
      <c r="E970" s="69"/>
      <c r="F970" s="69" t="s">
        <v>26</v>
      </c>
      <c r="G970" s="65" t="s">
        <v>27</v>
      </c>
      <c r="H970" s="65" t="s">
        <v>83</v>
      </c>
      <c r="I970" s="70" t="s">
        <v>519</v>
      </c>
      <c r="J970" s="71"/>
      <c r="K970" s="71">
        <v>996.75</v>
      </c>
      <c r="L970" s="72">
        <f>IFERROR(IF(G970="","",VLOOKUP($G970,[1]基础信息!$B:$C,2,FALSE)+SUMIF(G$8:G970,G970,J$8:J970)-SUMIF(G$8:G970,G970,K$8:K970)+SUMIFS([1]内部转账!$G:$G,[1]内部转账!$C:$C,"&lt;="&amp;$D970,[1]内部转账!$E:$E,$G970)-SUMIFS([1]内部转账!$G:$G,[1]内部转账!$C:$C,"&lt;="&amp;$D970,[1]内部转账!$F:$F,$G970)),"")</f>
        <v>4671.02999999747</v>
      </c>
      <c r="M970" s="64" t="s">
        <v>150</v>
      </c>
      <c r="N970" s="69"/>
      <c r="O970" s="64"/>
      <c r="P970" s="64"/>
      <c r="Q970" s="69"/>
      <c r="R970" s="69"/>
      <c r="S970" s="69"/>
    </row>
    <row r="971" s="2" customFormat="1" ht="24.95" customHeight="1" spans="1:19">
      <c r="A971" s="15"/>
      <c r="B971" s="55"/>
      <c r="C971" s="56"/>
      <c r="D971" s="68">
        <v>46207</v>
      </c>
      <c r="E971" s="69"/>
      <c r="F971" s="69" t="s">
        <v>26</v>
      </c>
      <c r="G971" s="65" t="s">
        <v>27</v>
      </c>
      <c r="H971" s="65" t="s">
        <v>83</v>
      </c>
      <c r="I971" s="70" t="s">
        <v>84</v>
      </c>
      <c r="J971" s="71"/>
      <c r="K971" s="71">
        <v>2653.94</v>
      </c>
      <c r="L971" s="72">
        <f>IFERROR(IF(G971="","",VLOOKUP($G971,[1]基础信息!$B:$C,2,FALSE)+SUMIF(G$8:G971,G971,J$8:J971)-SUMIF(G$8:G971,G971,K$8:K971)+SUMIFS([1]内部转账!$G:$G,[1]内部转账!$C:$C,"&lt;="&amp;$D971,[1]内部转账!$E:$E,$G971)-SUMIFS([1]内部转账!$G:$G,[1]内部转账!$C:$C,"&lt;="&amp;$D971,[1]内部转账!$F:$F,$G971)),"")</f>
        <v>2017.08999999706</v>
      </c>
      <c r="M971" s="64" t="s">
        <v>35</v>
      </c>
      <c r="N971" s="69"/>
      <c r="O971" s="64"/>
      <c r="P971" s="64"/>
      <c r="Q971" s="69"/>
      <c r="R971" s="69"/>
      <c r="S971" s="69"/>
    </row>
    <row r="972" s="2" customFormat="1" ht="24.95" customHeight="1" spans="1:19">
      <c r="A972" s="15"/>
      <c r="B972" s="55"/>
      <c r="C972" s="56"/>
      <c r="D972" s="68">
        <v>46217</v>
      </c>
      <c r="E972" s="69"/>
      <c r="F972" s="69" t="s">
        <v>26</v>
      </c>
      <c r="G972" s="65" t="s">
        <v>27</v>
      </c>
      <c r="H972" s="65" t="s">
        <v>62</v>
      </c>
      <c r="I972" s="70" t="s">
        <v>266</v>
      </c>
      <c r="J972" s="71"/>
      <c r="K972" s="71">
        <v>1673</v>
      </c>
      <c r="L972" s="72">
        <f>IFERROR(IF(G972="","",VLOOKUP($G972,[1]基础信息!$B:$C,2,FALSE)+SUMIF(G$8:G972,G972,J$8:J972)-SUMIF(G$8:G972,G972,K$8:K972)+SUMIFS([1]内部转账!$G:$G,[1]内部转账!$C:$C,"&lt;="&amp;$D972,[1]内部转账!$E:$E,$G972)-SUMIFS([1]内部转账!$G:$G,[1]内部转账!$C:$C,"&lt;="&amp;$D972,[1]内部转账!$F:$F,$G972)),"")</f>
        <v>344.089999997057</v>
      </c>
      <c r="M972" s="64" t="s">
        <v>150</v>
      </c>
      <c r="N972" s="69"/>
      <c r="O972" s="64"/>
      <c r="P972" s="64" t="s">
        <v>263</v>
      </c>
      <c r="Q972" s="69"/>
      <c r="R972" s="69"/>
      <c r="S972" s="69"/>
    </row>
    <row r="973" s="2" customFormat="1" ht="24.95" customHeight="1" spans="1:19">
      <c r="A973" s="15"/>
      <c r="B973" s="55"/>
      <c r="C973" s="56"/>
      <c r="D973" s="68">
        <v>46226</v>
      </c>
      <c r="E973" s="69"/>
      <c r="F973" s="69" t="s">
        <v>42</v>
      </c>
      <c r="G973" s="65" t="s">
        <v>27</v>
      </c>
      <c r="H973" s="65" t="s">
        <v>43</v>
      </c>
      <c r="I973" s="70" t="s">
        <v>60</v>
      </c>
      <c r="J973" s="71">
        <v>120000</v>
      </c>
      <c r="K973" s="71"/>
      <c r="L973" s="72">
        <f>IFERROR(IF(G973="","",VLOOKUP($G973,[1]基础信息!$B:$C,2,FALSE)+SUMIF(G$8:G973,G973,J$8:J973)-SUMIF(G$8:G973,G973,K$8:K973)+SUMIFS([1]内部转账!$G:$G,[1]内部转账!$C:$C,"&lt;="&amp;$D973,[1]内部转账!$E:$E,$G973)-SUMIFS([1]内部转账!$G:$G,[1]内部转账!$C:$C,"&lt;="&amp;$D973,[1]内部转账!$F:$F,$G973)),"")</f>
        <v>120344.089999997</v>
      </c>
      <c r="M973" s="64" t="s">
        <v>41</v>
      </c>
      <c r="N973" s="69"/>
      <c r="O973" s="64" t="s">
        <v>61</v>
      </c>
      <c r="P973" s="64"/>
      <c r="Q973" s="69"/>
      <c r="R973" s="69"/>
      <c r="S973" s="69"/>
    </row>
    <row r="974" s="2" customFormat="1" ht="24.95" customHeight="1" spans="1:19">
      <c r="A974" s="15"/>
      <c r="B974" s="55"/>
      <c r="C974" s="56"/>
      <c r="D974" s="68">
        <v>46226</v>
      </c>
      <c r="E974" s="69"/>
      <c r="F974" s="69" t="s">
        <v>26</v>
      </c>
      <c r="G974" s="65" t="s">
        <v>27</v>
      </c>
      <c r="H974" s="65" t="s">
        <v>46</v>
      </c>
      <c r="I974" s="70" t="s">
        <v>65</v>
      </c>
      <c r="J974" s="71"/>
      <c r="K974" s="71">
        <v>10000</v>
      </c>
      <c r="L974" s="72">
        <f>IFERROR(IF(G974="","",VLOOKUP($G974,[1]基础信息!$B:$C,2,FALSE)+SUMIF(G$8:G974,G974,J$8:J974)-SUMIF(G$8:G974,G974,K$8:K974)+SUMIFS([1]内部转账!$G:$G,[1]内部转账!$C:$C,"&lt;="&amp;$D974,[1]内部转账!$E:$E,$G974)-SUMIFS([1]内部转账!$G:$G,[1]内部转账!$C:$C,"&lt;="&amp;$D974,[1]内部转账!$F:$F,$G974)),"")</f>
        <v>110344.089999997</v>
      </c>
      <c r="M974" s="64" t="s">
        <v>150</v>
      </c>
      <c r="N974" s="69"/>
      <c r="O974" s="64"/>
      <c r="P974" s="64"/>
      <c r="Q974" s="69"/>
      <c r="R974" s="69"/>
      <c r="S974" s="69"/>
    </row>
    <row r="975" s="2" customFormat="1" ht="24.95" customHeight="1" spans="1:19">
      <c r="A975" s="15"/>
      <c r="B975" s="55"/>
      <c r="C975" s="56"/>
      <c r="D975" s="68">
        <v>46227</v>
      </c>
      <c r="E975" s="69"/>
      <c r="F975" s="69" t="s">
        <v>26</v>
      </c>
      <c r="G975" s="65" t="s">
        <v>27</v>
      </c>
      <c r="H975" s="65" t="s">
        <v>83</v>
      </c>
      <c r="I975" s="70" t="s">
        <v>421</v>
      </c>
      <c r="J975" s="71"/>
      <c r="K975" s="71">
        <v>1019.48</v>
      </c>
      <c r="L975" s="72">
        <f>IFERROR(IF(G975="","",VLOOKUP($G975,[1]基础信息!$B:$C,2,FALSE)+SUMIF(G$8:G975,G975,J$8:J975)-SUMIF(G$8:G975,G975,K$8:K975)+SUMIFS([1]内部转账!$G:$G,[1]内部转账!$C:$C,"&lt;="&amp;$D975,[1]内部转账!$E:$E,$G975)-SUMIFS([1]内部转账!$G:$G,[1]内部转账!$C:$C,"&lt;="&amp;$D975,[1]内部转账!$F:$F,$G975)),"")</f>
        <v>109324.609999997</v>
      </c>
      <c r="M975" s="64" t="s">
        <v>35</v>
      </c>
      <c r="N975" s="69" t="s">
        <v>422</v>
      </c>
      <c r="O975" s="64"/>
      <c r="P975" s="64" t="s">
        <v>423</v>
      </c>
      <c r="Q975" s="69"/>
      <c r="R975" s="69"/>
      <c r="S975" s="69"/>
    </row>
    <row r="976" s="2" customFormat="1" ht="24.95" customHeight="1" spans="1:19">
      <c r="A976" s="15"/>
      <c r="B976" s="55"/>
      <c r="C976" s="56"/>
      <c r="D976" s="68">
        <v>46227</v>
      </c>
      <c r="E976" s="69"/>
      <c r="F976" s="69" t="s">
        <v>26</v>
      </c>
      <c r="G976" s="65" t="s">
        <v>27</v>
      </c>
      <c r="H976" s="65" t="s">
        <v>439</v>
      </c>
      <c r="I976" s="70" t="s">
        <v>440</v>
      </c>
      <c r="J976" s="71"/>
      <c r="K976" s="71">
        <v>1019.48</v>
      </c>
      <c r="L976" s="72">
        <f>IFERROR(IF(G976="","",VLOOKUP($G976,[1]基础信息!$B:$C,2,FALSE)+SUMIF(G$8:G976,G976,J$8:J976)-SUMIF(G$8:G976,G976,K$8:K976)+SUMIFS([1]内部转账!$G:$G,[1]内部转账!$C:$C,"&lt;="&amp;$D976,[1]内部转账!$E:$E,$G976)-SUMIFS([1]内部转账!$G:$G,[1]内部转账!$C:$C,"&lt;="&amp;$D976,[1]内部转账!$F:$F,$G976)),"")</f>
        <v>108305.129999996</v>
      </c>
      <c r="M976" s="64" t="s">
        <v>441</v>
      </c>
      <c r="N976" s="69"/>
      <c r="O976" s="64"/>
      <c r="P976" s="64" t="s">
        <v>423</v>
      </c>
      <c r="Q976" s="69"/>
      <c r="R976" s="69"/>
      <c r="S976" s="69"/>
    </row>
    <row r="977" s="2" customFormat="1" ht="24.95" customHeight="1" spans="1:19">
      <c r="A977" s="15"/>
      <c r="B977" s="55"/>
      <c r="C977" s="56"/>
      <c r="D977" s="68">
        <v>46227</v>
      </c>
      <c r="E977" s="69"/>
      <c r="F977" s="69" t="s">
        <v>26</v>
      </c>
      <c r="G977" s="65" t="s">
        <v>27</v>
      </c>
      <c r="H977" s="65" t="s">
        <v>213</v>
      </c>
      <c r="I977" s="70" t="s">
        <v>520</v>
      </c>
      <c r="J977" s="71"/>
      <c r="K977" s="71">
        <v>30000</v>
      </c>
      <c r="L977" s="72">
        <f>IFERROR(IF(G977="","",VLOOKUP($G977,[1]基础信息!$B:$C,2,FALSE)+SUMIF(G$8:G977,G977,J$8:J977)-SUMIF(G$8:G977,G977,K$8:K977)+SUMIFS([1]内部转账!$G:$G,[1]内部转账!$C:$C,"&lt;="&amp;$D977,[1]内部转账!$E:$E,$G977)-SUMIFS([1]内部转账!$G:$G,[1]内部转账!$C:$C,"&lt;="&amp;$D977,[1]内部转账!$F:$F,$G977)),"")</f>
        <v>78305.1299999962</v>
      </c>
      <c r="M977" s="64" t="s">
        <v>30</v>
      </c>
      <c r="N977" s="69" t="s">
        <v>92</v>
      </c>
      <c r="O977" s="64"/>
      <c r="P977" s="64"/>
      <c r="Q977" s="69"/>
      <c r="R977" s="69"/>
      <c r="S977" s="69"/>
    </row>
    <row r="978" s="2" customFormat="1" ht="24.95" customHeight="1" spans="1:19">
      <c r="A978" s="15"/>
      <c r="B978" s="55"/>
      <c r="C978" s="56"/>
      <c r="D978" s="68">
        <v>46227</v>
      </c>
      <c r="E978" s="69"/>
      <c r="F978" s="69" t="s">
        <v>26</v>
      </c>
      <c r="G978" s="65" t="s">
        <v>27</v>
      </c>
      <c r="H978" s="65" t="s">
        <v>53</v>
      </c>
      <c r="I978" s="70" t="s">
        <v>98</v>
      </c>
      <c r="J978" s="71"/>
      <c r="K978" s="71">
        <v>5000</v>
      </c>
      <c r="L978" s="72">
        <f>IFERROR(IF(G978="","",VLOOKUP($G978,[1]基础信息!$B:$C,2,FALSE)+SUMIF(G$8:G978,G978,J$8:J978)-SUMIF(G$8:G978,G978,K$8:K978)+SUMIFS([1]内部转账!$G:$G,[1]内部转账!$C:$C,"&lt;="&amp;$D978,[1]内部转账!$E:$E,$G978)-SUMIFS([1]内部转账!$G:$G,[1]内部转账!$C:$C,"&lt;="&amp;$D978,[1]内部转账!$F:$F,$G978)),"")</f>
        <v>73305.1299999962</v>
      </c>
      <c r="M978" s="64" t="s">
        <v>35</v>
      </c>
      <c r="N978" s="69" t="s">
        <v>98</v>
      </c>
      <c r="O978" s="64"/>
      <c r="P978" s="64"/>
      <c r="Q978" s="69"/>
      <c r="R978" s="69"/>
      <c r="S978" s="69"/>
    </row>
    <row r="979" s="2" customFormat="1" ht="33" customHeight="1" spans="1:19">
      <c r="A979" s="15"/>
      <c r="B979" s="55"/>
      <c r="C979" s="56"/>
      <c r="D979" s="68">
        <v>46229</v>
      </c>
      <c r="E979" s="69"/>
      <c r="F979" s="69" t="s">
        <v>26</v>
      </c>
      <c r="G979" s="65" t="s">
        <v>27</v>
      </c>
      <c r="H979" s="65" t="s">
        <v>28</v>
      </c>
      <c r="I979" s="70" t="s">
        <v>521</v>
      </c>
      <c r="J979" s="71"/>
      <c r="K979" s="71">
        <v>70000</v>
      </c>
      <c r="L979" s="72">
        <f>IFERROR(IF(G979="","",VLOOKUP($G979,[1]基础信息!$B:$C,2,FALSE)+SUMIF(G$8:G979,G979,J$8:J979)-SUMIF(G$8:G979,G979,K$8:K979)+SUMIFS([1]内部转账!$G:$G,[1]内部转账!$C:$C,"&lt;="&amp;$D979,[1]内部转账!$E:$E,$G979)-SUMIFS([1]内部转账!$G:$G,[1]内部转账!$C:$C,"&lt;="&amp;$D979,[1]内部转账!$F:$F,$G979)),"")</f>
        <v>3305.12999999616</v>
      </c>
      <c r="M979" s="64" t="s">
        <v>30</v>
      </c>
      <c r="N979" s="69" t="s">
        <v>31</v>
      </c>
      <c r="O979" s="64"/>
      <c r="P979" s="64"/>
      <c r="Q979" s="69"/>
      <c r="R979" s="69"/>
      <c r="S979" s="69"/>
    </row>
    <row r="980" s="2" customFormat="1" ht="24.95" customHeight="1" spans="1:19">
      <c r="A980" s="15"/>
      <c r="B980" s="55"/>
      <c r="C980" s="56"/>
      <c r="D980" s="68">
        <v>46231</v>
      </c>
      <c r="E980" s="69"/>
      <c r="F980" s="69" t="s">
        <v>26</v>
      </c>
      <c r="G980" s="65" t="s">
        <v>27</v>
      </c>
      <c r="H980" s="65" t="s">
        <v>28</v>
      </c>
      <c r="I980" s="70" t="s">
        <v>29</v>
      </c>
      <c r="J980" s="71"/>
      <c r="K980" s="71">
        <v>-60000</v>
      </c>
      <c r="L980" s="72">
        <f>IFERROR(IF(G980="","",VLOOKUP($G980,[1]基础信息!$B:$C,2,FALSE)+SUMIF(G$8:G980,G980,J$8:J980)-SUMIF(G$8:G980,G980,K$8:K980)+SUMIFS([1]内部转账!$G:$G,[1]内部转账!$C:$C,"&lt;="&amp;$D980,[1]内部转账!$E:$E,$G980)-SUMIFS([1]内部转账!$G:$G,[1]内部转账!$C:$C,"&lt;="&amp;$D980,[1]内部转账!$F:$F,$G980)),"")</f>
        <v>63305.1299999962</v>
      </c>
      <c r="M980" s="64" t="s">
        <v>30</v>
      </c>
      <c r="N980" s="69" t="s">
        <v>31</v>
      </c>
      <c r="O980" s="64"/>
      <c r="P980" s="64"/>
      <c r="Q980" s="69"/>
      <c r="R980" s="69"/>
      <c r="S980" s="69"/>
    </row>
    <row r="981" s="2" customFormat="1" ht="24.95" customHeight="1" spans="1:19">
      <c r="A981" s="15"/>
      <c r="B981" s="55"/>
      <c r="C981" s="56"/>
      <c r="D981" s="68">
        <v>46231</v>
      </c>
      <c r="E981" s="69"/>
      <c r="F981" s="69" t="s">
        <v>26</v>
      </c>
      <c r="G981" s="65" t="s">
        <v>27</v>
      </c>
      <c r="H981" s="65" t="s">
        <v>62</v>
      </c>
      <c r="I981" s="70" t="s">
        <v>522</v>
      </c>
      <c r="J981" s="71"/>
      <c r="K981" s="71">
        <v>29040</v>
      </c>
      <c r="L981" s="72">
        <f>IFERROR(IF(G981="","",VLOOKUP($G981,[1]基础信息!$B:$C,2,FALSE)+SUMIF(G$8:G981,G981,J$8:J981)-SUMIF(G$8:G981,G981,K$8:K981)+SUMIFS([1]内部转账!$G:$G,[1]内部转账!$C:$C,"&lt;="&amp;$D981,[1]内部转账!$E:$E,$G981)-SUMIFS([1]内部转账!$G:$G,[1]内部转账!$C:$C,"&lt;="&amp;$D981,[1]内部转账!$F:$F,$G981)),"")</f>
        <v>34265.1299999962</v>
      </c>
      <c r="M981" s="64" t="s">
        <v>427</v>
      </c>
      <c r="N981" s="69"/>
      <c r="O981" s="64"/>
      <c r="P981" s="64"/>
      <c r="Q981" s="69"/>
      <c r="R981" s="69"/>
      <c r="S981" s="69"/>
    </row>
    <row r="982" s="2" customFormat="1" ht="24.95" customHeight="1" spans="1:19">
      <c r="A982" s="15"/>
      <c r="B982" s="55"/>
      <c r="C982" s="56"/>
      <c r="D982" s="68">
        <v>46231</v>
      </c>
      <c r="E982" s="69"/>
      <c r="F982" s="69" t="s">
        <v>26</v>
      </c>
      <c r="G982" s="65" t="s">
        <v>27</v>
      </c>
      <c r="H982" s="65" t="s">
        <v>62</v>
      </c>
      <c r="I982" s="70" t="s">
        <v>522</v>
      </c>
      <c r="J982" s="71"/>
      <c r="K982" s="71">
        <v>27607.98</v>
      </c>
      <c r="L982" s="72">
        <f>IFERROR(IF(G982="","",VLOOKUP($G982,[1]基础信息!$B:$C,2,FALSE)+SUMIF(G$8:G982,G982,J$8:J982)-SUMIF(G$8:G982,G982,K$8:K982)+SUMIFS([1]内部转账!$G:$G,[1]内部转账!$C:$C,"&lt;="&amp;$D982,[1]内部转账!$E:$E,$G982)-SUMIFS([1]内部转账!$G:$G,[1]内部转账!$C:$C,"&lt;="&amp;$D982,[1]内部转账!$F:$F,$G982)),"")</f>
        <v>6657.14999999572</v>
      </c>
      <c r="M982" s="64" t="s">
        <v>427</v>
      </c>
      <c r="N982" s="69"/>
      <c r="O982" s="64"/>
      <c r="P982" s="64"/>
      <c r="Q982" s="69"/>
      <c r="R982" s="69"/>
      <c r="S982" s="69"/>
    </row>
    <row r="983" s="2" customFormat="1" ht="24.95" customHeight="1" spans="1:19">
      <c r="A983" s="15"/>
      <c r="B983" s="55"/>
      <c r="C983" s="56"/>
      <c r="D983" s="68">
        <v>46232</v>
      </c>
      <c r="E983" s="69"/>
      <c r="F983" s="69" t="s">
        <v>42</v>
      </c>
      <c r="G983" s="65" t="s">
        <v>27</v>
      </c>
      <c r="H983" s="65" t="s">
        <v>43</v>
      </c>
      <c r="I983" s="70" t="s">
        <v>342</v>
      </c>
      <c r="J983" s="71">
        <v>54516.23</v>
      </c>
      <c r="K983" s="71"/>
      <c r="L983" s="72">
        <f>IFERROR(IF(G983="","",VLOOKUP($G983,[1]基础信息!$B:$C,2,FALSE)+SUMIF(G$8:G983,G983,J$8:J983)-SUMIF(G$8:G983,G983,K$8:K983)+SUMIFS([1]内部转账!$G:$G,[1]内部转账!$C:$C,"&lt;="&amp;$D983,[1]内部转账!$E:$E,$G983)-SUMIFS([1]内部转账!$G:$G,[1]内部转账!$C:$C,"&lt;="&amp;$D983,[1]内部转账!$F:$F,$G983)),"")</f>
        <v>61173.3799999962</v>
      </c>
      <c r="M983" s="64" t="s">
        <v>317</v>
      </c>
      <c r="N983" s="69"/>
      <c r="O983" s="64"/>
      <c r="P983" s="64"/>
      <c r="Q983" s="69"/>
      <c r="R983" s="69"/>
      <c r="S983" s="69"/>
    </row>
    <row r="984" s="2" customFormat="1" ht="24.95" customHeight="1" spans="1:19">
      <c r="A984" s="15"/>
      <c r="B984" s="55"/>
      <c r="C984" s="56"/>
      <c r="D984" s="68">
        <v>46232</v>
      </c>
      <c r="E984" s="69"/>
      <c r="F984" s="69" t="s">
        <v>26</v>
      </c>
      <c r="G984" s="65" t="s">
        <v>27</v>
      </c>
      <c r="H984" s="65" t="s">
        <v>58</v>
      </c>
      <c r="I984" s="70" t="s">
        <v>523</v>
      </c>
      <c r="J984" s="71"/>
      <c r="K984" s="71">
        <v>8000</v>
      </c>
      <c r="L984" s="72">
        <f>IFERROR(IF(G984="","",VLOOKUP($G984,[1]基础信息!$B:$C,2,FALSE)+SUMIF(G$8:G984,G984,J$8:J984)-SUMIF(G$8:G984,G984,K$8:K984)+SUMIFS([1]内部转账!$G:$G,[1]内部转账!$C:$C,"&lt;="&amp;$D984,[1]内部转账!$E:$E,$G984)-SUMIFS([1]内部转账!$G:$G,[1]内部转账!$C:$C,"&lt;="&amp;$D984,[1]内部转账!$F:$F,$G984)),"")</f>
        <v>53173.3799999962</v>
      </c>
      <c r="M984" s="64" t="s">
        <v>150</v>
      </c>
      <c r="N984" s="69"/>
      <c r="O984" s="64"/>
      <c r="P984" s="64" t="s">
        <v>483</v>
      </c>
      <c r="Q984" s="69"/>
      <c r="R984" s="69"/>
      <c r="S984" s="69"/>
    </row>
    <row r="985" s="2" customFormat="1" ht="24.95" customHeight="1" spans="1:19">
      <c r="A985" s="15"/>
      <c r="B985" s="55"/>
      <c r="C985" s="56"/>
      <c r="D985" s="68">
        <v>46234</v>
      </c>
      <c r="E985" s="69"/>
      <c r="F985" s="69" t="s">
        <v>26</v>
      </c>
      <c r="G985" s="65" t="s">
        <v>27</v>
      </c>
      <c r="H985" s="65" t="s">
        <v>115</v>
      </c>
      <c r="I985" s="70" t="s">
        <v>524</v>
      </c>
      <c r="J985" s="71"/>
      <c r="K985" s="71">
        <v>8000</v>
      </c>
      <c r="L985" s="72">
        <f>IFERROR(IF(G985="","",VLOOKUP($G985,[1]基础信息!$B:$C,2,FALSE)+SUMIF(G$8:G985,G985,J$8:J985)-SUMIF(G$8:G985,G985,K$8:K985)+SUMIFS([1]内部转账!$G:$G,[1]内部转账!$C:$C,"&lt;="&amp;$D985,[1]内部转账!$E:$E,$G985)-SUMIFS([1]内部转账!$G:$G,[1]内部转账!$C:$C,"&lt;="&amp;$D985,[1]内部转账!$F:$F,$G985)),"")</f>
        <v>45173.3799999962</v>
      </c>
      <c r="M985" s="64" t="s">
        <v>206</v>
      </c>
      <c r="N985" s="69"/>
      <c r="O985" s="64"/>
      <c r="P985" s="64" t="s">
        <v>237</v>
      </c>
      <c r="Q985" s="69"/>
      <c r="R985" s="69"/>
      <c r="S985" s="69"/>
    </row>
    <row r="986" s="2" customFormat="1" ht="24.95" customHeight="1" spans="1:19">
      <c r="A986" s="15"/>
      <c r="B986" s="55"/>
      <c r="C986" s="56"/>
      <c r="D986" s="68">
        <v>46234</v>
      </c>
      <c r="E986" s="69"/>
      <c r="F986" s="69" t="s">
        <v>26</v>
      </c>
      <c r="G986" s="65" t="s">
        <v>27</v>
      </c>
      <c r="H986" s="65" t="s">
        <v>115</v>
      </c>
      <c r="I986" s="70" t="s">
        <v>524</v>
      </c>
      <c r="J986" s="71"/>
      <c r="K986" s="71">
        <v>-8000</v>
      </c>
      <c r="L986" s="72">
        <f>IFERROR(IF(G986="","",VLOOKUP($G986,[1]基础信息!$B:$C,2,FALSE)+SUMIF(G$8:G986,G986,J$8:J986)-SUMIF(G$8:G986,G986,K$8:K986)+SUMIFS([1]内部转账!$G:$G,[1]内部转账!$C:$C,"&lt;="&amp;$D986,[1]内部转账!$E:$E,$G986)-SUMIFS([1]内部转账!$G:$G,[1]内部转账!$C:$C,"&lt;="&amp;$D986,[1]内部转账!$F:$F,$G986)),"")</f>
        <v>53173.3799999962</v>
      </c>
      <c r="M986" s="64" t="s">
        <v>206</v>
      </c>
      <c r="N986" s="69"/>
      <c r="O986" s="64"/>
      <c r="P986" s="64" t="s">
        <v>237</v>
      </c>
      <c r="Q986" s="69"/>
      <c r="R986" s="69"/>
      <c r="S986" s="69"/>
    </row>
    <row r="987" s="2" customFormat="1" ht="24.95" customHeight="1" spans="1:19">
      <c r="A987" s="15"/>
      <c r="B987" s="55"/>
      <c r="C987" s="56"/>
      <c r="D987" s="68">
        <v>46234</v>
      </c>
      <c r="E987" s="69"/>
      <c r="F987" s="69" t="s">
        <v>26</v>
      </c>
      <c r="G987" s="65" t="s">
        <v>27</v>
      </c>
      <c r="H987" s="65" t="s">
        <v>115</v>
      </c>
      <c r="I987" s="70" t="s">
        <v>524</v>
      </c>
      <c r="J987" s="71"/>
      <c r="K987" s="71">
        <v>8000</v>
      </c>
      <c r="L987" s="72">
        <f>IFERROR(IF(G987="","",VLOOKUP($G987,[1]基础信息!$B:$C,2,FALSE)+SUMIF(G$8:G987,G987,J$8:J987)-SUMIF(G$8:G987,G987,K$8:K987)+SUMIFS([1]内部转账!$G:$G,[1]内部转账!$C:$C,"&lt;="&amp;$D987,[1]内部转账!$E:$E,$G987)-SUMIFS([1]内部转账!$G:$G,[1]内部转账!$C:$C,"&lt;="&amp;$D987,[1]内部转账!$F:$F,$G987)),"")</f>
        <v>45173.3799999962</v>
      </c>
      <c r="M987" s="64" t="s">
        <v>206</v>
      </c>
      <c r="N987" s="69"/>
      <c r="O987" s="64"/>
      <c r="P987" s="64" t="s">
        <v>237</v>
      </c>
      <c r="Q987" s="69"/>
      <c r="R987" s="69"/>
      <c r="S987" s="69"/>
    </row>
    <row r="988" s="2" customFormat="1" ht="53" customHeight="1" spans="1:19">
      <c r="A988" s="15"/>
      <c r="B988" s="55"/>
      <c r="C988" s="56"/>
      <c r="D988" s="68">
        <v>46234</v>
      </c>
      <c r="E988" s="69"/>
      <c r="F988" s="69" t="s">
        <v>26</v>
      </c>
      <c r="G988" s="65" t="s">
        <v>27</v>
      </c>
      <c r="H988" s="65" t="s">
        <v>58</v>
      </c>
      <c r="I988" s="70" t="s">
        <v>525</v>
      </c>
      <c r="J988" s="71"/>
      <c r="K988" s="71">
        <v>1120</v>
      </c>
      <c r="L988" s="72">
        <f>IFERROR(IF(G988="","",VLOOKUP($G988,[1]基础信息!$B:$C,2,FALSE)+SUMIF(G$8:G988,G988,J$8:J988)-SUMIF(G$8:G988,G988,K$8:K988)+SUMIFS([1]内部转账!$G:$G,[1]内部转账!$C:$C,"&lt;="&amp;$D988,[1]内部转账!$E:$E,$G988)-SUMIFS([1]内部转账!$G:$G,[1]内部转账!$C:$C,"&lt;="&amp;$D988,[1]内部转账!$F:$F,$G988)),"")</f>
        <v>44053.3799999962</v>
      </c>
      <c r="M988" s="64" t="s">
        <v>235</v>
      </c>
      <c r="N988" s="69"/>
      <c r="O988" s="64"/>
      <c r="P988" s="64" t="s">
        <v>526</v>
      </c>
      <c r="Q988" s="69"/>
      <c r="R988" s="69"/>
      <c r="S988" s="69"/>
    </row>
    <row r="989" s="2" customFormat="1" ht="24.95" customHeight="1" spans="1:19">
      <c r="A989" s="15"/>
      <c r="B989" s="55"/>
      <c r="C989" s="56"/>
      <c r="D989" s="68">
        <v>46234</v>
      </c>
      <c r="E989" s="69"/>
      <c r="F989" s="69" t="s">
        <v>26</v>
      </c>
      <c r="G989" s="65" t="s">
        <v>27</v>
      </c>
      <c r="H989" s="65" t="s">
        <v>33</v>
      </c>
      <c r="I989" s="70" t="s">
        <v>527</v>
      </c>
      <c r="J989" s="71"/>
      <c r="K989" s="71">
        <v>950</v>
      </c>
      <c r="L989" s="72">
        <f>IFERROR(IF(G989="","",VLOOKUP($G989,[1]基础信息!$B:$C,2,FALSE)+SUMIF(G$8:G989,G989,J$8:J989)-SUMIF(G$8:G989,G989,K$8:K989)+SUMIFS([1]内部转账!$G:$G,[1]内部转账!$C:$C,"&lt;="&amp;$D989,[1]内部转账!$E:$E,$G989)-SUMIFS([1]内部转账!$G:$G,[1]内部转账!$C:$C,"&lt;="&amp;$D989,[1]内部转账!$F:$F,$G989)),"")</f>
        <v>43103.3799999962</v>
      </c>
      <c r="M989" s="64" t="s">
        <v>35</v>
      </c>
      <c r="N989" s="69"/>
      <c r="O989" s="64"/>
      <c r="P989" s="64"/>
      <c r="Q989" s="69"/>
      <c r="R989" s="69"/>
      <c r="S989" s="69"/>
    </row>
    <row r="990" s="2" customFormat="1" ht="24.95" customHeight="1" spans="1:19">
      <c r="A990" s="15"/>
      <c r="B990" s="55"/>
      <c r="C990" s="56"/>
      <c r="D990" s="68">
        <v>46234</v>
      </c>
      <c r="E990" s="69"/>
      <c r="F990" s="69" t="s">
        <v>26</v>
      </c>
      <c r="G990" s="65" t="s">
        <v>27</v>
      </c>
      <c r="H990" s="65" t="s">
        <v>53</v>
      </c>
      <c r="I990" s="70" t="s">
        <v>179</v>
      </c>
      <c r="J990" s="71"/>
      <c r="K990" s="71">
        <v>2000</v>
      </c>
      <c r="L990" s="72">
        <f>IFERROR(IF(G990="","",VLOOKUP($G990,[1]基础信息!$B:$C,2,FALSE)+SUMIF(G$8:G990,G990,J$8:J990)-SUMIF(G$8:G990,G990,K$8:K990)+SUMIFS([1]内部转账!$G:$G,[1]内部转账!$C:$C,"&lt;="&amp;$D990,[1]内部转账!$E:$E,$G990)-SUMIFS([1]内部转账!$G:$G,[1]内部转账!$C:$C,"&lt;="&amp;$D990,[1]内部转账!$F:$F,$G990)),"")</f>
        <v>41103.3799999962</v>
      </c>
      <c r="M990" s="64" t="s">
        <v>35</v>
      </c>
      <c r="N990" s="69" t="s">
        <v>179</v>
      </c>
      <c r="O990" s="64"/>
      <c r="P990" s="64"/>
      <c r="Q990" s="69"/>
      <c r="R990" s="69"/>
      <c r="S990" s="69"/>
    </row>
    <row r="991" s="2" customFormat="1" ht="24.95" customHeight="1" spans="1:19">
      <c r="A991" s="15"/>
      <c r="B991" s="55"/>
      <c r="C991" s="56"/>
      <c r="D991" s="68">
        <v>46234</v>
      </c>
      <c r="E991" s="69"/>
      <c r="F991" s="69" t="s">
        <v>26</v>
      </c>
      <c r="G991" s="65" t="s">
        <v>27</v>
      </c>
      <c r="H991" s="65" t="s">
        <v>28</v>
      </c>
      <c r="I991" s="70" t="s">
        <v>432</v>
      </c>
      <c r="J991" s="71"/>
      <c r="K991" s="71">
        <v>40000</v>
      </c>
      <c r="L991" s="72">
        <f>IFERROR(IF(G991="","",VLOOKUP($G991,[1]基础信息!$B:$C,2,FALSE)+SUMIF(G$8:G991,G991,J$8:J991)-SUMIF(G$8:G991,G991,K$8:K991)+SUMIFS([1]内部转账!$G:$G,[1]内部转账!$C:$C,"&lt;="&amp;$D991,[1]内部转账!$E:$E,$G991)-SUMIFS([1]内部转账!$G:$G,[1]内部转账!$C:$C,"&lt;="&amp;$D991,[1]内部转账!$F:$F,$G991)),"")</f>
        <v>1103.37999999616</v>
      </c>
      <c r="M991" s="64" t="s">
        <v>30</v>
      </c>
      <c r="N991" s="69" t="s">
        <v>31</v>
      </c>
      <c r="O991" s="64"/>
      <c r="P991" s="64"/>
      <c r="Q991" s="69"/>
      <c r="R991" s="69"/>
      <c r="S991" s="69"/>
    </row>
    <row r="992" s="2" customFormat="1" ht="24.95" customHeight="1" spans="1:19">
      <c r="A992" s="15"/>
      <c r="B992" s="55"/>
      <c r="C992" s="56"/>
      <c r="D992" s="68">
        <v>46234</v>
      </c>
      <c r="E992" s="69"/>
      <c r="F992" s="69" t="s">
        <v>26</v>
      </c>
      <c r="G992" s="65" t="s">
        <v>27</v>
      </c>
      <c r="H992" s="65" t="s">
        <v>62</v>
      </c>
      <c r="I992" s="70" t="s">
        <v>258</v>
      </c>
      <c r="J992" s="71"/>
      <c r="K992" s="71">
        <v>462</v>
      </c>
      <c r="L992" s="72">
        <f>IFERROR(IF(G992="","",VLOOKUP($G992,[1]基础信息!$B:$C,2,FALSE)+SUMIF(G$8:G992,G992,J$8:J992)-SUMIF(G$8:G992,G992,K$8:K992)+SUMIFS([1]内部转账!$G:$G,[1]内部转账!$C:$C,"&lt;="&amp;$D992,[1]内部转账!$E:$E,$G992)-SUMIFS([1]内部转账!$G:$G,[1]内部转账!$C:$C,"&lt;="&amp;$D992,[1]内部转账!$F:$F,$G992)),"")</f>
        <v>641.379999996163</v>
      </c>
      <c r="M992" s="64" t="s">
        <v>206</v>
      </c>
      <c r="N992" s="69"/>
      <c r="O992" s="64"/>
      <c r="P992" s="64" t="s">
        <v>259</v>
      </c>
      <c r="Q992" s="69"/>
      <c r="R992" s="69"/>
      <c r="S992" s="69"/>
    </row>
    <row r="993" s="2" customFormat="1" ht="24.95" customHeight="1" spans="1:19">
      <c r="A993" s="15"/>
      <c r="B993" s="55"/>
      <c r="C993" s="56"/>
      <c r="D993" s="68">
        <v>46222</v>
      </c>
      <c r="E993" s="69"/>
      <c r="F993" s="69" t="s">
        <v>26</v>
      </c>
      <c r="G993" s="65" t="s">
        <v>400</v>
      </c>
      <c r="H993" s="65" t="s">
        <v>490</v>
      </c>
      <c r="I993" s="70" t="s">
        <v>491</v>
      </c>
      <c r="J993" s="71"/>
      <c r="K993" s="71">
        <v>-1100</v>
      </c>
      <c r="L993" s="72">
        <f>IFERROR(IF(G993="","",VLOOKUP($G993,[1]基础信息!$B:$C,2,FALSE)+SUMIF(G$8:G993,G993,J$8:J993)-SUMIF(G$8:G993,G993,K$8:K993)+SUMIFS([1]内部转账!$G:$G,[1]内部转账!$C:$C,"&lt;="&amp;$D993,[1]内部转账!$E:$E,$G993)-SUMIFS([1]内部转账!$G:$G,[1]内部转账!$C:$C,"&lt;="&amp;$D993,[1]内部转账!$F:$F,$G993)),"")</f>
        <v>1120.96000000002</v>
      </c>
      <c r="M993" s="64" t="s">
        <v>30</v>
      </c>
      <c r="N993" s="69" t="s">
        <v>98</v>
      </c>
      <c r="O993" s="64"/>
      <c r="P993" s="64"/>
      <c r="Q993" s="69"/>
      <c r="R993" s="69"/>
      <c r="S993" s="69"/>
    </row>
    <row r="994" s="2" customFormat="1" ht="24.95" customHeight="1" spans="1:19">
      <c r="A994" s="15"/>
      <c r="B994" s="55"/>
      <c r="C994" s="56"/>
      <c r="D994" s="68">
        <v>46224</v>
      </c>
      <c r="E994" s="69"/>
      <c r="F994" s="69" t="s">
        <v>26</v>
      </c>
      <c r="G994" s="65" t="s">
        <v>400</v>
      </c>
      <c r="H994" s="65" t="s">
        <v>435</v>
      </c>
      <c r="I994" s="70" t="s">
        <v>436</v>
      </c>
      <c r="J994" s="71"/>
      <c r="K994" s="71">
        <v>1052.92</v>
      </c>
      <c r="L994" s="72">
        <f>IFERROR(IF(G994="","",VLOOKUP($G994,[1]基础信息!$B:$C,2,FALSE)+SUMIF(G$8:G994,G994,J$8:J994)-SUMIF(G$8:G994,G994,K$8:K994)+SUMIFS([1]内部转账!$G:$G,[1]内部转账!$C:$C,"&lt;="&amp;$D994,[1]内部转账!$E:$E,$G994)-SUMIFS([1]内部转账!$G:$G,[1]内部转账!$C:$C,"&lt;="&amp;$D994,[1]内部转账!$F:$F,$G994)),"")</f>
        <v>68.0400000000373</v>
      </c>
      <c r="M994" s="64" t="s">
        <v>402</v>
      </c>
      <c r="N994" s="69"/>
      <c r="O994" s="64"/>
      <c r="P994" s="64"/>
      <c r="Q994" s="69"/>
      <c r="R994" s="69"/>
      <c r="S994" s="69"/>
    </row>
    <row r="995" s="2" customFormat="1" ht="24.95" customHeight="1" spans="1:19">
      <c r="A995" s="15"/>
      <c r="B995" s="55"/>
      <c r="C995" s="56"/>
      <c r="D995" s="68">
        <v>46242</v>
      </c>
      <c r="E995" s="69"/>
      <c r="F995" s="69" t="s">
        <v>26</v>
      </c>
      <c r="G995" s="65" t="s">
        <v>27</v>
      </c>
      <c r="H995" s="65" t="s">
        <v>28</v>
      </c>
      <c r="I995" s="70" t="s">
        <v>29</v>
      </c>
      <c r="J995" s="71"/>
      <c r="K995" s="71">
        <v>-600</v>
      </c>
      <c r="L995" s="72">
        <f>IFERROR(IF(G995="","",VLOOKUP($G995,[1]基础信息!$B:$C,2,FALSE)+SUMIF(G$8:G995,G995,J$8:J995)-SUMIF(G$8:G995,G995,K$8:K995)+SUMIFS([1]内部转账!$G:$G,[1]内部转账!$C:$C,"&lt;="&amp;$D995,[1]内部转账!$E:$E,$G995)-SUMIFS([1]内部转账!$G:$G,[1]内部转账!$C:$C,"&lt;="&amp;$D995,[1]内部转账!$F:$F,$G995)),"")</f>
        <v>1241.37999999616</v>
      </c>
      <c r="M995" s="64" t="s">
        <v>30</v>
      </c>
      <c r="N995" s="69" t="s">
        <v>31</v>
      </c>
      <c r="O995" s="64"/>
      <c r="P995" s="64"/>
      <c r="Q995" s="69"/>
      <c r="R995" s="69"/>
      <c r="S995" s="69"/>
    </row>
    <row r="996" s="2" customFormat="1" ht="24.95" customHeight="1" spans="1:19">
      <c r="A996" s="15"/>
      <c r="B996" s="55"/>
      <c r="C996" s="56"/>
      <c r="D996" s="68">
        <v>46242</v>
      </c>
      <c r="E996" s="69"/>
      <c r="F996" s="69" t="s">
        <v>26</v>
      </c>
      <c r="G996" s="65" t="s">
        <v>27</v>
      </c>
      <c r="H996" s="65" t="s">
        <v>46</v>
      </c>
      <c r="I996" s="70" t="s">
        <v>528</v>
      </c>
      <c r="J996" s="71"/>
      <c r="K996" s="71">
        <v>1040</v>
      </c>
      <c r="L996" s="72">
        <f>IFERROR(IF(G996="","",VLOOKUP($G996,[1]基础信息!$B:$C,2,FALSE)+SUMIF(G$8:G996,G996,J$8:J996)-SUMIF(G$8:G996,G996,K$8:K996)+SUMIFS([1]内部转账!$G:$G,[1]内部转账!$C:$C,"&lt;="&amp;$D996,[1]内部转账!$E:$E,$G996)-SUMIFS([1]内部转账!$G:$G,[1]内部转账!$C:$C,"&lt;="&amp;$D996,[1]内部转账!$F:$F,$G996)),"")</f>
        <v>201.379999996163</v>
      </c>
      <c r="M996" s="64" t="s">
        <v>150</v>
      </c>
      <c r="N996" s="69"/>
      <c r="O996" s="64"/>
      <c r="P996" s="64"/>
      <c r="Q996" s="69"/>
      <c r="R996" s="69"/>
      <c r="S996" s="69"/>
    </row>
    <row r="997" s="2" customFormat="1" ht="24.95" customHeight="1" spans="1:19">
      <c r="A997" s="15"/>
      <c r="B997" s="55"/>
      <c r="C997" s="56"/>
      <c r="D997" s="68">
        <v>46254</v>
      </c>
      <c r="E997" s="69"/>
      <c r="F997" s="69" t="s">
        <v>26</v>
      </c>
      <c r="G997" s="65" t="s">
        <v>27</v>
      </c>
      <c r="H997" s="65" t="s">
        <v>213</v>
      </c>
      <c r="I997" s="70" t="s">
        <v>214</v>
      </c>
      <c r="J997" s="71"/>
      <c r="K997" s="71">
        <v>-1500</v>
      </c>
      <c r="L997" s="72">
        <f>IFERROR(IF(G997="","",VLOOKUP($G997,[1]基础信息!$B:$C,2,FALSE)+SUMIF(G$8:G997,G997,J$8:J997)-SUMIF(G$8:G997,G997,K$8:K997)+SUMIFS([1]内部转账!$G:$G,[1]内部转账!$C:$C,"&lt;="&amp;$D997,[1]内部转账!$E:$E,$G997)-SUMIFS([1]内部转账!$G:$G,[1]内部转账!$C:$C,"&lt;="&amp;$D997,[1]内部转账!$F:$F,$G997)),"")</f>
        <v>1701.37999999616</v>
      </c>
      <c r="M997" s="64" t="s">
        <v>30</v>
      </c>
      <c r="N997" s="69" t="s">
        <v>92</v>
      </c>
      <c r="O997" s="64"/>
      <c r="P997" s="64"/>
      <c r="Q997" s="69"/>
      <c r="R997" s="69"/>
      <c r="S997" s="69"/>
    </row>
    <row r="998" s="2" customFormat="1" ht="24.95" customHeight="1" spans="1:19">
      <c r="A998" s="15"/>
      <c r="B998" s="55"/>
      <c r="C998" s="56"/>
      <c r="D998" s="68">
        <v>46255</v>
      </c>
      <c r="E998" s="69"/>
      <c r="F998" s="69" t="s">
        <v>26</v>
      </c>
      <c r="G998" s="65" t="s">
        <v>27</v>
      </c>
      <c r="H998" s="65" t="s">
        <v>62</v>
      </c>
      <c r="I998" s="70" t="s">
        <v>529</v>
      </c>
      <c r="J998" s="71"/>
      <c r="K998" s="71">
        <v>1470</v>
      </c>
      <c r="L998" s="72">
        <f>IFERROR(IF(G998="","",VLOOKUP($G998,[1]基础信息!$B:$C,2,FALSE)+SUMIF(G$8:G998,G998,J$8:J998)-SUMIF(G$8:G998,G998,K$8:K998)+SUMIFS([1]内部转账!$G:$G,[1]内部转账!$C:$C,"&lt;="&amp;$D998,[1]内部转账!$E:$E,$G998)-SUMIFS([1]内部转账!$G:$G,[1]内部转账!$C:$C,"&lt;="&amp;$D998,[1]内部转账!$F:$F,$G998)),"")</f>
        <v>231.379999996163</v>
      </c>
      <c r="M998" s="64" t="s">
        <v>317</v>
      </c>
      <c r="N998" s="69"/>
      <c r="O998" s="64"/>
      <c r="P998" s="64"/>
      <c r="Q998" s="69"/>
      <c r="R998" s="69"/>
      <c r="S998" s="69"/>
    </row>
    <row r="999" s="2" customFormat="1" ht="24.95" customHeight="1" spans="1:19">
      <c r="A999" s="15"/>
      <c r="B999" s="55"/>
      <c r="C999" s="56"/>
      <c r="D999" s="68">
        <v>46259</v>
      </c>
      <c r="E999" s="69"/>
      <c r="F999" s="69" t="s">
        <v>26</v>
      </c>
      <c r="G999" s="65" t="s">
        <v>27</v>
      </c>
      <c r="H999" s="65" t="s">
        <v>28</v>
      </c>
      <c r="I999" s="70" t="s">
        <v>29</v>
      </c>
      <c r="J999" s="71"/>
      <c r="K999" s="71">
        <v>-2000</v>
      </c>
      <c r="L999" s="72">
        <f>IFERROR(IF(G999="","",VLOOKUP($G999,[1]基础信息!$B:$C,2,FALSE)+SUMIF(G$8:G999,G999,J$8:J999)-SUMIF(G$8:G999,G999,K$8:K999)+SUMIFS([1]内部转账!$G:$G,[1]内部转账!$C:$C,"&lt;="&amp;$D999,[1]内部转账!$E:$E,$G999)-SUMIFS([1]内部转账!$G:$G,[1]内部转账!$C:$C,"&lt;="&amp;$D999,[1]内部转账!$F:$F,$G999)),"")</f>
        <v>2231.37999999616</v>
      </c>
      <c r="M999" s="64" t="s">
        <v>30</v>
      </c>
      <c r="N999" s="69" t="s">
        <v>31</v>
      </c>
      <c r="O999" s="64"/>
      <c r="P999" s="64"/>
      <c r="Q999" s="69"/>
      <c r="R999" s="69"/>
      <c r="S999" s="69"/>
    </row>
    <row r="1000" s="2" customFormat="1" ht="24.95" customHeight="1" spans="1:19">
      <c r="A1000" s="15"/>
      <c r="B1000" s="55"/>
      <c r="C1000" s="56"/>
      <c r="D1000" s="68">
        <v>46259</v>
      </c>
      <c r="E1000" s="69"/>
      <c r="F1000" s="69" t="s">
        <v>26</v>
      </c>
      <c r="G1000" s="65" t="s">
        <v>27</v>
      </c>
      <c r="H1000" s="65" t="s">
        <v>439</v>
      </c>
      <c r="I1000" s="70" t="s">
        <v>440</v>
      </c>
      <c r="J1000" s="71"/>
      <c r="K1000" s="71">
        <v>1019.48</v>
      </c>
      <c r="L1000" s="72">
        <f>IFERROR(IF(G1000="","",VLOOKUP($G1000,[1]基础信息!$B:$C,2,FALSE)+SUMIF(G$8:G1000,G1000,J$8:J1000)-SUMIF(G$8:G1000,G1000,K$8:K1000)+SUMIFS([1]内部转账!$G:$G,[1]内部转账!$C:$C,"&lt;="&amp;$D1000,[1]内部转账!$E:$E,$G1000)-SUMIFS([1]内部转账!$G:$G,[1]内部转账!$C:$C,"&lt;="&amp;$D1000,[1]内部转账!$F:$F,$G1000)),"")</f>
        <v>1211.89999999572</v>
      </c>
      <c r="M1000" s="64" t="s">
        <v>441</v>
      </c>
      <c r="N1000" s="69" t="s">
        <v>441</v>
      </c>
      <c r="O1000" s="64"/>
      <c r="P1000" s="64"/>
      <c r="Q1000" s="69"/>
      <c r="R1000" s="69"/>
      <c r="S1000" s="69"/>
    </row>
    <row r="1001" s="2" customFormat="1" ht="24.95" customHeight="1" spans="1:19">
      <c r="A1001" s="15"/>
      <c r="B1001" s="55"/>
      <c r="C1001" s="56"/>
      <c r="D1001" s="68">
        <v>46259</v>
      </c>
      <c r="E1001" s="69"/>
      <c r="F1001" s="69" t="s">
        <v>26</v>
      </c>
      <c r="G1001" s="65" t="s">
        <v>27</v>
      </c>
      <c r="H1001" s="65" t="s">
        <v>83</v>
      </c>
      <c r="I1001" s="70" t="s">
        <v>421</v>
      </c>
      <c r="J1001" s="71"/>
      <c r="K1001" s="71">
        <v>1019.48</v>
      </c>
      <c r="L1001" s="72">
        <f>IFERROR(IF(G1001="","",VLOOKUP($G1001,[1]基础信息!$B:$C,2,FALSE)+SUMIF(G$8:G1001,G1001,J$8:J1001)-SUMIF(G$8:G1001,G1001,K$8:K1001)+SUMIFS([1]内部转账!$G:$G,[1]内部转账!$C:$C,"&lt;="&amp;$D1001,[1]内部转账!$E:$E,$G1001)-SUMIFS([1]内部转账!$G:$G,[1]内部转账!$C:$C,"&lt;="&amp;$D1001,[1]内部转账!$F:$F,$G1001)),"")</f>
        <v>192.419999995269</v>
      </c>
      <c r="M1001" s="64" t="s">
        <v>35</v>
      </c>
      <c r="N1001" s="69" t="s">
        <v>422</v>
      </c>
      <c r="O1001" s="64"/>
      <c r="P1001" s="64" t="s">
        <v>423</v>
      </c>
      <c r="Q1001" s="69"/>
      <c r="R1001" s="69"/>
      <c r="S1001" s="69"/>
    </row>
    <row r="1002" s="2" customFormat="1" ht="24.95" customHeight="1" spans="1:19">
      <c r="A1002" s="15"/>
      <c r="B1002" s="55"/>
      <c r="C1002" s="56"/>
      <c r="D1002" s="68">
        <v>46262</v>
      </c>
      <c r="E1002" s="69"/>
      <c r="F1002" s="69" t="s">
        <v>42</v>
      </c>
      <c r="G1002" s="65" t="s">
        <v>27</v>
      </c>
      <c r="H1002" s="65" t="s">
        <v>43</v>
      </c>
      <c r="I1002" s="70" t="s">
        <v>530</v>
      </c>
      <c r="J1002" s="71">
        <v>650862.4</v>
      </c>
      <c r="K1002" s="71"/>
      <c r="L1002" s="72">
        <f>IFERROR(IF(G1002="","",VLOOKUP($G1002,[1]基础信息!$B:$C,2,FALSE)+SUMIF(G$8:G1002,G1002,J$8:J1002)-SUMIF(G$8:G1002,G1002,K$8:K1002)+SUMIFS([1]内部转账!$G:$G,[1]内部转账!$C:$C,"&lt;="&amp;$D1002,[1]内部转账!$E:$E,$G1002)-SUMIFS([1]内部转账!$G:$G,[1]内部转账!$C:$C,"&lt;="&amp;$D1002,[1]内部转账!$F:$F,$G1002)),"")</f>
        <v>651054.819999996</v>
      </c>
      <c r="M1002" s="64" t="s">
        <v>531</v>
      </c>
      <c r="N1002" s="69"/>
      <c r="O1002" s="64" t="s">
        <v>532</v>
      </c>
      <c r="P1002" s="64"/>
      <c r="Q1002" s="69"/>
      <c r="R1002" s="69"/>
      <c r="S1002" s="69"/>
    </row>
    <row r="1003" s="2" customFormat="1" ht="24.95" customHeight="1" spans="1:19">
      <c r="A1003" s="15"/>
      <c r="B1003" s="55"/>
      <c r="C1003" s="56"/>
      <c r="D1003" s="68">
        <v>46262</v>
      </c>
      <c r="E1003" s="69"/>
      <c r="F1003" s="69" t="s">
        <v>42</v>
      </c>
      <c r="G1003" s="65" t="s">
        <v>27</v>
      </c>
      <c r="H1003" s="65" t="s">
        <v>43</v>
      </c>
      <c r="I1003" s="70" t="s">
        <v>533</v>
      </c>
      <c r="J1003" s="71">
        <v>51200</v>
      </c>
      <c r="K1003" s="71"/>
      <c r="L1003" s="72">
        <f>IFERROR(IF(G1003="","",VLOOKUP($G1003,[1]基础信息!$B:$C,2,FALSE)+SUMIF(G$8:G1003,G1003,J$8:J1003)-SUMIF(G$8:G1003,G1003,K$8:K1003)+SUMIFS([1]内部转账!$G:$G,[1]内部转账!$C:$C,"&lt;="&amp;$D1003,[1]内部转账!$E:$E,$G1003)-SUMIFS([1]内部转账!$G:$G,[1]内部转账!$C:$C,"&lt;="&amp;$D1003,[1]内部转账!$F:$F,$G1003)),"")</f>
        <v>702254.819999996</v>
      </c>
      <c r="M1003" s="64" t="s">
        <v>534</v>
      </c>
      <c r="N1003" s="69"/>
      <c r="O1003" s="64" t="s">
        <v>183</v>
      </c>
      <c r="P1003" s="64"/>
      <c r="Q1003" s="69"/>
      <c r="R1003" s="69"/>
      <c r="S1003" s="69"/>
    </row>
    <row r="1004" s="2" customFormat="1" ht="24.95" customHeight="1" spans="1:19">
      <c r="A1004" s="15"/>
      <c r="B1004" s="55"/>
      <c r="C1004" s="56"/>
      <c r="D1004" s="68">
        <v>46262</v>
      </c>
      <c r="E1004" s="69"/>
      <c r="F1004" s="69" t="s">
        <v>26</v>
      </c>
      <c r="G1004" s="65" t="s">
        <v>27</v>
      </c>
      <c r="H1004" s="65" t="s">
        <v>46</v>
      </c>
      <c r="I1004" s="70" t="s">
        <v>96</v>
      </c>
      <c r="J1004" s="71"/>
      <c r="K1004" s="71">
        <v>6000</v>
      </c>
      <c r="L1004" s="72">
        <f>IFERROR(IF(G1004="","",VLOOKUP($G1004,[1]基础信息!$B:$C,2,FALSE)+SUMIF(G$8:G1004,G1004,J$8:J1004)-SUMIF(G$8:G1004,G1004,K$8:K1004)+SUMIFS([1]内部转账!$G:$G,[1]内部转账!$C:$C,"&lt;="&amp;$D1004,[1]内部转账!$E:$E,$G1004)-SUMIFS([1]内部转账!$G:$G,[1]内部转账!$C:$C,"&lt;="&amp;$D1004,[1]内部转账!$F:$F,$G1004)),"")</f>
        <v>696254.819999996</v>
      </c>
      <c r="M1004" s="64" t="s">
        <v>150</v>
      </c>
      <c r="N1004" s="69"/>
      <c r="O1004" s="64" t="s">
        <v>151</v>
      </c>
      <c r="P1004" s="64"/>
      <c r="Q1004" s="69"/>
      <c r="R1004" s="69"/>
      <c r="S1004" s="69"/>
    </row>
    <row r="1005" s="2" customFormat="1" ht="24.95" customHeight="1" spans="1:19">
      <c r="A1005" s="15"/>
      <c r="B1005" s="55"/>
      <c r="C1005" s="56"/>
      <c r="D1005" s="68">
        <v>46262</v>
      </c>
      <c r="E1005" s="69"/>
      <c r="F1005" s="69" t="s">
        <v>26</v>
      </c>
      <c r="G1005" s="65" t="s">
        <v>27</v>
      </c>
      <c r="H1005" s="65" t="s">
        <v>46</v>
      </c>
      <c r="I1005" s="70" t="s">
        <v>127</v>
      </c>
      <c r="J1005" s="71"/>
      <c r="K1005" s="71">
        <v>5000</v>
      </c>
      <c r="L1005" s="72">
        <f>IFERROR(IF(G1005="","",VLOOKUP($G1005,[1]基础信息!$B:$C,2,FALSE)+SUMIF(G$8:G1005,G1005,J$8:J1005)-SUMIF(G$8:G1005,G1005,K$8:K1005)+SUMIFS([1]内部转账!$G:$G,[1]内部转账!$C:$C,"&lt;="&amp;$D1005,[1]内部转账!$E:$E,$G1005)-SUMIFS([1]内部转账!$G:$G,[1]内部转账!$C:$C,"&lt;="&amp;$D1005,[1]内部转账!$F:$F,$G1005)),"")</f>
        <v>691254.819999996</v>
      </c>
      <c r="M1005" s="64" t="s">
        <v>150</v>
      </c>
      <c r="N1005" s="69"/>
      <c r="O1005" s="64" t="s">
        <v>151</v>
      </c>
      <c r="P1005" s="64"/>
      <c r="Q1005" s="69"/>
      <c r="R1005" s="69"/>
      <c r="S1005" s="69"/>
    </row>
    <row r="1006" s="2" customFormat="1" ht="24.95" customHeight="1" spans="1:19">
      <c r="A1006" s="15"/>
      <c r="B1006" s="55"/>
      <c r="C1006" s="56"/>
      <c r="D1006" s="68">
        <v>46262</v>
      </c>
      <c r="E1006" s="69"/>
      <c r="F1006" s="69" t="s">
        <v>26</v>
      </c>
      <c r="G1006" s="65" t="s">
        <v>27</v>
      </c>
      <c r="H1006" s="65" t="s">
        <v>46</v>
      </c>
      <c r="I1006" s="70" t="s">
        <v>94</v>
      </c>
      <c r="J1006" s="71"/>
      <c r="K1006" s="71">
        <v>5000</v>
      </c>
      <c r="L1006" s="72">
        <f>IFERROR(IF(G1006="","",VLOOKUP($G1006,[1]基础信息!$B:$C,2,FALSE)+SUMIF(G$8:G1006,G1006,J$8:J1006)-SUMIF(G$8:G1006,G1006,K$8:K1006)+SUMIFS([1]内部转账!$G:$G,[1]内部转账!$C:$C,"&lt;="&amp;$D1006,[1]内部转账!$E:$E,$G1006)-SUMIFS([1]内部转账!$G:$G,[1]内部转账!$C:$C,"&lt;="&amp;$D1006,[1]内部转账!$F:$F,$G1006)),"")</f>
        <v>686254.819999996</v>
      </c>
      <c r="M1006" s="64" t="s">
        <v>150</v>
      </c>
      <c r="N1006" s="69"/>
      <c r="O1006" s="64" t="s">
        <v>151</v>
      </c>
      <c r="P1006" s="64"/>
      <c r="Q1006" s="69"/>
      <c r="R1006" s="69"/>
      <c r="S1006" s="69"/>
    </row>
    <row r="1007" s="2" customFormat="1" ht="24.95" customHeight="1" spans="1:19">
      <c r="A1007" s="15"/>
      <c r="B1007" s="55"/>
      <c r="C1007" s="56"/>
      <c r="D1007" s="68">
        <v>46262</v>
      </c>
      <c r="E1007" s="69"/>
      <c r="F1007" s="69" t="s">
        <v>26</v>
      </c>
      <c r="G1007" s="65" t="s">
        <v>27</v>
      </c>
      <c r="H1007" s="65" t="s">
        <v>46</v>
      </c>
      <c r="I1007" s="70" t="s">
        <v>131</v>
      </c>
      <c r="J1007" s="71"/>
      <c r="K1007" s="71">
        <v>5000</v>
      </c>
      <c r="L1007" s="72">
        <f>IFERROR(IF(G1007="","",VLOOKUP($G1007,[1]基础信息!$B:$C,2,FALSE)+SUMIF(G$8:G1007,G1007,J$8:J1007)-SUMIF(G$8:G1007,G1007,K$8:K1007)+SUMIFS([1]内部转账!$G:$G,[1]内部转账!$C:$C,"&lt;="&amp;$D1007,[1]内部转账!$E:$E,$G1007)-SUMIFS([1]内部转账!$G:$G,[1]内部转账!$C:$C,"&lt;="&amp;$D1007,[1]内部转账!$F:$F,$G1007)),"")</f>
        <v>681254.819999996</v>
      </c>
      <c r="M1007" s="64" t="s">
        <v>150</v>
      </c>
      <c r="N1007" s="69"/>
      <c r="O1007" s="64" t="s">
        <v>151</v>
      </c>
      <c r="P1007" s="64"/>
      <c r="Q1007" s="69"/>
      <c r="R1007" s="69"/>
      <c r="S1007" s="69"/>
    </row>
    <row r="1008" s="2" customFormat="1" ht="24.95" customHeight="1" spans="1:19">
      <c r="A1008" s="15"/>
      <c r="B1008" s="55"/>
      <c r="C1008" s="56"/>
      <c r="D1008" s="68">
        <v>46262</v>
      </c>
      <c r="E1008" s="69"/>
      <c r="F1008" s="69" t="s">
        <v>26</v>
      </c>
      <c r="G1008" s="65" t="s">
        <v>27</v>
      </c>
      <c r="H1008" s="65" t="s">
        <v>46</v>
      </c>
      <c r="I1008" s="70" t="s">
        <v>132</v>
      </c>
      <c r="J1008" s="71"/>
      <c r="K1008" s="71">
        <v>5000</v>
      </c>
      <c r="L1008" s="72">
        <f>IFERROR(IF(G1008="","",VLOOKUP($G1008,[1]基础信息!$B:$C,2,FALSE)+SUMIF(G$8:G1008,G1008,J$8:J1008)-SUMIF(G$8:G1008,G1008,K$8:K1008)+SUMIFS([1]内部转账!$G:$G,[1]内部转账!$C:$C,"&lt;="&amp;$D1008,[1]内部转账!$E:$E,$G1008)-SUMIFS([1]内部转账!$G:$G,[1]内部转账!$C:$C,"&lt;="&amp;$D1008,[1]内部转账!$F:$F,$G1008)),"")</f>
        <v>676254.819999996</v>
      </c>
      <c r="M1008" s="64" t="s">
        <v>150</v>
      </c>
      <c r="N1008" s="69"/>
      <c r="O1008" s="64" t="s">
        <v>151</v>
      </c>
      <c r="P1008" s="64"/>
      <c r="Q1008" s="69"/>
      <c r="R1008" s="69"/>
      <c r="S1008" s="69"/>
    </row>
    <row r="1009" s="2" customFormat="1" ht="24.95" customHeight="1" spans="1:19">
      <c r="A1009" s="15"/>
      <c r="B1009" s="55"/>
      <c r="C1009" s="56"/>
      <c r="D1009" s="68">
        <v>46262</v>
      </c>
      <c r="E1009" s="69"/>
      <c r="F1009" s="69" t="s">
        <v>26</v>
      </c>
      <c r="G1009" s="65" t="s">
        <v>27</v>
      </c>
      <c r="H1009" s="65" t="s">
        <v>46</v>
      </c>
      <c r="I1009" s="70" t="s">
        <v>309</v>
      </c>
      <c r="J1009" s="71"/>
      <c r="K1009" s="71">
        <v>3000</v>
      </c>
      <c r="L1009" s="72">
        <f>IFERROR(IF(G1009="","",VLOOKUP($G1009,[1]基础信息!$B:$C,2,FALSE)+SUMIF(G$8:G1009,G1009,J$8:J1009)-SUMIF(G$8:G1009,G1009,K$8:K1009)+SUMIFS([1]内部转账!$G:$G,[1]内部转账!$C:$C,"&lt;="&amp;$D1009,[1]内部转账!$E:$E,$G1009)-SUMIFS([1]内部转账!$G:$G,[1]内部转账!$C:$C,"&lt;="&amp;$D1009,[1]内部转账!$F:$F,$G1009)),"")</f>
        <v>673254.819999996</v>
      </c>
      <c r="M1009" s="64" t="s">
        <v>150</v>
      </c>
      <c r="N1009" s="69"/>
      <c r="O1009" s="64" t="s">
        <v>151</v>
      </c>
      <c r="P1009" s="64"/>
      <c r="Q1009" s="69"/>
      <c r="R1009" s="69"/>
      <c r="S1009" s="69"/>
    </row>
    <row r="1010" s="2" customFormat="1" ht="24.95" customHeight="1" spans="1:19">
      <c r="A1010" s="15"/>
      <c r="B1010" s="55"/>
      <c r="C1010" s="56"/>
      <c r="D1010" s="68">
        <v>46262</v>
      </c>
      <c r="E1010" s="69"/>
      <c r="F1010" s="69" t="s">
        <v>26</v>
      </c>
      <c r="G1010" s="65" t="s">
        <v>27</v>
      </c>
      <c r="H1010" s="65" t="s">
        <v>46</v>
      </c>
      <c r="I1010" s="70" t="s">
        <v>312</v>
      </c>
      <c r="J1010" s="71"/>
      <c r="K1010" s="71">
        <v>3000</v>
      </c>
      <c r="L1010" s="72">
        <f>IFERROR(IF(G1010="","",VLOOKUP($G1010,[1]基础信息!$B:$C,2,FALSE)+SUMIF(G$8:G1010,G1010,J$8:J1010)-SUMIF(G$8:G1010,G1010,K$8:K1010)+SUMIFS([1]内部转账!$G:$G,[1]内部转账!$C:$C,"&lt;="&amp;$D1010,[1]内部转账!$E:$E,$G1010)-SUMIFS([1]内部转账!$G:$G,[1]内部转账!$C:$C,"&lt;="&amp;$D1010,[1]内部转账!$F:$F,$G1010)),"")</f>
        <v>670254.819999996</v>
      </c>
      <c r="M1010" s="64" t="s">
        <v>150</v>
      </c>
      <c r="N1010" s="69"/>
      <c r="O1010" s="64" t="s">
        <v>151</v>
      </c>
      <c r="P1010" s="64"/>
      <c r="Q1010" s="69"/>
      <c r="R1010" s="69"/>
      <c r="S1010" s="69"/>
    </row>
    <row r="1011" s="2" customFormat="1" ht="24.95" customHeight="1" spans="1:19">
      <c r="A1011" s="15"/>
      <c r="B1011" s="55"/>
      <c r="C1011" s="56"/>
      <c r="D1011" s="68">
        <v>46262</v>
      </c>
      <c r="E1011" s="69"/>
      <c r="F1011" s="69" t="s">
        <v>26</v>
      </c>
      <c r="G1011" s="65" t="s">
        <v>27</v>
      </c>
      <c r="H1011" s="65" t="s">
        <v>46</v>
      </c>
      <c r="I1011" s="70" t="s">
        <v>74</v>
      </c>
      <c r="J1011" s="71"/>
      <c r="K1011" s="71">
        <v>5000</v>
      </c>
      <c r="L1011" s="72">
        <f>IFERROR(IF(G1011="","",VLOOKUP($G1011,[1]基础信息!$B:$C,2,FALSE)+SUMIF(G$8:G1011,G1011,J$8:J1011)-SUMIF(G$8:G1011,G1011,K$8:K1011)+SUMIFS([1]内部转账!$G:$G,[1]内部转账!$C:$C,"&lt;="&amp;$D1011,[1]内部转账!$E:$E,$G1011)-SUMIFS([1]内部转账!$G:$G,[1]内部转账!$C:$C,"&lt;="&amp;$D1011,[1]内部转账!$F:$F,$G1011)),"")</f>
        <v>665254.819999996</v>
      </c>
      <c r="M1011" s="64" t="s">
        <v>150</v>
      </c>
      <c r="N1011" s="69"/>
      <c r="O1011" s="64" t="s">
        <v>151</v>
      </c>
      <c r="P1011" s="64"/>
      <c r="Q1011" s="69"/>
      <c r="R1011" s="69"/>
      <c r="S1011" s="69"/>
    </row>
    <row r="1012" s="2" customFormat="1" ht="24.95" customHeight="1" spans="1:19">
      <c r="A1012" s="15"/>
      <c r="B1012" s="55"/>
      <c r="C1012" s="56"/>
      <c r="D1012" s="68">
        <v>46262</v>
      </c>
      <c r="E1012" s="69"/>
      <c r="F1012" s="69" t="s">
        <v>26</v>
      </c>
      <c r="G1012" s="65" t="s">
        <v>27</v>
      </c>
      <c r="H1012" s="65" t="s">
        <v>46</v>
      </c>
      <c r="I1012" s="70" t="s">
        <v>85</v>
      </c>
      <c r="J1012" s="71"/>
      <c r="K1012" s="71">
        <v>3000</v>
      </c>
      <c r="L1012" s="72">
        <f>IFERROR(IF(G1012="","",VLOOKUP($G1012,[1]基础信息!$B:$C,2,FALSE)+SUMIF(G$8:G1012,G1012,J$8:J1012)-SUMIF(G$8:G1012,G1012,K$8:K1012)+SUMIFS([1]内部转账!$G:$G,[1]内部转账!$C:$C,"&lt;="&amp;$D1012,[1]内部转账!$E:$E,$G1012)-SUMIFS([1]内部转账!$G:$G,[1]内部转账!$C:$C,"&lt;="&amp;$D1012,[1]内部转账!$F:$F,$G1012)),"")</f>
        <v>662254.819999996</v>
      </c>
      <c r="M1012" s="64" t="s">
        <v>150</v>
      </c>
      <c r="N1012" s="69"/>
      <c r="O1012" s="64" t="s">
        <v>151</v>
      </c>
      <c r="P1012" s="64"/>
      <c r="Q1012" s="69"/>
      <c r="R1012" s="69"/>
      <c r="S1012" s="69"/>
    </row>
    <row r="1013" s="2" customFormat="1" ht="24.95" customHeight="1" spans="1:19">
      <c r="A1013" s="15"/>
      <c r="B1013" s="55"/>
      <c r="C1013" s="56"/>
      <c r="D1013" s="68">
        <v>46262</v>
      </c>
      <c r="E1013" s="69"/>
      <c r="F1013" s="69" t="s">
        <v>26</v>
      </c>
      <c r="G1013" s="65" t="s">
        <v>27</v>
      </c>
      <c r="H1013" s="65" t="s">
        <v>46</v>
      </c>
      <c r="I1013" s="70" t="s">
        <v>201</v>
      </c>
      <c r="J1013" s="71"/>
      <c r="K1013" s="71">
        <v>2000</v>
      </c>
      <c r="L1013" s="72">
        <f>IFERROR(IF(G1013="","",VLOOKUP($G1013,[1]基础信息!$B:$C,2,FALSE)+SUMIF(G$8:G1013,G1013,J$8:J1013)-SUMIF(G$8:G1013,G1013,K$8:K1013)+SUMIFS([1]内部转账!$G:$G,[1]内部转账!$C:$C,"&lt;="&amp;$D1013,[1]内部转账!$E:$E,$G1013)-SUMIFS([1]内部转账!$G:$G,[1]内部转账!$C:$C,"&lt;="&amp;$D1013,[1]内部转账!$F:$F,$G1013)),"")</f>
        <v>660254.819999996</v>
      </c>
      <c r="M1013" s="64" t="s">
        <v>150</v>
      </c>
      <c r="N1013" s="69"/>
      <c r="O1013" s="64" t="s">
        <v>151</v>
      </c>
      <c r="P1013" s="64"/>
      <c r="Q1013" s="69"/>
      <c r="R1013" s="69"/>
      <c r="S1013" s="69"/>
    </row>
    <row r="1014" s="2" customFormat="1" ht="24.95" customHeight="1" spans="1:19">
      <c r="A1014" s="15"/>
      <c r="B1014" s="55"/>
      <c r="C1014" s="56"/>
      <c r="D1014" s="68">
        <v>46262</v>
      </c>
      <c r="E1014" s="69"/>
      <c r="F1014" s="69" t="s">
        <v>26</v>
      </c>
      <c r="G1014" s="65" t="s">
        <v>27</v>
      </c>
      <c r="H1014" s="65" t="s">
        <v>46</v>
      </c>
      <c r="I1014" s="70" t="s">
        <v>518</v>
      </c>
      <c r="J1014" s="71"/>
      <c r="K1014" s="71">
        <v>2000</v>
      </c>
      <c r="L1014" s="72">
        <f>IFERROR(IF(G1014="","",VLOOKUP($G1014,[1]基础信息!$B:$C,2,FALSE)+SUMIF(G$8:G1014,G1014,J$8:J1014)-SUMIF(G$8:G1014,G1014,K$8:K1014)+SUMIFS([1]内部转账!$G:$G,[1]内部转账!$C:$C,"&lt;="&amp;$D1014,[1]内部转账!$E:$E,$G1014)-SUMIFS([1]内部转账!$G:$G,[1]内部转账!$C:$C,"&lt;="&amp;$D1014,[1]内部转账!$F:$F,$G1014)),"")</f>
        <v>658254.819999996</v>
      </c>
      <c r="M1014" s="64" t="s">
        <v>150</v>
      </c>
      <c r="N1014" s="69"/>
      <c r="O1014" s="64" t="s">
        <v>151</v>
      </c>
      <c r="P1014" s="64"/>
      <c r="Q1014" s="69"/>
      <c r="R1014" s="69"/>
      <c r="S1014" s="69"/>
    </row>
    <row r="1015" s="2" customFormat="1" ht="24.95" customHeight="1" spans="1:19">
      <c r="A1015" s="15"/>
      <c r="B1015" s="55"/>
      <c r="C1015" s="56"/>
      <c r="D1015" s="68">
        <v>46262</v>
      </c>
      <c r="E1015" s="69"/>
      <c r="F1015" s="69" t="s">
        <v>26</v>
      </c>
      <c r="G1015" s="65" t="s">
        <v>27</v>
      </c>
      <c r="H1015" s="65" t="s">
        <v>46</v>
      </c>
      <c r="I1015" s="70" t="s">
        <v>65</v>
      </c>
      <c r="J1015" s="71"/>
      <c r="K1015" s="71">
        <v>10000</v>
      </c>
      <c r="L1015" s="72">
        <f>IFERROR(IF(G1015="","",VLOOKUP($G1015,[1]基础信息!$B:$C,2,FALSE)+SUMIF(G$8:G1015,G1015,J$8:J1015)-SUMIF(G$8:G1015,G1015,K$8:K1015)+SUMIFS([1]内部转账!$G:$G,[1]内部转账!$C:$C,"&lt;="&amp;$D1015,[1]内部转账!$E:$E,$G1015)-SUMIFS([1]内部转账!$G:$G,[1]内部转账!$C:$C,"&lt;="&amp;$D1015,[1]内部转账!$F:$F,$G1015)),"")</f>
        <v>648254.819999996</v>
      </c>
      <c r="M1015" s="64" t="s">
        <v>150</v>
      </c>
      <c r="N1015" s="69"/>
      <c r="O1015" s="64" t="s">
        <v>151</v>
      </c>
      <c r="P1015" s="64"/>
      <c r="Q1015" s="69"/>
      <c r="R1015" s="69"/>
      <c r="S1015" s="69"/>
    </row>
    <row r="1016" s="2" customFormat="1" ht="24.95" customHeight="1" spans="1:19">
      <c r="A1016" s="15"/>
      <c r="B1016" s="55"/>
      <c r="C1016" s="56"/>
      <c r="D1016" s="68">
        <v>46262</v>
      </c>
      <c r="E1016" s="69"/>
      <c r="F1016" s="69" t="s">
        <v>26</v>
      </c>
      <c r="G1016" s="65" t="s">
        <v>27</v>
      </c>
      <c r="H1016" s="65" t="s">
        <v>46</v>
      </c>
      <c r="I1016" s="70" t="s">
        <v>48</v>
      </c>
      <c r="J1016" s="71"/>
      <c r="K1016" s="71">
        <v>5000</v>
      </c>
      <c r="L1016" s="72">
        <f>IFERROR(IF(G1016="","",VLOOKUP($G1016,[1]基础信息!$B:$C,2,FALSE)+SUMIF(G$8:G1016,G1016,J$8:J1016)-SUMIF(G$8:G1016,G1016,K$8:K1016)+SUMIFS([1]内部转账!$G:$G,[1]内部转账!$C:$C,"&lt;="&amp;$D1016,[1]内部转账!$E:$E,$G1016)-SUMIFS([1]内部转账!$G:$G,[1]内部转账!$C:$C,"&lt;="&amp;$D1016,[1]内部转账!$F:$F,$G1016)),"")</f>
        <v>643254.819999996</v>
      </c>
      <c r="M1016" s="64" t="s">
        <v>150</v>
      </c>
      <c r="N1016" s="69"/>
      <c r="O1016" s="64" t="s">
        <v>151</v>
      </c>
      <c r="P1016" s="64"/>
      <c r="Q1016" s="69"/>
      <c r="R1016" s="69"/>
      <c r="S1016" s="69"/>
    </row>
    <row r="1017" s="2" customFormat="1" ht="24.95" customHeight="1" spans="1:19">
      <c r="A1017" s="15"/>
      <c r="B1017" s="55"/>
      <c r="C1017" s="56"/>
      <c r="D1017" s="68">
        <v>46262</v>
      </c>
      <c r="E1017" s="69"/>
      <c r="F1017" s="69" t="s">
        <v>26</v>
      </c>
      <c r="G1017" s="65" t="s">
        <v>27</v>
      </c>
      <c r="H1017" s="65" t="s">
        <v>83</v>
      </c>
      <c r="I1017" s="70" t="s">
        <v>535</v>
      </c>
      <c r="J1017" s="71"/>
      <c r="K1017" s="71">
        <v>93.94</v>
      </c>
      <c r="L1017" s="72">
        <f>IFERROR(IF(G1017="","",VLOOKUP($G1017,[1]基础信息!$B:$C,2,FALSE)+SUMIF(G$8:G1017,G1017,J$8:J1017)-SUMIF(G$8:G1017,G1017,K$8:K1017)+SUMIFS([1]内部转账!$G:$G,[1]内部转账!$C:$C,"&lt;="&amp;$D1017,[1]内部转账!$E:$E,$G1017)-SUMIFS([1]内部转账!$G:$G,[1]内部转账!$C:$C,"&lt;="&amp;$D1017,[1]内部转账!$F:$F,$G1017)),"")</f>
        <v>643160.879999995</v>
      </c>
      <c r="M1017" s="64" t="s">
        <v>534</v>
      </c>
      <c r="N1017" s="69"/>
      <c r="O1017" s="64"/>
      <c r="P1017" s="64"/>
      <c r="Q1017" s="69"/>
      <c r="R1017" s="69"/>
      <c r="S1017" s="69"/>
    </row>
    <row r="1018" s="2" customFormat="1" ht="24.95" customHeight="1" spans="1:19">
      <c r="A1018" s="15"/>
      <c r="B1018" s="55"/>
      <c r="C1018" s="56"/>
      <c r="D1018" s="68">
        <v>46262</v>
      </c>
      <c r="E1018" s="69"/>
      <c r="F1018" s="69" t="s">
        <v>26</v>
      </c>
      <c r="G1018" s="65" t="s">
        <v>27</v>
      </c>
      <c r="H1018" s="65" t="s">
        <v>83</v>
      </c>
      <c r="I1018" s="70" t="s">
        <v>536</v>
      </c>
      <c r="J1018" s="71"/>
      <c r="K1018" s="71">
        <v>962.93</v>
      </c>
      <c r="L1018" s="72">
        <f>IFERROR(IF(G1018="","",VLOOKUP($G1018,[1]基础信息!$B:$C,2,FALSE)+SUMIF(G$8:G1018,G1018,J$8:J1018)-SUMIF(G$8:G1018,G1018,K$8:K1018)+SUMIFS([1]内部转账!$G:$G,[1]内部转账!$C:$C,"&lt;="&amp;$D1018,[1]内部转账!$E:$E,$G1018)-SUMIFS([1]内部转账!$G:$G,[1]内部转账!$C:$C,"&lt;="&amp;$D1018,[1]内部转账!$F:$F,$G1018)),"")</f>
        <v>642197.949999996</v>
      </c>
      <c r="M1018" s="64" t="s">
        <v>534</v>
      </c>
      <c r="N1018" s="69"/>
      <c r="O1018" s="64"/>
      <c r="P1018" s="64"/>
      <c r="Q1018" s="69"/>
      <c r="R1018" s="69"/>
      <c r="S1018" s="69"/>
    </row>
    <row r="1019" s="2" customFormat="1" ht="24.95" customHeight="1" spans="1:19">
      <c r="A1019" s="15"/>
      <c r="B1019" s="55"/>
      <c r="C1019" s="56"/>
      <c r="D1019" s="68">
        <v>46262</v>
      </c>
      <c r="E1019" s="69"/>
      <c r="F1019" s="69" t="s">
        <v>26</v>
      </c>
      <c r="G1019" s="65" t="s">
        <v>27</v>
      </c>
      <c r="H1019" s="65" t="s">
        <v>138</v>
      </c>
      <c r="I1019" s="70" t="s">
        <v>537</v>
      </c>
      <c r="J1019" s="71"/>
      <c r="K1019" s="71">
        <v>20000</v>
      </c>
      <c r="L1019" s="72">
        <f>IFERROR(IF(G1019="","",VLOOKUP($G1019,[1]基础信息!$B:$C,2,FALSE)+SUMIF(G$8:G1019,G1019,J$8:J1019)-SUMIF(G$8:G1019,G1019,K$8:K1019)+SUMIFS([1]内部转账!$G:$G,[1]内部转账!$C:$C,"&lt;="&amp;$D1019,[1]内部转账!$E:$E,$G1019)-SUMIFS([1]内部转账!$G:$G,[1]内部转账!$C:$C,"&lt;="&amp;$D1019,[1]内部转账!$F:$F,$G1019)),"")</f>
        <v>622197.949999996</v>
      </c>
      <c r="M1019" s="64" t="s">
        <v>317</v>
      </c>
      <c r="N1019" s="69" t="s">
        <v>269</v>
      </c>
      <c r="O1019" s="64"/>
      <c r="P1019" s="64" t="s">
        <v>538</v>
      </c>
      <c r="Q1019" s="69"/>
      <c r="R1019" s="69"/>
      <c r="S1019" s="69"/>
    </row>
    <row r="1020" s="2" customFormat="1" ht="24.95" customHeight="1" spans="1:19">
      <c r="A1020" s="15"/>
      <c r="B1020" s="55"/>
      <c r="C1020" s="56"/>
      <c r="D1020" s="68">
        <v>46262</v>
      </c>
      <c r="E1020" s="69"/>
      <c r="F1020" s="69" t="s">
        <v>26</v>
      </c>
      <c r="G1020" s="65" t="s">
        <v>27</v>
      </c>
      <c r="H1020" s="65" t="s">
        <v>53</v>
      </c>
      <c r="I1020" s="70" t="s">
        <v>92</v>
      </c>
      <c r="J1020" s="71"/>
      <c r="K1020" s="71">
        <v>5000</v>
      </c>
      <c r="L1020" s="72">
        <f>IFERROR(IF(G1020="","",VLOOKUP($G1020,[1]基础信息!$B:$C,2,FALSE)+SUMIF(G$8:G1020,G1020,J$8:J1020)-SUMIF(G$8:G1020,G1020,K$8:K1020)+SUMIFS([1]内部转账!$G:$G,[1]内部转账!$C:$C,"&lt;="&amp;$D1020,[1]内部转账!$E:$E,$G1020)-SUMIFS([1]内部转账!$G:$G,[1]内部转账!$C:$C,"&lt;="&amp;$D1020,[1]内部转账!$F:$F,$G1020)),"")</f>
        <v>617197.949999996</v>
      </c>
      <c r="M1020" s="64" t="s">
        <v>35</v>
      </c>
      <c r="N1020" s="69" t="s">
        <v>92</v>
      </c>
      <c r="O1020" s="64"/>
      <c r="P1020" s="64"/>
      <c r="Q1020" s="69"/>
      <c r="R1020" s="69"/>
      <c r="S1020" s="69"/>
    </row>
    <row r="1021" s="2" customFormat="1" ht="24.95" customHeight="1" spans="1:19">
      <c r="A1021" s="15"/>
      <c r="B1021" s="55"/>
      <c r="C1021" s="56"/>
      <c r="D1021" s="68">
        <v>46262</v>
      </c>
      <c r="E1021" s="69"/>
      <c r="F1021" s="69" t="s">
        <v>26</v>
      </c>
      <c r="G1021" s="65" t="s">
        <v>27</v>
      </c>
      <c r="H1021" s="65" t="s">
        <v>28</v>
      </c>
      <c r="I1021" s="70" t="s">
        <v>432</v>
      </c>
      <c r="J1021" s="71"/>
      <c r="K1021" s="71">
        <v>100000</v>
      </c>
      <c r="L1021" s="72">
        <f>IFERROR(IF(G1021="","",VLOOKUP($G1021,[1]基础信息!$B:$C,2,FALSE)+SUMIF(G$8:G1021,G1021,J$8:J1021)-SUMIF(G$8:G1021,G1021,K$8:K1021)+SUMIFS([1]内部转账!$G:$G,[1]内部转账!$C:$C,"&lt;="&amp;$D1021,[1]内部转账!$E:$E,$G1021)-SUMIFS([1]内部转账!$G:$G,[1]内部转账!$C:$C,"&lt;="&amp;$D1021,[1]内部转账!$F:$F,$G1021)),"")</f>
        <v>517197.949999996</v>
      </c>
      <c r="M1021" s="64" t="s">
        <v>30</v>
      </c>
      <c r="N1021" s="69" t="s">
        <v>31</v>
      </c>
      <c r="O1021" s="64"/>
      <c r="P1021" s="64"/>
      <c r="Q1021" s="69"/>
      <c r="R1021" s="69"/>
      <c r="S1021" s="69"/>
    </row>
    <row r="1022" s="2" customFormat="1" ht="24.95" customHeight="1" spans="1:19">
      <c r="A1022" s="15"/>
      <c r="B1022" s="55"/>
      <c r="C1022" s="56"/>
      <c r="D1022" s="68">
        <v>46262</v>
      </c>
      <c r="E1022" s="69"/>
      <c r="F1022" s="69" t="s">
        <v>26</v>
      </c>
      <c r="G1022" s="65" t="s">
        <v>27</v>
      </c>
      <c r="H1022" s="65" t="s">
        <v>46</v>
      </c>
      <c r="I1022" s="70" t="s">
        <v>250</v>
      </c>
      <c r="J1022" s="71"/>
      <c r="K1022" s="71">
        <v>6000</v>
      </c>
      <c r="L1022" s="72">
        <f>IFERROR(IF(G1022="","",VLOOKUP($G1022,[1]基础信息!$B:$C,2,FALSE)+SUMIF(G$8:G1022,G1022,J$8:J1022)-SUMIF(G$8:G1022,G1022,K$8:K1022)+SUMIFS([1]内部转账!$G:$G,[1]内部转账!$C:$C,"&lt;="&amp;$D1022,[1]内部转账!$E:$E,$G1022)-SUMIFS([1]内部转账!$G:$G,[1]内部转账!$C:$C,"&lt;="&amp;$D1022,[1]内部转账!$F:$F,$G1022)),"")</f>
        <v>511197.949999996</v>
      </c>
      <c r="M1022" s="64" t="s">
        <v>206</v>
      </c>
      <c r="N1022" s="69"/>
      <c r="O1022" s="64"/>
      <c r="P1022" s="64"/>
      <c r="Q1022" s="69"/>
      <c r="R1022" s="69"/>
      <c r="S1022" s="69"/>
    </row>
    <row r="1023" s="2" customFormat="1" ht="24.95" customHeight="1" spans="1:19">
      <c r="A1023" s="15"/>
      <c r="B1023" s="55"/>
      <c r="C1023" s="56"/>
      <c r="D1023" s="68">
        <v>46262</v>
      </c>
      <c r="E1023" s="69"/>
      <c r="F1023" s="69" t="s">
        <v>26</v>
      </c>
      <c r="G1023" s="65" t="s">
        <v>27</v>
      </c>
      <c r="H1023" s="65" t="s">
        <v>46</v>
      </c>
      <c r="I1023" s="70" t="s">
        <v>132</v>
      </c>
      <c r="J1023" s="71"/>
      <c r="K1023" s="71">
        <v>3000</v>
      </c>
      <c r="L1023" s="72">
        <f>IFERROR(IF(G1023="","",VLOOKUP($G1023,[1]基础信息!$B:$C,2,FALSE)+SUMIF(G$8:G1023,G1023,J$8:J1023)-SUMIF(G$8:G1023,G1023,K$8:K1023)+SUMIFS([1]内部转账!$G:$G,[1]内部转账!$C:$C,"&lt;="&amp;$D1023,[1]内部转账!$E:$E,$G1023)-SUMIFS([1]内部转账!$G:$G,[1]内部转账!$C:$C,"&lt;="&amp;$D1023,[1]内部转账!$F:$F,$G1023)),"")</f>
        <v>508197.949999996</v>
      </c>
      <c r="M1023" s="64" t="s">
        <v>150</v>
      </c>
      <c r="N1023" s="69"/>
      <c r="O1023" s="64"/>
      <c r="P1023" s="64"/>
      <c r="Q1023" s="69"/>
      <c r="R1023" s="69"/>
      <c r="S1023" s="69"/>
    </row>
    <row r="1024" s="2" customFormat="1" ht="24.95" customHeight="1" spans="1:19">
      <c r="A1024" s="15"/>
      <c r="B1024" s="55"/>
      <c r="C1024" s="56"/>
      <c r="D1024" s="68">
        <v>46262</v>
      </c>
      <c r="E1024" s="69"/>
      <c r="F1024" s="69" t="s">
        <v>26</v>
      </c>
      <c r="G1024" s="65" t="s">
        <v>27</v>
      </c>
      <c r="H1024" s="65" t="s">
        <v>53</v>
      </c>
      <c r="I1024" s="70" t="s">
        <v>98</v>
      </c>
      <c r="J1024" s="71"/>
      <c r="K1024" s="71">
        <v>5000</v>
      </c>
      <c r="L1024" s="72">
        <f>IFERROR(IF(G1024="","",VLOOKUP($G1024,[1]基础信息!$B:$C,2,FALSE)+SUMIF(G$8:G1024,G1024,J$8:J1024)-SUMIF(G$8:G1024,G1024,K$8:K1024)+SUMIFS([1]内部转账!$G:$G,[1]内部转账!$C:$C,"&lt;="&amp;$D1024,[1]内部转账!$E:$E,$G1024)-SUMIFS([1]内部转账!$G:$G,[1]内部转账!$C:$C,"&lt;="&amp;$D1024,[1]内部转账!$F:$F,$G1024)),"")</f>
        <v>503197.949999996</v>
      </c>
      <c r="M1024" s="64" t="s">
        <v>35</v>
      </c>
      <c r="N1024" s="69" t="s">
        <v>98</v>
      </c>
      <c r="O1024" s="64"/>
      <c r="P1024" s="64"/>
      <c r="Q1024" s="69"/>
      <c r="R1024" s="69"/>
      <c r="S1024" s="69"/>
    </row>
    <row r="1025" s="2" customFormat="1" ht="24.95" customHeight="1" spans="1:19">
      <c r="A1025" s="15"/>
      <c r="B1025" s="55"/>
      <c r="C1025" s="56"/>
      <c r="D1025" s="68">
        <v>46262</v>
      </c>
      <c r="E1025" s="69"/>
      <c r="F1025" s="69" t="s">
        <v>26</v>
      </c>
      <c r="G1025" s="65" t="s">
        <v>27</v>
      </c>
      <c r="H1025" s="65" t="s">
        <v>46</v>
      </c>
      <c r="I1025" s="70" t="s">
        <v>539</v>
      </c>
      <c r="J1025" s="71"/>
      <c r="K1025" s="71">
        <v>1600</v>
      </c>
      <c r="L1025" s="72">
        <f>IFERROR(IF(G1025="","",VLOOKUP($G1025,[1]基础信息!$B:$C,2,FALSE)+SUMIF(G$8:G1025,G1025,J$8:J1025)-SUMIF(G$8:G1025,G1025,K$8:K1025)+SUMIFS([1]内部转账!$G:$G,[1]内部转账!$C:$C,"&lt;="&amp;$D1025,[1]内部转账!$E:$E,$G1025)-SUMIFS([1]内部转账!$G:$G,[1]内部转账!$C:$C,"&lt;="&amp;$D1025,[1]内部转账!$F:$F,$G1025)),"")</f>
        <v>501597.949999996</v>
      </c>
      <c r="M1025" s="64" t="s">
        <v>150</v>
      </c>
      <c r="N1025" s="69"/>
      <c r="O1025" s="64"/>
      <c r="P1025" s="64"/>
      <c r="Q1025" s="69"/>
      <c r="R1025" s="69"/>
      <c r="S1025" s="69"/>
    </row>
    <row r="1026" s="2" customFormat="1" ht="24.95" customHeight="1" spans="1:19">
      <c r="A1026" s="15"/>
      <c r="B1026" s="55"/>
      <c r="C1026" s="56"/>
      <c r="D1026" s="68">
        <v>46262</v>
      </c>
      <c r="E1026" s="69"/>
      <c r="F1026" s="69" t="s">
        <v>26</v>
      </c>
      <c r="G1026" s="65" t="s">
        <v>27</v>
      </c>
      <c r="H1026" s="65" t="s">
        <v>62</v>
      </c>
      <c r="I1026" s="70" t="s">
        <v>188</v>
      </c>
      <c r="J1026" s="71"/>
      <c r="K1026" s="71">
        <v>50000</v>
      </c>
      <c r="L1026" s="72">
        <f>IFERROR(IF(G1026="","",VLOOKUP($G1026,[1]基础信息!$B:$C,2,FALSE)+SUMIF(G$8:G1026,G1026,J$8:J1026)-SUMIF(G$8:G1026,G1026,K$8:K1026)+SUMIFS([1]内部转账!$G:$G,[1]内部转账!$C:$C,"&lt;="&amp;$D1026,[1]内部转账!$E:$E,$G1026)-SUMIFS([1]内部转账!$G:$G,[1]内部转账!$C:$C,"&lt;="&amp;$D1026,[1]内部转账!$F:$F,$G1026)),"")</f>
        <v>451597.949999996</v>
      </c>
      <c r="M1026" s="64" t="s">
        <v>150</v>
      </c>
      <c r="N1026" s="69"/>
      <c r="O1026" s="64"/>
      <c r="P1026" s="64" t="s">
        <v>122</v>
      </c>
      <c r="Q1026" s="69"/>
      <c r="R1026" s="69"/>
      <c r="S1026" s="69"/>
    </row>
    <row r="1027" s="2" customFormat="1" ht="24.95" customHeight="1" spans="1:19">
      <c r="A1027" s="15"/>
      <c r="B1027" s="55"/>
      <c r="C1027" s="56"/>
      <c r="D1027" s="68">
        <v>46253</v>
      </c>
      <c r="E1027" s="69"/>
      <c r="F1027" s="69" t="s">
        <v>26</v>
      </c>
      <c r="G1027" s="65" t="s">
        <v>400</v>
      </c>
      <c r="H1027" s="65" t="s">
        <v>490</v>
      </c>
      <c r="I1027" s="70" t="s">
        <v>491</v>
      </c>
      <c r="J1027" s="71"/>
      <c r="K1027" s="71">
        <v>-1100</v>
      </c>
      <c r="L1027" s="72">
        <f>IFERROR(IF(G1027="","",VLOOKUP($G1027,[1]基础信息!$B:$C,2,FALSE)+SUMIF(G$8:G1027,G1027,J$8:J1027)-SUMIF(G$8:G1027,G1027,K$8:K1027)+SUMIFS([1]内部转账!$G:$G,[1]内部转账!$C:$C,"&lt;="&amp;$D1027,[1]内部转账!$E:$E,$G1027)-SUMIFS([1]内部转账!$G:$G,[1]内部转账!$C:$C,"&lt;="&amp;$D1027,[1]内部转账!$F:$F,$G1027)),"")</f>
        <v>1168.04000000004</v>
      </c>
      <c r="M1027" s="64" t="s">
        <v>30</v>
      </c>
      <c r="N1027" s="69" t="s">
        <v>98</v>
      </c>
      <c r="O1027" s="64"/>
      <c r="P1027" s="64"/>
      <c r="Q1027" s="69"/>
      <c r="R1027" s="69"/>
      <c r="S1027" s="69"/>
    </row>
    <row r="1028" s="2" customFormat="1" ht="24.95" customHeight="1" spans="1:19">
      <c r="A1028" s="15"/>
      <c r="B1028" s="55"/>
      <c r="C1028" s="56"/>
      <c r="D1028" s="68">
        <v>46255</v>
      </c>
      <c r="E1028" s="69"/>
      <c r="F1028" s="69" t="s">
        <v>26</v>
      </c>
      <c r="G1028" s="65" t="s">
        <v>400</v>
      </c>
      <c r="H1028" s="65" t="s">
        <v>435</v>
      </c>
      <c r="I1028" s="70" t="s">
        <v>436</v>
      </c>
      <c r="J1028" s="71"/>
      <c r="K1028" s="71">
        <v>1088.01</v>
      </c>
      <c r="L1028" s="72">
        <f>IFERROR(IF(G1028="","",VLOOKUP($G1028,[1]基础信息!$B:$C,2,FALSE)+SUMIF(G$8:G1028,G1028,J$8:J1028)-SUMIF(G$8:G1028,G1028,K$8:K1028)+SUMIFS([1]内部转账!$G:$G,[1]内部转账!$C:$C,"&lt;="&amp;$D1028,[1]内部转账!$E:$E,$G1028)-SUMIFS([1]内部转账!$G:$G,[1]内部转账!$C:$C,"&lt;="&amp;$D1028,[1]内部转账!$F:$F,$G1028)),"")</f>
        <v>80.0300000000279</v>
      </c>
      <c r="M1028" s="64" t="s">
        <v>402</v>
      </c>
      <c r="N1028" s="69"/>
      <c r="O1028" s="64"/>
      <c r="P1028" s="64"/>
      <c r="Q1028" s="69"/>
      <c r="R1028" s="69"/>
      <c r="S1028" s="69"/>
    </row>
    <row r="1029" s="2" customFormat="1" ht="24.95" customHeight="1" spans="1:19">
      <c r="A1029" s="15"/>
      <c r="B1029" s="55"/>
      <c r="C1029" s="56"/>
      <c r="D1029" s="68">
        <v>46266</v>
      </c>
      <c r="E1029" s="69"/>
      <c r="F1029" s="69" t="s">
        <v>26</v>
      </c>
      <c r="G1029" s="65" t="s">
        <v>27</v>
      </c>
      <c r="H1029" s="65" t="s">
        <v>37</v>
      </c>
      <c r="I1029" s="70" t="s">
        <v>540</v>
      </c>
      <c r="J1029" s="71"/>
      <c r="K1029" s="71">
        <v>200000</v>
      </c>
      <c r="L1029" s="72">
        <f>IFERROR(IF(G1029="","",VLOOKUP($G1029,[1]基础信息!$B:$C,2,FALSE)+SUMIF(G$8:G1029,G1029,J$8:J1029)-SUMIF(G$8:G1029,G1029,K$8:K1029)+SUMIFS([1]内部转账!$G:$G,[1]内部转账!$C:$C,"&lt;="&amp;$D1029,[1]内部转账!$E:$E,$G1029)-SUMIFS([1]内部转账!$G:$G,[1]内部转账!$C:$C,"&lt;="&amp;$D1029,[1]内部转账!$F:$F,$G1029)),"")</f>
        <v>251597.949999996</v>
      </c>
      <c r="M1029" s="64" t="s">
        <v>541</v>
      </c>
      <c r="N1029" s="69"/>
      <c r="O1029" s="64" t="s">
        <v>151</v>
      </c>
      <c r="P1029" s="64"/>
      <c r="Q1029" s="69"/>
      <c r="R1029" s="69"/>
      <c r="S1029" s="69"/>
    </row>
    <row r="1030" s="2" customFormat="1" ht="24.95" customHeight="1" spans="1:19">
      <c r="A1030" s="15"/>
      <c r="B1030" s="55"/>
      <c r="C1030" s="56"/>
      <c r="D1030" s="68">
        <v>46267</v>
      </c>
      <c r="E1030" s="69"/>
      <c r="F1030" s="69" t="s">
        <v>26</v>
      </c>
      <c r="G1030" s="65" t="s">
        <v>27</v>
      </c>
      <c r="H1030" s="65" t="s">
        <v>62</v>
      </c>
      <c r="I1030" s="70" t="s">
        <v>429</v>
      </c>
      <c r="J1030" s="71"/>
      <c r="K1030" s="71">
        <v>1521</v>
      </c>
      <c r="L1030" s="72">
        <f>IFERROR(IF(G1030="","",VLOOKUP($G1030,[1]基础信息!$B:$C,2,FALSE)+SUMIF(G$8:G1030,G1030,J$8:J1030)-SUMIF(G$8:G1030,G1030,K$8:K1030)+SUMIFS([1]内部转账!$G:$G,[1]内部转账!$C:$C,"&lt;="&amp;$D1030,[1]内部转账!$E:$E,$G1030)-SUMIFS([1]内部转账!$G:$G,[1]内部转账!$C:$C,"&lt;="&amp;$D1030,[1]内部转账!$F:$F,$G1030)),"")</f>
        <v>250076.949999996</v>
      </c>
      <c r="M1030" s="64" t="s">
        <v>150</v>
      </c>
      <c r="N1030" s="69"/>
      <c r="O1030" s="64"/>
      <c r="P1030" s="64" t="s">
        <v>178</v>
      </c>
      <c r="Q1030" s="69"/>
      <c r="R1030" s="69"/>
      <c r="S1030" s="69"/>
    </row>
    <row r="1031" s="2" customFormat="1" ht="24.95" customHeight="1" spans="1:19">
      <c r="A1031" s="15"/>
      <c r="B1031" s="55"/>
      <c r="C1031" s="56"/>
      <c r="D1031" s="68">
        <v>46267</v>
      </c>
      <c r="E1031" s="69"/>
      <c r="F1031" s="69" t="s">
        <v>26</v>
      </c>
      <c r="G1031" s="65" t="s">
        <v>27</v>
      </c>
      <c r="H1031" s="65" t="s">
        <v>213</v>
      </c>
      <c r="I1031" s="70" t="s">
        <v>542</v>
      </c>
      <c r="J1031" s="71"/>
      <c r="K1031" s="71">
        <v>13000</v>
      </c>
      <c r="L1031" s="72">
        <f>IFERROR(IF(G1031="","",VLOOKUP($G1031,[1]基础信息!$B:$C,2,FALSE)+SUMIF(G$8:G1031,G1031,J$8:J1031)-SUMIF(G$8:G1031,G1031,K$8:K1031)+SUMIFS([1]内部转账!$G:$G,[1]内部转账!$C:$C,"&lt;="&amp;$D1031,[1]内部转账!$E:$E,$G1031)-SUMIFS([1]内部转账!$G:$G,[1]内部转账!$C:$C,"&lt;="&amp;$D1031,[1]内部转账!$F:$F,$G1031)),"")</f>
        <v>237076.949999996</v>
      </c>
      <c r="M1031" s="64" t="s">
        <v>30</v>
      </c>
      <c r="N1031" s="69" t="s">
        <v>92</v>
      </c>
      <c r="O1031" s="64"/>
      <c r="P1031" s="64"/>
      <c r="Q1031" s="69"/>
      <c r="R1031" s="69"/>
      <c r="S1031" s="69"/>
    </row>
    <row r="1032" s="2" customFormat="1" ht="24.95" customHeight="1" spans="1:19">
      <c r="A1032" s="15"/>
      <c r="B1032" s="55"/>
      <c r="C1032" s="56"/>
      <c r="D1032" s="68">
        <v>46270</v>
      </c>
      <c r="E1032" s="69"/>
      <c r="F1032" s="69" t="s">
        <v>26</v>
      </c>
      <c r="G1032" s="65" t="s">
        <v>27</v>
      </c>
      <c r="H1032" s="65" t="s">
        <v>62</v>
      </c>
      <c r="I1032" s="70" t="s">
        <v>543</v>
      </c>
      <c r="J1032" s="71"/>
      <c r="K1032" s="71">
        <v>80</v>
      </c>
      <c r="L1032" s="72">
        <f>IFERROR(IF(G1032="","",VLOOKUP($G1032,[1]基础信息!$B:$C,2,FALSE)+SUMIF(G$8:G1032,G1032,J$8:J1032)-SUMIF(G$8:G1032,G1032,K$8:K1032)+SUMIFS([1]内部转账!$G:$G,[1]内部转账!$C:$C,"&lt;="&amp;$D1032,[1]内部转账!$E:$E,$G1032)-SUMIFS([1]内部转账!$G:$G,[1]内部转账!$C:$C,"&lt;="&amp;$D1032,[1]内部转账!$F:$F,$G1032)),"")</f>
        <v>236996.949999996</v>
      </c>
      <c r="M1032" s="64" t="s">
        <v>206</v>
      </c>
      <c r="N1032" s="69"/>
      <c r="O1032" s="64"/>
      <c r="P1032" s="64" t="s">
        <v>479</v>
      </c>
      <c r="Q1032" s="69"/>
      <c r="R1032" s="69"/>
      <c r="S1032" s="69"/>
    </row>
    <row r="1033" s="2" customFormat="1" ht="24.95" customHeight="1" spans="1:19">
      <c r="A1033" s="15"/>
      <c r="B1033" s="55"/>
      <c r="C1033" s="56"/>
      <c r="D1033" s="68">
        <v>46272</v>
      </c>
      <c r="E1033" s="69"/>
      <c r="F1033" s="69" t="s">
        <v>42</v>
      </c>
      <c r="G1033" s="65" t="s">
        <v>27</v>
      </c>
      <c r="H1033" s="65" t="s">
        <v>43</v>
      </c>
      <c r="I1033" s="70" t="s">
        <v>544</v>
      </c>
      <c r="J1033" s="71">
        <v>102151.79</v>
      </c>
      <c r="K1033" s="71"/>
      <c r="L1033" s="72">
        <f>IFERROR(IF(G1033="","",VLOOKUP($G1033,[1]基础信息!$B:$C,2,FALSE)+SUMIF(G$8:G1033,G1033,J$8:J1033)-SUMIF(G$8:G1033,G1033,K$8:K1033)+SUMIFS([1]内部转账!$G:$G,[1]内部转账!$C:$C,"&lt;="&amp;$D1033,[1]内部转账!$E:$E,$G1033)-SUMIFS([1]内部转账!$G:$G,[1]内部转账!$C:$C,"&lt;="&amp;$D1033,[1]内部转账!$F:$F,$G1033)),"")</f>
        <v>339148.739999996</v>
      </c>
      <c r="M1033" s="64" t="s">
        <v>545</v>
      </c>
      <c r="N1033" s="69"/>
      <c r="O1033" s="64" t="s">
        <v>546</v>
      </c>
      <c r="P1033" s="64"/>
      <c r="Q1033" s="69"/>
      <c r="R1033" s="69"/>
      <c r="S1033" s="69"/>
    </row>
    <row r="1034" s="2" customFormat="1" ht="24.95" customHeight="1" spans="1:19">
      <c r="A1034" s="15"/>
      <c r="B1034" s="55"/>
      <c r="C1034" s="56"/>
      <c r="D1034" s="68">
        <v>46273</v>
      </c>
      <c r="E1034" s="69"/>
      <c r="F1034" s="69" t="s">
        <v>26</v>
      </c>
      <c r="G1034" s="65" t="s">
        <v>27</v>
      </c>
      <c r="H1034" s="65" t="s">
        <v>28</v>
      </c>
      <c r="I1034" s="70" t="s">
        <v>432</v>
      </c>
      <c r="J1034" s="71"/>
      <c r="K1034" s="71">
        <v>80000</v>
      </c>
      <c r="L1034" s="72">
        <f>IFERROR(IF(G1034="","",VLOOKUP($G1034,[1]基础信息!$B:$C,2,FALSE)+SUMIF(G$8:G1034,G1034,J$8:J1034)-SUMIF(G$8:G1034,G1034,K$8:K1034)+SUMIFS([1]内部转账!$G:$G,[1]内部转账!$C:$C,"&lt;="&amp;$D1034,[1]内部转账!$E:$E,$G1034)-SUMIFS([1]内部转账!$G:$G,[1]内部转账!$C:$C,"&lt;="&amp;$D1034,[1]内部转账!$F:$F,$G1034)),"")</f>
        <v>259148.739999996</v>
      </c>
      <c r="M1034" s="64" t="s">
        <v>30</v>
      </c>
      <c r="N1034" s="69" t="s">
        <v>31</v>
      </c>
      <c r="O1034" s="64"/>
      <c r="P1034" s="64"/>
      <c r="Q1034" s="69"/>
      <c r="R1034" s="69"/>
      <c r="S1034" s="69"/>
    </row>
    <row r="1035" s="2" customFormat="1" ht="24.95" customHeight="1" spans="1:19">
      <c r="A1035" s="15"/>
      <c r="B1035" s="55"/>
      <c r="C1035" s="56"/>
      <c r="D1035" s="68">
        <v>46276</v>
      </c>
      <c r="E1035" s="69"/>
      <c r="F1035" s="69" t="s">
        <v>26</v>
      </c>
      <c r="G1035" s="65" t="s">
        <v>27</v>
      </c>
      <c r="H1035" s="65" t="s">
        <v>62</v>
      </c>
      <c r="I1035" s="70" t="s">
        <v>547</v>
      </c>
      <c r="J1035" s="71"/>
      <c r="K1035" s="71">
        <v>1120</v>
      </c>
      <c r="L1035" s="72">
        <f>IFERROR(IF(G1035="","",VLOOKUP($G1035,[1]基础信息!$B:$C,2,FALSE)+SUMIF(G$8:G1035,G1035,J$8:J1035)-SUMIF(G$8:G1035,G1035,K$8:K1035)+SUMIFS([1]内部转账!$G:$G,[1]内部转账!$C:$C,"&lt;="&amp;$D1035,[1]内部转账!$E:$E,$G1035)-SUMIFS([1]内部转账!$G:$G,[1]内部转账!$C:$C,"&lt;="&amp;$D1035,[1]内部转账!$F:$F,$G1035)),"")</f>
        <v>258028.739999996</v>
      </c>
      <c r="M1035" s="64" t="s">
        <v>150</v>
      </c>
      <c r="N1035" s="69"/>
      <c r="O1035" s="64"/>
      <c r="P1035" s="64"/>
      <c r="Q1035" s="69"/>
      <c r="R1035" s="69"/>
      <c r="S1035" s="69"/>
    </row>
    <row r="1036" s="2" customFormat="1" ht="24.95" customHeight="1" spans="1:19">
      <c r="A1036" s="15"/>
      <c r="B1036" s="55"/>
      <c r="C1036" s="56"/>
      <c r="D1036" s="68">
        <v>46276</v>
      </c>
      <c r="E1036" s="69"/>
      <c r="F1036" s="69" t="s">
        <v>26</v>
      </c>
      <c r="G1036" s="65" t="s">
        <v>27</v>
      </c>
      <c r="H1036" s="65" t="s">
        <v>58</v>
      </c>
      <c r="I1036" s="70" t="s">
        <v>548</v>
      </c>
      <c r="J1036" s="71"/>
      <c r="K1036" s="71">
        <v>1500</v>
      </c>
      <c r="L1036" s="72">
        <f>IFERROR(IF(G1036="","",VLOOKUP($G1036,[1]基础信息!$B:$C,2,FALSE)+SUMIF(G$8:G1036,G1036,J$8:J1036)-SUMIF(G$8:G1036,G1036,K$8:K1036)+SUMIFS([1]内部转账!$G:$G,[1]内部转账!$C:$C,"&lt;="&amp;$D1036,[1]内部转账!$E:$E,$G1036)-SUMIFS([1]内部转账!$G:$G,[1]内部转账!$C:$C,"&lt;="&amp;$D1036,[1]内部转账!$F:$F,$G1036)),"")</f>
        <v>256528.739999996</v>
      </c>
      <c r="M1036" s="64" t="s">
        <v>541</v>
      </c>
      <c r="N1036" s="69"/>
      <c r="O1036" s="64"/>
      <c r="P1036" s="64" t="s">
        <v>549</v>
      </c>
      <c r="Q1036" s="69"/>
      <c r="R1036" s="69"/>
      <c r="S1036" s="69"/>
    </row>
    <row r="1037" s="2" customFormat="1" ht="24.95" customHeight="1" spans="1:19">
      <c r="A1037" s="15"/>
      <c r="B1037" s="55"/>
      <c r="C1037" s="56"/>
      <c r="D1037" s="68">
        <v>46276</v>
      </c>
      <c r="E1037" s="69"/>
      <c r="F1037" s="69" t="s">
        <v>26</v>
      </c>
      <c r="G1037" s="65" t="s">
        <v>27</v>
      </c>
      <c r="H1037" s="65" t="s">
        <v>28</v>
      </c>
      <c r="I1037" s="70" t="s">
        <v>432</v>
      </c>
      <c r="J1037" s="71"/>
      <c r="K1037" s="71">
        <v>50000</v>
      </c>
      <c r="L1037" s="72">
        <f>IFERROR(IF(G1037="","",VLOOKUP($G1037,[1]基础信息!$B:$C,2,FALSE)+SUMIF(G$8:G1037,G1037,J$8:J1037)-SUMIF(G$8:G1037,G1037,K$8:K1037)+SUMIFS([1]内部转账!$G:$G,[1]内部转账!$C:$C,"&lt;="&amp;$D1037,[1]内部转账!$E:$E,$G1037)-SUMIFS([1]内部转账!$G:$G,[1]内部转账!$C:$C,"&lt;="&amp;$D1037,[1]内部转账!$F:$F,$G1037)),"")</f>
        <v>206528.739999996</v>
      </c>
      <c r="M1037" s="64" t="s">
        <v>30</v>
      </c>
      <c r="N1037" s="69" t="s">
        <v>31</v>
      </c>
      <c r="O1037" s="64"/>
      <c r="P1037" s="64"/>
      <c r="Q1037" s="69"/>
      <c r="R1037" s="69"/>
      <c r="S1037" s="69"/>
    </row>
    <row r="1038" s="2" customFormat="1" ht="24.95" customHeight="1" spans="1:19">
      <c r="A1038" s="15"/>
      <c r="B1038" s="55"/>
      <c r="C1038" s="56"/>
      <c r="D1038" s="68">
        <v>46279</v>
      </c>
      <c r="E1038" s="69"/>
      <c r="F1038" s="69" t="s">
        <v>42</v>
      </c>
      <c r="G1038" s="65" t="s">
        <v>27</v>
      </c>
      <c r="H1038" s="65" t="s">
        <v>43</v>
      </c>
      <c r="I1038" s="70" t="s">
        <v>550</v>
      </c>
      <c r="J1038" s="71">
        <v>8992</v>
      </c>
      <c r="K1038" s="71"/>
      <c r="L1038" s="72">
        <f>IFERROR(IF(G1038="","",VLOOKUP($G1038,[1]基础信息!$B:$C,2,FALSE)+SUMIF(G$8:G1038,G1038,J$8:J1038)-SUMIF(G$8:G1038,G1038,K$8:K1038)+SUMIFS([1]内部转账!$G:$G,[1]内部转账!$C:$C,"&lt;="&amp;$D1038,[1]内部转账!$E:$E,$G1038)-SUMIFS([1]内部转账!$G:$G,[1]内部转账!$C:$C,"&lt;="&amp;$D1038,[1]内部转账!$F:$F,$G1038)),"")</f>
        <v>215520.739999996</v>
      </c>
      <c r="M1038" s="64" t="s">
        <v>516</v>
      </c>
      <c r="N1038" s="69"/>
      <c r="O1038" s="64"/>
      <c r="P1038" s="64"/>
      <c r="Q1038" s="69"/>
      <c r="R1038" s="69"/>
      <c r="S1038" s="69"/>
    </row>
    <row r="1039" s="2" customFormat="1" ht="24.95" customHeight="1" spans="1:19">
      <c r="A1039" s="15"/>
      <c r="B1039" s="55"/>
      <c r="C1039" s="56"/>
      <c r="D1039" s="68">
        <v>46279</v>
      </c>
      <c r="E1039" s="69"/>
      <c r="F1039" s="69" t="s">
        <v>26</v>
      </c>
      <c r="G1039" s="65" t="s">
        <v>27</v>
      </c>
      <c r="H1039" s="65" t="s">
        <v>58</v>
      </c>
      <c r="I1039" s="70" t="s">
        <v>551</v>
      </c>
      <c r="J1039" s="71"/>
      <c r="K1039" s="71">
        <v>80</v>
      </c>
      <c r="L1039" s="72">
        <f>IFERROR(IF(G1039="","",VLOOKUP($G1039,[1]基础信息!$B:$C,2,FALSE)+SUMIF(G$8:G1039,G1039,J$8:J1039)-SUMIF(G$8:G1039,G1039,K$8:K1039)+SUMIFS([1]内部转账!$G:$G,[1]内部转账!$C:$C,"&lt;="&amp;$D1039,[1]内部转账!$E:$E,$G1039)-SUMIFS([1]内部转账!$G:$G,[1]内部转账!$C:$C,"&lt;="&amp;$D1039,[1]内部转账!$F:$F,$G1039)),"")</f>
        <v>215440.739999996</v>
      </c>
      <c r="M1039" s="64" t="s">
        <v>235</v>
      </c>
      <c r="N1039" s="69"/>
      <c r="O1039" s="64"/>
      <c r="P1039" s="64"/>
      <c r="Q1039" s="69"/>
      <c r="R1039" s="69"/>
      <c r="S1039" s="69"/>
    </row>
    <row r="1040" s="2" customFormat="1" ht="24.95" customHeight="1" spans="1:19">
      <c r="A1040" s="15"/>
      <c r="B1040" s="55"/>
      <c r="C1040" s="56"/>
      <c r="D1040" s="68">
        <v>46279</v>
      </c>
      <c r="E1040" s="69"/>
      <c r="F1040" s="69" t="s">
        <v>26</v>
      </c>
      <c r="G1040" s="65" t="s">
        <v>27</v>
      </c>
      <c r="H1040" s="65" t="s">
        <v>46</v>
      </c>
      <c r="I1040" s="70" t="s">
        <v>552</v>
      </c>
      <c r="J1040" s="71"/>
      <c r="K1040" s="71">
        <v>30</v>
      </c>
      <c r="L1040" s="72">
        <f>IFERROR(IF(G1040="","",VLOOKUP($G1040,[1]基础信息!$B:$C,2,FALSE)+SUMIF(G$8:G1040,G1040,J$8:J1040)-SUMIF(G$8:G1040,G1040,K$8:K1040)+SUMIFS([1]内部转账!$G:$G,[1]内部转账!$C:$C,"&lt;="&amp;$D1040,[1]内部转账!$E:$E,$G1040)-SUMIFS([1]内部转账!$G:$G,[1]内部转账!$C:$C,"&lt;="&amp;$D1040,[1]内部转账!$F:$F,$G1040)),"")</f>
        <v>215410.739999996</v>
      </c>
      <c r="M1040" s="64" t="s">
        <v>150</v>
      </c>
      <c r="N1040" s="69"/>
      <c r="O1040" s="64"/>
      <c r="P1040" s="64"/>
      <c r="Q1040" s="69"/>
      <c r="R1040" s="69"/>
      <c r="S1040" s="69"/>
    </row>
    <row r="1041" s="2" customFormat="1" ht="24.95" customHeight="1" spans="1:19">
      <c r="A1041" s="15"/>
      <c r="B1041" s="55"/>
      <c r="C1041" s="56"/>
      <c r="D1041" s="68">
        <v>46280</v>
      </c>
      <c r="E1041" s="69"/>
      <c r="F1041" s="69" t="s">
        <v>26</v>
      </c>
      <c r="G1041" s="65" t="s">
        <v>27</v>
      </c>
      <c r="H1041" s="65" t="s">
        <v>115</v>
      </c>
      <c r="I1041" s="70" t="s">
        <v>553</v>
      </c>
      <c r="J1041" s="71"/>
      <c r="K1041" s="71">
        <v>35238.38</v>
      </c>
      <c r="L1041" s="72">
        <f>IFERROR(IF(G1041="","",VLOOKUP($G1041,[1]基础信息!$B:$C,2,FALSE)+SUMIF(G$8:G1041,G1041,J$8:J1041)-SUMIF(G$8:G1041,G1041,K$8:K1041)+SUMIFS([1]内部转账!$G:$G,[1]内部转账!$C:$C,"&lt;="&amp;$D1041,[1]内部转账!$E:$E,$G1041)-SUMIFS([1]内部转账!$G:$G,[1]内部转账!$C:$C,"&lt;="&amp;$D1041,[1]内部转账!$F:$F,$G1041)),"")</f>
        <v>180172.359999996</v>
      </c>
      <c r="M1041" s="64" t="s">
        <v>427</v>
      </c>
      <c r="N1041" s="69"/>
      <c r="O1041" s="64"/>
      <c r="P1041" s="64" t="s">
        <v>554</v>
      </c>
      <c r="Q1041" s="69"/>
      <c r="R1041" s="69"/>
      <c r="S1041" s="69"/>
    </row>
    <row r="1042" s="2" customFormat="1" ht="24.95" customHeight="1" spans="1:19">
      <c r="A1042" s="15"/>
      <c r="B1042" s="55"/>
      <c r="C1042" s="56"/>
      <c r="D1042" s="68">
        <v>46283</v>
      </c>
      <c r="E1042" s="69"/>
      <c r="F1042" s="69" t="s">
        <v>26</v>
      </c>
      <c r="G1042" s="65" t="s">
        <v>27</v>
      </c>
      <c r="H1042" s="65" t="s">
        <v>115</v>
      </c>
      <c r="I1042" s="70" t="s">
        <v>553</v>
      </c>
      <c r="J1042" s="71"/>
      <c r="K1042" s="71">
        <v>10729.54</v>
      </c>
      <c r="L1042" s="72">
        <f>IFERROR(IF(G1042="","",VLOOKUP($G1042,[1]基础信息!$B:$C,2,FALSE)+SUMIF(G$8:G1042,G1042,J$8:J1042)-SUMIF(G$8:G1042,G1042,K$8:K1042)+SUMIFS([1]内部转账!$G:$G,[1]内部转账!$C:$C,"&lt;="&amp;$D1042,[1]内部转账!$E:$E,$G1042)-SUMIFS([1]内部转账!$G:$G,[1]内部转账!$C:$C,"&lt;="&amp;$D1042,[1]内部转账!$F:$F,$G1042)),"")</f>
        <v>169442.819999996</v>
      </c>
      <c r="M1042" s="64" t="s">
        <v>427</v>
      </c>
      <c r="N1042" s="69"/>
      <c r="O1042" s="64"/>
      <c r="P1042" s="64" t="s">
        <v>555</v>
      </c>
      <c r="Q1042" s="69"/>
      <c r="R1042" s="69"/>
      <c r="S1042" s="69"/>
    </row>
    <row r="1043" s="2" customFormat="1" ht="24.95" customHeight="1" spans="1:19">
      <c r="A1043" s="15"/>
      <c r="B1043" s="55"/>
      <c r="C1043" s="56"/>
      <c r="D1043" s="68">
        <v>46286</v>
      </c>
      <c r="E1043" s="69"/>
      <c r="F1043" s="69" t="s">
        <v>26</v>
      </c>
      <c r="G1043" s="65" t="s">
        <v>27</v>
      </c>
      <c r="H1043" s="65" t="s">
        <v>495</v>
      </c>
      <c r="I1043" s="70" t="s">
        <v>34</v>
      </c>
      <c r="J1043" s="71"/>
      <c r="K1043" s="71">
        <v>-10.13</v>
      </c>
      <c r="L1043" s="72">
        <f>IFERROR(IF(G1043="","",VLOOKUP($G1043,[1]基础信息!$B:$C,2,FALSE)+SUMIF(G$8:G1043,G1043,J$8:J1043)-SUMIF(G$8:G1043,G1043,K$8:K1043)+SUMIFS([1]内部转账!$G:$G,[1]内部转账!$C:$C,"&lt;="&amp;$D1043,[1]内部转账!$E:$E,$G1043)-SUMIFS([1]内部转账!$G:$G,[1]内部转账!$C:$C,"&lt;="&amp;$D1043,[1]内部转账!$F:$F,$G1043)),"")</f>
        <v>169452.949999996</v>
      </c>
      <c r="M1043" s="64" t="s">
        <v>35</v>
      </c>
      <c r="N1043" s="69"/>
      <c r="O1043" s="64"/>
      <c r="P1043" s="64"/>
      <c r="Q1043" s="69"/>
      <c r="R1043" s="69"/>
      <c r="S1043" s="69"/>
    </row>
    <row r="1044" s="2" customFormat="1" ht="24.95" customHeight="1" spans="1:19">
      <c r="A1044" s="15"/>
      <c r="B1044" s="55"/>
      <c r="C1044" s="56"/>
      <c r="D1044" s="68">
        <v>46286</v>
      </c>
      <c r="E1044" s="69"/>
      <c r="F1044" s="69" t="s">
        <v>26</v>
      </c>
      <c r="G1044" s="65" t="s">
        <v>27</v>
      </c>
      <c r="H1044" s="65" t="s">
        <v>37</v>
      </c>
      <c r="I1044" s="70" t="s">
        <v>556</v>
      </c>
      <c r="J1044" s="71"/>
      <c r="K1044" s="71">
        <v>-200000</v>
      </c>
      <c r="L1044" s="72">
        <f>IFERROR(IF(G1044="","",VLOOKUP($G1044,[1]基础信息!$B:$C,2,FALSE)+SUMIF(G$8:G1044,G1044,J$8:J1044)-SUMIF(G$8:G1044,G1044,K$8:K1044)+SUMIFS([1]内部转账!$G:$G,[1]内部转账!$C:$C,"&lt;="&amp;$D1044,[1]内部转账!$E:$E,$G1044)-SUMIFS([1]内部转账!$G:$G,[1]内部转账!$C:$C,"&lt;="&amp;$D1044,[1]内部转账!$F:$F,$G1044)),"")</f>
        <v>369452.949999996</v>
      </c>
      <c r="M1044" s="64" t="s">
        <v>541</v>
      </c>
      <c r="N1044" s="69"/>
      <c r="O1044" s="64"/>
      <c r="P1044" s="64"/>
      <c r="Q1044" s="69"/>
      <c r="R1044" s="69"/>
      <c r="S1044" s="69"/>
    </row>
    <row r="1045" s="2" customFormat="1" ht="24.95" customHeight="1" spans="1:19">
      <c r="A1045" s="15"/>
      <c r="B1045" s="55"/>
      <c r="C1045" s="56"/>
      <c r="D1045" s="68">
        <v>46289</v>
      </c>
      <c r="E1045" s="69"/>
      <c r="F1045" s="69" t="s">
        <v>26</v>
      </c>
      <c r="G1045" s="65" t="s">
        <v>27</v>
      </c>
      <c r="H1045" s="65" t="s">
        <v>83</v>
      </c>
      <c r="I1045" s="70" t="s">
        <v>557</v>
      </c>
      <c r="J1045" s="71"/>
      <c r="K1045" s="71">
        <v>2038.96</v>
      </c>
      <c r="L1045" s="72">
        <f>IFERROR(IF(G1045="","",VLOOKUP($G1045,[1]基础信息!$B:$C,2,FALSE)+SUMIF(G$8:G1045,G1045,J$8:J1045)-SUMIF(G$8:G1045,G1045,K$8:K1045)+SUMIFS([1]内部转账!$G:$G,[1]内部转账!$C:$C,"&lt;="&amp;$D1045,[1]内部转账!$E:$E,$G1045)-SUMIFS([1]内部转账!$G:$G,[1]内部转账!$C:$C,"&lt;="&amp;$D1045,[1]内部转账!$F:$F,$G1045)),"")</f>
        <v>367413.989999996</v>
      </c>
      <c r="M1045" s="64" t="s">
        <v>35</v>
      </c>
      <c r="N1045" s="69" t="s">
        <v>558</v>
      </c>
      <c r="O1045" s="64"/>
      <c r="P1045" s="64"/>
      <c r="Q1045" s="69"/>
      <c r="R1045" s="69"/>
      <c r="S1045" s="69"/>
    </row>
    <row r="1046" s="2" customFormat="1" ht="24.95" customHeight="1" spans="1:19">
      <c r="A1046" s="15"/>
      <c r="B1046" s="55"/>
      <c r="C1046" s="56"/>
      <c r="D1046" s="68">
        <v>46289</v>
      </c>
      <c r="E1046" s="69"/>
      <c r="F1046" s="69" t="s">
        <v>26</v>
      </c>
      <c r="G1046" s="65" t="s">
        <v>27</v>
      </c>
      <c r="H1046" s="65" t="s">
        <v>439</v>
      </c>
      <c r="I1046" s="70" t="s">
        <v>440</v>
      </c>
      <c r="J1046" s="71"/>
      <c r="K1046" s="71">
        <v>1019.48</v>
      </c>
      <c r="L1046" s="72">
        <f>IFERROR(IF(G1046="","",VLOOKUP($G1046,[1]基础信息!$B:$C,2,FALSE)+SUMIF(G$8:G1046,G1046,J$8:J1046)-SUMIF(G$8:G1046,G1046,K$8:K1046)+SUMIFS([1]内部转账!$G:$G,[1]内部转账!$C:$C,"&lt;="&amp;$D1046,[1]内部转账!$E:$E,$G1046)-SUMIFS([1]内部转账!$G:$G,[1]内部转账!$C:$C,"&lt;="&amp;$D1046,[1]内部转账!$F:$F,$G1046)),"")</f>
        <v>366394.509999995</v>
      </c>
      <c r="M1046" s="64" t="s">
        <v>441</v>
      </c>
      <c r="N1046" s="69"/>
      <c r="O1046" s="64"/>
      <c r="P1046" s="64"/>
      <c r="Q1046" s="69"/>
      <c r="R1046" s="69"/>
      <c r="S1046" s="69"/>
    </row>
    <row r="1047" s="2" customFormat="1" ht="24.95" customHeight="1" spans="1:19">
      <c r="A1047" s="15"/>
      <c r="B1047" s="55"/>
      <c r="C1047" s="56"/>
      <c r="D1047" s="68">
        <v>46289</v>
      </c>
      <c r="E1047" s="69"/>
      <c r="F1047" s="69" t="s">
        <v>26</v>
      </c>
      <c r="G1047" s="65" t="s">
        <v>27</v>
      </c>
      <c r="H1047" s="65" t="s">
        <v>46</v>
      </c>
      <c r="I1047" s="70" t="s">
        <v>559</v>
      </c>
      <c r="J1047" s="71"/>
      <c r="K1047" s="71">
        <v>750</v>
      </c>
      <c r="L1047" s="72">
        <f>IFERROR(IF(G1047="","",VLOOKUP($G1047,[1]基础信息!$B:$C,2,FALSE)+SUMIF(G$8:G1047,G1047,J$8:J1047)-SUMIF(G$8:G1047,G1047,K$8:K1047)+SUMIFS([1]内部转账!$G:$G,[1]内部转账!$C:$C,"&lt;="&amp;$D1047,[1]内部转账!$E:$E,$G1047)-SUMIFS([1]内部转账!$G:$G,[1]内部转账!$C:$C,"&lt;="&amp;$D1047,[1]内部转账!$F:$F,$G1047)),"")</f>
        <v>365644.509999995</v>
      </c>
      <c r="M1047" s="64" t="s">
        <v>150</v>
      </c>
      <c r="N1047" s="69"/>
      <c r="O1047" s="64"/>
      <c r="P1047" s="64"/>
      <c r="Q1047" s="69"/>
      <c r="R1047" s="69"/>
      <c r="S1047" s="69"/>
    </row>
    <row r="1048" s="2" customFormat="1" ht="24.95" customHeight="1" spans="1:19">
      <c r="A1048" s="15"/>
      <c r="B1048" s="55"/>
      <c r="C1048" s="56"/>
      <c r="D1048" s="68">
        <v>46289</v>
      </c>
      <c r="E1048" s="69"/>
      <c r="F1048" s="69" t="s">
        <v>26</v>
      </c>
      <c r="G1048" s="65" t="s">
        <v>27</v>
      </c>
      <c r="H1048" s="65" t="s">
        <v>46</v>
      </c>
      <c r="I1048" s="70" t="s">
        <v>47</v>
      </c>
      <c r="J1048" s="71"/>
      <c r="K1048" s="71">
        <v>3000</v>
      </c>
      <c r="L1048" s="72">
        <f>IFERROR(IF(G1048="","",VLOOKUP($G1048,[1]基础信息!$B:$C,2,FALSE)+SUMIF(G$8:G1048,G1048,J$8:J1048)-SUMIF(G$8:G1048,G1048,K$8:K1048)+SUMIFS([1]内部转账!$G:$G,[1]内部转账!$C:$C,"&lt;="&amp;$D1048,[1]内部转账!$E:$E,$G1048)-SUMIFS([1]内部转账!$G:$G,[1]内部转账!$C:$C,"&lt;="&amp;$D1048,[1]内部转账!$F:$F,$G1048)),"")</f>
        <v>362644.509999995</v>
      </c>
      <c r="M1048" s="64"/>
      <c r="N1048" s="69"/>
      <c r="O1048" s="64"/>
      <c r="P1048" s="64"/>
      <c r="Q1048" s="69"/>
      <c r="R1048" s="69"/>
      <c r="S1048" s="69"/>
    </row>
    <row r="1049" s="2" customFormat="1" ht="24.95" customHeight="1" spans="1:19">
      <c r="A1049" s="15"/>
      <c r="B1049" s="55"/>
      <c r="C1049" s="56"/>
      <c r="D1049" s="68">
        <v>46289</v>
      </c>
      <c r="E1049" s="69"/>
      <c r="F1049" s="69" t="s">
        <v>26</v>
      </c>
      <c r="G1049" s="65" t="s">
        <v>27</v>
      </c>
      <c r="H1049" s="65" t="s">
        <v>46</v>
      </c>
      <c r="I1049" s="70" t="s">
        <v>48</v>
      </c>
      <c r="J1049" s="71"/>
      <c r="K1049" s="71">
        <v>3000</v>
      </c>
      <c r="L1049" s="72">
        <f>IFERROR(IF(G1049="","",VLOOKUP($G1049,[1]基础信息!$B:$C,2,FALSE)+SUMIF(G$8:G1049,G1049,J$8:J1049)-SUMIF(G$8:G1049,G1049,K$8:K1049)+SUMIFS([1]内部转账!$G:$G,[1]内部转账!$C:$C,"&lt;="&amp;$D1049,[1]内部转账!$E:$E,$G1049)-SUMIFS([1]内部转账!$G:$G,[1]内部转账!$C:$C,"&lt;="&amp;$D1049,[1]内部转账!$F:$F,$G1049)),"")</f>
        <v>359644.509999995</v>
      </c>
      <c r="M1049" s="64"/>
      <c r="N1049" s="69"/>
      <c r="O1049" s="64"/>
      <c r="P1049" s="64"/>
      <c r="Q1049" s="69"/>
      <c r="R1049" s="69"/>
      <c r="S1049" s="69"/>
    </row>
    <row r="1050" s="2" customFormat="1" ht="24.95" customHeight="1" spans="1:19">
      <c r="A1050" s="15"/>
      <c r="B1050" s="55"/>
      <c r="C1050" s="56"/>
      <c r="D1050" s="68">
        <v>46289</v>
      </c>
      <c r="E1050" s="69"/>
      <c r="F1050" s="69" t="s">
        <v>26</v>
      </c>
      <c r="G1050" s="65" t="s">
        <v>27</v>
      </c>
      <c r="H1050" s="65" t="s">
        <v>46</v>
      </c>
      <c r="I1050" s="70" t="s">
        <v>560</v>
      </c>
      <c r="J1050" s="71"/>
      <c r="K1050" s="71">
        <v>5000</v>
      </c>
      <c r="L1050" s="72">
        <f>IFERROR(IF(G1050="","",VLOOKUP($G1050,[1]基础信息!$B:$C,2,FALSE)+SUMIF(G$8:G1050,G1050,J$8:J1050)-SUMIF(G$8:G1050,G1050,K$8:K1050)+SUMIFS([1]内部转账!$G:$G,[1]内部转账!$C:$C,"&lt;="&amp;$D1050,[1]内部转账!$E:$E,$G1050)-SUMIFS([1]内部转账!$G:$G,[1]内部转账!$C:$C,"&lt;="&amp;$D1050,[1]内部转账!$F:$F,$G1050)),"")</f>
        <v>354644.509999995</v>
      </c>
      <c r="M1050" s="64" t="s">
        <v>150</v>
      </c>
      <c r="N1050" s="69"/>
      <c r="O1050" s="64"/>
      <c r="P1050" s="64"/>
      <c r="Q1050" s="69"/>
      <c r="R1050" s="69"/>
      <c r="S1050" s="69"/>
    </row>
    <row r="1051" s="2" customFormat="1" ht="24.95" customHeight="1" spans="1:19">
      <c r="A1051" s="15"/>
      <c r="B1051" s="55"/>
      <c r="C1051" s="56"/>
      <c r="D1051" s="68">
        <v>46289</v>
      </c>
      <c r="E1051" s="69"/>
      <c r="F1051" s="69" t="s">
        <v>26</v>
      </c>
      <c r="G1051" s="65" t="s">
        <v>27</v>
      </c>
      <c r="H1051" s="65" t="s">
        <v>58</v>
      </c>
      <c r="I1051" s="70" t="s">
        <v>561</v>
      </c>
      <c r="J1051" s="71"/>
      <c r="K1051" s="71">
        <v>3000</v>
      </c>
      <c r="L1051" s="72">
        <f>IFERROR(IF(G1051="","",VLOOKUP($G1051,[1]基础信息!$B:$C,2,FALSE)+SUMIF(G$8:G1051,G1051,J$8:J1051)-SUMIF(G$8:G1051,G1051,K$8:K1051)+SUMIFS([1]内部转账!$G:$G,[1]内部转账!$C:$C,"&lt;="&amp;$D1051,[1]内部转账!$E:$E,$G1051)-SUMIFS([1]内部转账!$G:$G,[1]内部转账!$C:$C,"&lt;="&amp;$D1051,[1]内部转账!$F:$F,$G1051)),"")</f>
        <v>351644.509999995</v>
      </c>
      <c r="M1051" s="64" t="s">
        <v>235</v>
      </c>
      <c r="N1051" s="69" t="s">
        <v>562</v>
      </c>
      <c r="O1051" s="64"/>
      <c r="P1051" s="64"/>
      <c r="Q1051" s="69"/>
      <c r="R1051" s="69"/>
      <c r="S1051" s="69"/>
    </row>
    <row r="1052" s="2" customFormat="1" ht="24.95" customHeight="1" spans="1:19">
      <c r="A1052" s="15"/>
      <c r="B1052" s="55"/>
      <c r="C1052" s="56"/>
      <c r="D1052" s="68">
        <v>46289</v>
      </c>
      <c r="E1052" s="69"/>
      <c r="F1052" s="69" t="s">
        <v>26</v>
      </c>
      <c r="G1052" s="65" t="s">
        <v>27</v>
      </c>
      <c r="H1052" s="65" t="s">
        <v>58</v>
      </c>
      <c r="I1052" s="70" t="s">
        <v>561</v>
      </c>
      <c r="J1052" s="71"/>
      <c r="K1052" s="71">
        <v>-3000</v>
      </c>
      <c r="L1052" s="72">
        <f>IFERROR(IF(G1052="","",VLOOKUP($G1052,[1]基础信息!$B:$C,2,FALSE)+SUMIF(G$8:G1052,G1052,J$8:J1052)-SUMIF(G$8:G1052,G1052,K$8:K1052)+SUMIFS([1]内部转账!$G:$G,[1]内部转账!$C:$C,"&lt;="&amp;$D1052,[1]内部转账!$E:$E,$G1052)-SUMIFS([1]内部转账!$G:$G,[1]内部转账!$C:$C,"&lt;="&amp;$D1052,[1]内部转账!$F:$F,$G1052)),"")</f>
        <v>354644.509999995</v>
      </c>
      <c r="M1052" s="64" t="s">
        <v>235</v>
      </c>
      <c r="N1052" s="69" t="s">
        <v>562</v>
      </c>
      <c r="O1052" s="64"/>
      <c r="P1052" s="64"/>
      <c r="Q1052" s="69"/>
      <c r="R1052" s="69"/>
      <c r="S1052" s="69"/>
    </row>
    <row r="1053" s="2" customFormat="1" ht="24.95" customHeight="1" spans="1:19">
      <c r="A1053" s="15"/>
      <c r="B1053" s="55"/>
      <c r="C1053" s="56"/>
      <c r="D1053" s="68">
        <v>46289</v>
      </c>
      <c r="E1053" s="69"/>
      <c r="F1053" s="69" t="s">
        <v>26</v>
      </c>
      <c r="G1053" s="65" t="s">
        <v>27</v>
      </c>
      <c r="H1053" s="65" t="s">
        <v>58</v>
      </c>
      <c r="I1053" s="70" t="s">
        <v>561</v>
      </c>
      <c r="J1053" s="71"/>
      <c r="K1053" s="71">
        <v>3000</v>
      </c>
      <c r="L1053" s="72">
        <f>IFERROR(IF(G1053="","",VLOOKUP($G1053,[1]基础信息!$B:$C,2,FALSE)+SUMIF(G$8:G1053,G1053,J$8:J1053)-SUMIF(G$8:G1053,G1053,K$8:K1053)+SUMIFS([1]内部转账!$G:$G,[1]内部转账!$C:$C,"&lt;="&amp;$D1053,[1]内部转账!$E:$E,$G1053)-SUMIFS([1]内部转账!$G:$G,[1]内部转账!$C:$C,"&lt;="&amp;$D1053,[1]内部转账!$F:$F,$G1053)),"")</f>
        <v>351644.509999995</v>
      </c>
      <c r="M1053" s="64" t="s">
        <v>235</v>
      </c>
      <c r="N1053" s="69" t="s">
        <v>562</v>
      </c>
      <c r="O1053" s="64"/>
      <c r="P1053" s="64"/>
      <c r="Q1053" s="69"/>
      <c r="R1053" s="69"/>
      <c r="S1053" s="69"/>
    </row>
    <row r="1054" s="2" customFormat="1" ht="24.95" customHeight="1" spans="1:19">
      <c r="A1054" s="15"/>
      <c r="B1054" s="55"/>
      <c r="C1054" s="56"/>
      <c r="D1054" s="68">
        <v>46289</v>
      </c>
      <c r="E1054" s="69"/>
      <c r="F1054" s="69" t="s">
        <v>26</v>
      </c>
      <c r="G1054" s="65" t="s">
        <v>27</v>
      </c>
      <c r="H1054" s="65" t="s">
        <v>58</v>
      </c>
      <c r="I1054" s="70" t="s">
        <v>561</v>
      </c>
      <c r="J1054" s="71"/>
      <c r="K1054" s="71">
        <v>5000</v>
      </c>
      <c r="L1054" s="72">
        <f>IFERROR(IF(G1054="","",VLOOKUP($G1054,[1]基础信息!$B:$C,2,FALSE)+SUMIF(G$8:G1054,G1054,J$8:J1054)-SUMIF(G$8:G1054,G1054,K$8:K1054)+SUMIFS([1]内部转账!$G:$G,[1]内部转账!$C:$C,"&lt;="&amp;$D1054,[1]内部转账!$E:$E,$G1054)-SUMIFS([1]内部转账!$G:$G,[1]内部转账!$C:$C,"&lt;="&amp;$D1054,[1]内部转账!$F:$F,$G1054)),"")</f>
        <v>346644.509999995</v>
      </c>
      <c r="M1054" s="64" t="s">
        <v>317</v>
      </c>
      <c r="N1054" s="69" t="s">
        <v>563</v>
      </c>
      <c r="O1054" s="64"/>
      <c r="P1054" s="64"/>
      <c r="Q1054" s="69"/>
      <c r="R1054" s="69"/>
      <c r="S1054" s="69"/>
    </row>
    <row r="1055" s="2" customFormat="1" ht="24.95" customHeight="1" spans="1:19">
      <c r="A1055" s="15"/>
      <c r="B1055" s="55"/>
      <c r="C1055" s="56"/>
      <c r="D1055" s="68">
        <v>46290</v>
      </c>
      <c r="E1055" s="69"/>
      <c r="F1055" s="69" t="s">
        <v>26</v>
      </c>
      <c r="G1055" s="65" t="s">
        <v>27</v>
      </c>
      <c r="H1055" s="65" t="s">
        <v>46</v>
      </c>
      <c r="I1055" s="70" t="s">
        <v>564</v>
      </c>
      <c r="J1055" s="71"/>
      <c r="K1055" s="71">
        <v>3000</v>
      </c>
      <c r="L1055" s="72">
        <f>IFERROR(IF(G1055="","",VLOOKUP($G1055,[1]基础信息!$B:$C,2,FALSE)+SUMIF(G$8:G1055,G1055,J$8:J1055)-SUMIF(G$8:G1055,G1055,K$8:K1055)+SUMIFS([1]内部转账!$G:$G,[1]内部转账!$C:$C,"&lt;="&amp;$D1055,[1]内部转账!$E:$E,$G1055)-SUMIFS([1]内部转账!$G:$G,[1]内部转账!$C:$C,"&lt;="&amp;$D1055,[1]内部转账!$F:$F,$G1055)),"")</f>
        <v>343644.509999995</v>
      </c>
      <c r="M1055" s="64" t="s">
        <v>150</v>
      </c>
      <c r="N1055" s="69"/>
      <c r="O1055" s="64"/>
      <c r="P1055" s="64"/>
      <c r="Q1055" s="69"/>
      <c r="R1055" s="69"/>
      <c r="S1055" s="69"/>
    </row>
    <row r="1056" s="2" customFormat="1" ht="24.95" customHeight="1" spans="1:19">
      <c r="A1056" s="15"/>
      <c r="B1056" s="55"/>
      <c r="C1056" s="56"/>
      <c r="D1056" s="68">
        <v>46290</v>
      </c>
      <c r="E1056" s="69"/>
      <c r="F1056" s="69" t="s">
        <v>26</v>
      </c>
      <c r="G1056" s="65" t="s">
        <v>27</v>
      </c>
      <c r="H1056" s="65" t="s">
        <v>46</v>
      </c>
      <c r="I1056" s="70" t="s">
        <v>565</v>
      </c>
      <c r="J1056" s="71"/>
      <c r="K1056" s="71">
        <v>3000</v>
      </c>
      <c r="L1056" s="72">
        <f>IFERROR(IF(G1056="","",VLOOKUP($G1056,[1]基础信息!$B:$C,2,FALSE)+SUMIF(G$8:G1056,G1056,J$8:J1056)-SUMIF(G$8:G1056,G1056,K$8:K1056)+SUMIFS([1]内部转账!$G:$G,[1]内部转账!$C:$C,"&lt;="&amp;$D1056,[1]内部转账!$E:$E,$G1056)-SUMIFS([1]内部转账!$G:$G,[1]内部转账!$C:$C,"&lt;="&amp;$D1056,[1]内部转账!$F:$F,$G1056)),"")</f>
        <v>340644.509999995</v>
      </c>
      <c r="M1056" s="64" t="s">
        <v>150</v>
      </c>
      <c r="N1056" s="69"/>
      <c r="O1056" s="64"/>
      <c r="P1056" s="64"/>
      <c r="Q1056" s="69"/>
      <c r="R1056" s="69"/>
      <c r="S1056" s="69"/>
    </row>
    <row r="1057" s="2" customFormat="1" ht="24.95" customHeight="1" spans="1:19">
      <c r="A1057" s="15"/>
      <c r="B1057" s="55"/>
      <c r="C1057" s="56"/>
      <c r="D1057" s="68">
        <v>46290</v>
      </c>
      <c r="E1057" s="69"/>
      <c r="F1057" s="69" t="s">
        <v>26</v>
      </c>
      <c r="G1057" s="65" t="s">
        <v>27</v>
      </c>
      <c r="H1057" s="65" t="s">
        <v>46</v>
      </c>
      <c r="I1057" s="70" t="s">
        <v>565</v>
      </c>
      <c r="J1057" s="71"/>
      <c r="K1057" s="71">
        <v>-3000</v>
      </c>
      <c r="L1057" s="72">
        <f>IFERROR(IF(G1057="","",VLOOKUP($G1057,[1]基础信息!$B:$C,2,FALSE)+SUMIF(G$8:G1057,G1057,J$8:J1057)-SUMIF(G$8:G1057,G1057,K$8:K1057)+SUMIFS([1]内部转账!$G:$G,[1]内部转账!$C:$C,"&lt;="&amp;$D1057,[1]内部转账!$E:$E,$G1057)-SUMIFS([1]内部转账!$G:$G,[1]内部转账!$C:$C,"&lt;="&amp;$D1057,[1]内部转账!$F:$F,$G1057)),"")</f>
        <v>343644.509999995</v>
      </c>
      <c r="M1057" s="64" t="s">
        <v>150</v>
      </c>
      <c r="N1057" s="69"/>
      <c r="O1057" s="64"/>
      <c r="P1057" s="64"/>
      <c r="Q1057" s="69"/>
      <c r="R1057" s="69"/>
      <c r="S1057" s="69"/>
    </row>
    <row r="1058" s="2" customFormat="1" ht="24.95" customHeight="1" spans="1:19">
      <c r="A1058" s="15"/>
      <c r="B1058" s="55"/>
      <c r="C1058" s="56"/>
      <c r="D1058" s="68">
        <v>46290</v>
      </c>
      <c r="E1058" s="69"/>
      <c r="F1058" s="69" t="s">
        <v>26</v>
      </c>
      <c r="G1058" s="65" t="s">
        <v>27</v>
      </c>
      <c r="H1058" s="65" t="s">
        <v>46</v>
      </c>
      <c r="I1058" s="70" t="s">
        <v>566</v>
      </c>
      <c r="J1058" s="71"/>
      <c r="K1058" s="71">
        <v>3000</v>
      </c>
      <c r="L1058" s="72">
        <f>IFERROR(IF(G1058="","",VLOOKUP($G1058,[1]基础信息!$B:$C,2,FALSE)+SUMIF(G$8:G1058,G1058,J$8:J1058)-SUMIF(G$8:G1058,G1058,K$8:K1058)+SUMIFS([1]内部转账!$G:$G,[1]内部转账!$C:$C,"&lt;="&amp;$D1058,[1]内部转账!$E:$E,$G1058)-SUMIFS([1]内部转账!$G:$G,[1]内部转账!$C:$C,"&lt;="&amp;$D1058,[1]内部转账!$F:$F,$G1058)),"")</f>
        <v>340644.509999995</v>
      </c>
      <c r="M1058" s="64" t="s">
        <v>150</v>
      </c>
      <c r="N1058" s="69"/>
      <c r="O1058" s="64"/>
      <c r="P1058" s="64"/>
      <c r="Q1058" s="69"/>
      <c r="R1058" s="69"/>
      <c r="S1058" s="69"/>
    </row>
    <row r="1059" s="2" customFormat="1" ht="24.95" customHeight="1" spans="1:19">
      <c r="A1059" s="15"/>
      <c r="B1059" s="55"/>
      <c r="C1059" s="56"/>
      <c r="D1059" s="68">
        <v>46291</v>
      </c>
      <c r="E1059" s="69"/>
      <c r="F1059" s="69" t="s">
        <v>26</v>
      </c>
      <c r="G1059" s="65" t="s">
        <v>27</v>
      </c>
      <c r="H1059" s="65" t="s">
        <v>46</v>
      </c>
      <c r="I1059" s="70" t="s">
        <v>565</v>
      </c>
      <c r="J1059" s="71"/>
      <c r="K1059" s="71">
        <v>3000</v>
      </c>
      <c r="L1059" s="72">
        <f>IFERROR(IF(G1059="","",VLOOKUP($G1059,[1]基础信息!$B:$C,2,FALSE)+SUMIF(G$8:G1059,G1059,J$8:J1059)-SUMIF(G$8:G1059,G1059,K$8:K1059)+SUMIFS([1]内部转账!$G:$G,[1]内部转账!$C:$C,"&lt;="&amp;$D1059,[1]内部转账!$E:$E,$G1059)-SUMIFS([1]内部转账!$G:$G,[1]内部转账!$C:$C,"&lt;="&amp;$D1059,[1]内部转账!$F:$F,$G1059)),"")</f>
        <v>337644.509999995</v>
      </c>
      <c r="M1059" s="64" t="s">
        <v>150</v>
      </c>
      <c r="N1059" s="69"/>
      <c r="O1059" s="64"/>
      <c r="P1059" s="64"/>
      <c r="Q1059" s="69"/>
      <c r="R1059" s="69"/>
      <c r="S1059" s="69"/>
    </row>
    <row r="1060" s="2" customFormat="1" ht="24.95" customHeight="1" spans="1:19">
      <c r="A1060" s="15"/>
      <c r="B1060" s="55"/>
      <c r="C1060" s="56"/>
      <c r="D1060" s="68">
        <v>46293</v>
      </c>
      <c r="E1060" s="69"/>
      <c r="F1060" s="69" t="s">
        <v>26</v>
      </c>
      <c r="G1060" s="65" t="s">
        <v>27</v>
      </c>
      <c r="H1060" s="65" t="s">
        <v>58</v>
      </c>
      <c r="I1060" s="70" t="s">
        <v>567</v>
      </c>
      <c r="J1060" s="71"/>
      <c r="K1060" s="71">
        <v>1000</v>
      </c>
      <c r="L1060" s="72">
        <f>IFERROR(IF(G1060="","",VLOOKUP($G1060,[1]基础信息!$B:$C,2,FALSE)+SUMIF(G$8:G1060,G1060,J$8:J1060)-SUMIF(G$8:G1060,G1060,K$8:K1060)+SUMIFS([1]内部转账!$G:$G,[1]内部转账!$C:$C,"&lt;="&amp;$D1060,[1]内部转账!$E:$E,$G1060)-SUMIFS([1]内部转账!$G:$G,[1]内部转账!$C:$C,"&lt;="&amp;$D1060,[1]内部转账!$F:$F,$G1060)),"")</f>
        <v>336644.509999995</v>
      </c>
      <c r="M1060" s="64" t="s">
        <v>35</v>
      </c>
      <c r="N1060" s="69"/>
      <c r="O1060" s="64"/>
      <c r="P1060" s="64"/>
      <c r="Q1060" s="69"/>
      <c r="R1060" s="69"/>
      <c r="S1060" s="69"/>
    </row>
    <row r="1061" s="2" customFormat="1" ht="24.95" customHeight="1" spans="1:19">
      <c r="A1061" s="15"/>
      <c r="B1061" s="55"/>
      <c r="C1061" s="56"/>
      <c r="D1061" s="68">
        <v>46293</v>
      </c>
      <c r="E1061" s="69"/>
      <c r="F1061" s="69" t="s">
        <v>26</v>
      </c>
      <c r="G1061" s="65" t="s">
        <v>27</v>
      </c>
      <c r="H1061" s="65" t="s">
        <v>62</v>
      </c>
      <c r="I1061" s="70" t="s">
        <v>568</v>
      </c>
      <c r="J1061" s="71"/>
      <c r="K1061" s="71">
        <v>18503</v>
      </c>
      <c r="L1061" s="72">
        <f>IFERROR(IF(G1061="","",VLOOKUP($G1061,[1]基础信息!$B:$C,2,FALSE)+SUMIF(G$8:G1061,G1061,J$8:J1061)-SUMIF(G$8:G1061,G1061,K$8:K1061)+SUMIFS([1]内部转账!$G:$G,[1]内部转账!$C:$C,"&lt;="&amp;$D1061,[1]内部转账!$E:$E,$G1061)-SUMIFS([1]内部转账!$G:$G,[1]内部转账!$C:$C,"&lt;="&amp;$D1061,[1]内部转账!$F:$F,$G1061)),"")</f>
        <v>318141.509999995</v>
      </c>
      <c r="M1061" s="64" t="s">
        <v>569</v>
      </c>
      <c r="N1061" s="69"/>
      <c r="O1061" s="64"/>
      <c r="P1061" s="64" t="s">
        <v>570</v>
      </c>
      <c r="Q1061" s="69"/>
      <c r="R1061" s="69"/>
      <c r="S1061" s="69"/>
    </row>
    <row r="1062" s="2" customFormat="1" ht="24.95" customHeight="1" spans="1:19">
      <c r="A1062" s="15"/>
      <c r="B1062" s="55"/>
      <c r="C1062" s="56"/>
      <c r="D1062" s="68">
        <v>46293</v>
      </c>
      <c r="E1062" s="69"/>
      <c r="F1062" s="69" t="s">
        <v>26</v>
      </c>
      <c r="G1062" s="65" t="s">
        <v>27</v>
      </c>
      <c r="H1062" s="65" t="s">
        <v>62</v>
      </c>
      <c r="I1062" s="70" t="s">
        <v>568</v>
      </c>
      <c r="J1062" s="71"/>
      <c r="K1062" s="71">
        <v>-18503</v>
      </c>
      <c r="L1062" s="72">
        <f>IFERROR(IF(G1062="","",VLOOKUP($G1062,[1]基础信息!$B:$C,2,FALSE)+SUMIF(G$8:G1062,G1062,J$8:J1062)-SUMIF(G$8:G1062,G1062,K$8:K1062)+SUMIFS([1]内部转账!$G:$G,[1]内部转账!$C:$C,"&lt;="&amp;$D1062,[1]内部转账!$E:$E,$G1062)-SUMIFS([1]内部转账!$G:$G,[1]内部转账!$C:$C,"&lt;="&amp;$D1062,[1]内部转账!$F:$F,$G1062)),"")</f>
        <v>336644.509999995</v>
      </c>
      <c r="M1062" s="64" t="s">
        <v>569</v>
      </c>
      <c r="N1062" s="69"/>
      <c r="O1062" s="64"/>
      <c r="P1062" s="64" t="s">
        <v>570</v>
      </c>
      <c r="Q1062" s="69"/>
      <c r="R1062" s="69"/>
      <c r="S1062" s="69"/>
    </row>
    <row r="1063" s="2" customFormat="1" ht="24.95" customHeight="1" spans="1:19">
      <c r="A1063" s="15"/>
      <c r="B1063" s="55"/>
      <c r="C1063" s="56"/>
      <c r="D1063" s="68">
        <v>46293</v>
      </c>
      <c r="E1063" s="69"/>
      <c r="F1063" s="69" t="s">
        <v>26</v>
      </c>
      <c r="G1063" s="65" t="s">
        <v>27</v>
      </c>
      <c r="H1063" s="65" t="s">
        <v>62</v>
      </c>
      <c r="I1063" s="70" t="s">
        <v>568</v>
      </c>
      <c r="J1063" s="71"/>
      <c r="K1063" s="71">
        <v>18503</v>
      </c>
      <c r="L1063" s="72">
        <f>IFERROR(IF(G1063="","",VLOOKUP($G1063,[1]基础信息!$B:$C,2,FALSE)+SUMIF(G$8:G1063,G1063,J$8:J1063)-SUMIF(G$8:G1063,G1063,K$8:K1063)+SUMIFS([1]内部转账!$G:$G,[1]内部转账!$C:$C,"&lt;="&amp;$D1063,[1]内部转账!$E:$E,$G1063)-SUMIFS([1]内部转账!$G:$G,[1]内部转账!$C:$C,"&lt;="&amp;$D1063,[1]内部转账!$F:$F,$G1063)),"")</f>
        <v>318141.509999995</v>
      </c>
      <c r="M1063" s="64" t="s">
        <v>569</v>
      </c>
      <c r="N1063" s="69"/>
      <c r="O1063" s="64"/>
      <c r="P1063" s="64" t="s">
        <v>570</v>
      </c>
      <c r="Q1063" s="69"/>
      <c r="R1063" s="69"/>
      <c r="S1063" s="69"/>
    </row>
    <row r="1064" s="2" customFormat="1" ht="24.95" customHeight="1" spans="1:19">
      <c r="A1064" s="15"/>
      <c r="B1064" s="55"/>
      <c r="C1064" s="56"/>
      <c r="D1064" s="68">
        <v>46294</v>
      </c>
      <c r="E1064" s="69"/>
      <c r="F1064" s="69" t="s">
        <v>26</v>
      </c>
      <c r="G1064" s="65" t="s">
        <v>27</v>
      </c>
      <c r="H1064" s="65" t="s">
        <v>62</v>
      </c>
      <c r="I1064" s="70" t="s">
        <v>568</v>
      </c>
      <c r="J1064" s="71"/>
      <c r="K1064" s="71">
        <v>300000</v>
      </c>
      <c r="L1064" s="72">
        <f>IFERROR(IF(G1064="","",VLOOKUP($G1064,[1]基础信息!$B:$C,2,FALSE)+SUMIF(G$8:G1064,G1064,J$8:J1064)-SUMIF(G$8:G1064,G1064,K$8:K1064)+SUMIFS([1]内部转账!$G:$G,[1]内部转账!$C:$C,"&lt;="&amp;$D1064,[1]内部转账!$E:$E,$G1064)-SUMIFS([1]内部转账!$G:$G,[1]内部转账!$C:$C,"&lt;="&amp;$D1064,[1]内部转账!$F:$F,$G1064)),"")</f>
        <v>18141.5099999951</v>
      </c>
      <c r="M1064" s="64" t="s">
        <v>531</v>
      </c>
      <c r="N1064" s="69"/>
      <c r="O1064" s="64"/>
      <c r="P1064" s="64" t="s">
        <v>571</v>
      </c>
      <c r="Q1064" s="69"/>
      <c r="R1064" s="69"/>
      <c r="S1064" s="69"/>
    </row>
    <row r="1065" s="2" customFormat="1" ht="24.95" customHeight="1" spans="1:19">
      <c r="A1065" s="15"/>
      <c r="B1065" s="55"/>
      <c r="C1065" s="56"/>
      <c r="D1065" s="68">
        <v>46295</v>
      </c>
      <c r="E1065" s="69"/>
      <c r="F1065" s="69" t="s">
        <v>42</v>
      </c>
      <c r="G1065" s="65" t="s">
        <v>27</v>
      </c>
      <c r="H1065" s="65" t="s">
        <v>43</v>
      </c>
      <c r="I1065" s="70" t="s">
        <v>572</v>
      </c>
      <c r="J1065" s="71">
        <v>24587.97</v>
      </c>
      <c r="K1065" s="71"/>
      <c r="L1065" s="72">
        <f>IFERROR(IF(G1065="","",VLOOKUP($G1065,[1]基础信息!$B:$C,2,FALSE)+SUMIF(G$8:G1065,G1065,J$8:J1065)-SUMIF(G$8:G1065,G1065,K$8:K1065)+SUMIFS([1]内部转账!$G:$G,[1]内部转账!$C:$C,"&lt;="&amp;$D1065,[1]内部转账!$E:$E,$G1065)-SUMIFS([1]内部转账!$G:$G,[1]内部转账!$C:$C,"&lt;="&amp;$D1065,[1]内部转账!$F:$F,$G1065)),"")</f>
        <v>42729.4799999949</v>
      </c>
      <c r="M1065" s="64" t="s">
        <v>235</v>
      </c>
      <c r="N1065" s="69"/>
      <c r="O1065" s="64"/>
      <c r="P1065" s="64"/>
      <c r="Q1065" s="69"/>
      <c r="R1065" s="69"/>
      <c r="S1065" s="69"/>
    </row>
    <row r="1066" s="2" customFormat="1" ht="24.95" customHeight="1" spans="1:19">
      <c r="A1066" s="15"/>
      <c r="B1066" s="55"/>
      <c r="C1066" s="56"/>
      <c r="D1066" s="68">
        <v>46295</v>
      </c>
      <c r="E1066" s="69"/>
      <c r="F1066" s="69" t="s">
        <v>26</v>
      </c>
      <c r="G1066" s="65" t="s">
        <v>27</v>
      </c>
      <c r="H1066" s="65" t="s">
        <v>28</v>
      </c>
      <c r="I1066" s="70" t="s">
        <v>432</v>
      </c>
      <c r="J1066" s="71"/>
      <c r="K1066" s="71">
        <v>40000</v>
      </c>
      <c r="L1066" s="72">
        <f>IFERROR(IF(G1066="","",VLOOKUP($G1066,[1]基础信息!$B:$C,2,FALSE)+SUMIF(G$8:G1066,G1066,J$8:J1066)-SUMIF(G$8:G1066,G1066,K$8:K1066)+SUMIFS([1]内部转账!$G:$G,[1]内部转账!$C:$C,"&lt;="&amp;$D1066,[1]内部转账!$E:$E,$G1066)-SUMIFS([1]内部转账!$G:$G,[1]内部转账!$C:$C,"&lt;="&amp;$D1066,[1]内部转账!$F:$F,$G1066)),"")</f>
        <v>2729.47999999486</v>
      </c>
      <c r="M1066" s="64" t="s">
        <v>30</v>
      </c>
      <c r="N1066" s="69" t="s">
        <v>31</v>
      </c>
      <c r="O1066" s="64"/>
      <c r="P1066" s="64"/>
      <c r="Q1066" s="69"/>
      <c r="R1066" s="69"/>
      <c r="S1066" s="69"/>
    </row>
    <row r="1067" s="2" customFormat="1" ht="24.95" customHeight="1" spans="1:19">
      <c r="A1067" s="15"/>
      <c r="B1067" s="55"/>
      <c r="C1067" s="56"/>
      <c r="D1067" s="68">
        <v>46284</v>
      </c>
      <c r="E1067" s="69"/>
      <c r="F1067" s="69" t="s">
        <v>26</v>
      </c>
      <c r="G1067" s="65" t="s">
        <v>400</v>
      </c>
      <c r="H1067" s="65" t="s">
        <v>490</v>
      </c>
      <c r="I1067" s="70" t="s">
        <v>491</v>
      </c>
      <c r="J1067" s="71"/>
      <c r="K1067" s="71">
        <v>-1100</v>
      </c>
      <c r="L1067" s="72">
        <f>IFERROR(IF(G1067="","",VLOOKUP($G1067,[1]基础信息!$B:$C,2,FALSE)+SUMIF(G$8:G1067,G1067,J$8:J1067)-SUMIF(G$8:G1067,G1067,K$8:K1067)+SUMIFS([1]内部转账!$G:$G,[1]内部转账!$C:$C,"&lt;="&amp;$D1067,[1]内部转账!$E:$E,$G1067)-SUMIFS([1]内部转账!$G:$G,[1]内部转账!$C:$C,"&lt;="&amp;$D1067,[1]内部转账!$F:$F,$G1067)),"")</f>
        <v>1180.03000000003</v>
      </c>
      <c r="M1067" s="64" t="s">
        <v>30</v>
      </c>
      <c r="N1067" s="69" t="s">
        <v>98</v>
      </c>
      <c r="O1067" s="64"/>
      <c r="P1067" s="64"/>
      <c r="Q1067" s="69"/>
      <c r="R1067" s="69"/>
      <c r="S1067" s="69"/>
    </row>
    <row r="1068" s="2" customFormat="1" ht="24.95" customHeight="1" spans="1:19">
      <c r="A1068" s="15"/>
      <c r="B1068" s="55"/>
      <c r="C1068" s="56"/>
      <c r="D1068" s="68">
        <v>46286</v>
      </c>
      <c r="E1068" s="69"/>
      <c r="F1068" s="69" t="s">
        <v>26</v>
      </c>
      <c r="G1068" s="65" t="s">
        <v>400</v>
      </c>
      <c r="H1068" s="65" t="s">
        <v>435</v>
      </c>
      <c r="I1068" s="70" t="s">
        <v>436</v>
      </c>
      <c r="J1068" s="71"/>
      <c r="K1068" s="71">
        <v>1088.01</v>
      </c>
      <c r="L1068" s="72">
        <f>IFERROR(IF(G1068="","",VLOOKUP($G1068,[1]基础信息!$B:$C,2,FALSE)+SUMIF(G$8:G1068,G1068,J$8:J1068)-SUMIF(G$8:G1068,G1068,K$8:K1068)+SUMIFS([1]内部转账!$G:$G,[1]内部转账!$C:$C,"&lt;="&amp;$D1068,[1]内部转账!$E:$E,$G1068)-SUMIFS([1]内部转账!$G:$G,[1]内部转账!$C:$C,"&lt;="&amp;$D1068,[1]内部转账!$F:$F,$G1068)),"")</f>
        <v>92.0200000000186</v>
      </c>
      <c r="M1068" s="64" t="s">
        <v>402</v>
      </c>
      <c r="N1068" s="69"/>
      <c r="O1068" s="64"/>
      <c r="P1068" s="64"/>
      <c r="Q1068" s="69"/>
      <c r="R1068" s="69"/>
      <c r="S1068" s="69"/>
    </row>
    <row r="1069" s="2" customFormat="1" ht="24.95" customHeight="1" spans="1:19">
      <c r="A1069" s="15"/>
      <c r="B1069" s="55"/>
      <c r="C1069" s="56"/>
      <c r="D1069" s="68">
        <v>46286</v>
      </c>
      <c r="E1069" s="69"/>
      <c r="F1069" s="69" t="s">
        <v>26</v>
      </c>
      <c r="G1069" s="65" t="s">
        <v>400</v>
      </c>
      <c r="H1069" s="65" t="s">
        <v>435</v>
      </c>
      <c r="I1069" s="70" t="s">
        <v>34</v>
      </c>
      <c r="J1069" s="71"/>
      <c r="K1069" s="71">
        <v>-0.02</v>
      </c>
      <c r="L1069" s="72">
        <f>IFERROR(IF(G1069="","",VLOOKUP($G1069,[1]基础信息!$B:$C,2,FALSE)+SUMIF(G$8:G1069,G1069,J$8:J1069)-SUMIF(G$8:G1069,G1069,K$8:K1069)+SUMIFS([1]内部转账!$G:$G,[1]内部转账!$C:$C,"&lt;="&amp;$D1069,[1]内部转账!$E:$E,$G1069)-SUMIFS([1]内部转账!$G:$G,[1]内部转账!$C:$C,"&lt;="&amp;$D1069,[1]内部转账!$F:$F,$G1069)),"")</f>
        <v>92.0400000000373</v>
      </c>
      <c r="M1069" s="64" t="s">
        <v>35</v>
      </c>
      <c r="N1069" s="69"/>
      <c r="O1069" s="64"/>
      <c r="P1069" s="64"/>
      <c r="Q1069" s="69"/>
      <c r="R1069" s="69"/>
      <c r="S1069" s="69"/>
    </row>
    <row r="1070" s="2" customFormat="1" ht="24.95" customHeight="1" spans="1:19">
      <c r="A1070" s="15"/>
      <c r="B1070" s="55"/>
      <c r="C1070" s="56"/>
      <c r="D1070" s="68"/>
      <c r="E1070" s="69"/>
      <c r="F1070" s="69"/>
      <c r="G1070" s="65"/>
      <c r="H1070" s="65"/>
      <c r="I1070" s="70"/>
      <c r="J1070" s="71"/>
      <c r="K1070" s="71"/>
      <c r="L1070" s="72" t="str">
        <f>IFERROR(IF(G1070="","",VLOOKUP($G1070,[1]基础信息!$B:$C,2,FALSE)+SUMIF(G$8:G1070,G1070,J$8:J1070)-SUMIF(G$8:G1070,G1070,K$8:K1070)+SUMIFS([1]内部转账!$G:$G,[1]内部转账!$C:$C,"&lt;="&amp;$D1070,[1]内部转账!$E:$E,$G1070)-SUMIFS([1]内部转账!$G:$G,[1]内部转账!$C:$C,"&lt;="&amp;$D1070,[1]内部转账!$F:$F,$G1070)),"")</f>
        <v/>
      </c>
      <c r="M1070" s="64"/>
      <c r="N1070" s="69"/>
      <c r="O1070" s="64"/>
      <c r="P1070" s="64"/>
      <c r="Q1070" s="69"/>
      <c r="R1070" s="69"/>
      <c r="S1070" s="69"/>
    </row>
    <row r="1071" s="2" customFormat="1" ht="24.95" customHeight="1" spans="1:19">
      <c r="A1071" s="15"/>
      <c r="B1071" s="55"/>
      <c r="C1071" s="56"/>
      <c r="D1071" s="68"/>
      <c r="E1071" s="69"/>
      <c r="F1071" s="69"/>
      <c r="G1071" s="65"/>
      <c r="H1071" s="65"/>
      <c r="I1071" s="70"/>
      <c r="J1071" s="71"/>
      <c r="K1071" s="71"/>
      <c r="L1071" s="72" t="str">
        <f>IFERROR(IF(G1071="","",VLOOKUP($G1071,[1]基础信息!$B:$C,2,FALSE)+SUMIF(G$8:G1071,G1071,J$8:J1071)-SUMIF(G$8:G1071,G1071,K$8:K1071)+SUMIFS([1]内部转账!$G:$G,[1]内部转账!$C:$C,"&lt;="&amp;$D1071,[1]内部转账!$E:$E,$G1071)-SUMIFS([1]内部转账!$G:$G,[1]内部转账!$C:$C,"&lt;="&amp;$D1071,[1]内部转账!$F:$F,$G1071)),"")</f>
        <v/>
      </c>
      <c r="M1071" s="64"/>
      <c r="N1071" s="69"/>
      <c r="O1071" s="64"/>
      <c r="P1071" s="64"/>
      <c r="Q1071" s="69"/>
      <c r="R1071" s="69"/>
      <c r="S1071" s="69"/>
    </row>
    <row r="1072" s="2" customFormat="1" ht="24.95" customHeight="1" spans="1:19">
      <c r="A1072" s="15"/>
      <c r="B1072" s="55"/>
      <c r="C1072" s="56"/>
      <c r="D1072" s="68"/>
      <c r="E1072" s="69"/>
      <c r="F1072" s="69"/>
      <c r="G1072" s="65"/>
      <c r="H1072" s="65"/>
      <c r="I1072" s="70"/>
      <c r="J1072" s="71"/>
      <c r="K1072" s="71"/>
      <c r="L1072" s="72" t="str">
        <f>IFERROR(IF(G1072="","",VLOOKUP($G1072,[1]基础信息!$B:$C,2,FALSE)+SUMIF(G$8:G1072,G1072,J$8:J1072)-SUMIF(G$8:G1072,G1072,K$8:K1072)+SUMIFS([1]内部转账!$G:$G,[1]内部转账!$C:$C,"&lt;="&amp;$D1072,[1]内部转账!$E:$E,$G1072)-SUMIFS([1]内部转账!$G:$G,[1]内部转账!$C:$C,"&lt;="&amp;$D1072,[1]内部转账!$F:$F,$G1072)),"")</f>
        <v/>
      </c>
      <c r="M1072" s="64"/>
      <c r="N1072" s="69"/>
      <c r="O1072" s="64"/>
      <c r="P1072" s="64"/>
      <c r="Q1072" s="69"/>
      <c r="R1072" s="69"/>
      <c r="S1072" s="69"/>
    </row>
    <row r="1073" s="2" customFormat="1" ht="24.95" customHeight="1" spans="1:19">
      <c r="A1073" s="15"/>
      <c r="B1073" s="55"/>
      <c r="C1073" s="56"/>
      <c r="D1073" s="68"/>
      <c r="E1073" s="69"/>
      <c r="F1073" s="69"/>
      <c r="G1073" s="65"/>
      <c r="H1073" s="65"/>
      <c r="I1073" s="70"/>
      <c r="J1073" s="71"/>
      <c r="K1073" s="71"/>
      <c r="L1073" s="72" t="str">
        <f>IFERROR(IF(G1073="","",VLOOKUP($G1073,[1]基础信息!$B:$C,2,FALSE)+SUMIF(G$8:G1073,G1073,J$8:J1073)-SUMIF(G$8:G1073,G1073,K$8:K1073)+SUMIFS([1]内部转账!$G:$G,[1]内部转账!$C:$C,"&lt;="&amp;$D1073,[1]内部转账!$E:$E,$G1073)-SUMIFS([1]内部转账!$G:$G,[1]内部转账!$C:$C,"&lt;="&amp;$D1073,[1]内部转账!$F:$F,$G1073)),"")</f>
        <v/>
      </c>
      <c r="M1073" s="64"/>
      <c r="N1073" s="69"/>
      <c r="O1073" s="64"/>
      <c r="P1073" s="64"/>
      <c r="Q1073" s="69"/>
      <c r="R1073" s="69"/>
      <c r="S1073" s="69"/>
    </row>
    <row r="1074" s="2" customFormat="1" ht="24.95" customHeight="1" spans="1:19">
      <c r="A1074" s="15"/>
      <c r="B1074" s="55"/>
      <c r="C1074" s="56"/>
      <c r="D1074" s="68"/>
      <c r="E1074" s="69"/>
      <c r="F1074" s="69"/>
      <c r="G1074" s="65"/>
      <c r="H1074" s="65"/>
      <c r="I1074" s="70"/>
      <c r="J1074" s="71"/>
      <c r="K1074" s="71"/>
      <c r="L1074" s="72" t="str">
        <f>IFERROR(IF(G1074="","",VLOOKUP($G1074,[1]基础信息!$B:$C,2,FALSE)+SUMIF(G$8:G1074,G1074,J$8:J1074)-SUMIF(G$8:G1074,G1074,K$8:K1074)+SUMIFS([1]内部转账!$G:$G,[1]内部转账!$C:$C,"&lt;="&amp;$D1074,[1]内部转账!$E:$E,$G1074)-SUMIFS([1]内部转账!$G:$G,[1]内部转账!$C:$C,"&lt;="&amp;$D1074,[1]内部转账!$F:$F,$G1074)),"")</f>
        <v/>
      </c>
      <c r="M1074" s="64"/>
      <c r="N1074" s="69"/>
      <c r="O1074" s="64"/>
      <c r="P1074" s="64"/>
      <c r="Q1074" s="69"/>
      <c r="R1074" s="69"/>
      <c r="S1074" s="69"/>
    </row>
    <row r="1075" s="2" customFormat="1" ht="24.95" customHeight="1" spans="1:19">
      <c r="A1075" s="15"/>
      <c r="B1075" s="55"/>
      <c r="C1075" s="56"/>
      <c r="D1075" s="68"/>
      <c r="E1075" s="69"/>
      <c r="F1075" s="69"/>
      <c r="G1075" s="65"/>
      <c r="H1075" s="65"/>
      <c r="I1075" s="70"/>
      <c r="J1075" s="71"/>
      <c r="K1075" s="71"/>
      <c r="L1075" s="72" t="str">
        <f>IFERROR(IF(G1075="","",VLOOKUP($G1075,[1]基础信息!$B:$C,2,FALSE)+SUMIF(G$8:G1075,G1075,J$8:J1075)-SUMIF(G$8:G1075,G1075,K$8:K1075)+SUMIFS([1]内部转账!$G:$G,[1]内部转账!$C:$C,"&lt;="&amp;$D1075,[1]内部转账!$E:$E,$G1075)-SUMIFS([1]内部转账!$G:$G,[1]内部转账!$C:$C,"&lt;="&amp;$D1075,[1]内部转账!$F:$F,$G1075)),"")</f>
        <v/>
      </c>
      <c r="M1075" s="64"/>
      <c r="N1075" s="69"/>
      <c r="O1075" s="64"/>
      <c r="P1075" s="64"/>
      <c r="Q1075" s="69"/>
      <c r="R1075" s="69"/>
      <c r="S1075" s="69"/>
    </row>
    <row r="1076" s="2" customFormat="1" ht="24.95" customHeight="1" spans="1:19">
      <c r="A1076" s="15"/>
      <c r="B1076" s="55"/>
      <c r="C1076" s="56"/>
      <c r="D1076" s="68"/>
      <c r="E1076" s="69"/>
      <c r="F1076" s="69"/>
      <c r="G1076" s="65"/>
      <c r="H1076" s="65"/>
      <c r="I1076" s="70"/>
      <c r="J1076" s="71"/>
      <c r="K1076" s="71"/>
      <c r="L1076" s="72" t="str">
        <f>IFERROR(IF(G1076="","",VLOOKUP($G1076,[1]基础信息!$B:$C,2,FALSE)+SUMIF(G$8:G1076,G1076,J$8:J1076)-SUMIF(G$8:G1076,G1076,K$8:K1076)+SUMIFS([1]内部转账!$G:$G,[1]内部转账!$C:$C,"&lt;="&amp;$D1076,[1]内部转账!$E:$E,$G1076)-SUMIFS([1]内部转账!$G:$G,[1]内部转账!$C:$C,"&lt;="&amp;$D1076,[1]内部转账!$F:$F,$G1076)),"")</f>
        <v/>
      </c>
      <c r="M1076" s="64"/>
      <c r="N1076" s="69"/>
      <c r="O1076" s="64"/>
      <c r="P1076" s="64"/>
      <c r="Q1076" s="69"/>
      <c r="R1076" s="69"/>
      <c r="S1076" s="69"/>
    </row>
    <row r="1077" s="2" customFormat="1" ht="24.95" customHeight="1" spans="1:19">
      <c r="A1077" s="15"/>
      <c r="B1077" s="55"/>
      <c r="C1077" s="56"/>
      <c r="D1077" s="68"/>
      <c r="E1077" s="69"/>
      <c r="F1077" s="69"/>
      <c r="G1077" s="65"/>
      <c r="H1077" s="65"/>
      <c r="I1077" s="70"/>
      <c r="J1077" s="71"/>
      <c r="K1077" s="71"/>
      <c r="L1077" s="72" t="str">
        <f>IFERROR(IF(G1077="","",VLOOKUP($G1077,[1]基础信息!$B:$C,2,FALSE)+SUMIF(G$8:G1077,G1077,J$8:J1077)-SUMIF(G$8:G1077,G1077,K$8:K1077)+SUMIFS([1]内部转账!$G:$G,[1]内部转账!$C:$C,"&lt;="&amp;$D1077,[1]内部转账!$E:$E,$G1077)-SUMIFS([1]内部转账!$G:$G,[1]内部转账!$C:$C,"&lt;="&amp;$D1077,[1]内部转账!$F:$F,$G1077)),"")</f>
        <v/>
      </c>
      <c r="M1077" s="64"/>
      <c r="N1077" s="69"/>
      <c r="O1077" s="64"/>
      <c r="P1077" s="64"/>
      <c r="Q1077" s="69"/>
      <c r="R1077" s="69"/>
      <c r="S1077" s="69"/>
    </row>
    <row r="1078" s="2" customFormat="1" ht="24.95" customHeight="1" spans="1:19">
      <c r="A1078" s="15"/>
      <c r="B1078" s="55"/>
      <c r="C1078" s="56"/>
      <c r="D1078" s="68"/>
      <c r="E1078" s="69"/>
      <c r="F1078" s="69"/>
      <c r="G1078" s="65"/>
      <c r="H1078" s="65"/>
      <c r="I1078" s="70"/>
      <c r="J1078" s="71"/>
      <c r="K1078" s="71"/>
      <c r="L1078" s="72" t="str">
        <f>IFERROR(IF(G1078="","",VLOOKUP($G1078,[1]基础信息!$B:$C,2,FALSE)+SUMIF(G$8:G1078,G1078,J$8:J1078)-SUMIF(G$8:G1078,G1078,K$8:K1078)+SUMIFS([1]内部转账!$G:$G,[1]内部转账!$C:$C,"&lt;="&amp;$D1078,[1]内部转账!$E:$E,$G1078)-SUMIFS([1]内部转账!$G:$G,[1]内部转账!$C:$C,"&lt;="&amp;$D1078,[1]内部转账!$F:$F,$G1078)),"")</f>
        <v/>
      </c>
      <c r="M1078" s="64"/>
      <c r="N1078" s="69"/>
      <c r="O1078" s="64"/>
      <c r="P1078" s="64"/>
      <c r="Q1078" s="69"/>
      <c r="R1078" s="69"/>
      <c r="S1078" s="69"/>
    </row>
    <row r="1079" s="2" customFormat="1" ht="24.95" customHeight="1" spans="1:19">
      <c r="A1079" s="15"/>
      <c r="B1079" s="55"/>
      <c r="C1079" s="56"/>
      <c r="D1079" s="68"/>
      <c r="E1079" s="69"/>
      <c r="F1079" s="69"/>
      <c r="G1079" s="65"/>
      <c r="H1079" s="65"/>
      <c r="I1079" s="70"/>
      <c r="J1079" s="71"/>
      <c r="K1079" s="71"/>
      <c r="L1079" s="72" t="str">
        <f>IFERROR(IF(G1079="","",VLOOKUP($G1079,[1]基础信息!$B:$C,2,FALSE)+SUMIF(G$8:G1079,G1079,J$8:J1079)-SUMIF(G$8:G1079,G1079,K$8:K1079)+SUMIFS([1]内部转账!$G:$G,[1]内部转账!$C:$C,"&lt;="&amp;$D1079,[1]内部转账!$E:$E,$G1079)-SUMIFS([1]内部转账!$G:$G,[1]内部转账!$C:$C,"&lt;="&amp;$D1079,[1]内部转账!$F:$F,$G1079)),"")</f>
        <v/>
      </c>
      <c r="M1079" s="64"/>
      <c r="N1079" s="69"/>
      <c r="O1079" s="64"/>
      <c r="P1079" s="64"/>
      <c r="Q1079" s="69"/>
      <c r="R1079" s="69"/>
      <c r="S1079" s="69"/>
    </row>
    <row r="1080" s="2" customFormat="1" ht="24.95" customHeight="1" spans="1:19">
      <c r="A1080" s="15"/>
      <c r="B1080" s="55"/>
      <c r="C1080" s="56"/>
      <c r="D1080" s="68"/>
      <c r="E1080" s="69"/>
      <c r="F1080" s="69"/>
      <c r="G1080" s="65"/>
      <c r="H1080" s="65"/>
      <c r="I1080" s="70"/>
      <c r="J1080" s="71"/>
      <c r="K1080" s="71"/>
      <c r="L1080" s="72" t="str">
        <f>IFERROR(IF(G1080="","",VLOOKUP($G1080,[1]基础信息!$B:$C,2,FALSE)+SUMIF(G$8:G1080,G1080,J$8:J1080)-SUMIF(G$8:G1080,G1080,K$8:K1080)+SUMIFS([1]内部转账!$G:$G,[1]内部转账!$C:$C,"&lt;="&amp;$D1080,[1]内部转账!$E:$E,$G1080)-SUMIFS([1]内部转账!$G:$G,[1]内部转账!$C:$C,"&lt;="&amp;$D1080,[1]内部转账!$F:$F,$G1080)),"")</f>
        <v/>
      </c>
      <c r="M1080" s="64"/>
      <c r="N1080" s="69"/>
      <c r="O1080" s="64"/>
      <c r="P1080" s="64"/>
      <c r="Q1080" s="69"/>
      <c r="R1080" s="69"/>
      <c r="S1080" s="69"/>
    </row>
    <row r="1081" s="2" customFormat="1" ht="24.95" customHeight="1" spans="1:19">
      <c r="A1081" s="15"/>
      <c r="B1081" s="55"/>
      <c r="C1081" s="56"/>
      <c r="D1081" s="68"/>
      <c r="E1081" s="69"/>
      <c r="F1081" s="69"/>
      <c r="G1081" s="65"/>
      <c r="H1081" s="65"/>
      <c r="I1081" s="70"/>
      <c r="J1081" s="71"/>
      <c r="K1081" s="71"/>
      <c r="L1081" s="72" t="str">
        <f>IFERROR(IF(G1081="","",VLOOKUP($G1081,[1]基础信息!$B:$C,2,FALSE)+SUMIF(G$8:G1081,G1081,J$8:J1081)-SUMIF(G$8:G1081,G1081,K$8:K1081)+SUMIFS([1]内部转账!$G:$G,[1]内部转账!$C:$C,"&lt;="&amp;$D1081,[1]内部转账!$E:$E,$G1081)-SUMIFS([1]内部转账!$G:$G,[1]内部转账!$C:$C,"&lt;="&amp;$D1081,[1]内部转账!$F:$F,$G1081)),"")</f>
        <v/>
      </c>
      <c r="M1081" s="64"/>
      <c r="N1081" s="69"/>
      <c r="O1081" s="64"/>
      <c r="P1081" s="64"/>
      <c r="Q1081" s="69"/>
      <c r="R1081" s="69"/>
      <c r="S1081" s="69"/>
    </row>
    <row r="1082" s="2" customFormat="1" ht="24.95" customHeight="1" spans="1:19">
      <c r="A1082" s="15"/>
      <c r="B1082" s="55"/>
      <c r="C1082" s="56"/>
      <c r="D1082" s="68"/>
      <c r="E1082" s="69"/>
      <c r="F1082" s="69"/>
      <c r="G1082" s="65"/>
      <c r="H1082" s="65"/>
      <c r="I1082" s="70"/>
      <c r="J1082" s="71"/>
      <c r="K1082" s="71"/>
      <c r="L1082" s="72" t="str">
        <f>IFERROR(IF(G1082="","",VLOOKUP($G1082,[1]基础信息!$B:$C,2,FALSE)+SUMIF(G$8:G1082,G1082,J$8:J1082)-SUMIF(G$8:G1082,G1082,K$8:K1082)+SUMIFS([1]内部转账!$G:$G,[1]内部转账!$C:$C,"&lt;="&amp;$D1082,[1]内部转账!$E:$E,$G1082)-SUMIFS([1]内部转账!$G:$G,[1]内部转账!$C:$C,"&lt;="&amp;$D1082,[1]内部转账!$F:$F,$G1082)),"")</f>
        <v/>
      </c>
      <c r="M1082" s="64"/>
      <c r="N1082" s="69"/>
      <c r="O1082" s="64"/>
      <c r="P1082" s="64"/>
      <c r="Q1082" s="69"/>
      <c r="R1082" s="69"/>
      <c r="S1082" s="69"/>
    </row>
    <row r="1083" s="2" customFormat="1" ht="24.95" customHeight="1" spans="1:19">
      <c r="A1083" s="15"/>
      <c r="B1083" s="55"/>
      <c r="C1083" s="56"/>
      <c r="D1083" s="68"/>
      <c r="E1083" s="69"/>
      <c r="F1083" s="69"/>
      <c r="G1083" s="65"/>
      <c r="H1083" s="65"/>
      <c r="I1083" s="70"/>
      <c r="J1083" s="71"/>
      <c r="K1083" s="71"/>
      <c r="L1083" s="72" t="str">
        <f>IFERROR(IF(G1083="","",VLOOKUP($G1083,[1]基础信息!$B:$C,2,FALSE)+SUMIF(G$8:G1083,G1083,J$8:J1083)-SUMIF(G$8:G1083,G1083,K$8:K1083)+SUMIFS([1]内部转账!$G:$G,[1]内部转账!$C:$C,"&lt;="&amp;$D1083,[1]内部转账!$E:$E,$G1083)-SUMIFS([1]内部转账!$G:$G,[1]内部转账!$C:$C,"&lt;="&amp;$D1083,[1]内部转账!$F:$F,$G1083)),"")</f>
        <v/>
      </c>
      <c r="M1083" s="64"/>
      <c r="N1083" s="69"/>
      <c r="O1083" s="64"/>
      <c r="P1083" s="64"/>
      <c r="Q1083" s="69"/>
      <c r="R1083" s="69"/>
      <c r="S1083" s="69"/>
    </row>
    <row r="1084" s="2" customFormat="1" ht="24.95" customHeight="1" spans="1:19">
      <c r="A1084" s="15"/>
      <c r="B1084" s="55"/>
      <c r="C1084" s="56"/>
      <c r="D1084" s="68"/>
      <c r="E1084" s="69"/>
      <c r="F1084" s="69"/>
      <c r="G1084" s="65"/>
      <c r="H1084" s="65"/>
      <c r="I1084" s="70"/>
      <c r="J1084" s="71"/>
      <c r="K1084" s="71"/>
      <c r="L1084" s="72" t="str">
        <f>IFERROR(IF(G1084="","",VLOOKUP($G1084,[1]基础信息!$B:$C,2,FALSE)+SUMIF(G$8:G1084,G1084,J$8:J1084)-SUMIF(G$8:G1084,G1084,K$8:K1084)+SUMIFS([1]内部转账!$G:$G,[1]内部转账!$C:$C,"&lt;="&amp;$D1084,[1]内部转账!$E:$E,$G1084)-SUMIFS([1]内部转账!$G:$G,[1]内部转账!$C:$C,"&lt;="&amp;$D1084,[1]内部转账!$F:$F,$G1084)),"")</f>
        <v/>
      </c>
      <c r="M1084" s="64"/>
      <c r="N1084" s="69"/>
      <c r="O1084" s="64"/>
      <c r="P1084" s="64"/>
      <c r="Q1084" s="69"/>
      <c r="R1084" s="69"/>
      <c r="S1084" s="69"/>
    </row>
    <row r="1085" s="2" customFormat="1" ht="24.95" customHeight="1" spans="1:19">
      <c r="A1085" s="15"/>
      <c r="B1085" s="55"/>
      <c r="C1085" s="56"/>
      <c r="D1085" s="68"/>
      <c r="E1085" s="69"/>
      <c r="F1085" s="69"/>
      <c r="G1085" s="65"/>
      <c r="H1085" s="65"/>
      <c r="I1085" s="70"/>
      <c r="J1085" s="71"/>
      <c r="K1085" s="71"/>
      <c r="L1085" s="72" t="str">
        <f>IFERROR(IF(G1085="","",VLOOKUP($G1085,[1]基础信息!$B:$C,2,FALSE)+SUMIF(G$8:G1085,G1085,J$8:J1085)-SUMIF(G$8:G1085,G1085,K$8:K1085)+SUMIFS([1]内部转账!$G:$G,[1]内部转账!$C:$C,"&lt;="&amp;$D1085,[1]内部转账!$E:$E,$G1085)-SUMIFS([1]内部转账!$G:$G,[1]内部转账!$C:$C,"&lt;="&amp;$D1085,[1]内部转账!$F:$F,$G1085)),"")</f>
        <v/>
      </c>
      <c r="M1085" s="64"/>
      <c r="N1085" s="69"/>
      <c r="O1085" s="64"/>
      <c r="P1085" s="64"/>
      <c r="Q1085" s="69"/>
      <c r="R1085" s="69"/>
      <c r="S1085" s="69"/>
    </row>
    <row r="1086" s="2" customFormat="1" ht="24.95" customHeight="1" spans="1:19">
      <c r="A1086" s="15"/>
      <c r="B1086" s="55"/>
      <c r="C1086" s="56"/>
      <c r="D1086" s="68"/>
      <c r="E1086" s="69"/>
      <c r="F1086" s="69"/>
      <c r="G1086" s="65"/>
      <c r="H1086" s="65"/>
      <c r="I1086" s="70"/>
      <c r="J1086" s="71"/>
      <c r="K1086" s="71"/>
      <c r="L1086" s="72" t="str">
        <f>IFERROR(IF(G1086="","",VLOOKUP($G1086,[1]基础信息!$B:$C,2,FALSE)+SUMIF(G$8:G1086,G1086,J$8:J1086)-SUMIF(G$8:G1086,G1086,K$8:K1086)+SUMIFS([1]内部转账!$G:$G,[1]内部转账!$C:$C,"&lt;="&amp;$D1086,[1]内部转账!$E:$E,$G1086)-SUMIFS([1]内部转账!$G:$G,[1]内部转账!$C:$C,"&lt;="&amp;$D1086,[1]内部转账!$F:$F,$G1086)),"")</f>
        <v/>
      </c>
      <c r="M1086" s="64"/>
      <c r="N1086" s="69"/>
      <c r="O1086" s="64"/>
      <c r="P1086" s="64"/>
      <c r="Q1086" s="69"/>
      <c r="R1086" s="69"/>
      <c r="S1086" s="69"/>
    </row>
    <row r="1087" s="2" customFormat="1" ht="24.95" customHeight="1" spans="1:19">
      <c r="A1087" s="15"/>
      <c r="B1087" s="55"/>
      <c r="C1087" s="56"/>
      <c r="D1087" s="68"/>
      <c r="E1087" s="69"/>
      <c r="F1087" s="69"/>
      <c r="G1087" s="65"/>
      <c r="H1087" s="65"/>
      <c r="I1087" s="70"/>
      <c r="J1087" s="71"/>
      <c r="K1087" s="71"/>
      <c r="L1087" s="72" t="str">
        <f>IFERROR(IF(G1087="","",VLOOKUP($G1087,[1]基础信息!$B:$C,2,FALSE)+SUMIF(G$8:G1087,G1087,J$8:J1087)-SUMIF(G$8:G1087,G1087,K$8:K1087)+SUMIFS([1]内部转账!$G:$G,[1]内部转账!$C:$C,"&lt;="&amp;$D1087,[1]内部转账!$E:$E,$G1087)-SUMIFS([1]内部转账!$G:$G,[1]内部转账!$C:$C,"&lt;="&amp;$D1087,[1]内部转账!$F:$F,$G1087)),"")</f>
        <v/>
      </c>
      <c r="M1087" s="64"/>
      <c r="N1087" s="69"/>
      <c r="O1087" s="64"/>
      <c r="P1087" s="64"/>
      <c r="Q1087" s="69"/>
      <c r="R1087" s="69"/>
      <c r="S1087" s="69"/>
    </row>
    <row r="1088" s="2" customFormat="1" ht="24.95" customHeight="1" spans="1:19">
      <c r="A1088" s="15"/>
      <c r="B1088" s="55"/>
      <c r="C1088" s="56"/>
      <c r="D1088" s="68"/>
      <c r="E1088" s="69"/>
      <c r="F1088" s="69"/>
      <c r="G1088" s="65"/>
      <c r="H1088" s="65"/>
      <c r="I1088" s="70"/>
      <c r="J1088" s="71"/>
      <c r="K1088" s="71"/>
      <c r="L1088" s="72" t="str">
        <f>IFERROR(IF(G1088="","",VLOOKUP($G1088,[1]基础信息!$B:$C,2,FALSE)+SUMIF(G$8:G1088,G1088,J$8:J1088)-SUMIF(G$8:G1088,G1088,K$8:K1088)+SUMIFS([1]内部转账!$G:$G,[1]内部转账!$C:$C,"&lt;="&amp;$D1088,[1]内部转账!$E:$E,$G1088)-SUMIFS([1]内部转账!$G:$G,[1]内部转账!$C:$C,"&lt;="&amp;$D1088,[1]内部转账!$F:$F,$G1088)),"")</f>
        <v/>
      </c>
      <c r="M1088" s="64"/>
      <c r="N1088" s="69"/>
      <c r="O1088" s="64"/>
      <c r="P1088" s="64"/>
      <c r="Q1088" s="69"/>
      <c r="R1088" s="69"/>
      <c r="S1088" s="69"/>
    </row>
    <row r="1089" s="2" customFormat="1" ht="24.95" customHeight="1" spans="1:19">
      <c r="A1089" s="15"/>
      <c r="B1089" s="55"/>
      <c r="C1089" s="56"/>
      <c r="D1089" s="68"/>
      <c r="E1089" s="69"/>
      <c r="F1089" s="69"/>
      <c r="G1089" s="65"/>
      <c r="H1089" s="65"/>
      <c r="I1089" s="70"/>
      <c r="J1089" s="71"/>
      <c r="K1089" s="71"/>
      <c r="L1089" s="72" t="str">
        <f>IFERROR(IF(G1089="","",VLOOKUP($G1089,[1]基础信息!$B:$C,2,FALSE)+SUMIF(G$8:G1089,G1089,J$8:J1089)-SUMIF(G$8:G1089,G1089,K$8:K1089)+SUMIFS([1]内部转账!$G:$G,[1]内部转账!$C:$C,"&lt;="&amp;$D1089,[1]内部转账!$E:$E,$G1089)-SUMIFS([1]内部转账!$G:$G,[1]内部转账!$C:$C,"&lt;="&amp;$D1089,[1]内部转账!$F:$F,$G1089)),"")</f>
        <v/>
      </c>
      <c r="M1089" s="64"/>
      <c r="N1089" s="69"/>
      <c r="O1089" s="64"/>
      <c r="P1089" s="64"/>
      <c r="Q1089" s="69"/>
      <c r="R1089" s="69"/>
      <c r="S1089" s="69"/>
    </row>
    <row r="1090" s="2" customFormat="1" ht="24.95" customHeight="1" spans="1:19">
      <c r="A1090" s="15"/>
      <c r="B1090" s="55"/>
      <c r="C1090" s="56"/>
      <c r="D1090" s="68"/>
      <c r="E1090" s="69"/>
      <c r="F1090" s="69"/>
      <c r="G1090" s="65"/>
      <c r="H1090" s="65"/>
      <c r="I1090" s="70"/>
      <c r="J1090" s="71"/>
      <c r="K1090" s="71"/>
      <c r="L1090" s="72" t="str">
        <f>IFERROR(IF(G1090="","",VLOOKUP($G1090,[1]基础信息!$B:$C,2,FALSE)+SUMIF(G$8:G1090,G1090,J$8:J1090)-SUMIF(G$8:G1090,G1090,K$8:K1090)+SUMIFS([1]内部转账!$G:$G,[1]内部转账!$C:$C,"&lt;="&amp;$D1090,[1]内部转账!$E:$E,$G1090)-SUMIFS([1]内部转账!$G:$G,[1]内部转账!$C:$C,"&lt;="&amp;$D1090,[1]内部转账!$F:$F,$G1090)),"")</f>
        <v/>
      </c>
      <c r="M1090" s="64"/>
      <c r="N1090" s="69"/>
      <c r="O1090" s="64"/>
      <c r="P1090" s="64"/>
      <c r="Q1090" s="69"/>
      <c r="R1090" s="69"/>
      <c r="S1090" s="69"/>
    </row>
    <row r="1091" s="2" customFormat="1" ht="24.95" customHeight="1" spans="1:19">
      <c r="A1091" s="15"/>
      <c r="B1091" s="55"/>
      <c r="C1091" s="56"/>
      <c r="D1091" s="68"/>
      <c r="E1091" s="69"/>
      <c r="F1091" s="69"/>
      <c r="G1091" s="65"/>
      <c r="H1091" s="65"/>
      <c r="I1091" s="70"/>
      <c r="J1091" s="71"/>
      <c r="K1091" s="71"/>
      <c r="L1091" s="72" t="str">
        <f>IFERROR(IF(G1091="","",VLOOKUP($G1091,[1]基础信息!$B:$C,2,FALSE)+SUMIF(G$8:G1091,G1091,J$8:J1091)-SUMIF(G$8:G1091,G1091,K$8:K1091)+SUMIFS([1]内部转账!$G:$G,[1]内部转账!$C:$C,"&lt;="&amp;$D1091,[1]内部转账!$E:$E,$G1091)-SUMIFS([1]内部转账!$G:$G,[1]内部转账!$C:$C,"&lt;="&amp;$D1091,[1]内部转账!$F:$F,$G1091)),"")</f>
        <v/>
      </c>
      <c r="M1091" s="64"/>
      <c r="N1091" s="69"/>
      <c r="O1091" s="64"/>
      <c r="P1091" s="64"/>
      <c r="Q1091" s="69"/>
      <c r="R1091" s="69"/>
      <c r="S1091" s="69"/>
    </row>
    <row r="1092" s="2" customFormat="1" ht="24.95" customHeight="1" spans="1:19">
      <c r="A1092" s="15"/>
      <c r="B1092" s="55"/>
      <c r="C1092" s="56"/>
      <c r="D1092" s="68"/>
      <c r="E1092" s="69"/>
      <c r="F1092" s="69"/>
      <c r="G1092" s="65"/>
      <c r="H1092" s="65"/>
      <c r="I1092" s="70"/>
      <c r="J1092" s="71"/>
      <c r="K1092" s="71"/>
      <c r="L1092" s="72" t="str">
        <f>IFERROR(IF(G1092="","",VLOOKUP($G1092,[1]基础信息!$B:$C,2,FALSE)+SUMIF(G$8:G1092,G1092,J$8:J1092)-SUMIF(G$8:G1092,G1092,K$8:K1092)+SUMIFS([1]内部转账!$G:$G,[1]内部转账!$C:$C,"&lt;="&amp;$D1092,[1]内部转账!$E:$E,$G1092)-SUMIFS([1]内部转账!$G:$G,[1]内部转账!$C:$C,"&lt;="&amp;$D1092,[1]内部转账!$F:$F,$G1092)),"")</f>
        <v/>
      </c>
      <c r="M1092" s="64"/>
      <c r="N1092" s="69"/>
      <c r="O1092" s="64"/>
      <c r="P1092" s="64"/>
      <c r="Q1092" s="69"/>
      <c r="R1092" s="69"/>
      <c r="S1092" s="69"/>
    </row>
    <row r="1093" s="2" customFormat="1" ht="24.95" customHeight="1" spans="1:19">
      <c r="A1093" s="15"/>
      <c r="B1093" s="55"/>
      <c r="C1093" s="56"/>
      <c r="D1093" s="68"/>
      <c r="E1093" s="69"/>
      <c r="F1093" s="69"/>
      <c r="G1093" s="65"/>
      <c r="H1093" s="65"/>
      <c r="I1093" s="70"/>
      <c r="J1093" s="71"/>
      <c r="K1093" s="71"/>
      <c r="L1093" s="72" t="str">
        <f>IFERROR(IF(G1093="","",VLOOKUP($G1093,[1]基础信息!$B:$C,2,FALSE)+SUMIF(G$8:G1093,G1093,J$8:J1093)-SUMIF(G$8:G1093,G1093,K$8:K1093)+SUMIFS([1]内部转账!$G:$G,[1]内部转账!$C:$C,"&lt;="&amp;$D1093,[1]内部转账!$E:$E,$G1093)-SUMIFS([1]内部转账!$G:$G,[1]内部转账!$C:$C,"&lt;="&amp;$D1093,[1]内部转账!$F:$F,$G1093)),"")</f>
        <v/>
      </c>
      <c r="M1093" s="64"/>
      <c r="N1093" s="69"/>
      <c r="O1093" s="64"/>
      <c r="P1093" s="64"/>
      <c r="Q1093" s="69"/>
      <c r="R1093" s="69"/>
      <c r="S1093" s="69"/>
    </row>
    <row r="1094" s="2" customFormat="1" ht="24.95" customHeight="1" spans="1:19">
      <c r="A1094" s="15"/>
      <c r="B1094" s="55"/>
      <c r="C1094" s="56"/>
      <c r="D1094" s="68"/>
      <c r="E1094" s="69"/>
      <c r="F1094" s="69"/>
      <c r="G1094" s="65"/>
      <c r="H1094" s="65"/>
      <c r="I1094" s="70"/>
      <c r="J1094" s="71"/>
      <c r="K1094" s="71"/>
      <c r="L1094" s="72" t="str">
        <f>IFERROR(IF(G1094="","",VLOOKUP($G1094,[1]基础信息!$B:$C,2,FALSE)+SUMIF(G$8:G1094,G1094,J$8:J1094)-SUMIF(G$8:G1094,G1094,K$8:K1094)+SUMIFS([1]内部转账!$G:$G,[1]内部转账!$C:$C,"&lt;="&amp;$D1094,[1]内部转账!$E:$E,$G1094)-SUMIFS([1]内部转账!$G:$G,[1]内部转账!$C:$C,"&lt;="&amp;$D1094,[1]内部转账!$F:$F,$G1094)),"")</f>
        <v/>
      </c>
      <c r="M1094" s="64"/>
      <c r="N1094" s="69"/>
      <c r="O1094" s="64"/>
      <c r="P1094" s="64"/>
      <c r="Q1094" s="69"/>
      <c r="R1094" s="69"/>
      <c r="S1094" s="69"/>
    </row>
    <row r="1095" s="2" customFormat="1" ht="24.95" customHeight="1" spans="1:19">
      <c r="A1095" s="15"/>
      <c r="B1095" s="55"/>
      <c r="C1095" s="56"/>
      <c r="D1095" s="68"/>
      <c r="E1095" s="69"/>
      <c r="F1095" s="69"/>
      <c r="G1095" s="65"/>
      <c r="H1095" s="65"/>
      <c r="I1095" s="70"/>
      <c r="J1095" s="71"/>
      <c r="K1095" s="71"/>
      <c r="L1095" s="72" t="str">
        <f>IFERROR(IF(G1095="","",VLOOKUP($G1095,[1]基础信息!$B:$C,2,FALSE)+SUMIF(G$8:G1095,G1095,J$8:J1095)-SUMIF(G$8:G1095,G1095,K$8:K1095)+SUMIFS([1]内部转账!$G:$G,[1]内部转账!$C:$C,"&lt;="&amp;$D1095,[1]内部转账!$E:$E,$G1095)-SUMIFS([1]内部转账!$G:$G,[1]内部转账!$C:$C,"&lt;="&amp;$D1095,[1]内部转账!$F:$F,$G1095)),"")</f>
        <v/>
      </c>
      <c r="M1095" s="64"/>
      <c r="N1095" s="69"/>
      <c r="O1095" s="64"/>
      <c r="P1095" s="64"/>
      <c r="Q1095" s="69"/>
      <c r="R1095" s="69"/>
      <c r="S1095" s="69"/>
    </row>
    <row r="1096" s="2" customFormat="1" ht="24.95" customHeight="1" spans="1:19">
      <c r="A1096" s="15"/>
      <c r="B1096" s="55"/>
      <c r="C1096" s="56"/>
      <c r="D1096" s="68"/>
      <c r="E1096" s="69"/>
      <c r="F1096" s="69"/>
      <c r="G1096" s="65"/>
      <c r="H1096" s="65"/>
      <c r="I1096" s="70"/>
      <c r="J1096" s="71"/>
      <c r="K1096" s="71"/>
      <c r="L1096" s="72" t="str">
        <f>IFERROR(IF(G1096="","",VLOOKUP($G1096,[1]基础信息!$B:$C,2,FALSE)+SUMIF(G$8:G1096,G1096,J$8:J1096)-SUMIF(G$8:G1096,G1096,K$8:K1096)+SUMIFS([1]内部转账!$G:$G,[1]内部转账!$C:$C,"&lt;="&amp;$D1096,[1]内部转账!$E:$E,$G1096)-SUMIFS([1]内部转账!$G:$G,[1]内部转账!$C:$C,"&lt;="&amp;$D1096,[1]内部转账!$F:$F,$G1096)),"")</f>
        <v/>
      </c>
      <c r="M1096" s="64"/>
      <c r="N1096" s="69"/>
      <c r="O1096" s="64"/>
      <c r="P1096" s="64"/>
      <c r="Q1096" s="69"/>
      <c r="R1096" s="69"/>
      <c r="S1096" s="69"/>
    </row>
    <row r="1097" s="2" customFormat="1" ht="24.95" customHeight="1" spans="1:19">
      <c r="A1097" s="15"/>
      <c r="B1097" s="55"/>
      <c r="C1097" s="56"/>
      <c r="D1097" s="68"/>
      <c r="E1097" s="69"/>
      <c r="F1097" s="69"/>
      <c r="G1097" s="65"/>
      <c r="H1097" s="65"/>
      <c r="I1097" s="70"/>
      <c r="J1097" s="71"/>
      <c r="K1097" s="71"/>
      <c r="L1097" s="72" t="str">
        <f>IFERROR(IF(G1097="","",VLOOKUP($G1097,[1]基础信息!$B:$C,2,FALSE)+SUMIF(G$8:G1097,G1097,J$8:J1097)-SUMIF(G$8:G1097,G1097,K$8:K1097)+SUMIFS([1]内部转账!$G:$G,[1]内部转账!$C:$C,"&lt;="&amp;$D1097,[1]内部转账!$E:$E,$G1097)-SUMIFS([1]内部转账!$G:$G,[1]内部转账!$C:$C,"&lt;="&amp;$D1097,[1]内部转账!$F:$F,$G1097)),"")</f>
        <v/>
      </c>
      <c r="M1097" s="64"/>
      <c r="N1097" s="69"/>
      <c r="O1097" s="64"/>
      <c r="P1097" s="64"/>
      <c r="Q1097" s="69"/>
      <c r="R1097" s="69"/>
      <c r="S1097" s="69"/>
    </row>
    <row r="1098" s="2" customFormat="1" ht="24.95" customHeight="1" spans="1:19">
      <c r="A1098" s="15"/>
      <c r="B1098" s="55"/>
      <c r="C1098" s="56"/>
      <c r="D1098" s="68"/>
      <c r="E1098" s="69"/>
      <c r="F1098" s="69"/>
      <c r="G1098" s="65"/>
      <c r="H1098" s="65"/>
      <c r="I1098" s="70"/>
      <c r="J1098" s="71"/>
      <c r="K1098" s="71"/>
      <c r="L1098" s="72" t="str">
        <f>IFERROR(IF(G1098="","",VLOOKUP($G1098,[1]基础信息!$B:$C,2,FALSE)+SUMIF(G$8:G1098,G1098,J$8:J1098)-SUMIF(G$8:G1098,G1098,K$8:K1098)+SUMIFS([1]内部转账!$G:$G,[1]内部转账!$C:$C,"&lt;="&amp;$D1098,[1]内部转账!$E:$E,$G1098)-SUMIFS([1]内部转账!$G:$G,[1]内部转账!$C:$C,"&lt;="&amp;$D1098,[1]内部转账!$F:$F,$G1098)),"")</f>
        <v/>
      </c>
      <c r="M1098" s="64"/>
      <c r="N1098" s="69"/>
      <c r="O1098" s="64"/>
      <c r="P1098" s="64"/>
      <c r="Q1098" s="69"/>
      <c r="R1098" s="69"/>
      <c r="S1098" s="69"/>
    </row>
    <row r="1099" s="2" customFormat="1" ht="24.95" customHeight="1" spans="1:19">
      <c r="A1099" s="15"/>
      <c r="B1099" s="55"/>
      <c r="C1099" s="56"/>
      <c r="D1099" s="68"/>
      <c r="E1099" s="69"/>
      <c r="F1099" s="69"/>
      <c r="G1099" s="65"/>
      <c r="H1099" s="65"/>
      <c r="I1099" s="70"/>
      <c r="J1099" s="71"/>
      <c r="K1099" s="71"/>
      <c r="L1099" s="72" t="str">
        <f>IFERROR(IF(G1099="","",VLOOKUP($G1099,[1]基础信息!$B:$C,2,FALSE)+SUMIF(G$8:G1099,G1099,J$8:J1099)-SUMIF(G$8:G1099,G1099,K$8:K1099)+SUMIFS([1]内部转账!$G:$G,[1]内部转账!$C:$C,"&lt;="&amp;$D1099,[1]内部转账!$E:$E,$G1099)-SUMIFS([1]内部转账!$G:$G,[1]内部转账!$C:$C,"&lt;="&amp;$D1099,[1]内部转账!$F:$F,$G1099)),"")</f>
        <v/>
      </c>
      <c r="M1099" s="64"/>
      <c r="N1099" s="69"/>
      <c r="O1099" s="64"/>
      <c r="P1099" s="64"/>
      <c r="Q1099" s="69"/>
      <c r="R1099" s="69"/>
      <c r="S1099" s="69"/>
    </row>
    <row r="1100" s="2" customFormat="1" ht="24.95" customHeight="1" spans="1:19">
      <c r="A1100" s="15"/>
      <c r="B1100" s="55"/>
      <c r="C1100" s="56"/>
      <c r="D1100" s="68"/>
      <c r="E1100" s="69"/>
      <c r="F1100" s="69"/>
      <c r="G1100" s="65"/>
      <c r="H1100" s="65"/>
      <c r="I1100" s="70"/>
      <c r="J1100" s="71"/>
      <c r="K1100" s="71"/>
      <c r="L1100" s="72" t="str">
        <f>IFERROR(IF(G1100="","",VLOOKUP($G1100,[1]基础信息!$B:$C,2,FALSE)+SUMIF(G$8:G1100,G1100,J$8:J1100)-SUMIF(G$8:G1100,G1100,K$8:K1100)+SUMIFS([1]内部转账!$G:$G,[1]内部转账!$C:$C,"&lt;="&amp;$D1100,[1]内部转账!$E:$E,$G1100)-SUMIFS([1]内部转账!$G:$G,[1]内部转账!$C:$C,"&lt;="&amp;$D1100,[1]内部转账!$F:$F,$G1100)),"")</f>
        <v/>
      </c>
      <c r="M1100" s="64"/>
      <c r="N1100" s="69"/>
      <c r="O1100" s="64"/>
      <c r="P1100" s="64"/>
      <c r="Q1100" s="69"/>
      <c r="R1100" s="69"/>
      <c r="S1100" s="69"/>
    </row>
    <row r="1101" s="2" customFormat="1" ht="24.95" customHeight="1" spans="1:19">
      <c r="A1101" s="15"/>
      <c r="B1101" s="55"/>
      <c r="C1101" s="56"/>
      <c r="D1101" s="68"/>
      <c r="E1101" s="69"/>
      <c r="F1101" s="69"/>
      <c r="G1101" s="65"/>
      <c r="H1101" s="65"/>
      <c r="I1101" s="70"/>
      <c r="J1101" s="71"/>
      <c r="K1101" s="71"/>
      <c r="L1101" s="72" t="str">
        <f>IFERROR(IF(G1101="","",VLOOKUP($G1101,[1]基础信息!$B:$C,2,FALSE)+SUMIF(G$8:G1101,G1101,J$8:J1101)-SUMIF(G$8:G1101,G1101,K$8:K1101)+SUMIFS([1]内部转账!$G:$G,[1]内部转账!$C:$C,"&lt;="&amp;$D1101,[1]内部转账!$E:$E,$G1101)-SUMIFS([1]内部转账!$G:$G,[1]内部转账!$C:$C,"&lt;="&amp;$D1101,[1]内部转账!$F:$F,$G1101)),"")</f>
        <v/>
      </c>
      <c r="M1101" s="64"/>
      <c r="N1101" s="69"/>
      <c r="O1101" s="64"/>
      <c r="P1101" s="64"/>
      <c r="Q1101" s="69"/>
      <c r="R1101" s="69"/>
      <c r="S1101" s="69"/>
    </row>
    <row r="1102" s="2" customFormat="1" ht="24.95" customHeight="1" spans="1:19">
      <c r="A1102" s="15"/>
      <c r="B1102" s="55"/>
      <c r="C1102" s="56"/>
      <c r="D1102" s="68"/>
      <c r="E1102" s="69"/>
      <c r="F1102" s="69"/>
      <c r="G1102" s="65"/>
      <c r="H1102" s="65"/>
      <c r="I1102" s="70"/>
      <c r="J1102" s="71"/>
      <c r="K1102" s="71"/>
      <c r="L1102" s="72" t="str">
        <f>IFERROR(IF(G1102="","",VLOOKUP($G1102,[1]基础信息!$B:$C,2,FALSE)+SUMIF(G$8:G1102,G1102,J$8:J1102)-SUMIF(G$8:G1102,G1102,K$8:K1102)+SUMIFS([1]内部转账!$G:$G,[1]内部转账!$C:$C,"&lt;="&amp;$D1102,[1]内部转账!$E:$E,$G1102)-SUMIFS([1]内部转账!$G:$G,[1]内部转账!$C:$C,"&lt;="&amp;$D1102,[1]内部转账!$F:$F,$G1102)),"")</f>
        <v/>
      </c>
      <c r="M1102" s="64"/>
      <c r="N1102" s="69"/>
      <c r="O1102" s="64"/>
      <c r="P1102" s="64"/>
      <c r="Q1102" s="69"/>
      <c r="R1102" s="69"/>
      <c r="S1102" s="69"/>
    </row>
    <row r="1103" s="2" customFormat="1" ht="24.95" customHeight="1" spans="1:19">
      <c r="A1103" s="15"/>
      <c r="B1103" s="55"/>
      <c r="C1103" s="56"/>
      <c r="D1103" s="68"/>
      <c r="E1103" s="69"/>
      <c r="F1103" s="69"/>
      <c r="G1103" s="65"/>
      <c r="H1103" s="65"/>
      <c r="I1103" s="70"/>
      <c r="J1103" s="71"/>
      <c r="K1103" s="71"/>
      <c r="L1103" s="72" t="str">
        <f>IFERROR(IF(G1103="","",VLOOKUP($G1103,[1]基础信息!$B:$C,2,FALSE)+SUMIF(G$8:G1103,G1103,J$8:J1103)-SUMIF(G$8:G1103,G1103,K$8:K1103)+SUMIFS([1]内部转账!$G:$G,[1]内部转账!$C:$C,"&lt;="&amp;$D1103,[1]内部转账!$E:$E,$G1103)-SUMIFS([1]内部转账!$G:$G,[1]内部转账!$C:$C,"&lt;="&amp;$D1103,[1]内部转账!$F:$F,$G1103)),"")</f>
        <v/>
      </c>
      <c r="M1103" s="64"/>
      <c r="N1103" s="69"/>
      <c r="O1103" s="64"/>
      <c r="P1103" s="64"/>
      <c r="Q1103" s="69"/>
      <c r="R1103" s="69"/>
      <c r="S1103" s="69"/>
    </row>
    <row r="1104" s="2" customFormat="1" ht="24.95" customHeight="1" spans="1:19">
      <c r="A1104" s="15"/>
      <c r="B1104" s="55"/>
      <c r="C1104" s="56"/>
      <c r="D1104" s="68"/>
      <c r="E1104" s="69"/>
      <c r="F1104" s="69"/>
      <c r="G1104" s="65"/>
      <c r="H1104" s="65"/>
      <c r="I1104" s="70"/>
      <c r="J1104" s="71"/>
      <c r="K1104" s="71"/>
      <c r="L1104" s="72" t="str">
        <f>IFERROR(IF(G1104="","",VLOOKUP($G1104,[1]基础信息!$B:$C,2,FALSE)+SUMIF(G$8:G1104,G1104,J$8:J1104)-SUMIF(G$8:G1104,G1104,K$8:K1104)+SUMIFS([1]内部转账!$G:$G,[1]内部转账!$C:$C,"&lt;="&amp;$D1104,[1]内部转账!$E:$E,$G1104)-SUMIFS([1]内部转账!$G:$G,[1]内部转账!$C:$C,"&lt;="&amp;$D1104,[1]内部转账!$F:$F,$G1104)),"")</f>
        <v/>
      </c>
      <c r="M1104" s="64"/>
      <c r="N1104" s="69"/>
      <c r="O1104" s="64"/>
      <c r="P1104" s="64"/>
      <c r="Q1104" s="69"/>
      <c r="R1104" s="69"/>
      <c r="S1104" s="69"/>
    </row>
    <row r="1105" s="2" customFormat="1" ht="24.95" customHeight="1" spans="1:19">
      <c r="A1105" s="15"/>
      <c r="B1105" s="55"/>
      <c r="C1105" s="56"/>
      <c r="D1105" s="68"/>
      <c r="E1105" s="69"/>
      <c r="F1105" s="69"/>
      <c r="G1105" s="65"/>
      <c r="H1105" s="65"/>
      <c r="I1105" s="70"/>
      <c r="J1105" s="71"/>
      <c r="K1105" s="71"/>
      <c r="L1105" s="72" t="str">
        <f>IFERROR(IF(G1105="","",VLOOKUP($G1105,[1]基础信息!$B:$C,2,FALSE)+SUMIF(G$8:G1105,G1105,J$8:J1105)-SUMIF(G$8:G1105,G1105,K$8:K1105)+SUMIFS([1]内部转账!$G:$G,[1]内部转账!$C:$C,"&lt;="&amp;$D1105,[1]内部转账!$E:$E,$G1105)-SUMIFS([1]内部转账!$G:$G,[1]内部转账!$C:$C,"&lt;="&amp;$D1105,[1]内部转账!$F:$F,$G1105)),"")</f>
        <v/>
      </c>
      <c r="M1105" s="64"/>
      <c r="N1105" s="69"/>
      <c r="O1105" s="64"/>
      <c r="P1105" s="64"/>
      <c r="Q1105" s="69"/>
      <c r="R1105" s="69"/>
      <c r="S1105" s="69"/>
    </row>
    <row r="1106" s="2" customFormat="1" ht="24.95" customHeight="1" spans="1:19">
      <c r="A1106" s="15"/>
      <c r="B1106" s="55"/>
      <c r="C1106" s="56"/>
      <c r="D1106" s="68"/>
      <c r="E1106" s="69"/>
      <c r="F1106" s="69"/>
      <c r="G1106" s="65"/>
      <c r="H1106" s="65"/>
      <c r="I1106" s="70"/>
      <c r="J1106" s="71"/>
      <c r="K1106" s="71"/>
      <c r="L1106" s="72" t="str">
        <f>IFERROR(IF(G1106="","",VLOOKUP($G1106,[1]基础信息!$B:$C,2,FALSE)+SUMIF(G$8:G1106,G1106,J$8:J1106)-SUMIF(G$8:G1106,G1106,K$8:K1106)+SUMIFS([1]内部转账!$G:$G,[1]内部转账!$C:$C,"&lt;="&amp;$D1106,[1]内部转账!$E:$E,$G1106)-SUMIFS([1]内部转账!$G:$G,[1]内部转账!$C:$C,"&lt;="&amp;$D1106,[1]内部转账!$F:$F,$G1106)),"")</f>
        <v/>
      </c>
      <c r="M1106" s="64"/>
      <c r="N1106" s="69"/>
      <c r="O1106" s="64"/>
      <c r="P1106" s="64"/>
      <c r="Q1106" s="69"/>
      <c r="R1106" s="69"/>
      <c r="S1106" s="69"/>
    </row>
    <row r="1107" s="2" customFormat="1" ht="24.95" customHeight="1" spans="1:19">
      <c r="A1107" s="15"/>
      <c r="B1107" s="55"/>
      <c r="C1107" s="56"/>
      <c r="D1107" s="68"/>
      <c r="E1107" s="69"/>
      <c r="F1107" s="69"/>
      <c r="G1107" s="65"/>
      <c r="H1107" s="65"/>
      <c r="I1107" s="70"/>
      <c r="J1107" s="71"/>
      <c r="K1107" s="71"/>
      <c r="L1107" s="72" t="str">
        <f>IFERROR(IF(G1107="","",VLOOKUP($G1107,[1]基础信息!$B:$C,2,FALSE)+SUMIF(G$8:G1107,G1107,J$8:J1107)-SUMIF(G$8:G1107,G1107,K$8:K1107)+SUMIFS([1]内部转账!$G:$G,[1]内部转账!$C:$C,"&lt;="&amp;$D1107,[1]内部转账!$E:$E,$G1107)-SUMIFS([1]内部转账!$G:$G,[1]内部转账!$C:$C,"&lt;="&amp;$D1107,[1]内部转账!$F:$F,$G1107)),"")</f>
        <v/>
      </c>
      <c r="M1107" s="64"/>
      <c r="N1107" s="69"/>
      <c r="O1107" s="64"/>
      <c r="P1107" s="64"/>
      <c r="Q1107" s="69"/>
      <c r="R1107" s="69"/>
      <c r="S1107" s="69"/>
    </row>
    <row r="1108" s="2" customFormat="1" ht="24.95" customHeight="1" spans="1:19">
      <c r="A1108" s="15"/>
      <c r="B1108" s="55"/>
      <c r="C1108" s="56"/>
      <c r="D1108" s="68"/>
      <c r="E1108" s="69"/>
      <c r="F1108" s="69"/>
      <c r="G1108" s="65"/>
      <c r="H1108" s="65"/>
      <c r="I1108" s="70"/>
      <c r="J1108" s="71"/>
      <c r="K1108" s="71"/>
      <c r="L1108" s="72" t="str">
        <f>IFERROR(IF(G1108="","",VLOOKUP($G1108,[1]基础信息!$B:$C,2,FALSE)+SUMIF(G$8:G1108,G1108,J$8:J1108)-SUMIF(G$8:G1108,G1108,K$8:K1108)+SUMIFS([1]内部转账!$G:$G,[1]内部转账!$C:$C,"&lt;="&amp;$D1108,[1]内部转账!$E:$E,$G1108)-SUMIFS([1]内部转账!$G:$G,[1]内部转账!$C:$C,"&lt;="&amp;$D1108,[1]内部转账!$F:$F,$G1108)),"")</f>
        <v/>
      </c>
      <c r="M1108" s="64"/>
      <c r="N1108" s="69"/>
      <c r="O1108" s="64"/>
      <c r="P1108" s="64"/>
      <c r="Q1108" s="69"/>
      <c r="R1108" s="69"/>
      <c r="S1108" s="69"/>
    </row>
    <row r="1109" s="2" customFormat="1" ht="24.95" customHeight="1" spans="1:19">
      <c r="A1109" s="15"/>
      <c r="B1109" s="55"/>
      <c r="C1109" s="56"/>
      <c r="D1109" s="68"/>
      <c r="E1109" s="69"/>
      <c r="F1109" s="69"/>
      <c r="G1109" s="65"/>
      <c r="H1109" s="65"/>
      <c r="I1109" s="70"/>
      <c r="J1109" s="71"/>
      <c r="K1109" s="71"/>
      <c r="L1109" s="72" t="str">
        <f>IFERROR(IF(G1109="","",VLOOKUP($G1109,[1]基础信息!$B:$C,2,FALSE)+SUMIF(G$8:G1109,G1109,J$8:J1109)-SUMIF(G$8:G1109,G1109,K$8:K1109)+SUMIFS([1]内部转账!$G:$G,[1]内部转账!$C:$C,"&lt;="&amp;$D1109,[1]内部转账!$E:$E,$G1109)-SUMIFS([1]内部转账!$G:$G,[1]内部转账!$C:$C,"&lt;="&amp;$D1109,[1]内部转账!$F:$F,$G1109)),"")</f>
        <v/>
      </c>
      <c r="M1109" s="64"/>
      <c r="N1109" s="69"/>
      <c r="O1109" s="64"/>
      <c r="P1109" s="64"/>
      <c r="Q1109" s="69"/>
      <c r="R1109" s="69"/>
      <c r="S1109" s="69"/>
    </row>
    <row r="1110" s="2" customFormat="1" ht="24.95" customHeight="1" spans="1:19">
      <c r="A1110" s="15"/>
      <c r="B1110" s="55"/>
      <c r="C1110" s="56"/>
      <c r="D1110" s="68"/>
      <c r="E1110" s="69"/>
      <c r="F1110" s="69"/>
      <c r="G1110" s="65"/>
      <c r="H1110" s="65"/>
      <c r="I1110" s="70"/>
      <c r="J1110" s="71"/>
      <c r="K1110" s="71"/>
      <c r="L1110" s="72" t="str">
        <f>IFERROR(IF(G1110="","",VLOOKUP($G1110,[1]基础信息!$B:$C,2,FALSE)+SUMIF(G$8:G1110,G1110,J$8:J1110)-SUMIF(G$8:G1110,G1110,K$8:K1110)+SUMIFS([1]内部转账!$G:$G,[1]内部转账!$C:$C,"&lt;="&amp;$D1110,[1]内部转账!$E:$E,$G1110)-SUMIFS([1]内部转账!$G:$G,[1]内部转账!$C:$C,"&lt;="&amp;$D1110,[1]内部转账!$F:$F,$G1110)),"")</f>
        <v/>
      </c>
      <c r="M1110" s="64"/>
      <c r="N1110" s="69"/>
      <c r="O1110" s="64"/>
      <c r="P1110" s="64"/>
      <c r="Q1110" s="69"/>
      <c r="R1110" s="69"/>
      <c r="S1110" s="69"/>
    </row>
    <row r="1111" s="2" customFormat="1" ht="24.95" customHeight="1" spans="1:19">
      <c r="A1111" s="15"/>
      <c r="B1111" s="55"/>
      <c r="C1111" s="56"/>
      <c r="D1111" s="68"/>
      <c r="E1111" s="69"/>
      <c r="F1111" s="69"/>
      <c r="G1111" s="65"/>
      <c r="H1111" s="65"/>
      <c r="I1111" s="70"/>
      <c r="J1111" s="71"/>
      <c r="K1111" s="71"/>
      <c r="L1111" s="72" t="str">
        <f>IFERROR(IF(G1111="","",VLOOKUP($G1111,[1]基础信息!$B:$C,2,FALSE)+SUMIF(G$8:G1111,G1111,J$8:J1111)-SUMIF(G$8:G1111,G1111,K$8:K1111)+SUMIFS([1]内部转账!$G:$G,[1]内部转账!$C:$C,"&lt;="&amp;$D1111,[1]内部转账!$E:$E,$G1111)-SUMIFS([1]内部转账!$G:$G,[1]内部转账!$C:$C,"&lt;="&amp;$D1111,[1]内部转账!$F:$F,$G1111)),"")</f>
        <v/>
      </c>
      <c r="M1111" s="64"/>
      <c r="N1111" s="69"/>
      <c r="O1111" s="64"/>
      <c r="P1111" s="64"/>
      <c r="Q1111" s="69"/>
      <c r="R1111" s="69"/>
      <c r="S1111" s="69"/>
    </row>
    <row r="1112" s="2" customFormat="1" ht="24.95" customHeight="1" spans="1:19">
      <c r="A1112" s="15"/>
      <c r="B1112" s="55"/>
      <c r="C1112" s="56"/>
      <c r="D1112" s="68"/>
      <c r="E1112" s="69"/>
      <c r="F1112" s="69"/>
      <c r="G1112" s="65"/>
      <c r="H1112" s="65"/>
      <c r="I1112" s="70"/>
      <c r="J1112" s="71"/>
      <c r="K1112" s="71"/>
      <c r="L1112" s="72" t="str">
        <f>IFERROR(IF(G1112="","",VLOOKUP($G1112,[1]基础信息!$B:$C,2,FALSE)+SUMIF(G$8:G1112,G1112,J$8:J1112)-SUMIF(G$8:G1112,G1112,K$8:K1112)+SUMIFS([1]内部转账!$G:$G,[1]内部转账!$C:$C,"&lt;="&amp;$D1112,[1]内部转账!$E:$E,$G1112)-SUMIFS([1]内部转账!$G:$G,[1]内部转账!$C:$C,"&lt;="&amp;$D1112,[1]内部转账!$F:$F,$G1112)),"")</f>
        <v/>
      </c>
      <c r="M1112" s="64"/>
      <c r="N1112" s="69"/>
      <c r="O1112" s="64"/>
      <c r="P1112" s="64"/>
      <c r="Q1112" s="69"/>
      <c r="R1112" s="69"/>
      <c r="S1112" s="69"/>
    </row>
    <row r="1113" s="2" customFormat="1" ht="24.95" customHeight="1" spans="1:19">
      <c r="A1113" s="15"/>
      <c r="B1113" s="55"/>
      <c r="C1113" s="56"/>
      <c r="D1113" s="68"/>
      <c r="E1113" s="69"/>
      <c r="F1113" s="69"/>
      <c r="G1113" s="65"/>
      <c r="H1113" s="65"/>
      <c r="I1113" s="70"/>
      <c r="J1113" s="71"/>
      <c r="K1113" s="71"/>
      <c r="L1113" s="72" t="str">
        <f>IFERROR(IF(G1113="","",VLOOKUP($G1113,[1]基础信息!$B:$C,2,FALSE)+SUMIF(G$8:G1113,G1113,J$8:J1113)-SUMIF(G$8:G1113,G1113,K$8:K1113)+SUMIFS([1]内部转账!$G:$G,[1]内部转账!$C:$C,"&lt;="&amp;$D1113,[1]内部转账!$E:$E,$G1113)-SUMIFS([1]内部转账!$G:$G,[1]内部转账!$C:$C,"&lt;="&amp;$D1113,[1]内部转账!$F:$F,$G1113)),"")</f>
        <v/>
      </c>
      <c r="M1113" s="64"/>
      <c r="N1113" s="69"/>
      <c r="O1113" s="64"/>
      <c r="P1113" s="64"/>
      <c r="Q1113" s="69"/>
      <c r="R1113" s="69"/>
      <c r="S1113" s="69"/>
    </row>
    <row r="1114" s="2" customFormat="1" ht="24.95" customHeight="1" spans="1:19">
      <c r="A1114" s="15"/>
      <c r="B1114" s="55"/>
      <c r="C1114" s="56"/>
      <c r="D1114" s="68"/>
      <c r="E1114" s="69"/>
      <c r="F1114" s="69"/>
      <c r="G1114" s="65"/>
      <c r="H1114" s="65"/>
      <c r="I1114" s="70"/>
      <c r="J1114" s="71"/>
      <c r="K1114" s="71"/>
      <c r="L1114" s="72" t="str">
        <f>IFERROR(IF(G1114="","",VLOOKUP($G1114,[1]基础信息!$B:$C,2,FALSE)+SUMIF(G$8:G1114,G1114,J$8:J1114)-SUMIF(G$8:G1114,G1114,K$8:K1114)+SUMIFS([1]内部转账!$G:$G,[1]内部转账!$C:$C,"&lt;="&amp;$D1114,[1]内部转账!$E:$E,$G1114)-SUMIFS([1]内部转账!$G:$G,[1]内部转账!$C:$C,"&lt;="&amp;$D1114,[1]内部转账!$F:$F,$G1114)),"")</f>
        <v/>
      </c>
      <c r="M1114" s="64"/>
      <c r="N1114" s="69"/>
      <c r="O1114" s="64"/>
      <c r="P1114" s="64"/>
      <c r="Q1114" s="69"/>
      <c r="R1114" s="69"/>
      <c r="S1114" s="69"/>
    </row>
    <row r="1115" s="2" customFormat="1" ht="24.95" customHeight="1" spans="1:19">
      <c r="A1115" s="15"/>
      <c r="B1115" s="55"/>
      <c r="C1115" s="56"/>
      <c r="D1115" s="68"/>
      <c r="E1115" s="69"/>
      <c r="F1115" s="69"/>
      <c r="G1115" s="65"/>
      <c r="H1115" s="65"/>
      <c r="I1115" s="70"/>
      <c r="J1115" s="71"/>
      <c r="K1115" s="71"/>
      <c r="L1115" s="72" t="str">
        <f>IFERROR(IF(G1115="","",VLOOKUP($G1115,[1]基础信息!$B:$C,2,FALSE)+SUMIF(G$8:G1115,G1115,J$8:J1115)-SUMIF(G$8:G1115,G1115,K$8:K1115)+SUMIFS([1]内部转账!$G:$G,[1]内部转账!$C:$C,"&lt;="&amp;$D1115,[1]内部转账!$E:$E,$G1115)-SUMIFS([1]内部转账!$G:$G,[1]内部转账!$C:$C,"&lt;="&amp;$D1115,[1]内部转账!$F:$F,$G1115)),"")</f>
        <v/>
      </c>
      <c r="M1115" s="64"/>
      <c r="N1115" s="69"/>
      <c r="O1115" s="64"/>
      <c r="P1115" s="64"/>
      <c r="Q1115" s="69"/>
      <c r="R1115" s="69"/>
      <c r="S1115" s="69"/>
    </row>
    <row r="1116" s="2" customFormat="1" ht="24.95" customHeight="1" spans="1:19">
      <c r="A1116" s="15"/>
      <c r="B1116" s="55"/>
      <c r="C1116" s="56"/>
      <c r="D1116" s="68"/>
      <c r="E1116" s="69"/>
      <c r="F1116" s="69"/>
      <c r="G1116" s="65"/>
      <c r="H1116" s="65"/>
      <c r="I1116" s="70"/>
      <c r="J1116" s="71"/>
      <c r="K1116" s="71"/>
      <c r="L1116" s="72" t="str">
        <f>IFERROR(IF(G1116="","",VLOOKUP($G1116,[1]基础信息!$B:$C,2,FALSE)+SUMIF(G$8:G1116,G1116,J$8:J1116)-SUMIF(G$8:G1116,G1116,K$8:K1116)+SUMIFS([1]内部转账!$G:$G,[1]内部转账!$C:$C,"&lt;="&amp;$D1116,[1]内部转账!$E:$E,$G1116)-SUMIFS([1]内部转账!$G:$G,[1]内部转账!$C:$C,"&lt;="&amp;$D1116,[1]内部转账!$F:$F,$G1116)),"")</f>
        <v/>
      </c>
      <c r="M1116" s="64"/>
      <c r="N1116" s="69"/>
      <c r="O1116" s="64"/>
      <c r="P1116" s="64"/>
      <c r="Q1116" s="69"/>
      <c r="R1116" s="69"/>
      <c r="S1116" s="69"/>
    </row>
    <row r="1117" s="2" customFormat="1" ht="24.95" customHeight="1" spans="1:19">
      <c r="A1117" s="15"/>
      <c r="B1117" s="55"/>
      <c r="C1117" s="56"/>
      <c r="D1117" s="68"/>
      <c r="E1117" s="69"/>
      <c r="F1117" s="69"/>
      <c r="G1117" s="65"/>
      <c r="H1117" s="65"/>
      <c r="I1117" s="70"/>
      <c r="J1117" s="71"/>
      <c r="K1117" s="71"/>
      <c r="L1117" s="72" t="str">
        <f>IFERROR(IF(G1117="","",VLOOKUP($G1117,[1]基础信息!$B:$C,2,FALSE)+SUMIF(G$8:G1117,G1117,J$8:J1117)-SUMIF(G$8:G1117,G1117,K$8:K1117)+SUMIFS([1]内部转账!$G:$G,[1]内部转账!$C:$C,"&lt;="&amp;$D1117,[1]内部转账!$E:$E,$G1117)-SUMIFS([1]内部转账!$G:$G,[1]内部转账!$C:$C,"&lt;="&amp;$D1117,[1]内部转账!$F:$F,$G1117)),"")</f>
        <v/>
      </c>
      <c r="M1117" s="64"/>
      <c r="N1117" s="69"/>
      <c r="O1117" s="64"/>
      <c r="P1117" s="64"/>
      <c r="Q1117" s="69"/>
      <c r="R1117" s="69"/>
      <c r="S1117" s="69"/>
    </row>
    <row r="1118" s="2" customFormat="1" ht="24.95" customHeight="1" spans="1:19">
      <c r="A1118" s="15"/>
      <c r="B1118" s="55"/>
      <c r="C1118" s="56"/>
      <c r="D1118" s="68"/>
      <c r="E1118" s="69"/>
      <c r="F1118" s="69"/>
      <c r="G1118" s="65"/>
      <c r="H1118" s="65"/>
      <c r="I1118" s="70"/>
      <c r="J1118" s="71"/>
      <c r="K1118" s="71"/>
      <c r="L1118" s="72" t="str">
        <f>IFERROR(IF(G1118="","",VLOOKUP($G1118,[1]基础信息!$B:$C,2,FALSE)+SUMIF(G$8:G1118,G1118,J$8:J1118)-SUMIF(G$8:G1118,G1118,K$8:K1118)+SUMIFS([1]内部转账!$G:$G,[1]内部转账!$C:$C,"&lt;="&amp;$D1118,[1]内部转账!$E:$E,$G1118)-SUMIFS([1]内部转账!$G:$G,[1]内部转账!$C:$C,"&lt;="&amp;$D1118,[1]内部转账!$F:$F,$G1118)),"")</f>
        <v/>
      </c>
      <c r="M1118" s="64"/>
      <c r="N1118" s="69"/>
      <c r="O1118" s="64"/>
      <c r="P1118" s="64"/>
      <c r="Q1118" s="69"/>
      <c r="R1118" s="69"/>
      <c r="S1118" s="69"/>
    </row>
    <row r="1119" s="2" customFormat="1" ht="24.95" customHeight="1" spans="1:19">
      <c r="A1119" s="15"/>
      <c r="B1119" s="55"/>
      <c r="C1119" s="56"/>
      <c r="D1119" s="68"/>
      <c r="E1119" s="69"/>
      <c r="F1119" s="69"/>
      <c r="G1119" s="65"/>
      <c r="H1119" s="65"/>
      <c r="I1119" s="70"/>
      <c r="J1119" s="71"/>
      <c r="K1119" s="71"/>
      <c r="L1119" s="72" t="str">
        <f>IFERROR(IF(G1119="","",VLOOKUP($G1119,[1]基础信息!$B:$C,2,FALSE)+SUMIF(G$8:G1119,G1119,J$8:J1119)-SUMIF(G$8:G1119,G1119,K$8:K1119)+SUMIFS([1]内部转账!$G:$G,[1]内部转账!$C:$C,"&lt;="&amp;$D1119,[1]内部转账!$E:$E,$G1119)-SUMIFS([1]内部转账!$G:$G,[1]内部转账!$C:$C,"&lt;="&amp;$D1119,[1]内部转账!$F:$F,$G1119)),"")</f>
        <v/>
      </c>
      <c r="M1119" s="64"/>
      <c r="N1119" s="69"/>
      <c r="O1119" s="64"/>
      <c r="P1119" s="64"/>
      <c r="Q1119" s="69"/>
      <c r="R1119" s="69"/>
      <c r="S1119" s="69"/>
    </row>
    <row r="1120" s="2" customFormat="1" ht="24.95" customHeight="1" spans="1:19">
      <c r="A1120" s="15"/>
      <c r="B1120" s="55"/>
      <c r="C1120" s="56"/>
      <c r="D1120" s="68"/>
      <c r="E1120" s="69"/>
      <c r="F1120" s="69"/>
      <c r="G1120" s="65"/>
      <c r="H1120" s="65"/>
      <c r="I1120" s="70"/>
      <c r="J1120" s="71"/>
      <c r="K1120" s="71"/>
      <c r="L1120" s="72" t="str">
        <f>IFERROR(IF(G1120="","",VLOOKUP($G1120,[1]基础信息!$B:$C,2,FALSE)+SUMIF(G$8:G1120,G1120,J$8:J1120)-SUMIF(G$8:G1120,G1120,K$8:K1120)+SUMIFS([1]内部转账!$G:$G,[1]内部转账!$C:$C,"&lt;="&amp;$D1120,[1]内部转账!$E:$E,$G1120)-SUMIFS([1]内部转账!$G:$G,[1]内部转账!$C:$C,"&lt;="&amp;$D1120,[1]内部转账!$F:$F,$G1120)),"")</f>
        <v/>
      </c>
      <c r="M1120" s="64"/>
      <c r="N1120" s="69"/>
      <c r="O1120" s="64"/>
      <c r="P1120" s="64"/>
      <c r="Q1120" s="69"/>
      <c r="R1120" s="69"/>
      <c r="S1120" s="69"/>
    </row>
    <row r="1121" s="2" customFormat="1" ht="24.95" customHeight="1" spans="1:19">
      <c r="A1121" s="15"/>
      <c r="B1121" s="55"/>
      <c r="C1121" s="56"/>
      <c r="D1121" s="68"/>
      <c r="E1121" s="69"/>
      <c r="F1121" s="69"/>
      <c r="G1121" s="65"/>
      <c r="H1121" s="65"/>
      <c r="I1121" s="70"/>
      <c r="J1121" s="71"/>
      <c r="K1121" s="71"/>
      <c r="L1121" s="72" t="str">
        <f>IFERROR(IF(G1121="","",VLOOKUP($G1121,[1]基础信息!$B:$C,2,FALSE)+SUMIF(G$8:G1121,G1121,J$8:J1121)-SUMIF(G$8:G1121,G1121,K$8:K1121)+SUMIFS([1]内部转账!$G:$G,[1]内部转账!$C:$C,"&lt;="&amp;$D1121,[1]内部转账!$E:$E,$G1121)-SUMIFS([1]内部转账!$G:$G,[1]内部转账!$C:$C,"&lt;="&amp;$D1121,[1]内部转账!$F:$F,$G1121)),"")</f>
        <v/>
      </c>
      <c r="M1121" s="64"/>
      <c r="N1121" s="69"/>
      <c r="O1121" s="64"/>
      <c r="P1121" s="64"/>
      <c r="Q1121" s="69"/>
      <c r="R1121" s="69"/>
      <c r="S1121" s="69"/>
    </row>
    <row r="1122" s="2" customFormat="1" ht="24.95" customHeight="1" spans="1:19">
      <c r="A1122" s="15"/>
      <c r="B1122" s="55"/>
      <c r="C1122" s="56"/>
      <c r="D1122" s="68"/>
      <c r="E1122" s="69"/>
      <c r="F1122" s="69"/>
      <c r="G1122" s="65"/>
      <c r="H1122" s="65"/>
      <c r="I1122" s="70"/>
      <c r="J1122" s="71"/>
      <c r="K1122" s="71"/>
      <c r="L1122" s="72" t="str">
        <f>IFERROR(IF(G1122="","",VLOOKUP($G1122,[1]基础信息!$B:$C,2,FALSE)+SUMIF(G$8:G1122,G1122,J$8:J1122)-SUMIF(G$8:G1122,G1122,K$8:K1122)+SUMIFS([1]内部转账!$G:$G,[1]内部转账!$C:$C,"&lt;="&amp;$D1122,[1]内部转账!$E:$E,$G1122)-SUMIFS([1]内部转账!$G:$G,[1]内部转账!$C:$C,"&lt;="&amp;$D1122,[1]内部转账!$F:$F,$G1122)),"")</f>
        <v/>
      </c>
      <c r="M1122" s="64"/>
      <c r="N1122" s="69"/>
      <c r="O1122" s="64"/>
      <c r="P1122" s="64"/>
      <c r="Q1122" s="69"/>
      <c r="R1122" s="69"/>
      <c r="S1122" s="69"/>
    </row>
    <row r="1123" s="2" customFormat="1" ht="24.95" customHeight="1" spans="1:19">
      <c r="A1123" s="15"/>
      <c r="B1123" s="55"/>
      <c r="C1123" s="56"/>
      <c r="D1123" s="68"/>
      <c r="E1123" s="69"/>
      <c r="F1123" s="69"/>
      <c r="G1123" s="65"/>
      <c r="H1123" s="65"/>
      <c r="I1123" s="70"/>
      <c r="J1123" s="71"/>
      <c r="K1123" s="71"/>
      <c r="L1123" s="72" t="str">
        <f>IFERROR(IF(G1123="","",VLOOKUP($G1123,[1]基础信息!$B:$C,2,FALSE)+SUMIF(G$8:G1123,G1123,J$8:J1123)-SUMIF(G$8:G1123,G1123,K$8:K1123)+SUMIFS([1]内部转账!$G:$G,[1]内部转账!$C:$C,"&lt;="&amp;$D1123,[1]内部转账!$E:$E,$G1123)-SUMIFS([1]内部转账!$G:$G,[1]内部转账!$C:$C,"&lt;="&amp;$D1123,[1]内部转账!$F:$F,$G1123)),"")</f>
        <v/>
      </c>
      <c r="M1123" s="64"/>
      <c r="N1123" s="69"/>
      <c r="O1123" s="64"/>
      <c r="P1123" s="64"/>
      <c r="Q1123" s="69"/>
      <c r="R1123" s="69"/>
      <c r="S1123" s="69"/>
    </row>
    <row r="1124" s="2" customFormat="1" ht="24.95" customHeight="1" spans="1:19">
      <c r="A1124" s="15"/>
      <c r="B1124" s="55"/>
      <c r="C1124" s="56"/>
      <c r="D1124" s="68"/>
      <c r="E1124" s="69"/>
      <c r="F1124" s="69"/>
      <c r="G1124" s="65"/>
      <c r="H1124" s="65"/>
      <c r="I1124" s="70"/>
      <c r="J1124" s="71"/>
      <c r="K1124" s="71"/>
      <c r="L1124" s="72" t="str">
        <f>IFERROR(IF(G1124="","",VLOOKUP($G1124,[1]基础信息!$B:$C,2,FALSE)+SUMIF(G$8:G1124,G1124,J$8:J1124)-SUMIF(G$8:G1124,G1124,K$8:K1124)+SUMIFS([1]内部转账!$G:$G,[1]内部转账!$C:$C,"&lt;="&amp;$D1124,[1]内部转账!$E:$E,$G1124)-SUMIFS([1]内部转账!$G:$G,[1]内部转账!$C:$C,"&lt;="&amp;$D1124,[1]内部转账!$F:$F,$G1124)),"")</f>
        <v/>
      </c>
      <c r="M1124" s="64"/>
      <c r="N1124" s="69"/>
      <c r="O1124" s="64"/>
      <c r="P1124" s="64"/>
      <c r="Q1124" s="69"/>
      <c r="R1124" s="69"/>
      <c r="S1124" s="69"/>
    </row>
    <row r="1125" s="2" customFormat="1" ht="24.95" customHeight="1" spans="1:19">
      <c r="A1125" s="15"/>
      <c r="B1125" s="55"/>
      <c r="C1125" s="56"/>
      <c r="D1125" s="68"/>
      <c r="E1125" s="69"/>
      <c r="F1125" s="69"/>
      <c r="G1125" s="65"/>
      <c r="H1125" s="65"/>
      <c r="I1125" s="70"/>
      <c r="J1125" s="71"/>
      <c r="K1125" s="71"/>
      <c r="L1125" s="72" t="str">
        <f>IFERROR(IF(G1125="","",VLOOKUP($G1125,[1]基础信息!$B:$C,2,FALSE)+SUMIF(G$8:G1125,G1125,J$8:J1125)-SUMIF(G$8:G1125,G1125,K$8:K1125)+SUMIFS([1]内部转账!$G:$G,[1]内部转账!$C:$C,"&lt;="&amp;$D1125,[1]内部转账!$E:$E,$G1125)-SUMIFS([1]内部转账!$G:$G,[1]内部转账!$C:$C,"&lt;="&amp;$D1125,[1]内部转账!$F:$F,$G1125)),"")</f>
        <v/>
      </c>
      <c r="M1125" s="64"/>
      <c r="N1125" s="69"/>
      <c r="O1125" s="64"/>
      <c r="P1125" s="64"/>
      <c r="Q1125" s="69"/>
      <c r="R1125" s="69"/>
      <c r="S1125" s="69"/>
    </row>
    <row r="1126" s="2" customFormat="1" ht="24.95" customHeight="1" spans="1:19">
      <c r="A1126" s="15"/>
      <c r="B1126" s="55"/>
      <c r="C1126" s="56"/>
      <c r="D1126" s="68"/>
      <c r="E1126" s="69"/>
      <c r="F1126" s="69"/>
      <c r="G1126" s="65"/>
      <c r="H1126" s="65"/>
      <c r="I1126" s="70"/>
      <c r="J1126" s="71"/>
      <c r="K1126" s="71"/>
      <c r="L1126" s="72" t="str">
        <f>IFERROR(IF(G1126="","",VLOOKUP($G1126,[1]基础信息!$B:$C,2,FALSE)+SUMIF(G$8:G1126,G1126,J$8:J1126)-SUMIF(G$8:G1126,G1126,K$8:K1126)+SUMIFS([1]内部转账!$G:$G,[1]内部转账!$C:$C,"&lt;="&amp;$D1126,[1]内部转账!$E:$E,$G1126)-SUMIFS([1]内部转账!$G:$G,[1]内部转账!$C:$C,"&lt;="&amp;$D1126,[1]内部转账!$F:$F,$G1126)),"")</f>
        <v/>
      </c>
      <c r="M1126" s="64"/>
      <c r="N1126" s="69"/>
      <c r="O1126" s="64"/>
      <c r="P1126" s="64"/>
      <c r="Q1126" s="69"/>
      <c r="R1126" s="69"/>
      <c r="S1126" s="69"/>
    </row>
    <row r="1127" s="2" customFormat="1" ht="24.95" customHeight="1" spans="1:19">
      <c r="A1127" s="15"/>
      <c r="B1127" s="55"/>
      <c r="C1127" s="56"/>
      <c r="D1127" s="68"/>
      <c r="E1127" s="69"/>
      <c r="F1127" s="69"/>
      <c r="G1127" s="65"/>
      <c r="H1127" s="65"/>
      <c r="I1127" s="70"/>
      <c r="J1127" s="71"/>
      <c r="K1127" s="71"/>
      <c r="L1127" s="72" t="str">
        <f>IFERROR(IF(G1127="","",VLOOKUP($G1127,[1]基础信息!$B:$C,2,FALSE)+SUMIF(G$8:G1127,G1127,J$8:J1127)-SUMIF(G$8:G1127,G1127,K$8:K1127)+SUMIFS([1]内部转账!$G:$G,[1]内部转账!$C:$C,"&lt;="&amp;$D1127,[1]内部转账!$E:$E,$G1127)-SUMIFS([1]内部转账!$G:$G,[1]内部转账!$C:$C,"&lt;="&amp;$D1127,[1]内部转账!$F:$F,$G1127)),"")</f>
        <v/>
      </c>
      <c r="M1127" s="64"/>
      <c r="N1127" s="69"/>
      <c r="O1127" s="64"/>
      <c r="P1127" s="64"/>
      <c r="Q1127" s="69"/>
      <c r="R1127" s="69"/>
      <c r="S1127" s="69"/>
    </row>
    <row r="1128" s="2" customFormat="1" ht="24.95" customHeight="1" spans="1:19">
      <c r="A1128" s="15"/>
      <c r="B1128" s="55"/>
      <c r="C1128" s="56"/>
      <c r="D1128" s="68"/>
      <c r="E1128" s="69"/>
      <c r="F1128" s="69"/>
      <c r="G1128" s="65"/>
      <c r="H1128" s="65"/>
      <c r="I1128" s="70"/>
      <c r="J1128" s="71"/>
      <c r="K1128" s="71"/>
      <c r="L1128" s="72" t="str">
        <f>IFERROR(IF(G1128="","",VLOOKUP($G1128,[1]基础信息!$B:$C,2,FALSE)+SUMIF(G$8:G1128,G1128,J$8:J1128)-SUMIF(G$8:G1128,G1128,K$8:K1128)+SUMIFS([1]内部转账!$G:$G,[1]内部转账!$C:$C,"&lt;="&amp;$D1128,[1]内部转账!$E:$E,$G1128)-SUMIFS([1]内部转账!$G:$G,[1]内部转账!$C:$C,"&lt;="&amp;$D1128,[1]内部转账!$F:$F,$G1128)),"")</f>
        <v/>
      </c>
      <c r="M1128" s="64"/>
      <c r="N1128" s="69"/>
      <c r="O1128" s="64"/>
      <c r="P1128" s="64"/>
      <c r="Q1128" s="69"/>
      <c r="R1128" s="69"/>
      <c r="S1128" s="69"/>
    </row>
    <row r="1129" s="2" customFormat="1" ht="24.95" customHeight="1" spans="1:19">
      <c r="A1129" s="15"/>
      <c r="B1129" s="55"/>
      <c r="C1129" s="56"/>
      <c r="D1129" s="68"/>
      <c r="E1129" s="69"/>
      <c r="F1129" s="69"/>
      <c r="G1129" s="65"/>
      <c r="H1129" s="65"/>
      <c r="I1129" s="70"/>
      <c r="J1129" s="71"/>
      <c r="K1129" s="71"/>
      <c r="L1129" s="72" t="str">
        <f>IFERROR(IF(G1129="","",VLOOKUP($G1129,[1]基础信息!$B:$C,2,FALSE)+SUMIF(G$8:G1129,G1129,J$8:J1129)-SUMIF(G$8:G1129,G1129,K$8:K1129)+SUMIFS([1]内部转账!$G:$G,[1]内部转账!$C:$C,"&lt;="&amp;$D1129,[1]内部转账!$E:$E,$G1129)-SUMIFS([1]内部转账!$G:$G,[1]内部转账!$C:$C,"&lt;="&amp;$D1129,[1]内部转账!$F:$F,$G1129)),"")</f>
        <v/>
      </c>
      <c r="M1129" s="64"/>
      <c r="N1129" s="69"/>
      <c r="O1129" s="64"/>
      <c r="P1129" s="64"/>
      <c r="Q1129" s="69"/>
      <c r="R1129" s="69"/>
      <c r="S1129" s="69"/>
    </row>
    <row r="1130" s="2" customFormat="1" ht="24.95" customHeight="1" spans="1:19">
      <c r="A1130" s="15"/>
      <c r="B1130" s="55"/>
      <c r="C1130" s="56"/>
      <c r="D1130" s="68"/>
      <c r="E1130" s="69"/>
      <c r="F1130" s="69"/>
      <c r="G1130" s="65"/>
      <c r="H1130" s="65"/>
      <c r="I1130" s="70"/>
      <c r="J1130" s="71"/>
      <c r="K1130" s="71"/>
      <c r="L1130" s="72" t="str">
        <f>IFERROR(IF(G1130="","",VLOOKUP($G1130,[1]基础信息!$B:$C,2,FALSE)+SUMIF(G$8:G1130,G1130,J$8:J1130)-SUMIF(G$8:G1130,G1130,K$8:K1130)+SUMIFS([1]内部转账!$G:$G,[1]内部转账!$C:$C,"&lt;="&amp;$D1130,[1]内部转账!$E:$E,$G1130)-SUMIFS([1]内部转账!$G:$G,[1]内部转账!$C:$C,"&lt;="&amp;$D1130,[1]内部转账!$F:$F,$G1130)),"")</f>
        <v/>
      </c>
      <c r="M1130" s="64"/>
      <c r="N1130" s="69"/>
      <c r="O1130" s="64"/>
      <c r="P1130" s="64"/>
      <c r="Q1130" s="69"/>
      <c r="R1130" s="69"/>
      <c r="S1130" s="69"/>
    </row>
    <row r="1131" s="2" customFormat="1" ht="24.95" customHeight="1" spans="1:19">
      <c r="A1131" s="15"/>
      <c r="B1131" s="55"/>
      <c r="C1131" s="56"/>
      <c r="D1131" s="68"/>
      <c r="E1131" s="69"/>
      <c r="F1131" s="69"/>
      <c r="G1131" s="65"/>
      <c r="H1131" s="65"/>
      <c r="I1131" s="70"/>
      <c r="J1131" s="71"/>
      <c r="K1131" s="71"/>
      <c r="L1131" s="72" t="str">
        <f>IFERROR(IF(G1131="","",VLOOKUP($G1131,[1]基础信息!$B:$C,2,FALSE)+SUMIF(G$8:G1131,G1131,J$8:J1131)-SUMIF(G$8:G1131,G1131,K$8:K1131)+SUMIFS([1]内部转账!$G:$G,[1]内部转账!$C:$C,"&lt;="&amp;$D1131,[1]内部转账!$E:$E,$G1131)-SUMIFS([1]内部转账!$G:$G,[1]内部转账!$C:$C,"&lt;="&amp;$D1131,[1]内部转账!$F:$F,$G1131)),"")</f>
        <v/>
      </c>
      <c r="M1131" s="64"/>
      <c r="N1131" s="69"/>
      <c r="O1131" s="64"/>
      <c r="P1131" s="64"/>
      <c r="Q1131" s="69"/>
      <c r="R1131" s="69"/>
      <c r="S1131" s="69"/>
    </row>
    <row r="1132" s="2" customFormat="1" ht="24.95" customHeight="1" spans="1:19">
      <c r="A1132" s="15"/>
      <c r="B1132" s="55"/>
      <c r="C1132" s="56"/>
      <c r="D1132" s="68"/>
      <c r="E1132" s="69"/>
      <c r="F1132" s="69"/>
      <c r="G1132" s="65"/>
      <c r="H1132" s="65"/>
      <c r="I1132" s="70"/>
      <c r="J1132" s="71"/>
      <c r="K1132" s="71"/>
      <c r="L1132" s="72" t="str">
        <f>IFERROR(IF(G1132="","",VLOOKUP($G1132,[1]基础信息!$B:$C,2,FALSE)+SUMIF(G$8:G1132,G1132,J$8:J1132)-SUMIF(G$8:G1132,G1132,K$8:K1132)+SUMIFS([1]内部转账!$G:$G,[1]内部转账!$C:$C,"&lt;="&amp;$D1132,[1]内部转账!$E:$E,$G1132)-SUMIFS([1]内部转账!$G:$G,[1]内部转账!$C:$C,"&lt;="&amp;$D1132,[1]内部转账!$F:$F,$G1132)),"")</f>
        <v/>
      </c>
      <c r="M1132" s="64"/>
      <c r="N1132" s="69"/>
      <c r="O1132" s="64"/>
      <c r="P1132" s="64"/>
      <c r="Q1132" s="69"/>
      <c r="R1132" s="69"/>
      <c r="S1132" s="69"/>
    </row>
    <row r="1133" s="2" customFormat="1" ht="24.95" customHeight="1" spans="1:19">
      <c r="A1133" s="15"/>
      <c r="B1133" s="55"/>
      <c r="C1133" s="56"/>
      <c r="D1133" s="68"/>
      <c r="E1133" s="69"/>
      <c r="F1133" s="69"/>
      <c r="G1133" s="65"/>
      <c r="H1133" s="65"/>
      <c r="I1133" s="70"/>
      <c r="J1133" s="71"/>
      <c r="K1133" s="71"/>
      <c r="L1133" s="72" t="str">
        <f>IFERROR(IF(G1133="","",VLOOKUP($G1133,[1]基础信息!$B:$C,2,FALSE)+SUMIF(G$8:G1133,G1133,J$8:J1133)-SUMIF(G$8:G1133,G1133,K$8:K1133)+SUMIFS([1]内部转账!$G:$G,[1]内部转账!$C:$C,"&lt;="&amp;$D1133,[1]内部转账!$E:$E,$G1133)-SUMIFS([1]内部转账!$G:$G,[1]内部转账!$C:$C,"&lt;="&amp;$D1133,[1]内部转账!$F:$F,$G1133)),"")</f>
        <v/>
      </c>
      <c r="M1133" s="64"/>
      <c r="N1133" s="69"/>
      <c r="O1133" s="64"/>
      <c r="P1133" s="64"/>
      <c r="Q1133" s="69"/>
      <c r="R1133" s="69"/>
      <c r="S1133" s="69"/>
    </row>
    <row r="1134" s="2" customFormat="1" ht="24.95" customHeight="1" spans="1:19">
      <c r="A1134" s="15"/>
      <c r="B1134" s="55"/>
      <c r="C1134" s="56"/>
      <c r="D1134" s="68"/>
      <c r="E1134" s="69"/>
      <c r="F1134" s="69"/>
      <c r="G1134" s="65"/>
      <c r="H1134" s="65"/>
      <c r="I1134" s="70"/>
      <c r="J1134" s="71"/>
      <c r="K1134" s="71"/>
      <c r="L1134" s="72" t="str">
        <f>IFERROR(IF(G1134="","",VLOOKUP($G1134,[1]基础信息!$B:$C,2,FALSE)+SUMIF(G$8:G1134,G1134,J$8:J1134)-SUMIF(G$8:G1134,G1134,K$8:K1134)+SUMIFS([1]内部转账!$G:$G,[1]内部转账!$C:$C,"&lt;="&amp;$D1134,[1]内部转账!$E:$E,$G1134)-SUMIFS([1]内部转账!$G:$G,[1]内部转账!$C:$C,"&lt;="&amp;$D1134,[1]内部转账!$F:$F,$G1134)),"")</f>
        <v/>
      </c>
      <c r="M1134" s="64"/>
      <c r="N1134" s="69"/>
      <c r="O1134" s="64"/>
      <c r="P1134" s="64"/>
      <c r="Q1134" s="69"/>
      <c r="R1134" s="69"/>
      <c r="S1134" s="69"/>
    </row>
    <row r="1135" s="2" customFormat="1" ht="24.95" customHeight="1" spans="1:19">
      <c r="A1135" s="15"/>
      <c r="B1135" s="55"/>
      <c r="C1135" s="56"/>
      <c r="D1135" s="68"/>
      <c r="E1135" s="69"/>
      <c r="F1135" s="69"/>
      <c r="G1135" s="65"/>
      <c r="H1135" s="65"/>
      <c r="I1135" s="70"/>
      <c r="J1135" s="71"/>
      <c r="K1135" s="71"/>
      <c r="L1135" s="72" t="str">
        <f>IFERROR(IF(G1135="","",VLOOKUP($G1135,[1]基础信息!$B:$C,2,FALSE)+SUMIF(G$8:G1135,G1135,J$8:J1135)-SUMIF(G$8:G1135,G1135,K$8:K1135)+SUMIFS([1]内部转账!$G:$G,[1]内部转账!$C:$C,"&lt;="&amp;$D1135,[1]内部转账!$E:$E,$G1135)-SUMIFS([1]内部转账!$G:$G,[1]内部转账!$C:$C,"&lt;="&amp;$D1135,[1]内部转账!$F:$F,$G1135)),"")</f>
        <v/>
      </c>
      <c r="M1135" s="64"/>
      <c r="N1135" s="69"/>
      <c r="O1135" s="64"/>
      <c r="P1135" s="64"/>
      <c r="Q1135" s="69"/>
      <c r="R1135" s="69"/>
      <c r="S1135" s="69"/>
    </row>
    <row r="1136" s="2" customFormat="1" ht="24.95" customHeight="1" spans="1:19">
      <c r="A1136" s="15"/>
      <c r="B1136" s="55"/>
      <c r="C1136" s="56"/>
      <c r="D1136" s="68"/>
      <c r="E1136" s="69"/>
      <c r="F1136" s="69"/>
      <c r="G1136" s="65"/>
      <c r="H1136" s="65"/>
      <c r="I1136" s="70"/>
      <c r="J1136" s="71"/>
      <c r="K1136" s="71"/>
      <c r="L1136" s="72" t="str">
        <f>IFERROR(IF(G1136="","",VLOOKUP($G1136,[1]基础信息!$B:$C,2,FALSE)+SUMIF(G$8:G1136,G1136,J$8:J1136)-SUMIF(G$8:G1136,G1136,K$8:K1136)+SUMIFS([1]内部转账!$G:$G,[1]内部转账!$C:$C,"&lt;="&amp;$D1136,[1]内部转账!$E:$E,$G1136)-SUMIFS([1]内部转账!$G:$G,[1]内部转账!$C:$C,"&lt;="&amp;$D1136,[1]内部转账!$F:$F,$G1136)),"")</f>
        <v/>
      </c>
      <c r="M1136" s="64"/>
      <c r="N1136" s="69"/>
      <c r="O1136" s="64"/>
      <c r="P1136" s="64"/>
      <c r="Q1136" s="69"/>
      <c r="R1136" s="69"/>
      <c r="S1136" s="69"/>
    </row>
    <row r="1137" s="2" customFormat="1" ht="24.95" customHeight="1" spans="1:19">
      <c r="A1137" s="15"/>
      <c r="B1137" s="55"/>
      <c r="C1137" s="56"/>
      <c r="D1137" s="68"/>
      <c r="E1137" s="69"/>
      <c r="F1137" s="69"/>
      <c r="G1137" s="65"/>
      <c r="H1137" s="65"/>
      <c r="I1137" s="70"/>
      <c r="J1137" s="71"/>
      <c r="K1137" s="71"/>
      <c r="L1137" s="72" t="str">
        <f>IFERROR(IF(G1137="","",VLOOKUP($G1137,[1]基础信息!$B:$C,2,FALSE)+SUMIF(G$8:G1137,G1137,J$8:J1137)-SUMIF(G$8:G1137,G1137,K$8:K1137)+SUMIFS([1]内部转账!$G:$G,[1]内部转账!$C:$C,"&lt;="&amp;$D1137,[1]内部转账!$E:$E,$G1137)-SUMIFS([1]内部转账!$G:$G,[1]内部转账!$C:$C,"&lt;="&amp;$D1137,[1]内部转账!$F:$F,$G1137)),"")</f>
        <v/>
      </c>
      <c r="M1137" s="64"/>
      <c r="N1137" s="69"/>
      <c r="O1137" s="64"/>
      <c r="P1137" s="64"/>
      <c r="Q1137" s="69"/>
      <c r="R1137" s="69"/>
      <c r="S1137" s="69"/>
    </row>
    <row r="1138" s="2" customFormat="1" ht="24.95" customHeight="1" spans="1:19">
      <c r="A1138" s="15"/>
      <c r="B1138" s="55"/>
      <c r="C1138" s="56"/>
      <c r="D1138" s="68"/>
      <c r="E1138" s="69"/>
      <c r="F1138" s="69"/>
      <c r="G1138" s="65"/>
      <c r="H1138" s="65"/>
      <c r="I1138" s="70"/>
      <c r="J1138" s="71"/>
      <c r="K1138" s="71"/>
      <c r="L1138" s="72" t="str">
        <f>IFERROR(IF(G1138="","",VLOOKUP($G1138,[1]基础信息!$B:$C,2,FALSE)+SUMIF(G$8:G1138,G1138,J$8:J1138)-SUMIF(G$8:G1138,G1138,K$8:K1138)+SUMIFS([1]内部转账!$G:$G,[1]内部转账!$C:$C,"&lt;="&amp;$D1138,[1]内部转账!$E:$E,$G1138)-SUMIFS([1]内部转账!$G:$G,[1]内部转账!$C:$C,"&lt;="&amp;$D1138,[1]内部转账!$F:$F,$G1138)),"")</f>
        <v/>
      </c>
      <c r="M1138" s="64"/>
      <c r="N1138" s="69"/>
      <c r="O1138" s="64"/>
      <c r="P1138" s="64"/>
      <c r="Q1138" s="69"/>
      <c r="R1138" s="69"/>
      <c r="S1138" s="69"/>
    </row>
    <row r="1139" s="2" customFormat="1" ht="24.95" customHeight="1" spans="1:19">
      <c r="A1139" s="15"/>
      <c r="B1139" s="55"/>
      <c r="C1139" s="56"/>
      <c r="D1139" s="68"/>
      <c r="E1139" s="69"/>
      <c r="F1139" s="69"/>
      <c r="G1139" s="65"/>
      <c r="H1139" s="65"/>
      <c r="I1139" s="70"/>
      <c r="J1139" s="71"/>
      <c r="K1139" s="71"/>
      <c r="L1139" s="72" t="str">
        <f>IFERROR(IF(G1139="","",VLOOKUP($G1139,[1]基础信息!$B:$C,2,FALSE)+SUMIF(G$8:G1139,G1139,J$8:J1139)-SUMIF(G$8:G1139,G1139,K$8:K1139)+SUMIFS([1]内部转账!$G:$G,[1]内部转账!$C:$C,"&lt;="&amp;$D1139,[1]内部转账!$E:$E,$G1139)-SUMIFS([1]内部转账!$G:$G,[1]内部转账!$C:$C,"&lt;="&amp;$D1139,[1]内部转账!$F:$F,$G1139)),"")</f>
        <v/>
      </c>
      <c r="M1139" s="64"/>
      <c r="N1139" s="69"/>
      <c r="O1139" s="64"/>
      <c r="P1139" s="64"/>
      <c r="Q1139" s="69"/>
      <c r="R1139" s="69"/>
      <c r="S1139" s="69"/>
    </row>
    <row r="1140" s="2" customFormat="1" ht="24.95" customHeight="1" spans="1:19">
      <c r="A1140" s="15"/>
      <c r="B1140" s="55"/>
      <c r="C1140" s="56"/>
      <c r="D1140" s="68"/>
      <c r="E1140" s="69"/>
      <c r="F1140" s="69"/>
      <c r="G1140" s="65"/>
      <c r="H1140" s="65"/>
      <c r="I1140" s="70"/>
      <c r="J1140" s="71"/>
      <c r="K1140" s="71"/>
      <c r="L1140" s="72" t="str">
        <f>IFERROR(IF(G1140="","",VLOOKUP($G1140,[1]基础信息!$B:$C,2,FALSE)+SUMIF(G$8:G1140,G1140,J$8:J1140)-SUMIF(G$8:G1140,G1140,K$8:K1140)+SUMIFS([1]内部转账!$G:$G,[1]内部转账!$C:$C,"&lt;="&amp;$D1140,[1]内部转账!$E:$E,$G1140)-SUMIFS([1]内部转账!$G:$G,[1]内部转账!$C:$C,"&lt;="&amp;$D1140,[1]内部转账!$F:$F,$G1140)),"")</f>
        <v/>
      </c>
      <c r="M1140" s="64"/>
      <c r="N1140" s="69"/>
      <c r="O1140" s="64"/>
      <c r="P1140" s="64"/>
      <c r="Q1140" s="69"/>
      <c r="R1140" s="69"/>
      <c r="S1140" s="69"/>
    </row>
    <row r="1141" s="2" customFormat="1" ht="24.95" customHeight="1" spans="1:19">
      <c r="A1141" s="15"/>
      <c r="B1141" s="55"/>
      <c r="C1141" s="56"/>
      <c r="D1141" s="68"/>
      <c r="E1141" s="69"/>
      <c r="F1141" s="69"/>
      <c r="G1141" s="65"/>
      <c r="H1141" s="65"/>
      <c r="I1141" s="70"/>
      <c r="J1141" s="71"/>
      <c r="K1141" s="71"/>
      <c r="L1141" s="72" t="str">
        <f>IFERROR(IF(G1141="","",VLOOKUP($G1141,[1]基础信息!$B:$C,2,FALSE)+SUMIF(G$8:G1141,G1141,J$8:J1141)-SUMIF(G$8:G1141,G1141,K$8:K1141)+SUMIFS([1]内部转账!$G:$G,[1]内部转账!$C:$C,"&lt;="&amp;$D1141,[1]内部转账!$E:$E,$G1141)-SUMIFS([1]内部转账!$G:$G,[1]内部转账!$C:$C,"&lt;="&amp;$D1141,[1]内部转账!$F:$F,$G1141)),"")</f>
        <v/>
      </c>
      <c r="M1141" s="64"/>
      <c r="N1141" s="69"/>
      <c r="O1141" s="64"/>
      <c r="P1141" s="64"/>
      <c r="Q1141" s="69"/>
      <c r="R1141" s="69"/>
      <c r="S1141" s="69"/>
    </row>
    <row r="1142" s="2" customFormat="1" ht="24.95" customHeight="1" spans="1:19">
      <c r="A1142" s="15"/>
      <c r="B1142" s="55"/>
      <c r="C1142" s="56"/>
      <c r="D1142" s="68"/>
      <c r="E1142" s="69"/>
      <c r="F1142" s="69"/>
      <c r="G1142" s="65"/>
      <c r="H1142" s="65"/>
      <c r="I1142" s="70"/>
      <c r="J1142" s="71"/>
      <c r="K1142" s="71"/>
      <c r="L1142" s="72" t="str">
        <f>IFERROR(IF(G1142="","",VLOOKUP($G1142,[1]基础信息!$B:$C,2,FALSE)+SUMIF(G$8:G1142,G1142,J$8:J1142)-SUMIF(G$8:G1142,G1142,K$8:K1142)+SUMIFS([1]内部转账!$G:$G,[1]内部转账!$C:$C,"&lt;="&amp;$D1142,[1]内部转账!$E:$E,$G1142)-SUMIFS([1]内部转账!$G:$G,[1]内部转账!$C:$C,"&lt;="&amp;$D1142,[1]内部转账!$F:$F,$G1142)),"")</f>
        <v/>
      </c>
      <c r="M1142" s="64"/>
      <c r="N1142" s="69"/>
      <c r="O1142" s="64"/>
      <c r="P1142" s="64"/>
      <c r="Q1142" s="69"/>
      <c r="R1142" s="69"/>
      <c r="S1142" s="69"/>
    </row>
    <row r="1143" s="2" customFormat="1" ht="24.95" customHeight="1" spans="1:19">
      <c r="A1143" s="15"/>
      <c r="B1143" s="55"/>
      <c r="C1143" s="56"/>
      <c r="D1143" s="68"/>
      <c r="E1143" s="69"/>
      <c r="F1143" s="69"/>
      <c r="G1143" s="65"/>
      <c r="H1143" s="65"/>
      <c r="I1143" s="70"/>
      <c r="J1143" s="71"/>
      <c r="K1143" s="71"/>
      <c r="L1143" s="72" t="str">
        <f>IFERROR(IF(G1143="","",VLOOKUP($G1143,[1]基础信息!$B:$C,2,FALSE)+SUMIF(G$8:G1143,G1143,J$8:J1143)-SUMIF(G$8:G1143,G1143,K$8:K1143)+SUMIFS([1]内部转账!$G:$G,[1]内部转账!$C:$C,"&lt;="&amp;$D1143,[1]内部转账!$E:$E,$G1143)-SUMIFS([1]内部转账!$G:$G,[1]内部转账!$C:$C,"&lt;="&amp;$D1143,[1]内部转账!$F:$F,$G1143)),"")</f>
        <v/>
      </c>
      <c r="M1143" s="64"/>
      <c r="N1143" s="69"/>
      <c r="O1143" s="64"/>
      <c r="P1143" s="64"/>
      <c r="Q1143" s="69"/>
      <c r="R1143" s="69"/>
      <c r="S1143" s="69"/>
    </row>
    <row r="1144" s="2" customFormat="1" ht="24.95" customHeight="1" spans="1:19">
      <c r="A1144" s="15"/>
      <c r="B1144" s="55"/>
      <c r="C1144" s="56"/>
      <c r="D1144" s="68"/>
      <c r="E1144" s="69"/>
      <c r="F1144" s="69"/>
      <c r="G1144" s="65"/>
      <c r="H1144" s="65"/>
      <c r="I1144" s="70"/>
      <c r="J1144" s="71"/>
      <c r="K1144" s="71"/>
      <c r="L1144" s="72" t="str">
        <f>IFERROR(IF(G1144="","",VLOOKUP($G1144,[1]基础信息!$B:$C,2,FALSE)+SUMIF(G$8:G1144,G1144,J$8:J1144)-SUMIF(G$8:G1144,G1144,K$8:K1144)+SUMIFS([1]内部转账!$G:$G,[1]内部转账!$C:$C,"&lt;="&amp;$D1144,[1]内部转账!$E:$E,$G1144)-SUMIFS([1]内部转账!$G:$G,[1]内部转账!$C:$C,"&lt;="&amp;$D1144,[1]内部转账!$F:$F,$G1144)),"")</f>
        <v/>
      </c>
      <c r="M1144" s="64"/>
      <c r="N1144" s="69"/>
      <c r="O1144" s="64"/>
      <c r="P1144" s="64"/>
      <c r="Q1144" s="69"/>
      <c r="R1144" s="69"/>
      <c r="S1144" s="69"/>
    </row>
    <row r="1145" s="2" customFormat="1" ht="24.95" customHeight="1" spans="1:19">
      <c r="A1145" s="15"/>
      <c r="B1145" s="55"/>
      <c r="C1145" s="56"/>
      <c r="D1145" s="68"/>
      <c r="E1145" s="69"/>
      <c r="F1145" s="69"/>
      <c r="G1145" s="65"/>
      <c r="H1145" s="65"/>
      <c r="I1145" s="70"/>
      <c r="J1145" s="71"/>
      <c r="K1145" s="71"/>
      <c r="L1145" s="72" t="str">
        <f>IFERROR(IF(G1145="","",VLOOKUP($G1145,[1]基础信息!$B:$C,2,FALSE)+SUMIF(G$8:G1145,G1145,J$8:J1145)-SUMIF(G$8:G1145,G1145,K$8:K1145)+SUMIFS([1]内部转账!$G:$G,[1]内部转账!$C:$C,"&lt;="&amp;$D1145,[1]内部转账!$E:$E,$G1145)-SUMIFS([1]内部转账!$G:$G,[1]内部转账!$C:$C,"&lt;="&amp;$D1145,[1]内部转账!$F:$F,$G1145)),"")</f>
        <v/>
      </c>
      <c r="M1145" s="64"/>
      <c r="N1145" s="69"/>
      <c r="O1145" s="64"/>
      <c r="P1145" s="64"/>
      <c r="Q1145" s="69"/>
      <c r="R1145" s="69"/>
      <c r="S1145" s="69"/>
    </row>
    <row r="1146" s="2" customFormat="1" ht="24.95" customHeight="1" spans="1:19">
      <c r="A1146" s="15"/>
      <c r="B1146" s="55"/>
      <c r="C1146" s="56"/>
      <c r="D1146" s="68"/>
      <c r="E1146" s="69"/>
      <c r="F1146" s="69"/>
      <c r="G1146" s="65"/>
      <c r="H1146" s="65"/>
      <c r="I1146" s="70"/>
      <c r="J1146" s="71"/>
      <c r="K1146" s="71"/>
      <c r="L1146" s="72" t="str">
        <f>IFERROR(IF(G1146="","",VLOOKUP($G1146,[1]基础信息!$B:$C,2,FALSE)+SUMIF(G$8:G1146,G1146,J$8:J1146)-SUMIF(G$8:G1146,G1146,K$8:K1146)+SUMIFS([1]内部转账!$G:$G,[1]内部转账!$C:$C,"&lt;="&amp;$D1146,[1]内部转账!$E:$E,$G1146)-SUMIFS([1]内部转账!$G:$G,[1]内部转账!$C:$C,"&lt;="&amp;$D1146,[1]内部转账!$F:$F,$G1146)),"")</f>
        <v/>
      </c>
      <c r="M1146" s="64"/>
      <c r="N1146" s="69"/>
      <c r="O1146" s="64"/>
      <c r="P1146" s="64"/>
      <c r="Q1146" s="69"/>
      <c r="R1146" s="69"/>
      <c r="S1146" s="69"/>
    </row>
    <row r="1147" s="2" customFormat="1" ht="24.95" customHeight="1" spans="1:19">
      <c r="A1147" s="15"/>
      <c r="B1147" s="55"/>
      <c r="C1147" s="56"/>
      <c r="D1147" s="68"/>
      <c r="E1147" s="69"/>
      <c r="F1147" s="69"/>
      <c r="G1147" s="65"/>
      <c r="H1147" s="65"/>
      <c r="I1147" s="70"/>
      <c r="J1147" s="71"/>
      <c r="K1147" s="71"/>
      <c r="L1147" s="72" t="str">
        <f>IFERROR(IF(G1147="","",VLOOKUP($G1147,[1]基础信息!$B:$C,2,FALSE)+SUMIF(G$8:G1147,G1147,J$8:J1147)-SUMIF(G$8:G1147,G1147,K$8:K1147)+SUMIFS([1]内部转账!$G:$G,[1]内部转账!$C:$C,"&lt;="&amp;$D1147,[1]内部转账!$E:$E,$G1147)-SUMIFS([1]内部转账!$G:$G,[1]内部转账!$C:$C,"&lt;="&amp;$D1147,[1]内部转账!$F:$F,$G1147)),"")</f>
        <v/>
      </c>
      <c r="M1147" s="64"/>
      <c r="N1147" s="69"/>
      <c r="O1147" s="64"/>
      <c r="P1147" s="64"/>
      <c r="Q1147" s="69"/>
      <c r="R1147" s="69"/>
      <c r="S1147" s="69"/>
    </row>
    <row r="1148" s="2" customFormat="1" ht="24.95" customHeight="1" spans="1:19">
      <c r="A1148" s="15"/>
      <c r="B1148" s="55"/>
      <c r="C1148" s="56"/>
      <c r="D1148" s="68"/>
      <c r="E1148" s="69"/>
      <c r="F1148" s="69"/>
      <c r="G1148" s="65"/>
      <c r="H1148" s="65"/>
      <c r="I1148" s="70"/>
      <c r="J1148" s="71"/>
      <c r="K1148" s="71"/>
      <c r="L1148" s="72" t="str">
        <f>IFERROR(IF(G1148="","",VLOOKUP($G1148,[1]基础信息!$B:$C,2,FALSE)+SUMIF(G$8:G1148,G1148,J$8:J1148)-SUMIF(G$8:G1148,G1148,K$8:K1148)+SUMIFS([1]内部转账!$G:$G,[1]内部转账!$C:$C,"&lt;="&amp;$D1148,[1]内部转账!$E:$E,$G1148)-SUMIFS([1]内部转账!$G:$G,[1]内部转账!$C:$C,"&lt;="&amp;$D1148,[1]内部转账!$F:$F,$G1148)),"")</f>
        <v/>
      </c>
      <c r="M1148" s="64"/>
      <c r="N1148" s="69"/>
      <c r="O1148" s="64"/>
      <c r="P1148" s="64"/>
      <c r="Q1148" s="69"/>
      <c r="R1148" s="69"/>
      <c r="S1148" s="69"/>
    </row>
    <row r="1149" s="2" customFormat="1" ht="24.95" customHeight="1" spans="1:19">
      <c r="A1149" s="15"/>
      <c r="B1149" s="55"/>
      <c r="C1149" s="56"/>
      <c r="D1149" s="68"/>
      <c r="E1149" s="69"/>
      <c r="F1149" s="69"/>
      <c r="G1149" s="65"/>
      <c r="H1149" s="65"/>
      <c r="I1149" s="70"/>
      <c r="J1149" s="71"/>
      <c r="K1149" s="71"/>
      <c r="L1149" s="72" t="str">
        <f>IFERROR(IF(G1149="","",VLOOKUP($G1149,[1]基础信息!$B:$C,2,FALSE)+SUMIF(G$8:G1149,G1149,J$8:J1149)-SUMIF(G$8:G1149,G1149,K$8:K1149)+SUMIFS([1]内部转账!$G:$G,[1]内部转账!$C:$C,"&lt;="&amp;$D1149,[1]内部转账!$E:$E,$G1149)-SUMIFS([1]内部转账!$G:$G,[1]内部转账!$C:$C,"&lt;="&amp;$D1149,[1]内部转账!$F:$F,$G1149)),"")</f>
        <v/>
      </c>
      <c r="M1149" s="64"/>
      <c r="N1149" s="69"/>
      <c r="O1149" s="64"/>
      <c r="P1149" s="64"/>
      <c r="Q1149" s="69"/>
      <c r="R1149" s="69"/>
      <c r="S1149" s="69"/>
    </row>
    <row r="1150" s="2" customFormat="1" ht="24.95" customHeight="1" spans="1:19">
      <c r="A1150" s="15"/>
      <c r="B1150" s="55"/>
      <c r="C1150" s="56"/>
      <c r="D1150" s="68"/>
      <c r="E1150" s="69"/>
      <c r="F1150" s="69"/>
      <c r="G1150" s="65"/>
      <c r="H1150" s="65"/>
      <c r="I1150" s="70"/>
      <c r="J1150" s="71"/>
      <c r="K1150" s="71"/>
      <c r="L1150" s="72" t="str">
        <f>IFERROR(IF(G1150="","",VLOOKUP($G1150,[1]基础信息!$B:$C,2,FALSE)+SUMIF(G$8:G1150,G1150,J$8:J1150)-SUMIF(G$8:G1150,G1150,K$8:K1150)+SUMIFS([1]内部转账!$G:$G,[1]内部转账!$C:$C,"&lt;="&amp;$D1150,[1]内部转账!$E:$E,$G1150)-SUMIFS([1]内部转账!$G:$G,[1]内部转账!$C:$C,"&lt;="&amp;$D1150,[1]内部转账!$F:$F,$G1150)),"")</f>
        <v/>
      </c>
      <c r="M1150" s="64"/>
      <c r="N1150" s="69"/>
      <c r="O1150" s="64"/>
      <c r="P1150" s="64"/>
      <c r="Q1150" s="69"/>
      <c r="R1150" s="69"/>
      <c r="S1150" s="69"/>
    </row>
    <row r="1151" s="2" customFormat="1" ht="24.95" customHeight="1" spans="1:19">
      <c r="A1151" s="15"/>
      <c r="B1151" s="55"/>
      <c r="C1151" s="56"/>
      <c r="D1151" s="68"/>
      <c r="E1151" s="69"/>
      <c r="F1151" s="69"/>
      <c r="G1151" s="65"/>
      <c r="H1151" s="65"/>
      <c r="I1151" s="70"/>
      <c r="J1151" s="71"/>
      <c r="K1151" s="71"/>
      <c r="L1151" s="72" t="str">
        <f>IFERROR(IF(G1151="","",VLOOKUP($G1151,[1]基础信息!$B:$C,2,FALSE)+SUMIF(G$8:G1151,G1151,J$8:J1151)-SUMIF(G$8:G1151,G1151,K$8:K1151)+SUMIFS([1]内部转账!$G:$G,[1]内部转账!$C:$C,"&lt;="&amp;$D1151,[1]内部转账!$E:$E,$G1151)-SUMIFS([1]内部转账!$G:$G,[1]内部转账!$C:$C,"&lt;="&amp;$D1151,[1]内部转账!$F:$F,$G1151)),"")</f>
        <v/>
      </c>
      <c r="M1151" s="64"/>
      <c r="N1151" s="69"/>
      <c r="O1151" s="64"/>
      <c r="P1151" s="64"/>
      <c r="Q1151" s="69"/>
      <c r="R1151" s="69"/>
      <c r="S1151" s="69"/>
    </row>
    <row r="1152" s="2" customFormat="1" ht="24.95" customHeight="1" spans="1:19">
      <c r="A1152" s="15"/>
      <c r="B1152" s="55"/>
      <c r="C1152" s="56"/>
      <c r="D1152" s="68"/>
      <c r="E1152" s="69"/>
      <c r="F1152" s="69"/>
      <c r="G1152" s="65"/>
      <c r="H1152" s="65"/>
      <c r="I1152" s="70"/>
      <c r="J1152" s="71"/>
      <c r="K1152" s="71"/>
      <c r="L1152" s="72" t="str">
        <f>IFERROR(IF(G1152="","",VLOOKUP($G1152,[1]基础信息!$B:$C,2,FALSE)+SUMIF(G$8:G1152,G1152,J$8:J1152)-SUMIF(G$8:G1152,G1152,K$8:K1152)+SUMIFS([1]内部转账!$G:$G,[1]内部转账!$C:$C,"&lt;="&amp;$D1152,[1]内部转账!$E:$E,$G1152)-SUMIFS([1]内部转账!$G:$G,[1]内部转账!$C:$C,"&lt;="&amp;$D1152,[1]内部转账!$F:$F,$G1152)),"")</f>
        <v/>
      </c>
      <c r="M1152" s="64"/>
      <c r="N1152" s="69"/>
      <c r="O1152" s="64"/>
      <c r="P1152" s="64"/>
      <c r="Q1152" s="69"/>
      <c r="R1152" s="69"/>
      <c r="S1152" s="69"/>
    </row>
    <row r="1153" s="2" customFormat="1" ht="24.95" customHeight="1" spans="1:19">
      <c r="A1153" s="15"/>
      <c r="B1153" s="55"/>
      <c r="C1153" s="56"/>
      <c r="D1153" s="68"/>
      <c r="E1153" s="69"/>
      <c r="F1153" s="69"/>
      <c r="G1153" s="65"/>
      <c r="H1153" s="65"/>
      <c r="I1153" s="70"/>
      <c r="J1153" s="71"/>
      <c r="K1153" s="71"/>
      <c r="L1153" s="72" t="str">
        <f>IFERROR(IF(G1153="","",VLOOKUP($G1153,[1]基础信息!$B:$C,2,FALSE)+SUMIF(G$8:G1153,G1153,J$8:J1153)-SUMIF(G$8:G1153,G1153,K$8:K1153)+SUMIFS([1]内部转账!$G:$G,[1]内部转账!$C:$C,"&lt;="&amp;$D1153,[1]内部转账!$E:$E,$G1153)-SUMIFS([1]内部转账!$G:$G,[1]内部转账!$C:$C,"&lt;="&amp;$D1153,[1]内部转账!$F:$F,$G1153)),"")</f>
        <v/>
      </c>
      <c r="M1153" s="64"/>
      <c r="N1153" s="69"/>
      <c r="O1153" s="64"/>
      <c r="P1153" s="64"/>
      <c r="Q1153" s="69"/>
      <c r="R1153" s="69"/>
      <c r="S1153" s="69"/>
    </row>
    <row r="1154" s="2" customFormat="1" ht="24.95" customHeight="1" spans="1:19">
      <c r="A1154" s="15"/>
      <c r="B1154" s="55"/>
      <c r="C1154" s="56"/>
      <c r="D1154" s="68"/>
      <c r="E1154" s="69"/>
      <c r="F1154" s="69"/>
      <c r="G1154" s="65"/>
      <c r="H1154" s="65"/>
      <c r="I1154" s="70"/>
      <c r="J1154" s="71"/>
      <c r="K1154" s="71"/>
      <c r="L1154" s="72" t="str">
        <f>IFERROR(IF(G1154="","",VLOOKUP($G1154,[1]基础信息!$B:$C,2,FALSE)+SUMIF(G$8:G1154,G1154,J$8:J1154)-SUMIF(G$8:G1154,G1154,K$8:K1154)+SUMIFS([1]内部转账!$G:$G,[1]内部转账!$C:$C,"&lt;="&amp;$D1154,[1]内部转账!$E:$E,$G1154)-SUMIFS([1]内部转账!$G:$G,[1]内部转账!$C:$C,"&lt;="&amp;$D1154,[1]内部转账!$F:$F,$G1154)),"")</f>
        <v/>
      </c>
      <c r="M1154" s="64"/>
      <c r="N1154" s="69"/>
      <c r="O1154" s="64"/>
      <c r="P1154" s="64"/>
      <c r="Q1154" s="69"/>
      <c r="R1154" s="69"/>
      <c r="S1154" s="69"/>
    </row>
    <row r="1155" s="2" customFormat="1" ht="24.95" customHeight="1" spans="1:19">
      <c r="A1155" s="15"/>
      <c r="B1155" s="55"/>
      <c r="C1155" s="56"/>
      <c r="D1155" s="68"/>
      <c r="E1155" s="69"/>
      <c r="F1155" s="69"/>
      <c r="G1155" s="65"/>
      <c r="H1155" s="65"/>
      <c r="I1155" s="70"/>
      <c r="J1155" s="71"/>
      <c r="K1155" s="71"/>
      <c r="L1155" s="72" t="str">
        <f>IFERROR(IF(G1155="","",VLOOKUP($G1155,[1]基础信息!$B:$C,2,FALSE)+SUMIF(G$8:G1155,G1155,J$8:J1155)-SUMIF(G$8:G1155,G1155,K$8:K1155)+SUMIFS([1]内部转账!$G:$G,[1]内部转账!$C:$C,"&lt;="&amp;$D1155,[1]内部转账!$E:$E,$G1155)-SUMIFS([1]内部转账!$G:$G,[1]内部转账!$C:$C,"&lt;="&amp;$D1155,[1]内部转账!$F:$F,$G1155)),"")</f>
        <v/>
      </c>
      <c r="M1155" s="64"/>
      <c r="N1155" s="69"/>
      <c r="O1155" s="64"/>
      <c r="P1155" s="64"/>
      <c r="Q1155" s="69"/>
      <c r="R1155" s="69"/>
      <c r="S1155" s="69"/>
    </row>
    <row r="1156" s="2" customFormat="1" ht="24.95" customHeight="1" spans="1:19">
      <c r="A1156" s="15"/>
      <c r="B1156" s="55"/>
      <c r="C1156" s="56"/>
      <c r="D1156" s="68"/>
      <c r="E1156" s="69"/>
      <c r="F1156" s="69"/>
      <c r="G1156" s="65"/>
      <c r="H1156" s="65"/>
      <c r="I1156" s="70"/>
      <c r="J1156" s="71"/>
      <c r="K1156" s="71"/>
      <c r="L1156" s="72" t="str">
        <f>IFERROR(IF(G1156="","",VLOOKUP($G1156,[1]基础信息!$B:$C,2,FALSE)+SUMIF(G$8:G1156,G1156,J$8:J1156)-SUMIF(G$8:G1156,G1156,K$8:K1156)+SUMIFS([1]内部转账!$G:$G,[1]内部转账!$C:$C,"&lt;="&amp;$D1156,[1]内部转账!$E:$E,$G1156)-SUMIFS([1]内部转账!$G:$G,[1]内部转账!$C:$C,"&lt;="&amp;$D1156,[1]内部转账!$F:$F,$G1156)),"")</f>
        <v/>
      </c>
      <c r="M1156" s="64"/>
      <c r="N1156" s="69"/>
      <c r="O1156" s="64"/>
      <c r="P1156" s="64"/>
      <c r="Q1156" s="69"/>
      <c r="R1156" s="69"/>
      <c r="S1156" s="69"/>
    </row>
    <row r="1157" s="2" customFormat="1" ht="24.95" customHeight="1" spans="1:19">
      <c r="A1157" s="15"/>
      <c r="B1157" s="55"/>
      <c r="C1157" s="56"/>
      <c r="D1157" s="68"/>
      <c r="E1157" s="69"/>
      <c r="F1157" s="69"/>
      <c r="G1157" s="65"/>
      <c r="H1157" s="65"/>
      <c r="I1157" s="70"/>
      <c r="J1157" s="71"/>
      <c r="K1157" s="71"/>
      <c r="L1157" s="72" t="str">
        <f>IFERROR(IF(G1157="","",VLOOKUP($G1157,[1]基础信息!$B:$C,2,FALSE)+SUMIF(G$8:G1157,G1157,J$8:J1157)-SUMIF(G$8:G1157,G1157,K$8:K1157)+SUMIFS([1]内部转账!$G:$G,[1]内部转账!$C:$C,"&lt;="&amp;$D1157,[1]内部转账!$E:$E,$G1157)-SUMIFS([1]内部转账!$G:$G,[1]内部转账!$C:$C,"&lt;="&amp;$D1157,[1]内部转账!$F:$F,$G1157)),"")</f>
        <v/>
      </c>
      <c r="M1157" s="64"/>
      <c r="N1157" s="69"/>
      <c r="O1157" s="64"/>
      <c r="P1157" s="64"/>
      <c r="Q1157" s="69"/>
      <c r="R1157" s="69"/>
      <c r="S1157" s="69"/>
    </row>
    <row r="1158" s="2" customFormat="1" ht="24.95" customHeight="1" spans="1:19">
      <c r="A1158" s="15"/>
      <c r="B1158" s="55"/>
      <c r="C1158" s="56"/>
      <c r="D1158" s="68"/>
      <c r="E1158" s="69"/>
      <c r="F1158" s="69"/>
      <c r="G1158" s="65"/>
      <c r="H1158" s="65"/>
      <c r="I1158" s="70"/>
      <c r="J1158" s="71"/>
      <c r="K1158" s="71"/>
      <c r="L1158" s="72" t="str">
        <f>IFERROR(IF(G1158="","",VLOOKUP($G1158,[1]基础信息!$B:$C,2,FALSE)+SUMIF(G$8:G1158,G1158,J$8:J1158)-SUMIF(G$8:G1158,G1158,K$8:K1158)+SUMIFS([1]内部转账!$G:$G,[1]内部转账!$C:$C,"&lt;="&amp;$D1158,[1]内部转账!$E:$E,$G1158)-SUMIFS([1]内部转账!$G:$G,[1]内部转账!$C:$C,"&lt;="&amp;$D1158,[1]内部转账!$F:$F,$G1158)),"")</f>
        <v/>
      </c>
      <c r="M1158" s="64"/>
      <c r="N1158" s="69"/>
      <c r="O1158" s="64"/>
      <c r="P1158" s="64"/>
      <c r="Q1158" s="69"/>
      <c r="R1158" s="69"/>
      <c r="S1158" s="69"/>
    </row>
    <row r="1159" s="2" customFormat="1" ht="24.95" customHeight="1" spans="1:19">
      <c r="A1159" s="15"/>
      <c r="B1159" s="55"/>
      <c r="C1159" s="56"/>
      <c r="D1159" s="68"/>
      <c r="E1159" s="69"/>
      <c r="F1159" s="69"/>
      <c r="G1159" s="65"/>
      <c r="H1159" s="65"/>
      <c r="I1159" s="70"/>
      <c r="J1159" s="71"/>
      <c r="K1159" s="71"/>
      <c r="L1159" s="72" t="str">
        <f>IFERROR(IF(G1159="","",VLOOKUP($G1159,[1]基础信息!$B:$C,2,FALSE)+SUMIF(G$8:G1159,G1159,J$8:J1159)-SUMIF(G$8:G1159,G1159,K$8:K1159)+SUMIFS([1]内部转账!$G:$G,[1]内部转账!$C:$C,"&lt;="&amp;$D1159,[1]内部转账!$E:$E,$G1159)-SUMIFS([1]内部转账!$G:$G,[1]内部转账!$C:$C,"&lt;="&amp;$D1159,[1]内部转账!$F:$F,$G1159)),"")</f>
        <v/>
      </c>
      <c r="M1159" s="64"/>
      <c r="N1159" s="69"/>
      <c r="O1159" s="64"/>
      <c r="P1159" s="64"/>
      <c r="Q1159" s="69"/>
      <c r="R1159" s="69"/>
      <c r="S1159" s="69"/>
    </row>
    <row r="1160" s="2" customFormat="1" ht="24.95" customHeight="1" spans="1:19">
      <c r="A1160" s="15"/>
      <c r="B1160" s="55"/>
      <c r="C1160" s="56"/>
      <c r="D1160" s="68"/>
      <c r="E1160" s="69"/>
      <c r="F1160" s="69"/>
      <c r="G1160" s="65"/>
      <c r="H1160" s="65"/>
      <c r="I1160" s="70"/>
      <c r="J1160" s="71"/>
      <c r="K1160" s="71"/>
      <c r="L1160" s="72" t="str">
        <f>IFERROR(IF(G1160="","",VLOOKUP($G1160,[1]基础信息!$B:$C,2,FALSE)+SUMIF(G$8:G1160,G1160,J$8:J1160)-SUMIF(G$8:G1160,G1160,K$8:K1160)+SUMIFS([1]内部转账!$G:$G,[1]内部转账!$C:$C,"&lt;="&amp;$D1160,[1]内部转账!$E:$E,$G1160)-SUMIFS([1]内部转账!$G:$G,[1]内部转账!$C:$C,"&lt;="&amp;$D1160,[1]内部转账!$F:$F,$G1160)),"")</f>
        <v/>
      </c>
      <c r="M1160" s="64"/>
      <c r="N1160" s="69"/>
      <c r="O1160" s="64"/>
      <c r="P1160" s="64"/>
      <c r="Q1160" s="69"/>
      <c r="R1160" s="69"/>
      <c r="S1160" s="69"/>
    </row>
    <row r="1161" s="2" customFormat="1" ht="24.95" customHeight="1" spans="1:19">
      <c r="A1161" s="15"/>
      <c r="B1161" s="55"/>
      <c r="C1161" s="56"/>
      <c r="D1161" s="68"/>
      <c r="E1161" s="69"/>
      <c r="F1161" s="69"/>
      <c r="G1161" s="65"/>
      <c r="H1161" s="65"/>
      <c r="I1161" s="70"/>
      <c r="J1161" s="71"/>
      <c r="K1161" s="71"/>
      <c r="L1161" s="72" t="str">
        <f>IFERROR(IF(G1161="","",VLOOKUP($G1161,[1]基础信息!$B:$C,2,FALSE)+SUMIF(G$8:G1161,G1161,J$8:J1161)-SUMIF(G$8:G1161,G1161,K$8:K1161)+SUMIFS([1]内部转账!$G:$G,[1]内部转账!$C:$C,"&lt;="&amp;$D1161,[1]内部转账!$E:$E,$G1161)-SUMIFS([1]内部转账!$G:$G,[1]内部转账!$C:$C,"&lt;="&amp;$D1161,[1]内部转账!$F:$F,$G1161)),"")</f>
        <v/>
      </c>
      <c r="M1161" s="64"/>
      <c r="N1161" s="69"/>
      <c r="O1161" s="64"/>
      <c r="P1161" s="64"/>
      <c r="Q1161" s="69"/>
      <c r="R1161" s="69"/>
      <c r="S1161" s="69"/>
    </row>
    <row r="1162" s="2" customFormat="1" ht="24.95" customHeight="1" spans="1:19">
      <c r="A1162" s="15"/>
      <c r="B1162" s="55"/>
      <c r="C1162" s="56"/>
      <c r="D1162" s="68"/>
      <c r="E1162" s="69"/>
      <c r="F1162" s="69"/>
      <c r="G1162" s="65"/>
      <c r="H1162" s="65"/>
      <c r="I1162" s="70"/>
      <c r="J1162" s="71"/>
      <c r="K1162" s="71"/>
      <c r="L1162" s="72" t="str">
        <f>IFERROR(IF(G1162="","",VLOOKUP($G1162,[1]基础信息!$B:$C,2,FALSE)+SUMIF(G$8:G1162,G1162,J$8:J1162)-SUMIF(G$8:G1162,G1162,K$8:K1162)+SUMIFS([1]内部转账!$G:$G,[1]内部转账!$C:$C,"&lt;="&amp;$D1162,[1]内部转账!$E:$E,$G1162)-SUMIFS([1]内部转账!$G:$G,[1]内部转账!$C:$C,"&lt;="&amp;$D1162,[1]内部转账!$F:$F,$G1162)),"")</f>
        <v/>
      </c>
      <c r="M1162" s="64"/>
      <c r="N1162" s="69"/>
      <c r="O1162" s="64"/>
      <c r="P1162" s="64"/>
      <c r="Q1162" s="69"/>
      <c r="R1162" s="69"/>
      <c r="S1162" s="69"/>
    </row>
    <row r="1163" s="2" customFormat="1" ht="24.95" customHeight="1" spans="1:19">
      <c r="A1163" s="15"/>
      <c r="B1163" s="55"/>
      <c r="C1163" s="56"/>
      <c r="D1163" s="68"/>
      <c r="E1163" s="69"/>
      <c r="F1163" s="69"/>
      <c r="G1163" s="65"/>
      <c r="H1163" s="65"/>
      <c r="I1163" s="70"/>
      <c r="J1163" s="71"/>
      <c r="K1163" s="71"/>
      <c r="L1163" s="72" t="str">
        <f>IFERROR(IF(G1163="","",VLOOKUP($G1163,[1]基础信息!$B:$C,2,FALSE)+SUMIF(G$8:G1163,G1163,J$8:J1163)-SUMIF(G$8:G1163,G1163,K$8:K1163)+SUMIFS([1]内部转账!$G:$G,[1]内部转账!$C:$C,"&lt;="&amp;$D1163,[1]内部转账!$E:$E,$G1163)-SUMIFS([1]内部转账!$G:$G,[1]内部转账!$C:$C,"&lt;="&amp;$D1163,[1]内部转账!$F:$F,$G1163)),"")</f>
        <v/>
      </c>
      <c r="M1163" s="64"/>
      <c r="N1163" s="69"/>
      <c r="O1163" s="64"/>
      <c r="P1163" s="64"/>
      <c r="Q1163" s="69"/>
      <c r="R1163" s="69"/>
      <c r="S1163" s="69"/>
    </row>
    <row r="1164" s="2" customFormat="1" ht="24.95" customHeight="1" spans="1:19">
      <c r="A1164" s="15"/>
      <c r="B1164" s="55"/>
      <c r="C1164" s="56"/>
      <c r="D1164" s="68"/>
      <c r="E1164" s="69"/>
      <c r="F1164" s="69"/>
      <c r="G1164" s="65"/>
      <c r="H1164" s="65"/>
      <c r="I1164" s="70"/>
      <c r="J1164" s="71"/>
      <c r="K1164" s="71"/>
      <c r="L1164" s="72" t="str">
        <f>IFERROR(IF(G1164="","",VLOOKUP($G1164,[1]基础信息!$B:$C,2,FALSE)+SUMIF(G$8:G1164,G1164,J$8:J1164)-SUMIF(G$8:G1164,G1164,K$8:K1164)+SUMIFS([1]内部转账!$G:$G,[1]内部转账!$C:$C,"&lt;="&amp;$D1164,[1]内部转账!$E:$E,$G1164)-SUMIFS([1]内部转账!$G:$G,[1]内部转账!$C:$C,"&lt;="&amp;$D1164,[1]内部转账!$F:$F,$G1164)),"")</f>
        <v/>
      </c>
      <c r="M1164" s="64"/>
      <c r="N1164" s="69"/>
      <c r="O1164" s="64"/>
      <c r="P1164" s="64"/>
      <c r="Q1164" s="69"/>
      <c r="R1164" s="69"/>
      <c r="S1164" s="69"/>
    </row>
    <row r="1165" s="2" customFormat="1" ht="24.95" customHeight="1" spans="1:19">
      <c r="A1165" s="15"/>
      <c r="B1165" s="55"/>
      <c r="C1165" s="56"/>
      <c r="D1165" s="68"/>
      <c r="E1165" s="69"/>
      <c r="F1165" s="69"/>
      <c r="G1165" s="65"/>
      <c r="H1165" s="65"/>
      <c r="I1165" s="70"/>
      <c r="J1165" s="71"/>
      <c r="K1165" s="71"/>
      <c r="L1165" s="72" t="str">
        <f>IFERROR(IF(G1165="","",VLOOKUP($G1165,[1]基础信息!$B:$C,2,FALSE)+SUMIF(G$8:G1165,G1165,J$8:J1165)-SUMIF(G$8:G1165,G1165,K$8:K1165)+SUMIFS([1]内部转账!$G:$G,[1]内部转账!$C:$C,"&lt;="&amp;$D1165,[1]内部转账!$E:$E,$G1165)-SUMIFS([1]内部转账!$G:$G,[1]内部转账!$C:$C,"&lt;="&amp;$D1165,[1]内部转账!$F:$F,$G1165)),"")</f>
        <v/>
      </c>
      <c r="M1165" s="64"/>
      <c r="N1165" s="69"/>
      <c r="O1165" s="64"/>
      <c r="P1165" s="64"/>
      <c r="Q1165" s="69"/>
      <c r="R1165" s="69"/>
      <c r="S1165" s="69"/>
    </row>
    <row r="1166" s="2" customFormat="1" ht="24.95" customHeight="1" spans="1:19">
      <c r="A1166" s="15"/>
      <c r="B1166" s="55"/>
      <c r="C1166" s="56"/>
      <c r="D1166" s="68"/>
      <c r="E1166" s="69"/>
      <c r="F1166" s="69"/>
      <c r="G1166" s="65"/>
      <c r="H1166" s="65"/>
      <c r="I1166" s="70"/>
      <c r="J1166" s="71"/>
      <c r="K1166" s="71"/>
      <c r="L1166" s="72" t="str">
        <f>IFERROR(IF(G1166="","",VLOOKUP($G1166,[1]基础信息!$B:$C,2,FALSE)+SUMIF(G$8:G1166,G1166,J$8:J1166)-SUMIF(G$8:G1166,G1166,K$8:K1166)+SUMIFS([1]内部转账!$G:$G,[1]内部转账!$C:$C,"&lt;="&amp;$D1166,[1]内部转账!$E:$E,$G1166)-SUMIFS([1]内部转账!$G:$G,[1]内部转账!$C:$C,"&lt;="&amp;$D1166,[1]内部转账!$F:$F,$G1166)),"")</f>
        <v/>
      </c>
      <c r="M1166" s="64"/>
      <c r="N1166" s="69"/>
      <c r="O1166" s="64"/>
      <c r="P1166" s="64"/>
      <c r="Q1166" s="69"/>
      <c r="R1166" s="69"/>
      <c r="S1166" s="69"/>
    </row>
    <row r="1167" s="2" customFormat="1" ht="24.95" customHeight="1" spans="1:19">
      <c r="A1167" s="15"/>
      <c r="B1167" s="55"/>
      <c r="C1167" s="56"/>
      <c r="D1167" s="68"/>
      <c r="E1167" s="69"/>
      <c r="F1167" s="69"/>
      <c r="G1167" s="65"/>
      <c r="H1167" s="65"/>
      <c r="I1167" s="70"/>
      <c r="J1167" s="71"/>
      <c r="K1167" s="71"/>
      <c r="L1167" s="72" t="str">
        <f>IFERROR(IF(G1167="","",VLOOKUP($G1167,[1]基础信息!$B:$C,2,FALSE)+SUMIF(G$8:G1167,G1167,J$8:J1167)-SUMIF(G$8:G1167,G1167,K$8:K1167)+SUMIFS([1]内部转账!$G:$G,[1]内部转账!$C:$C,"&lt;="&amp;$D1167,[1]内部转账!$E:$E,$G1167)-SUMIFS([1]内部转账!$G:$G,[1]内部转账!$C:$C,"&lt;="&amp;$D1167,[1]内部转账!$F:$F,$G1167)),"")</f>
        <v/>
      </c>
      <c r="M1167" s="64"/>
      <c r="N1167" s="69"/>
      <c r="O1167" s="64"/>
      <c r="P1167" s="64"/>
      <c r="Q1167" s="69"/>
      <c r="R1167" s="69"/>
      <c r="S1167" s="69"/>
    </row>
    <row r="1168" s="2" customFormat="1" ht="24.95" customHeight="1" spans="1:19">
      <c r="A1168" s="15"/>
      <c r="B1168" s="55"/>
      <c r="C1168" s="56"/>
      <c r="D1168" s="68"/>
      <c r="E1168" s="69"/>
      <c r="F1168" s="69"/>
      <c r="G1168" s="65"/>
      <c r="H1168" s="65"/>
      <c r="I1168" s="70"/>
      <c r="J1168" s="71"/>
      <c r="K1168" s="71"/>
      <c r="L1168" s="72" t="str">
        <f>IFERROR(IF(G1168="","",VLOOKUP($G1168,[1]基础信息!$B:$C,2,FALSE)+SUMIF(G$8:G1168,G1168,J$8:J1168)-SUMIF(G$8:G1168,G1168,K$8:K1168)+SUMIFS([1]内部转账!$G:$G,[1]内部转账!$C:$C,"&lt;="&amp;$D1168,[1]内部转账!$E:$E,$G1168)-SUMIFS([1]内部转账!$G:$G,[1]内部转账!$C:$C,"&lt;="&amp;$D1168,[1]内部转账!$F:$F,$G1168)),"")</f>
        <v/>
      </c>
      <c r="M1168" s="64"/>
      <c r="N1168" s="69"/>
      <c r="O1168" s="64"/>
      <c r="P1168" s="64"/>
      <c r="Q1168" s="69"/>
      <c r="R1168" s="69"/>
      <c r="S1168" s="69"/>
    </row>
    <row r="1169" s="2" customFormat="1" ht="24.95" customHeight="1" spans="1:19">
      <c r="A1169" s="15"/>
      <c r="B1169" s="55"/>
      <c r="C1169" s="56"/>
      <c r="D1169" s="68"/>
      <c r="E1169" s="69"/>
      <c r="F1169" s="69"/>
      <c r="G1169" s="65"/>
      <c r="H1169" s="65"/>
      <c r="I1169" s="70"/>
      <c r="J1169" s="71"/>
      <c r="K1169" s="71"/>
      <c r="L1169" s="72" t="str">
        <f>IFERROR(IF(G1169="","",VLOOKUP($G1169,[1]基础信息!$B:$C,2,FALSE)+SUMIF(G$8:G1169,G1169,J$8:J1169)-SUMIF(G$8:G1169,G1169,K$8:K1169)+SUMIFS([1]内部转账!$G:$G,[1]内部转账!$C:$C,"&lt;="&amp;$D1169,[1]内部转账!$E:$E,$G1169)-SUMIFS([1]内部转账!$G:$G,[1]内部转账!$C:$C,"&lt;="&amp;$D1169,[1]内部转账!$F:$F,$G1169)),"")</f>
        <v/>
      </c>
      <c r="M1169" s="64"/>
      <c r="N1169" s="69"/>
      <c r="O1169" s="64"/>
      <c r="P1169" s="64"/>
      <c r="Q1169" s="69"/>
      <c r="R1169" s="69"/>
      <c r="S1169" s="69"/>
    </row>
    <row r="1170" s="2" customFormat="1" ht="24.95" customHeight="1" spans="1:19">
      <c r="A1170" s="15"/>
      <c r="B1170" s="55"/>
      <c r="C1170" s="56"/>
      <c r="D1170" s="68"/>
      <c r="E1170" s="69"/>
      <c r="F1170" s="69"/>
      <c r="G1170" s="65"/>
      <c r="H1170" s="65"/>
      <c r="I1170" s="70"/>
      <c r="J1170" s="71"/>
      <c r="K1170" s="71"/>
      <c r="L1170" s="72" t="str">
        <f>IFERROR(IF(G1170="","",VLOOKUP($G1170,[1]基础信息!$B:$C,2,FALSE)+SUMIF(G$8:G1170,G1170,J$8:J1170)-SUMIF(G$8:G1170,G1170,K$8:K1170)+SUMIFS([1]内部转账!$G:$G,[1]内部转账!$C:$C,"&lt;="&amp;$D1170,[1]内部转账!$E:$E,$G1170)-SUMIFS([1]内部转账!$G:$G,[1]内部转账!$C:$C,"&lt;="&amp;$D1170,[1]内部转账!$F:$F,$G1170)),"")</f>
        <v/>
      </c>
      <c r="M1170" s="64"/>
      <c r="N1170" s="69"/>
      <c r="O1170" s="64"/>
      <c r="P1170" s="64"/>
      <c r="Q1170" s="69"/>
      <c r="R1170" s="69"/>
      <c r="S1170" s="69"/>
    </row>
    <row r="1171" s="2" customFormat="1" ht="24.95" customHeight="1" spans="1:19">
      <c r="A1171" s="15"/>
      <c r="B1171" s="55"/>
      <c r="C1171" s="56"/>
      <c r="D1171" s="68"/>
      <c r="E1171" s="69"/>
      <c r="F1171" s="69"/>
      <c r="G1171" s="65"/>
      <c r="H1171" s="65"/>
      <c r="I1171" s="70"/>
      <c r="J1171" s="71"/>
      <c r="K1171" s="71"/>
      <c r="L1171" s="72" t="str">
        <f>IFERROR(IF(G1171="","",VLOOKUP($G1171,[1]基础信息!$B:$C,2,FALSE)+SUMIF(G$8:G1171,G1171,J$8:J1171)-SUMIF(G$8:G1171,G1171,K$8:K1171)+SUMIFS([1]内部转账!$G:$G,[1]内部转账!$C:$C,"&lt;="&amp;$D1171,[1]内部转账!$E:$E,$G1171)-SUMIFS([1]内部转账!$G:$G,[1]内部转账!$C:$C,"&lt;="&amp;$D1171,[1]内部转账!$F:$F,$G1171)),"")</f>
        <v/>
      </c>
      <c r="M1171" s="64"/>
      <c r="N1171" s="69"/>
      <c r="O1171" s="64"/>
      <c r="P1171" s="64"/>
      <c r="Q1171" s="69"/>
      <c r="R1171" s="69"/>
      <c r="S1171" s="69"/>
    </row>
    <row r="1172" s="2" customFormat="1" ht="24.95" customHeight="1" spans="1:19">
      <c r="A1172" s="15"/>
      <c r="B1172" s="55"/>
      <c r="C1172" s="56"/>
      <c r="D1172" s="68"/>
      <c r="E1172" s="69"/>
      <c r="F1172" s="69"/>
      <c r="G1172" s="65"/>
      <c r="H1172" s="65"/>
      <c r="I1172" s="70"/>
      <c r="J1172" s="71"/>
      <c r="K1172" s="71"/>
      <c r="L1172" s="72" t="str">
        <f>IFERROR(IF(G1172="","",VLOOKUP($G1172,[1]基础信息!$B:$C,2,FALSE)+SUMIF(G$8:G1172,G1172,J$8:J1172)-SUMIF(G$8:G1172,G1172,K$8:K1172)+SUMIFS([1]内部转账!$G:$G,[1]内部转账!$C:$C,"&lt;="&amp;$D1172,[1]内部转账!$E:$E,$G1172)-SUMIFS([1]内部转账!$G:$G,[1]内部转账!$C:$C,"&lt;="&amp;$D1172,[1]内部转账!$F:$F,$G1172)),"")</f>
        <v/>
      </c>
      <c r="M1172" s="64"/>
      <c r="N1172" s="69"/>
      <c r="O1172" s="64"/>
      <c r="P1172" s="64"/>
      <c r="Q1172" s="69"/>
      <c r="R1172" s="69"/>
      <c r="S1172" s="69"/>
    </row>
    <row r="1173" s="2" customFormat="1" ht="24.95" customHeight="1" spans="1:19">
      <c r="A1173" s="15"/>
      <c r="B1173" s="55"/>
      <c r="C1173" s="56"/>
      <c r="D1173" s="68"/>
      <c r="E1173" s="69"/>
      <c r="F1173" s="69"/>
      <c r="G1173" s="65"/>
      <c r="H1173" s="65"/>
      <c r="I1173" s="70"/>
      <c r="J1173" s="71"/>
      <c r="K1173" s="71"/>
      <c r="L1173" s="72" t="str">
        <f>IFERROR(IF(G1173="","",VLOOKUP($G1173,[1]基础信息!$B:$C,2,FALSE)+SUMIF(G$8:G1173,G1173,J$8:J1173)-SUMIF(G$8:G1173,G1173,K$8:K1173)+SUMIFS([1]内部转账!$G:$G,[1]内部转账!$C:$C,"&lt;="&amp;$D1173,[1]内部转账!$E:$E,$G1173)-SUMIFS([1]内部转账!$G:$G,[1]内部转账!$C:$C,"&lt;="&amp;$D1173,[1]内部转账!$F:$F,$G1173)),"")</f>
        <v/>
      </c>
      <c r="M1173" s="64"/>
      <c r="N1173" s="69"/>
      <c r="O1173" s="64"/>
      <c r="P1173" s="64"/>
      <c r="Q1173" s="69"/>
      <c r="R1173" s="69"/>
      <c r="S1173" s="69"/>
    </row>
    <row r="1174" s="2" customFormat="1" ht="24.95" customHeight="1" spans="1:19">
      <c r="A1174" s="15"/>
      <c r="B1174" s="55"/>
      <c r="C1174" s="56"/>
      <c r="D1174" s="68"/>
      <c r="E1174" s="69"/>
      <c r="F1174" s="69"/>
      <c r="G1174" s="65"/>
      <c r="H1174" s="65"/>
      <c r="I1174" s="70"/>
      <c r="J1174" s="71"/>
      <c r="K1174" s="71"/>
      <c r="L1174" s="72" t="str">
        <f>IFERROR(IF(G1174="","",VLOOKUP($G1174,[1]基础信息!$B:$C,2,FALSE)+SUMIF(G$8:G1174,G1174,J$8:J1174)-SUMIF(G$8:G1174,G1174,K$8:K1174)+SUMIFS([1]内部转账!$G:$G,[1]内部转账!$C:$C,"&lt;="&amp;$D1174,[1]内部转账!$E:$E,$G1174)-SUMIFS([1]内部转账!$G:$G,[1]内部转账!$C:$C,"&lt;="&amp;$D1174,[1]内部转账!$F:$F,$G1174)),"")</f>
        <v/>
      </c>
      <c r="M1174" s="64"/>
      <c r="N1174" s="69"/>
      <c r="O1174" s="64"/>
      <c r="P1174" s="64"/>
      <c r="Q1174" s="69"/>
      <c r="R1174" s="69"/>
      <c r="S1174" s="69"/>
    </row>
    <row r="1175" s="2" customFormat="1" ht="24.95" customHeight="1" spans="1:19">
      <c r="A1175" s="15"/>
      <c r="B1175" s="55"/>
      <c r="C1175" s="56"/>
      <c r="D1175" s="68"/>
      <c r="E1175" s="69"/>
      <c r="F1175" s="69"/>
      <c r="G1175" s="65"/>
      <c r="H1175" s="65"/>
      <c r="I1175" s="70"/>
      <c r="J1175" s="71"/>
      <c r="K1175" s="71"/>
      <c r="L1175" s="72" t="str">
        <f>IFERROR(IF(G1175="","",VLOOKUP($G1175,[1]基础信息!$B:$C,2,FALSE)+SUMIF(G$8:G1175,G1175,J$8:J1175)-SUMIF(G$8:G1175,G1175,K$8:K1175)+SUMIFS([1]内部转账!$G:$G,[1]内部转账!$C:$C,"&lt;="&amp;$D1175,[1]内部转账!$E:$E,$G1175)-SUMIFS([1]内部转账!$G:$G,[1]内部转账!$C:$C,"&lt;="&amp;$D1175,[1]内部转账!$F:$F,$G1175)),"")</f>
        <v/>
      </c>
      <c r="M1175" s="64"/>
      <c r="N1175" s="69"/>
      <c r="O1175" s="64"/>
      <c r="P1175" s="64"/>
      <c r="Q1175" s="69"/>
      <c r="R1175" s="69"/>
      <c r="S1175" s="69"/>
    </row>
    <row r="1176" s="2" customFormat="1" ht="24.95" customHeight="1" spans="1:19">
      <c r="A1176" s="15"/>
      <c r="B1176" s="55"/>
      <c r="C1176" s="56"/>
      <c r="D1176" s="68"/>
      <c r="E1176" s="69"/>
      <c r="F1176" s="69"/>
      <c r="G1176" s="65"/>
      <c r="H1176" s="65"/>
      <c r="I1176" s="70"/>
      <c r="J1176" s="71"/>
      <c r="K1176" s="71"/>
      <c r="L1176" s="72" t="str">
        <f>IFERROR(IF(G1176="","",VLOOKUP($G1176,[1]基础信息!$B:$C,2,FALSE)+SUMIF(G$8:G1176,G1176,J$8:J1176)-SUMIF(G$8:G1176,G1176,K$8:K1176)+SUMIFS([1]内部转账!$G:$G,[1]内部转账!$C:$C,"&lt;="&amp;$D1176,[1]内部转账!$E:$E,$G1176)-SUMIFS([1]内部转账!$G:$G,[1]内部转账!$C:$C,"&lt;="&amp;$D1176,[1]内部转账!$F:$F,$G1176)),"")</f>
        <v/>
      </c>
      <c r="M1176" s="64"/>
      <c r="N1176" s="69"/>
      <c r="O1176" s="64"/>
      <c r="P1176" s="64"/>
      <c r="Q1176" s="69"/>
      <c r="R1176" s="69"/>
      <c r="S1176" s="69"/>
    </row>
    <row r="1177" s="2" customFormat="1" ht="24.95" customHeight="1" spans="1:19">
      <c r="A1177" s="15"/>
      <c r="B1177" s="55"/>
      <c r="C1177" s="56"/>
      <c r="D1177" s="68"/>
      <c r="E1177" s="69"/>
      <c r="F1177" s="69"/>
      <c r="G1177" s="65"/>
      <c r="H1177" s="65"/>
      <c r="I1177" s="70"/>
      <c r="J1177" s="71"/>
      <c r="K1177" s="71"/>
      <c r="L1177" s="72" t="str">
        <f>IFERROR(IF(G1177="","",VLOOKUP($G1177,[1]基础信息!$B:$C,2,FALSE)+SUMIF(G$8:G1177,G1177,J$8:J1177)-SUMIF(G$8:G1177,G1177,K$8:K1177)+SUMIFS([1]内部转账!$G:$G,[1]内部转账!$C:$C,"&lt;="&amp;$D1177,[1]内部转账!$E:$E,$G1177)-SUMIFS([1]内部转账!$G:$G,[1]内部转账!$C:$C,"&lt;="&amp;$D1177,[1]内部转账!$F:$F,$G1177)),"")</f>
        <v/>
      </c>
      <c r="M1177" s="64"/>
      <c r="N1177" s="69"/>
      <c r="O1177" s="64"/>
      <c r="P1177" s="64"/>
      <c r="Q1177" s="69"/>
      <c r="R1177" s="69"/>
      <c r="S1177" s="69"/>
    </row>
    <row r="1178" s="2" customFormat="1" ht="24.95" customHeight="1" spans="1:19">
      <c r="A1178" s="15"/>
      <c r="B1178" s="55"/>
      <c r="C1178" s="56"/>
      <c r="D1178" s="68"/>
      <c r="E1178" s="69"/>
      <c r="F1178" s="69"/>
      <c r="G1178" s="65"/>
      <c r="H1178" s="65"/>
      <c r="I1178" s="70"/>
      <c r="J1178" s="71"/>
      <c r="K1178" s="71"/>
      <c r="L1178" s="72" t="str">
        <f>IFERROR(IF(G1178="","",VLOOKUP($G1178,[1]基础信息!$B:$C,2,FALSE)+SUMIF(G$8:G1178,G1178,J$8:J1178)-SUMIF(G$8:G1178,G1178,K$8:K1178)+SUMIFS([1]内部转账!$G:$G,[1]内部转账!$C:$C,"&lt;="&amp;$D1178,[1]内部转账!$E:$E,$G1178)-SUMIFS([1]内部转账!$G:$G,[1]内部转账!$C:$C,"&lt;="&amp;$D1178,[1]内部转账!$F:$F,$G1178)),"")</f>
        <v/>
      </c>
      <c r="M1178" s="64"/>
      <c r="N1178" s="69"/>
      <c r="O1178" s="64"/>
      <c r="P1178" s="64"/>
      <c r="Q1178" s="69"/>
      <c r="R1178" s="69"/>
      <c r="S1178" s="69"/>
    </row>
    <row r="1179" s="2" customFormat="1" ht="24.95" customHeight="1" spans="1:19">
      <c r="A1179" s="15"/>
      <c r="B1179" s="55"/>
      <c r="C1179" s="56"/>
      <c r="D1179" s="68"/>
      <c r="E1179" s="69"/>
      <c r="F1179" s="69"/>
      <c r="G1179" s="65"/>
      <c r="H1179" s="65"/>
      <c r="I1179" s="70"/>
      <c r="J1179" s="71"/>
      <c r="K1179" s="71"/>
      <c r="L1179" s="72" t="str">
        <f>IFERROR(IF(G1179="","",VLOOKUP($G1179,[1]基础信息!$B:$C,2,FALSE)+SUMIF(G$8:G1179,G1179,J$8:J1179)-SUMIF(G$8:G1179,G1179,K$8:K1179)+SUMIFS([1]内部转账!$G:$G,[1]内部转账!$C:$C,"&lt;="&amp;$D1179,[1]内部转账!$E:$E,$G1179)-SUMIFS([1]内部转账!$G:$G,[1]内部转账!$C:$C,"&lt;="&amp;$D1179,[1]内部转账!$F:$F,$G1179)),"")</f>
        <v/>
      </c>
      <c r="M1179" s="64"/>
      <c r="N1179" s="69"/>
      <c r="O1179" s="64"/>
      <c r="P1179" s="64"/>
      <c r="Q1179" s="69"/>
      <c r="R1179" s="69"/>
      <c r="S1179" s="69"/>
    </row>
    <row r="1180" s="2" customFormat="1" ht="24.95" customHeight="1" spans="1:19">
      <c r="A1180" s="15"/>
      <c r="B1180" s="55"/>
      <c r="C1180" s="56"/>
      <c r="D1180" s="68"/>
      <c r="E1180" s="69"/>
      <c r="F1180" s="69"/>
      <c r="G1180" s="65"/>
      <c r="H1180" s="65"/>
      <c r="I1180" s="70"/>
      <c r="J1180" s="71"/>
      <c r="K1180" s="71"/>
      <c r="L1180" s="72" t="str">
        <f>IFERROR(IF(G1180="","",VLOOKUP($G1180,[1]基础信息!$B:$C,2,FALSE)+SUMIF(G$8:G1180,G1180,J$8:J1180)-SUMIF(G$8:G1180,G1180,K$8:K1180)+SUMIFS([1]内部转账!$G:$G,[1]内部转账!$C:$C,"&lt;="&amp;$D1180,[1]内部转账!$E:$E,$G1180)-SUMIFS([1]内部转账!$G:$G,[1]内部转账!$C:$C,"&lt;="&amp;$D1180,[1]内部转账!$F:$F,$G1180)),"")</f>
        <v/>
      </c>
      <c r="M1180" s="64"/>
      <c r="N1180" s="69"/>
      <c r="O1180" s="64"/>
      <c r="P1180" s="64"/>
      <c r="Q1180" s="69"/>
      <c r="R1180" s="69"/>
      <c r="S1180" s="69"/>
    </row>
    <row r="1181" s="2" customFormat="1" ht="24.95" customHeight="1" spans="1:19">
      <c r="A1181" s="15"/>
      <c r="B1181" s="55"/>
      <c r="C1181" s="56"/>
      <c r="D1181" s="68"/>
      <c r="E1181" s="69"/>
      <c r="F1181" s="69"/>
      <c r="G1181" s="65"/>
      <c r="H1181" s="65"/>
      <c r="I1181" s="70"/>
      <c r="J1181" s="71"/>
      <c r="K1181" s="71"/>
      <c r="L1181" s="72" t="str">
        <f>IFERROR(IF(G1181="","",VLOOKUP($G1181,[1]基础信息!$B:$C,2,FALSE)+SUMIF(G$8:G1181,G1181,J$8:J1181)-SUMIF(G$8:G1181,G1181,K$8:K1181)+SUMIFS([1]内部转账!$G:$G,[1]内部转账!$C:$C,"&lt;="&amp;$D1181,[1]内部转账!$E:$E,$G1181)-SUMIFS([1]内部转账!$G:$G,[1]内部转账!$C:$C,"&lt;="&amp;$D1181,[1]内部转账!$F:$F,$G1181)),"")</f>
        <v/>
      </c>
      <c r="M1181" s="64"/>
      <c r="N1181" s="69"/>
      <c r="O1181" s="64"/>
      <c r="P1181" s="64"/>
      <c r="Q1181" s="69"/>
      <c r="R1181" s="69"/>
      <c r="S1181" s="69"/>
    </row>
    <row r="1182" s="2" customFormat="1" ht="24.95" customHeight="1" spans="1:19">
      <c r="A1182" s="15"/>
      <c r="B1182" s="55"/>
      <c r="C1182" s="56"/>
      <c r="D1182" s="68"/>
      <c r="E1182" s="69"/>
      <c r="F1182" s="69"/>
      <c r="G1182" s="65"/>
      <c r="H1182" s="65"/>
      <c r="I1182" s="70"/>
      <c r="J1182" s="71"/>
      <c r="K1182" s="71"/>
      <c r="L1182" s="72" t="str">
        <f>IFERROR(IF(G1182="","",VLOOKUP($G1182,[1]基础信息!$B:$C,2,FALSE)+SUMIF(G$8:G1182,G1182,J$8:J1182)-SUMIF(G$8:G1182,G1182,K$8:K1182)+SUMIFS([1]内部转账!$G:$G,[1]内部转账!$C:$C,"&lt;="&amp;$D1182,[1]内部转账!$E:$E,$G1182)-SUMIFS([1]内部转账!$G:$G,[1]内部转账!$C:$C,"&lt;="&amp;$D1182,[1]内部转账!$F:$F,$G1182)),"")</f>
        <v/>
      </c>
      <c r="M1182" s="64"/>
      <c r="N1182" s="69"/>
      <c r="O1182" s="64"/>
      <c r="P1182" s="64"/>
      <c r="Q1182" s="69"/>
      <c r="R1182" s="69"/>
      <c r="S1182" s="69"/>
    </row>
    <row r="1183" s="2" customFormat="1" ht="24.95" customHeight="1" spans="1:19">
      <c r="A1183" s="15"/>
      <c r="B1183" s="55"/>
      <c r="C1183" s="56"/>
      <c r="D1183" s="68"/>
      <c r="E1183" s="69"/>
      <c r="F1183" s="69"/>
      <c r="G1183" s="65"/>
      <c r="H1183" s="65"/>
      <c r="I1183" s="70"/>
      <c r="J1183" s="71"/>
      <c r="K1183" s="71"/>
      <c r="L1183" s="72" t="str">
        <f>IFERROR(IF(G1183="","",VLOOKUP($G1183,[1]基础信息!$B:$C,2,FALSE)+SUMIF(G$8:G1183,G1183,J$8:J1183)-SUMIF(G$8:G1183,G1183,K$8:K1183)+SUMIFS([1]内部转账!$G:$G,[1]内部转账!$C:$C,"&lt;="&amp;$D1183,[1]内部转账!$E:$E,$G1183)-SUMIFS([1]内部转账!$G:$G,[1]内部转账!$C:$C,"&lt;="&amp;$D1183,[1]内部转账!$F:$F,$G1183)),"")</f>
        <v/>
      </c>
      <c r="M1183" s="64"/>
      <c r="N1183" s="69"/>
      <c r="O1183" s="64"/>
      <c r="P1183" s="64"/>
      <c r="Q1183" s="69"/>
      <c r="R1183" s="69"/>
      <c r="S1183" s="69"/>
    </row>
    <row r="1184" s="2" customFormat="1" ht="24.95" customHeight="1" spans="1:19">
      <c r="A1184" s="15"/>
      <c r="B1184" s="55"/>
      <c r="C1184" s="56"/>
      <c r="D1184" s="68"/>
      <c r="E1184" s="69"/>
      <c r="F1184" s="69"/>
      <c r="G1184" s="65"/>
      <c r="H1184" s="65"/>
      <c r="I1184" s="70"/>
      <c r="J1184" s="71"/>
      <c r="K1184" s="71"/>
      <c r="L1184" s="72" t="str">
        <f>IFERROR(IF(G1184="","",VLOOKUP($G1184,[1]基础信息!$B:$C,2,FALSE)+SUMIF(G$8:G1184,G1184,J$8:J1184)-SUMIF(G$8:G1184,G1184,K$8:K1184)+SUMIFS([1]内部转账!$G:$G,[1]内部转账!$C:$C,"&lt;="&amp;$D1184,[1]内部转账!$E:$E,$G1184)-SUMIFS([1]内部转账!$G:$G,[1]内部转账!$C:$C,"&lt;="&amp;$D1184,[1]内部转账!$F:$F,$G1184)),"")</f>
        <v/>
      </c>
      <c r="M1184" s="64"/>
      <c r="N1184" s="69"/>
      <c r="O1184" s="64"/>
      <c r="P1184" s="64"/>
      <c r="Q1184" s="69"/>
      <c r="R1184" s="69"/>
      <c r="S1184" s="69"/>
    </row>
    <row r="1185" s="2" customFormat="1" ht="24.95" customHeight="1" spans="1:19">
      <c r="A1185" s="15"/>
      <c r="B1185" s="55"/>
      <c r="C1185" s="56"/>
      <c r="D1185" s="68"/>
      <c r="E1185" s="69"/>
      <c r="F1185" s="69"/>
      <c r="G1185" s="65"/>
      <c r="H1185" s="65"/>
      <c r="I1185" s="70"/>
      <c r="J1185" s="71"/>
      <c r="K1185" s="71"/>
      <c r="L1185" s="72" t="str">
        <f>IFERROR(IF(G1185="","",VLOOKUP($G1185,[1]基础信息!$B:$C,2,FALSE)+SUMIF(G$8:G1185,G1185,J$8:J1185)-SUMIF(G$8:G1185,G1185,K$8:K1185)+SUMIFS([1]内部转账!$G:$G,[1]内部转账!$C:$C,"&lt;="&amp;$D1185,[1]内部转账!$E:$E,$G1185)-SUMIFS([1]内部转账!$G:$G,[1]内部转账!$C:$C,"&lt;="&amp;$D1185,[1]内部转账!$F:$F,$G1185)),"")</f>
        <v/>
      </c>
      <c r="M1185" s="64"/>
      <c r="N1185" s="69"/>
      <c r="O1185" s="64"/>
      <c r="P1185" s="64"/>
      <c r="Q1185" s="69"/>
      <c r="R1185" s="69"/>
      <c r="S1185" s="69"/>
    </row>
    <row r="1186" s="2" customFormat="1" ht="24.95" customHeight="1" spans="1:19">
      <c r="A1186" s="15"/>
      <c r="B1186" s="55"/>
      <c r="C1186" s="56"/>
      <c r="D1186" s="68"/>
      <c r="E1186" s="69"/>
      <c r="F1186" s="69"/>
      <c r="G1186" s="65"/>
      <c r="H1186" s="65"/>
      <c r="I1186" s="70"/>
      <c r="J1186" s="71"/>
      <c r="K1186" s="71"/>
      <c r="L1186" s="72" t="str">
        <f>IFERROR(IF(G1186="","",VLOOKUP($G1186,[1]基础信息!$B:$C,2,FALSE)+SUMIF(G$8:G1186,G1186,J$8:J1186)-SUMIF(G$8:G1186,G1186,K$8:K1186)+SUMIFS([1]内部转账!$G:$G,[1]内部转账!$C:$C,"&lt;="&amp;$D1186,[1]内部转账!$E:$E,$G1186)-SUMIFS([1]内部转账!$G:$G,[1]内部转账!$C:$C,"&lt;="&amp;$D1186,[1]内部转账!$F:$F,$G1186)),"")</f>
        <v/>
      </c>
      <c r="M1186" s="64"/>
      <c r="N1186" s="69"/>
      <c r="O1186" s="64"/>
      <c r="P1186" s="64"/>
      <c r="Q1186" s="69"/>
      <c r="R1186" s="69"/>
      <c r="S1186" s="69"/>
    </row>
    <row r="1187" s="2" customFormat="1" ht="24.95" customHeight="1" spans="1:19">
      <c r="A1187" s="15"/>
      <c r="B1187" s="55"/>
      <c r="C1187" s="56"/>
      <c r="D1187" s="68"/>
      <c r="E1187" s="69"/>
      <c r="F1187" s="69"/>
      <c r="G1187" s="65"/>
      <c r="H1187" s="65"/>
      <c r="I1187" s="70"/>
      <c r="J1187" s="71"/>
      <c r="K1187" s="71"/>
      <c r="L1187" s="72" t="str">
        <f>IFERROR(IF(G1187="","",VLOOKUP($G1187,[1]基础信息!$B:$C,2,FALSE)+SUMIF(G$8:G1187,G1187,J$8:J1187)-SUMIF(G$8:G1187,G1187,K$8:K1187)+SUMIFS([1]内部转账!$G:$G,[1]内部转账!$C:$C,"&lt;="&amp;$D1187,[1]内部转账!$E:$E,$G1187)-SUMIFS([1]内部转账!$G:$G,[1]内部转账!$C:$C,"&lt;="&amp;$D1187,[1]内部转账!$F:$F,$G1187)),"")</f>
        <v/>
      </c>
      <c r="M1187" s="64"/>
      <c r="N1187" s="69"/>
      <c r="O1187" s="64"/>
      <c r="P1187" s="64"/>
      <c r="Q1187" s="69"/>
      <c r="R1187" s="69"/>
      <c r="S1187" s="69"/>
    </row>
    <row r="1188" s="2" customFormat="1" ht="24.95" customHeight="1" spans="1:19">
      <c r="A1188" s="15"/>
      <c r="B1188" s="55"/>
      <c r="C1188" s="56"/>
      <c r="D1188" s="68"/>
      <c r="E1188" s="69"/>
      <c r="F1188" s="69"/>
      <c r="G1188" s="65"/>
      <c r="H1188" s="65"/>
      <c r="I1188" s="70"/>
      <c r="J1188" s="71"/>
      <c r="K1188" s="71"/>
      <c r="L1188" s="72" t="str">
        <f>IFERROR(IF(G1188="","",VLOOKUP($G1188,[1]基础信息!$B:$C,2,FALSE)+SUMIF(G$8:G1188,G1188,J$8:J1188)-SUMIF(G$8:G1188,G1188,K$8:K1188)+SUMIFS([1]内部转账!$G:$G,[1]内部转账!$C:$C,"&lt;="&amp;$D1188,[1]内部转账!$E:$E,$G1188)-SUMIFS([1]内部转账!$G:$G,[1]内部转账!$C:$C,"&lt;="&amp;$D1188,[1]内部转账!$F:$F,$G1188)),"")</f>
        <v/>
      </c>
      <c r="M1188" s="64"/>
      <c r="N1188" s="69"/>
      <c r="O1188" s="64"/>
      <c r="P1188" s="64"/>
      <c r="Q1188" s="69"/>
      <c r="R1188" s="69"/>
      <c r="S1188" s="69"/>
    </row>
    <row r="1189" s="2" customFormat="1" ht="24.95" customHeight="1" spans="1:19">
      <c r="A1189" s="15"/>
      <c r="B1189" s="55"/>
      <c r="C1189" s="56"/>
      <c r="D1189" s="68"/>
      <c r="E1189" s="69"/>
      <c r="F1189" s="69"/>
      <c r="G1189" s="65"/>
      <c r="H1189" s="65"/>
      <c r="I1189" s="70"/>
      <c r="J1189" s="71"/>
      <c r="K1189" s="71"/>
      <c r="L1189" s="72" t="str">
        <f>IFERROR(IF(G1189="","",VLOOKUP($G1189,[1]基础信息!$B:$C,2,FALSE)+SUMIF(G$8:G1189,G1189,J$8:J1189)-SUMIF(G$8:G1189,G1189,K$8:K1189)+SUMIFS([1]内部转账!$G:$G,[1]内部转账!$C:$C,"&lt;="&amp;$D1189,[1]内部转账!$E:$E,$G1189)-SUMIFS([1]内部转账!$G:$G,[1]内部转账!$C:$C,"&lt;="&amp;$D1189,[1]内部转账!$F:$F,$G1189)),"")</f>
        <v/>
      </c>
      <c r="M1189" s="64"/>
      <c r="N1189" s="69"/>
      <c r="O1189" s="64"/>
      <c r="P1189" s="64"/>
      <c r="Q1189" s="69"/>
      <c r="R1189" s="69"/>
      <c r="S1189" s="69"/>
    </row>
    <row r="1190" s="2" customFormat="1" ht="24.95" customHeight="1" spans="1:19">
      <c r="A1190" s="15"/>
      <c r="B1190" s="55"/>
      <c r="C1190" s="56"/>
      <c r="D1190" s="68"/>
      <c r="E1190" s="69"/>
      <c r="F1190" s="69"/>
      <c r="G1190" s="65"/>
      <c r="H1190" s="65"/>
      <c r="I1190" s="70"/>
      <c r="J1190" s="71"/>
      <c r="K1190" s="71"/>
      <c r="L1190" s="72" t="str">
        <f>IFERROR(IF(G1190="","",VLOOKUP($G1190,[1]基础信息!$B:$C,2,FALSE)+SUMIF(G$8:G1190,G1190,J$8:J1190)-SUMIF(G$8:G1190,G1190,K$8:K1190)+SUMIFS([1]内部转账!$G:$G,[1]内部转账!$C:$C,"&lt;="&amp;$D1190,[1]内部转账!$E:$E,$G1190)-SUMIFS([1]内部转账!$G:$G,[1]内部转账!$C:$C,"&lt;="&amp;$D1190,[1]内部转账!$F:$F,$G1190)),"")</f>
        <v/>
      </c>
      <c r="M1190" s="64"/>
      <c r="N1190" s="69"/>
      <c r="O1190" s="64"/>
      <c r="P1190" s="64"/>
      <c r="Q1190" s="69"/>
      <c r="R1190" s="69"/>
      <c r="S1190" s="69"/>
    </row>
    <row r="1191" s="2" customFormat="1" ht="24.95" customHeight="1" spans="1:19">
      <c r="A1191" s="15"/>
      <c r="B1191" s="55"/>
      <c r="C1191" s="56"/>
      <c r="D1191" s="68"/>
      <c r="E1191" s="69"/>
      <c r="F1191" s="69"/>
      <c r="G1191" s="65"/>
      <c r="H1191" s="65"/>
      <c r="I1191" s="70"/>
      <c r="J1191" s="71"/>
      <c r="K1191" s="71"/>
      <c r="L1191" s="72" t="str">
        <f>IFERROR(IF(G1191="","",VLOOKUP($G1191,[1]基础信息!$B:$C,2,FALSE)+SUMIF(G$8:G1191,G1191,J$8:J1191)-SUMIF(G$8:G1191,G1191,K$8:K1191)+SUMIFS([1]内部转账!$G:$G,[1]内部转账!$C:$C,"&lt;="&amp;$D1191,[1]内部转账!$E:$E,$G1191)-SUMIFS([1]内部转账!$G:$G,[1]内部转账!$C:$C,"&lt;="&amp;$D1191,[1]内部转账!$F:$F,$G1191)),"")</f>
        <v/>
      </c>
      <c r="M1191" s="64"/>
      <c r="N1191" s="69"/>
      <c r="O1191" s="64"/>
      <c r="P1191" s="64"/>
      <c r="Q1191" s="69"/>
      <c r="R1191" s="69"/>
      <c r="S1191" s="69"/>
    </row>
    <row r="1192" s="2" customFormat="1" ht="24.95" customHeight="1" spans="1:19">
      <c r="A1192" s="15"/>
      <c r="B1192" s="55"/>
      <c r="C1192" s="56"/>
      <c r="D1192" s="68"/>
      <c r="E1192" s="69"/>
      <c r="F1192" s="69"/>
      <c r="G1192" s="65"/>
      <c r="H1192" s="65"/>
      <c r="I1192" s="70"/>
      <c r="J1192" s="71"/>
      <c r="K1192" s="71"/>
      <c r="L1192" s="72" t="str">
        <f>IFERROR(IF(G1192="","",VLOOKUP($G1192,[1]基础信息!$B:$C,2,FALSE)+SUMIF(G$8:G1192,G1192,J$8:J1192)-SUMIF(G$8:G1192,G1192,K$8:K1192)+SUMIFS([1]内部转账!$G:$G,[1]内部转账!$C:$C,"&lt;="&amp;$D1192,[1]内部转账!$E:$E,$G1192)-SUMIFS([1]内部转账!$G:$G,[1]内部转账!$C:$C,"&lt;="&amp;$D1192,[1]内部转账!$F:$F,$G1192)),"")</f>
        <v/>
      </c>
      <c r="M1192" s="64"/>
      <c r="N1192" s="69"/>
      <c r="O1192" s="64"/>
      <c r="P1192" s="64"/>
      <c r="Q1192" s="69"/>
      <c r="R1192" s="69"/>
      <c r="S1192" s="69"/>
    </row>
    <row r="1193" s="2" customFormat="1" ht="24.95" customHeight="1" spans="1:19">
      <c r="A1193" s="15"/>
      <c r="B1193" s="55"/>
      <c r="C1193" s="56"/>
      <c r="D1193" s="68"/>
      <c r="E1193" s="69"/>
      <c r="F1193" s="69"/>
      <c r="G1193" s="65"/>
      <c r="H1193" s="65"/>
      <c r="I1193" s="70"/>
      <c r="J1193" s="71"/>
      <c r="K1193" s="71"/>
      <c r="L1193" s="72" t="str">
        <f>IFERROR(IF(G1193="","",VLOOKUP($G1193,[1]基础信息!$B:$C,2,FALSE)+SUMIF(G$8:G1193,G1193,J$8:J1193)-SUMIF(G$8:G1193,G1193,K$8:K1193)+SUMIFS([1]内部转账!$G:$G,[1]内部转账!$C:$C,"&lt;="&amp;$D1193,[1]内部转账!$E:$E,$G1193)-SUMIFS([1]内部转账!$G:$G,[1]内部转账!$C:$C,"&lt;="&amp;$D1193,[1]内部转账!$F:$F,$G1193)),"")</f>
        <v/>
      </c>
      <c r="M1193" s="64"/>
      <c r="N1193" s="69"/>
      <c r="O1193" s="64"/>
      <c r="P1193" s="64"/>
      <c r="Q1193" s="69"/>
      <c r="R1193" s="69"/>
      <c r="S1193" s="69"/>
    </row>
    <row r="1194" s="2" customFormat="1" ht="24.95" customHeight="1" spans="1:19">
      <c r="A1194" s="15"/>
      <c r="B1194" s="55"/>
      <c r="C1194" s="56"/>
      <c r="D1194" s="68"/>
      <c r="E1194" s="69"/>
      <c r="F1194" s="69"/>
      <c r="G1194" s="65"/>
      <c r="H1194" s="65"/>
      <c r="I1194" s="70"/>
      <c r="J1194" s="71"/>
      <c r="K1194" s="71"/>
      <c r="L1194" s="72" t="str">
        <f>IFERROR(IF(G1194="","",VLOOKUP($G1194,[1]基础信息!$B:$C,2,FALSE)+SUMIF(G$8:G1194,G1194,J$8:J1194)-SUMIF(G$8:G1194,G1194,K$8:K1194)+SUMIFS([1]内部转账!$G:$G,[1]内部转账!$C:$C,"&lt;="&amp;$D1194,[1]内部转账!$E:$E,$G1194)-SUMIFS([1]内部转账!$G:$G,[1]内部转账!$C:$C,"&lt;="&amp;$D1194,[1]内部转账!$F:$F,$G1194)),"")</f>
        <v/>
      </c>
      <c r="M1194" s="64"/>
      <c r="N1194" s="69"/>
      <c r="O1194" s="64"/>
      <c r="P1194" s="64"/>
      <c r="Q1194" s="69"/>
      <c r="R1194" s="69"/>
      <c r="S1194" s="69"/>
    </row>
    <row r="1195" s="2" customFormat="1" ht="24.95" customHeight="1" spans="1:19">
      <c r="A1195" s="15"/>
      <c r="B1195" s="55"/>
      <c r="C1195" s="56"/>
      <c r="D1195" s="68"/>
      <c r="E1195" s="69"/>
      <c r="F1195" s="69"/>
      <c r="G1195" s="65"/>
      <c r="H1195" s="65"/>
      <c r="I1195" s="70"/>
      <c r="J1195" s="71"/>
      <c r="K1195" s="71"/>
      <c r="L1195" s="72" t="str">
        <f>IFERROR(IF(G1195="","",VLOOKUP($G1195,[1]基础信息!$B:$C,2,FALSE)+SUMIF(G$8:G1195,G1195,J$8:J1195)-SUMIF(G$8:G1195,G1195,K$8:K1195)+SUMIFS([1]内部转账!$G:$G,[1]内部转账!$C:$C,"&lt;="&amp;$D1195,[1]内部转账!$E:$E,$G1195)-SUMIFS([1]内部转账!$G:$G,[1]内部转账!$C:$C,"&lt;="&amp;$D1195,[1]内部转账!$F:$F,$G1195)),"")</f>
        <v/>
      </c>
      <c r="M1195" s="64"/>
      <c r="N1195" s="69"/>
      <c r="O1195" s="64"/>
      <c r="P1195" s="64"/>
      <c r="Q1195" s="69"/>
      <c r="R1195" s="69"/>
      <c r="S1195" s="69"/>
    </row>
    <row r="1196" s="2" customFormat="1" ht="24.95" customHeight="1" spans="1:19">
      <c r="A1196" s="15"/>
      <c r="B1196" s="55"/>
      <c r="C1196" s="56"/>
      <c r="D1196" s="68"/>
      <c r="E1196" s="69"/>
      <c r="F1196" s="69"/>
      <c r="G1196" s="65"/>
      <c r="H1196" s="65"/>
      <c r="I1196" s="70"/>
      <c r="J1196" s="71"/>
      <c r="K1196" s="71"/>
      <c r="L1196" s="72" t="str">
        <f>IFERROR(IF(G1196="","",VLOOKUP($G1196,[1]基础信息!$B:$C,2,FALSE)+SUMIF(G$8:G1196,G1196,J$8:J1196)-SUMIF(G$8:G1196,G1196,K$8:K1196)+SUMIFS([1]内部转账!$G:$G,[1]内部转账!$C:$C,"&lt;="&amp;$D1196,[1]内部转账!$E:$E,$G1196)-SUMIFS([1]内部转账!$G:$G,[1]内部转账!$C:$C,"&lt;="&amp;$D1196,[1]内部转账!$F:$F,$G1196)),"")</f>
        <v/>
      </c>
      <c r="M1196" s="64"/>
      <c r="N1196" s="69"/>
      <c r="O1196" s="64"/>
      <c r="P1196" s="64"/>
      <c r="Q1196" s="69"/>
      <c r="R1196" s="69"/>
      <c r="S1196" s="69"/>
    </row>
    <row r="1197" s="2" customFormat="1" ht="24.95" customHeight="1" spans="1:19">
      <c r="A1197" s="15"/>
      <c r="B1197" s="55"/>
      <c r="C1197" s="56"/>
      <c r="D1197" s="68"/>
      <c r="E1197" s="69"/>
      <c r="F1197" s="69"/>
      <c r="G1197" s="65"/>
      <c r="H1197" s="65"/>
      <c r="I1197" s="70"/>
      <c r="J1197" s="71"/>
      <c r="K1197" s="71"/>
      <c r="L1197" s="72" t="str">
        <f>IFERROR(IF(G1197="","",VLOOKUP($G1197,[1]基础信息!$B:$C,2,FALSE)+SUMIF(G$8:G1197,G1197,J$8:J1197)-SUMIF(G$8:G1197,G1197,K$8:K1197)+SUMIFS([1]内部转账!$G:$G,[1]内部转账!$C:$C,"&lt;="&amp;$D1197,[1]内部转账!$E:$E,$G1197)-SUMIFS([1]内部转账!$G:$G,[1]内部转账!$C:$C,"&lt;="&amp;$D1197,[1]内部转账!$F:$F,$G1197)),"")</f>
        <v/>
      </c>
      <c r="M1197" s="64"/>
      <c r="N1197" s="69"/>
      <c r="O1197" s="64"/>
      <c r="P1197" s="64"/>
      <c r="Q1197" s="69"/>
      <c r="R1197" s="69"/>
      <c r="S1197" s="69"/>
    </row>
    <row r="1198" s="2" customFormat="1" ht="24.95" customHeight="1" spans="1:19">
      <c r="A1198" s="15"/>
      <c r="B1198" s="55"/>
      <c r="C1198" s="56"/>
      <c r="D1198" s="68"/>
      <c r="E1198" s="69"/>
      <c r="F1198" s="69"/>
      <c r="G1198" s="65"/>
      <c r="H1198" s="65"/>
      <c r="I1198" s="70"/>
      <c r="J1198" s="71"/>
      <c r="K1198" s="71"/>
      <c r="L1198" s="72" t="str">
        <f>IFERROR(IF(G1198="","",VLOOKUP($G1198,[1]基础信息!$B:$C,2,FALSE)+SUMIF(G$8:G1198,G1198,J$8:J1198)-SUMIF(G$8:G1198,G1198,K$8:K1198)+SUMIFS([1]内部转账!$G:$G,[1]内部转账!$C:$C,"&lt;="&amp;$D1198,[1]内部转账!$E:$E,$G1198)-SUMIFS([1]内部转账!$G:$G,[1]内部转账!$C:$C,"&lt;="&amp;$D1198,[1]内部转账!$F:$F,$G1198)),"")</f>
        <v/>
      </c>
      <c r="M1198" s="64"/>
      <c r="N1198" s="69"/>
      <c r="O1198" s="64"/>
      <c r="P1198" s="64"/>
      <c r="Q1198" s="69"/>
      <c r="R1198" s="69"/>
      <c r="S1198" s="69"/>
    </row>
    <row r="1199" s="2" customFormat="1" ht="24.95" customHeight="1" spans="1:19">
      <c r="A1199" s="15"/>
      <c r="B1199" s="55"/>
      <c r="C1199" s="56"/>
      <c r="D1199" s="68"/>
      <c r="E1199" s="69"/>
      <c r="F1199" s="69"/>
      <c r="G1199" s="65"/>
      <c r="H1199" s="65"/>
      <c r="I1199" s="70"/>
      <c r="J1199" s="71"/>
      <c r="K1199" s="71"/>
      <c r="L1199" s="72" t="str">
        <f>IFERROR(IF(G1199="","",VLOOKUP($G1199,[1]基础信息!$B:$C,2,FALSE)+SUMIF(G$8:G1199,G1199,J$8:J1199)-SUMIF(G$8:G1199,G1199,K$8:K1199)+SUMIFS([1]内部转账!$G:$G,[1]内部转账!$C:$C,"&lt;="&amp;$D1199,[1]内部转账!$E:$E,$G1199)-SUMIFS([1]内部转账!$G:$G,[1]内部转账!$C:$C,"&lt;="&amp;$D1199,[1]内部转账!$F:$F,$G1199)),"")</f>
        <v/>
      </c>
      <c r="M1199" s="64"/>
      <c r="N1199" s="69"/>
      <c r="O1199" s="64"/>
      <c r="P1199" s="64"/>
      <c r="Q1199" s="69"/>
      <c r="R1199" s="69"/>
      <c r="S1199" s="69"/>
    </row>
    <row r="1200" s="2" customFormat="1" ht="24.95" customHeight="1" spans="1:19">
      <c r="A1200" s="15"/>
      <c r="B1200" s="55"/>
      <c r="C1200" s="56"/>
      <c r="D1200" s="68"/>
      <c r="E1200" s="69"/>
      <c r="F1200" s="69"/>
      <c r="G1200" s="65"/>
      <c r="H1200" s="65"/>
      <c r="I1200" s="70"/>
      <c r="J1200" s="71"/>
      <c r="K1200" s="71"/>
      <c r="L1200" s="72" t="str">
        <f>IFERROR(IF(G1200="","",VLOOKUP($G1200,[1]基础信息!$B:$C,2,FALSE)+SUMIF(G$8:G1200,G1200,J$8:J1200)-SUMIF(G$8:G1200,G1200,K$8:K1200)+SUMIFS([1]内部转账!$G:$G,[1]内部转账!$C:$C,"&lt;="&amp;$D1200,[1]内部转账!$E:$E,$G1200)-SUMIFS([1]内部转账!$G:$G,[1]内部转账!$C:$C,"&lt;="&amp;$D1200,[1]内部转账!$F:$F,$G1200)),"")</f>
        <v/>
      </c>
      <c r="M1200" s="64"/>
      <c r="N1200" s="69"/>
      <c r="O1200" s="64"/>
      <c r="P1200" s="64"/>
      <c r="Q1200" s="69"/>
      <c r="R1200" s="69"/>
      <c r="S1200" s="69"/>
    </row>
    <row r="1201" s="2" customFormat="1" ht="24.95" customHeight="1" spans="1:19">
      <c r="A1201" s="15"/>
      <c r="B1201" s="55"/>
      <c r="C1201" s="56"/>
      <c r="D1201" s="68"/>
      <c r="E1201" s="69"/>
      <c r="F1201" s="69"/>
      <c r="G1201" s="65"/>
      <c r="H1201" s="65"/>
      <c r="I1201" s="70"/>
      <c r="J1201" s="71"/>
      <c r="K1201" s="71"/>
      <c r="L1201" s="72" t="str">
        <f>IFERROR(IF(G1201="","",VLOOKUP($G1201,[1]基础信息!$B:$C,2,FALSE)+SUMIF(G$8:G1201,G1201,J$8:J1201)-SUMIF(G$8:G1201,G1201,K$8:K1201)+SUMIFS([1]内部转账!$G:$G,[1]内部转账!$C:$C,"&lt;="&amp;$D1201,[1]内部转账!$E:$E,$G1201)-SUMIFS([1]内部转账!$G:$G,[1]内部转账!$C:$C,"&lt;="&amp;$D1201,[1]内部转账!$F:$F,$G1201)),"")</f>
        <v/>
      </c>
      <c r="M1201" s="64"/>
      <c r="N1201" s="69"/>
      <c r="O1201" s="64"/>
      <c r="P1201" s="64"/>
      <c r="Q1201" s="69"/>
      <c r="R1201" s="69"/>
      <c r="S1201" s="69"/>
    </row>
    <row r="1202" s="2" customFormat="1" ht="24.95" customHeight="1" spans="1:19">
      <c r="A1202" s="15"/>
      <c r="B1202" s="55"/>
      <c r="C1202" s="56"/>
      <c r="D1202" s="68"/>
      <c r="E1202" s="69"/>
      <c r="F1202" s="69"/>
      <c r="G1202" s="65"/>
      <c r="H1202" s="65"/>
      <c r="I1202" s="70"/>
      <c r="J1202" s="71"/>
      <c r="K1202" s="71"/>
      <c r="L1202" s="72" t="str">
        <f>IFERROR(IF(G1202="","",VLOOKUP($G1202,[1]基础信息!$B:$C,2,FALSE)+SUMIF(G$8:G1202,G1202,J$8:J1202)-SUMIF(G$8:G1202,G1202,K$8:K1202)+SUMIFS([1]内部转账!$G:$G,[1]内部转账!$C:$C,"&lt;="&amp;$D1202,[1]内部转账!$E:$E,$G1202)-SUMIFS([1]内部转账!$G:$G,[1]内部转账!$C:$C,"&lt;="&amp;$D1202,[1]内部转账!$F:$F,$G1202)),"")</f>
        <v/>
      </c>
      <c r="M1202" s="64"/>
      <c r="N1202" s="69"/>
      <c r="O1202" s="64"/>
      <c r="P1202" s="64"/>
      <c r="Q1202" s="69"/>
      <c r="R1202" s="69"/>
      <c r="S1202" s="69"/>
    </row>
    <row r="1203" s="2" customFormat="1" ht="24.95" customHeight="1" spans="1:19">
      <c r="A1203" s="15"/>
      <c r="B1203" s="55"/>
      <c r="C1203" s="56"/>
      <c r="D1203" s="68"/>
      <c r="E1203" s="69"/>
      <c r="F1203" s="69"/>
      <c r="G1203" s="65"/>
      <c r="H1203" s="65"/>
      <c r="I1203" s="70"/>
      <c r="J1203" s="71"/>
      <c r="K1203" s="71"/>
      <c r="L1203" s="72" t="str">
        <f>IFERROR(IF(G1203="","",VLOOKUP($G1203,[1]基础信息!$B:$C,2,FALSE)+SUMIF(G$8:G1203,G1203,J$8:J1203)-SUMIF(G$8:G1203,G1203,K$8:K1203)+SUMIFS([1]内部转账!$G:$G,[1]内部转账!$C:$C,"&lt;="&amp;$D1203,[1]内部转账!$E:$E,$G1203)-SUMIFS([1]内部转账!$G:$G,[1]内部转账!$C:$C,"&lt;="&amp;$D1203,[1]内部转账!$F:$F,$G1203)),"")</f>
        <v/>
      </c>
      <c r="M1203" s="64"/>
      <c r="N1203" s="69"/>
      <c r="O1203" s="64"/>
      <c r="P1203" s="64"/>
      <c r="Q1203" s="69"/>
      <c r="R1203" s="69"/>
      <c r="S1203" s="69"/>
    </row>
    <row r="1204" s="2" customFormat="1" ht="24.95" customHeight="1" spans="1:19">
      <c r="A1204" s="15"/>
      <c r="B1204" s="55"/>
      <c r="C1204" s="56"/>
      <c r="D1204" s="68"/>
      <c r="E1204" s="69"/>
      <c r="F1204" s="69"/>
      <c r="G1204" s="65"/>
      <c r="H1204" s="65"/>
      <c r="I1204" s="70"/>
      <c r="J1204" s="71"/>
      <c r="K1204" s="71"/>
      <c r="L1204" s="72" t="str">
        <f>IFERROR(IF(G1204="","",VLOOKUP($G1204,[1]基础信息!$B:$C,2,FALSE)+SUMIF(G$8:G1204,G1204,J$8:J1204)-SUMIF(G$8:G1204,G1204,K$8:K1204)+SUMIFS([1]内部转账!$G:$G,[1]内部转账!$C:$C,"&lt;="&amp;$D1204,[1]内部转账!$E:$E,$G1204)-SUMIFS([1]内部转账!$G:$G,[1]内部转账!$C:$C,"&lt;="&amp;$D1204,[1]内部转账!$F:$F,$G1204)),"")</f>
        <v/>
      </c>
      <c r="M1204" s="64"/>
      <c r="N1204" s="69"/>
      <c r="O1204" s="64"/>
      <c r="P1204" s="64"/>
      <c r="Q1204" s="69"/>
      <c r="R1204" s="69"/>
      <c r="S1204" s="69"/>
    </row>
    <row r="1205" s="2" customFormat="1" ht="24.95" customHeight="1" spans="1:19">
      <c r="A1205" s="15"/>
      <c r="B1205" s="55"/>
      <c r="C1205" s="56"/>
      <c r="D1205" s="68"/>
      <c r="E1205" s="69"/>
      <c r="F1205" s="69"/>
      <c r="G1205" s="65"/>
      <c r="H1205" s="65"/>
      <c r="I1205" s="70"/>
      <c r="J1205" s="71"/>
      <c r="K1205" s="71"/>
      <c r="L1205" s="72" t="str">
        <f>IFERROR(IF(G1205="","",VLOOKUP($G1205,[1]基础信息!$B:$C,2,FALSE)+SUMIF(G$8:G1205,G1205,J$8:J1205)-SUMIF(G$8:G1205,G1205,K$8:K1205)+SUMIFS([1]内部转账!$G:$G,[1]内部转账!$C:$C,"&lt;="&amp;$D1205,[1]内部转账!$E:$E,$G1205)-SUMIFS([1]内部转账!$G:$G,[1]内部转账!$C:$C,"&lt;="&amp;$D1205,[1]内部转账!$F:$F,$G1205)),"")</f>
        <v/>
      </c>
      <c r="M1205" s="64"/>
      <c r="N1205" s="69"/>
      <c r="O1205" s="64"/>
      <c r="P1205" s="64"/>
      <c r="Q1205" s="69"/>
      <c r="R1205" s="69"/>
      <c r="S1205" s="69"/>
    </row>
    <row r="1206" s="2" customFormat="1" ht="24.95" customHeight="1" spans="1:19">
      <c r="A1206" s="15"/>
      <c r="B1206" s="55"/>
      <c r="C1206" s="56"/>
      <c r="D1206" s="68"/>
      <c r="E1206" s="69"/>
      <c r="F1206" s="69"/>
      <c r="G1206" s="65"/>
      <c r="H1206" s="65"/>
      <c r="I1206" s="70"/>
      <c r="J1206" s="71"/>
      <c r="K1206" s="71"/>
      <c r="L1206" s="72" t="str">
        <f>IFERROR(IF(G1206="","",VLOOKUP($G1206,[1]基础信息!$B:$C,2,FALSE)+SUMIF(G$8:G1206,G1206,J$8:J1206)-SUMIF(G$8:G1206,G1206,K$8:K1206)+SUMIFS([1]内部转账!$G:$G,[1]内部转账!$C:$C,"&lt;="&amp;$D1206,[1]内部转账!$E:$E,$G1206)-SUMIFS([1]内部转账!$G:$G,[1]内部转账!$C:$C,"&lt;="&amp;$D1206,[1]内部转账!$F:$F,$G1206)),"")</f>
        <v/>
      </c>
      <c r="M1206" s="64"/>
      <c r="N1206" s="69"/>
      <c r="O1206" s="64"/>
      <c r="P1206" s="64"/>
      <c r="Q1206" s="69"/>
      <c r="R1206" s="69"/>
      <c r="S1206" s="69"/>
    </row>
    <row r="1207" s="2" customFormat="1" ht="24.95" customHeight="1" spans="1:19">
      <c r="A1207" s="15"/>
      <c r="B1207" s="55"/>
      <c r="C1207" s="56"/>
      <c r="D1207" s="68"/>
      <c r="E1207" s="69"/>
      <c r="F1207" s="69"/>
      <c r="G1207" s="65"/>
      <c r="H1207" s="65"/>
      <c r="I1207" s="70"/>
      <c r="J1207" s="71"/>
      <c r="K1207" s="71"/>
      <c r="L1207" s="72" t="str">
        <f>IFERROR(IF(G1207="","",VLOOKUP($G1207,[1]基础信息!$B:$C,2,FALSE)+SUMIF(G$8:G1207,G1207,J$8:J1207)-SUMIF(G$8:G1207,G1207,K$8:K1207)+SUMIFS([1]内部转账!$G:$G,[1]内部转账!$C:$C,"&lt;="&amp;$D1207,[1]内部转账!$E:$E,$G1207)-SUMIFS([1]内部转账!$G:$G,[1]内部转账!$C:$C,"&lt;="&amp;$D1207,[1]内部转账!$F:$F,$G1207)),"")</f>
        <v/>
      </c>
      <c r="M1207" s="64"/>
      <c r="N1207" s="69"/>
      <c r="O1207" s="64"/>
      <c r="P1207" s="64"/>
      <c r="Q1207" s="69"/>
      <c r="R1207" s="69"/>
      <c r="S1207" s="69"/>
    </row>
    <row r="1208" s="2" customFormat="1" ht="24.95" customHeight="1" spans="1:19">
      <c r="A1208" s="15"/>
      <c r="B1208" s="55"/>
      <c r="C1208" s="56"/>
      <c r="D1208" s="68"/>
      <c r="E1208" s="69"/>
      <c r="F1208" s="69"/>
      <c r="G1208" s="65"/>
      <c r="H1208" s="65"/>
      <c r="I1208" s="70"/>
      <c r="J1208" s="71"/>
      <c r="K1208" s="71"/>
      <c r="L1208" s="72" t="str">
        <f>IFERROR(IF(G1208="","",VLOOKUP($G1208,[1]基础信息!$B:$C,2,FALSE)+SUMIF(G$8:G1208,G1208,J$8:J1208)-SUMIF(G$8:G1208,G1208,K$8:K1208)+SUMIFS([1]内部转账!$G:$G,[1]内部转账!$C:$C,"&lt;="&amp;$D1208,[1]内部转账!$E:$E,$G1208)-SUMIFS([1]内部转账!$G:$G,[1]内部转账!$C:$C,"&lt;="&amp;$D1208,[1]内部转账!$F:$F,$G1208)),"")</f>
        <v/>
      </c>
      <c r="M1208" s="64"/>
      <c r="N1208" s="69"/>
      <c r="O1208" s="64"/>
      <c r="P1208" s="64"/>
      <c r="Q1208" s="69"/>
      <c r="R1208" s="69"/>
      <c r="S1208" s="69"/>
    </row>
    <row r="1209" s="2" customFormat="1" ht="24.95" customHeight="1" spans="1:19">
      <c r="A1209" s="15"/>
      <c r="B1209" s="55"/>
      <c r="C1209" s="56"/>
      <c r="D1209" s="68"/>
      <c r="E1209" s="69"/>
      <c r="F1209" s="69"/>
      <c r="G1209" s="65"/>
      <c r="H1209" s="65"/>
      <c r="I1209" s="70"/>
      <c r="J1209" s="71"/>
      <c r="K1209" s="71"/>
      <c r="L1209" s="72" t="str">
        <f>IFERROR(IF(G1209="","",VLOOKUP($G1209,[1]基础信息!$B:$C,2,FALSE)+SUMIF(G$8:G1209,G1209,J$8:J1209)-SUMIF(G$8:G1209,G1209,K$8:K1209)+SUMIFS([1]内部转账!$G:$G,[1]内部转账!$C:$C,"&lt;="&amp;$D1209,[1]内部转账!$E:$E,$G1209)-SUMIFS([1]内部转账!$G:$G,[1]内部转账!$C:$C,"&lt;="&amp;$D1209,[1]内部转账!$F:$F,$G1209)),"")</f>
        <v/>
      </c>
      <c r="M1209" s="64"/>
      <c r="N1209" s="69"/>
      <c r="O1209" s="64"/>
      <c r="P1209" s="64"/>
      <c r="Q1209" s="69"/>
      <c r="R1209" s="69"/>
      <c r="S1209" s="69"/>
    </row>
    <row r="1210" s="2" customFormat="1" ht="24.95" customHeight="1" spans="1:19">
      <c r="A1210" s="15"/>
      <c r="B1210" s="55"/>
      <c r="C1210" s="56"/>
      <c r="D1210" s="68"/>
      <c r="E1210" s="69"/>
      <c r="F1210" s="69"/>
      <c r="G1210" s="65"/>
      <c r="H1210" s="65"/>
      <c r="I1210" s="70"/>
      <c r="J1210" s="71"/>
      <c r="K1210" s="71"/>
      <c r="L1210" s="72" t="str">
        <f>IFERROR(IF(G1210="","",VLOOKUP($G1210,[1]基础信息!$B:$C,2,FALSE)+SUMIF(G$8:G1210,G1210,J$8:J1210)-SUMIF(G$8:G1210,G1210,K$8:K1210)+SUMIFS([1]内部转账!$G:$G,[1]内部转账!$C:$C,"&lt;="&amp;$D1210,[1]内部转账!$E:$E,$G1210)-SUMIFS([1]内部转账!$G:$G,[1]内部转账!$C:$C,"&lt;="&amp;$D1210,[1]内部转账!$F:$F,$G1210)),"")</f>
        <v/>
      </c>
      <c r="M1210" s="64"/>
      <c r="N1210" s="69"/>
      <c r="O1210" s="64"/>
      <c r="P1210" s="64"/>
      <c r="Q1210" s="69"/>
      <c r="R1210" s="69"/>
      <c r="S1210" s="69"/>
    </row>
    <row r="1211" s="2" customFormat="1" ht="24.95" customHeight="1" spans="1:19">
      <c r="A1211" s="15"/>
      <c r="B1211" s="55"/>
      <c r="C1211" s="56"/>
      <c r="D1211" s="68"/>
      <c r="E1211" s="69"/>
      <c r="F1211" s="69"/>
      <c r="G1211" s="65"/>
      <c r="H1211" s="65"/>
      <c r="I1211" s="70"/>
      <c r="J1211" s="71"/>
      <c r="K1211" s="71"/>
      <c r="L1211" s="72" t="str">
        <f>IFERROR(IF(G1211="","",VLOOKUP($G1211,[1]基础信息!$B:$C,2,FALSE)+SUMIF(G$8:G1211,G1211,J$8:J1211)-SUMIF(G$8:G1211,G1211,K$8:K1211)+SUMIFS([1]内部转账!$G:$G,[1]内部转账!$C:$C,"&lt;="&amp;$D1211,[1]内部转账!$E:$E,$G1211)-SUMIFS([1]内部转账!$G:$G,[1]内部转账!$C:$C,"&lt;="&amp;$D1211,[1]内部转账!$F:$F,$G1211)),"")</f>
        <v/>
      </c>
      <c r="M1211" s="64"/>
      <c r="N1211" s="69"/>
      <c r="O1211" s="64"/>
      <c r="P1211" s="64"/>
      <c r="Q1211" s="69"/>
      <c r="R1211" s="69"/>
      <c r="S1211" s="69"/>
    </row>
    <row r="1212" s="2" customFormat="1" ht="24.95" customHeight="1" spans="1:19">
      <c r="A1212" s="15"/>
      <c r="B1212" s="55"/>
      <c r="C1212" s="56"/>
      <c r="D1212" s="68"/>
      <c r="E1212" s="69"/>
      <c r="F1212" s="69"/>
      <c r="G1212" s="65"/>
      <c r="H1212" s="65"/>
      <c r="I1212" s="70"/>
      <c r="J1212" s="71"/>
      <c r="K1212" s="71"/>
      <c r="L1212" s="72" t="str">
        <f>IFERROR(IF(G1212="","",VLOOKUP($G1212,[1]基础信息!$B:$C,2,FALSE)+SUMIF(G$8:G1212,G1212,J$8:J1212)-SUMIF(G$8:G1212,G1212,K$8:K1212)+SUMIFS([1]内部转账!$G:$G,[1]内部转账!$C:$C,"&lt;="&amp;$D1212,[1]内部转账!$E:$E,$G1212)-SUMIFS([1]内部转账!$G:$G,[1]内部转账!$C:$C,"&lt;="&amp;$D1212,[1]内部转账!$F:$F,$G1212)),"")</f>
        <v/>
      </c>
      <c r="M1212" s="64"/>
      <c r="N1212" s="69"/>
      <c r="O1212" s="64"/>
      <c r="P1212" s="64"/>
      <c r="Q1212" s="69"/>
      <c r="R1212" s="69"/>
      <c r="S1212" s="69"/>
    </row>
    <row r="1213" s="2" customFormat="1" ht="24.95" customHeight="1" spans="1:19">
      <c r="A1213" s="15"/>
      <c r="B1213" s="55"/>
      <c r="C1213" s="56"/>
      <c r="D1213" s="68"/>
      <c r="E1213" s="69"/>
      <c r="F1213" s="69"/>
      <c r="G1213" s="65"/>
      <c r="H1213" s="65"/>
      <c r="I1213" s="70"/>
      <c r="J1213" s="71"/>
      <c r="K1213" s="71"/>
      <c r="L1213" s="72" t="str">
        <f>IFERROR(IF(G1213="","",VLOOKUP($G1213,[1]基础信息!$B:$C,2,FALSE)+SUMIF(G$8:G1213,G1213,J$8:J1213)-SUMIF(G$8:G1213,G1213,K$8:K1213)+SUMIFS([1]内部转账!$G:$G,[1]内部转账!$C:$C,"&lt;="&amp;$D1213,[1]内部转账!$E:$E,$G1213)-SUMIFS([1]内部转账!$G:$G,[1]内部转账!$C:$C,"&lt;="&amp;$D1213,[1]内部转账!$F:$F,$G1213)),"")</f>
        <v/>
      </c>
      <c r="M1213" s="64"/>
      <c r="N1213" s="69"/>
      <c r="O1213" s="64"/>
      <c r="P1213" s="64"/>
      <c r="Q1213" s="69"/>
      <c r="R1213" s="69"/>
      <c r="S1213" s="69"/>
    </row>
    <row r="1214" s="2" customFormat="1" ht="24.95" customHeight="1" spans="1:19">
      <c r="A1214" s="15"/>
      <c r="B1214" s="55"/>
      <c r="C1214" s="56"/>
      <c r="D1214" s="68"/>
      <c r="E1214" s="69"/>
      <c r="F1214" s="69"/>
      <c r="G1214" s="65"/>
      <c r="H1214" s="65"/>
      <c r="I1214" s="70"/>
      <c r="J1214" s="71"/>
      <c r="K1214" s="71"/>
      <c r="L1214" s="72" t="str">
        <f>IFERROR(IF(G1214="","",VLOOKUP($G1214,[1]基础信息!$B:$C,2,FALSE)+SUMIF(G$8:G1214,G1214,J$8:J1214)-SUMIF(G$8:G1214,G1214,K$8:K1214)+SUMIFS([1]内部转账!$G:$G,[1]内部转账!$C:$C,"&lt;="&amp;$D1214,[1]内部转账!$E:$E,$G1214)-SUMIFS([1]内部转账!$G:$G,[1]内部转账!$C:$C,"&lt;="&amp;$D1214,[1]内部转账!$F:$F,$G1214)),"")</f>
        <v/>
      </c>
      <c r="M1214" s="64"/>
      <c r="N1214" s="69"/>
      <c r="O1214" s="64"/>
      <c r="P1214" s="64"/>
      <c r="Q1214" s="69"/>
      <c r="R1214" s="69"/>
      <c r="S1214" s="69"/>
    </row>
    <row r="1215" s="2" customFormat="1" ht="24.95" customHeight="1" spans="1:19">
      <c r="A1215" s="15"/>
      <c r="B1215" s="55"/>
      <c r="C1215" s="56"/>
      <c r="D1215" s="68"/>
      <c r="E1215" s="69"/>
      <c r="F1215" s="69"/>
      <c r="G1215" s="65"/>
      <c r="H1215" s="65"/>
      <c r="I1215" s="70"/>
      <c r="J1215" s="71"/>
      <c r="K1215" s="71"/>
      <c r="L1215" s="72" t="str">
        <f>IFERROR(IF(G1215="","",VLOOKUP($G1215,[1]基础信息!$B:$C,2,FALSE)+SUMIF(G$8:G1215,G1215,J$8:J1215)-SUMIF(G$8:G1215,G1215,K$8:K1215)+SUMIFS([1]内部转账!$G:$G,[1]内部转账!$C:$C,"&lt;="&amp;$D1215,[1]内部转账!$E:$E,$G1215)-SUMIFS([1]内部转账!$G:$G,[1]内部转账!$C:$C,"&lt;="&amp;$D1215,[1]内部转账!$F:$F,$G1215)),"")</f>
        <v/>
      </c>
      <c r="M1215" s="64"/>
      <c r="N1215" s="69"/>
      <c r="O1215" s="64"/>
      <c r="P1215" s="64"/>
      <c r="Q1215" s="69"/>
      <c r="R1215" s="69"/>
      <c r="S1215" s="69"/>
    </row>
    <row r="1216" s="2" customFormat="1" ht="24.95" customHeight="1" spans="1:19">
      <c r="A1216" s="15"/>
      <c r="B1216" s="55"/>
      <c r="C1216" s="56"/>
      <c r="D1216" s="68"/>
      <c r="E1216" s="69"/>
      <c r="F1216" s="69"/>
      <c r="G1216" s="65"/>
      <c r="H1216" s="65"/>
      <c r="I1216" s="70"/>
      <c r="J1216" s="71"/>
      <c r="K1216" s="71"/>
      <c r="L1216" s="72" t="str">
        <f>IFERROR(IF(G1216="","",VLOOKUP($G1216,[1]基础信息!$B:$C,2,FALSE)+SUMIF(G$8:G1216,G1216,J$8:J1216)-SUMIF(G$8:G1216,G1216,K$8:K1216)+SUMIFS([1]内部转账!$G:$G,[1]内部转账!$C:$C,"&lt;="&amp;$D1216,[1]内部转账!$E:$E,$G1216)-SUMIFS([1]内部转账!$G:$G,[1]内部转账!$C:$C,"&lt;="&amp;$D1216,[1]内部转账!$F:$F,$G1216)),"")</f>
        <v/>
      </c>
      <c r="M1216" s="64"/>
      <c r="N1216" s="69"/>
      <c r="O1216" s="64"/>
      <c r="P1216" s="64"/>
      <c r="Q1216" s="69"/>
      <c r="R1216" s="69"/>
      <c r="S1216" s="69"/>
    </row>
    <row r="1217" s="2" customFormat="1" ht="24.95" customHeight="1" spans="1:19">
      <c r="A1217" s="15"/>
      <c r="B1217" s="55"/>
      <c r="C1217" s="56"/>
      <c r="D1217" s="68"/>
      <c r="E1217" s="69"/>
      <c r="F1217" s="69"/>
      <c r="G1217" s="65"/>
      <c r="H1217" s="65"/>
      <c r="I1217" s="70"/>
      <c r="J1217" s="71"/>
      <c r="K1217" s="71"/>
      <c r="L1217" s="72" t="str">
        <f>IFERROR(IF(G1217="","",VLOOKUP($G1217,[1]基础信息!$B:$C,2,FALSE)+SUMIF(G$8:G1217,G1217,J$8:J1217)-SUMIF(G$8:G1217,G1217,K$8:K1217)+SUMIFS([1]内部转账!$G:$G,[1]内部转账!$C:$C,"&lt;="&amp;$D1217,[1]内部转账!$E:$E,$G1217)-SUMIFS([1]内部转账!$G:$G,[1]内部转账!$C:$C,"&lt;="&amp;$D1217,[1]内部转账!$F:$F,$G1217)),"")</f>
        <v/>
      </c>
      <c r="M1217" s="64"/>
      <c r="N1217" s="69"/>
      <c r="O1217" s="64"/>
      <c r="P1217" s="64"/>
      <c r="Q1217" s="69"/>
      <c r="R1217" s="69"/>
      <c r="S1217" s="69"/>
    </row>
    <row r="1218" s="2" customFormat="1" ht="24.95" customHeight="1" spans="1:19">
      <c r="A1218" s="15"/>
      <c r="B1218" s="55"/>
      <c r="C1218" s="56"/>
      <c r="D1218" s="68"/>
      <c r="E1218" s="69"/>
      <c r="F1218" s="69"/>
      <c r="G1218" s="65"/>
      <c r="H1218" s="65"/>
      <c r="I1218" s="70"/>
      <c r="J1218" s="71"/>
      <c r="K1218" s="71"/>
      <c r="L1218" s="72" t="str">
        <f>IFERROR(IF(G1218="","",VLOOKUP($G1218,[1]基础信息!$B:$C,2,FALSE)+SUMIF(G$8:G1218,G1218,J$8:J1218)-SUMIF(G$8:G1218,G1218,K$8:K1218)+SUMIFS([1]内部转账!$G:$G,[1]内部转账!$C:$C,"&lt;="&amp;$D1218,[1]内部转账!$E:$E,$G1218)-SUMIFS([1]内部转账!$G:$G,[1]内部转账!$C:$C,"&lt;="&amp;$D1218,[1]内部转账!$F:$F,$G1218)),"")</f>
        <v/>
      </c>
      <c r="M1218" s="64"/>
      <c r="N1218" s="69"/>
      <c r="O1218" s="64"/>
      <c r="P1218" s="64"/>
      <c r="Q1218" s="69"/>
      <c r="R1218" s="69"/>
      <c r="S1218" s="69"/>
    </row>
    <row r="1219" s="2" customFormat="1" ht="24.95" customHeight="1" spans="1:19">
      <c r="A1219" s="15"/>
      <c r="B1219" s="55"/>
      <c r="C1219" s="56"/>
      <c r="D1219" s="68"/>
      <c r="E1219" s="69"/>
      <c r="F1219" s="69"/>
      <c r="G1219" s="65"/>
      <c r="H1219" s="65"/>
      <c r="I1219" s="70"/>
      <c r="J1219" s="71"/>
      <c r="K1219" s="71"/>
      <c r="L1219" s="72" t="str">
        <f>IFERROR(IF(G1219="","",VLOOKUP($G1219,[1]基础信息!$B:$C,2,FALSE)+SUMIF(G$8:G1219,G1219,J$8:J1219)-SUMIF(G$8:G1219,G1219,K$8:K1219)+SUMIFS([1]内部转账!$G:$G,[1]内部转账!$C:$C,"&lt;="&amp;$D1219,[1]内部转账!$E:$E,$G1219)-SUMIFS([1]内部转账!$G:$G,[1]内部转账!$C:$C,"&lt;="&amp;$D1219,[1]内部转账!$F:$F,$G1219)),"")</f>
        <v/>
      </c>
      <c r="M1219" s="64"/>
      <c r="N1219" s="69"/>
      <c r="O1219" s="64"/>
      <c r="P1219" s="64"/>
      <c r="Q1219" s="69"/>
      <c r="R1219" s="69"/>
      <c r="S1219" s="69"/>
    </row>
    <row r="1220" s="2" customFormat="1" ht="24.95" customHeight="1" spans="1:19">
      <c r="A1220" s="15"/>
      <c r="B1220" s="55"/>
      <c r="C1220" s="56"/>
      <c r="D1220" s="68"/>
      <c r="E1220" s="69"/>
      <c r="F1220" s="69"/>
      <c r="G1220" s="65"/>
      <c r="H1220" s="65"/>
      <c r="I1220" s="70"/>
      <c r="J1220" s="71"/>
      <c r="K1220" s="71"/>
      <c r="L1220" s="72" t="str">
        <f>IFERROR(IF(G1220="","",VLOOKUP($G1220,[1]基础信息!$B:$C,2,FALSE)+SUMIF(G$8:G1220,G1220,J$8:J1220)-SUMIF(G$8:G1220,G1220,K$8:K1220)+SUMIFS([1]内部转账!$G:$G,[1]内部转账!$C:$C,"&lt;="&amp;$D1220,[1]内部转账!$E:$E,$G1220)-SUMIFS([1]内部转账!$G:$G,[1]内部转账!$C:$C,"&lt;="&amp;$D1220,[1]内部转账!$F:$F,$G1220)),"")</f>
        <v/>
      </c>
      <c r="M1220" s="64"/>
      <c r="N1220" s="69"/>
      <c r="O1220" s="64"/>
      <c r="P1220" s="64"/>
      <c r="Q1220" s="69"/>
      <c r="R1220" s="69"/>
      <c r="S1220" s="69"/>
    </row>
    <row r="1221" s="2" customFormat="1" ht="24.95" customHeight="1" spans="1:19">
      <c r="A1221" s="15"/>
      <c r="B1221" s="55"/>
      <c r="C1221" s="56"/>
      <c r="D1221" s="68"/>
      <c r="E1221" s="69"/>
      <c r="F1221" s="69"/>
      <c r="G1221" s="65"/>
      <c r="H1221" s="65"/>
      <c r="I1221" s="70"/>
      <c r="J1221" s="71"/>
      <c r="K1221" s="71"/>
      <c r="L1221" s="72" t="str">
        <f>IFERROR(IF(G1221="","",VLOOKUP($G1221,[1]基础信息!$B:$C,2,FALSE)+SUMIF(G$8:G1221,G1221,J$8:J1221)-SUMIF(G$8:G1221,G1221,K$8:K1221)+SUMIFS([1]内部转账!$G:$G,[1]内部转账!$C:$C,"&lt;="&amp;$D1221,[1]内部转账!$E:$E,$G1221)-SUMIFS([1]内部转账!$G:$G,[1]内部转账!$C:$C,"&lt;="&amp;$D1221,[1]内部转账!$F:$F,$G1221)),"")</f>
        <v/>
      </c>
      <c r="M1221" s="64"/>
      <c r="N1221" s="69"/>
      <c r="O1221" s="64"/>
      <c r="P1221" s="64"/>
      <c r="Q1221" s="69"/>
      <c r="R1221" s="69"/>
      <c r="S1221" s="69"/>
    </row>
    <row r="1222" s="2" customFormat="1" ht="24.95" customHeight="1" spans="1:19">
      <c r="A1222" s="15"/>
      <c r="B1222" s="55"/>
      <c r="C1222" s="56"/>
      <c r="D1222" s="68"/>
      <c r="E1222" s="69"/>
      <c r="F1222" s="69"/>
      <c r="G1222" s="65"/>
      <c r="H1222" s="65"/>
      <c r="I1222" s="70"/>
      <c r="J1222" s="71"/>
      <c r="K1222" s="71"/>
      <c r="L1222" s="72" t="str">
        <f>IFERROR(IF(G1222="","",VLOOKUP($G1222,[1]基础信息!$B:$C,2,FALSE)+SUMIF(G$8:G1222,G1222,J$8:J1222)-SUMIF(G$8:G1222,G1222,K$8:K1222)+SUMIFS([1]内部转账!$G:$G,[1]内部转账!$C:$C,"&lt;="&amp;$D1222,[1]内部转账!$E:$E,$G1222)-SUMIFS([1]内部转账!$G:$G,[1]内部转账!$C:$C,"&lt;="&amp;$D1222,[1]内部转账!$F:$F,$G1222)),"")</f>
        <v/>
      </c>
      <c r="M1222" s="64"/>
      <c r="N1222" s="69"/>
      <c r="O1222" s="64"/>
      <c r="P1222" s="64"/>
      <c r="Q1222" s="69"/>
      <c r="R1222" s="69"/>
      <c r="S1222" s="69"/>
    </row>
    <row r="1223" s="2" customFormat="1" ht="24.95" customHeight="1" spans="1:19">
      <c r="A1223" s="15"/>
      <c r="B1223" s="55"/>
      <c r="C1223" s="56"/>
      <c r="D1223" s="68"/>
      <c r="E1223" s="69"/>
      <c r="F1223" s="69"/>
      <c r="G1223" s="65"/>
      <c r="H1223" s="65"/>
      <c r="I1223" s="70"/>
      <c r="J1223" s="71"/>
      <c r="K1223" s="71"/>
      <c r="L1223" s="72" t="str">
        <f>IFERROR(IF(G1223="","",VLOOKUP($G1223,[1]基础信息!$B:$C,2,FALSE)+SUMIF(G$8:G1223,G1223,J$8:J1223)-SUMIF(G$8:G1223,G1223,K$8:K1223)+SUMIFS([1]内部转账!$G:$G,[1]内部转账!$C:$C,"&lt;="&amp;$D1223,[1]内部转账!$E:$E,$G1223)-SUMIFS([1]内部转账!$G:$G,[1]内部转账!$C:$C,"&lt;="&amp;$D1223,[1]内部转账!$F:$F,$G1223)),"")</f>
        <v/>
      </c>
      <c r="M1223" s="64"/>
      <c r="N1223" s="69"/>
      <c r="O1223" s="64"/>
      <c r="P1223" s="64"/>
      <c r="Q1223" s="69"/>
      <c r="R1223" s="69"/>
      <c r="S1223" s="69"/>
    </row>
    <row r="1224" s="2" customFormat="1" ht="24.95" customHeight="1" spans="1:19">
      <c r="A1224" s="15"/>
      <c r="B1224" s="55"/>
      <c r="C1224" s="56"/>
      <c r="D1224" s="68"/>
      <c r="E1224" s="69"/>
      <c r="F1224" s="69"/>
      <c r="G1224" s="65"/>
      <c r="H1224" s="65"/>
      <c r="I1224" s="70"/>
      <c r="J1224" s="71"/>
      <c r="K1224" s="71"/>
      <c r="L1224" s="72" t="str">
        <f>IFERROR(IF(G1224="","",VLOOKUP($G1224,[1]基础信息!$B:$C,2,FALSE)+SUMIF(G$8:G1224,G1224,J$8:J1224)-SUMIF(G$8:G1224,G1224,K$8:K1224)+SUMIFS([1]内部转账!$G:$G,[1]内部转账!$C:$C,"&lt;="&amp;$D1224,[1]内部转账!$E:$E,$G1224)-SUMIFS([1]内部转账!$G:$G,[1]内部转账!$C:$C,"&lt;="&amp;$D1224,[1]内部转账!$F:$F,$G1224)),"")</f>
        <v/>
      </c>
      <c r="M1224" s="64"/>
      <c r="N1224" s="69"/>
      <c r="O1224" s="64"/>
      <c r="P1224" s="64"/>
      <c r="Q1224" s="69"/>
      <c r="R1224" s="69"/>
      <c r="S1224" s="69"/>
    </row>
    <row r="1225" s="2" customFormat="1" ht="24.95" customHeight="1" spans="1:19">
      <c r="A1225" s="15"/>
      <c r="B1225" s="55"/>
      <c r="C1225" s="56"/>
      <c r="D1225" s="68"/>
      <c r="E1225" s="69"/>
      <c r="F1225" s="69"/>
      <c r="G1225" s="65"/>
      <c r="H1225" s="65"/>
      <c r="I1225" s="70"/>
      <c r="J1225" s="71"/>
      <c r="K1225" s="71"/>
      <c r="L1225" s="72" t="str">
        <f>IFERROR(IF(G1225="","",VLOOKUP($G1225,[1]基础信息!$B:$C,2,FALSE)+SUMIF(G$8:G1225,G1225,J$8:J1225)-SUMIF(G$8:G1225,G1225,K$8:K1225)+SUMIFS([1]内部转账!$G:$G,[1]内部转账!$C:$C,"&lt;="&amp;$D1225,[1]内部转账!$E:$E,$G1225)-SUMIFS([1]内部转账!$G:$G,[1]内部转账!$C:$C,"&lt;="&amp;$D1225,[1]内部转账!$F:$F,$G1225)),"")</f>
        <v/>
      </c>
      <c r="M1225" s="64"/>
      <c r="N1225" s="69"/>
      <c r="O1225" s="64"/>
      <c r="P1225" s="64"/>
      <c r="Q1225" s="69"/>
      <c r="R1225" s="69"/>
      <c r="S1225" s="69"/>
    </row>
    <row r="1226" s="2" customFormat="1" ht="24.95" customHeight="1" spans="1:19">
      <c r="A1226" s="15"/>
      <c r="B1226" s="55"/>
      <c r="C1226" s="56"/>
      <c r="D1226" s="68"/>
      <c r="E1226" s="69"/>
      <c r="F1226" s="69"/>
      <c r="G1226" s="65"/>
      <c r="H1226" s="65"/>
      <c r="I1226" s="70"/>
      <c r="J1226" s="71"/>
      <c r="K1226" s="71"/>
      <c r="L1226" s="72" t="str">
        <f>IFERROR(IF(G1226="","",VLOOKUP($G1226,[1]基础信息!$B:$C,2,FALSE)+SUMIF(G$8:G1226,G1226,J$8:J1226)-SUMIF(G$8:G1226,G1226,K$8:K1226)+SUMIFS([1]内部转账!$G:$G,[1]内部转账!$C:$C,"&lt;="&amp;$D1226,[1]内部转账!$E:$E,$G1226)-SUMIFS([1]内部转账!$G:$G,[1]内部转账!$C:$C,"&lt;="&amp;$D1226,[1]内部转账!$F:$F,$G1226)),"")</f>
        <v/>
      </c>
      <c r="M1226" s="64"/>
      <c r="N1226" s="69"/>
      <c r="O1226" s="64"/>
      <c r="P1226" s="64"/>
      <c r="Q1226" s="69"/>
      <c r="R1226" s="69"/>
      <c r="S1226" s="69"/>
    </row>
    <row r="1227" s="2" customFormat="1" ht="24.95" customHeight="1" spans="1:19">
      <c r="A1227" s="15"/>
      <c r="B1227" s="55"/>
      <c r="C1227" s="56"/>
      <c r="D1227" s="68"/>
      <c r="E1227" s="69"/>
      <c r="F1227" s="69"/>
      <c r="G1227" s="65"/>
      <c r="H1227" s="65"/>
      <c r="I1227" s="70"/>
      <c r="J1227" s="71"/>
      <c r="K1227" s="71"/>
      <c r="L1227" s="72" t="str">
        <f>IFERROR(IF(G1227="","",VLOOKUP($G1227,[1]基础信息!$B:$C,2,FALSE)+SUMIF(G$8:G1227,G1227,J$8:J1227)-SUMIF(G$8:G1227,G1227,K$8:K1227)+SUMIFS([1]内部转账!$G:$G,[1]内部转账!$C:$C,"&lt;="&amp;$D1227,[1]内部转账!$E:$E,$G1227)-SUMIFS([1]内部转账!$G:$G,[1]内部转账!$C:$C,"&lt;="&amp;$D1227,[1]内部转账!$F:$F,$G1227)),"")</f>
        <v/>
      </c>
      <c r="M1227" s="64"/>
      <c r="N1227" s="69"/>
      <c r="O1227" s="64"/>
      <c r="P1227" s="64"/>
      <c r="Q1227" s="69"/>
      <c r="R1227" s="69"/>
      <c r="S1227" s="69"/>
    </row>
    <row r="1228" s="2" customFormat="1" ht="24.95" customHeight="1" spans="1:19">
      <c r="A1228" s="15"/>
      <c r="B1228" s="55"/>
      <c r="C1228" s="56"/>
      <c r="D1228" s="68"/>
      <c r="E1228" s="69"/>
      <c r="F1228" s="69"/>
      <c r="G1228" s="65"/>
      <c r="H1228" s="65"/>
      <c r="I1228" s="70"/>
      <c r="J1228" s="71"/>
      <c r="K1228" s="71"/>
      <c r="L1228" s="72" t="str">
        <f>IFERROR(IF(G1228="","",VLOOKUP($G1228,[1]基础信息!$B:$C,2,FALSE)+SUMIF(G$8:G1228,G1228,J$8:J1228)-SUMIF(G$8:G1228,G1228,K$8:K1228)+SUMIFS([1]内部转账!$G:$G,[1]内部转账!$C:$C,"&lt;="&amp;$D1228,[1]内部转账!$E:$E,$G1228)-SUMIFS([1]内部转账!$G:$G,[1]内部转账!$C:$C,"&lt;="&amp;$D1228,[1]内部转账!$F:$F,$G1228)),"")</f>
        <v/>
      </c>
      <c r="M1228" s="64"/>
      <c r="N1228" s="69"/>
      <c r="O1228" s="64"/>
      <c r="P1228" s="64"/>
      <c r="Q1228" s="69"/>
      <c r="R1228" s="69"/>
      <c r="S1228" s="69"/>
    </row>
    <row r="1229" s="2" customFormat="1" ht="24.95" customHeight="1" spans="1:19">
      <c r="A1229" s="15"/>
      <c r="B1229" s="55"/>
      <c r="C1229" s="56"/>
      <c r="D1229" s="68"/>
      <c r="E1229" s="69"/>
      <c r="F1229" s="69"/>
      <c r="G1229" s="65"/>
      <c r="H1229" s="65"/>
      <c r="I1229" s="70"/>
      <c r="J1229" s="71"/>
      <c r="K1229" s="71"/>
      <c r="L1229" s="72" t="str">
        <f>IFERROR(IF(G1229="","",VLOOKUP($G1229,[1]基础信息!$B:$C,2,FALSE)+SUMIF(G$8:G1229,G1229,J$8:J1229)-SUMIF(G$8:G1229,G1229,K$8:K1229)+SUMIFS([1]内部转账!$G:$G,[1]内部转账!$C:$C,"&lt;="&amp;$D1229,[1]内部转账!$E:$E,$G1229)-SUMIFS([1]内部转账!$G:$G,[1]内部转账!$C:$C,"&lt;="&amp;$D1229,[1]内部转账!$F:$F,$G1229)),"")</f>
        <v/>
      </c>
      <c r="M1229" s="64"/>
      <c r="N1229" s="69"/>
      <c r="O1229" s="64"/>
      <c r="P1229" s="64"/>
      <c r="Q1229" s="69"/>
      <c r="R1229" s="69"/>
      <c r="S1229" s="69"/>
    </row>
    <row r="1230" s="2" customFormat="1" ht="24.95" customHeight="1" spans="1:19">
      <c r="A1230" s="15"/>
      <c r="B1230" s="55"/>
      <c r="C1230" s="56"/>
      <c r="D1230" s="68"/>
      <c r="E1230" s="69"/>
      <c r="F1230" s="69"/>
      <c r="G1230" s="65"/>
      <c r="H1230" s="65"/>
      <c r="I1230" s="70"/>
      <c r="J1230" s="71"/>
      <c r="K1230" s="71"/>
      <c r="L1230" s="72" t="str">
        <f>IFERROR(IF(G1230="","",VLOOKUP($G1230,[1]基础信息!$B:$C,2,FALSE)+SUMIF(G$8:G1230,G1230,J$8:J1230)-SUMIF(G$8:G1230,G1230,K$8:K1230)+SUMIFS([1]内部转账!$G:$G,[1]内部转账!$C:$C,"&lt;="&amp;$D1230,[1]内部转账!$E:$E,$G1230)-SUMIFS([1]内部转账!$G:$G,[1]内部转账!$C:$C,"&lt;="&amp;$D1230,[1]内部转账!$F:$F,$G1230)),"")</f>
        <v/>
      </c>
      <c r="M1230" s="64"/>
      <c r="N1230" s="69"/>
      <c r="O1230" s="64"/>
      <c r="P1230" s="64"/>
      <c r="Q1230" s="69"/>
      <c r="R1230" s="69"/>
      <c r="S1230" s="69"/>
    </row>
    <row r="1231" s="2" customFormat="1" ht="24.95" customHeight="1" spans="1:19">
      <c r="A1231" s="15"/>
      <c r="B1231" s="55"/>
      <c r="C1231" s="56"/>
      <c r="D1231" s="68"/>
      <c r="E1231" s="69"/>
      <c r="F1231" s="69"/>
      <c r="G1231" s="65"/>
      <c r="H1231" s="65"/>
      <c r="I1231" s="70"/>
      <c r="J1231" s="71"/>
      <c r="K1231" s="71"/>
      <c r="L1231" s="72" t="str">
        <f>IFERROR(IF(G1231="","",VLOOKUP($G1231,[1]基础信息!$B:$C,2,FALSE)+SUMIF(G$8:G1231,G1231,J$8:J1231)-SUMIF(G$8:G1231,G1231,K$8:K1231)+SUMIFS([1]内部转账!$G:$G,[1]内部转账!$C:$C,"&lt;="&amp;$D1231,[1]内部转账!$E:$E,$G1231)-SUMIFS([1]内部转账!$G:$G,[1]内部转账!$C:$C,"&lt;="&amp;$D1231,[1]内部转账!$F:$F,$G1231)),"")</f>
        <v/>
      </c>
      <c r="M1231" s="64"/>
      <c r="N1231" s="69"/>
      <c r="O1231" s="64"/>
      <c r="P1231" s="64"/>
      <c r="Q1231" s="69"/>
      <c r="R1231" s="69"/>
      <c r="S1231" s="69"/>
    </row>
    <row r="1232" s="2" customFormat="1" ht="24.95" customHeight="1" spans="1:19">
      <c r="A1232" s="15"/>
      <c r="B1232" s="55"/>
      <c r="C1232" s="56"/>
      <c r="D1232" s="68"/>
      <c r="E1232" s="69"/>
      <c r="F1232" s="69"/>
      <c r="G1232" s="65"/>
      <c r="H1232" s="65"/>
      <c r="I1232" s="70"/>
      <c r="J1232" s="71"/>
      <c r="K1232" s="71"/>
      <c r="L1232" s="72" t="str">
        <f>IFERROR(IF(G1232="","",VLOOKUP($G1232,[1]基础信息!$B:$C,2,FALSE)+SUMIF(G$8:G1232,G1232,J$8:J1232)-SUMIF(G$8:G1232,G1232,K$8:K1232)+SUMIFS([1]内部转账!$G:$G,[1]内部转账!$C:$C,"&lt;="&amp;$D1232,[1]内部转账!$E:$E,$G1232)-SUMIFS([1]内部转账!$G:$G,[1]内部转账!$C:$C,"&lt;="&amp;$D1232,[1]内部转账!$F:$F,$G1232)),"")</f>
        <v/>
      </c>
      <c r="M1232" s="64"/>
      <c r="N1232" s="69"/>
      <c r="O1232" s="64"/>
      <c r="P1232" s="64"/>
      <c r="Q1232" s="69"/>
      <c r="R1232" s="69"/>
      <c r="S1232" s="69"/>
    </row>
    <row r="1233" s="2" customFormat="1" ht="24.95" customHeight="1" spans="1:19">
      <c r="A1233" s="15"/>
      <c r="B1233" s="55"/>
      <c r="C1233" s="56"/>
      <c r="D1233" s="68"/>
      <c r="E1233" s="69"/>
      <c r="F1233" s="69"/>
      <c r="G1233" s="65"/>
      <c r="H1233" s="65"/>
      <c r="I1233" s="70"/>
      <c r="J1233" s="71"/>
      <c r="K1233" s="71"/>
      <c r="L1233" s="72" t="str">
        <f>IFERROR(IF(G1233="","",VLOOKUP($G1233,[1]基础信息!$B:$C,2,FALSE)+SUMIF(G$8:G1233,G1233,J$8:J1233)-SUMIF(G$8:G1233,G1233,K$8:K1233)+SUMIFS([1]内部转账!$G:$G,[1]内部转账!$C:$C,"&lt;="&amp;$D1233,[1]内部转账!$E:$E,$G1233)-SUMIFS([1]内部转账!$G:$G,[1]内部转账!$C:$C,"&lt;="&amp;$D1233,[1]内部转账!$F:$F,$G1233)),"")</f>
        <v/>
      </c>
      <c r="M1233" s="64"/>
      <c r="N1233" s="69"/>
      <c r="O1233" s="64"/>
      <c r="P1233" s="64"/>
      <c r="Q1233" s="69"/>
      <c r="R1233" s="69"/>
      <c r="S1233" s="69"/>
    </row>
    <row r="1234" s="2" customFormat="1" ht="24.95" customHeight="1" spans="1:19">
      <c r="A1234" s="15"/>
      <c r="B1234" s="55"/>
      <c r="C1234" s="56"/>
      <c r="D1234" s="68"/>
      <c r="E1234" s="69"/>
      <c r="F1234" s="69"/>
      <c r="G1234" s="65"/>
      <c r="H1234" s="65"/>
      <c r="I1234" s="70"/>
      <c r="J1234" s="71"/>
      <c r="K1234" s="71"/>
      <c r="L1234" s="72" t="str">
        <f>IFERROR(IF(G1234="","",VLOOKUP($G1234,[1]基础信息!$B:$C,2,FALSE)+SUMIF(G$8:G1234,G1234,J$8:J1234)-SUMIF(G$8:G1234,G1234,K$8:K1234)+SUMIFS([1]内部转账!$G:$G,[1]内部转账!$C:$C,"&lt;="&amp;$D1234,[1]内部转账!$E:$E,$G1234)-SUMIFS([1]内部转账!$G:$G,[1]内部转账!$C:$C,"&lt;="&amp;$D1234,[1]内部转账!$F:$F,$G1234)),"")</f>
        <v/>
      </c>
      <c r="M1234" s="64"/>
      <c r="N1234" s="69"/>
      <c r="O1234" s="64"/>
      <c r="P1234" s="64"/>
      <c r="Q1234" s="69"/>
      <c r="R1234" s="69"/>
      <c r="S1234" s="69"/>
    </row>
    <row r="1235" s="2" customFormat="1" ht="24.95" customHeight="1" spans="1:19">
      <c r="A1235" s="15"/>
      <c r="B1235" s="55"/>
      <c r="C1235" s="56"/>
      <c r="D1235" s="68"/>
      <c r="E1235" s="69"/>
      <c r="F1235" s="69"/>
      <c r="G1235" s="65"/>
      <c r="H1235" s="65"/>
      <c r="I1235" s="70"/>
      <c r="J1235" s="71"/>
      <c r="K1235" s="71"/>
      <c r="L1235" s="72" t="str">
        <f>IFERROR(IF(G1235="","",VLOOKUP($G1235,[1]基础信息!$B:$C,2,FALSE)+SUMIF(G$8:G1235,G1235,J$8:J1235)-SUMIF(G$8:G1235,G1235,K$8:K1235)+SUMIFS([1]内部转账!$G:$G,[1]内部转账!$C:$C,"&lt;="&amp;$D1235,[1]内部转账!$E:$E,$G1235)-SUMIFS([1]内部转账!$G:$G,[1]内部转账!$C:$C,"&lt;="&amp;$D1235,[1]内部转账!$F:$F,$G1235)),"")</f>
        <v/>
      </c>
      <c r="M1235" s="64"/>
      <c r="N1235" s="69"/>
      <c r="O1235" s="64"/>
      <c r="P1235" s="64"/>
      <c r="Q1235" s="69"/>
      <c r="R1235" s="69"/>
      <c r="S1235" s="69"/>
    </row>
    <row r="1236" s="2" customFormat="1" ht="24.95" customHeight="1" spans="1:19">
      <c r="A1236" s="15"/>
      <c r="B1236" s="55"/>
      <c r="C1236" s="56"/>
      <c r="D1236" s="68"/>
      <c r="E1236" s="69"/>
      <c r="F1236" s="69"/>
      <c r="G1236" s="65"/>
      <c r="H1236" s="65"/>
      <c r="I1236" s="70"/>
      <c r="J1236" s="71"/>
      <c r="K1236" s="71"/>
      <c r="L1236" s="72" t="str">
        <f>IFERROR(IF(G1236="","",VLOOKUP($G1236,[1]基础信息!$B:$C,2,FALSE)+SUMIF(G$8:G1236,G1236,J$8:J1236)-SUMIF(G$8:G1236,G1236,K$8:K1236)+SUMIFS([1]内部转账!$G:$G,[1]内部转账!$C:$C,"&lt;="&amp;$D1236,[1]内部转账!$E:$E,$G1236)-SUMIFS([1]内部转账!$G:$G,[1]内部转账!$C:$C,"&lt;="&amp;$D1236,[1]内部转账!$F:$F,$G1236)),"")</f>
        <v/>
      </c>
      <c r="M1236" s="64"/>
      <c r="N1236" s="69"/>
      <c r="O1236" s="64"/>
      <c r="P1236" s="64"/>
      <c r="Q1236" s="69"/>
      <c r="R1236" s="69"/>
      <c r="S1236" s="69"/>
    </row>
    <row r="1237" s="2" customFormat="1" ht="24.95" customHeight="1" spans="1:19">
      <c r="A1237" s="15"/>
      <c r="B1237" s="55"/>
      <c r="C1237" s="56"/>
      <c r="D1237" s="68"/>
      <c r="E1237" s="69"/>
      <c r="F1237" s="69"/>
      <c r="G1237" s="65"/>
      <c r="H1237" s="65"/>
      <c r="I1237" s="70"/>
      <c r="J1237" s="71"/>
      <c r="K1237" s="71"/>
      <c r="L1237" s="72" t="str">
        <f>IFERROR(IF(G1237="","",VLOOKUP($G1237,[1]基础信息!$B:$C,2,FALSE)+SUMIF(G$8:G1237,G1237,J$8:J1237)-SUMIF(G$8:G1237,G1237,K$8:K1237)+SUMIFS([1]内部转账!$G:$G,[1]内部转账!$C:$C,"&lt;="&amp;$D1237,[1]内部转账!$E:$E,$G1237)-SUMIFS([1]内部转账!$G:$G,[1]内部转账!$C:$C,"&lt;="&amp;$D1237,[1]内部转账!$F:$F,$G1237)),"")</f>
        <v/>
      </c>
      <c r="M1237" s="64"/>
      <c r="N1237" s="69"/>
      <c r="O1237" s="64"/>
      <c r="P1237" s="64"/>
      <c r="Q1237" s="69"/>
      <c r="R1237" s="69"/>
      <c r="S1237" s="69"/>
    </row>
    <row r="1238" s="2" customFormat="1" ht="24.95" customHeight="1" spans="1:19">
      <c r="A1238" s="15"/>
      <c r="B1238" s="55"/>
      <c r="C1238" s="56"/>
      <c r="D1238" s="68"/>
      <c r="E1238" s="69"/>
      <c r="F1238" s="69"/>
      <c r="G1238" s="65"/>
      <c r="H1238" s="65"/>
      <c r="I1238" s="70"/>
      <c r="J1238" s="71"/>
      <c r="K1238" s="71"/>
      <c r="L1238" s="72" t="str">
        <f>IFERROR(IF(G1238="","",VLOOKUP($G1238,[1]基础信息!$B:$C,2,FALSE)+SUMIF(G$8:G1238,G1238,J$8:J1238)-SUMIF(G$8:G1238,G1238,K$8:K1238)+SUMIFS([1]内部转账!$G:$G,[1]内部转账!$C:$C,"&lt;="&amp;$D1238,[1]内部转账!$E:$E,$G1238)-SUMIFS([1]内部转账!$G:$G,[1]内部转账!$C:$C,"&lt;="&amp;$D1238,[1]内部转账!$F:$F,$G1238)),"")</f>
        <v/>
      </c>
      <c r="M1238" s="64"/>
      <c r="N1238" s="69"/>
      <c r="O1238" s="64"/>
      <c r="P1238" s="64"/>
      <c r="Q1238" s="69"/>
      <c r="R1238" s="69"/>
      <c r="S1238" s="69"/>
    </row>
    <row r="1239" s="2" customFormat="1" ht="24.95" customHeight="1" spans="1:19">
      <c r="A1239" s="15"/>
      <c r="B1239" s="55"/>
      <c r="C1239" s="56"/>
      <c r="D1239" s="68"/>
      <c r="E1239" s="69"/>
      <c r="F1239" s="69"/>
      <c r="G1239" s="65"/>
      <c r="H1239" s="65"/>
      <c r="I1239" s="70"/>
      <c r="J1239" s="71"/>
      <c r="K1239" s="71"/>
      <c r="L1239" s="72" t="str">
        <f>IFERROR(IF(G1239="","",VLOOKUP($G1239,[1]基础信息!$B:$C,2,FALSE)+SUMIF(G$8:G1239,G1239,J$8:J1239)-SUMIF(G$8:G1239,G1239,K$8:K1239)+SUMIFS([1]内部转账!$G:$G,[1]内部转账!$C:$C,"&lt;="&amp;$D1239,[1]内部转账!$E:$E,$G1239)-SUMIFS([1]内部转账!$G:$G,[1]内部转账!$C:$C,"&lt;="&amp;$D1239,[1]内部转账!$F:$F,$G1239)),"")</f>
        <v/>
      </c>
      <c r="M1239" s="64"/>
      <c r="N1239" s="69"/>
      <c r="O1239" s="64"/>
      <c r="P1239" s="64"/>
      <c r="Q1239" s="69"/>
      <c r="R1239" s="69"/>
      <c r="S1239" s="69"/>
    </row>
    <row r="1240" s="2" customFormat="1" ht="24.95" customHeight="1" spans="1:19">
      <c r="A1240" s="15"/>
      <c r="B1240" s="55"/>
      <c r="C1240" s="56"/>
      <c r="D1240" s="68"/>
      <c r="E1240" s="69"/>
      <c r="F1240" s="69"/>
      <c r="G1240" s="65"/>
      <c r="H1240" s="65"/>
      <c r="I1240" s="70"/>
      <c r="J1240" s="71"/>
      <c r="K1240" s="71"/>
      <c r="L1240" s="72" t="str">
        <f>IFERROR(IF(G1240="","",VLOOKUP($G1240,[1]基础信息!$B:$C,2,FALSE)+SUMIF(G$8:G1240,G1240,J$8:J1240)-SUMIF(G$8:G1240,G1240,K$8:K1240)+SUMIFS([1]内部转账!$G:$G,[1]内部转账!$C:$C,"&lt;="&amp;$D1240,[1]内部转账!$E:$E,$G1240)-SUMIFS([1]内部转账!$G:$G,[1]内部转账!$C:$C,"&lt;="&amp;$D1240,[1]内部转账!$F:$F,$G1240)),"")</f>
        <v/>
      </c>
      <c r="M1240" s="64"/>
      <c r="N1240" s="69"/>
      <c r="O1240" s="64"/>
      <c r="P1240" s="64"/>
      <c r="Q1240" s="69"/>
      <c r="R1240" s="69"/>
      <c r="S1240" s="69"/>
    </row>
    <row r="1241" s="2" customFormat="1" ht="24.95" customHeight="1" spans="1:19">
      <c r="A1241" s="15"/>
      <c r="B1241" s="55"/>
      <c r="C1241" s="56"/>
      <c r="D1241" s="68"/>
      <c r="E1241" s="69"/>
      <c r="F1241" s="69"/>
      <c r="G1241" s="65"/>
      <c r="H1241" s="65"/>
      <c r="I1241" s="70"/>
      <c r="J1241" s="71"/>
      <c r="K1241" s="71"/>
      <c r="L1241" s="72" t="str">
        <f>IFERROR(IF(G1241="","",VLOOKUP($G1241,[1]基础信息!$B:$C,2,FALSE)+SUMIF(G$8:G1241,G1241,J$8:J1241)-SUMIF(G$8:G1241,G1241,K$8:K1241)+SUMIFS([1]内部转账!$G:$G,[1]内部转账!$C:$C,"&lt;="&amp;$D1241,[1]内部转账!$E:$E,$G1241)-SUMIFS([1]内部转账!$G:$G,[1]内部转账!$C:$C,"&lt;="&amp;$D1241,[1]内部转账!$F:$F,$G1241)),"")</f>
        <v/>
      </c>
      <c r="M1241" s="64"/>
      <c r="N1241" s="69"/>
      <c r="O1241" s="64"/>
      <c r="P1241" s="64"/>
      <c r="Q1241" s="69"/>
      <c r="R1241" s="69"/>
      <c r="S1241" s="69"/>
    </row>
    <row r="1242" s="2" customFormat="1" ht="24.95" customHeight="1" spans="1:19">
      <c r="A1242" s="15"/>
      <c r="B1242" s="55"/>
      <c r="C1242" s="56"/>
      <c r="D1242" s="68"/>
      <c r="E1242" s="69"/>
      <c r="F1242" s="69"/>
      <c r="G1242" s="65"/>
      <c r="H1242" s="65"/>
      <c r="I1242" s="70"/>
      <c r="J1242" s="71"/>
      <c r="K1242" s="71"/>
      <c r="L1242" s="72" t="str">
        <f>IFERROR(IF(G1242="","",VLOOKUP($G1242,[1]基础信息!$B:$C,2,FALSE)+SUMIF(G$8:G1242,G1242,J$8:J1242)-SUMIF(G$8:G1242,G1242,K$8:K1242)+SUMIFS([1]内部转账!$G:$G,[1]内部转账!$C:$C,"&lt;="&amp;$D1242,[1]内部转账!$E:$E,$G1242)-SUMIFS([1]内部转账!$G:$G,[1]内部转账!$C:$C,"&lt;="&amp;$D1242,[1]内部转账!$F:$F,$G1242)),"")</f>
        <v/>
      </c>
      <c r="M1242" s="64"/>
      <c r="N1242" s="69"/>
      <c r="O1242" s="64"/>
      <c r="P1242" s="64"/>
      <c r="Q1242" s="69"/>
      <c r="R1242" s="69"/>
      <c r="S1242" s="69"/>
    </row>
    <row r="1243" s="2" customFormat="1" ht="24.95" customHeight="1" spans="1:19">
      <c r="A1243" s="15"/>
      <c r="B1243" s="55"/>
      <c r="C1243" s="56"/>
      <c r="D1243" s="68"/>
      <c r="E1243" s="69"/>
      <c r="F1243" s="69"/>
      <c r="G1243" s="65"/>
      <c r="H1243" s="65"/>
      <c r="I1243" s="70"/>
      <c r="J1243" s="71"/>
      <c r="K1243" s="71"/>
      <c r="L1243" s="72" t="str">
        <f>IFERROR(IF(G1243="","",VLOOKUP($G1243,[1]基础信息!$B:$C,2,FALSE)+SUMIF(G$8:G1243,G1243,J$8:J1243)-SUMIF(G$8:G1243,G1243,K$8:K1243)+SUMIFS([1]内部转账!$G:$G,[1]内部转账!$C:$C,"&lt;="&amp;$D1243,[1]内部转账!$E:$E,$G1243)-SUMIFS([1]内部转账!$G:$G,[1]内部转账!$C:$C,"&lt;="&amp;$D1243,[1]内部转账!$F:$F,$G1243)),"")</f>
        <v/>
      </c>
      <c r="M1243" s="64"/>
      <c r="N1243" s="69"/>
      <c r="O1243" s="64"/>
      <c r="P1243" s="64"/>
      <c r="Q1243" s="69"/>
      <c r="R1243" s="69"/>
      <c r="S1243" s="69"/>
    </row>
    <row r="1244" s="2" customFormat="1" ht="24.95" customHeight="1" spans="1:19">
      <c r="A1244" s="15"/>
      <c r="B1244" s="55"/>
      <c r="C1244" s="56"/>
      <c r="D1244" s="68"/>
      <c r="E1244" s="69"/>
      <c r="F1244" s="69"/>
      <c r="G1244" s="65"/>
      <c r="H1244" s="65"/>
      <c r="I1244" s="70"/>
      <c r="J1244" s="71"/>
      <c r="K1244" s="71"/>
      <c r="L1244" s="72" t="str">
        <f>IFERROR(IF(G1244="","",VLOOKUP($G1244,[1]基础信息!$B:$C,2,FALSE)+SUMIF(G$8:G1244,G1244,J$8:J1244)-SUMIF(G$8:G1244,G1244,K$8:K1244)+SUMIFS([1]内部转账!$G:$G,[1]内部转账!$C:$C,"&lt;="&amp;$D1244,[1]内部转账!$E:$E,$G1244)-SUMIFS([1]内部转账!$G:$G,[1]内部转账!$C:$C,"&lt;="&amp;$D1244,[1]内部转账!$F:$F,$G1244)),"")</f>
        <v/>
      </c>
      <c r="M1244" s="64"/>
      <c r="N1244" s="69"/>
      <c r="O1244" s="64"/>
      <c r="P1244" s="64"/>
      <c r="Q1244" s="69"/>
      <c r="R1244" s="69"/>
      <c r="S1244" s="69"/>
    </row>
    <row r="1245" s="2" customFormat="1" ht="24.95" customHeight="1" spans="1:19">
      <c r="A1245" s="15"/>
      <c r="B1245" s="55"/>
      <c r="C1245" s="56"/>
      <c r="D1245" s="68"/>
      <c r="E1245" s="69"/>
      <c r="F1245" s="69"/>
      <c r="G1245" s="65"/>
      <c r="H1245" s="65"/>
      <c r="I1245" s="70"/>
      <c r="J1245" s="71"/>
      <c r="K1245" s="71"/>
      <c r="L1245" s="72" t="str">
        <f>IFERROR(IF(G1245="","",VLOOKUP($G1245,[1]基础信息!$B:$C,2,FALSE)+SUMIF(G$8:G1245,G1245,J$8:J1245)-SUMIF(G$8:G1245,G1245,K$8:K1245)+SUMIFS([1]内部转账!$G:$G,[1]内部转账!$C:$C,"&lt;="&amp;$D1245,[1]内部转账!$E:$E,$G1245)-SUMIFS([1]内部转账!$G:$G,[1]内部转账!$C:$C,"&lt;="&amp;$D1245,[1]内部转账!$F:$F,$G1245)),"")</f>
        <v/>
      </c>
      <c r="M1245" s="64"/>
      <c r="N1245" s="69"/>
      <c r="O1245" s="64"/>
      <c r="P1245" s="64"/>
      <c r="Q1245" s="69"/>
      <c r="R1245" s="69"/>
      <c r="S1245" s="69"/>
    </row>
    <row r="1246" s="2" customFormat="1" ht="24.95" customHeight="1" spans="1:19">
      <c r="A1246" s="15"/>
      <c r="B1246" s="55"/>
      <c r="C1246" s="56"/>
      <c r="D1246" s="68"/>
      <c r="E1246" s="69"/>
      <c r="F1246" s="69"/>
      <c r="G1246" s="65"/>
      <c r="H1246" s="65"/>
      <c r="I1246" s="70"/>
      <c r="J1246" s="71"/>
      <c r="K1246" s="71"/>
      <c r="L1246" s="72" t="str">
        <f>IFERROR(IF(G1246="","",VLOOKUP($G1246,[1]基础信息!$B:$C,2,FALSE)+SUMIF(G$8:G1246,G1246,J$8:J1246)-SUMIF(G$8:G1246,G1246,K$8:K1246)+SUMIFS([1]内部转账!$G:$G,[1]内部转账!$C:$C,"&lt;="&amp;$D1246,[1]内部转账!$E:$E,$G1246)-SUMIFS([1]内部转账!$G:$G,[1]内部转账!$C:$C,"&lt;="&amp;$D1246,[1]内部转账!$F:$F,$G1246)),"")</f>
        <v/>
      </c>
      <c r="M1246" s="64"/>
      <c r="N1246" s="69"/>
      <c r="O1246" s="64"/>
      <c r="P1246" s="64"/>
      <c r="Q1246" s="69"/>
      <c r="R1246" s="69"/>
      <c r="S1246" s="69"/>
    </row>
    <row r="1247" s="2" customFormat="1" ht="24.95" customHeight="1" spans="1:19">
      <c r="A1247" s="15"/>
      <c r="B1247" s="55"/>
      <c r="C1247" s="56"/>
      <c r="D1247" s="68"/>
      <c r="E1247" s="69"/>
      <c r="F1247" s="69"/>
      <c r="G1247" s="65"/>
      <c r="H1247" s="65"/>
      <c r="I1247" s="70"/>
      <c r="J1247" s="71"/>
      <c r="K1247" s="71"/>
      <c r="L1247" s="72" t="str">
        <f>IFERROR(IF(G1247="","",VLOOKUP($G1247,[1]基础信息!$B:$C,2,FALSE)+SUMIF(G$8:G1247,G1247,J$8:J1247)-SUMIF(G$8:G1247,G1247,K$8:K1247)+SUMIFS([1]内部转账!$G:$G,[1]内部转账!$C:$C,"&lt;="&amp;$D1247,[1]内部转账!$E:$E,$G1247)-SUMIFS([1]内部转账!$G:$G,[1]内部转账!$C:$C,"&lt;="&amp;$D1247,[1]内部转账!$F:$F,$G1247)),"")</f>
        <v/>
      </c>
      <c r="M1247" s="64"/>
      <c r="N1247" s="69"/>
      <c r="O1247" s="64"/>
      <c r="P1247" s="64"/>
      <c r="Q1247" s="69"/>
      <c r="R1247" s="69"/>
      <c r="S1247" s="69"/>
    </row>
    <row r="1248" s="2" customFormat="1" ht="24.95" customHeight="1" spans="1:19">
      <c r="A1248" s="15"/>
      <c r="B1248" s="55"/>
      <c r="C1248" s="56"/>
      <c r="D1248" s="68"/>
      <c r="E1248" s="69"/>
      <c r="F1248" s="69"/>
      <c r="G1248" s="65"/>
      <c r="H1248" s="65"/>
      <c r="I1248" s="70"/>
      <c r="J1248" s="71"/>
      <c r="K1248" s="71"/>
      <c r="L1248" s="72" t="str">
        <f>IFERROR(IF(G1248="","",VLOOKUP($G1248,[1]基础信息!$B:$C,2,FALSE)+SUMIF(G$8:G1248,G1248,J$8:J1248)-SUMIF(G$8:G1248,G1248,K$8:K1248)+SUMIFS([1]内部转账!$G:$G,[1]内部转账!$C:$C,"&lt;="&amp;$D1248,[1]内部转账!$E:$E,$G1248)-SUMIFS([1]内部转账!$G:$G,[1]内部转账!$C:$C,"&lt;="&amp;$D1248,[1]内部转账!$F:$F,$G1248)),"")</f>
        <v/>
      </c>
      <c r="M1248" s="64"/>
      <c r="N1248" s="69"/>
      <c r="O1248" s="64"/>
      <c r="P1248" s="64"/>
      <c r="Q1248" s="69"/>
      <c r="R1248" s="69"/>
      <c r="S1248" s="69"/>
    </row>
    <row r="1249" s="2" customFormat="1" ht="24.95" customHeight="1" spans="1:19">
      <c r="A1249" s="15"/>
      <c r="B1249" s="55"/>
      <c r="C1249" s="56"/>
      <c r="D1249" s="68"/>
      <c r="E1249" s="69"/>
      <c r="F1249" s="69"/>
      <c r="G1249" s="65"/>
      <c r="H1249" s="65"/>
      <c r="I1249" s="70"/>
      <c r="J1249" s="71"/>
      <c r="K1249" s="71"/>
      <c r="L1249" s="72" t="str">
        <f>IFERROR(IF(G1249="","",VLOOKUP($G1249,[1]基础信息!$B:$C,2,FALSE)+SUMIF(G$8:G1249,G1249,J$8:J1249)-SUMIF(G$8:G1249,G1249,K$8:K1249)+SUMIFS([1]内部转账!$G:$G,[1]内部转账!$C:$C,"&lt;="&amp;$D1249,[1]内部转账!$E:$E,$G1249)-SUMIFS([1]内部转账!$G:$G,[1]内部转账!$C:$C,"&lt;="&amp;$D1249,[1]内部转账!$F:$F,$G1249)),"")</f>
        <v/>
      </c>
      <c r="M1249" s="64"/>
      <c r="N1249" s="69"/>
      <c r="O1249" s="64"/>
      <c r="P1249" s="64"/>
      <c r="Q1249" s="69"/>
      <c r="R1249" s="69"/>
      <c r="S1249" s="69"/>
    </row>
    <row r="1250" s="2" customFormat="1" ht="24.95" customHeight="1" spans="1:19">
      <c r="A1250" s="15"/>
      <c r="B1250" s="55"/>
      <c r="C1250" s="56"/>
      <c r="D1250" s="68"/>
      <c r="E1250" s="69"/>
      <c r="F1250" s="69"/>
      <c r="G1250" s="65"/>
      <c r="H1250" s="65"/>
      <c r="I1250" s="70"/>
      <c r="J1250" s="71"/>
      <c r="K1250" s="71"/>
      <c r="L1250" s="72" t="str">
        <f>IFERROR(IF(G1250="","",VLOOKUP($G1250,[1]基础信息!$B:$C,2,FALSE)+SUMIF(G$8:G1250,G1250,J$8:J1250)-SUMIF(G$8:G1250,G1250,K$8:K1250)+SUMIFS([1]内部转账!$G:$G,[1]内部转账!$C:$C,"&lt;="&amp;$D1250,[1]内部转账!$E:$E,$G1250)-SUMIFS([1]内部转账!$G:$G,[1]内部转账!$C:$C,"&lt;="&amp;$D1250,[1]内部转账!$F:$F,$G1250)),"")</f>
        <v/>
      </c>
      <c r="M1250" s="64"/>
      <c r="N1250" s="69"/>
      <c r="O1250" s="64"/>
      <c r="P1250" s="64"/>
      <c r="Q1250" s="69"/>
      <c r="R1250" s="69"/>
      <c r="S1250" s="69"/>
    </row>
    <row r="1251" s="2" customFormat="1" ht="24.95" customHeight="1" spans="1:19">
      <c r="A1251" s="15"/>
      <c r="B1251" s="55"/>
      <c r="C1251" s="56"/>
      <c r="D1251" s="68"/>
      <c r="E1251" s="69"/>
      <c r="F1251" s="69"/>
      <c r="G1251" s="65"/>
      <c r="H1251" s="65"/>
      <c r="I1251" s="70"/>
      <c r="J1251" s="71"/>
      <c r="K1251" s="71"/>
      <c r="L1251" s="72" t="str">
        <f>IFERROR(IF(G1251="","",VLOOKUP($G1251,[1]基础信息!$B:$C,2,FALSE)+SUMIF(G$8:G1251,G1251,J$8:J1251)-SUMIF(G$8:G1251,G1251,K$8:K1251)+SUMIFS([1]内部转账!$G:$G,[1]内部转账!$C:$C,"&lt;="&amp;$D1251,[1]内部转账!$E:$E,$G1251)-SUMIFS([1]内部转账!$G:$G,[1]内部转账!$C:$C,"&lt;="&amp;$D1251,[1]内部转账!$F:$F,$G1251)),"")</f>
        <v/>
      </c>
      <c r="M1251" s="64"/>
      <c r="N1251" s="69"/>
      <c r="O1251" s="64"/>
      <c r="P1251" s="64"/>
      <c r="Q1251" s="69"/>
      <c r="R1251" s="69"/>
      <c r="S1251" s="69"/>
    </row>
    <row r="1252" s="2" customFormat="1" ht="24.95" customHeight="1" spans="1:19">
      <c r="A1252" s="15"/>
      <c r="B1252" s="55"/>
      <c r="C1252" s="56"/>
      <c r="D1252" s="68"/>
      <c r="E1252" s="69"/>
      <c r="F1252" s="69"/>
      <c r="G1252" s="65"/>
      <c r="H1252" s="65"/>
      <c r="I1252" s="70"/>
      <c r="J1252" s="71"/>
      <c r="K1252" s="71"/>
      <c r="L1252" s="72" t="str">
        <f>IFERROR(IF(G1252="","",VLOOKUP($G1252,[1]基础信息!$B:$C,2,FALSE)+SUMIF(G$8:G1252,G1252,J$8:J1252)-SUMIF(G$8:G1252,G1252,K$8:K1252)+SUMIFS([1]内部转账!$G:$G,[1]内部转账!$C:$C,"&lt;="&amp;$D1252,[1]内部转账!$E:$E,$G1252)-SUMIFS([1]内部转账!$G:$G,[1]内部转账!$C:$C,"&lt;="&amp;$D1252,[1]内部转账!$F:$F,$G1252)),"")</f>
        <v/>
      </c>
      <c r="M1252" s="64"/>
      <c r="N1252" s="69"/>
      <c r="O1252" s="64"/>
      <c r="P1252" s="64"/>
      <c r="Q1252" s="69"/>
      <c r="R1252" s="69"/>
      <c r="S1252" s="69"/>
    </row>
    <row r="1253" s="2" customFormat="1" ht="24.95" customHeight="1" spans="1:19">
      <c r="A1253" s="15"/>
      <c r="B1253" s="55"/>
      <c r="C1253" s="56"/>
      <c r="D1253" s="68"/>
      <c r="E1253" s="69"/>
      <c r="F1253" s="69"/>
      <c r="G1253" s="65"/>
      <c r="H1253" s="65"/>
      <c r="I1253" s="70"/>
      <c r="J1253" s="71"/>
      <c r="K1253" s="71"/>
      <c r="L1253" s="72" t="str">
        <f>IFERROR(IF(G1253="","",VLOOKUP($G1253,[1]基础信息!$B:$C,2,FALSE)+SUMIF(G$8:G1253,G1253,J$8:J1253)-SUMIF(G$8:G1253,G1253,K$8:K1253)+SUMIFS([1]内部转账!$G:$G,[1]内部转账!$C:$C,"&lt;="&amp;$D1253,[1]内部转账!$E:$E,$G1253)-SUMIFS([1]内部转账!$G:$G,[1]内部转账!$C:$C,"&lt;="&amp;$D1253,[1]内部转账!$F:$F,$G1253)),"")</f>
        <v/>
      </c>
      <c r="M1253" s="64"/>
      <c r="N1253" s="69"/>
      <c r="O1253" s="64"/>
      <c r="P1253" s="64"/>
      <c r="Q1253" s="69"/>
      <c r="R1253" s="69"/>
      <c r="S1253" s="69"/>
    </row>
    <row r="1254" s="2" customFormat="1" ht="24.95" customHeight="1" spans="1:19">
      <c r="A1254" s="15"/>
      <c r="B1254" s="55"/>
      <c r="C1254" s="56"/>
      <c r="D1254" s="68"/>
      <c r="E1254" s="69"/>
      <c r="F1254" s="69"/>
      <c r="G1254" s="65"/>
      <c r="H1254" s="65"/>
      <c r="I1254" s="70"/>
      <c r="J1254" s="71"/>
      <c r="K1254" s="71"/>
      <c r="L1254" s="72" t="str">
        <f>IFERROR(IF(G1254="","",VLOOKUP($G1254,[1]基础信息!$B:$C,2,FALSE)+SUMIF(G$8:G1254,G1254,J$8:J1254)-SUMIF(G$8:G1254,G1254,K$8:K1254)+SUMIFS([1]内部转账!$G:$G,[1]内部转账!$C:$C,"&lt;="&amp;$D1254,[1]内部转账!$E:$E,$G1254)-SUMIFS([1]内部转账!$G:$G,[1]内部转账!$C:$C,"&lt;="&amp;$D1254,[1]内部转账!$F:$F,$G1254)),"")</f>
        <v/>
      </c>
      <c r="M1254" s="64"/>
      <c r="N1254" s="69"/>
      <c r="O1254" s="64"/>
      <c r="P1254" s="64"/>
      <c r="Q1254" s="69"/>
      <c r="R1254" s="69"/>
      <c r="S1254" s="69"/>
    </row>
    <row r="1255" s="2" customFormat="1" ht="24.95" customHeight="1" spans="1:19">
      <c r="A1255" s="15"/>
      <c r="B1255" s="55"/>
      <c r="C1255" s="56"/>
      <c r="D1255" s="68"/>
      <c r="E1255" s="69"/>
      <c r="F1255" s="69"/>
      <c r="G1255" s="65"/>
      <c r="H1255" s="65"/>
      <c r="I1255" s="70"/>
      <c r="J1255" s="71"/>
      <c r="K1255" s="71"/>
      <c r="L1255" s="72" t="str">
        <f>IFERROR(IF(G1255="","",VLOOKUP($G1255,[1]基础信息!$B:$C,2,FALSE)+SUMIF(G$8:G1255,G1255,J$8:J1255)-SUMIF(G$8:G1255,G1255,K$8:K1255)+SUMIFS([1]内部转账!$G:$G,[1]内部转账!$C:$C,"&lt;="&amp;$D1255,[1]内部转账!$E:$E,$G1255)-SUMIFS([1]内部转账!$G:$G,[1]内部转账!$C:$C,"&lt;="&amp;$D1255,[1]内部转账!$F:$F,$G1255)),"")</f>
        <v/>
      </c>
      <c r="M1255" s="64"/>
      <c r="N1255" s="69"/>
      <c r="O1255" s="64"/>
      <c r="P1255" s="64"/>
      <c r="Q1255" s="69"/>
      <c r="R1255" s="69"/>
      <c r="S1255" s="69"/>
    </row>
    <row r="1256" s="2" customFormat="1" ht="24.95" customHeight="1" spans="1:19">
      <c r="A1256" s="15"/>
      <c r="B1256" s="55"/>
      <c r="C1256" s="56"/>
      <c r="D1256" s="68"/>
      <c r="E1256" s="69"/>
      <c r="F1256" s="69"/>
      <c r="G1256" s="65"/>
      <c r="H1256" s="65"/>
      <c r="I1256" s="70"/>
      <c r="J1256" s="71"/>
      <c r="K1256" s="71"/>
      <c r="L1256" s="72" t="str">
        <f>IFERROR(IF(G1256="","",VLOOKUP($G1256,[1]基础信息!$B:$C,2,FALSE)+SUMIF(G$8:G1256,G1256,J$8:J1256)-SUMIF(G$8:G1256,G1256,K$8:K1256)+SUMIFS([1]内部转账!$G:$G,[1]内部转账!$C:$C,"&lt;="&amp;$D1256,[1]内部转账!$E:$E,$G1256)-SUMIFS([1]内部转账!$G:$G,[1]内部转账!$C:$C,"&lt;="&amp;$D1256,[1]内部转账!$F:$F,$G1256)),"")</f>
        <v/>
      </c>
      <c r="M1256" s="64"/>
      <c r="N1256" s="69"/>
      <c r="O1256" s="64"/>
      <c r="P1256" s="64"/>
      <c r="Q1256" s="69"/>
      <c r="R1256" s="69"/>
      <c r="S1256" s="69"/>
    </row>
    <row r="1257" s="2" customFormat="1" ht="24.95" customHeight="1" spans="1:19">
      <c r="A1257" s="15"/>
      <c r="B1257" s="55"/>
      <c r="C1257" s="56"/>
      <c r="D1257" s="68"/>
      <c r="E1257" s="69"/>
      <c r="F1257" s="69"/>
      <c r="G1257" s="65"/>
      <c r="H1257" s="65"/>
      <c r="I1257" s="70"/>
      <c r="J1257" s="71"/>
      <c r="K1257" s="71"/>
      <c r="L1257" s="72" t="str">
        <f>IFERROR(IF(G1257="","",VLOOKUP($G1257,[1]基础信息!$B:$C,2,FALSE)+SUMIF(G$8:G1257,G1257,J$8:J1257)-SUMIF(G$8:G1257,G1257,K$8:K1257)+SUMIFS([1]内部转账!$G:$G,[1]内部转账!$C:$C,"&lt;="&amp;$D1257,[1]内部转账!$E:$E,$G1257)-SUMIFS([1]内部转账!$G:$G,[1]内部转账!$C:$C,"&lt;="&amp;$D1257,[1]内部转账!$F:$F,$G1257)),"")</f>
        <v/>
      </c>
      <c r="M1257" s="64"/>
      <c r="N1257" s="69"/>
      <c r="O1257" s="64"/>
      <c r="P1257" s="64"/>
      <c r="Q1257" s="69"/>
      <c r="R1257" s="69"/>
      <c r="S1257" s="69"/>
    </row>
    <row r="1258" s="2" customFormat="1" ht="24.95" customHeight="1" spans="1:19">
      <c r="A1258" s="15"/>
      <c r="B1258" s="55"/>
      <c r="C1258" s="56"/>
      <c r="D1258" s="68"/>
      <c r="E1258" s="69"/>
      <c r="F1258" s="69"/>
      <c r="G1258" s="65"/>
      <c r="H1258" s="65"/>
      <c r="I1258" s="70"/>
      <c r="J1258" s="71"/>
      <c r="K1258" s="71"/>
      <c r="L1258" s="72" t="str">
        <f>IFERROR(IF(G1258="","",VLOOKUP($G1258,[1]基础信息!$B:$C,2,FALSE)+SUMIF(G$8:G1258,G1258,J$8:J1258)-SUMIF(G$8:G1258,G1258,K$8:K1258)+SUMIFS([1]内部转账!$G:$G,[1]内部转账!$C:$C,"&lt;="&amp;$D1258,[1]内部转账!$E:$E,$G1258)-SUMIFS([1]内部转账!$G:$G,[1]内部转账!$C:$C,"&lt;="&amp;$D1258,[1]内部转账!$F:$F,$G1258)),"")</f>
        <v/>
      </c>
      <c r="M1258" s="64"/>
      <c r="N1258" s="69"/>
      <c r="O1258" s="64"/>
      <c r="P1258" s="64"/>
      <c r="Q1258" s="69"/>
      <c r="R1258" s="69"/>
      <c r="S1258" s="69"/>
    </row>
    <row r="1259" s="2" customFormat="1" ht="24.95" customHeight="1" spans="1:19">
      <c r="A1259" s="15"/>
      <c r="B1259" s="55"/>
      <c r="C1259" s="56"/>
      <c r="D1259" s="68"/>
      <c r="E1259" s="69"/>
      <c r="F1259" s="69"/>
      <c r="G1259" s="65"/>
      <c r="H1259" s="65"/>
      <c r="I1259" s="70"/>
      <c r="J1259" s="71"/>
      <c r="K1259" s="71"/>
      <c r="L1259" s="72" t="str">
        <f>IFERROR(IF(G1259="","",VLOOKUP($G1259,[1]基础信息!$B:$C,2,FALSE)+SUMIF(G$8:G1259,G1259,J$8:J1259)-SUMIF(G$8:G1259,G1259,K$8:K1259)+SUMIFS([1]内部转账!$G:$G,[1]内部转账!$C:$C,"&lt;="&amp;$D1259,[1]内部转账!$E:$E,$G1259)-SUMIFS([1]内部转账!$G:$G,[1]内部转账!$C:$C,"&lt;="&amp;$D1259,[1]内部转账!$F:$F,$G1259)),"")</f>
        <v/>
      </c>
      <c r="M1259" s="64"/>
      <c r="N1259" s="69"/>
      <c r="O1259" s="64"/>
      <c r="P1259" s="64"/>
      <c r="Q1259" s="69"/>
      <c r="R1259" s="69"/>
      <c r="S1259" s="69"/>
    </row>
    <row r="1260" s="2" customFormat="1" ht="24.95" customHeight="1" spans="1:19">
      <c r="A1260" s="15"/>
      <c r="B1260" s="55"/>
      <c r="C1260" s="56"/>
      <c r="D1260" s="68"/>
      <c r="E1260" s="69"/>
      <c r="F1260" s="69"/>
      <c r="G1260" s="65"/>
      <c r="H1260" s="65"/>
      <c r="I1260" s="70"/>
      <c r="J1260" s="71"/>
      <c r="K1260" s="71"/>
      <c r="L1260" s="72" t="str">
        <f>IFERROR(IF(G1260="","",VLOOKUP($G1260,[1]基础信息!$B:$C,2,FALSE)+SUMIF(G$8:G1260,G1260,J$8:J1260)-SUMIF(G$8:G1260,G1260,K$8:K1260)+SUMIFS([1]内部转账!$G:$G,[1]内部转账!$C:$C,"&lt;="&amp;$D1260,[1]内部转账!$E:$E,$G1260)-SUMIFS([1]内部转账!$G:$G,[1]内部转账!$C:$C,"&lt;="&amp;$D1260,[1]内部转账!$F:$F,$G1260)),"")</f>
        <v/>
      </c>
      <c r="M1260" s="64"/>
      <c r="N1260" s="69"/>
      <c r="O1260" s="64"/>
      <c r="P1260" s="64"/>
      <c r="Q1260" s="69"/>
      <c r="R1260" s="69"/>
      <c r="S1260" s="69"/>
    </row>
    <row r="1261" s="2" customFormat="1" ht="24.95" customHeight="1" spans="1:19">
      <c r="A1261" s="15"/>
      <c r="B1261" s="55"/>
      <c r="C1261" s="56"/>
      <c r="D1261" s="68"/>
      <c r="E1261" s="69"/>
      <c r="F1261" s="69"/>
      <c r="G1261" s="65"/>
      <c r="H1261" s="65"/>
      <c r="I1261" s="70"/>
      <c r="J1261" s="71"/>
      <c r="K1261" s="71"/>
      <c r="L1261" s="72" t="str">
        <f>IFERROR(IF(G1261="","",VLOOKUP($G1261,[1]基础信息!$B:$C,2,FALSE)+SUMIF(G$8:G1261,G1261,J$8:J1261)-SUMIF(G$8:G1261,G1261,K$8:K1261)+SUMIFS([1]内部转账!$G:$G,[1]内部转账!$C:$C,"&lt;="&amp;$D1261,[1]内部转账!$E:$E,$G1261)-SUMIFS([1]内部转账!$G:$G,[1]内部转账!$C:$C,"&lt;="&amp;$D1261,[1]内部转账!$F:$F,$G1261)),"")</f>
        <v/>
      </c>
      <c r="M1261" s="64"/>
      <c r="N1261" s="69"/>
      <c r="O1261" s="64"/>
      <c r="P1261" s="64"/>
      <c r="Q1261" s="69"/>
      <c r="R1261" s="69"/>
      <c r="S1261" s="69"/>
    </row>
    <row r="1262" s="2" customFormat="1" ht="24.95" customHeight="1" spans="1:19">
      <c r="A1262" s="15"/>
      <c r="B1262" s="55"/>
      <c r="C1262" s="56"/>
      <c r="D1262" s="68"/>
      <c r="E1262" s="69"/>
      <c r="F1262" s="69"/>
      <c r="G1262" s="65"/>
      <c r="H1262" s="65"/>
      <c r="I1262" s="70"/>
      <c r="J1262" s="71"/>
      <c r="K1262" s="71"/>
      <c r="L1262" s="72" t="str">
        <f>IFERROR(IF(G1262="","",VLOOKUP($G1262,[1]基础信息!$B:$C,2,FALSE)+SUMIF(G$8:G1262,G1262,J$8:J1262)-SUMIF(G$8:G1262,G1262,K$8:K1262)+SUMIFS([1]内部转账!$G:$G,[1]内部转账!$C:$C,"&lt;="&amp;$D1262,[1]内部转账!$E:$E,$G1262)-SUMIFS([1]内部转账!$G:$G,[1]内部转账!$C:$C,"&lt;="&amp;$D1262,[1]内部转账!$F:$F,$G1262)),"")</f>
        <v/>
      </c>
      <c r="M1262" s="64"/>
      <c r="N1262" s="69"/>
      <c r="O1262" s="64"/>
      <c r="P1262" s="64"/>
      <c r="Q1262" s="69"/>
      <c r="R1262" s="69"/>
      <c r="S1262" s="69"/>
    </row>
    <row r="1263" s="2" customFormat="1" ht="24.95" customHeight="1" spans="1:19">
      <c r="A1263" s="15"/>
      <c r="B1263" s="55"/>
      <c r="C1263" s="56"/>
      <c r="D1263" s="68"/>
      <c r="E1263" s="69"/>
      <c r="F1263" s="69"/>
      <c r="G1263" s="65"/>
      <c r="H1263" s="65"/>
      <c r="I1263" s="70"/>
      <c r="J1263" s="71"/>
      <c r="K1263" s="71"/>
      <c r="L1263" s="72" t="str">
        <f>IFERROR(IF(G1263="","",VLOOKUP($G1263,[1]基础信息!$B:$C,2,FALSE)+SUMIF(G$8:G1263,G1263,J$8:J1263)-SUMIF(G$8:G1263,G1263,K$8:K1263)+SUMIFS([1]内部转账!$G:$G,[1]内部转账!$C:$C,"&lt;="&amp;$D1263,[1]内部转账!$E:$E,$G1263)-SUMIFS([1]内部转账!$G:$G,[1]内部转账!$C:$C,"&lt;="&amp;$D1263,[1]内部转账!$F:$F,$G1263)),"")</f>
        <v/>
      </c>
      <c r="M1263" s="64"/>
      <c r="N1263" s="69"/>
      <c r="O1263" s="64"/>
      <c r="P1263" s="64"/>
      <c r="Q1263" s="69"/>
      <c r="R1263" s="69"/>
      <c r="S1263" s="69"/>
    </row>
    <row r="1264" s="2" customFormat="1" ht="24.95" customHeight="1" spans="1:19">
      <c r="A1264" s="15"/>
      <c r="B1264" s="55"/>
      <c r="C1264" s="56"/>
      <c r="D1264" s="68"/>
      <c r="E1264" s="69"/>
      <c r="F1264" s="69"/>
      <c r="G1264" s="65"/>
      <c r="H1264" s="65"/>
      <c r="I1264" s="70"/>
      <c r="J1264" s="71"/>
      <c r="K1264" s="71"/>
      <c r="L1264" s="72" t="str">
        <f>IFERROR(IF(G1264="","",VLOOKUP($G1264,[1]基础信息!$B:$C,2,FALSE)+SUMIF(G$8:G1264,G1264,J$8:J1264)-SUMIF(G$8:G1264,G1264,K$8:K1264)+SUMIFS([1]内部转账!$G:$G,[1]内部转账!$C:$C,"&lt;="&amp;$D1264,[1]内部转账!$E:$E,$G1264)-SUMIFS([1]内部转账!$G:$G,[1]内部转账!$C:$C,"&lt;="&amp;$D1264,[1]内部转账!$F:$F,$G1264)),"")</f>
        <v/>
      </c>
      <c r="M1264" s="64"/>
      <c r="N1264" s="69"/>
      <c r="O1264" s="64"/>
      <c r="P1264" s="64"/>
      <c r="Q1264" s="69"/>
      <c r="R1264" s="69"/>
      <c r="S1264" s="69"/>
    </row>
    <row r="1265" s="2" customFormat="1" ht="24.95" customHeight="1" spans="1:19">
      <c r="A1265" s="15"/>
      <c r="B1265" s="55"/>
      <c r="C1265" s="56"/>
      <c r="D1265" s="68"/>
      <c r="E1265" s="69"/>
      <c r="F1265" s="69"/>
      <c r="G1265" s="65"/>
      <c r="H1265" s="65"/>
      <c r="I1265" s="70"/>
      <c r="J1265" s="71"/>
      <c r="K1265" s="71"/>
      <c r="L1265" s="72" t="str">
        <f>IFERROR(IF(G1265="","",VLOOKUP($G1265,[1]基础信息!$B:$C,2,FALSE)+SUMIF(G$8:G1265,G1265,J$8:J1265)-SUMIF(G$8:G1265,G1265,K$8:K1265)+SUMIFS([1]内部转账!$G:$G,[1]内部转账!$C:$C,"&lt;="&amp;$D1265,[1]内部转账!$E:$E,$G1265)-SUMIFS([1]内部转账!$G:$G,[1]内部转账!$C:$C,"&lt;="&amp;$D1265,[1]内部转账!$F:$F,$G1265)),"")</f>
        <v/>
      </c>
      <c r="M1265" s="64"/>
      <c r="N1265" s="69"/>
      <c r="O1265" s="64"/>
      <c r="P1265" s="64"/>
      <c r="Q1265" s="69"/>
      <c r="R1265" s="69"/>
      <c r="S1265" s="69"/>
    </row>
    <row r="1266" s="2" customFormat="1" ht="24.95" customHeight="1" spans="1:19">
      <c r="A1266" s="15"/>
      <c r="B1266" s="55"/>
      <c r="C1266" s="56"/>
      <c r="D1266" s="68"/>
      <c r="E1266" s="69"/>
      <c r="F1266" s="69"/>
      <c r="G1266" s="65"/>
      <c r="H1266" s="65"/>
      <c r="I1266" s="70"/>
      <c r="J1266" s="71"/>
      <c r="K1266" s="71"/>
      <c r="L1266" s="72" t="str">
        <f>IFERROR(IF(G1266="","",VLOOKUP($G1266,[1]基础信息!$B:$C,2,FALSE)+SUMIF(G$8:G1266,G1266,J$8:J1266)-SUMIF(G$8:G1266,G1266,K$8:K1266)+SUMIFS([1]内部转账!$G:$G,[1]内部转账!$C:$C,"&lt;="&amp;$D1266,[1]内部转账!$E:$E,$G1266)-SUMIFS([1]内部转账!$G:$G,[1]内部转账!$C:$C,"&lt;="&amp;$D1266,[1]内部转账!$F:$F,$G1266)),"")</f>
        <v/>
      </c>
      <c r="M1266" s="64"/>
      <c r="N1266" s="69"/>
      <c r="O1266" s="64"/>
      <c r="P1266" s="64"/>
      <c r="Q1266" s="69"/>
      <c r="R1266" s="69"/>
      <c r="S1266" s="69"/>
    </row>
    <row r="1267" s="2" customFormat="1" ht="24.95" customHeight="1" spans="1:19">
      <c r="A1267" s="15"/>
      <c r="B1267" s="55"/>
      <c r="C1267" s="56"/>
      <c r="D1267" s="68"/>
      <c r="E1267" s="69"/>
      <c r="F1267" s="69"/>
      <c r="G1267" s="65"/>
      <c r="H1267" s="65"/>
      <c r="I1267" s="70"/>
      <c r="J1267" s="71"/>
      <c r="K1267" s="71"/>
      <c r="L1267" s="72" t="str">
        <f>IFERROR(IF(G1267="","",VLOOKUP($G1267,[1]基础信息!$B:$C,2,FALSE)+SUMIF(G$8:G1267,G1267,J$8:J1267)-SUMIF(G$8:G1267,G1267,K$8:K1267)+SUMIFS([1]内部转账!$G:$G,[1]内部转账!$C:$C,"&lt;="&amp;$D1267,[1]内部转账!$E:$E,$G1267)-SUMIFS([1]内部转账!$G:$G,[1]内部转账!$C:$C,"&lt;="&amp;$D1267,[1]内部转账!$F:$F,$G1267)),"")</f>
        <v/>
      </c>
      <c r="M1267" s="64"/>
      <c r="N1267" s="69"/>
      <c r="O1267" s="64"/>
      <c r="P1267" s="64"/>
      <c r="Q1267" s="69"/>
      <c r="R1267" s="69"/>
      <c r="S1267" s="69"/>
    </row>
    <row r="1268" s="2" customFormat="1" ht="24.95" customHeight="1" spans="1:19">
      <c r="A1268" s="15"/>
      <c r="B1268" s="55"/>
      <c r="C1268" s="56"/>
      <c r="D1268" s="68"/>
      <c r="E1268" s="69"/>
      <c r="F1268" s="69"/>
      <c r="G1268" s="65"/>
      <c r="H1268" s="65"/>
      <c r="I1268" s="70"/>
      <c r="J1268" s="71"/>
      <c r="K1268" s="71"/>
      <c r="L1268" s="72" t="str">
        <f>IFERROR(IF(G1268="","",VLOOKUP($G1268,[1]基础信息!$B:$C,2,FALSE)+SUMIF(G$8:G1268,G1268,J$8:J1268)-SUMIF(G$8:G1268,G1268,K$8:K1268)+SUMIFS([1]内部转账!$G:$G,[1]内部转账!$C:$C,"&lt;="&amp;$D1268,[1]内部转账!$E:$E,$G1268)-SUMIFS([1]内部转账!$G:$G,[1]内部转账!$C:$C,"&lt;="&amp;$D1268,[1]内部转账!$F:$F,$G1268)),"")</f>
        <v/>
      </c>
      <c r="M1268" s="64"/>
      <c r="N1268" s="69"/>
      <c r="O1268" s="64"/>
      <c r="P1268" s="64"/>
      <c r="Q1268" s="69"/>
      <c r="R1268" s="69"/>
      <c r="S1268" s="69"/>
    </row>
    <row r="1269" s="2" customFormat="1" ht="24.95" customHeight="1" spans="1:19">
      <c r="A1269" s="15"/>
      <c r="B1269" s="55"/>
      <c r="C1269" s="56"/>
      <c r="D1269" s="68"/>
      <c r="E1269" s="69"/>
      <c r="F1269" s="69"/>
      <c r="G1269" s="65"/>
      <c r="H1269" s="65"/>
      <c r="I1269" s="70"/>
      <c r="J1269" s="71"/>
      <c r="K1269" s="71"/>
      <c r="L1269" s="72" t="str">
        <f>IFERROR(IF(G1269="","",VLOOKUP($G1269,[1]基础信息!$B:$C,2,FALSE)+SUMIF(G$8:G1269,G1269,J$8:J1269)-SUMIF(G$8:G1269,G1269,K$8:K1269)+SUMIFS([1]内部转账!$G:$G,[1]内部转账!$C:$C,"&lt;="&amp;$D1269,[1]内部转账!$E:$E,$G1269)-SUMIFS([1]内部转账!$G:$G,[1]内部转账!$C:$C,"&lt;="&amp;$D1269,[1]内部转账!$F:$F,$G1269)),"")</f>
        <v/>
      </c>
      <c r="M1269" s="64"/>
      <c r="N1269" s="69"/>
      <c r="O1269" s="64"/>
      <c r="P1269" s="64"/>
      <c r="Q1269" s="69"/>
      <c r="R1269" s="69"/>
      <c r="S1269" s="69"/>
    </row>
    <row r="1270" s="2" customFormat="1" ht="24.95" customHeight="1" spans="1:19">
      <c r="A1270" s="15"/>
      <c r="B1270" s="55"/>
      <c r="C1270" s="56"/>
      <c r="D1270" s="68"/>
      <c r="E1270" s="69"/>
      <c r="F1270" s="69"/>
      <c r="G1270" s="65"/>
      <c r="H1270" s="65"/>
      <c r="I1270" s="70"/>
      <c r="J1270" s="71"/>
      <c r="K1270" s="71"/>
      <c r="L1270" s="72" t="str">
        <f>IFERROR(IF(G1270="","",VLOOKUP($G1270,[1]基础信息!$B:$C,2,FALSE)+SUMIF(G$8:G1270,G1270,J$8:J1270)-SUMIF(G$8:G1270,G1270,K$8:K1270)+SUMIFS([1]内部转账!$G:$G,[1]内部转账!$C:$C,"&lt;="&amp;$D1270,[1]内部转账!$E:$E,$G1270)-SUMIFS([1]内部转账!$G:$G,[1]内部转账!$C:$C,"&lt;="&amp;$D1270,[1]内部转账!$F:$F,$G1270)),"")</f>
        <v/>
      </c>
      <c r="M1270" s="64"/>
      <c r="N1270" s="69"/>
      <c r="O1270" s="64"/>
      <c r="P1270" s="64"/>
      <c r="Q1270" s="69"/>
      <c r="R1270" s="69"/>
      <c r="S1270" s="69"/>
    </row>
    <row r="1271" s="2" customFormat="1" ht="24.95" customHeight="1" spans="1:19">
      <c r="A1271" s="15"/>
      <c r="B1271" s="55"/>
      <c r="C1271" s="56"/>
      <c r="D1271" s="68"/>
      <c r="E1271" s="69"/>
      <c r="F1271" s="69"/>
      <c r="G1271" s="65"/>
      <c r="H1271" s="65"/>
      <c r="I1271" s="70"/>
      <c r="J1271" s="71"/>
      <c r="K1271" s="71"/>
      <c r="L1271" s="72" t="str">
        <f>IFERROR(IF(G1271="","",VLOOKUP($G1271,[1]基础信息!$B:$C,2,FALSE)+SUMIF(G$8:G1271,G1271,J$8:J1271)-SUMIF(G$8:G1271,G1271,K$8:K1271)+SUMIFS([1]内部转账!$G:$G,[1]内部转账!$C:$C,"&lt;="&amp;$D1271,[1]内部转账!$E:$E,$G1271)-SUMIFS([1]内部转账!$G:$G,[1]内部转账!$C:$C,"&lt;="&amp;$D1271,[1]内部转账!$F:$F,$G1271)),"")</f>
        <v/>
      </c>
      <c r="M1271" s="64"/>
      <c r="N1271" s="69"/>
      <c r="O1271" s="64"/>
      <c r="P1271" s="64"/>
      <c r="Q1271" s="69"/>
      <c r="R1271" s="69"/>
      <c r="S1271" s="69"/>
    </row>
    <row r="1272" s="2" customFormat="1" ht="24.95" customHeight="1" spans="1:19">
      <c r="A1272" s="15"/>
      <c r="B1272" s="55"/>
      <c r="C1272" s="56"/>
      <c r="D1272" s="68"/>
      <c r="E1272" s="69"/>
      <c r="F1272" s="69"/>
      <c r="G1272" s="65"/>
      <c r="H1272" s="65"/>
      <c r="I1272" s="70"/>
      <c r="J1272" s="71"/>
      <c r="K1272" s="71"/>
      <c r="L1272" s="72" t="str">
        <f>IFERROR(IF(G1272="","",VLOOKUP($G1272,[1]基础信息!$B:$C,2,FALSE)+SUMIF(G$8:G1272,G1272,J$8:J1272)-SUMIF(G$8:G1272,G1272,K$8:K1272)+SUMIFS([1]内部转账!$G:$G,[1]内部转账!$C:$C,"&lt;="&amp;$D1272,[1]内部转账!$E:$E,$G1272)-SUMIFS([1]内部转账!$G:$G,[1]内部转账!$C:$C,"&lt;="&amp;$D1272,[1]内部转账!$F:$F,$G1272)),"")</f>
        <v/>
      </c>
      <c r="M1272" s="64"/>
      <c r="N1272" s="69"/>
      <c r="O1272" s="64"/>
      <c r="P1272" s="64"/>
      <c r="Q1272" s="69"/>
      <c r="R1272" s="69"/>
      <c r="S1272" s="69"/>
    </row>
    <row r="1273" s="2" customFormat="1" ht="24.95" customHeight="1" spans="1:19">
      <c r="A1273" s="15"/>
      <c r="B1273" s="55"/>
      <c r="C1273" s="56"/>
      <c r="D1273" s="68"/>
      <c r="E1273" s="69"/>
      <c r="F1273" s="69"/>
      <c r="G1273" s="65"/>
      <c r="H1273" s="65"/>
      <c r="I1273" s="70"/>
      <c r="J1273" s="71"/>
      <c r="K1273" s="71"/>
      <c r="L1273" s="72" t="str">
        <f>IFERROR(IF(G1273="","",VLOOKUP($G1273,[1]基础信息!$B:$C,2,FALSE)+SUMIF(G$8:G1273,G1273,J$8:J1273)-SUMIF(G$8:G1273,G1273,K$8:K1273)+SUMIFS([1]内部转账!$G:$G,[1]内部转账!$C:$C,"&lt;="&amp;$D1273,[1]内部转账!$E:$E,$G1273)-SUMIFS([1]内部转账!$G:$G,[1]内部转账!$C:$C,"&lt;="&amp;$D1273,[1]内部转账!$F:$F,$G1273)),"")</f>
        <v/>
      </c>
      <c r="M1273" s="64"/>
      <c r="N1273" s="69"/>
      <c r="O1273" s="64"/>
      <c r="P1273" s="64"/>
      <c r="Q1273" s="69"/>
      <c r="R1273" s="69"/>
      <c r="S1273" s="69"/>
    </row>
    <row r="1274" s="2" customFormat="1" ht="24.95" customHeight="1" spans="1:19">
      <c r="A1274" s="15"/>
      <c r="B1274" s="55"/>
      <c r="C1274" s="56"/>
      <c r="D1274" s="68"/>
      <c r="E1274" s="69"/>
      <c r="F1274" s="69"/>
      <c r="G1274" s="65"/>
      <c r="H1274" s="65"/>
      <c r="I1274" s="70"/>
      <c r="J1274" s="71"/>
      <c r="K1274" s="71"/>
      <c r="L1274" s="72" t="str">
        <f>IFERROR(IF(G1274="","",VLOOKUP($G1274,[1]基础信息!$B:$C,2,FALSE)+SUMIF(G$8:G1274,G1274,J$8:J1274)-SUMIF(G$8:G1274,G1274,K$8:K1274)+SUMIFS([1]内部转账!$G:$G,[1]内部转账!$C:$C,"&lt;="&amp;$D1274,[1]内部转账!$E:$E,$G1274)-SUMIFS([1]内部转账!$G:$G,[1]内部转账!$C:$C,"&lt;="&amp;$D1274,[1]内部转账!$F:$F,$G1274)),"")</f>
        <v/>
      </c>
      <c r="M1274" s="64"/>
      <c r="N1274" s="69"/>
      <c r="O1274" s="64"/>
      <c r="P1274" s="64"/>
      <c r="Q1274" s="69"/>
      <c r="R1274" s="69"/>
      <c r="S1274" s="69"/>
    </row>
    <row r="1275" s="2" customFormat="1" ht="24.95" customHeight="1" spans="1:19">
      <c r="A1275" s="15"/>
      <c r="B1275" s="55"/>
      <c r="C1275" s="56"/>
      <c r="D1275" s="68"/>
      <c r="E1275" s="69"/>
      <c r="F1275" s="69"/>
      <c r="G1275" s="65"/>
      <c r="H1275" s="65"/>
      <c r="I1275" s="70"/>
      <c r="J1275" s="71"/>
      <c r="K1275" s="71"/>
      <c r="L1275" s="72" t="str">
        <f>IFERROR(IF(G1275="","",VLOOKUP($G1275,[1]基础信息!$B:$C,2,FALSE)+SUMIF(G$8:G1275,G1275,J$8:J1275)-SUMIF(G$8:G1275,G1275,K$8:K1275)+SUMIFS([1]内部转账!$G:$G,[1]内部转账!$C:$C,"&lt;="&amp;$D1275,[1]内部转账!$E:$E,$G1275)-SUMIFS([1]内部转账!$G:$G,[1]内部转账!$C:$C,"&lt;="&amp;$D1275,[1]内部转账!$F:$F,$G1275)),"")</f>
        <v/>
      </c>
      <c r="M1275" s="64"/>
      <c r="N1275" s="69"/>
      <c r="O1275" s="64"/>
      <c r="P1275" s="64"/>
      <c r="Q1275" s="69"/>
      <c r="R1275" s="69"/>
      <c r="S1275" s="69"/>
    </row>
    <row r="1276" s="2" customFormat="1" ht="24.95" customHeight="1" spans="1:19">
      <c r="A1276" s="15"/>
      <c r="B1276" s="55"/>
      <c r="C1276" s="56"/>
      <c r="D1276" s="68"/>
      <c r="E1276" s="69"/>
      <c r="F1276" s="69"/>
      <c r="G1276" s="65"/>
      <c r="H1276" s="65"/>
      <c r="I1276" s="70"/>
      <c r="J1276" s="71"/>
      <c r="K1276" s="71"/>
      <c r="L1276" s="72" t="str">
        <f>IFERROR(IF(G1276="","",VLOOKUP($G1276,[1]基础信息!$B:$C,2,FALSE)+SUMIF(G$8:G1276,G1276,J$8:J1276)-SUMIF(G$8:G1276,G1276,K$8:K1276)+SUMIFS([1]内部转账!$G:$G,[1]内部转账!$C:$C,"&lt;="&amp;$D1276,[1]内部转账!$E:$E,$G1276)-SUMIFS([1]内部转账!$G:$G,[1]内部转账!$C:$C,"&lt;="&amp;$D1276,[1]内部转账!$F:$F,$G1276)),"")</f>
        <v/>
      </c>
      <c r="M1276" s="64"/>
      <c r="N1276" s="69"/>
      <c r="O1276" s="64"/>
      <c r="P1276" s="64"/>
      <c r="Q1276" s="69"/>
      <c r="R1276" s="69"/>
      <c r="S1276" s="69"/>
    </row>
    <row r="1277" s="2" customFormat="1" ht="24.95" customHeight="1" spans="1:19">
      <c r="A1277" s="15"/>
      <c r="B1277" s="55"/>
      <c r="C1277" s="56"/>
      <c r="D1277" s="68"/>
      <c r="E1277" s="69"/>
      <c r="F1277" s="69"/>
      <c r="G1277" s="65"/>
      <c r="H1277" s="65"/>
      <c r="I1277" s="70"/>
      <c r="J1277" s="71"/>
      <c r="K1277" s="71"/>
      <c r="L1277" s="72" t="str">
        <f>IFERROR(IF(G1277="","",VLOOKUP($G1277,[1]基础信息!$B:$C,2,FALSE)+SUMIF(G$8:G1277,G1277,J$8:J1277)-SUMIF(G$8:G1277,G1277,K$8:K1277)+SUMIFS([1]内部转账!$G:$G,[1]内部转账!$C:$C,"&lt;="&amp;$D1277,[1]内部转账!$E:$E,$G1277)-SUMIFS([1]内部转账!$G:$G,[1]内部转账!$C:$C,"&lt;="&amp;$D1277,[1]内部转账!$F:$F,$G1277)),"")</f>
        <v/>
      </c>
      <c r="M1277" s="64"/>
      <c r="N1277" s="69"/>
      <c r="O1277" s="64"/>
      <c r="P1277" s="64"/>
      <c r="Q1277" s="69"/>
      <c r="R1277" s="69"/>
      <c r="S1277" s="69"/>
    </row>
    <row r="1278" s="2" customFormat="1" ht="24.95" customHeight="1" spans="1:19">
      <c r="A1278" s="15"/>
      <c r="B1278" s="55"/>
      <c r="C1278" s="56"/>
      <c r="D1278" s="68"/>
      <c r="E1278" s="69"/>
      <c r="F1278" s="69"/>
      <c r="G1278" s="65"/>
      <c r="H1278" s="65"/>
      <c r="I1278" s="70"/>
      <c r="J1278" s="71"/>
      <c r="K1278" s="71"/>
      <c r="L1278" s="72" t="str">
        <f>IFERROR(IF(G1278="","",VLOOKUP($G1278,[1]基础信息!$B:$C,2,FALSE)+SUMIF(G$8:G1278,G1278,J$8:J1278)-SUMIF(G$8:G1278,G1278,K$8:K1278)+SUMIFS([1]内部转账!$G:$G,[1]内部转账!$C:$C,"&lt;="&amp;$D1278,[1]内部转账!$E:$E,$G1278)-SUMIFS([1]内部转账!$G:$G,[1]内部转账!$C:$C,"&lt;="&amp;$D1278,[1]内部转账!$F:$F,$G1278)),"")</f>
        <v/>
      </c>
      <c r="M1278" s="64"/>
      <c r="N1278" s="69"/>
      <c r="O1278" s="64"/>
      <c r="P1278" s="64"/>
      <c r="Q1278" s="69"/>
      <c r="R1278" s="69"/>
      <c r="S1278" s="69"/>
    </row>
    <row r="1279" s="2" customFormat="1" ht="24.95" customHeight="1" spans="1:19">
      <c r="A1279" s="15"/>
      <c r="B1279" s="55"/>
      <c r="C1279" s="56"/>
      <c r="D1279" s="68"/>
      <c r="E1279" s="69"/>
      <c r="F1279" s="69"/>
      <c r="G1279" s="65"/>
      <c r="H1279" s="65"/>
      <c r="I1279" s="70"/>
      <c r="J1279" s="71"/>
      <c r="K1279" s="71"/>
      <c r="L1279" s="72" t="str">
        <f>IFERROR(IF(G1279="","",VLOOKUP($G1279,[1]基础信息!$B:$C,2,FALSE)+SUMIF(G$8:G1279,G1279,J$8:J1279)-SUMIF(G$8:G1279,G1279,K$8:K1279)+SUMIFS([1]内部转账!$G:$G,[1]内部转账!$C:$C,"&lt;="&amp;$D1279,[1]内部转账!$E:$E,$G1279)-SUMIFS([1]内部转账!$G:$G,[1]内部转账!$C:$C,"&lt;="&amp;$D1279,[1]内部转账!$F:$F,$G1279)),"")</f>
        <v/>
      </c>
      <c r="M1279" s="64"/>
      <c r="N1279" s="69"/>
      <c r="O1279" s="64"/>
      <c r="P1279" s="64"/>
      <c r="Q1279" s="69"/>
      <c r="R1279" s="69"/>
      <c r="S1279" s="69"/>
    </row>
    <row r="1280" s="2" customFormat="1" ht="24.95" customHeight="1" spans="1:19">
      <c r="A1280" s="15"/>
      <c r="B1280" s="55"/>
      <c r="C1280" s="56"/>
      <c r="D1280" s="68"/>
      <c r="E1280" s="69"/>
      <c r="F1280" s="69"/>
      <c r="G1280" s="65"/>
      <c r="H1280" s="65"/>
      <c r="I1280" s="70"/>
      <c r="J1280" s="71"/>
      <c r="K1280" s="71"/>
      <c r="L1280" s="72" t="str">
        <f>IFERROR(IF(G1280="","",VLOOKUP($G1280,[1]基础信息!$B:$C,2,FALSE)+SUMIF(G$8:G1280,G1280,J$8:J1280)-SUMIF(G$8:G1280,G1280,K$8:K1280)+SUMIFS([1]内部转账!$G:$G,[1]内部转账!$C:$C,"&lt;="&amp;$D1280,[1]内部转账!$E:$E,$G1280)-SUMIFS([1]内部转账!$G:$G,[1]内部转账!$C:$C,"&lt;="&amp;$D1280,[1]内部转账!$F:$F,$G1280)),"")</f>
        <v/>
      </c>
      <c r="M1280" s="64"/>
      <c r="N1280" s="69"/>
      <c r="O1280" s="64"/>
      <c r="P1280" s="64"/>
      <c r="Q1280" s="69"/>
      <c r="R1280" s="69"/>
      <c r="S1280" s="69"/>
    </row>
    <row r="1281" s="2" customFormat="1" ht="24.95" customHeight="1" spans="1:19">
      <c r="A1281" s="15"/>
      <c r="B1281" s="55"/>
      <c r="C1281" s="56"/>
      <c r="D1281" s="68"/>
      <c r="E1281" s="69"/>
      <c r="F1281" s="69"/>
      <c r="G1281" s="65"/>
      <c r="H1281" s="65"/>
      <c r="I1281" s="70"/>
      <c r="J1281" s="71"/>
      <c r="K1281" s="71"/>
      <c r="L1281" s="72" t="str">
        <f>IFERROR(IF(G1281="","",VLOOKUP($G1281,[1]基础信息!$B:$C,2,FALSE)+SUMIF(G$8:G1281,G1281,J$8:J1281)-SUMIF(G$8:G1281,G1281,K$8:K1281)+SUMIFS([1]内部转账!$G:$G,[1]内部转账!$C:$C,"&lt;="&amp;$D1281,[1]内部转账!$E:$E,$G1281)-SUMIFS([1]内部转账!$G:$G,[1]内部转账!$C:$C,"&lt;="&amp;$D1281,[1]内部转账!$F:$F,$G1281)),"")</f>
        <v/>
      </c>
      <c r="M1281" s="64"/>
      <c r="N1281" s="69"/>
      <c r="O1281" s="64"/>
      <c r="P1281" s="64"/>
      <c r="Q1281" s="69"/>
      <c r="R1281" s="69"/>
      <c r="S1281" s="69"/>
    </row>
    <row r="1282" s="2" customFormat="1" ht="24.95" customHeight="1" spans="1:19">
      <c r="A1282" s="15"/>
      <c r="B1282" s="55"/>
      <c r="C1282" s="56"/>
      <c r="D1282" s="68"/>
      <c r="E1282" s="69"/>
      <c r="F1282" s="69"/>
      <c r="G1282" s="65"/>
      <c r="H1282" s="65"/>
      <c r="I1282" s="70"/>
      <c r="J1282" s="71"/>
      <c r="K1282" s="71"/>
      <c r="L1282" s="72" t="str">
        <f>IFERROR(IF(G1282="","",VLOOKUP($G1282,[1]基础信息!$B:$C,2,FALSE)+SUMIF(G$8:G1282,G1282,J$8:J1282)-SUMIF(G$8:G1282,G1282,K$8:K1282)+SUMIFS([1]内部转账!$G:$G,[1]内部转账!$C:$C,"&lt;="&amp;$D1282,[1]内部转账!$E:$E,$G1282)-SUMIFS([1]内部转账!$G:$G,[1]内部转账!$C:$C,"&lt;="&amp;$D1282,[1]内部转账!$F:$F,$G1282)),"")</f>
        <v/>
      </c>
      <c r="M1282" s="64"/>
      <c r="N1282" s="69"/>
      <c r="O1282" s="64"/>
      <c r="P1282" s="64"/>
      <c r="Q1282" s="69"/>
      <c r="R1282" s="69"/>
      <c r="S1282" s="69"/>
    </row>
    <row r="1283" s="2" customFormat="1" ht="24.95" customHeight="1" spans="1:19">
      <c r="A1283" s="15"/>
      <c r="B1283" s="55"/>
      <c r="C1283" s="56"/>
      <c r="D1283" s="68"/>
      <c r="E1283" s="69"/>
      <c r="F1283" s="69"/>
      <c r="G1283" s="65"/>
      <c r="H1283" s="65"/>
      <c r="I1283" s="70"/>
      <c r="J1283" s="71"/>
      <c r="K1283" s="71"/>
      <c r="L1283" s="72" t="str">
        <f>IFERROR(IF(G1283="","",VLOOKUP($G1283,[1]基础信息!$B:$C,2,FALSE)+SUMIF(G$8:G1283,G1283,J$8:J1283)-SUMIF(G$8:G1283,G1283,K$8:K1283)+SUMIFS([1]内部转账!$G:$G,[1]内部转账!$C:$C,"&lt;="&amp;$D1283,[1]内部转账!$E:$E,$G1283)-SUMIFS([1]内部转账!$G:$G,[1]内部转账!$C:$C,"&lt;="&amp;$D1283,[1]内部转账!$F:$F,$G1283)),"")</f>
        <v/>
      </c>
      <c r="M1283" s="64"/>
      <c r="N1283" s="69"/>
      <c r="O1283" s="64"/>
      <c r="P1283" s="64"/>
      <c r="Q1283" s="69"/>
      <c r="R1283" s="69"/>
      <c r="S1283" s="69"/>
    </row>
    <row r="1284" s="2" customFormat="1" ht="24.95" customHeight="1" spans="1:19">
      <c r="A1284" s="15"/>
      <c r="B1284" s="55"/>
      <c r="C1284" s="56"/>
      <c r="D1284" s="68"/>
      <c r="E1284" s="69"/>
      <c r="F1284" s="69"/>
      <c r="G1284" s="65"/>
      <c r="H1284" s="65"/>
      <c r="I1284" s="70"/>
      <c r="J1284" s="71"/>
      <c r="K1284" s="71"/>
      <c r="L1284" s="72" t="str">
        <f>IFERROR(IF(G1284="","",VLOOKUP($G1284,[1]基础信息!$B:$C,2,FALSE)+SUMIF(G$8:G1284,G1284,J$8:J1284)-SUMIF(G$8:G1284,G1284,K$8:K1284)+SUMIFS([1]内部转账!$G:$G,[1]内部转账!$C:$C,"&lt;="&amp;$D1284,[1]内部转账!$E:$E,$G1284)-SUMIFS([1]内部转账!$G:$G,[1]内部转账!$C:$C,"&lt;="&amp;$D1284,[1]内部转账!$F:$F,$G1284)),"")</f>
        <v/>
      </c>
      <c r="M1284" s="64"/>
      <c r="N1284" s="69"/>
      <c r="O1284" s="64"/>
      <c r="P1284" s="64"/>
      <c r="Q1284" s="69"/>
      <c r="R1284" s="69"/>
      <c r="S1284" s="69"/>
    </row>
    <row r="1285" s="2" customFormat="1" ht="24.95" customHeight="1" spans="1:19">
      <c r="A1285" s="15"/>
      <c r="B1285" s="55"/>
      <c r="C1285" s="56"/>
      <c r="D1285" s="68"/>
      <c r="E1285" s="69"/>
      <c r="F1285" s="69"/>
      <c r="G1285" s="65"/>
      <c r="H1285" s="65"/>
      <c r="I1285" s="70"/>
      <c r="J1285" s="71"/>
      <c r="K1285" s="71"/>
      <c r="L1285" s="72" t="str">
        <f>IFERROR(IF(G1285="","",VLOOKUP($G1285,[1]基础信息!$B:$C,2,FALSE)+SUMIF(G$8:G1285,G1285,J$8:J1285)-SUMIF(G$8:G1285,G1285,K$8:K1285)+SUMIFS([1]内部转账!$G:$G,[1]内部转账!$C:$C,"&lt;="&amp;$D1285,[1]内部转账!$E:$E,$G1285)-SUMIFS([1]内部转账!$G:$G,[1]内部转账!$C:$C,"&lt;="&amp;$D1285,[1]内部转账!$F:$F,$G1285)),"")</f>
        <v/>
      </c>
      <c r="M1285" s="64"/>
      <c r="N1285" s="69"/>
      <c r="O1285" s="64"/>
      <c r="P1285" s="64"/>
      <c r="Q1285" s="69"/>
      <c r="R1285" s="69"/>
      <c r="S1285" s="69"/>
    </row>
    <row r="1286" s="2" customFormat="1" ht="24.95" customHeight="1" spans="1:19">
      <c r="A1286" s="15"/>
      <c r="B1286" s="55"/>
      <c r="C1286" s="56"/>
      <c r="D1286" s="68"/>
      <c r="E1286" s="69"/>
      <c r="F1286" s="69"/>
      <c r="G1286" s="65"/>
      <c r="H1286" s="65"/>
      <c r="I1286" s="70"/>
      <c r="J1286" s="71"/>
      <c r="K1286" s="71"/>
      <c r="L1286" s="72" t="str">
        <f>IFERROR(IF(G1286="","",VLOOKUP($G1286,[1]基础信息!$B:$C,2,FALSE)+SUMIF(G$8:G1286,G1286,J$8:J1286)-SUMIF(G$8:G1286,G1286,K$8:K1286)+SUMIFS([1]内部转账!$G:$G,[1]内部转账!$C:$C,"&lt;="&amp;$D1286,[1]内部转账!$E:$E,$G1286)-SUMIFS([1]内部转账!$G:$G,[1]内部转账!$C:$C,"&lt;="&amp;$D1286,[1]内部转账!$F:$F,$G1286)),"")</f>
        <v/>
      </c>
      <c r="M1286" s="64"/>
      <c r="N1286" s="69"/>
      <c r="O1286" s="64"/>
      <c r="P1286" s="64"/>
      <c r="Q1286" s="69"/>
      <c r="R1286" s="69"/>
      <c r="S1286" s="69"/>
    </row>
    <row r="1287" s="2" customFormat="1" ht="24.95" customHeight="1" spans="1:19">
      <c r="A1287" s="15"/>
      <c r="B1287" s="55"/>
      <c r="C1287" s="56"/>
      <c r="D1287" s="68"/>
      <c r="E1287" s="69"/>
      <c r="F1287" s="69"/>
      <c r="G1287" s="65"/>
      <c r="H1287" s="65"/>
      <c r="I1287" s="70"/>
      <c r="J1287" s="71"/>
      <c r="K1287" s="71"/>
      <c r="L1287" s="72" t="str">
        <f>IFERROR(IF(G1287="","",VLOOKUP($G1287,[1]基础信息!$B:$C,2,FALSE)+SUMIF(G$8:G1287,G1287,J$8:J1287)-SUMIF(G$8:G1287,G1287,K$8:K1287)+SUMIFS([1]内部转账!$G:$G,[1]内部转账!$C:$C,"&lt;="&amp;$D1287,[1]内部转账!$E:$E,$G1287)-SUMIFS([1]内部转账!$G:$G,[1]内部转账!$C:$C,"&lt;="&amp;$D1287,[1]内部转账!$F:$F,$G1287)),"")</f>
        <v/>
      </c>
      <c r="M1287" s="64"/>
      <c r="N1287" s="69"/>
      <c r="O1287" s="64"/>
      <c r="P1287" s="64"/>
      <c r="Q1287" s="69"/>
      <c r="R1287" s="69"/>
      <c r="S1287" s="69"/>
    </row>
    <row r="1288" s="2" customFormat="1" ht="24.95" customHeight="1" spans="1:19">
      <c r="A1288" s="15"/>
      <c r="B1288" s="55"/>
      <c r="C1288" s="56"/>
      <c r="D1288" s="68"/>
      <c r="E1288" s="69"/>
      <c r="F1288" s="69"/>
      <c r="G1288" s="65"/>
      <c r="H1288" s="65"/>
      <c r="I1288" s="70"/>
      <c r="J1288" s="71"/>
      <c r="K1288" s="71"/>
      <c r="L1288" s="72" t="str">
        <f>IFERROR(IF(G1288="","",VLOOKUP($G1288,[1]基础信息!$B:$C,2,FALSE)+SUMIF(G$8:G1288,G1288,J$8:J1288)-SUMIF(G$8:G1288,G1288,K$8:K1288)+SUMIFS([1]内部转账!$G:$G,[1]内部转账!$C:$C,"&lt;="&amp;$D1288,[1]内部转账!$E:$E,$G1288)-SUMIFS([1]内部转账!$G:$G,[1]内部转账!$C:$C,"&lt;="&amp;$D1288,[1]内部转账!$F:$F,$G1288)),"")</f>
        <v/>
      </c>
      <c r="M1288" s="64"/>
      <c r="N1288" s="69"/>
      <c r="O1288" s="64"/>
      <c r="P1288" s="64"/>
      <c r="Q1288" s="69"/>
      <c r="R1288" s="69"/>
      <c r="S1288" s="69"/>
    </row>
    <row r="1289" s="2" customFormat="1" ht="24.95" customHeight="1" spans="1:19">
      <c r="A1289" s="15"/>
      <c r="B1289" s="55"/>
      <c r="C1289" s="56"/>
      <c r="D1289" s="68"/>
      <c r="E1289" s="69"/>
      <c r="F1289" s="69"/>
      <c r="G1289" s="65"/>
      <c r="H1289" s="65"/>
      <c r="I1289" s="70"/>
      <c r="J1289" s="71"/>
      <c r="K1289" s="71"/>
      <c r="L1289" s="72" t="str">
        <f>IFERROR(IF(G1289="","",VLOOKUP($G1289,[1]基础信息!$B:$C,2,FALSE)+SUMIF(G$8:G1289,G1289,J$8:J1289)-SUMIF(G$8:G1289,G1289,K$8:K1289)+SUMIFS([1]内部转账!$G:$G,[1]内部转账!$C:$C,"&lt;="&amp;$D1289,[1]内部转账!$E:$E,$G1289)-SUMIFS([1]内部转账!$G:$G,[1]内部转账!$C:$C,"&lt;="&amp;$D1289,[1]内部转账!$F:$F,$G1289)),"")</f>
        <v/>
      </c>
      <c r="M1289" s="64"/>
      <c r="N1289" s="69"/>
      <c r="O1289" s="64"/>
      <c r="P1289" s="64"/>
      <c r="Q1289" s="69"/>
      <c r="R1289" s="69"/>
      <c r="S1289" s="69"/>
    </row>
    <row r="1290" s="2" customFormat="1" ht="24.95" customHeight="1" spans="1:19">
      <c r="A1290" s="15"/>
      <c r="B1290" s="55"/>
      <c r="C1290" s="56"/>
      <c r="D1290" s="68"/>
      <c r="E1290" s="69"/>
      <c r="F1290" s="69"/>
      <c r="G1290" s="65"/>
      <c r="H1290" s="65"/>
      <c r="I1290" s="70"/>
      <c r="J1290" s="71"/>
      <c r="K1290" s="71"/>
      <c r="L1290" s="72" t="str">
        <f>IFERROR(IF(G1290="","",VLOOKUP($G1290,[1]基础信息!$B:$C,2,FALSE)+SUMIF(G$8:G1290,G1290,J$8:J1290)-SUMIF(G$8:G1290,G1290,K$8:K1290)+SUMIFS([1]内部转账!$G:$G,[1]内部转账!$C:$C,"&lt;="&amp;$D1290,[1]内部转账!$E:$E,$G1290)-SUMIFS([1]内部转账!$G:$G,[1]内部转账!$C:$C,"&lt;="&amp;$D1290,[1]内部转账!$F:$F,$G1290)),"")</f>
        <v/>
      </c>
      <c r="M1290" s="64"/>
      <c r="N1290" s="69"/>
      <c r="O1290" s="64"/>
      <c r="P1290" s="64"/>
      <c r="Q1290" s="69"/>
      <c r="R1290" s="69"/>
      <c r="S1290" s="69"/>
    </row>
    <row r="1291" s="2" customFormat="1" ht="24.95" customHeight="1" spans="1:19">
      <c r="A1291" s="15"/>
      <c r="B1291" s="55"/>
      <c r="C1291" s="56"/>
      <c r="D1291" s="68"/>
      <c r="E1291" s="69"/>
      <c r="F1291" s="69"/>
      <c r="G1291" s="65"/>
      <c r="H1291" s="65"/>
      <c r="I1291" s="70"/>
      <c r="J1291" s="71"/>
      <c r="K1291" s="71"/>
      <c r="L1291" s="72" t="str">
        <f>IFERROR(IF(G1291="","",VLOOKUP($G1291,[1]基础信息!$B:$C,2,FALSE)+SUMIF(G$8:G1291,G1291,J$8:J1291)-SUMIF(G$8:G1291,G1291,K$8:K1291)+SUMIFS([1]内部转账!$G:$G,[1]内部转账!$C:$C,"&lt;="&amp;$D1291,[1]内部转账!$E:$E,$G1291)-SUMIFS([1]内部转账!$G:$G,[1]内部转账!$C:$C,"&lt;="&amp;$D1291,[1]内部转账!$F:$F,$G1291)),"")</f>
        <v/>
      </c>
      <c r="M1291" s="64"/>
      <c r="N1291" s="69"/>
      <c r="O1291" s="64"/>
      <c r="P1291" s="64"/>
      <c r="Q1291" s="69"/>
      <c r="R1291" s="69"/>
      <c r="S1291" s="69"/>
    </row>
    <row r="1292" s="2" customFormat="1" ht="24.95" customHeight="1" spans="1:19">
      <c r="A1292" s="15"/>
      <c r="B1292" s="55"/>
      <c r="C1292" s="56"/>
      <c r="D1292" s="68"/>
      <c r="E1292" s="69"/>
      <c r="F1292" s="69"/>
      <c r="G1292" s="65"/>
      <c r="H1292" s="65"/>
      <c r="I1292" s="70"/>
      <c r="J1292" s="71"/>
      <c r="K1292" s="71"/>
      <c r="L1292" s="72" t="str">
        <f>IFERROR(IF(G1292="","",VLOOKUP($G1292,[1]基础信息!$B:$C,2,FALSE)+SUMIF(G$8:G1292,G1292,J$8:J1292)-SUMIF(G$8:G1292,G1292,K$8:K1292)+SUMIFS([1]内部转账!$G:$G,[1]内部转账!$C:$C,"&lt;="&amp;$D1292,[1]内部转账!$E:$E,$G1292)-SUMIFS([1]内部转账!$G:$G,[1]内部转账!$C:$C,"&lt;="&amp;$D1292,[1]内部转账!$F:$F,$G1292)),"")</f>
        <v/>
      </c>
      <c r="M1292" s="64"/>
      <c r="N1292" s="69"/>
      <c r="O1292" s="64"/>
      <c r="P1292" s="64"/>
      <c r="Q1292" s="69"/>
      <c r="R1292" s="69"/>
      <c r="S1292" s="69"/>
    </row>
    <row r="1293" s="2" customFormat="1" ht="24.95" customHeight="1" spans="1:19">
      <c r="A1293" s="15"/>
      <c r="B1293" s="55"/>
      <c r="C1293" s="56"/>
      <c r="D1293" s="68"/>
      <c r="E1293" s="69"/>
      <c r="F1293" s="69"/>
      <c r="G1293" s="65"/>
      <c r="H1293" s="65"/>
      <c r="I1293" s="70"/>
      <c r="J1293" s="71"/>
      <c r="K1293" s="71"/>
      <c r="L1293" s="72" t="str">
        <f>IFERROR(IF(G1293="","",VLOOKUP($G1293,[1]基础信息!$B:$C,2,FALSE)+SUMIF(G$8:G1293,G1293,J$8:J1293)-SUMIF(G$8:G1293,G1293,K$8:K1293)+SUMIFS([1]内部转账!$G:$G,[1]内部转账!$C:$C,"&lt;="&amp;$D1293,[1]内部转账!$E:$E,$G1293)-SUMIFS([1]内部转账!$G:$G,[1]内部转账!$C:$C,"&lt;="&amp;$D1293,[1]内部转账!$F:$F,$G1293)),"")</f>
        <v/>
      </c>
      <c r="M1293" s="64"/>
      <c r="N1293" s="69"/>
      <c r="O1293" s="64"/>
      <c r="P1293" s="64"/>
      <c r="Q1293" s="69"/>
      <c r="R1293" s="69"/>
      <c r="S1293" s="69"/>
    </row>
    <row r="1294" s="2" customFormat="1" ht="24.95" customHeight="1" spans="1:19">
      <c r="A1294" s="15"/>
      <c r="B1294" s="55"/>
      <c r="C1294" s="56"/>
      <c r="D1294" s="68"/>
      <c r="E1294" s="69"/>
      <c r="F1294" s="69"/>
      <c r="G1294" s="65"/>
      <c r="H1294" s="65"/>
      <c r="I1294" s="70"/>
      <c r="J1294" s="71"/>
      <c r="K1294" s="71"/>
      <c r="L1294" s="72" t="str">
        <f>IFERROR(IF(G1294="","",VLOOKUP($G1294,[1]基础信息!$B:$C,2,FALSE)+SUMIF(G$8:G1294,G1294,J$8:J1294)-SUMIF(G$8:G1294,G1294,K$8:K1294)+SUMIFS([1]内部转账!$G:$G,[1]内部转账!$C:$C,"&lt;="&amp;$D1294,[1]内部转账!$E:$E,$G1294)-SUMIFS([1]内部转账!$G:$G,[1]内部转账!$C:$C,"&lt;="&amp;$D1294,[1]内部转账!$F:$F,$G1294)),"")</f>
        <v/>
      </c>
      <c r="M1294" s="64"/>
      <c r="N1294" s="69"/>
      <c r="O1294" s="64"/>
      <c r="P1294" s="64"/>
      <c r="Q1294" s="69"/>
      <c r="R1294" s="69"/>
      <c r="S1294" s="69"/>
    </row>
    <row r="1295" s="2" customFormat="1" ht="24.95" customHeight="1" spans="1:19">
      <c r="A1295" s="15"/>
      <c r="B1295" s="55"/>
      <c r="C1295" s="56"/>
      <c r="D1295" s="68"/>
      <c r="E1295" s="69"/>
      <c r="F1295" s="69"/>
      <c r="G1295" s="65"/>
      <c r="H1295" s="65"/>
      <c r="I1295" s="70"/>
      <c r="J1295" s="71"/>
      <c r="K1295" s="71"/>
      <c r="L1295" s="72" t="str">
        <f>IFERROR(IF(G1295="","",VLOOKUP($G1295,[1]基础信息!$B:$C,2,FALSE)+SUMIF(G$8:G1295,G1295,J$8:J1295)-SUMIF(G$8:G1295,G1295,K$8:K1295)+SUMIFS([1]内部转账!$G:$G,[1]内部转账!$C:$C,"&lt;="&amp;$D1295,[1]内部转账!$E:$E,$G1295)-SUMIFS([1]内部转账!$G:$G,[1]内部转账!$C:$C,"&lt;="&amp;$D1295,[1]内部转账!$F:$F,$G1295)),"")</f>
        <v/>
      </c>
      <c r="M1295" s="64"/>
      <c r="N1295" s="69"/>
      <c r="O1295" s="64"/>
      <c r="P1295" s="64"/>
      <c r="Q1295" s="69"/>
      <c r="R1295" s="69"/>
      <c r="S1295" s="69"/>
    </row>
    <row r="1296" s="2" customFormat="1" ht="24.95" customHeight="1" spans="1:19">
      <c r="A1296" s="15"/>
      <c r="B1296" s="55"/>
      <c r="C1296" s="56"/>
      <c r="D1296" s="68"/>
      <c r="E1296" s="69"/>
      <c r="F1296" s="69"/>
      <c r="G1296" s="65"/>
      <c r="H1296" s="65"/>
      <c r="I1296" s="70"/>
      <c r="J1296" s="71"/>
      <c r="K1296" s="71"/>
      <c r="L1296" s="72" t="str">
        <f>IFERROR(IF(G1296="","",VLOOKUP($G1296,[1]基础信息!$B:$C,2,FALSE)+SUMIF(G$8:G1296,G1296,J$8:J1296)-SUMIF(G$8:G1296,G1296,K$8:K1296)+SUMIFS([1]内部转账!$G:$G,[1]内部转账!$C:$C,"&lt;="&amp;$D1296,[1]内部转账!$E:$E,$G1296)-SUMIFS([1]内部转账!$G:$G,[1]内部转账!$C:$C,"&lt;="&amp;$D1296,[1]内部转账!$F:$F,$G1296)),"")</f>
        <v/>
      </c>
      <c r="M1296" s="64"/>
      <c r="N1296" s="69"/>
      <c r="O1296" s="64"/>
      <c r="P1296" s="64"/>
      <c r="Q1296" s="69"/>
      <c r="R1296" s="69"/>
      <c r="S1296" s="69"/>
    </row>
    <row r="1297" s="2" customFormat="1" ht="24.95" customHeight="1" spans="1:19">
      <c r="A1297" s="15"/>
      <c r="B1297" s="55"/>
      <c r="C1297" s="56"/>
      <c r="D1297" s="68"/>
      <c r="E1297" s="69"/>
      <c r="F1297" s="69"/>
      <c r="G1297" s="65"/>
      <c r="H1297" s="65"/>
      <c r="I1297" s="70"/>
      <c r="J1297" s="71"/>
      <c r="K1297" s="71"/>
      <c r="L1297" s="72" t="str">
        <f>IFERROR(IF(G1297="","",VLOOKUP($G1297,[1]基础信息!$B:$C,2,FALSE)+SUMIF(G$8:G1297,G1297,J$8:J1297)-SUMIF(G$8:G1297,G1297,K$8:K1297)+SUMIFS([1]内部转账!$G:$G,[1]内部转账!$C:$C,"&lt;="&amp;$D1297,[1]内部转账!$E:$E,$G1297)-SUMIFS([1]内部转账!$G:$G,[1]内部转账!$C:$C,"&lt;="&amp;$D1297,[1]内部转账!$F:$F,$G1297)),"")</f>
        <v/>
      </c>
      <c r="M1297" s="64"/>
      <c r="N1297" s="69"/>
      <c r="O1297" s="64"/>
      <c r="P1297" s="64"/>
      <c r="Q1297" s="69"/>
      <c r="R1297" s="69"/>
      <c r="S1297" s="69"/>
    </row>
    <row r="1298" s="2" customFormat="1" ht="24.95" customHeight="1" spans="1:19">
      <c r="A1298" s="15"/>
      <c r="B1298" s="55"/>
      <c r="C1298" s="56"/>
      <c r="D1298" s="68"/>
      <c r="E1298" s="69"/>
      <c r="F1298" s="69"/>
      <c r="G1298" s="65"/>
      <c r="H1298" s="65"/>
      <c r="I1298" s="70"/>
      <c r="J1298" s="71"/>
      <c r="K1298" s="71"/>
      <c r="L1298" s="72" t="str">
        <f>IFERROR(IF(G1298="","",VLOOKUP($G1298,[1]基础信息!$B:$C,2,FALSE)+SUMIF(G$8:G1298,G1298,J$8:J1298)-SUMIF(G$8:G1298,G1298,K$8:K1298)+SUMIFS([1]内部转账!$G:$G,[1]内部转账!$C:$C,"&lt;="&amp;$D1298,[1]内部转账!$E:$E,$G1298)-SUMIFS([1]内部转账!$G:$G,[1]内部转账!$C:$C,"&lt;="&amp;$D1298,[1]内部转账!$F:$F,$G1298)),"")</f>
        <v/>
      </c>
      <c r="M1298" s="64"/>
      <c r="N1298" s="69"/>
      <c r="O1298" s="64"/>
      <c r="P1298" s="64"/>
      <c r="Q1298" s="69"/>
      <c r="R1298" s="69"/>
      <c r="S1298" s="69"/>
    </row>
    <row r="1299" s="2" customFormat="1" ht="24.95" customHeight="1" spans="1:19">
      <c r="A1299" s="15"/>
      <c r="B1299" s="55"/>
      <c r="C1299" s="56"/>
      <c r="D1299" s="68"/>
      <c r="E1299" s="69"/>
      <c r="F1299" s="69"/>
      <c r="G1299" s="65"/>
      <c r="H1299" s="65"/>
      <c r="I1299" s="70"/>
      <c r="J1299" s="71"/>
      <c r="K1299" s="71"/>
      <c r="L1299" s="72" t="str">
        <f>IFERROR(IF(G1299="","",VLOOKUP($G1299,[1]基础信息!$B:$C,2,FALSE)+SUMIF(G$8:G1299,G1299,J$8:J1299)-SUMIF(G$8:G1299,G1299,K$8:K1299)+SUMIFS([1]内部转账!$G:$G,[1]内部转账!$C:$C,"&lt;="&amp;$D1299,[1]内部转账!$E:$E,$G1299)-SUMIFS([1]内部转账!$G:$G,[1]内部转账!$C:$C,"&lt;="&amp;$D1299,[1]内部转账!$F:$F,$G1299)),"")</f>
        <v/>
      </c>
      <c r="M1299" s="64"/>
      <c r="N1299" s="69"/>
      <c r="O1299" s="64"/>
      <c r="P1299" s="64"/>
      <c r="Q1299" s="69"/>
      <c r="R1299" s="69"/>
      <c r="S1299" s="69"/>
    </row>
    <row r="1300" s="2" customFormat="1" ht="24.95" customHeight="1" spans="1:19">
      <c r="A1300" s="15"/>
      <c r="B1300" s="55"/>
      <c r="C1300" s="56"/>
      <c r="D1300" s="68"/>
      <c r="E1300" s="69"/>
      <c r="F1300" s="69"/>
      <c r="G1300" s="65"/>
      <c r="H1300" s="65"/>
      <c r="I1300" s="70"/>
      <c r="J1300" s="71"/>
      <c r="K1300" s="71"/>
      <c r="L1300" s="72" t="str">
        <f>IFERROR(IF(G1300="","",VLOOKUP($G1300,[1]基础信息!$B:$C,2,FALSE)+SUMIF(G$8:G1300,G1300,J$8:J1300)-SUMIF(G$8:G1300,G1300,K$8:K1300)+SUMIFS([1]内部转账!$G:$G,[1]内部转账!$C:$C,"&lt;="&amp;$D1300,[1]内部转账!$E:$E,$G1300)-SUMIFS([1]内部转账!$G:$G,[1]内部转账!$C:$C,"&lt;="&amp;$D1300,[1]内部转账!$F:$F,$G1300)),"")</f>
        <v/>
      </c>
      <c r="M1300" s="64"/>
      <c r="N1300" s="69"/>
      <c r="O1300" s="64"/>
      <c r="P1300" s="64"/>
      <c r="Q1300" s="69"/>
      <c r="R1300" s="69"/>
      <c r="S1300" s="69"/>
    </row>
    <row r="1301" s="2" customFormat="1" ht="24.95" customHeight="1" spans="1:19">
      <c r="A1301" s="15"/>
      <c r="B1301" s="55"/>
      <c r="C1301" s="56"/>
      <c r="D1301" s="68"/>
      <c r="E1301" s="69"/>
      <c r="F1301" s="69"/>
      <c r="G1301" s="65"/>
      <c r="H1301" s="65"/>
      <c r="I1301" s="70"/>
      <c r="J1301" s="71"/>
      <c r="K1301" s="71"/>
      <c r="L1301" s="72" t="str">
        <f>IFERROR(IF(G1301="","",VLOOKUP($G1301,[1]基础信息!$B:$C,2,FALSE)+SUMIF(G$8:G1301,G1301,J$8:J1301)-SUMIF(G$8:G1301,G1301,K$8:K1301)+SUMIFS([1]内部转账!$G:$G,[1]内部转账!$C:$C,"&lt;="&amp;$D1301,[1]内部转账!$E:$E,$G1301)-SUMIFS([1]内部转账!$G:$G,[1]内部转账!$C:$C,"&lt;="&amp;$D1301,[1]内部转账!$F:$F,$G1301)),"")</f>
        <v/>
      </c>
      <c r="M1301" s="64"/>
      <c r="N1301" s="69"/>
      <c r="O1301" s="64"/>
      <c r="P1301" s="64"/>
      <c r="Q1301" s="69"/>
      <c r="R1301" s="69"/>
      <c r="S1301" s="69"/>
    </row>
    <row r="1302" s="2" customFormat="1" ht="24.95" customHeight="1" spans="1:19">
      <c r="A1302" s="15"/>
      <c r="B1302" s="55"/>
      <c r="C1302" s="56"/>
      <c r="D1302" s="68"/>
      <c r="E1302" s="69"/>
      <c r="F1302" s="69"/>
      <c r="G1302" s="65"/>
      <c r="H1302" s="65"/>
      <c r="I1302" s="70"/>
      <c r="J1302" s="71"/>
      <c r="K1302" s="71"/>
      <c r="L1302" s="72" t="str">
        <f>IFERROR(IF(G1302="","",VLOOKUP($G1302,[1]基础信息!$B:$C,2,FALSE)+SUMIF(G$8:G1302,G1302,J$8:J1302)-SUMIF(G$8:G1302,G1302,K$8:K1302)+SUMIFS([1]内部转账!$G:$G,[1]内部转账!$C:$C,"&lt;="&amp;$D1302,[1]内部转账!$E:$E,$G1302)-SUMIFS([1]内部转账!$G:$G,[1]内部转账!$C:$C,"&lt;="&amp;$D1302,[1]内部转账!$F:$F,$G1302)),"")</f>
        <v/>
      </c>
      <c r="M1302" s="64"/>
      <c r="N1302" s="69"/>
      <c r="O1302" s="64"/>
      <c r="P1302" s="64"/>
      <c r="Q1302" s="69"/>
      <c r="R1302" s="69"/>
      <c r="S1302" s="69"/>
    </row>
    <row r="1303" s="2" customFormat="1" ht="24.95" customHeight="1" spans="1:19">
      <c r="A1303" s="15"/>
      <c r="B1303" s="55"/>
      <c r="C1303" s="56"/>
      <c r="D1303" s="68"/>
      <c r="E1303" s="69"/>
      <c r="F1303" s="69"/>
      <c r="G1303" s="65"/>
      <c r="H1303" s="65"/>
      <c r="I1303" s="70"/>
      <c r="J1303" s="71"/>
      <c r="K1303" s="71"/>
      <c r="L1303" s="72" t="str">
        <f>IFERROR(IF(G1303="","",VLOOKUP($G1303,[1]基础信息!$B:$C,2,FALSE)+SUMIF(G$8:G1303,G1303,J$8:J1303)-SUMIF(G$8:G1303,G1303,K$8:K1303)+SUMIFS([1]内部转账!$G:$G,[1]内部转账!$C:$C,"&lt;="&amp;$D1303,[1]内部转账!$E:$E,$G1303)-SUMIFS([1]内部转账!$G:$G,[1]内部转账!$C:$C,"&lt;="&amp;$D1303,[1]内部转账!$F:$F,$G1303)),"")</f>
        <v/>
      </c>
      <c r="M1303" s="64"/>
      <c r="N1303" s="69"/>
      <c r="O1303" s="64"/>
      <c r="P1303" s="64"/>
      <c r="Q1303" s="69"/>
      <c r="R1303" s="69"/>
      <c r="S1303" s="69"/>
    </row>
    <row r="1304" s="2" customFormat="1" ht="24.95" customHeight="1" spans="1:19">
      <c r="A1304" s="15"/>
      <c r="B1304" s="55"/>
      <c r="C1304" s="56"/>
      <c r="D1304" s="68"/>
      <c r="E1304" s="69"/>
      <c r="F1304" s="69"/>
      <c r="G1304" s="65"/>
      <c r="H1304" s="65"/>
      <c r="I1304" s="70"/>
      <c r="J1304" s="71"/>
      <c r="K1304" s="71"/>
      <c r="L1304" s="72" t="str">
        <f>IFERROR(IF(G1304="","",VLOOKUP($G1304,[1]基础信息!$B:$C,2,FALSE)+SUMIF(G$8:G1304,G1304,J$8:J1304)-SUMIF(G$8:G1304,G1304,K$8:K1304)+SUMIFS([1]内部转账!$G:$G,[1]内部转账!$C:$C,"&lt;="&amp;$D1304,[1]内部转账!$E:$E,$G1304)-SUMIFS([1]内部转账!$G:$G,[1]内部转账!$C:$C,"&lt;="&amp;$D1304,[1]内部转账!$F:$F,$G1304)),"")</f>
        <v/>
      </c>
      <c r="M1304" s="64"/>
      <c r="N1304" s="69"/>
      <c r="O1304" s="64"/>
      <c r="P1304" s="64"/>
      <c r="Q1304" s="69"/>
      <c r="R1304" s="69"/>
      <c r="S1304" s="69"/>
    </row>
    <row r="1305" s="2" customFormat="1" ht="24.95" customHeight="1" spans="1:19">
      <c r="A1305" s="15"/>
      <c r="B1305" s="55"/>
      <c r="C1305" s="56"/>
      <c r="D1305" s="68"/>
      <c r="E1305" s="69"/>
      <c r="F1305" s="69"/>
      <c r="G1305" s="65"/>
      <c r="H1305" s="65"/>
      <c r="I1305" s="70"/>
      <c r="J1305" s="71"/>
      <c r="K1305" s="71"/>
      <c r="L1305" s="72" t="str">
        <f>IFERROR(IF(G1305="","",VLOOKUP($G1305,[1]基础信息!$B:$C,2,FALSE)+SUMIF(G$8:G1305,G1305,J$8:J1305)-SUMIF(G$8:G1305,G1305,K$8:K1305)+SUMIFS([1]内部转账!$G:$G,[1]内部转账!$C:$C,"&lt;="&amp;$D1305,[1]内部转账!$E:$E,$G1305)-SUMIFS([1]内部转账!$G:$G,[1]内部转账!$C:$C,"&lt;="&amp;$D1305,[1]内部转账!$F:$F,$G1305)),"")</f>
        <v/>
      </c>
      <c r="M1305" s="64"/>
      <c r="N1305" s="69"/>
      <c r="O1305" s="64"/>
      <c r="P1305" s="64"/>
      <c r="Q1305" s="69"/>
      <c r="R1305" s="69"/>
      <c r="S1305" s="69"/>
    </row>
    <row r="1306" s="2" customFormat="1" ht="24.95" customHeight="1" spans="1:19">
      <c r="A1306" s="15"/>
      <c r="B1306" s="55"/>
      <c r="C1306" s="56"/>
      <c r="D1306" s="68"/>
      <c r="E1306" s="69"/>
      <c r="F1306" s="69"/>
      <c r="G1306" s="65"/>
      <c r="H1306" s="65"/>
      <c r="I1306" s="70"/>
      <c r="J1306" s="71"/>
      <c r="K1306" s="71"/>
      <c r="L1306" s="72" t="str">
        <f>IFERROR(IF(G1306="","",VLOOKUP($G1306,[1]基础信息!$B:$C,2,FALSE)+SUMIF(G$8:G1306,G1306,J$8:J1306)-SUMIF(G$8:G1306,G1306,K$8:K1306)+SUMIFS([1]内部转账!$G:$G,[1]内部转账!$C:$C,"&lt;="&amp;$D1306,[1]内部转账!$E:$E,$G1306)-SUMIFS([1]内部转账!$G:$G,[1]内部转账!$C:$C,"&lt;="&amp;$D1306,[1]内部转账!$F:$F,$G1306)),"")</f>
        <v/>
      </c>
      <c r="M1306" s="64"/>
      <c r="N1306" s="69"/>
      <c r="O1306" s="64"/>
      <c r="P1306" s="64"/>
      <c r="Q1306" s="69"/>
      <c r="R1306" s="69"/>
      <c r="S1306" s="69"/>
    </row>
    <row r="1307" s="2" customFormat="1" ht="24.95" customHeight="1" spans="1:19">
      <c r="A1307" s="15"/>
      <c r="B1307" s="55"/>
      <c r="C1307" s="56"/>
      <c r="D1307" s="68"/>
      <c r="E1307" s="69"/>
      <c r="F1307" s="69"/>
      <c r="G1307" s="65"/>
      <c r="H1307" s="65"/>
      <c r="I1307" s="70"/>
      <c r="J1307" s="71"/>
      <c r="K1307" s="71"/>
      <c r="L1307" s="72" t="str">
        <f>IFERROR(IF(G1307="","",VLOOKUP($G1307,[1]基础信息!$B:$C,2,FALSE)+SUMIF(G$8:G1307,G1307,J$8:J1307)-SUMIF(G$8:G1307,G1307,K$8:K1307)+SUMIFS([1]内部转账!$G:$G,[1]内部转账!$C:$C,"&lt;="&amp;$D1307,[1]内部转账!$E:$E,$G1307)-SUMIFS([1]内部转账!$G:$G,[1]内部转账!$C:$C,"&lt;="&amp;$D1307,[1]内部转账!$F:$F,$G1307)),"")</f>
        <v/>
      </c>
      <c r="M1307" s="64"/>
      <c r="N1307" s="69"/>
      <c r="O1307" s="64"/>
      <c r="P1307" s="64"/>
      <c r="Q1307" s="69"/>
      <c r="R1307" s="69"/>
      <c r="S1307" s="69"/>
    </row>
    <row r="1308" s="2" customFormat="1" ht="24.95" customHeight="1" spans="1:19">
      <c r="A1308" s="15"/>
      <c r="B1308" s="55"/>
      <c r="C1308" s="56"/>
      <c r="D1308" s="68"/>
      <c r="E1308" s="69"/>
      <c r="F1308" s="69"/>
      <c r="G1308" s="65"/>
      <c r="H1308" s="65"/>
      <c r="I1308" s="70"/>
      <c r="J1308" s="71"/>
      <c r="K1308" s="71"/>
      <c r="L1308" s="72" t="str">
        <f>IFERROR(IF(G1308="","",VLOOKUP($G1308,[1]基础信息!$B:$C,2,FALSE)+SUMIF(G$8:G1308,G1308,J$8:J1308)-SUMIF(G$8:G1308,G1308,K$8:K1308)+SUMIFS([1]内部转账!$G:$G,[1]内部转账!$C:$C,"&lt;="&amp;$D1308,[1]内部转账!$E:$E,$G1308)-SUMIFS([1]内部转账!$G:$G,[1]内部转账!$C:$C,"&lt;="&amp;$D1308,[1]内部转账!$F:$F,$G1308)),"")</f>
        <v/>
      </c>
      <c r="M1308" s="64"/>
      <c r="N1308" s="69"/>
      <c r="O1308" s="64"/>
      <c r="P1308" s="64"/>
      <c r="Q1308" s="69"/>
      <c r="R1308" s="69"/>
      <c r="S1308" s="69"/>
    </row>
    <row r="1309" s="2" customFormat="1" ht="24.95" customHeight="1" spans="1:19">
      <c r="A1309" s="15"/>
      <c r="B1309" s="55"/>
      <c r="C1309" s="56"/>
      <c r="D1309" s="68"/>
      <c r="E1309" s="69"/>
      <c r="F1309" s="69"/>
      <c r="G1309" s="65"/>
      <c r="H1309" s="65"/>
      <c r="I1309" s="70"/>
      <c r="J1309" s="71"/>
      <c r="K1309" s="71"/>
      <c r="L1309" s="72" t="str">
        <f>IFERROR(IF(G1309="","",VLOOKUP($G1309,[1]基础信息!$B:$C,2,FALSE)+SUMIF(G$8:G1309,G1309,J$8:J1309)-SUMIF(G$8:G1309,G1309,K$8:K1309)+SUMIFS([1]内部转账!$G:$G,[1]内部转账!$C:$C,"&lt;="&amp;$D1309,[1]内部转账!$E:$E,$G1309)-SUMIFS([1]内部转账!$G:$G,[1]内部转账!$C:$C,"&lt;="&amp;$D1309,[1]内部转账!$F:$F,$G1309)),"")</f>
        <v/>
      </c>
      <c r="M1309" s="64"/>
      <c r="N1309" s="69"/>
      <c r="O1309" s="64"/>
      <c r="P1309" s="64"/>
      <c r="Q1309" s="69"/>
      <c r="R1309" s="69"/>
      <c r="S1309" s="69"/>
    </row>
    <row r="1310" s="2" customFormat="1" ht="24.95" customHeight="1" spans="1:19">
      <c r="A1310" s="15"/>
      <c r="B1310" s="55"/>
      <c r="C1310" s="56"/>
      <c r="D1310" s="68"/>
      <c r="E1310" s="69"/>
      <c r="F1310" s="69"/>
      <c r="G1310" s="65"/>
      <c r="H1310" s="65"/>
      <c r="I1310" s="70"/>
      <c r="J1310" s="71"/>
      <c r="K1310" s="71"/>
      <c r="L1310" s="72" t="str">
        <f>IFERROR(IF(G1310="","",VLOOKUP($G1310,[1]基础信息!$B:$C,2,FALSE)+SUMIF(G$8:G1310,G1310,J$8:J1310)-SUMIF(G$8:G1310,G1310,K$8:K1310)+SUMIFS([1]内部转账!$G:$G,[1]内部转账!$C:$C,"&lt;="&amp;$D1310,[1]内部转账!$E:$E,$G1310)-SUMIFS([1]内部转账!$G:$G,[1]内部转账!$C:$C,"&lt;="&amp;$D1310,[1]内部转账!$F:$F,$G1310)),"")</f>
        <v/>
      </c>
      <c r="M1310" s="64"/>
      <c r="N1310" s="69"/>
      <c r="O1310" s="64"/>
      <c r="P1310" s="64"/>
      <c r="Q1310" s="69"/>
      <c r="R1310" s="69"/>
      <c r="S1310" s="69"/>
    </row>
    <row r="1311" s="2" customFormat="1" ht="24.95" customHeight="1" spans="1:19">
      <c r="A1311" s="15"/>
      <c r="B1311" s="55"/>
      <c r="C1311" s="56"/>
      <c r="D1311" s="68"/>
      <c r="E1311" s="69"/>
      <c r="F1311" s="69"/>
      <c r="G1311" s="65"/>
      <c r="H1311" s="65"/>
      <c r="I1311" s="70"/>
      <c r="J1311" s="71"/>
      <c r="K1311" s="71"/>
      <c r="L1311" s="72" t="str">
        <f>IFERROR(IF(G1311="","",VLOOKUP($G1311,[1]基础信息!$B:$C,2,FALSE)+SUMIF(G$8:G1311,G1311,J$8:J1311)-SUMIF(G$8:G1311,G1311,K$8:K1311)+SUMIFS([1]内部转账!$G:$G,[1]内部转账!$C:$C,"&lt;="&amp;$D1311,[1]内部转账!$E:$E,$G1311)-SUMIFS([1]内部转账!$G:$G,[1]内部转账!$C:$C,"&lt;="&amp;$D1311,[1]内部转账!$F:$F,$G1311)),"")</f>
        <v/>
      </c>
      <c r="M1311" s="64"/>
      <c r="N1311" s="69"/>
      <c r="O1311" s="64"/>
      <c r="P1311" s="64"/>
      <c r="Q1311" s="69"/>
      <c r="R1311" s="69"/>
      <c r="S1311" s="69"/>
    </row>
    <row r="1312" s="2" customFormat="1" ht="24.95" customHeight="1" spans="1:19">
      <c r="A1312" s="15"/>
      <c r="B1312" s="55"/>
      <c r="C1312" s="56"/>
      <c r="D1312" s="68"/>
      <c r="E1312" s="69"/>
      <c r="F1312" s="69"/>
      <c r="G1312" s="65"/>
      <c r="H1312" s="65"/>
      <c r="I1312" s="70"/>
      <c r="J1312" s="71"/>
      <c r="K1312" s="71"/>
      <c r="L1312" s="72" t="str">
        <f>IFERROR(IF(G1312="","",VLOOKUP($G1312,[1]基础信息!$B:$C,2,FALSE)+SUMIF(G$8:G1312,G1312,J$8:J1312)-SUMIF(G$8:G1312,G1312,K$8:K1312)+SUMIFS([1]内部转账!$G:$G,[1]内部转账!$C:$C,"&lt;="&amp;$D1312,[1]内部转账!$E:$E,$G1312)-SUMIFS([1]内部转账!$G:$G,[1]内部转账!$C:$C,"&lt;="&amp;$D1312,[1]内部转账!$F:$F,$G1312)),"")</f>
        <v/>
      </c>
      <c r="M1312" s="64"/>
      <c r="N1312" s="69"/>
      <c r="O1312" s="64"/>
      <c r="P1312" s="64"/>
      <c r="Q1312" s="69"/>
      <c r="R1312" s="69"/>
      <c r="S1312" s="69"/>
    </row>
    <row r="1313" s="2" customFormat="1" ht="24.95" customHeight="1" spans="1:19">
      <c r="A1313" s="15"/>
      <c r="B1313" s="55"/>
      <c r="C1313" s="56"/>
      <c r="D1313" s="68"/>
      <c r="E1313" s="69"/>
      <c r="F1313" s="69"/>
      <c r="G1313" s="65"/>
      <c r="H1313" s="65"/>
      <c r="I1313" s="70"/>
      <c r="J1313" s="71"/>
      <c r="K1313" s="71"/>
      <c r="L1313" s="72" t="str">
        <f>IFERROR(IF(G1313="","",VLOOKUP($G1313,[1]基础信息!$B:$C,2,FALSE)+SUMIF(G$8:G1313,G1313,J$8:J1313)-SUMIF(G$8:G1313,G1313,K$8:K1313)+SUMIFS([1]内部转账!$G:$G,[1]内部转账!$C:$C,"&lt;="&amp;$D1313,[1]内部转账!$E:$E,$G1313)-SUMIFS([1]内部转账!$G:$G,[1]内部转账!$C:$C,"&lt;="&amp;$D1313,[1]内部转账!$F:$F,$G1313)),"")</f>
        <v/>
      </c>
      <c r="M1313" s="64"/>
      <c r="N1313" s="69"/>
      <c r="O1313" s="64"/>
      <c r="P1313" s="64"/>
      <c r="Q1313" s="69"/>
      <c r="R1313" s="69"/>
      <c r="S1313" s="69"/>
    </row>
    <row r="1314" s="2" customFormat="1" ht="24.95" customHeight="1" spans="1:19">
      <c r="A1314" s="15"/>
      <c r="B1314" s="55"/>
      <c r="C1314" s="56"/>
      <c r="D1314" s="68"/>
      <c r="E1314" s="69"/>
      <c r="F1314" s="69"/>
      <c r="G1314" s="65"/>
      <c r="H1314" s="65"/>
      <c r="I1314" s="70"/>
      <c r="J1314" s="71"/>
      <c r="K1314" s="71"/>
      <c r="L1314" s="72" t="str">
        <f>IFERROR(IF(G1314="","",VLOOKUP($G1314,[1]基础信息!$B:$C,2,FALSE)+SUMIF(G$8:G1314,G1314,J$8:J1314)-SUMIF(G$8:G1314,G1314,K$8:K1314)+SUMIFS([1]内部转账!$G:$G,[1]内部转账!$C:$C,"&lt;="&amp;$D1314,[1]内部转账!$E:$E,$G1314)-SUMIFS([1]内部转账!$G:$G,[1]内部转账!$C:$C,"&lt;="&amp;$D1314,[1]内部转账!$F:$F,$G1314)),"")</f>
        <v/>
      </c>
      <c r="M1314" s="64"/>
      <c r="N1314" s="69"/>
      <c r="O1314" s="64"/>
      <c r="P1314" s="64"/>
      <c r="Q1314" s="69"/>
      <c r="R1314" s="69"/>
      <c r="S1314" s="69"/>
    </row>
    <row r="1315" s="2" customFormat="1" ht="24.95" customHeight="1" spans="1:19">
      <c r="A1315" s="15"/>
      <c r="B1315" s="55"/>
      <c r="C1315" s="56"/>
      <c r="D1315" s="68"/>
      <c r="E1315" s="69"/>
      <c r="F1315" s="69"/>
      <c r="G1315" s="65"/>
      <c r="H1315" s="65"/>
      <c r="I1315" s="70"/>
      <c r="J1315" s="71"/>
      <c r="K1315" s="71"/>
      <c r="L1315" s="72" t="str">
        <f>IFERROR(IF(G1315="","",VLOOKUP($G1315,[1]基础信息!$B:$C,2,FALSE)+SUMIF(G$8:G1315,G1315,J$8:J1315)-SUMIF(G$8:G1315,G1315,K$8:K1315)+SUMIFS([1]内部转账!$G:$G,[1]内部转账!$C:$C,"&lt;="&amp;$D1315,[1]内部转账!$E:$E,$G1315)-SUMIFS([1]内部转账!$G:$G,[1]内部转账!$C:$C,"&lt;="&amp;$D1315,[1]内部转账!$F:$F,$G1315)),"")</f>
        <v/>
      </c>
      <c r="M1315" s="64"/>
      <c r="N1315" s="69"/>
      <c r="O1315" s="64"/>
      <c r="P1315" s="64"/>
      <c r="Q1315" s="69"/>
      <c r="R1315" s="69"/>
      <c r="S1315" s="69"/>
    </row>
    <row r="1316" s="2" customFormat="1" ht="24.95" customHeight="1" spans="1:19">
      <c r="A1316" s="15"/>
      <c r="B1316" s="55"/>
      <c r="C1316" s="56"/>
      <c r="D1316" s="68"/>
      <c r="E1316" s="69"/>
      <c r="F1316" s="69"/>
      <c r="G1316" s="65"/>
      <c r="H1316" s="65"/>
      <c r="I1316" s="70"/>
      <c r="J1316" s="71"/>
      <c r="K1316" s="71"/>
      <c r="L1316" s="72" t="str">
        <f>IFERROR(IF(G1316="","",VLOOKUP($G1316,[1]基础信息!$B:$C,2,FALSE)+SUMIF(G$8:G1316,G1316,J$8:J1316)-SUMIF(G$8:G1316,G1316,K$8:K1316)+SUMIFS([1]内部转账!$G:$G,[1]内部转账!$C:$C,"&lt;="&amp;$D1316,[1]内部转账!$E:$E,$G1316)-SUMIFS([1]内部转账!$G:$G,[1]内部转账!$C:$C,"&lt;="&amp;$D1316,[1]内部转账!$F:$F,$G1316)),"")</f>
        <v/>
      </c>
      <c r="M1316" s="64"/>
      <c r="N1316" s="69"/>
      <c r="O1316" s="64"/>
      <c r="P1316" s="64"/>
      <c r="Q1316" s="69"/>
      <c r="R1316" s="69"/>
      <c r="S1316" s="69"/>
    </row>
    <row r="1317" s="2" customFormat="1" ht="24.95" customHeight="1" spans="1:19">
      <c r="A1317" s="15"/>
      <c r="B1317" s="55"/>
      <c r="C1317" s="56"/>
      <c r="D1317" s="68"/>
      <c r="E1317" s="69"/>
      <c r="F1317" s="69"/>
      <c r="G1317" s="65"/>
      <c r="H1317" s="65"/>
      <c r="I1317" s="70"/>
      <c r="J1317" s="71"/>
      <c r="K1317" s="71"/>
      <c r="L1317" s="72" t="str">
        <f>IFERROR(IF(G1317="","",VLOOKUP($G1317,[1]基础信息!$B:$C,2,FALSE)+SUMIF(G$8:G1317,G1317,J$8:J1317)-SUMIF(G$8:G1317,G1317,K$8:K1317)+SUMIFS([1]内部转账!$G:$G,[1]内部转账!$C:$C,"&lt;="&amp;$D1317,[1]内部转账!$E:$E,$G1317)-SUMIFS([1]内部转账!$G:$G,[1]内部转账!$C:$C,"&lt;="&amp;$D1317,[1]内部转账!$F:$F,$G1317)),"")</f>
        <v/>
      </c>
      <c r="M1317" s="64"/>
      <c r="N1317" s="69"/>
      <c r="O1317" s="64"/>
      <c r="P1317" s="64"/>
      <c r="Q1317" s="69"/>
      <c r="R1317" s="69"/>
      <c r="S1317" s="69"/>
    </row>
    <row r="1318" s="2" customFormat="1" ht="24.95" customHeight="1" spans="1:19">
      <c r="A1318" s="15"/>
      <c r="B1318" s="55"/>
      <c r="C1318" s="56"/>
      <c r="D1318" s="68"/>
      <c r="E1318" s="69"/>
      <c r="F1318" s="69"/>
      <c r="G1318" s="65"/>
      <c r="H1318" s="65"/>
      <c r="I1318" s="70"/>
      <c r="J1318" s="71"/>
      <c r="K1318" s="71"/>
      <c r="L1318" s="72" t="str">
        <f>IFERROR(IF(G1318="","",VLOOKUP($G1318,[1]基础信息!$B:$C,2,FALSE)+SUMIF(G$8:G1318,G1318,J$8:J1318)-SUMIF(G$8:G1318,G1318,K$8:K1318)+SUMIFS([1]内部转账!$G:$G,[1]内部转账!$C:$C,"&lt;="&amp;$D1318,[1]内部转账!$E:$E,$G1318)-SUMIFS([1]内部转账!$G:$G,[1]内部转账!$C:$C,"&lt;="&amp;$D1318,[1]内部转账!$F:$F,$G1318)),"")</f>
        <v/>
      </c>
      <c r="M1318" s="64"/>
      <c r="N1318" s="69"/>
      <c r="O1318" s="64"/>
      <c r="P1318" s="64"/>
      <c r="Q1318" s="69"/>
      <c r="R1318" s="69"/>
      <c r="S1318" s="69"/>
    </row>
    <row r="1319" s="2" customFormat="1" ht="24.95" customHeight="1" spans="1:19">
      <c r="A1319" s="15"/>
      <c r="B1319" s="55"/>
      <c r="C1319" s="56"/>
      <c r="D1319" s="68"/>
      <c r="E1319" s="69"/>
      <c r="F1319" s="69"/>
      <c r="G1319" s="65"/>
      <c r="H1319" s="65"/>
      <c r="I1319" s="70"/>
      <c r="J1319" s="71"/>
      <c r="K1319" s="71"/>
      <c r="L1319" s="72" t="str">
        <f>IFERROR(IF(G1319="","",VLOOKUP($G1319,[1]基础信息!$B:$C,2,FALSE)+SUMIF(G$8:G1319,G1319,J$8:J1319)-SUMIF(G$8:G1319,G1319,K$8:K1319)+SUMIFS([1]内部转账!$G:$G,[1]内部转账!$C:$C,"&lt;="&amp;$D1319,[1]内部转账!$E:$E,$G1319)-SUMIFS([1]内部转账!$G:$G,[1]内部转账!$C:$C,"&lt;="&amp;$D1319,[1]内部转账!$F:$F,$G1319)),"")</f>
        <v/>
      </c>
      <c r="M1319" s="64"/>
      <c r="N1319" s="69"/>
      <c r="O1319" s="64"/>
      <c r="P1319" s="64"/>
      <c r="Q1319" s="69"/>
      <c r="R1319" s="69"/>
      <c r="S1319" s="69"/>
    </row>
    <row r="1320" s="2" customFormat="1" ht="24.95" customHeight="1" spans="1:19">
      <c r="A1320" s="15"/>
      <c r="B1320" s="55"/>
      <c r="C1320" s="56"/>
      <c r="D1320" s="68"/>
      <c r="E1320" s="69"/>
      <c r="F1320" s="69"/>
      <c r="G1320" s="65"/>
      <c r="H1320" s="65"/>
      <c r="I1320" s="70"/>
      <c r="J1320" s="71"/>
      <c r="K1320" s="71"/>
      <c r="L1320" s="72" t="str">
        <f>IFERROR(IF(G1320="","",VLOOKUP($G1320,[1]基础信息!$B:$C,2,FALSE)+SUMIF(G$8:G1320,G1320,J$8:J1320)-SUMIF(G$8:G1320,G1320,K$8:K1320)+SUMIFS([1]内部转账!$G:$G,[1]内部转账!$C:$C,"&lt;="&amp;$D1320,[1]内部转账!$E:$E,$G1320)-SUMIFS([1]内部转账!$G:$G,[1]内部转账!$C:$C,"&lt;="&amp;$D1320,[1]内部转账!$F:$F,$G1320)),"")</f>
        <v/>
      </c>
      <c r="M1320" s="64"/>
      <c r="N1320" s="69"/>
      <c r="O1320" s="64"/>
      <c r="P1320" s="64"/>
      <c r="Q1320" s="69"/>
      <c r="R1320" s="69"/>
      <c r="S1320" s="69"/>
    </row>
    <row r="1321" s="2" customFormat="1" ht="24.95" customHeight="1" spans="1:19">
      <c r="A1321" s="15"/>
      <c r="B1321" s="55"/>
      <c r="C1321" s="56"/>
      <c r="D1321" s="68"/>
      <c r="E1321" s="69"/>
      <c r="F1321" s="69"/>
      <c r="G1321" s="65"/>
      <c r="H1321" s="65"/>
      <c r="I1321" s="70"/>
      <c r="J1321" s="71"/>
      <c r="K1321" s="71"/>
      <c r="L1321" s="72" t="str">
        <f>IFERROR(IF(G1321="","",VLOOKUP($G1321,[1]基础信息!$B:$C,2,FALSE)+SUMIF(G$8:G1321,G1321,J$8:J1321)-SUMIF(G$8:G1321,G1321,K$8:K1321)+SUMIFS([1]内部转账!$G:$G,[1]内部转账!$C:$C,"&lt;="&amp;$D1321,[1]内部转账!$E:$E,$G1321)-SUMIFS([1]内部转账!$G:$G,[1]内部转账!$C:$C,"&lt;="&amp;$D1321,[1]内部转账!$F:$F,$G1321)),"")</f>
        <v/>
      </c>
      <c r="M1321" s="64"/>
      <c r="N1321" s="69"/>
      <c r="O1321" s="64"/>
      <c r="P1321" s="64"/>
      <c r="Q1321" s="69"/>
      <c r="R1321" s="69"/>
      <c r="S1321" s="69"/>
    </row>
    <row r="1322" s="2" customFormat="1" ht="24.95" customHeight="1" spans="1:19">
      <c r="A1322" s="15"/>
      <c r="B1322" s="55"/>
      <c r="C1322" s="56"/>
      <c r="D1322" s="68"/>
      <c r="E1322" s="69"/>
      <c r="F1322" s="69"/>
      <c r="G1322" s="65"/>
      <c r="H1322" s="65"/>
      <c r="I1322" s="70"/>
      <c r="J1322" s="71"/>
      <c r="K1322" s="71"/>
      <c r="L1322" s="72" t="str">
        <f>IFERROR(IF(G1322="","",VLOOKUP($G1322,[1]基础信息!$B:$C,2,FALSE)+SUMIF(G$8:G1322,G1322,J$8:J1322)-SUMIF(G$8:G1322,G1322,K$8:K1322)+SUMIFS([1]内部转账!$G:$G,[1]内部转账!$C:$C,"&lt;="&amp;$D1322,[1]内部转账!$E:$E,$G1322)-SUMIFS([1]内部转账!$G:$G,[1]内部转账!$C:$C,"&lt;="&amp;$D1322,[1]内部转账!$F:$F,$G1322)),"")</f>
        <v/>
      </c>
      <c r="M1322" s="64"/>
      <c r="N1322" s="69"/>
      <c r="O1322" s="64"/>
      <c r="P1322" s="64"/>
      <c r="Q1322" s="69"/>
      <c r="R1322" s="69"/>
      <c r="S1322" s="69"/>
    </row>
    <row r="1323" s="2" customFormat="1" ht="24.95" customHeight="1" spans="1:19">
      <c r="A1323" s="15"/>
      <c r="B1323" s="55"/>
      <c r="C1323" s="56"/>
      <c r="D1323" s="68"/>
      <c r="E1323" s="69"/>
      <c r="F1323" s="69"/>
      <c r="G1323" s="65"/>
      <c r="H1323" s="65"/>
      <c r="I1323" s="70"/>
      <c r="J1323" s="71"/>
      <c r="K1323" s="71"/>
      <c r="L1323" s="72" t="str">
        <f>IFERROR(IF(G1323="","",VLOOKUP($G1323,[1]基础信息!$B:$C,2,FALSE)+SUMIF(G$8:G1323,G1323,J$8:J1323)-SUMIF(G$8:G1323,G1323,K$8:K1323)+SUMIFS([1]内部转账!$G:$G,[1]内部转账!$C:$C,"&lt;="&amp;$D1323,[1]内部转账!$E:$E,$G1323)-SUMIFS([1]内部转账!$G:$G,[1]内部转账!$C:$C,"&lt;="&amp;$D1323,[1]内部转账!$F:$F,$G1323)),"")</f>
        <v/>
      </c>
      <c r="M1323" s="64"/>
      <c r="N1323" s="69"/>
      <c r="O1323" s="64"/>
      <c r="P1323" s="64"/>
      <c r="Q1323" s="69"/>
      <c r="R1323" s="69"/>
      <c r="S1323" s="69"/>
    </row>
    <row r="1324" s="2" customFormat="1" ht="24.95" customHeight="1" spans="1:19">
      <c r="A1324" s="15"/>
      <c r="B1324" s="55"/>
      <c r="C1324" s="56"/>
      <c r="D1324" s="68"/>
      <c r="E1324" s="69"/>
      <c r="F1324" s="69"/>
      <c r="G1324" s="65"/>
      <c r="H1324" s="65"/>
      <c r="I1324" s="70"/>
      <c r="J1324" s="71"/>
      <c r="K1324" s="71"/>
      <c r="L1324" s="72" t="str">
        <f>IFERROR(IF(G1324="","",VLOOKUP($G1324,[1]基础信息!$B:$C,2,FALSE)+SUMIF(G$8:G1324,G1324,J$8:J1324)-SUMIF(G$8:G1324,G1324,K$8:K1324)+SUMIFS([1]内部转账!$G:$G,[1]内部转账!$C:$C,"&lt;="&amp;$D1324,[1]内部转账!$E:$E,$G1324)-SUMIFS([1]内部转账!$G:$G,[1]内部转账!$C:$C,"&lt;="&amp;$D1324,[1]内部转账!$F:$F,$G1324)),"")</f>
        <v/>
      </c>
      <c r="M1324" s="64"/>
      <c r="N1324" s="69"/>
      <c r="O1324" s="64"/>
      <c r="P1324" s="64"/>
      <c r="Q1324" s="69"/>
      <c r="R1324" s="69"/>
      <c r="S1324" s="69"/>
    </row>
    <row r="1325" s="2" customFormat="1" ht="24.95" customHeight="1" spans="1:19">
      <c r="A1325" s="15"/>
      <c r="B1325" s="55"/>
      <c r="C1325" s="56"/>
      <c r="D1325" s="68"/>
      <c r="E1325" s="69"/>
      <c r="F1325" s="69"/>
      <c r="G1325" s="65"/>
      <c r="H1325" s="65"/>
      <c r="I1325" s="70"/>
      <c r="J1325" s="71"/>
      <c r="K1325" s="71"/>
      <c r="L1325" s="72" t="str">
        <f>IFERROR(IF(G1325="","",VLOOKUP($G1325,[1]基础信息!$B:$C,2,FALSE)+SUMIF(G$8:G1325,G1325,J$8:J1325)-SUMIF(G$8:G1325,G1325,K$8:K1325)+SUMIFS([1]内部转账!$G:$G,[1]内部转账!$C:$C,"&lt;="&amp;$D1325,[1]内部转账!$E:$E,$G1325)-SUMIFS([1]内部转账!$G:$G,[1]内部转账!$C:$C,"&lt;="&amp;$D1325,[1]内部转账!$F:$F,$G1325)),"")</f>
        <v/>
      </c>
      <c r="M1325" s="64"/>
      <c r="N1325" s="69"/>
      <c r="O1325" s="64"/>
      <c r="P1325" s="64"/>
      <c r="Q1325" s="69"/>
      <c r="R1325" s="69"/>
      <c r="S1325" s="69"/>
    </row>
    <row r="1326" s="2" customFormat="1" ht="24.95" customHeight="1" spans="1:19">
      <c r="A1326" s="15"/>
      <c r="B1326" s="55"/>
      <c r="C1326" s="56"/>
      <c r="D1326" s="68"/>
      <c r="E1326" s="69"/>
      <c r="F1326" s="69"/>
      <c r="G1326" s="65"/>
      <c r="H1326" s="65"/>
      <c r="I1326" s="70"/>
      <c r="J1326" s="71"/>
      <c r="K1326" s="71"/>
      <c r="L1326" s="72" t="str">
        <f>IFERROR(IF(G1326="","",VLOOKUP($G1326,[1]基础信息!$B:$C,2,FALSE)+SUMIF(G$8:G1326,G1326,J$8:J1326)-SUMIF(G$8:G1326,G1326,K$8:K1326)+SUMIFS([1]内部转账!$G:$G,[1]内部转账!$C:$C,"&lt;="&amp;$D1326,[1]内部转账!$E:$E,$G1326)-SUMIFS([1]内部转账!$G:$G,[1]内部转账!$C:$C,"&lt;="&amp;$D1326,[1]内部转账!$F:$F,$G1326)),"")</f>
        <v/>
      </c>
      <c r="M1326" s="64"/>
      <c r="N1326" s="69"/>
      <c r="O1326" s="64"/>
      <c r="P1326" s="64"/>
      <c r="Q1326" s="69"/>
      <c r="R1326" s="69"/>
      <c r="S1326" s="69"/>
    </row>
    <row r="1327" s="2" customFormat="1" ht="24.95" customHeight="1" spans="1:19">
      <c r="A1327" s="15"/>
      <c r="B1327" s="55"/>
      <c r="C1327" s="56"/>
      <c r="D1327" s="68"/>
      <c r="E1327" s="69"/>
      <c r="F1327" s="69"/>
      <c r="G1327" s="65"/>
      <c r="H1327" s="65"/>
      <c r="I1327" s="70"/>
      <c r="J1327" s="71"/>
      <c r="K1327" s="71"/>
      <c r="L1327" s="72" t="str">
        <f>IFERROR(IF(G1327="","",VLOOKUP($G1327,[1]基础信息!$B:$C,2,FALSE)+SUMIF(G$8:G1327,G1327,J$8:J1327)-SUMIF(G$8:G1327,G1327,K$8:K1327)+SUMIFS([1]内部转账!$G:$G,[1]内部转账!$C:$C,"&lt;="&amp;$D1327,[1]内部转账!$E:$E,$G1327)-SUMIFS([1]内部转账!$G:$G,[1]内部转账!$C:$C,"&lt;="&amp;$D1327,[1]内部转账!$F:$F,$G1327)),"")</f>
        <v/>
      </c>
      <c r="M1327" s="64"/>
      <c r="N1327" s="69"/>
      <c r="O1327" s="64"/>
      <c r="P1327" s="64"/>
      <c r="Q1327" s="69"/>
      <c r="R1327" s="69"/>
      <c r="S1327" s="69"/>
    </row>
    <row r="1328" s="2" customFormat="1" ht="24.95" customHeight="1" spans="1:19">
      <c r="A1328" s="15"/>
      <c r="B1328" s="55"/>
      <c r="C1328" s="56"/>
      <c r="D1328" s="68"/>
      <c r="E1328" s="69"/>
      <c r="F1328" s="69"/>
      <c r="G1328" s="65"/>
      <c r="H1328" s="65"/>
      <c r="I1328" s="70"/>
      <c r="J1328" s="71"/>
      <c r="K1328" s="71"/>
      <c r="L1328" s="72" t="str">
        <f>IFERROR(IF(G1328="","",VLOOKUP($G1328,[1]基础信息!$B:$C,2,FALSE)+SUMIF(G$8:G1328,G1328,J$8:J1328)-SUMIF(G$8:G1328,G1328,K$8:K1328)+SUMIFS([1]内部转账!$G:$G,[1]内部转账!$C:$C,"&lt;="&amp;$D1328,[1]内部转账!$E:$E,$G1328)-SUMIFS([1]内部转账!$G:$G,[1]内部转账!$C:$C,"&lt;="&amp;$D1328,[1]内部转账!$F:$F,$G1328)),"")</f>
        <v/>
      </c>
      <c r="M1328" s="64"/>
      <c r="N1328" s="69"/>
      <c r="O1328" s="64"/>
      <c r="P1328" s="64"/>
      <c r="Q1328" s="69"/>
      <c r="R1328" s="69"/>
      <c r="S1328" s="69"/>
    </row>
    <row r="1329" s="2" customFormat="1" ht="24.95" customHeight="1" spans="1:19">
      <c r="A1329" s="15"/>
      <c r="B1329" s="55"/>
      <c r="C1329" s="56"/>
      <c r="D1329" s="68"/>
      <c r="E1329" s="69"/>
      <c r="F1329" s="69"/>
      <c r="G1329" s="65"/>
      <c r="H1329" s="65"/>
      <c r="I1329" s="70"/>
      <c r="J1329" s="71"/>
      <c r="K1329" s="71"/>
      <c r="L1329" s="72" t="str">
        <f>IFERROR(IF(G1329="","",VLOOKUP($G1329,[1]基础信息!$B:$C,2,FALSE)+SUMIF(G$8:G1329,G1329,J$8:J1329)-SUMIF(G$8:G1329,G1329,K$8:K1329)+SUMIFS([1]内部转账!$G:$G,[1]内部转账!$C:$C,"&lt;="&amp;$D1329,[1]内部转账!$E:$E,$G1329)-SUMIFS([1]内部转账!$G:$G,[1]内部转账!$C:$C,"&lt;="&amp;$D1329,[1]内部转账!$F:$F,$G1329)),"")</f>
        <v/>
      </c>
      <c r="M1329" s="64"/>
      <c r="N1329" s="69"/>
      <c r="O1329" s="64"/>
      <c r="P1329" s="64"/>
      <c r="Q1329" s="69"/>
      <c r="R1329" s="69"/>
      <c r="S1329" s="69"/>
    </row>
    <row r="1330" s="2" customFormat="1" ht="24.95" customHeight="1" spans="1:19">
      <c r="A1330" s="15"/>
      <c r="B1330" s="55"/>
      <c r="C1330" s="56"/>
      <c r="D1330" s="68"/>
      <c r="E1330" s="69"/>
      <c r="F1330" s="69"/>
      <c r="G1330" s="65"/>
      <c r="H1330" s="65"/>
      <c r="I1330" s="70"/>
      <c r="J1330" s="71"/>
      <c r="K1330" s="71"/>
      <c r="L1330" s="72" t="str">
        <f>IFERROR(IF(G1330="","",VLOOKUP($G1330,[1]基础信息!$B:$C,2,FALSE)+SUMIF(G$8:G1330,G1330,J$8:J1330)-SUMIF(G$8:G1330,G1330,K$8:K1330)+SUMIFS([1]内部转账!$G:$G,[1]内部转账!$C:$C,"&lt;="&amp;$D1330,[1]内部转账!$E:$E,$G1330)-SUMIFS([1]内部转账!$G:$G,[1]内部转账!$C:$C,"&lt;="&amp;$D1330,[1]内部转账!$F:$F,$G1330)),"")</f>
        <v/>
      </c>
      <c r="M1330" s="64"/>
      <c r="N1330" s="69"/>
      <c r="O1330" s="64"/>
      <c r="P1330" s="64"/>
      <c r="Q1330" s="69"/>
      <c r="R1330" s="69"/>
      <c r="S1330" s="69"/>
    </row>
    <row r="1331" s="2" customFormat="1" ht="24.95" customHeight="1" spans="1:19">
      <c r="A1331" s="15"/>
      <c r="B1331" s="55"/>
      <c r="C1331" s="56"/>
      <c r="D1331" s="68"/>
      <c r="E1331" s="69"/>
      <c r="F1331" s="69"/>
      <c r="G1331" s="65"/>
      <c r="H1331" s="65"/>
      <c r="I1331" s="70"/>
      <c r="J1331" s="71"/>
      <c r="K1331" s="71"/>
      <c r="L1331" s="72" t="str">
        <f>IFERROR(IF(G1331="","",VLOOKUP($G1331,[1]基础信息!$B:$C,2,FALSE)+SUMIF(G$8:G1331,G1331,J$8:J1331)-SUMIF(G$8:G1331,G1331,K$8:K1331)+SUMIFS([1]内部转账!$G:$G,[1]内部转账!$C:$C,"&lt;="&amp;$D1331,[1]内部转账!$E:$E,$G1331)-SUMIFS([1]内部转账!$G:$G,[1]内部转账!$C:$C,"&lt;="&amp;$D1331,[1]内部转账!$F:$F,$G1331)),"")</f>
        <v/>
      </c>
      <c r="M1331" s="64"/>
      <c r="N1331" s="69"/>
      <c r="O1331" s="64"/>
      <c r="P1331" s="64"/>
      <c r="Q1331" s="69"/>
      <c r="R1331" s="69"/>
      <c r="S1331" s="69"/>
    </row>
    <row r="1332" s="2" customFormat="1" ht="24.95" customHeight="1" spans="1:19">
      <c r="A1332" s="15"/>
      <c r="B1332" s="55"/>
      <c r="C1332" s="56"/>
      <c r="D1332" s="68"/>
      <c r="E1332" s="69"/>
      <c r="F1332" s="69"/>
      <c r="G1332" s="65"/>
      <c r="H1332" s="65"/>
      <c r="I1332" s="70"/>
      <c r="J1332" s="71"/>
      <c r="K1332" s="71"/>
      <c r="L1332" s="72" t="str">
        <f>IFERROR(IF(G1332="","",VLOOKUP($G1332,[1]基础信息!$B:$C,2,FALSE)+SUMIF(G$8:G1332,G1332,J$8:J1332)-SUMIF(G$8:G1332,G1332,K$8:K1332)+SUMIFS([1]内部转账!$G:$G,[1]内部转账!$C:$C,"&lt;="&amp;$D1332,[1]内部转账!$E:$E,$G1332)-SUMIFS([1]内部转账!$G:$G,[1]内部转账!$C:$C,"&lt;="&amp;$D1332,[1]内部转账!$F:$F,$G1332)),"")</f>
        <v/>
      </c>
      <c r="M1332" s="64"/>
      <c r="N1332" s="69"/>
      <c r="O1332" s="64"/>
      <c r="P1332" s="64"/>
      <c r="Q1332" s="69"/>
      <c r="R1332" s="69"/>
      <c r="S1332" s="69"/>
    </row>
    <row r="1333" s="2" customFormat="1" ht="24.95" customHeight="1" spans="1:19">
      <c r="A1333" s="15"/>
      <c r="B1333" s="55"/>
      <c r="C1333" s="56"/>
      <c r="D1333" s="68"/>
      <c r="E1333" s="69"/>
      <c r="F1333" s="69"/>
      <c r="G1333" s="65"/>
      <c r="H1333" s="65"/>
      <c r="I1333" s="70"/>
      <c r="J1333" s="71"/>
      <c r="K1333" s="71"/>
      <c r="L1333" s="72" t="str">
        <f>IFERROR(IF(G1333="","",VLOOKUP($G1333,[1]基础信息!$B:$C,2,FALSE)+SUMIF(G$8:G1333,G1333,J$8:J1333)-SUMIF(G$8:G1333,G1333,K$8:K1333)+SUMIFS([1]内部转账!$G:$G,[1]内部转账!$C:$C,"&lt;="&amp;$D1333,[1]内部转账!$E:$E,$G1333)-SUMIFS([1]内部转账!$G:$G,[1]内部转账!$C:$C,"&lt;="&amp;$D1333,[1]内部转账!$F:$F,$G1333)),"")</f>
        <v/>
      </c>
      <c r="M1333" s="64"/>
      <c r="N1333" s="69"/>
      <c r="O1333" s="64"/>
      <c r="P1333" s="64"/>
      <c r="Q1333" s="69"/>
      <c r="R1333" s="69"/>
      <c r="S1333" s="69"/>
    </row>
    <row r="1334" s="2" customFormat="1" ht="24.95" customHeight="1" spans="1:19">
      <c r="A1334" s="15"/>
      <c r="B1334" s="55"/>
      <c r="C1334" s="56"/>
      <c r="D1334" s="68"/>
      <c r="E1334" s="69"/>
      <c r="F1334" s="69"/>
      <c r="G1334" s="65"/>
      <c r="H1334" s="65"/>
      <c r="I1334" s="70"/>
      <c r="J1334" s="71"/>
      <c r="K1334" s="71"/>
      <c r="L1334" s="72" t="str">
        <f>IFERROR(IF(G1334="","",VLOOKUP($G1334,[1]基础信息!$B:$C,2,FALSE)+SUMIF(G$8:G1334,G1334,J$8:J1334)-SUMIF(G$8:G1334,G1334,K$8:K1334)+SUMIFS([1]内部转账!$G:$G,[1]内部转账!$C:$C,"&lt;="&amp;$D1334,[1]内部转账!$E:$E,$G1334)-SUMIFS([1]内部转账!$G:$G,[1]内部转账!$C:$C,"&lt;="&amp;$D1334,[1]内部转账!$F:$F,$G1334)),"")</f>
        <v/>
      </c>
      <c r="M1334" s="64"/>
      <c r="N1334" s="69"/>
      <c r="O1334" s="64"/>
      <c r="P1334" s="64"/>
      <c r="Q1334" s="69"/>
      <c r="R1334" s="69"/>
      <c r="S1334" s="69"/>
    </row>
    <row r="1335" s="2" customFormat="1" ht="24.95" customHeight="1" spans="1:19">
      <c r="A1335" s="15"/>
      <c r="B1335" s="55"/>
      <c r="C1335" s="56"/>
      <c r="D1335" s="68"/>
      <c r="E1335" s="69"/>
      <c r="F1335" s="69"/>
      <c r="G1335" s="65"/>
      <c r="H1335" s="65"/>
      <c r="I1335" s="70"/>
      <c r="J1335" s="71"/>
      <c r="K1335" s="71"/>
      <c r="L1335" s="72" t="str">
        <f>IFERROR(IF(G1335="","",VLOOKUP($G1335,[1]基础信息!$B:$C,2,FALSE)+SUMIF(G$8:G1335,G1335,J$8:J1335)-SUMIF(G$8:G1335,G1335,K$8:K1335)+SUMIFS([1]内部转账!$G:$G,[1]内部转账!$C:$C,"&lt;="&amp;$D1335,[1]内部转账!$E:$E,$G1335)-SUMIFS([1]内部转账!$G:$G,[1]内部转账!$C:$C,"&lt;="&amp;$D1335,[1]内部转账!$F:$F,$G1335)),"")</f>
        <v/>
      </c>
      <c r="M1335" s="64"/>
      <c r="N1335" s="69"/>
      <c r="O1335" s="64"/>
      <c r="P1335" s="64"/>
      <c r="Q1335" s="69"/>
      <c r="R1335" s="69"/>
      <c r="S1335" s="69"/>
    </row>
    <row r="1336" s="2" customFormat="1" ht="24.95" customHeight="1" spans="1:19">
      <c r="A1336" s="15"/>
      <c r="B1336" s="55"/>
      <c r="C1336" s="56"/>
      <c r="D1336" s="68"/>
      <c r="E1336" s="69"/>
      <c r="F1336" s="69"/>
      <c r="G1336" s="65"/>
      <c r="H1336" s="65"/>
      <c r="I1336" s="70"/>
      <c r="J1336" s="71"/>
      <c r="K1336" s="71"/>
      <c r="L1336" s="72" t="str">
        <f>IFERROR(IF(G1336="","",VLOOKUP($G1336,[1]基础信息!$B:$C,2,FALSE)+SUMIF(G$8:G1336,G1336,J$8:J1336)-SUMIF(G$8:G1336,G1336,K$8:K1336)+SUMIFS([1]内部转账!$G:$G,[1]内部转账!$C:$C,"&lt;="&amp;$D1336,[1]内部转账!$E:$E,$G1336)-SUMIFS([1]内部转账!$G:$G,[1]内部转账!$C:$C,"&lt;="&amp;$D1336,[1]内部转账!$F:$F,$G1336)),"")</f>
        <v/>
      </c>
      <c r="M1336" s="64"/>
      <c r="N1336" s="69"/>
      <c r="O1336" s="64"/>
      <c r="P1336" s="64"/>
      <c r="Q1336" s="69"/>
      <c r="R1336" s="69"/>
      <c r="S1336" s="69"/>
    </row>
    <row r="1337" s="2" customFormat="1" ht="24.95" customHeight="1" spans="1:19">
      <c r="A1337" s="15"/>
      <c r="B1337" s="55"/>
      <c r="C1337" s="56"/>
      <c r="D1337" s="68"/>
      <c r="E1337" s="69"/>
      <c r="F1337" s="69"/>
      <c r="G1337" s="65"/>
      <c r="H1337" s="65"/>
      <c r="I1337" s="70"/>
      <c r="J1337" s="71"/>
      <c r="K1337" s="71"/>
      <c r="L1337" s="72" t="str">
        <f>IFERROR(IF(G1337="","",VLOOKUP($G1337,[1]基础信息!$B:$C,2,FALSE)+SUMIF(G$8:G1337,G1337,J$8:J1337)-SUMIF(G$8:G1337,G1337,K$8:K1337)+SUMIFS([1]内部转账!$G:$G,[1]内部转账!$C:$C,"&lt;="&amp;$D1337,[1]内部转账!$E:$E,$G1337)-SUMIFS([1]内部转账!$G:$G,[1]内部转账!$C:$C,"&lt;="&amp;$D1337,[1]内部转账!$F:$F,$G1337)),"")</f>
        <v/>
      </c>
      <c r="M1337" s="64"/>
      <c r="N1337" s="69"/>
      <c r="O1337" s="64"/>
      <c r="P1337" s="64"/>
      <c r="Q1337" s="69"/>
      <c r="R1337" s="69"/>
      <c r="S1337" s="69"/>
    </row>
    <row r="1338" s="2" customFormat="1" ht="24.95" customHeight="1" spans="1:19">
      <c r="A1338" s="15"/>
      <c r="B1338" s="55"/>
      <c r="C1338" s="56"/>
      <c r="D1338" s="68"/>
      <c r="E1338" s="69"/>
      <c r="F1338" s="69"/>
      <c r="G1338" s="65"/>
      <c r="H1338" s="65"/>
      <c r="I1338" s="70"/>
      <c r="J1338" s="71"/>
      <c r="K1338" s="71"/>
      <c r="L1338" s="72" t="str">
        <f>IFERROR(IF(G1338="","",VLOOKUP($G1338,[1]基础信息!$B:$C,2,FALSE)+SUMIF(G$8:G1338,G1338,J$8:J1338)-SUMIF(G$8:G1338,G1338,K$8:K1338)+SUMIFS([1]内部转账!$G:$G,[1]内部转账!$C:$C,"&lt;="&amp;$D1338,[1]内部转账!$E:$E,$G1338)-SUMIFS([1]内部转账!$G:$G,[1]内部转账!$C:$C,"&lt;="&amp;$D1338,[1]内部转账!$F:$F,$G1338)),"")</f>
        <v/>
      </c>
      <c r="M1338" s="64"/>
      <c r="N1338" s="69"/>
      <c r="O1338" s="64"/>
      <c r="P1338" s="64"/>
      <c r="Q1338" s="69"/>
      <c r="R1338" s="69"/>
      <c r="S1338" s="69"/>
    </row>
    <row r="1339" s="2" customFormat="1" ht="24.95" customHeight="1" spans="1:19">
      <c r="A1339" s="15"/>
      <c r="B1339" s="55"/>
      <c r="C1339" s="56"/>
      <c r="D1339" s="68"/>
      <c r="E1339" s="69"/>
      <c r="F1339" s="69"/>
      <c r="G1339" s="65"/>
      <c r="H1339" s="65"/>
      <c r="I1339" s="70"/>
      <c r="J1339" s="71"/>
      <c r="K1339" s="71"/>
      <c r="L1339" s="72" t="str">
        <f>IFERROR(IF(G1339="","",VLOOKUP($G1339,[1]基础信息!$B:$C,2,FALSE)+SUMIF(G$8:G1339,G1339,J$8:J1339)-SUMIF(G$8:G1339,G1339,K$8:K1339)+SUMIFS([1]内部转账!$G:$G,[1]内部转账!$C:$C,"&lt;="&amp;$D1339,[1]内部转账!$E:$E,$G1339)-SUMIFS([1]内部转账!$G:$G,[1]内部转账!$C:$C,"&lt;="&amp;$D1339,[1]内部转账!$F:$F,$G1339)),"")</f>
        <v/>
      </c>
      <c r="M1339" s="64"/>
      <c r="N1339" s="69"/>
      <c r="O1339" s="64"/>
      <c r="P1339" s="64"/>
      <c r="Q1339" s="69"/>
      <c r="R1339" s="69"/>
      <c r="S1339" s="69"/>
    </row>
    <row r="1340" s="2" customFormat="1" ht="24.95" customHeight="1" spans="1:19">
      <c r="A1340" s="15"/>
      <c r="B1340" s="55"/>
      <c r="C1340" s="56"/>
      <c r="D1340" s="68"/>
      <c r="E1340" s="69"/>
      <c r="F1340" s="69"/>
      <c r="G1340" s="65"/>
      <c r="H1340" s="65"/>
      <c r="I1340" s="70"/>
      <c r="J1340" s="71"/>
      <c r="K1340" s="71"/>
      <c r="L1340" s="72" t="str">
        <f>IFERROR(IF(G1340="","",VLOOKUP($G1340,[1]基础信息!$B:$C,2,FALSE)+SUMIF(G$8:G1340,G1340,J$8:J1340)-SUMIF(G$8:G1340,G1340,K$8:K1340)+SUMIFS([1]内部转账!$G:$G,[1]内部转账!$C:$C,"&lt;="&amp;$D1340,[1]内部转账!$E:$E,$G1340)-SUMIFS([1]内部转账!$G:$G,[1]内部转账!$C:$C,"&lt;="&amp;$D1340,[1]内部转账!$F:$F,$G1340)),"")</f>
        <v/>
      </c>
      <c r="M1340" s="64"/>
      <c r="N1340" s="69"/>
      <c r="O1340" s="64"/>
      <c r="P1340" s="64"/>
      <c r="Q1340" s="69"/>
      <c r="R1340" s="69"/>
      <c r="S1340" s="69"/>
    </row>
    <row r="1341" s="2" customFormat="1" ht="24.95" customHeight="1" spans="1:19">
      <c r="A1341" s="15"/>
      <c r="B1341" s="55"/>
      <c r="C1341" s="56"/>
      <c r="D1341" s="68"/>
      <c r="E1341" s="69"/>
      <c r="F1341" s="69"/>
      <c r="G1341" s="65"/>
      <c r="H1341" s="65"/>
      <c r="I1341" s="70"/>
      <c r="J1341" s="71"/>
      <c r="K1341" s="71"/>
      <c r="L1341" s="72" t="str">
        <f>IFERROR(IF(G1341="","",VLOOKUP($G1341,[1]基础信息!$B:$C,2,FALSE)+SUMIF(G$8:G1341,G1341,J$8:J1341)-SUMIF(G$8:G1341,G1341,K$8:K1341)+SUMIFS([1]内部转账!$G:$G,[1]内部转账!$C:$C,"&lt;="&amp;$D1341,[1]内部转账!$E:$E,$G1341)-SUMIFS([1]内部转账!$G:$G,[1]内部转账!$C:$C,"&lt;="&amp;$D1341,[1]内部转账!$F:$F,$G1341)),"")</f>
        <v/>
      </c>
      <c r="M1341" s="64"/>
      <c r="N1341" s="69"/>
      <c r="O1341" s="64"/>
      <c r="P1341" s="64"/>
      <c r="Q1341" s="69"/>
      <c r="R1341" s="69"/>
      <c r="S1341" s="69"/>
    </row>
    <row r="1342" s="2" customFormat="1" ht="24.95" customHeight="1" spans="1:19">
      <c r="A1342" s="15"/>
      <c r="B1342" s="55"/>
      <c r="C1342" s="56"/>
      <c r="D1342" s="68"/>
      <c r="E1342" s="69"/>
      <c r="F1342" s="69"/>
      <c r="G1342" s="65"/>
      <c r="H1342" s="65"/>
      <c r="I1342" s="70"/>
      <c r="J1342" s="71"/>
      <c r="K1342" s="71"/>
      <c r="L1342" s="72" t="str">
        <f>IFERROR(IF(G1342="","",VLOOKUP($G1342,[1]基础信息!$B:$C,2,FALSE)+SUMIF(G$8:G1342,G1342,J$8:J1342)-SUMIF(G$8:G1342,G1342,K$8:K1342)+SUMIFS([1]内部转账!$G:$G,[1]内部转账!$C:$C,"&lt;="&amp;$D1342,[1]内部转账!$E:$E,$G1342)-SUMIFS([1]内部转账!$G:$G,[1]内部转账!$C:$C,"&lt;="&amp;$D1342,[1]内部转账!$F:$F,$G1342)),"")</f>
        <v/>
      </c>
      <c r="M1342" s="64"/>
      <c r="N1342" s="69"/>
      <c r="O1342" s="64"/>
      <c r="P1342" s="64"/>
      <c r="Q1342" s="69"/>
      <c r="R1342" s="69"/>
      <c r="S1342" s="69"/>
    </row>
    <row r="1343" s="2" customFormat="1" ht="24.95" customHeight="1" spans="1:19">
      <c r="A1343" s="15"/>
      <c r="B1343" s="55"/>
      <c r="C1343" s="56"/>
      <c r="D1343" s="68"/>
      <c r="E1343" s="69"/>
      <c r="F1343" s="69"/>
      <c r="G1343" s="65"/>
      <c r="H1343" s="65"/>
      <c r="I1343" s="70"/>
      <c r="J1343" s="71"/>
      <c r="K1343" s="71"/>
      <c r="L1343" s="72" t="str">
        <f>IFERROR(IF(G1343="","",VLOOKUP($G1343,[1]基础信息!$B:$C,2,FALSE)+SUMIF(G$8:G1343,G1343,J$8:J1343)-SUMIF(G$8:G1343,G1343,K$8:K1343)+SUMIFS([1]内部转账!$G:$G,[1]内部转账!$C:$C,"&lt;="&amp;$D1343,[1]内部转账!$E:$E,$G1343)-SUMIFS([1]内部转账!$G:$G,[1]内部转账!$C:$C,"&lt;="&amp;$D1343,[1]内部转账!$F:$F,$G1343)),"")</f>
        <v/>
      </c>
      <c r="M1343" s="64"/>
      <c r="N1343" s="69"/>
      <c r="O1343" s="64"/>
      <c r="P1343" s="64"/>
      <c r="Q1343" s="69"/>
      <c r="R1343" s="69"/>
      <c r="S1343" s="69"/>
    </row>
    <row r="1344" s="2" customFormat="1" ht="24.95" customHeight="1" spans="1:19">
      <c r="A1344" s="15"/>
      <c r="B1344" s="55"/>
      <c r="C1344" s="56"/>
      <c r="D1344" s="68"/>
      <c r="E1344" s="69"/>
      <c r="F1344" s="69"/>
      <c r="G1344" s="65"/>
      <c r="H1344" s="65"/>
      <c r="I1344" s="70"/>
      <c r="J1344" s="71"/>
      <c r="K1344" s="71"/>
      <c r="L1344" s="72" t="str">
        <f>IFERROR(IF(G1344="","",VLOOKUP($G1344,[1]基础信息!$B:$C,2,FALSE)+SUMIF(G$8:G1344,G1344,J$8:J1344)-SUMIF(G$8:G1344,G1344,K$8:K1344)+SUMIFS([1]内部转账!$G:$G,[1]内部转账!$C:$C,"&lt;="&amp;$D1344,[1]内部转账!$E:$E,$G1344)-SUMIFS([1]内部转账!$G:$G,[1]内部转账!$C:$C,"&lt;="&amp;$D1344,[1]内部转账!$F:$F,$G1344)),"")</f>
        <v/>
      </c>
      <c r="M1344" s="64"/>
      <c r="N1344" s="69"/>
      <c r="O1344" s="64"/>
      <c r="P1344" s="64"/>
      <c r="Q1344" s="69"/>
      <c r="R1344" s="69"/>
      <c r="S1344" s="69"/>
    </row>
    <row r="1345" s="2" customFormat="1" ht="24.95" customHeight="1" spans="1:19">
      <c r="A1345" s="15"/>
      <c r="B1345" s="55"/>
      <c r="C1345" s="56"/>
      <c r="D1345" s="68"/>
      <c r="E1345" s="69"/>
      <c r="F1345" s="69"/>
      <c r="G1345" s="65"/>
      <c r="H1345" s="65"/>
      <c r="I1345" s="70"/>
      <c r="J1345" s="71"/>
      <c r="K1345" s="71"/>
      <c r="L1345" s="72" t="str">
        <f>IFERROR(IF(G1345="","",VLOOKUP($G1345,[1]基础信息!$B:$C,2,FALSE)+SUMIF(G$8:G1345,G1345,J$8:J1345)-SUMIF(G$8:G1345,G1345,K$8:K1345)+SUMIFS([1]内部转账!$G:$G,[1]内部转账!$C:$C,"&lt;="&amp;$D1345,[1]内部转账!$E:$E,$G1345)-SUMIFS([1]内部转账!$G:$G,[1]内部转账!$C:$C,"&lt;="&amp;$D1345,[1]内部转账!$F:$F,$G1345)),"")</f>
        <v/>
      </c>
      <c r="M1345" s="64"/>
      <c r="N1345" s="69"/>
      <c r="O1345" s="64"/>
      <c r="P1345" s="64"/>
      <c r="Q1345" s="69"/>
      <c r="R1345" s="69"/>
      <c r="S1345" s="69"/>
    </row>
    <row r="1346" s="2" customFormat="1" ht="24.95" customHeight="1" spans="1:19">
      <c r="A1346" s="15"/>
      <c r="B1346" s="55"/>
      <c r="C1346" s="56"/>
      <c r="D1346" s="68"/>
      <c r="E1346" s="69"/>
      <c r="F1346" s="69"/>
      <c r="G1346" s="65"/>
      <c r="H1346" s="65"/>
      <c r="I1346" s="70"/>
      <c r="J1346" s="71"/>
      <c r="K1346" s="71"/>
      <c r="L1346" s="72" t="str">
        <f>IFERROR(IF(G1346="","",VLOOKUP($G1346,[1]基础信息!$B:$C,2,FALSE)+SUMIF(G$8:G1346,G1346,J$8:J1346)-SUMIF(G$8:G1346,G1346,K$8:K1346)+SUMIFS([1]内部转账!$G:$G,[1]内部转账!$C:$C,"&lt;="&amp;$D1346,[1]内部转账!$E:$E,$G1346)-SUMIFS([1]内部转账!$G:$G,[1]内部转账!$C:$C,"&lt;="&amp;$D1346,[1]内部转账!$F:$F,$G1346)),"")</f>
        <v/>
      </c>
      <c r="M1346" s="64"/>
      <c r="N1346" s="69"/>
      <c r="O1346" s="64"/>
      <c r="P1346" s="64"/>
      <c r="Q1346" s="69"/>
      <c r="R1346" s="69"/>
      <c r="S1346" s="69"/>
    </row>
    <row r="1347" s="2" customFormat="1" ht="24.95" customHeight="1" spans="1:19">
      <c r="A1347" s="15"/>
      <c r="B1347" s="55"/>
      <c r="C1347" s="56"/>
      <c r="D1347" s="68"/>
      <c r="E1347" s="69"/>
      <c r="F1347" s="69"/>
      <c r="G1347" s="65"/>
      <c r="H1347" s="65"/>
      <c r="I1347" s="70"/>
      <c r="J1347" s="71"/>
      <c r="K1347" s="71"/>
      <c r="L1347" s="72" t="str">
        <f>IFERROR(IF(G1347="","",VLOOKUP($G1347,[1]基础信息!$B:$C,2,FALSE)+SUMIF(G$8:G1347,G1347,J$8:J1347)-SUMIF(G$8:G1347,G1347,K$8:K1347)+SUMIFS([1]内部转账!$G:$G,[1]内部转账!$C:$C,"&lt;="&amp;$D1347,[1]内部转账!$E:$E,$G1347)-SUMIFS([1]内部转账!$G:$G,[1]内部转账!$C:$C,"&lt;="&amp;$D1347,[1]内部转账!$F:$F,$G1347)),"")</f>
        <v/>
      </c>
      <c r="M1347" s="64"/>
      <c r="N1347" s="69"/>
      <c r="O1347" s="64"/>
      <c r="P1347" s="64"/>
      <c r="Q1347" s="69"/>
      <c r="R1347" s="69"/>
      <c r="S1347" s="69"/>
    </row>
    <row r="1348" s="2" customFormat="1" ht="24.95" customHeight="1" spans="1:19">
      <c r="A1348" s="15"/>
      <c r="B1348" s="55"/>
      <c r="C1348" s="56"/>
      <c r="D1348" s="68"/>
      <c r="E1348" s="69"/>
      <c r="F1348" s="69"/>
      <c r="G1348" s="65"/>
      <c r="H1348" s="65"/>
      <c r="I1348" s="70"/>
      <c r="J1348" s="71"/>
      <c r="K1348" s="71"/>
      <c r="L1348" s="72" t="str">
        <f>IFERROR(IF(G1348="","",VLOOKUP($G1348,[1]基础信息!$B:$C,2,FALSE)+SUMIF(G$8:G1348,G1348,J$8:J1348)-SUMIF(G$8:G1348,G1348,K$8:K1348)+SUMIFS([1]内部转账!$G:$G,[1]内部转账!$C:$C,"&lt;="&amp;$D1348,[1]内部转账!$E:$E,$G1348)-SUMIFS([1]内部转账!$G:$G,[1]内部转账!$C:$C,"&lt;="&amp;$D1348,[1]内部转账!$F:$F,$G1348)),"")</f>
        <v/>
      </c>
      <c r="M1348" s="64"/>
      <c r="N1348" s="69"/>
      <c r="O1348" s="64"/>
      <c r="P1348" s="64"/>
      <c r="Q1348" s="69"/>
      <c r="R1348" s="69"/>
      <c r="S1348" s="69"/>
    </row>
    <row r="1349" s="2" customFormat="1" ht="24.95" customHeight="1" spans="1:19">
      <c r="A1349" s="15"/>
      <c r="B1349" s="55"/>
      <c r="C1349" s="56"/>
      <c r="D1349" s="68"/>
      <c r="E1349" s="69"/>
      <c r="F1349" s="69"/>
      <c r="G1349" s="65"/>
      <c r="H1349" s="65"/>
      <c r="I1349" s="70"/>
      <c r="J1349" s="71"/>
      <c r="K1349" s="71"/>
      <c r="L1349" s="72" t="str">
        <f>IFERROR(IF(G1349="","",VLOOKUP($G1349,[1]基础信息!$B:$C,2,FALSE)+SUMIF(G$8:G1349,G1349,J$8:J1349)-SUMIF(G$8:G1349,G1349,K$8:K1349)+SUMIFS([1]内部转账!$G:$G,[1]内部转账!$C:$C,"&lt;="&amp;$D1349,[1]内部转账!$E:$E,$G1349)-SUMIFS([1]内部转账!$G:$G,[1]内部转账!$C:$C,"&lt;="&amp;$D1349,[1]内部转账!$F:$F,$G1349)),"")</f>
        <v/>
      </c>
      <c r="M1349" s="64"/>
      <c r="N1349" s="69"/>
      <c r="O1349" s="64"/>
      <c r="P1349" s="64"/>
      <c r="Q1349" s="69"/>
      <c r="R1349" s="69"/>
      <c r="S1349" s="69"/>
    </row>
    <row r="1350" s="2" customFormat="1" ht="24.95" customHeight="1" spans="1:19">
      <c r="A1350" s="15"/>
      <c r="B1350" s="55"/>
      <c r="C1350" s="56"/>
      <c r="D1350" s="68"/>
      <c r="E1350" s="69"/>
      <c r="F1350" s="69"/>
      <c r="G1350" s="65"/>
      <c r="H1350" s="65"/>
      <c r="I1350" s="70"/>
      <c r="J1350" s="71"/>
      <c r="K1350" s="71"/>
      <c r="L1350" s="72" t="str">
        <f>IFERROR(IF(G1350="","",VLOOKUP($G1350,[1]基础信息!$B:$C,2,FALSE)+SUMIF(G$8:G1350,G1350,J$8:J1350)-SUMIF(G$8:G1350,G1350,K$8:K1350)+SUMIFS([1]内部转账!$G:$G,[1]内部转账!$C:$C,"&lt;="&amp;$D1350,[1]内部转账!$E:$E,$G1350)-SUMIFS([1]内部转账!$G:$G,[1]内部转账!$C:$C,"&lt;="&amp;$D1350,[1]内部转账!$F:$F,$G1350)),"")</f>
        <v/>
      </c>
      <c r="M1350" s="64"/>
      <c r="N1350" s="69"/>
      <c r="O1350" s="64"/>
      <c r="P1350" s="64"/>
      <c r="Q1350" s="69"/>
      <c r="R1350" s="69"/>
      <c r="S1350" s="69"/>
    </row>
    <row r="1351" s="2" customFormat="1" ht="24.95" customHeight="1" spans="1:19">
      <c r="A1351" s="15"/>
      <c r="B1351" s="55"/>
      <c r="C1351" s="56"/>
      <c r="D1351" s="68"/>
      <c r="E1351" s="69"/>
      <c r="F1351" s="69"/>
      <c r="G1351" s="65"/>
      <c r="H1351" s="65"/>
      <c r="I1351" s="70"/>
      <c r="J1351" s="71"/>
      <c r="K1351" s="71"/>
      <c r="L1351" s="72" t="str">
        <f>IFERROR(IF(G1351="","",VLOOKUP($G1351,[1]基础信息!$B:$C,2,FALSE)+SUMIF(G$8:G1351,G1351,J$8:J1351)-SUMIF(G$8:G1351,G1351,K$8:K1351)+SUMIFS([1]内部转账!$G:$G,[1]内部转账!$C:$C,"&lt;="&amp;$D1351,[1]内部转账!$E:$E,$G1351)-SUMIFS([1]内部转账!$G:$G,[1]内部转账!$C:$C,"&lt;="&amp;$D1351,[1]内部转账!$F:$F,$G1351)),"")</f>
        <v/>
      </c>
      <c r="M1351" s="64"/>
      <c r="N1351" s="69"/>
      <c r="O1351" s="64"/>
      <c r="P1351" s="64"/>
      <c r="Q1351" s="69"/>
      <c r="R1351" s="69"/>
      <c r="S1351" s="69"/>
    </row>
    <row r="1352" s="2" customFormat="1" ht="24.95" customHeight="1" spans="1:19">
      <c r="A1352" s="15"/>
      <c r="B1352" s="55"/>
      <c r="C1352" s="56"/>
      <c r="D1352" s="68"/>
      <c r="E1352" s="69"/>
      <c r="F1352" s="69"/>
      <c r="G1352" s="65"/>
      <c r="H1352" s="65"/>
      <c r="I1352" s="70"/>
      <c r="J1352" s="71"/>
      <c r="K1352" s="71"/>
      <c r="L1352" s="72" t="str">
        <f>IFERROR(IF(G1352="","",VLOOKUP($G1352,[1]基础信息!$B:$C,2,FALSE)+SUMIF(G$8:G1352,G1352,J$8:J1352)-SUMIF(G$8:G1352,G1352,K$8:K1352)+SUMIFS([1]内部转账!$G:$G,[1]内部转账!$C:$C,"&lt;="&amp;$D1352,[1]内部转账!$E:$E,$G1352)-SUMIFS([1]内部转账!$G:$G,[1]内部转账!$C:$C,"&lt;="&amp;$D1352,[1]内部转账!$F:$F,$G1352)),"")</f>
        <v/>
      </c>
      <c r="M1352" s="64"/>
      <c r="N1352" s="69"/>
      <c r="O1352" s="64"/>
      <c r="P1352" s="64"/>
      <c r="Q1352" s="69"/>
      <c r="R1352" s="69"/>
      <c r="S1352" s="69"/>
    </row>
    <row r="1353" s="2" customFormat="1" ht="24.95" customHeight="1" spans="1:19">
      <c r="A1353" s="15"/>
      <c r="B1353" s="55"/>
      <c r="C1353" s="56"/>
      <c r="D1353" s="68"/>
      <c r="E1353" s="69"/>
      <c r="F1353" s="69"/>
      <c r="G1353" s="65"/>
      <c r="H1353" s="65"/>
      <c r="I1353" s="70"/>
      <c r="J1353" s="71"/>
      <c r="K1353" s="71"/>
      <c r="L1353" s="72" t="str">
        <f>IFERROR(IF(G1353="","",VLOOKUP($G1353,[1]基础信息!$B:$C,2,FALSE)+SUMIF(G$8:G1353,G1353,J$8:J1353)-SUMIF(G$8:G1353,G1353,K$8:K1353)+SUMIFS([1]内部转账!$G:$G,[1]内部转账!$C:$C,"&lt;="&amp;$D1353,[1]内部转账!$E:$E,$G1353)-SUMIFS([1]内部转账!$G:$G,[1]内部转账!$C:$C,"&lt;="&amp;$D1353,[1]内部转账!$F:$F,$G1353)),"")</f>
        <v/>
      </c>
      <c r="M1353" s="64"/>
      <c r="N1353" s="69"/>
      <c r="O1353" s="64"/>
      <c r="P1353" s="64"/>
      <c r="Q1353" s="69"/>
      <c r="R1353" s="69"/>
      <c r="S1353" s="69"/>
    </row>
    <row r="1354" s="2" customFormat="1" ht="24.95" customHeight="1" spans="1:19">
      <c r="A1354" s="15"/>
      <c r="B1354" s="55"/>
      <c r="C1354" s="56"/>
      <c r="D1354" s="68"/>
      <c r="E1354" s="69"/>
      <c r="F1354" s="69"/>
      <c r="G1354" s="65"/>
      <c r="H1354" s="65"/>
      <c r="I1354" s="70"/>
      <c r="J1354" s="71"/>
      <c r="K1354" s="71"/>
      <c r="L1354" s="72" t="str">
        <f>IFERROR(IF(G1354="","",VLOOKUP($G1354,[1]基础信息!$B:$C,2,FALSE)+SUMIF(G$8:G1354,G1354,J$8:J1354)-SUMIF(G$8:G1354,G1354,K$8:K1354)+SUMIFS([1]内部转账!$G:$G,[1]内部转账!$C:$C,"&lt;="&amp;$D1354,[1]内部转账!$E:$E,$G1354)-SUMIFS([1]内部转账!$G:$G,[1]内部转账!$C:$C,"&lt;="&amp;$D1354,[1]内部转账!$F:$F,$G1354)),"")</f>
        <v/>
      </c>
      <c r="M1354" s="64"/>
      <c r="N1354" s="69"/>
      <c r="O1354" s="64"/>
      <c r="P1354" s="64"/>
      <c r="Q1354" s="69"/>
      <c r="R1354" s="69"/>
      <c r="S1354" s="69"/>
    </row>
    <row r="1355" s="2" customFormat="1" ht="24.95" customHeight="1" spans="1:19">
      <c r="A1355" s="15"/>
      <c r="B1355" s="55"/>
      <c r="C1355" s="56"/>
      <c r="D1355" s="68"/>
      <c r="E1355" s="69"/>
      <c r="F1355" s="69"/>
      <c r="G1355" s="65"/>
      <c r="H1355" s="65"/>
      <c r="I1355" s="70"/>
      <c r="J1355" s="71"/>
      <c r="K1355" s="71"/>
      <c r="L1355" s="72" t="str">
        <f>IFERROR(IF(G1355="","",VLOOKUP($G1355,[1]基础信息!$B:$C,2,FALSE)+SUMIF(G$8:G1355,G1355,J$8:J1355)-SUMIF(G$8:G1355,G1355,K$8:K1355)+SUMIFS([1]内部转账!$G:$G,[1]内部转账!$C:$C,"&lt;="&amp;$D1355,[1]内部转账!$E:$E,$G1355)-SUMIFS([1]内部转账!$G:$G,[1]内部转账!$C:$C,"&lt;="&amp;$D1355,[1]内部转账!$F:$F,$G1355)),"")</f>
        <v/>
      </c>
      <c r="M1355" s="64"/>
      <c r="N1355" s="69"/>
      <c r="O1355" s="64"/>
      <c r="P1355" s="64"/>
      <c r="Q1355" s="69"/>
      <c r="R1355" s="69"/>
      <c r="S1355" s="69"/>
    </row>
    <row r="1356" s="2" customFormat="1" ht="24.95" customHeight="1" spans="1:19">
      <c r="A1356" s="15"/>
      <c r="B1356" s="55"/>
      <c r="C1356" s="56"/>
      <c r="D1356" s="68"/>
      <c r="E1356" s="69"/>
      <c r="F1356" s="69"/>
      <c r="G1356" s="65"/>
      <c r="H1356" s="65"/>
      <c r="I1356" s="70"/>
      <c r="J1356" s="71"/>
      <c r="K1356" s="71"/>
      <c r="L1356" s="72" t="str">
        <f>IFERROR(IF(G1356="","",VLOOKUP($G1356,[1]基础信息!$B:$C,2,FALSE)+SUMIF(G$8:G1356,G1356,J$8:J1356)-SUMIF(G$8:G1356,G1356,K$8:K1356)+SUMIFS([1]内部转账!$G:$G,[1]内部转账!$C:$C,"&lt;="&amp;$D1356,[1]内部转账!$E:$E,$G1356)-SUMIFS([1]内部转账!$G:$G,[1]内部转账!$C:$C,"&lt;="&amp;$D1356,[1]内部转账!$F:$F,$G1356)),"")</f>
        <v/>
      </c>
      <c r="M1356" s="64"/>
      <c r="N1356" s="69"/>
      <c r="O1356" s="64"/>
      <c r="P1356" s="64"/>
      <c r="Q1356" s="69"/>
      <c r="R1356" s="69"/>
      <c r="S1356" s="69"/>
    </row>
    <row r="1357" s="2" customFormat="1" ht="24.95" customHeight="1" spans="1:19">
      <c r="A1357" s="15"/>
      <c r="B1357" s="55"/>
      <c r="C1357" s="56"/>
      <c r="D1357" s="68"/>
      <c r="E1357" s="69"/>
      <c r="F1357" s="69"/>
      <c r="G1357" s="65"/>
      <c r="H1357" s="65"/>
      <c r="I1357" s="70"/>
      <c r="J1357" s="71"/>
      <c r="K1357" s="71"/>
      <c r="L1357" s="72" t="str">
        <f>IFERROR(IF(G1357="","",VLOOKUP($G1357,[1]基础信息!$B:$C,2,FALSE)+SUMIF(G$8:G1357,G1357,J$8:J1357)-SUMIF(G$8:G1357,G1357,K$8:K1357)+SUMIFS([1]内部转账!$G:$G,[1]内部转账!$C:$C,"&lt;="&amp;$D1357,[1]内部转账!$E:$E,$G1357)-SUMIFS([1]内部转账!$G:$G,[1]内部转账!$C:$C,"&lt;="&amp;$D1357,[1]内部转账!$F:$F,$G1357)),"")</f>
        <v/>
      </c>
      <c r="M1357" s="64"/>
      <c r="N1357" s="69"/>
      <c r="O1357" s="64"/>
      <c r="P1357" s="64"/>
      <c r="Q1357" s="69"/>
      <c r="R1357" s="69"/>
      <c r="S1357" s="69"/>
    </row>
    <row r="1358" s="2" customFormat="1" ht="24.95" customHeight="1" spans="1:19">
      <c r="A1358" s="15"/>
      <c r="B1358" s="55"/>
      <c r="C1358" s="56"/>
      <c r="D1358" s="68"/>
      <c r="E1358" s="69"/>
      <c r="F1358" s="69"/>
      <c r="G1358" s="65"/>
      <c r="H1358" s="65"/>
      <c r="I1358" s="70"/>
      <c r="J1358" s="71"/>
      <c r="K1358" s="71"/>
      <c r="L1358" s="72" t="str">
        <f>IFERROR(IF(G1358="","",VLOOKUP($G1358,[1]基础信息!$B:$C,2,FALSE)+SUMIF(G$8:G1358,G1358,J$8:J1358)-SUMIF(G$8:G1358,G1358,K$8:K1358)+SUMIFS([1]内部转账!$G:$G,[1]内部转账!$C:$C,"&lt;="&amp;$D1358,[1]内部转账!$E:$E,$G1358)-SUMIFS([1]内部转账!$G:$G,[1]内部转账!$C:$C,"&lt;="&amp;$D1358,[1]内部转账!$F:$F,$G1358)),"")</f>
        <v/>
      </c>
      <c r="M1358" s="64"/>
      <c r="N1358" s="69"/>
      <c r="O1358" s="64"/>
      <c r="P1358" s="64"/>
      <c r="Q1358" s="69"/>
      <c r="R1358" s="69"/>
      <c r="S1358" s="69"/>
    </row>
    <row r="1359" s="2" customFormat="1" ht="24.95" customHeight="1" spans="1:19">
      <c r="A1359" s="15"/>
      <c r="B1359" s="55"/>
      <c r="C1359" s="56"/>
      <c r="D1359" s="68"/>
      <c r="E1359" s="69"/>
      <c r="F1359" s="69"/>
      <c r="G1359" s="65"/>
      <c r="H1359" s="65"/>
      <c r="I1359" s="70"/>
      <c r="J1359" s="71"/>
      <c r="K1359" s="71"/>
      <c r="L1359" s="72" t="str">
        <f>IFERROR(IF(G1359="","",VLOOKUP($G1359,[1]基础信息!$B:$C,2,FALSE)+SUMIF(G$8:G1359,G1359,J$8:J1359)-SUMIF(G$8:G1359,G1359,K$8:K1359)+SUMIFS([1]内部转账!$G:$G,[1]内部转账!$C:$C,"&lt;="&amp;$D1359,[1]内部转账!$E:$E,$G1359)-SUMIFS([1]内部转账!$G:$G,[1]内部转账!$C:$C,"&lt;="&amp;$D1359,[1]内部转账!$F:$F,$G1359)),"")</f>
        <v/>
      </c>
      <c r="M1359" s="64"/>
      <c r="N1359" s="69"/>
      <c r="O1359" s="64"/>
      <c r="P1359" s="64"/>
      <c r="Q1359" s="69"/>
      <c r="R1359" s="69"/>
      <c r="S1359" s="69"/>
    </row>
    <row r="1360" s="2" customFormat="1" ht="24.95" customHeight="1" spans="1:19">
      <c r="A1360" s="15"/>
      <c r="B1360" s="55"/>
      <c r="C1360" s="56"/>
      <c r="D1360" s="68"/>
      <c r="E1360" s="69"/>
      <c r="F1360" s="69"/>
      <c r="G1360" s="65"/>
      <c r="H1360" s="65"/>
      <c r="I1360" s="70"/>
      <c r="J1360" s="71"/>
      <c r="K1360" s="71"/>
      <c r="L1360" s="72" t="str">
        <f>IFERROR(IF(G1360="","",VLOOKUP($G1360,[1]基础信息!$B:$C,2,FALSE)+SUMIF(G$8:G1360,G1360,J$8:J1360)-SUMIF(G$8:G1360,G1360,K$8:K1360)+SUMIFS([1]内部转账!$G:$G,[1]内部转账!$C:$C,"&lt;="&amp;$D1360,[1]内部转账!$E:$E,$G1360)-SUMIFS([1]内部转账!$G:$G,[1]内部转账!$C:$C,"&lt;="&amp;$D1360,[1]内部转账!$F:$F,$G1360)),"")</f>
        <v/>
      </c>
      <c r="M1360" s="64"/>
      <c r="N1360" s="69"/>
      <c r="O1360" s="64"/>
      <c r="P1360" s="64"/>
      <c r="Q1360" s="69"/>
      <c r="R1360" s="69"/>
      <c r="S1360" s="69"/>
    </row>
    <row r="1361" s="2" customFormat="1" ht="24.95" customHeight="1" spans="1:19">
      <c r="A1361" s="15"/>
      <c r="B1361" s="55"/>
      <c r="C1361" s="56"/>
      <c r="D1361" s="68"/>
      <c r="E1361" s="69"/>
      <c r="F1361" s="69"/>
      <c r="G1361" s="65"/>
      <c r="H1361" s="65"/>
      <c r="I1361" s="70"/>
      <c r="J1361" s="71"/>
      <c r="K1361" s="71"/>
      <c r="L1361" s="72" t="str">
        <f>IFERROR(IF(G1361="","",VLOOKUP($G1361,[1]基础信息!$B:$C,2,FALSE)+SUMIF(G$8:G1361,G1361,J$8:J1361)-SUMIF(G$8:G1361,G1361,K$8:K1361)+SUMIFS([1]内部转账!$G:$G,[1]内部转账!$C:$C,"&lt;="&amp;$D1361,[1]内部转账!$E:$E,$G1361)-SUMIFS([1]内部转账!$G:$G,[1]内部转账!$C:$C,"&lt;="&amp;$D1361,[1]内部转账!$F:$F,$G1361)),"")</f>
        <v/>
      </c>
      <c r="M1361" s="64"/>
      <c r="N1361" s="69"/>
      <c r="O1361" s="64"/>
      <c r="P1361" s="64"/>
      <c r="Q1361" s="69"/>
      <c r="R1361" s="69"/>
      <c r="S1361" s="69"/>
    </row>
    <row r="1362" s="2" customFormat="1" ht="24.95" customHeight="1" spans="1:19">
      <c r="A1362" s="15"/>
      <c r="B1362" s="55"/>
      <c r="C1362" s="56"/>
      <c r="D1362" s="68"/>
      <c r="E1362" s="69"/>
      <c r="F1362" s="69"/>
      <c r="G1362" s="65"/>
      <c r="H1362" s="65"/>
      <c r="I1362" s="70"/>
      <c r="J1362" s="71"/>
      <c r="K1362" s="71"/>
      <c r="L1362" s="72" t="str">
        <f>IFERROR(IF(G1362="","",VLOOKUP($G1362,[1]基础信息!$B:$C,2,FALSE)+SUMIF(G$8:G1362,G1362,J$8:J1362)-SUMIF(G$8:G1362,G1362,K$8:K1362)+SUMIFS([1]内部转账!$G:$G,[1]内部转账!$C:$C,"&lt;="&amp;$D1362,[1]内部转账!$E:$E,$G1362)-SUMIFS([1]内部转账!$G:$G,[1]内部转账!$C:$C,"&lt;="&amp;$D1362,[1]内部转账!$F:$F,$G1362)),"")</f>
        <v/>
      </c>
      <c r="M1362" s="64"/>
      <c r="N1362" s="69"/>
      <c r="O1362" s="64"/>
      <c r="P1362" s="64"/>
      <c r="Q1362" s="69"/>
      <c r="R1362" s="69"/>
      <c r="S1362" s="69"/>
    </row>
    <row r="1363" s="2" customFormat="1" ht="24.95" customHeight="1" spans="1:19">
      <c r="A1363" s="15"/>
      <c r="B1363" s="55"/>
      <c r="C1363" s="56"/>
      <c r="D1363" s="68"/>
      <c r="E1363" s="69"/>
      <c r="F1363" s="69"/>
      <c r="G1363" s="65"/>
      <c r="H1363" s="65"/>
      <c r="I1363" s="70"/>
      <c r="J1363" s="71"/>
      <c r="K1363" s="71"/>
      <c r="L1363" s="72" t="str">
        <f>IFERROR(IF(G1363="","",VLOOKUP($G1363,[1]基础信息!$B:$C,2,FALSE)+SUMIF(G$8:G1363,G1363,J$8:J1363)-SUMIF(G$8:G1363,G1363,K$8:K1363)+SUMIFS([1]内部转账!$G:$G,[1]内部转账!$C:$C,"&lt;="&amp;$D1363,[1]内部转账!$E:$E,$G1363)-SUMIFS([1]内部转账!$G:$G,[1]内部转账!$C:$C,"&lt;="&amp;$D1363,[1]内部转账!$F:$F,$G1363)),"")</f>
        <v/>
      </c>
      <c r="M1363" s="64"/>
      <c r="N1363" s="69"/>
      <c r="O1363" s="64"/>
      <c r="P1363" s="64"/>
      <c r="Q1363" s="69"/>
      <c r="R1363" s="69"/>
      <c r="S1363" s="69"/>
    </row>
    <row r="1364" s="2" customFormat="1" ht="24.95" customHeight="1" spans="1:19">
      <c r="A1364" s="15"/>
      <c r="B1364" s="55"/>
      <c r="C1364" s="56"/>
      <c r="D1364" s="68"/>
      <c r="E1364" s="69"/>
      <c r="F1364" s="69"/>
      <c r="G1364" s="65"/>
      <c r="H1364" s="65"/>
      <c r="I1364" s="70"/>
      <c r="J1364" s="71"/>
      <c r="K1364" s="71"/>
      <c r="L1364" s="72" t="str">
        <f>IFERROR(IF(G1364="","",VLOOKUP($G1364,[1]基础信息!$B:$C,2,FALSE)+SUMIF(G$8:G1364,G1364,J$8:J1364)-SUMIF(G$8:G1364,G1364,K$8:K1364)+SUMIFS([1]内部转账!$G:$G,[1]内部转账!$C:$C,"&lt;="&amp;$D1364,[1]内部转账!$E:$E,$G1364)-SUMIFS([1]内部转账!$G:$G,[1]内部转账!$C:$C,"&lt;="&amp;$D1364,[1]内部转账!$F:$F,$G1364)),"")</f>
        <v/>
      </c>
      <c r="M1364" s="64"/>
      <c r="N1364" s="69"/>
      <c r="O1364" s="64"/>
      <c r="P1364" s="64"/>
      <c r="Q1364" s="69"/>
      <c r="R1364" s="69"/>
      <c r="S1364" s="69"/>
    </row>
    <row r="1365" s="2" customFormat="1" ht="24.95" customHeight="1" spans="1:19">
      <c r="A1365" s="15"/>
      <c r="B1365" s="55"/>
      <c r="C1365" s="56"/>
      <c r="D1365" s="68"/>
      <c r="E1365" s="69"/>
      <c r="F1365" s="69"/>
      <c r="G1365" s="65"/>
      <c r="H1365" s="65"/>
      <c r="I1365" s="70"/>
      <c r="J1365" s="71"/>
      <c r="K1365" s="71"/>
      <c r="L1365" s="72" t="str">
        <f>IFERROR(IF(G1365="","",VLOOKUP($G1365,[1]基础信息!$B:$C,2,FALSE)+SUMIF(G$8:G1365,G1365,J$8:J1365)-SUMIF(G$8:G1365,G1365,K$8:K1365)+SUMIFS([1]内部转账!$G:$G,[1]内部转账!$C:$C,"&lt;="&amp;$D1365,[1]内部转账!$E:$E,$G1365)-SUMIFS([1]内部转账!$G:$G,[1]内部转账!$C:$C,"&lt;="&amp;$D1365,[1]内部转账!$F:$F,$G1365)),"")</f>
        <v/>
      </c>
      <c r="M1365" s="64"/>
      <c r="N1365" s="69"/>
      <c r="O1365" s="64"/>
      <c r="P1365" s="64"/>
      <c r="Q1365" s="69"/>
      <c r="R1365" s="69"/>
      <c r="S1365" s="69"/>
    </row>
    <row r="1366" s="2" customFormat="1" ht="24.95" customHeight="1" spans="1:19">
      <c r="A1366" s="15"/>
      <c r="B1366" s="55"/>
      <c r="C1366" s="56"/>
      <c r="D1366" s="68"/>
      <c r="E1366" s="69"/>
      <c r="F1366" s="69"/>
      <c r="G1366" s="65"/>
      <c r="H1366" s="65"/>
      <c r="I1366" s="70"/>
      <c r="J1366" s="71"/>
      <c r="K1366" s="71"/>
      <c r="L1366" s="72" t="str">
        <f>IFERROR(IF(G1366="","",VLOOKUP($G1366,[1]基础信息!$B:$C,2,FALSE)+SUMIF(G$8:G1366,G1366,J$8:J1366)-SUMIF(G$8:G1366,G1366,K$8:K1366)+SUMIFS([1]内部转账!$G:$G,[1]内部转账!$C:$C,"&lt;="&amp;$D1366,[1]内部转账!$E:$E,$G1366)-SUMIFS([1]内部转账!$G:$G,[1]内部转账!$C:$C,"&lt;="&amp;$D1366,[1]内部转账!$F:$F,$G1366)),"")</f>
        <v/>
      </c>
      <c r="M1366" s="64"/>
      <c r="N1366" s="69"/>
      <c r="O1366" s="64"/>
      <c r="P1366" s="64"/>
      <c r="Q1366" s="69"/>
      <c r="R1366" s="69"/>
      <c r="S1366" s="69"/>
    </row>
    <row r="1367" s="2" customFormat="1" ht="24.95" customHeight="1" spans="1:19">
      <c r="A1367" s="15"/>
      <c r="B1367" s="55"/>
      <c r="C1367" s="56"/>
      <c r="D1367" s="68"/>
      <c r="E1367" s="69"/>
      <c r="F1367" s="69"/>
      <c r="G1367" s="65"/>
      <c r="H1367" s="65"/>
      <c r="I1367" s="70"/>
      <c r="J1367" s="71"/>
      <c r="K1367" s="71"/>
      <c r="L1367" s="72" t="str">
        <f>IFERROR(IF(G1367="","",VLOOKUP($G1367,[1]基础信息!$B:$C,2,FALSE)+SUMIF(G$8:G1367,G1367,J$8:J1367)-SUMIF(G$8:G1367,G1367,K$8:K1367)+SUMIFS([1]内部转账!$G:$G,[1]内部转账!$C:$C,"&lt;="&amp;$D1367,[1]内部转账!$E:$E,$G1367)-SUMIFS([1]内部转账!$G:$G,[1]内部转账!$C:$C,"&lt;="&amp;$D1367,[1]内部转账!$F:$F,$G1367)),"")</f>
        <v/>
      </c>
      <c r="M1367" s="64"/>
      <c r="N1367" s="69"/>
      <c r="O1367" s="64"/>
      <c r="P1367" s="64"/>
      <c r="Q1367" s="69"/>
      <c r="R1367" s="69"/>
      <c r="S1367" s="69"/>
    </row>
    <row r="1368" s="2" customFormat="1" ht="24.95" customHeight="1" spans="1:19">
      <c r="A1368" s="15"/>
      <c r="B1368" s="55"/>
      <c r="C1368" s="56"/>
      <c r="D1368" s="68"/>
      <c r="E1368" s="69"/>
      <c r="F1368" s="69"/>
      <c r="G1368" s="65"/>
      <c r="H1368" s="65"/>
      <c r="I1368" s="70"/>
      <c r="J1368" s="71"/>
      <c r="K1368" s="71"/>
      <c r="L1368" s="72" t="str">
        <f>IFERROR(IF(G1368="","",VLOOKUP($G1368,[1]基础信息!$B:$C,2,FALSE)+SUMIF(G$8:G1368,G1368,J$8:J1368)-SUMIF(G$8:G1368,G1368,K$8:K1368)+SUMIFS([1]内部转账!$G:$G,[1]内部转账!$C:$C,"&lt;="&amp;$D1368,[1]内部转账!$E:$E,$G1368)-SUMIFS([1]内部转账!$G:$G,[1]内部转账!$C:$C,"&lt;="&amp;$D1368,[1]内部转账!$F:$F,$G1368)),"")</f>
        <v/>
      </c>
      <c r="M1368" s="64"/>
      <c r="N1368" s="69"/>
      <c r="O1368" s="64"/>
      <c r="P1368" s="64"/>
      <c r="Q1368" s="69"/>
      <c r="R1368" s="69"/>
      <c r="S1368" s="69"/>
    </row>
    <row r="1369" s="2" customFormat="1" ht="24.95" customHeight="1" spans="1:19">
      <c r="A1369" s="15"/>
      <c r="B1369" s="55"/>
      <c r="C1369" s="56"/>
      <c r="D1369" s="68"/>
      <c r="E1369" s="69"/>
      <c r="F1369" s="69"/>
      <c r="G1369" s="65"/>
      <c r="H1369" s="65"/>
      <c r="I1369" s="70"/>
      <c r="J1369" s="71"/>
      <c r="K1369" s="71"/>
      <c r="L1369" s="72" t="str">
        <f>IFERROR(IF(G1369="","",VLOOKUP($G1369,[1]基础信息!$B:$C,2,FALSE)+SUMIF(G$8:G1369,G1369,J$8:J1369)-SUMIF(G$8:G1369,G1369,K$8:K1369)+SUMIFS([1]内部转账!$G:$G,[1]内部转账!$C:$C,"&lt;="&amp;$D1369,[1]内部转账!$E:$E,$G1369)-SUMIFS([1]内部转账!$G:$G,[1]内部转账!$C:$C,"&lt;="&amp;$D1369,[1]内部转账!$F:$F,$G1369)),"")</f>
        <v/>
      </c>
      <c r="M1369" s="64"/>
      <c r="N1369" s="69"/>
      <c r="O1369" s="64"/>
      <c r="P1369" s="64"/>
      <c r="Q1369" s="69"/>
      <c r="R1369" s="69"/>
      <c r="S1369" s="69"/>
    </row>
    <row r="1370" s="2" customFormat="1" ht="24.95" customHeight="1" spans="1:19">
      <c r="A1370" s="15"/>
      <c r="B1370" s="55"/>
      <c r="C1370" s="56"/>
      <c r="D1370" s="68"/>
      <c r="E1370" s="69"/>
      <c r="F1370" s="69"/>
      <c r="G1370" s="65"/>
      <c r="H1370" s="65"/>
      <c r="I1370" s="70"/>
      <c r="J1370" s="71"/>
      <c r="K1370" s="71"/>
      <c r="L1370" s="72" t="str">
        <f>IFERROR(IF(G1370="","",VLOOKUP($G1370,[1]基础信息!$B:$C,2,FALSE)+SUMIF(G$8:G1370,G1370,J$8:J1370)-SUMIF(G$8:G1370,G1370,K$8:K1370)+SUMIFS([1]内部转账!$G:$G,[1]内部转账!$C:$C,"&lt;="&amp;$D1370,[1]内部转账!$E:$E,$G1370)-SUMIFS([1]内部转账!$G:$G,[1]内部转账!$C:$C,"&lt;="&amp;$D1370,[1]内部转账!$F:$F,$G1370)),"")</f>
        <v/>
      </c>
      <c r="M1370" s="64"/>
      <c r="N1370" s="69"/>
      <c r="O1370" s="64"/>
      <c r="P1370" s="64"/>
      <c r="Q1370" s="69"/>
      <c r="R1370" s="69"/>
      <c r="S1370" s="69"/>
    </row>
    <row r="1371" s="2" customFormat="1" ht="24.95" customHeight="1" spans="1:19">
      <c r="A1371" s="15"/>
      <c r="B1371" s="55"/>
      <c r="C1371" s="56"/>
      <c r="D1371" s="68"/>
      <c r="E1371" s="69"/>
      <c r="F1371" s="69"/>
      <c r="G1371" s="65"/>
      <c r="H1371" s="65"/>
      <c r="I1371" s="70"/>
      <c r="J1371" s="71"/>
      <c r="K1371" s="71"/>
      <c r="L1371" s="72" t="str">
        <f>IFERROR(IF(G1371="","",VLOOKUP($G1371,[1]基础信息!$B:$C,2,FALSE)+SUMIF(G$8:G1371,G1371,J$8:J1371)-SUMIF(G$8:G1371,G1371,K$8:K1371)+SUMIFS([1]内部转账!$G:$G,[1]内部转账!$C:$C,"&lt;="&amp;$D1371,[1]内部转账!$E:$E,$G1371)-SUMIFS([1]内部转账!$G:$G,[1]内部转账!$C:$C,"&lt;="&amp;$D1371,[1]内部转账!$F:$F,$G1371)),"")</f>
        <v/>
      </c>
      <c r="M1371" s="64"/>
      <c r="N1371" s="69"/>
      <c r="O1371" s="64"/>
      <c r="P1371" s="64"/>
      <c r="Q1371" s="69"/>
      <c r="R1371" s="69"/>
      <c r="S1371" s="69"/>
    </row>
    <row r="1372" s="2" customFormat="1" ht="24.95" customHeight="1" spans="1:19">
      <c r="A1372" s="15"/>
      <c r="B1372" s="55"/>
      <c r="C1372" s="56"/>
      <c r="D1372" s="68"/>
      <c r="E1372" s="69"/>
      <c r="F1372" s="69"/>
      <c r="G1372" s="65"/>
      <c r="H1372" s="65"/>
      <c r="I1372" s="70"/>
      <c r="J1372" s="71"/>
      <c r="K1372" s="71"/>
      <c r="L1372" s="72" t="str">
        <f>IFERROR(IF(G1372="","",VLOOKUP($G1372,[1]基础信息!$B:$C,2,FALSE)+SUMIF(G$8:G1372,G1372,J$8:J1372)-SUMIF(G$8:G1372,G1372,K$8:K1372)+SUMIFS([1]内部转账!$G:$G,[1]内部转账!$C:$C,"&lt;="&amp;$D1372,[1]内部转账!$E:$E,$G1372)-SUMIFS([1]内部转账!$G:$G,[1]内部转账!$C:$C,"&lt;="&amp;$D1372,[1]内部转账!$F:$F,$G1372)),"")</f>
        <v/>
      </c>
      <c r="M1372" s="64"/>
      <c r="N1372" s="69"/>
      <c r="O1372" s="64"/>
      <c r="P1372" s="64"/>
      <c r="Q1372" s="69"/>
      <c r="R1372" s="69"/>
      <c r="S1372" s="69"/>
    </row>
    <row r="1373" s="2" customFormat="1" ht="24.95" customHeight="1" spans="1:19">
      <c r="A1373" s="15"/>
      <c r="B1373" s="55"/>
      <c r="C1373" s="56"/>
      <c r="D1373" s="68"/>
      <c r="E1373" s="69"/>
      <c r="F1373" s="69"/>
      <c r="G1373" s="65"/>
      <c r="H1373" s="65"/>
      <c r="I1373" s="70"/>
      <c r="J1373" s="71"/>
      <c r="K1373" s="71"/>
      <c r="L1373" s="72" t="str">
        <f>IFERROR(IF(G1373="","",VLOOKUP($G1373,[1]基础信息!$B:$C,2,FALSE)+SUMIF(G$8:G1373,G1373,J$8:J1373)-SUMIF(G$8:G1373,G1373,K$8:K1373)+SUMIFS([1]内部转账!$G:$G,[1]内部转账!$C:$C,"&lt;="&amp;$D1373,[1]内部转账!$E:$E,$G1373)-SUMIFS([1]内部转账!$G:$G,[1]内部转账!$C:$C,"&lt;="&amp;$D1373,[1]内部转账!$F:$F,$G1373)),"")</f>
        <v/>
      </c>
      <c r="M1373" s="64"/>
      <c r="N1373" s="69"/>
      <c r="O1373" s="64"/>
      <c r="P1373" s="64"/>
      <c r="Q1373" s="69"/>
      <c r="R1373" s="69"/>
      <c r="S1373" s="69"/>
    </row>
    <row r="1374" s="2" customFormat="1" ht="24.95" customHeight="1" spans="1:19">
      <c r="A1374" s="15"/>
      <c r="B1374" s="55"/>
      <c r="C1374" s="56"/>
      <c r="D1374" s="68"/>
      <c r="E1374" s="69"/>
      <c r="F1374" s="69"/>
      <c r="G1374" s="65"/>
      <c r="H1374" s="65"/>
      <c r="I1374" s="70"/>
      <c r="J1374" s="71"/>
      <c r="K1374" s="71"/>
      <c r="L1374" s="72" t="str">
        <f>IFERROR(IF(G1374="","",VLOOKUP($G1374,[1]基础信息!$B:$C,2,FALSE)+SUMIF(G$8:G1374,G1374,J$8:J1374)-SUMIF(G$8:G1374,G1374,K$8:K1374)+SUMIFS([1]内部转账!$G:$G,[1]内部转账!$C:$C,"&lt;="&amp;$D1374,[1]内部转账!$E:$E,$G1374)-SUMIFS([1]内部转账!$G:$G,[1]内部转账!$C:$C,"&lt;="&amp;$D1374,[1]内部转账!$F:$F,$G1374)),"")</f>
        <v/>
      </c>
      <c r="M1374" s="64"/>
      <c r="N1374" s="69"/>
      <c r="O1374" s="64"/>
      <c r="P1374" s="64"/>
      <c r="Q1374" s="69"/>
      <c r="R1374" s="69"/>
      <c r="S1374" s="69"/>
    </row>
    <row r="1375" s="2" customFormat="1" ht="24.95" customHeight="1" spans="1:19">
      <c r="A1375" s="15"/>
      <c r="B1375" s="55"/>
      <c r="C1375" s="56"/>
      <c r="D1375" s="68"/>
      <c r="E1375" s="69"/>
      <c r="F1375" s="69"/>
      <c r="G1375" s="65"/>
      <c r="H1375" s="65"/>
      <c r="I1375" s="70"/>
      <c r="J1375" s="71"/>
      <c r="K1375" s="71"/>
      <c r="L1375" s="72" t="str">
        <f>IFERROR(IF(G1375="","",VLOOKUP($G1375,[1]基础信息!$B:$C,2,FALSE)+SUMIF(G$8:G1375,G1375,J$8:J1375)-SUMIF(G$8:G1375,G1375,K$8:K1375)+SUMIFS([1]内部转账!$G:$G,[1]内部转账!$C:$C,"&lt;="&amp;$D1375,[1]内部转账!$E:$E,$G1375)-SUMIFS([1]内部转账!$G:$G,[1]内部转账!$C:$C,"&lt;="&amp;$D1375,[1]内部转账!$F:$F,$G1375)),"")</f>
        <v/>
      </c>
      <c r="M1375" s="64"/>
      <c r="N1375" s="69"/>
      <c r="O1375" s="64"/>
      <c r="P1375" s="64"/>
      <c r="Q1375" s="69"/>
      <c r="R1375" s="69"/>
      <c r="S1375" s="69"/>
    </row>
    <row r="1376" s="2" customFormat="1" ht="24.95" customHeight="1" spans="1:19">
      <c r="A1376" s="15"/>
      <c r="B1376" s="55"/>
      <c r="C1376" s="56"/>
      <c r="D1376" s="68"/>
      <c r="E1376" s="69"/>
      <c r="F1376" s="69"/>
      <c r="G1376" s="65"/>
      <c r="H1376" s="65"/>
      <c r="I1376" s="70"/>
      <c r="J1376" s="71"/>
      <c r="K1376" s="71"/>
      <c r="L1376" s="72" t="str">
        <f>IFERROR(IF(G1376="","",VLOOKUP($G1376,[1]基础信息!$B:$C,2,FALSE)+SUMIF(G$8:G1376,G1376,J$8:J1376)-SUMIF(G$8:G1376,G1376,K$8:K1376)+SUMIFS([1]内部转账!$G:$G,[1]内部转账!$C:$C,"&lt;="&amp;$D1376,[1]内部转账!$E:$E,$G1376)-SUMIFS([1]内部转账!$G:$G,[1]内部转账!$C:$C,"&lt;="&amp;$D1376,[1]内部转账!$F:$F,$G1376)),"")</f>
        <v/>
      </c>
      <c r="M1376" s="64"/>
      <c r="N1376" s="69"/>
      <c r="O1376" s="64"/>
      <c r="P1376" s="64"/>
      <c r="Q1376" s="69"/>
      <c r="R1376" s="69"/>
      <c r="S1376" s="69"/>
    </row>
    <row r="1377" s="2" customFormat="1" ht="24.95" customHeight="1" spans="1:19">
      <c r="A1377" s="15"/>
      <c r="B1377" s="55"/>
      <c r="C1377" s="56"/>
      <c r="D1377" s="68"/>
      <c r="E1377" s="69"/>
      <c r="F1377" s="69"/>
      <c r="G1377" s="65"/>
      <c r="H1377" s="65"/>
      <c r="I1377" s="70"/>
      <c r="J1377" s="71"/>
      <c r="K1377" s="71"/>
      <c r="L1377" s="72" t="str">
        <f>IFERROR(IF(G1377="","",VLOOKUP($G1377,[1]基础信息!$B:$C,2,FALSE)+SUMIF(G$8:G1377,G1377,J$8:J1377)-SUMIF(G$8:G1377,G1377,K$8:K1377)+SUMIFS([1]内部转账!$G:$G,[1]内部转账!$C:$C,"&lt;="&amp;$D1377,[1]内部转账!$E:$E,$G1377)-SUMIFS([1]内部转账!$G:$G,[1]内部转账!$C:$C,"&lt;="&amp;$D1377,[1]内部转账!$F:$F,$G1377)),"")</f>
        <v/>
      </c>
      <c r="M1377" s="64"/>
      <c r="N1377" s="69"/>
      <c r="O1377" s="64"/>
      <c r="P1377" s="64"/>
      <c r="Q1377" s="69"/>
      <c r="R1377" s="69"/>
      <c r="S1377" s="69"/>
    </row>
    <row r="1378" s="2" customFormat="1" ht="24.95" customHeight="1" spans="1:19">
      <c r="A1378" s="15"/>
      <c r="B1378" s="55"/>
      <c r="C1378" s="56"/>
      <c r="D1378" s="68"/>
      <c r="E1378" s="69"/>
      <c r="F1378" s="69"/>
      <c r="G1378" s="65"/>
      <c r="H1378" s="65"/>
      <c r="I1378" s="70"/>
      <c r="J1378" s="71"/>
      <c r="K1378" s="71"/>
      <c r="L1378" s="72" t="str">
        <f>IFERROR(IF(G1378="","",VLOOKUP($G1378,[1]基础信息!$B:$C,2,FALSE)+SUMIF(G$8:G1378,G1378,J$8:J1378)-SUMIF(G$8:G1378,G1378,K$8:K1378)+SUMIFS([1]内部转账!$G:$G,[1]内部转账!$C:$C,"&lt;="&amp;$D1378,[1]内部转账!$E:$E,$G1378)-SUMIFS([1]内部转账!$G:$G,[1]内部转账!$C:$C,"&lt;="&amp;$D1378,[1]内部转账!$F:$F,$G1378)),"")</f>
        <v/>
      </c>
      <c r="M1378" s="64"/>
      <c r="N1378" s="69"/>
      <c r="O1378" s="64"/>
      <c r="P1378" s="64"/>
      <c r="Q1378" s="69"/>
      <c r="R1378" s="69"/>
      <c r="S1378" s="69"/>
    </row>
    <row r="1379" s="2" customFormat="1" ht="24.95" customHeight="1" spans="1:19">
      <c r="A1379" s="15"/>
      <c r="B1379" s="55"/>
      <c r="C1379" s="56"/>
      <c r="D1379" s="68"/>
      <c r="E1379" s="69"/>
      <c r="F1379" s="69"/>
      <c r="G1379" s="65"/>
      <c r="H1379" s="65"/>
      <c r="I1379" s="70"/>
      <c r="J1379" s="71"/>
      <c r="K1379" s="71"/>
      <c r="L1379" s="72" t="str">
        <f>IFERROR(IF(G1379="","",VLOOKUP($G1379,[1]基础信息!$B:$C,2,FALSE)+SUMIF(G$8:G1379,G1379,J$8:J1379)-SUMIF(G$8:G1379,G1379,K$8:K1379)+SUMIFS([1]内部转账!$G:$G,[1]内部转账!$C:$C,"&lt;="&amp;$D1379,[1]内部转账!$E:$E,$G1379)-SUMIFS([1]内部转账!$G:$G,[1]内部转账!$C:$C,"&lt;="&amp;$D1379,[1]内部转账!$F:$F,$G1379)),"")</f>
        <v/>
      </c>
      <c r="M1379" s="64"/>
      <c r="N1379" s="69"/>
      <c r="O1379" s="64"/>
      <c r="P1379" s="64"/>
      <c r="Q1379" s="69"/>
      <c r="R1379" s="69"/>
      <c r="S1379" s="69"/>
    </row>
    <row r="1380" s="2" customFormat="1" ht="24.95" customHeight="1" spans="1:19">
      <c r="A1380" s="15"/>
      <c r="B1380" s="55"/>
      <c r="C1380" s="56"/>
      <c r="D1380" s="68"/>
      <c r="E1380" s="69"/>
      <c r="F1380" s="69"/>
      <c r="G1380" s="65"/>
      <c r="H1380" s="65"/>
      <c r="I1380" s="70"/>
      <c r="J1380" s="71"/>
      <c r="K1380" s="71"/>
      <c r="L1380" s="72" t="str">
        <f>IFERROR(IF(G1380="","",VLOOKUP($G1380,[1]基础信息!$B:$C,2,FALSE)+SUMIF(G$8:G1380,G1380,J$8:J1380)-SUMIF(G$8:G1380,G1380,K$8:K1380)+SUMIFS([1]内部转账!$G:$G,[1]内部转账!$C:$C,"&lt;="&amp;$D1380,[1]内部转账!$E:$E,$G1380)-SUMIFS([1]内部转账!$G:$G,[1]内部转账!$C:$C,"&lt;="&amp;$D1380,[1]内部转账!$F:$F,$G1380)),"")</f>
        <v/>
      </c>
      <c r="M1380" s="64"/>
      <c r="N1380" s="69"/>
      <c r="O1380" s="64"/>
      <c r="P1380" s="64"/>
      <c r="Q1380" s="69"/>
      <c r="R1380" s="69"/>
      <c r="S1380" s="69"/>
    </row>
    <row r="1381" s="2" customFormat="1" ht="24.95" customHeight="1" spans="1:19">
      <c r="A1381" s="15"/>
      <c r="B1381" s="55"/>
      <c r="C1381" s="56"/>
      <c r="D1381" s="68"/>
      <c r="E1381" s="69"/>
      <c r="F1381" s="69"/>
      <c r="G1381" s="65"/>
      <c r="H1381" s="65"/>
      <c r="I1381" s="70"/>
      <c r="J1381" s="71"/>
      <c r="K1381" s="71"/>
      <c r="L1381" s="72" t="str">
        <f>IFERROR(IF(G1381="","",VLOOKUP($G1381,[1]基础信息!$B:$C,2,FALSE)+SUMIF(G$8:G1381,G1381,J$8:J1381)-SUMIF(G$8:G1381,G1381,K$8:K1381)+SUMIFS([1]内部转账!$G:$G,[1]内部转账!$C:$C,"&lt;="&amp;$D1381,[1]内部转账!$E:$E,$G1381)-SUMIFS([1]内部转账!$G:$G,[1]内部转账!$C:$C,"&lt;="&amp;$D1381,[1]内部转账!$F:$F,$G1381)),"")</f>
        <v/>
      </c>
      <c r="M1381" s="64"/>
      <c r="N1381" s="69"/>
      <c r="O1381" s="64"/>
      <c r="P1381" s="64"/>
      <c r="Q1381" s="69"/>
      <c r="R1381" s="69"/>
      <c r="S1381" s="69"/>
    </row>
    <row r="1382" s="2" customFormat="1" ht="24.95" customHeight="1" spans="1:19">
      <c r="A1382" s="15"/>
      <c r="B1382" s="55"/>
      <c r="C1382" s="56"/>
      <c r="D1382" s="68"/>
      <c r="E1382" s="69"/>
      <c r="F1382" s="69"/>
      <c r="G1382" s="65"/>
      <c r="H1382" s="65"/>
      <c r="I1382" s="70"/>
      <c r="J1382" s="71"/>
      <c r="K1382" s="71"/>
      <c r="L1382" s="72" t="str">
        <f>IFERROR(IF(G1382="","",VLOOKUP($G1382,[1]基础信息!$B:$C,2,FALSE)+SUMIF(G$8:G1382,G1382,J$8:J1382)-SUMIF(G$8:G1382,G1382,K$8:K1382)+SUMIFS([1]内部转账!$G:$G,[1]内部转账!$C:$C,"&lt;="&amp;$D1382,[1]内部转账!$E:$E,$G1382)-SUMIFS([1]内部转账!$G:$G,[1]内部转账!$C:$C,"&lt;="&amp;$D1382,[1]内部转账!$F:$F,$G1382)),"")</f>
        <v/>
      </c>
      <c r="M1382" s="64"/>
      <c r="N1382" s="69"/>
      <c r="O1382" s="64"/>
      <c r="P1382" s="64"/>
      <c r="Q1382" s="69"/>
      <c r="R1382" s="69"/>
      <c r="S1382" s="69"/>
    </row>
    <row r="1383" s="2" customFormat="1" ht="24.95" customHeight="1" spans="1:19">
      <c r="A1383" s="15"/>
      <c r="B1383" s="55"/>
      <c r="C1383" s="56"/>
      <c r="D1383" s="68"/>
      <c r="E1383" s="69"/>
      <c r="F1383" s="69"/>
      <c r="G1383" s="65"/>
      <c r="H1383" s="65"/>
      <c r="I1383" s="70"/>
      <c r="J1383" s="71"/>
      <c r="K1383" s="71"/>
      <c r="L1383" s="72" t="str">
        <f>IFERROR(IF(G1383="","",VLOOKUP($G1383,[1]基础信息!$B:$C,2,FALSE)+SUMIF(G$8:G1383,G1383,J$8:J1383)-SUMIF(G$8:G1383,G1383,K$8:K1383)+SUMIFS([1]内部转账!$G:$G,[1]内部转账!$C:$C,"&lt;="&amp;$D1383,[1]内部转账!$E:$E,$G1383)-SUMIFS([1]内部转账!$G:$G,[1]内部转账!$C:$C,"&lt;="&amp;$D1383,[1]内部转账!$F:$F,$G1383)),"")</f>
        <v/>
      </c>
      <c r="M1383" s="64"/>
      <c r="N1383" s="69"/>
      <c r="O1383" s="64"/>
      <c r="P1383" s="64"/>
      <c r="Q1383" s="69"/>
      <c r="R1383" s="69"/>
      <c r="S1383" s="69"/>
    </row>
    <row r="1384" s="2" customFormat="1" ht="24.95" customHeight="1" spans="1:19">
      <c r="A1384" s="15"/>
      <c r="B1384" s="55"/>
      <c r="C1384" s="56"/>
      <c r="D1384" s="68"/>
      <c r="E1384" s="69"/>
      <c r="F1384" s="69"/>
      <c r="G1384" s="65"/>
      <c r="H1384" s="65"/>
      <c r="I1384" s="70"/>
      <c r="J1384" s="71"/>
      <c r="K1384" s="71"/>
      <c r="L1384" s="72" t="str">
        <f>IFERROR(IF(G1384="","",VLOOKUP($G1384,[1]基础信息!$B:$C,2,FALSE)+SUMIF(G$8:G1384,G1384,J$8:J1384)-SUMIF(G$8:G1384,G1384,K$8:K1384)+SUMIFS([1]内部转账!$G:$G,[1]内部转账!$C:$C,"&lt;="&amp;$D1384,[1]内部转账!$E:$E,$G1384)-SUMIFS([1]内部转账!$G:$G,[1]内部转账!$C:$C,"&lt;="&amp;$D1384,[1]内部转账!$F:$F,$G1384)),"")</f>
        <v/>
      </c>
      <c r="M1384" s="64"/>
      <c r="N1384" s="69"/>
      <c r="O1384" s="64"/>
      <c r="P1384" s="64"/>
      <c r="Q1384" s="69"/>
      <c r="R1384" s="69"/>
      <c r="S1384" s="69"/>
    </row>
    <row r="1385" s="2" customFormat="1" ht="24.95" customHeight="1" spans="1:19">
      <c r="A1385" s="15"/>
      <c r="B1385" s="55"/>
      <c r="C1385" s="56"/>
      <c r="D1385" s="68"/>
      <c r="E1385" s="69"/>
      <c r="F1385" s="69"/>
      <c r="G1385" s="65"/>
      <c r="H1385" s="65"/>
      <c r="I1385" s="70"/>
      <c r="J1385" s="71"/>
      <c r="K1385" s="71"/>
      <c r="L1385" s="72" t="str">
        <f>IFERROR(IF(G1385="","",VLOOKUP($G1385,[1]基础信息!$B:$C,2,FALSE)+SUMIF(G$8:G1385,G1385,J$8:J1385)-SUMIF(G$8:G1385,G1385,K$8:K1385)+SUMIFS([1]内部转账!$G:$G,[1]内部转账!$C:$C,"&lt;="&amp;$D1385,[1]内部转账!$E:$E,$G1385)-SUMIFS([1]内部转账!$G:$G,[1]内部转账!$C:$C,"&lt;="&amp;$D1385,[1]内部转账!$F:$F,$G1385)),"")</f>
        <v/>
      </c>
      <c r="M1385" s="64"/>
      <c r="N1385" s="69"/>
      <c r="O1385" s="64"/>
      <c r="P1385" s="64"/>
      <c r="Q1385" s="69"/>
      <c r="R1385" s="69"/>
      <c r="S1385" s="69"/>
    </row>
    <row r="1386" s="2" customFormat="1" ht="24.95" customHeight="1" spans="1:19">
      <c r="A1386" s="15"/>
      <c r="B1386" s="55"/>
      <c r="C1386" s="56"/>
      <c r="D1386" s="68"/>
      <c r="E1386" s="69"/>
      <c r="F1386" s="69"/>
      <c r="G1386" s="65"/>
      <c r="H1386" s="65"/>
      <c r="I1386" s="70"/>
      <c r="J1386" s="71"/>
      <c r="K1386" s="71"/>
      <c r="L1386" s="72" t="str">
        <f>IFERROR(IF(G1386="","",VLOOKUP($G1386,[1]基础信息!$B:$C,2,FALSE)+SUMIF(G$8:G1386,G1386,J$8:J1386)-SUMIF(G$8:G1386,G1386,K$8:K1386)+SUMIFS([1]内部转账!$G:$G,[1]内部转账!$C:$C,"&lt;="&amp;$D1386,[1]内部转账!$E:$E,$G1386)-SUMIFS([1]内部转账!$G:$G,[1]内部转账!$C:$C,"&lt;="&amp;$D1386,[1]内部转账!$F:$F,$G1386)),"")</f>
        <v/>
      </c>
      <c r="M1386" s="64"/>
      <c r="N1386" s="69"/>
      <c r="O1386" s="64"/>
      <c r="P1386" s="64"/>
      <c r="Q1386" s="69"/>
      <c r="R1386" s="69"/>
      <c r="S1386" s="69"/>
    </row>
    <row r="1387" s="2" customFormat="1" ht="24.95" customHeight="1" spans="1:19">
      <c r="A1387" s="15"/>
      <c r="B1387" s="55"/>
      <c r="C1387" s="56"/>
      <c r="D1387" s="68"/>
      <c r="E1387" s="69"/>
      <c r="F1387" s="69"/>
      <c r="G1387" s="65"/>
      <c r="H1387" s="65"/>
      <c r="I1387" s="70"/>
      <c r="J1387" s="71"/>
      <c r="K1387" s="71"/>
      <c r="L1387" s="72" t="str">
        <f>IFERROR(IF(G1387="","",VLOOKUP($G1387,[1]基础信息!$B:$C,2,FALSE)+SUMIF(G$8:G1387,G1387,J$8:J1387)-SUMIF(G$8:G1387,G1387,K$8:K1387)+SUMIFS([1]内部转账!$G:$G,[1]内部转账!$C:$C,"&lt;="&amp;$D1387,[1]内部转账!$E:$E,$G1387)-SUMIFS([1]内部转账!$G:$G,[1]内部转账!$C:$C,"&lt;="&amp;$D1387,[1]内部转账!$F:$F,$G1387)),"")</f>
        <v/>
      </c>
      <c r="M1387" s="64"/>
      <c r="N1387" s="69"/>
      <c r="O1387" s="64"/>
      <c r="P1387" s="64"/>
      <c r="Q1387" s="69"/>
      <c r="R1387" s="69"/>
      <c r="S1387" s="69"/>
    </row>
    <row r="1388" s="2" customFormat="1" ht="24.95" customHeight="1" spans="1:19">
      <c r="A1388" s="15"/>
      <c r="B1388" s="55"/>
      <c r="C1388" s="56"/>
      <c r="D1388" s="68"/>
      <c r="E1388" s="69"/>
      <c r="F1388" s="69"/>
      <c r="G1388" s="65"/>
      <c r="H1388" s="65"/>
      <c r="I1388" s="70"/>
      <c r="J1388" s="71"/>
      <c r="K1388" s="71"/>
      <c r="L1388" s="72" t="str">
        <f>IFERROR(IF(G1388="","",VLOOKUP($G1388,[1]基础信息!$B:$C,2,FALSE)+SUMIF(G$8:G1388,G1388,J$8:J1388)-SUMIF(G$8:G1388,G1388,K$8:K1388)+SUMIFS([1]内部转账!$G:$G,[1]内部转账!$C:$C,"&lt;="&amp;$D1388,[1]内部转账!$E:$E,$G1388)-SUMIFS([1]内部转账!$G:$G,[1]内部转账!$C:$C,"&lt;="&amp;$D1388,[1]内部转账!$F:$F,$G1388)),"")</f>
        <v/>
      </c>
      <c r="M1388" s="64"/>
      <c r="N1388" s="69"/>
      <c r="O1388" s="64"/>
      <c r="P1388" s="64"/>
      <c r="Q1388" s="69"/>
      <c r="R1388" s="69"/>
      <c r="S1388" s="69"/>
    </row>
    <row r="1389" s="2" customFormat="1" ht="24.95" customHeight="1" spans="1:19">
      <c r="A1389" s="15"/>
      <c r="B1389" s="55"/>
      <c r="C1389" s="56"/>
      <c r="D1389" s="68"/>
      <c r="E1389" s="69"/>
      <c r="F1389" s="69"/>
      <c r="G1389" s="65"/>
      <c r="H1389" s="65"/>
      <c r="I1389" s="70"/>
      <c r="J1389" s="71"/>
      <c r="K1389" s="71"/>
      <c r="L1389" s="72" t="str">
        <f>IFERROR(IF(G1389="","",VLOOKUP($G1389,[1]基础信息!$B:$C,2,FALSE)+SUMIF(G$8:G1389,G1389,J$8:J1389)-SUMIF(G$8:G1389,G1389,K$8:K1389)+SUMIFS([1]内部转账!$G:$G,[1]内部转账!$C:$C,"&lt;="&amp;$D1389,[1]内部转账!$E:$E,$G1389)-SUMIFS([1]内部转账!$G:$G,[1]内部转账!$C:$C,"&lt;="&amp;$D1389,[1]内部转账!$F:$F,$G1389)),"")</f>
        <v/>
      </c>
      <c r="M1389" s="64"/>
      <c r="N1389" s="69"/>
      <c r="O1389" s="64"/>
      <c r="P1389" s="64"/>
      <c r="Q1389" s="69"/>
      <c r="R1389" s="69"/>
      <c r="S1389" s="69"/>
    </row>
    <row r="1390" s="2" customFormat="1" ht="24.95" customHeight="1" spans="1:19">
      <c r="A1390" s="15"/>
      <c r="B1390" s="55"/>
      <c r="C1390" s="56"/>
      <c r="D1390" s="68"/>
      <c r="E1390" s="69"/>
      <c r="F1390" s="69"/>
      <c r="G1390" s="65"/>
      <c r="H1390" s="65"/>
      <c r="I1390" s="70"/>
      <c r="J1390" s="71"/>
      <c r="K1390" s="71"/>
      <c r="L1390" s="72" t="str">
        <f>IFERROR(IF(G1390="","",VLOOKUP($G1390,[1]基础信息!$B:$C,2,FALSE)+SUMIF(G$8:G1390,G1390,J$8:J1390)-SUMIF(G$8:G1390,G1390,K$8:K1390)+SUMIFS([1]内部转账!$G:$G,[1]内部转账!$C:$C,"&lt;="&amp;$D1390,[1]内部转账!$E:$E,$G1390)-SUMIFS([1]内部转账!$G:$G,[1]内部转账!$C:$C,"&lt;="&amp;$D1390,[1]内部转账!$F:$F,$G1390)),"")</f>
        <v/>
      </c>
      <c r="M1390" s="64"/>
      <c r="N1390" s="69"/>
      <c r="O1390" s="64"/>
      <c r="P1390" s="64"/>
      <c r="Q1390" s="69"/>
      <c r="R1390" s="69"/>
      <c r="S1390" s="69"/>
    </row>
    <row r="1391" s="2" customFormat="1" ht="24.95" customHeight="1" spans="1:19">
      <c r="A1391" s="15"/>
      <c r="B1391" s="55"/>
      <c r="C1391" s="56"/>
      <c r="D1391" s="68"/>
      <c r="E1391" s="69"/>
      <c r="F1391" s="69"/>
      <c r="G1391" s="65"/>
      <c r="H1391" s="65"/>
      <c r="I1391" s="70"/>
      <c r="J1391" s="71"/>
      <c r="K1391" s="71"/>
      <c r="L1391" s="72" t="str">
        <f>IFERROR(IF(G1391="","",VLOOKUP($G1391,[1]基础信息!$B:$C,2,FALSE)+SUMIF(G$8:G1391,G1391,J$8:J1391)-SUMIF(G$8:G1391,G1391,K$8:K1391)+SUMIFS([1]内部转账!$G:$G,[1]内部转账!$C:$C,"&lt;="&amp;$D1391,[1]内部转账!$E:$E,$G1391)-SUMIFS([1]内部转账!$G:$G,[1]内部转账!$C:$C,"&lt;="&amp;$D1391,[1]内部转账!$F:$F,$G1391)),"")</f>
        <v/>
      </c>
      <c r="M1391" s="64"/>
      <c r="N1391" s="69"/>
      <c r="O1391" s="64"/>
      <c r="P1391" s="64"/>
      <c r="Q1391" s="69"/>
      <c r="R1391" s="69"/>
      <c r="S1391" s="69"/>
    </row>
    <row r="1392" s="2" customFormat="1" ht="24.95" customHeight="1" spans="1:19">
      <c r="A1392" s="15"/>
      <c r="B1392" s="55"/>
      <c r="C1392" s="56"/>
      <c r="D1392" s="68"/>
      <c r="E1392" s="69"/>
      <c r="F1392" s="69"/>
      <c r="G1392" s="65"/>
      <c r="H1392" s="65"/>
      <c r="I1392" s="70"/>
      <c r="J1392" s="71"/>
      <c r="K1392" s="71"/>
      <c r="L1392" s="72" t="str">
        <f>IFERROR(IF(G1392="","",VLOOKUP($G1392,[1]基础信息!$B:$C,2,FALSE)+SUMIF(G$8:G1392,G1392,J$8:J1392)-SUMIF(G$8:G1392,G1392,K$8:K1392)+SUMIFS([1]内部转账!$G:$G,[1]内部转账!$C:$C,"&lt;="&amp;$D1392,[1]内部转账!$E:$E,$G1392)-SUMIFS([1]内部转账!$G:$G,[1]内部转账!$C:$C,"&lt;="&amp;$D1392,[1]内部转账!$F:$F,$G1392)),"")</f>
        <v/>
      </c>
      <c r="M1392" s="64"/>
      <c r="N1392" s="69"/>
      <c r="O1392" s="64"/>
      <c r="P1392" s="64"/>
      <c r="Q1392" s="69"/>
      <c r="R1392" s="69"/>
      <c r="S1392" s="69"/>
    </row>
    <row r="1393" s="2" customFormat="1" ht="24.95" customHeight="1" spans="1:19">
      <c r="A1393" s="15"/>
      <c r="B1393" s="55"/>
      <c r="C1393" s="56"/>
      <c r="D1393" s="68"/>
      <c r="E1393" s="69"/>
      <c r="F1393" s="69"/>
      <c r="G1393" s="65"/>
      <c r="H1393" s="65"/>
      <c r="I1393" s="70"/>
      <c r="J1393" s="71"/>
      <c r="K1393" s="71"/>
      <c r="L1393" s="72" t="str">
        <f>IFERROR(IF(G1393="","",VLOOKUP($G1393,[1]基础信息!$B:$C,2,FALSE)+SUMIF(G$8:G1393,G1393,J$8:J1393)-SUMIF(G$8:G1393,G1393,K$8:K1393)+SUMIFS([1]内部转账!$G:$G,[1]内部转账!$C:$C,"&lt;="&amp;$D1393,[1]内部转账!$E:$E,$G1393)-SUMIFS([1]内部转账!$G:$G,[1]内部转账!$C:$C,"&lt;="&amp;$D1393,[1]内部转账!$F:$F,$G1393)),"")</f>
        <v/>
      </c>
      <c r="M1393" s="64"/>
      <c r="N1393" s="69"/>
      <c r="O1393" s="64"/>
      <c r="P1393" s="64"/>
      <c r="Q1393" s="69"/>
      <c r="R1393" s="69"/>
      <c r="S1393" s="69"/>
    </row>
    <row r="1394" s="2" customFormat="1" ht="24.95" customHeight="1" spans="1:19">
      <c r="A1394" s="15"/>
      <c r="B1394" s="55"/>
      <c r="C1394" s="56"/>
      <c r="D1394" s="68"/>
      <c r="E1394" s="69"/>
      <c r="F1394" s="69"/>
      <c r="G1394" s="65"/>
      <c r="H1394" s="65"/>
      <c r="I1394" s="70"/>
      <c r="J1394" s="71"/>
      <c r="K1394" s="71"/>
      <c r="L1394" s="72" t="str">
        <f>IFERROR(IF(G1394="","",VLOOKUP($G1394,[1]基础信息!$B:$C,2,FALSE)+SUMIF(G$8:G1394,G1394,J$8:J1394)-SUMIF(G$8:G1394,G1394,K$8:K1394)+SUMIFS([1]内部转账!$G:$G,[1]内部转账!$C:$C,"&lt;="&amp;$D1394,[1]内部转账!$E:$E,$G1394)-SUMIFS([1]内部转账!$G:$G,[1]内部转账!$C:$C,"&lt;="&amp;$D1394,[1]内部转账!$F:$F,$G1394)),"")</f>
        <v/>
      </c>
      <c r="M1394" s="64"/>
      <c r="N1394" s="69"/>
      <c r="O1394" s="64"/>
      <c r="P1394" s="64"/>
      <c r="Q1394" s="69"/>
      <c r="R1394" s="69"/>
      <c r="S1394" s="69"/>
    </row>
    <row r="1395" s="2" customFormat="1" ht="24.95" customHeight="1" spans="1:19">
      <c r="A1395" s="15"/>
      <c r="B1395" s="55"/>
      <c r="C1395" s="56"/>
      <c r="D1395" s="68"/>
      <c r="E1395" s="69"/>
      <c r="F1395" s="69"/>
      <c r="G1395" s="65"/>
      <c r="H1395" s="65"/>
      <c r="I1395" s="70"/>
      <c r="J1395" s="71"/>
      <c r="K1395" s="71"/>
      <c r="L1395" s="72" t="str">
        <f>IFERROR(IF(G1395="","",VLOOKUP($G1395,[1]基础信息!$B:$C,2,FALSE)+SUMIF(G$8:G1395,G1395,J$8:J1395)-SUMIF(G$8:G1395,G1395,K$8:K1395)+SUMIFS([1]内部转账!$G:$G,[1]内部转账!$C:$C,"&lt;="&amp;$D1395,[1]内部转账!$E:$E,$G1395)-SUMIFS([1]内部转账!$G:$G,[1]内部转账!$C:$C,"&lt;="&amp;$D1395,[1]内部转账!$F:$F,$G1395)),"")</f>
        <v/>
      </c>
      <c r="M1395" s="64"/>
      <c r="N1395" s="69"/>
      <c r="O1395" s="64"/>
      <c r="P1395" s="64"/>
      <c r="Q1395" s="69"/>
      <c r="R1395" s="69"/>
      <c r="S1395" s="69"/>
    </row>
    <row r="1396" s="2" customFormat="1" ht="24.95" customHeight="1" spans="1:19">
      <c r="A1396" s="15"/>
      <c r="B1396" s="55"/>
      <c r="C1396" s="56"/>
      <c r="D1396" s="68"/>
      <c r="E1396" s="69"/>
      <c r="F1396" s="69"/>
      <c r="G1396" s="65"/>
      <c r="H1396" s="65"/>
      <c r="I1396" s="70"/>
      <c r="J1396" s="71"/>
      <c r="K1396" s="71"/>
      <c r="L1396" s="72" t="str">
        <f>IFERROR(IF(G1396="","",VLOOKUP($G1396,[1]基础信息!$B:$C,2,FALSE)+SUMIF(G$8:G1396,G1396,J$8:J1396)-SUMIF(G$8:G1396,G1396,K$8:K1396)+SUMIFS([1]内部转账!$G:$G,[1]内部转账!$C:$C,"&lt;="&amp;$D1396,[1]内部转账!$E:$E,$G1396)-SUMIFS([1]内部转账!$G:$G,[1]内部转账!$C:$C,"&lt;="&amp;$D1396,[1]内部转账!$F:$F,$G1396)),"")</f>
        <v/>
      </c>
      <c r="M1396" s="64"/>
      <c r="N1396" s="69"/>
      <c r="O1396" s="64"/>
      <c r="P1396" s="64"/>
      <c r="Q1396" s="69"/>
      <c r="R1396" s="69"/>
      <c r="S1396" s="69"/>
    </row>
    <row r="1397" s="2" customFormat="1" ht="24.95" customHeight="1" spans="1:19">
      <c r="A1397" s="15"/>
      <c r="B1397" s="55"/>
      <c r="C1397" s="56"/>
      <c r="D1397" s="68"/>
      <c r="E1397" s="69"/>
      <c r="F1397" s="69"/>
      <c r="G1397" s="65"/>
      <c r="H1397" s="65"/>
      <c r="I1397" s="70"/>
      <c r="J1397" s="71"/>
      <c r="K1397" s="71"/>
      <c r="L1397" s="72" t="str">
        <f>IFERROR(IF(G1397="","",VLOOKUP($G1397,[1]基础信息!$B:$C,2,FALSE)+SUMIF(G$8:G1397,G1397,J$8:J1397)-SUMIF(G$8:G1397,G1397,K$8:K1397)+SUMIFS([1]内部转账!$G:$G,[1]内部转账!$C:$C,"&lt;="&amp;$D1397,[1]内部转账!$E:$E,$G1397)-SUMIFS([1]内部转账!$G:$G,[1]内部转账!$C:$C,"&lt;="&amp;$D1397,[1]内部转账!$F:$F,$G1397)),"")</f>
        <v/>
      </c>
      <c r="M1397" s="64"/>
      <c r="N1397" s="69"/>
      <c r="O1397" s="64"/>
      <c r="P1397" s="64"/>
      <c r="Q1397" s="69"/>
      <c r="R1397" s="69"/>
      <c r="S1397" s="69"/>
    </row>
    <row r="1398" s="2" customFormat="1" ht="24.95" customHeight="1" spans="1:19">
      <c r="A1398" s="15"/>
      <c r="B1398" s="55"/>
      <c r="C1398" s="56"/>
      <c r="D1398" s="68"/>
      <c r="E1398" s="69"/>
      <c r="F1398" s="69"/>
      <c r="G1398" s="65"/>
      <c r="H1398" s="65"/>
      <c r="I1398" s="70"/>
      <c r="J1398" s="71"/>
      <c r="K1398" s="71"/>
      <c r="L1398" s="72" t="str">
        <f>IFERROR(IF(G1398="","",VLOOKUP($G1398,[1]基础信息!$B:$C,2,FALSE)+SUMIF(G$8:G1398,G1398,J$8:J1398)-SUMIF(G$8:G1398,G1398,K$8:K1398)+SUMIFS([1]内部转账!$G:$G,[1]内部转账!$C:$C,"&lt;="&amp;$D1398,[1]内部转账!$E:$E,$G1398)-SUMIFS([1]内部转账!$G:$G,[1]内部转账!$C:$C,"&lt;="&amp;$D1398,[1]内部转账!$F:$F,$G1398)),"")</f>
        <v/>
      </c>
      <c r="M1398" s="64"/>
      <c r="N1398" s="69"/>
      <c r="O1398" s="64"/>
      <c r="P1398" s="64"/>
      <c r="Q1398" s="69"/>
      <c r="R1398" s="69"/>
      <c r="S1398" s="69"/>
    </row>
    <row r="1399" s="2" customFormat="1" ht="24.95" customHeight="1" spans="1:19">
      <c r="A1399" s="15"/>
      <c r="B1399" s="55"/>
      <c r="C1399" s="56"/>
      <c r="D1399" s="68"/>
      <c r="E1399" s="69"/>
      <c r="F1399" s="69"/>
      <c r="G1399" s="65"/>
      <c r="H1399" s="65"/>
      <c r="I1399" s="70"/>
      <c r="J1399" s="71"/>
      <c r="K1399" s="71"/>
      <c r="L1399" s="72" t="str">
        <f>IFERROR(IF(G1399="","",VLOOKUP($G1399,[1]基础信息!$B:$C,2,FALSE)+SUMIF(G$8:G1399,G1399,J$8:J1399)-SUMIF(G$8:G1399,G1399,K$8:K1399)+SUMIFS([1]内部转账!$G:$G,[1]内部转账!$C:$C,"&lt;="&amp;$D1399,[1]内部转账!$E:$E,$G1399)-SUMIFS([1]内部转账!$G:$G,[1]内部转账!$C:$C,"&lt;="&amp;$D1399,[1]内部转账!$F:$F,$G1399)),"")</f>
        <v/>
      </c>
      <c r="M1399" s="64"/>
      <c r="N1399" s="69"/>
      <c r="O1399" s="64"/>
      <c r="P1399" s="64"/>
      <c r="Q1399" s="69"/>
      <c r="R1399" s="69"/>
      <c r="S1399" s="69"/>
    </row>
    <row r="1400" s="2" customFormat="1" ht="24.95" customHeight="1" spans="1:19">
      <c r="A1400" s="15"/>
      <c r="B1400" s="55"/>
      <c r="C1400" s="56"/>
      <c r="D1400" s="68"/>
      <c r="E1400" s="69"/>
      <c r="F1400" s="69"/>
      <c r="G1400" s="65"/>
      <c r="H1400" s="65"/>
      <c r="I1400" s="70"/>
      <c r="J1400" s="71"/>
      <c r="K1400" s="71"/>
      <c r="L1400" s="72" t="str">
        <f>IFERROR(IF(G1400="","",VLOOKUP($G1400,[1]基础信息!$B:$C,2,FALSE)+SUMIF(G$8:G1400,G1400,J$8:J1400)-SUMIF(G$8:G1400,G1400,K$8:K1400)+SUMIFS([1]内部转账!$G:$G,[1]内部转账!$C:$C,"&lt;="&amp;$D1400,[1]内部转账!$E:$E,$G1400)-SUMIFS([1]内部转账!$G:$G,[1]内部转账!$C:$C,"&lt;="&amp;$D1400,[1]内部转账!$F:$F,$G1400)),"")</f>
        <v/>
      </c>
      <c r="M1400" s="64"/>
      <c r="N1400" s="69"/>
      <c r="O1400" s="64"/>
      <c r="P1400" s="64"/>
      <c r="Q1400" s="69"/>
      <c r="R1400" s="69"/>
      <c r="S1400" s="69"/>
    </row>
    <row r="1401" s="2" customFormat="1" ht="24.95" customHeight="1" spans="1:19">
      <c r="A1401" s="15"/>
      <c r="B1401" s="55"/>
      <c r="C1401" s="56"/>
      <c r="D1401" s="68"/>
      <c r="E1401" s="69"/>
      <c r="F1401" s="69"/>
      <c r="G1401" s="65"/>
      <c r="H1401" s="65"/>
      <c r="I1401" s="70"/>
      <c r="J1401" s="71"/>
      <c r="K1401" s="71"/>
      <c r="L1401" s="72" t="str">
        <f>IFERROR(IF(G1401="","",VLOOKUP($G1401,[1]基础信息!$B:$C,2,FALSE)+SUMIF(G$8:G1401,G1401,J$8:J1401)-SUMIF(G$8:G1401,G1401,K$8:K1401)+SUMIFS([1]内部转账!$G:$G,[1]内部转账!$C:$C,"&lt;="&amp;$D1401,[1]内部转账!$E:$E,$G1401)-SUMIFS([1]内部转账!$G:$G,[1]内部转账!$C:$C,"&lt;="&amp;$D1401,[1]内部转账!$F:$F,$G1401)),"")</f>
        <v/>
      </c>
      <c r="M1401" s="64"/>
      <c r="N1401" s="69"/>
      <c r="O1401" s="64"/>
      <c r="P1401" s="64"/>
      <c r="Q1401" s="69"/>
      <c r="R1401" s="69"/>
      <c r="S1401" s="69"/>
    </row>
    <row r="1402" s="2" customFormat="1" ht="24.95" customHeight="1" spans="1:19">
      <c r="A1402" s="15"/>
      <c r="B1402" s="55"/>
      <c r="C1402" s="56"/>
      <c r="D1402" s="68"/>
      <c r="E1402" s="69"/>
      <c r="F1402" s="69"/>
      <c r="G1402" s="65"/>
      <c r="H1402" s="65"/>
      <c r="I1402" s="70"/>
      <c r="J1402" s="71"/>
      <c r="K1402" s="71"/>
      <c r="L1402" s="72" t="str">
        <f>IFERROR(IF(G1402="","",VLOOKUP($G1402,[1]基础信息!$B:$C,2,FALSE)+SUMIF(G$8:G1402,G1402,J$8:J1402)-SUMIF(G$8:G1402,G1402,K$8:K1402)+SUMIFS([1]内部转账!$G:$G,[1]内部转账!$C:$C,"&lt;="&amp;$D1402,[1]内部转账!$E:$E,$G1402)-SUMIFS([1]内部转账!$G:$G,[1]内部转账!$C:$C,"&lt;="&amp;$D1402,[1]内部转账!$F:$F,$G1402)),"")</f>
        <v/>
      </c>
      <c r="M1402" s="64"/>
      <c r="N1402" s="69"/>
      <c r="O1402" s="64"/>
      <c r="P1402" s="64"/>
      <c r="Q1402" s="69"/>
      <c r="R1402" s="69"/>
      <c r="S1402" s="69"/>
    </row>
    <row r="1403" s="2" customFormat="1" ht="24.95" customHeight="1" spans="1:19">
      <c r="A1403" s="15"/>
      <c r="B1403" s="55"/>
      <c r="C1403" s="56"/>
      <c r="D1403" s="68"/>
      <c r="E1403" s="69"/>
      <c r="F1403" s="69"/>
      <c r="G1403" s="65"/>
      <c r="H1403" s="65"/>
      <c r="I1403" s="70"/>
      <c r="J1403" s="71"/>
      <c r="K1403" s="71"/>
      <c r="L1403" s="72" t="str">
        <f>IFERROR(IF(G1403="","",VLOOKUP($G1403,[1]基础信息!$B:$C,2,FALSE)+SUMIF(G$8:G1403,G1403,J$8:J1403)-SUMIF(G$8:G1403,G1403,K$8:K1403)+SUMIFS([1]内部转账!$G:$G,[1]内部转账!$C:$C,"&lt;="&amp;$D1403,[1]内部转账!$E:$E,$G1403)-SUMIFS([1]内部转账!$G:$G,[1]内部转账!$C:$C,"&lt;="&amp;$D1403,[1]内部转账!$F:$F,$G1403)),"")</f>
        <v/>
      </c>
      <c r="M1403" s="64"/>
      <c r="N1403" s="69"/>
      <c r="O1403" s="64"/>
      <c r="P1403" s="64"/>
      <c r="Q1403" s="69"/>
      <c r="R1403" s="69"/>
      <c r="S1403" s="69"/>
    </row>
    <row r="1404" s="2" customFormat="1" ht="24.95" customHeight="1" spans="1:19">
      <c r="A1404" s="15"/>
      <c r="B1404" s="55"/>
      <c r="C1404" s="56"/>
      <c r="D1404" s="68"/>
      <c r="E1404" s="69"/>
      <c r="F1404" s="69"/>
      <c r="G1404" s="65"/>
      <c r="H1404" s="65"/>
      <c r="I1404" s="70"/>
      <c r="J1404" s="71"/>
      <c r="K1404" s="71"/>
      <c r="L1404" s="72" t="str">
        <f>IFERROR(IF(G1404="","",VLOOKUP($G1404,[1]基础信息!$B:$C,2,FALSE)+SUMIF(G$8:G1404,G1404,J$8:J1404)-SUMIF(G$8:G1404,G1404,K$8:K1404)+SUMIFS([1]内部转账!$G:$G,[1]内部转账!$C:$C,"&lt;="&amp;$D1404,[1]内部转账!$E:$E,$G1404)-SUMIFS([1]内部转账!$G:$G,[1]内部转账!$C:$C,"&lt;="&amp;$D1404,[1]内部转账!$F:$F,$G1404)),"")</f>
        <v/>
      </c>
      <c r="M1404" s="64"/>
      <c r="N1404" s="69"/>
      <c r="O1404" s="64"/>
      <c r="P1404" s="64"/>
      <c r="Q1404" s="69"/>
      <c r="R1404" s="69"/>
      <c r="S1404" s="69"/>
    </row>
    <row r="1405" s="2" customFormat="1" ht="24.95" customHeight="1" spans="1:19">
      <c r="A1405" s="15"/>
      <c r="B1405" s="55"/>
      <c r="C1405" s="56"/>
      <c r="D1405" s="68"/>
      <c r="E1405" s="69"/>
      <c r="F1405" s="69"/>
      <c r="G1405" s="65"/>
      <c r="H1405" s="65"/>
      <c r="I1405" s="70"/>
      <c r="J1405" s="71"/>
      <c r="K1405" s="71"/>
      <c r="L1405" s="72" t="str">
        <f>IFERROR(IF(G1405="","",VLOOKUP($G1405,[1]基础信息!$B:$C,2,FALSE)+SUMIF(G$8:G1405,G1405,J$8:J1405)-SUMIF(G$8:G1405,G1405,K$8:K1405)+SUMIFS([1]内部转账!$G:$G,[1]内部转账!$C:$C,"&lt;="&amp;$D1405,[1]内部转账!$E:$E,$G1405)-SUMIFS([1]内部转账!$G:$G,[1]内部转账!$C:$C,"&lt;="&amp;$D1405,[1]内部转账!$F:$F,$G1405)),"")</f>
        <v/>
      </c>
      <c r="M1405" s="64"/>
      <c r="N1405" s="69"/>
      <c r="O1405" s="64"/>
      <c r="P1405" s="64"/>
      <c r="Q1405" s="69"/>
      <c r="R1405" s="69"/>
      <c r="S1405" s="69"/>
    </row>
    <row r="1406" s="2" customFormat="1" ht="24.95" customHeight="1" spans="1:19">
      <c r="A1406" s="15"/>
      <c r="B1406" s="55"/>
      <c r="C1406" s="56"/>
      <c r="D1406" s="68"/>
      <c r="E1406" s="69"/>
      <c r="F1406" s="69"/>
      <c r="G1406" s="65"/>
      <c r="H1406" s="65"/>
      <c r="I1406" s="70"/>
      <c r="J1406" s="71"/>
      <c r="K1406" s="71"/>
      <c r="L1406" s="72" t="str">
        <f>IFERROR(IF(G1406="","",VLOOKUP($G1406,[1]基础信息!$B:$C,2,FALSE)+SUMIF(G$8:G1406,G1406,J$8:J1406)-SUMIF(G$8:G1406,G1406,K$8:K1406)+SUMIFS([1]内部转账!$G:$G,[1]内部转账!$C:$C,"&lt;="&amp;$D1406,[1]内部转账!$E:$E,$G1406)-SUMIFS([1]内部转账!$G:$G,[1]内部转账!$C:$C,"&lt;="&amp;$D1406,[1]内部转账!$F:$F,$G1406)),"")</f>
        <v/>
      </c>
      <c r="M1406" s="64"/>
      <c r="N1406" s="69"/>
      <c r="O1406" s="64"/>
      <c r="P1406" s="64"/>
      <c r="Q1406" s="69"/>
      <c r="R1406" s="69"/>
      <c r="S1406" s="69"/>
    </row>
    <row r="1407" s="2" customFormat="1" ht="24.95" customHeight="1" spans="1:19">
      <c r="A1407" s="15"/>
      <c r="B1407" s="55"/>
      <c r="C1407" s="56"/>
      <c r="D1407" s="68"/>
      <c r="E1407" s="69"/>
      <c r="F1407" s="69"/>
      <c r="G1407" s="65"/>
      <c r="H1407" s="65"/>
      <c r="I1407" s="70"/>
      <c r="J1407" s="71"/>
      <c r="K1407" s="71"/>
      <c r="L1407" s="72" t="str">
        <f>IFERROR(IF(G1407="","",VLOOKUP($G1407,[1]基础信息!$B:$C,2,FALSE)+SUMIF(G$8:G1407,G1407,J$8:J1407)-SUMIF(G$8:G1407,G1407,K$8:K1407)+SUMIFS([1]内部转账!$G:$G,[1]内部转账!$C:$C,"&lt;="&amp;$D1407,[1]内部转账!$E:$E,$G1407)-SUMIFS([1]内部转账!$G:$G,[1]内部转账!$C:$C,"&lt;="&amp;$D1407,[1]内部转账!$F:$F,$G1407)),"")</f>
        <v/>
      </c>
      <c r="M1407" s="64"/>
      <c r="N1407" s="69"/>
      <c r="O1407" s="64"/>
      <c r="P1407" s="64"/>
      <c r="Q1407" s="69"/>
      <c r="R1407" s="69"/>
      <c r="S1407" s="69"/>
    </row>
    <row r="1408" s="2" customFormat="1" ht="24.95" customHeight="1" spans="1:19">
      <c r="A1408" s="15"/>
      <c r="B1408" s="55"/>
      <c r="C1408" s="56"/>
      <c r="D1408" s="68"/>
      <c r="E1408" s="69"/>
      <c r="F1408" s="69"/>
      <c r="G1408" s="65"/>
      <c r="H1408" s="65"/>
      <c r="I1408" s="70"/>
      <c r="J1408" s="71"/>
      <c r="K1408" s="71"/>
      <c r="L1408" s="72" t="str">
        <f>IFERROR(IF(G1408="","",VLOOKUP($G1408,[1]基础信息!$B:$C,2,FALSE)+SUMIF(G$8:G1408,G1408,J$8:J1408)-SUMIF(G$8:G1408,G1408,K$8:K1408)+SUMIFS([1]内部转账!$G:$G,[1]内部转账!$C:$C,"&lt;="&amp;$D1408,[1]内部转账!$E:$E,$G1408)-SUMIFS([1]内部转账!$G:$G,[1]内部转账!$C:$C,"&lt;="&amp;$D1408,[1]内部转账!$F:$F,$G1408)),"")</f>
        <v/>
      </c>
      <c r="M1408" s="64"/>
      <c r="N1408" s="69"/>
      <c r="O1408" s="64"/>
      <c r="P1408" s="64"/>
      <c r="Q1408" s="69"/>
      <c r="R1408" s="69"/>
      <c r="S1408" s="69"/>
    </row>
    <row r="1409" s="2" customFormat="1" ht="24.95" customHeight="1" spans="1:19">
      <c r="A1409" s="15"/>
      <c r="B1409" s="55"/>
      <c r="C1409" s="56"/>
      <c r="D1409" s="68"/>
      <c r="E1409" s="69"/>
      <c r="F1409" s="69"/>
      <c r="G1409" s="65"/>
      <c r="H1409" s="65"/>
      <c r="I1409" s="70"/>
      <c r="J1409" s="71"/>
      <c r="K1409" s="71"/>
      <c r="L1409" s="72" t="str">
        <f>IFERROR(IF(G1409="","",VLOOKUP($G1409,[1]基础信息!$B:$C,2,FALSE)+SUMIF(G$8:G1409,G1409,J$8:J1409)-SUMIF(G$8:G1409,G1409,K$8:K1409)+SUMIFS([1]内部转账!$G:$G,[1]内部转账!$C:$C,"&lt;="&amp;$D1409,[1]内部转账!$E:$E,$G1409)-SUMIFS([1]内部转账!$G:$G,[1]内部转账!$C:$C,"&lt;="&amp;$D1409,[1]内部转账!$F:$F,$G1409)),"")</f>
        <v/>
      </c>
      <c r="M1409" s="64"/>
      <c r="N1409" s="69"/>
      <c r="O1409" s="64"/>
      <c r="P1409" s="64"/>
      <c r="Q1409" s="69"/>
      <c r="R1409" s="69"/>
      <c r="S1409" s="69"/>
    </row>
    <row r="1410" s="2" customFormat="1" ht="24.95" customHeight="1" spans="1:19">
      <c r="A1410" s="15"/>
      <c r="B1410" s="55"/>
      <c r="C1410" s="56"/>
      <c r="D1410" s="68"/>
      <c r="E1410" s="69"/>
      <c r="F1410" s="69"/>
      <c r="G1410" s="65"/>
      <c r="H1410" s="65"/>
      <c r="I1410" s="70"/>
      <c r="J1410" s="71"/>
      <c r="K1410" s="71"/>
      <c r="L1410" s="72" t="str">
        <f>IFERROR(IF(G1410="","",VLOOKUP($G1410,[1]基础信息!$B:$C,2,FALSE)+SUMIF(G$8:G1410,G1410,J$8:J1410)-SUMIF(G$8:G1410,G1410,K$8:K1410)+SUMIFS([1]内部转账!$G:$G,[1]内部转账!$C:$C,"&lt;="&amp;$D1410,[1]内部转账!$E:$E,$G1410)-SUMIFS([1]内部转账!$G:$G,[1]内部转账!$C:$C,"&lt;="&amp;$D1410,[1]内部转账!$F:$F,$G1410)),"")</f>
        <v/>
      </c>
      <c r="M1410" s="64"/>
      <c r="N1410" s="69"/>
      <c r="O1410" s="64"/>
      <c r="P1410" s="64"/>
      <c r="Q1410" s="69"/>
      <c r="R1410" s="69"/>
      <c r="S1410" s="69"/>
    </row>
    <row r="1411" s="2" customFormat="1" ht="24.95" customHeight="1" spans="1:19">
      <c r="A1411" s="15"/>
      <c r="B1411" s="55"/>
      <c r="C1411" s="56"/>
      <c r="D1411" s="68"/>
      <c r="E1411" s="69"/>
      <c r="F1411" s="69"/>
      <c r="G1411" s="65"/>
      <c r="H1411" s="65"/>
      <c r="I1411" s="70"/>
      <c r="J1411" s="71"/>
      <c r="K1411" s="71"/>
      <c r="L1411" s="72" t="str">
        <f>IFERROR(IF(G1411="","",VLOOKUP($G1411,[1]基础信息!$B:$C,2,FALSE)+SUMIF(G$8:G1411,G1411,J$8:J1411)-SUMIF(G$8:G1411,G1411,K$8:K1411)+SUMIFS([1]内部转账!$G:$G,[1]内部转账!$C:$C,"&lt;="&amp;$D1411,[1]内部转账!$E:$E,$G1411)-SUMIFS([1]内部转账!$G:$G,[1]内部转账!$C:$C,"&lt;="&amp;$D1411,[1]内部转账!$F:$F,$G1411)),"")</f>
        <v/>
      </c>
      <c r="M1411" s="64"/>
      <c r="N1411" s="69"/>
      <c r="O1411" s="64"/>
      <c r="P1411" s="64"/>
      <c r="Q1411" s="69"/>
      <c r="R1411" s="69"/>
      <c r="S1411" s="69"/>
    </row>
    <row r="1412" s="2" customFormat="1" ht="24.95" customHeight="1" spans="1:19">
      <c r="A1412" s="15"/>
      <c r="B1412" s="55"/>
      <c r="C1412" s="56"/>
      <c r="D1412" s="68"/>
      <c r="E1412" s="69"/>
      <c r="F1412" s="69"/>
      <c r="G1412" s="65"/>
      <c r="H1412" s="65"/>
      <c r="I1412" s="70"/>
      <c r="J1412" s="71"/>
      <c r="K1412" s="71"/>
      <c r="L1412" s="72" t="str">
        <f>IFERROR(IF(G1412="","",VLOOKUP($G1412,[1]基础信息!$B:$C,2,FALSE)+SUMIF(G$8:G1412,G1412,J$8:J1412)-SUMIF(G$8:G1412,G1412,K$8:K1412)+SUMIFS([1]内部转账!$G:$G,[1]内部转账!$C:$C,"&lt;="&amp;$D1412,[1]内部转账!$E:$E,$G1412)-SUMIFS([1]内部转账!$G:$G,[1]内部转账!$C:$C,"&lt;="&amp;$D1412,[1]内部转账!$F:$F,$G1412)),"")</f>
        <v/>
      </c>
      <c r="M1412" s="64"/>
      <c r="N1412" s="69"/>
      <c r="O1412" s="64"/>
      <c r="P1412" s="64"/>
      <c r="Q1412" s="69"/>
      <c r="R1412" s="69"/>
      <c r="S1412" s="69"/>
    </row>
    <row r="1413" s="2" customFormat="1" ht="24.95" customHeight="1" spans="1:19">
      <c r="A1413" s="15"/>
      <c r="B1413" s="55"/>
      <c r="C1413" s="56"/>
      <c r="D1413" s="68"/>
      <c r="E1413" s="69"/>
      <c r="F1413" s="69"/>
      <c r="G1413" s="65"/>
      <c r="H1413" s="65"/>
      <c r="I1413" s="70"/>
      <c r="J1413" s="71"/>
      <c r="K1413" s="71"/>
      <c r="L1413" s="72" t="str">
        <f>IFERROR(IF(G1413="","",VLOOKUP($G1413,[1]基础信息!$B:$C,2,FALSE)+SUMIF(G$8:G1413,G1413,J$8:J1413)-SUMIF(G$8:G1413,G1413,K$8:K1413)+SUMIFS([1]内部转账!$G:$G,[1]内部转账!$C:$C,"&lt;="&amp;$D1413,[1]内部转账!$E:$E,$G1413)-SUMIFS([1]内部转账!$G:$G,[1]内部转账!$C:$C,"&lt;="&amp;$D1413,[1]内部转账!$F:$F,$G1413)),"")</f>
        <v/>
      </c>
      <c r="M1413" s="64"/>
      <c r="N1413" s="69"/>
      <c r="O1413" s="64"/>
      <c r="P1413" s="64"/>
      <c r="Q1413" s="69"/>
      <c r="R1413" s="69"/>
      <c r="S1413" s="69"/>
    </row>
    <row r="1414" s="2" customFormat="1" ht="24.95" customHeight="1" spans="1:19">
      <c r="A1414" s="15"/>
      <c r="B1414" s="55"/>
      <c r="C1414" s="56"/>
      <c r="D1414" s="68"/>
      <c r="E1414" s="69"/>
      <c r="F1414" s="69"/>
      <c r="G1414" s="65"/>
      <c r="H1414" s="65"/>
      <c r="I1414" s="70"/>
      <c r="J1414" s="71"/>
      <c r="K1414" s="71"/>
      <c r="L1414" s="72" t="str">
        <f>IFERROR(IF(G1414="","",VLOOKUP($G1414,[1]基础信息!$B:$C,2,FALSE)+SUMIF(G$8:G1414,G1414,J$8:J1414)-SUMIF(G$8:G1414,G1414,K$8:K1414)+SUMIFS([1]内部转账!$G:$G,[1]内部转账!$C:$C,"&lt;="&amp;$D1414,[1]内部转账!$E:$E,$G1414)-SUMIFS([1]内部转账!$G:$G,[1]内部转账!$C:$C,"&lt;="&amp;$D1414,[1]内部转账!$F:$F,$G1414)),"")</f>
        <v/>
      </c>
      <c r="M1414" s="64"/>
      <c r="N1414" s="69"/>
      <c r="O1414" s="64"/>
      <c r="P1414" s="64"/>
      <c r="Q1414" s="69"/>
      <c r="R1414" s="69"/>
      <c r="S1414" s="69"/>
    </row>
    <row r="1415" s="2" customFormat="1" ht="24.95" customHeight="1" spans="1:19">
      <c r="A1415" s="15"/>
      <c r="B1415" s="55"/>
      <c r="C1415" s="56"/>
      <c r="D1415" s="68"/>
      <c r="E1415" s="69"/>
      <c r="F1415" s="69"/>
      <c r="G1415" s="65"/>
      <c r="H1415" s="65"/>
      <c r="I1415" s="70"/>
      <c r="J1415" s="71"/>
      <c r="K1415" s="71"/>
      <c r="L1415" s="72" t="str">
        <f>IFERROR(IF(G1415="","",VLOOKUP($G1415,[1]基础信息!$B:$C,2,FALSE)+SUMIF(G$8:G1415,G1415,J$8:J1415)-SUMIF(G$8:G1415,G1415,K$8:K1415)+SUMIFS([1]内部转账!$G:$G,[1]内部转账!$C:$C,"&lt;="&amp;$D1415,[1]内部转账!$E:$E,$G1415)-SUMIFS([1]内部转账!$G:$G,[1]内部转账!$C:$C,"&lt;="&amp;$D1415,[1]内部转账!$F:$F,$G1415)),"")</f>
        <v/>
      </c>
      <c r="M1415" s="64"/>
      <c r="N1415" s="69"/>
      <c r="O1415" s="64"/>
      <c r="P1415" s="64"/>
      <c r="Q1415" s="69"/>
      <c r="R1415" s="69"/>
      <c r="S1415" s="69"/>
    </row>
    <row r="1416" s="2" customFormat="1" ht="24.95" customHeight="1" spans="1:19">
      <c r="A1416" s="15"/>
      <c r="B1416" s="55"/>
      <c r="C1416" s="56"/>
      <c r="D1416" s="68"/>
      <c r="E1416" s="69"/>
      <c r="F1416" s="69"/>
      <c r="G1416" s="65"/>
      <c r="H1416" s="65"/>
      <c r="I1416" s="70"/>
      <c r="J1416" s="71"/>
      <c r="K1416" s="71"/>
      <c r="L1416" s="72" t="str">
        <f>IFERROR(IF(G1416="","",VLOOKUP($G1416,[1]基础信息!$B:$C,2,FALSE)+SUMIF(G$8:G1416,G1416,J$8:J1416)-SUMIF(G$8:G1416,G1416,K$8:K1416)+SUMIFS([1]内部转账!$G:$G,[1]内部转账!$C:$C,"&lt;="&amp;$D1416,[1]内部转账!$E:$E,$G1416)-SUMIFS([1]内部转账!$G:$G,[1]内部转账!$C:$C,"&lt;="&amp;$D1416,[1]内部转账!$F:$F,$G1416)),"")</f>
        <v/>
      </c>
      <c r="M1416" s="64"/>
      <c r="N1416" s="69"/>
      <c r="O1416" s="64"/>
      <c r="P1416" s="64"/>
      <c r="Q1416" s="69"/>
      <c r="R1416" s="69"/>
      <c r="S1416" s="69"/>
    </row>
    <row r="1417" s="2" customFormat="1" ht="24.95" customHeight="1" spans="1:19">
      <c r="A1417" s="15"/>
      <c r="B1417" s="55"/>
      <c r="C1417" s="56"/>
      <c r="D1417" s="68"/>
      <c r="E1417" s="69"/>
      <c r="F1417" s="69"/>
      <c r="G1417" s="65"/>
      <c r="H1417" s="65"/>
      <c r="I1417" s="70"/>
      <c r="J1417" s="71"/>
      <c r="K1417" s="71"/>
      <c r="L1417" s="72" t="str">
        <f>IFERROR(IF(G1417="","",VLOOKUP($G1417,[1]基础信息!$B:$C,2,FALSE)+SUMIF(G$8:G1417,G1417,J$8:J1417)-SUMIF(G$8:G1417,G1417,K$8:K1417)+SUMIFS([1]内部转账!$G:$G,[1]内部转账!$C:$C,"&lt;="&amp;$D1417,[1]内部转账!$E:$E,$G1417)-SUMIFS([1]内部转账!$G:$G,[1]内部转账!$C:$C,"&lt;="&amp;$D1417,[1]内部转账!$F:$F,$G1417)),"")</f>
        <v/>
      </c>
      <c r="M1417" s="64"/>
      <c r="N1417" s="69"/>
      <c r="O1417" s="64"/>
      <c r="P1417" s="64"/>
      <c r="Q1417" s="69"/>
      <c r="R1417" s="69"/>
      <c r="S1417" s="69"/>
    </row>
    <row r="1418" s="2" customFormat="1" ht="24.95" customHeight="1" spans="1:19">
      <c r="A1418" s="15"/>
      <c r="B1418" s="55"/>
      <c r="C1418" s="56"/>
      <c r="D1418" s="68"/>
      <c r="E1418" s="69"/>
      <c r="F1418" s="69"/>
      <c r="G1418" s="65"/>
      <c r="H1418" s="65"/>
      <c r="I1418" s="70"/>
      <c r="J1418" s="71"/>
      <c r="K1418" s="71"/>
      <c r="L1418" s="72" t="str">
        <f>IFERROR(IF(G1418="","",VLOOKUP($G1418,[1]基础信息!$B:$C,2,FALSE)+SUMIF(G$8:G1418,G1418,J$8:J1418)-SUMIF(G$8:G1418,G1418,K$8:K1418)+SUMIFS([1]内部转账!$G:$G,[1]内部转账!$C:$C,"&lt;="&amp;$D1418,[1]内部转账!$E:$E,$G1418)-SUMIFS([1]内部转账!$G:$G,[1]内部转账!$C:$C,"&lt;="&amp;$D1418,[1]内部转账!$F:$F,$G1418)),"")</f>
        <v/>
      </c>
      <c r="M1418" s="64"/>
      <c r="N1418" s="69"/>
      <c r="O1418" s="64"/>
      <c r="P1418" s="64"/>
      <c r="Q1418" s="69"/>
      <c r="R1418" s="69"/>
      <c r="S1418" s="69"/>
    </row>
    <row r="1419" s="2" customFormat="1" ht="24.95" customHeight="1" spans="1:19">
      <c r="A1419" s="15"/>
      <c r="B1419" s="55"/>
      <c r="C1419" s="56"/>
      <c r="D1419" s="68"/>
      <c r="E1419" s="69"/>
      <c r="F1419" s="69"/>
      <c r="G1419" s="65"/>
      <c r="H1419" s="65"/>
      <c r="I1419" s="70"/>
      <c r="J1419" s="71"/>
      <c r="K1419" s="71"/>
      <c r="L1419" s="72" t="str">
        <f>IFERROR(IF(G1419="","",VLOOKUP($G1419,[1]基础信息!$B:$C,2,FALSE)+SUMIF(G$8:G1419,G1419,J$8:J1419)-SUMIF(G$8:G1419,G1419,K$8:K1419)+SUMIFS([1]内部转账!$G:$G,[1]内部转账!$C:$C,"&lt;="&amp;$D1419,[1]内部转账!$E:$E,$G1419)-SUMIFS([1]内部转账!$G:$G,[1]内部转账!$C:$C,"&lt;="&amp;$D1419,[1]内部转账!$F:$F,$G1419)),"")</f>
        <v/>
      </c>
      <c r="M1419" s="64"/>
      <c r="N1419" s="69"/>
      <c r="O1419" s="64"/>
      <c r="P1419" s="64"/>
      <c r="Q1419" s="69"/>
      <c r="R1419" s="69"/>
      <c r="S1419" s="69"/>
    </row>
    <row r="1420" s="2" customFormat="1" ht="24.95" customHeight="1" spans="1:19">
      <c r="A1420" s="15"/>
      <c r="B1420" s="55"/>
      <c r="C1420" s="56"/>
      <c r="D1420" s="68"/>
      <c r="E1420" s="69"/>
      <c r="F1420" s="69"/>
      <c r="G1420" s="65"/>
      <c r="H1420" s="65"/>
      <c r="I1420" s="70"/>
      <c r="J1420" s="71"/>
      <c r="K1420" s="71"/>
      <c r="L1420" s="72" t="str">
        <f>IFERROR(IF(G1420="","",VLOOKUP($G1420,[1]基础信息!$B:$C,2,FALSE)+SUMIF(G$8:G1420,G1420,J$8:J1420)-SUMIF(G$8:G1420,G1420,K$8:K1420)+SUMIFS([1]内部转账!$G:$G,[1]内部转账!$C:$C,"&lt;="&amp;$D1420,[1]内部转账!$E:$E,$G1420)-SUMIFS([1]内部转账!$G:$G,[1]内部转账!$C:$C,"&lt;="&amp;$D1420,[1]内部转账!$F:$F,$G1420)),"")</f>
        <v/>
      </c>
      <c r="M1420" s="64"/>
      <c r="N1420" s="69"/>
      <c r="O1420" s="64"/>
      <c r="P1420" s="64"/>
      <c r="Q1420" s="69"/>
      <c r="R1420" s="69"/>
      <c r="S1420" s="69"/>
    </row>
    <row r="1421" s="2" customFormat="1" ht="24.95" customHeight="1" spans="1:19">
      <c r="A1421" s="15"/>
      <c r="B1421" s="55"/>
      <c r="C1421" s="56"/>
      <c r="D1421" s="68"/>
      <c r="E1421" s="69"/>
      <c r="F1421" s="69"/>
      <c r="G1421" s="65"/>
      <c r="H1421" s="65"/>
      <c r="I1421" s="70"/>
      <c r="J1421" s="71"/>
      <c r="K1421" s="71"/>
      <c r="L1421" s="72" t="str">
        <f>IFERROR(IF(G1421="","",VLOOKUP($G1421,[1]基础信息!$B:$C,2,FALSE)+SUMIF(G$8:G1421,G1421,J$8:J1421)-SUMIF(G$8:G1421,G1421,K$8:K1421)+SUMIFS([1]内部转账!$G:$G,[1]内部转账!$C:$C,"&lt;="&amp;$D1421,[1]内部转账!$E:$E,$G1421)-SUMIFS([1]内部转账!$G:$G,[1]内部转账!$C:$C,"&lt;="&amp;$D1421,[1]内部转账!$F:$F,$G1421)),"")</f>
        <v/>
      </c>
      <c r="M1421" s="64"/>
      <c r="N1421" s="69"/>
      <c r="O1421" s="64"/>
      <c r="P1421" s="64"/>
      <c r="Q1421" s="69"/>
      <c r="R1421" s="69"/>
      <c r="S1421" s="69"/>
    </row>
    <row r="1422" s="2" customFormat="1" ht="24.95" customHeight="1" spans="1:19">
      <c r="A1422" s="15"/>
      <c r="B1422" s="55"/>
      <c r="C1422" s="56"/>
      <c r="D1422" s="68"/>
      <c r="E1422" s="69"/>
      <c r="F1422" s="69"/>
      <c r="G1422" s="65"/>
      <c r="H1422" s="65"/>
      <c r="I1422" s="70"/>
      <c r="J1422" s="71"/>
      <c r="K1422" s="71"/>
      <c r="L1422" s="72" t="str">
        <f>IFERROR(IF(G1422="","",VLOOKUP($G1422,[1]基础信息!$B:$C,2,FALSE)+SUMIF(G$8:G1422,G1422,J$8:J1422)-SUMIF(G$8:G1422,G1422,K$8:K1422)+SUMIFS([1]内部转账!$G:$G,[1]内部转账!$C:$C,"&lt;="&amp;$D1422,[1]内部转账!$E:$E,$G1422)-SUMIFS([1]内部转账!$G:$G,[1]内部转账!$C:$C,"&lt;="&amp;$D1422,[1]内部转账!$F:$F,$G1422)),"")</f>
        <v/>
      </c>
      <c r="M1422" s="64"/>
      <c r="N1422" s="69"/>
      <c r="O1422" s="64"/>
      <c r="P1422" s="64"/>
      <c r="Q1422" s="69"/>
      <c r="R1422" s="69"/>
      <c r="S1422" s="69"/>
    </row>
    <row r="1423" s="2" customFormat="1" ht="24.95" customHeight="1" spans="1:19">
      <c r="A1423" s="15"/>
      <c r="B1423" s="55"/>
      <c r="C1423" s="56"/>
      <c r="D1423" s="68"/>
      <c r="E1423" s="69"/>
      <c r="F1423" s="69"/>
      <c r="G1423" s="65"/>
      <c r="H1423" s="65"/>
      <c r="I1423" s="70"/>
      <c r="J1423" s="71"/>
      <c r="K1423" s="71"/>
      <c r="L1423" s="72" t="str">
        <f>IFERROR(IF(G1423="","",VLOOKUP($G1423,[1]基础信息!$B:$C,2,FALSE)+SUMIF(G$8:G1423,G1423,J$8:J1423)-SUMIF(G$8:G1423,G1423,K$8:K1423)+SUMIFS([1]内部转账!$G:$G,[1]内部转账!$C:$C,"&lt;="&amp;$D1423,[1]内部转账!$E:$E,$G1423)-SUMIFS([1]内部转账!$G:$G,[1]内部转账!$C:$C,"&lt;="&amp;$D1423,[1]内部转账!$F:$F,$G1423)),"")</f>
        <v/>
      </c>
      <c r="M1423" s="64"/>
      <c r="N1423" s="69"/>
      <c r="O1423" s="64"/>
      <c r="P1423" s="64"/>
      <c r="Q1423" s="69"/>
      <c r="R1423" s="69"/>
      <c r="S1423" s="69"/>
    </row>
    <row r="1424" s="2" customFormat="1" ht="24.95" customHeight="1" spans="1:19">
      <c r="A1424" s="15"/>
      <c r="B1424" s="55"/>
      <c r="C1424" s="56"/>
      <c r="D1424" s="68"/>
      <c r="E1424" s="69"/>
      <c r="F1424" s="69"/>
      <c r="G1424" s="65"/>
      <c r="H1424" s="65"/>
      <c r="I1424" s="70"/>
      <c r="J1424" s="71"/>
      <c r="K1424" s="71"/>
      <c r="L1424" s="72" t="str">
        <f>IFERROR(IF(G1424="","",VLOOKUP($G1424,[1]基础信息!$B:$C,2,FALSE)+SUMIF(G$8:G1424,G1424,J$8:J1424)-SUMIF(G$8:G1424,G1424,K$8:K1424)+SUMIFS([1]内部转账!$G:$G,[1]内部转账!$C:$C,"&lt;="&amp;$D1424,[1]内部转账!$E:$E,$G1424)-SUMIFS([1]内部转账!$G:$G,[1]内部转账!$C:$C,"&lt;="&amp;$D1424,[1]内部转账!$F:$F,$G1424)),"")</f>
        <v/>
      </c>
      <c r="M1424" s="64"/>
      <c r="N1424" s="69"/>
      <c r="O1424" s="64"/>
      <c r="P1424" s="64"/>
      <c r="Q1424" s="69"/>
      <c r="R1424" s="69"/>
      <c r="S1424" s="69"/>
    </row>
    <row r="1425" s="2" customFormat="1" ht="24.95" customHeight="1" spans="1:19">
      <c r="A1425" s="15"/>
      <c r="B1425" s="55"/>
      <c r="C1425" s="56"/>
      <c r="D1425" s="68"/>
      <c r="E1425" s="69"/>
      <c r="F1425" s="69"/>
      <c r="G1425" s="65"/>
      <c r="H1425" s="65"/>
      <c r="I1425" s="70"/>
      <c r="J1425" s="71"/>
      <c r="K1425" s="71"/>
      <c r="L1425" s="72" t="str">
        <f>IFERROR(IF(G1425="","",VLOOKUP($G1425,[1]基础信息!$B:$C,2,FALSE)+SUMIF(G$8:G1425,G1425,J$8:J1425)-SUMIF(G$8:G1425,G1425,K$8:K1425)+SUMIFS([1]内部转账!$G:$G,[1]内部转账!$C:$C,"&lt;="&amp;$D1425,[1]内部转账!$E:$E,$G1425)-SUMIFS([1]内部转账!$G:$G,[1]内部转账!$C:$C,"&lt;="&amp;$D1425,[1]内部转账!$F:$F,$G1425)),"")</f>
        <v/>
      </c>
      <c r="M1425" s="64"/>
      <c r="N1425" s="69"/>
      <c r="O1425" s="64"/>
      <c r="P1425" s="64"/>
      <c r="Q1425" s="69"/>
      <c r="R1425" s="69"/>
      <c r="S1425" s="69"/>
    </row>
    <row r="1426" s="2" customFormat="1" ht="24.95" customHeight="1" spans="1:19">
      <c r="A1426" s="15"/>
      <c r="B1426" s="55"/>
      <c r="C1426" s="56"/>
      <c r="D1426" s="68"/>
      <c r="E1426" s="69"/>
      <c r="F1426" s="69"/>
      <c r="G1426" s="65"/>
      <c r="H1426" s="65"/>
      <c r="I1426" s="70"/>
      <c r="J1426" s="71"/>
      <c r="K1426" s="71"/>
      <c r="L1426" s="72" t="str">
        <f>IFERROR(IF(G1426="","",VLOOKUP($G1426,[1]基础信息!$B:$C,2,FALSE)+SUMIF(G$8:G1426,G1426,J$8:J1426)-SUMIF(G$8:G1426,G1426,K$8:K1426)+SUMIFS([1]内部转账!$G:$G,[1]内部转账!$C:$C,"&lt;="&amp;$D1426,[1]内部转账!$E:$E,$G1426)-SUMIFS([1]内部转账!$G:$G,[1]内部转账!$C:$C,"&lt;="&amp;$D1426,[1]内部转账!$F:$F,$G1426)),"")</f>
        <v/>
      </c>
      <c r="M1426" s="64"/>
      <c r="N1426" s="69"/>
      <c r="O1426" s="64"/>
      <c r="P1426" s="64"/>
      <c r="Q1426" s="69"/>
      <c r="R1426" s="69"/>
      <c r="S1426" s="69"/>
    </row>
    <row r="1427" s="2" customFormat="1" ht="24.95" customHeight="1" spans="1:19">
      <c r="A1427" s="15"/>
      <c r="B1427" s="55"/>
      <c r="C1427" s="56"/>
      <c r="D1427" s="68"/>
      <c r="E1427" s="69"/>
      <c r="F1427" s="69"/>
      <c r="G1427" s="65"/>
      <c r="H1427" s="65"/>
      <c r="I1427" s="70"/>
      <c r="J1427" s="71"/>
      <c r="K1427" s="71"/>
      <c r="L1427" s="72" t="str">
        <f>IFERROR(IF(G1427="","",VLOOKUP($G1427,[1]基础信息!$B:$C,2,FALSE)+SUMIF(G$8:G1427,G1427,J$8:J1427)-SUMIF(G$8:G1427,G1427,K$8:K1427)+SUMIFS([1]内部转账!$G:$G,[1]内部转账!$C:$C,"&lt;="&amp;$D1427,[1]内部转账!$E:$E,$G1427)-SUMIFS([1]内部转账!$G:$G,[1]内部转账!$C:$C,"&lt;="&amp;$D1427,[1]内部转账!$F:$F,$G1427)),"")</f>
        <v/>
      </c>
      <c r="M1427" s="64"/>
      <c r="N1427" s="69"/>
      <c r="O1427" s="64"/>
      <c r="P1427" s="64"/>
      <c r="Q1427" s="69"/>
      <c r="R1427" s="69"/>
      <c r="S1427" s="69"/>
    </row>
    <row r="1428" s="2" customFormat="1" ht="24.95" customHeight="1" spans="1:19">
      <c r="A1428" s="15"/>
      <c r="B1428" s="55"/>
      <c r="C1428" s="56"/>
      <c r="D1428" s="68"/>
      <c r="E1428" s="69"/>
      <c r="F1428" s="69"/>
      <c r="G1428" s="65"/>
      <c r="H1428" s="65"/>
      <c r="I1428" s="70"/>
      <c r="J1428" s="71"/>
      <c r="K1428" s="71"/>
      <c r="L1428" s="72" t="str">
        <f>IFERROR(IF(G1428="","",VLOOKUP($G1428,[1]基础信息!$B:$C,2,FALSE)+SUMIF(G$8:G1428,G1428,J$8:J1428)-SUMIF(G$8:G1428,G1428,K$8:K1428)+SUMIFS([1]内部转账!$G:$G,[1]内部转账!$C:$C,"&lt;="&amp;$D1428,[1]内部转账!$E:$E,$G1428)-SUMIFS([1]内部转账!$G:$G,[1]内部转账!$C:$C,"&lt;="&amp;$D1428,[1]内部转账!$F:$F,$G1428)),"")</f>
        <v/>
      </c>
      <c r="M1428" s="64"/>
      <c r="N1428" s="69"/>
      <c r="O1428" s="64"/>
      <c r="P1428" s="64"/>
      <c r="Q1428" s="69"/>
      <c r="R1428" s="69"/>
      <c r="S1428" s="69"/>
    </row>
    <row r="1429" s="2" customFormat="1" ht="24.95" customHeight="1" spans="1:19">
      <c r="A1429" s="15"/>
      <c r="B1429" s="55"/>
      <c r="C1429" s="56"/>
      <c r="D1429" s="68"/>
      <c r="E1429" s="69"/>
      <c r="F1429" s="69"/>
      <c r="G1429" s="65"/>
      <c r="H1429" s="65"/>
      <c r="I1429" s="70"/>
      <c r="J1429" s="71"/>
      <c r="K1429" s="71"/>
      <c r="L1429" s="72" t="str">
        <f>IFERROR(IF(G1429="","",VLOOKUP($G1429,[1]基础信息!$B:$C,2,FALSE)+SUMIF(G$8:G1429,G1429,J$8:J1429)-SUMIF(G$8:G1429,G1429,K$8:K1429)+SUMIFS([1]内部转账!$G:$G,[1]内部转账!$C:$C,"&lt;="&amp;$D1429,[1]内部转账!$E:$E,$G1429)-SUMIFS([1]内部转账!$G:$G,[1]内部转账!$C:$C,"&lt;="&amp;$D1429,[1]内部转账!$F:$F,$G1429)),"")</f>
        <v/>
      </c>
      <c r="M1429" s="64"/>
      <c r="N1429" s="69"/>
      <c r="O1429" s="64"/>
      <c r="P1429" s="64"/>
      <c r="Q1429" s="69"/>
      <c r="R1429" s="69"/>
      <c r="S1429" s="69"/>
    </row>
    <row r="1430" s="2" customFormat="1" ht="24.95" customHeight="1" spans="1:19">
      <c r="A1430" s="15"/>
      <c r="B1430" s="55"/>
      <c r="C1430" s="56"/>
      <c r="D1430" s="68"/>
      <c r="E1430" s="69"/>
      <c r="F1430" s="69"/>
      <c r="G1430" s="65"/>
      <c r="H1430" s="65"/>
      <c r="I1430" s="70"/>
      <c r="J1430" s="71"/>
      <c r="K1430" s="71"/>
      <c r="L1430" s="72" t="str">
        <f>IFERROR(IF(G1430="","",VLOOKUP($G1430,[1]基础信息!$B:$C,2,FALSE)+SUMIF(G$8:G1430,G1430,J$8:J1430)-SUMIF(G$8:G1430,G1430,K$8:K1430)+SUMIFS([1]内部转账!$G:$G,[1]内部转账!$C:$C,"&lt;="&amp;$D1430,[1]内部转账!$E:$E,$G1430)-SUMIFS([1]内部转账!$G:$G,[1]内部转账!$C:$C,"&lt;="&amp;$D1430,[1]内部转账!$F:$F,$G1430)),"")</f>
        <v/>
      </c>
      <c r="M1430" s="64"/>
      <c r="N1430" s="69"/>
      <c r="O1430" s="64"/>
      <c r="P1430" s="64"/>
      <c r="Q1430" s="69"/>
      <c r="R1430" s="69"/>
      <c r="S1430" s="69"/>
    </row>
    <row r="1431" s="2" customFormat="1" ht="24.95" customHeight="1" spans="1:19">
      <c r="A1431" s="15"/>
      <c r="B1431" s="55"/>
      <c r="C1431" s="56"/>
      <c r="D1431" s="68"/>
      <c r="E1431" s="69"/>
      <c r="F1431" s="69"/>
      <c r="G1431" s="65"/>
      <c r="H1431" s="65"/>
      <c r="I1431" s="70"/>
      <c r="J1431" s="71"/>
      <c r="K1431" s="71"/>
      <c r="L1431" s="72" t="str">
        <f>IFERROR(IF(G1431="","",VLOOKUP($G1431,[1]基础信息!$B:$C,2,FALSE)+SUMIF(G$8:G1431,G1431,J$8:J1431)-SUMIF(G$8:G1431,G1431,K$8:K1431)+SUMIFS([1]内部转账!$G:$G,[1]内部转账!$C:$C,"&lt;="&amp;$D1431,[1]内部转账!$E:$E,$G1431)-SUMIFS([1]内部转账!$G:$G,[1]内部转账!$C:$C,"&lt;="&amp;$D1431,[1]内部转账!$F:$F,$G1431)),"")</f>
        <v/>
      </c>
      <c r="M1431" s="64"/>
      <c r="N1431" s="69"/>
      <c r="O1431" s="64"/>
      <c r="P1431" s="64"/>
      <c r="Q1431" s="69"/>
      <c r="R1431" s="69"/>
      <c r="S1431" s="69"/>
    </row>
    <row r="1432" s="2" customFormat="1" ht="24.95" customHeight="1" spans="1:19">
      <c r="A1432" s="15"/>
      <c r="B1432" s="55"/>
      <c r="C1432" s="56"/>
      <c r="D1432" s="68"/>
      <c r="E1432" s="69"/>
      <c r="F1432" s="69"/>
      <c r="G1432" s="65"/>
      <c r="H1432" s="65"/>
      <c r="I1432" s="70"/>
      <c r="J1432" s="71"/>
      <c r="K1432" s="71"/>
      <c r="L1432" s="72" t="str">
        <f>IFERROR(IF(G1432="","",VLOOKUP($G1432,[1]基础信息!$B:$C,2,FALSE)+SUMIF(G$8:G1432,G1432,J$8:J1432)-SUMIF(G$8:G1432,G1432,K$8:K1432)+SUMIFS([1]内部转账!$G:$G,[1]内部转账!$C:$C,"&lt;="&amp;$D1432,[1]内部转账!$E:$E,$G1432)-SUMIFS([1]内部转账!$G:$G,[1]内部转账!$C:$C,"&lt;="&amp;$D1432,[1]内部转账!$F:$F,$G1432)),"")</f>
        <v/>
      </c>
      <c r="M1432" s="64"/>
      <c r="N1432" s="69"/>
      <c r="O1432" s="64"/>
      <c r="P1432" s="64"/>
      <c r="Q1432" s="69"/>
      <c r="R1432" s="69"/>
      <c r="S1432" s="69"/>
    </row>
    <row r="1433" s="2" customFormat="1" ht="24.95" customHeight="1" spans="1:19">
      <c r="A1433" s="15"/>
      <c r="B1433" s="55"/>
      <c r="C1433" s="56"/>
      <c r="D1433" s="68"/>
      <c r="E1433" s="69"/>
      <c r="F1433" s="69"/>
      <c r="G1433" s="65"/>
      <c r="H1433" s="65"/>
      <c r="I1433" s="70"/>
      <c r="J1433" s="71"/>
      <c r="K1433" s="71"/>
      <c r="L1433" s="72" t="str">
        <f>IFERROR(IF(G1433="","",VLOOKUP($G1433,[1]基础信息!$B:$C,2,FALSE)+SUMIF(G$8:G1433,G1433,J$8:J1433)-SUMIF(G$8:G1433,G1433,K$8:K1433)+SUMIFS([1]内部转账!$G:$G,[1]内部转账!$C:$C,"&lt;="&amp;$D1433,[1]内部转账!$E:$E,$G1433)-SUMIFS([1]内部转账!$G:$G,[1]内部转账!$C:$C,"&lt;="&amp;$D1433,[1]内部转账!$F:$F,$G1433)),"")</f>
        <v/>
      </c>
      <c r="M1433" s="64"/>
      <c r="N1433" s="69"/>
      <c r="O1433" s="64"/>
      <c r="P1433" s="64"/>
      <c r="Q1433" s="69"/>
      <c r="R1433" s="69"/>
      <c r="S1433" s="69"/>
    </row>
    <row r="1434" s="2" customFormat="1" ht="24.95" customHeight="1" spans="1:19">
      <c r="A1434" s="15"/>
      <c r="B1434" s="55"/>
      <c r="C1434" s="56"/>
      <c r="D1434" s="68"/>
      <c r="E1434" s="69"/>
      <c r="F1434" s="69"/>
      <c r="G1434" s="65"/>
      <c r="H1434" s="65"/>
      <c r="I1434" s="70"/>
      <c r="J1434" s="71"/>
      <c r="K1434" s="71"/>
      <c r="L1434" s="72" t="str">
        <f>IFERROR(IF(G1434="","",VLOOKUP($G1434,[1]基础信息!$B:$C,2,FALSE)+SUMIF(G$8:G1434,G1434,J$8:J1434)-SUMIF(G$8:G1434,G1434,K$8:K1434)+SUMIFS([1]内部转账!$G:$G,[1]内部转账!$C:$C,"&lt;="&amp;$D1434,[1]内部转账!$E:$E,$G1434)-SUMIFS([1]内部转账!$G:$G,[1]内部转账!$C:$C,"&lt;="&amp;$D1434,[1]内部转账!$F:$F,$G1434)),"")</f>
        <v/>
      </c>
      <c r="M1434" s="64"/>
      <c r="N1434" s="69"/>
      <c r="O1434" s="64"/>
      <c r="P1434" s="64"/>
      <c r="Q1434" s="69"/>
      <c r="R1434" s="69"/>
      <c r="S1434" s="69"/>
    </row>
    <row r="1435" s="2" customFormat="1" ht="24.95" customHeight="1" spans="1:19">
      <c r="A1435" s="15"/>
      <c r="B1435" s="55"/>
      <c r="C1435" s="56"/>
      <c r="D1435" s="68"/>
      <c r="E1435" s="69"/>
      <c r="F1435" s="69"/>
      <c r="G1435" s="65"/>
      <c r="H1435" s="65"/>
      <c r="I1435" s="70"/>
      <c r="J1435" s="71"/>
      <c r="K1435" s="71"/>
      <c r="L1435" s="72" t="str">
        <f>IFERROR(IF(G1435="","",VLOOKUP($G1435,[1]基础信息!$B:$C,2,FALSE)+SUMIF(G$8:G1435,G1435,J$8:J1435)-SUMIF(G$8:G1435,G1435,K$8:K1435)+SUMIFS([1]内部转账!$G:$G,[1]内部转账!$C:$C,"&lt;="&amp;$D1435,[1]内部转账!$E:$E,$G1435)-SUMIFS([1]内部转账!$G:$G,[1]内部转账!$C:$C,"&lt;="&amp;$D1435,[1]内部转账!$F:$F,$G1435)),"")</f>
        <v/>
      </c>
      <c r="M1435" s="64"/>
      <c r="N1435" s="69"/>
      <c r="O1435" s="64"/>
      <c r="P1435" s="64"/>
      <c r="Q1435" s="69"/>
      <c r="R1435" s="69"/>
      <c r="S1435" s="69"/>
    </row>
    <row r="1436" s="2" customFormat="1" ht="24.95" customHeight="1" spans="1:19">
      <c r="A1436" s="15"/>
      <c r="B1436" s="55"/>
      <c r="C1436" s="56"/>
      <c r="D1436" s="68"/>
      <c r="E1436" s="69"/>
      <c r="F1436" s="69"/>
      <c r="G1436" s="65"/>
      <c r="H1436" s="65"/>
      <c r="I1436" s="70"/>
      <c r="J1436" s="71"/>
      <c r="K1436" s="71"/>
      <c r="L1436" s="72" t="str">
        <f>IFERROR(IF(G1436="","",VLOOKUP($G1436,[1]基础信息!$B:$C,2,FALSE)+SUMIF(G$8:G1436,G1436,J$8:J1436)-SUMIF(G$8:G1436,G1436,K$8:K1436)+SUMIFS([1]内部转账!$G:$G,[1]内部转账!$C:$C,"&lt;="&amp;$D1436,[1]内部转账!$E:$E,$G1436)-SUMIFS([1]内部转账!$G:$G,[1]内部转账!$C:$C,"&lt;="&amp;$D1436,[1]内部转账!$F:$F,$G1436)),"")</f>
        <v/>
      </c>
      <c r="M1436" s="64"/>
      <c r="N1436" s="69"/>
      <c r="O1436" s="64"/>
      <c r="P1436" s="64"/>
      <c r="Q1436" s="69"/>
      <c r="R1436" s="69"/>
      <c r="S1436" s="69"/>
    </row>
    <row r="1437" s="2" customFormat="1" ht="24.95" customHeight="1" spans="1:19">
      <c r="A1437" s="15"/>
      <c r="B1437" s="55"/>
      <c r="C1437" s="56"/>
      <c r="D1437" s="68"/>
      <c r="E1437" s="69"/>
      <c r="F1437" s="69"/>
      <c r="G1437" s="65"/>
      <c r="H1437" s="65"/>
      <c r="I1437" s="70"/>
      <c r="J1437" s="71"/>
      <c r="K1437" s="71"/>
      <c r="L1437" s="72" t="str">
        <f>IFERROR(IF(G1437="","",VLOOKUP($G1437,[1]基础信息!$B:$C,2,FALSE)+SUMIF(G$8:G1437,G1437,J$8:J1437)-SUMIF(G$8:G1437,G1437,K$8:K1437)+SUMIFS([1]内部转账!$G:$G,[1]内部转账!$C:$C,"&lt;="&amp;$D1437,[1]内部转账!$E:$E,$G1437)-SUMIFS([1]内部转账!$G:$G,[1]内部转账!$C:$C,"&lt;="&amp;$D1437,[1]内部转账!$F:$F,$G1437)),"")</f>
        <v/>
      </c>
      <c r="M1437" s="64"/>
      <c r="N1437" s="69"/>
      <c r="O1437" s="64"/>
      <c r="P1437" s="64"/>
      <c r="Q1437" s="69"/>
      <c r="R1437" s="69"/>
      <c r="S1437" s="69"/>
    </row>
    <row r="1438" s="2" customFormat="1" ht="24.95" customHeight="1" spans="1:19">
      <c r="A1438" s="15"/>
      <c r="B1438" s="55"/>
      <c r="C1438" s="56"/>
      <c r="D1438" s="68"/>
      <c r="E1438" s="69"/>
      <c r="F1438" s="69"/>
      <c r="G1438" s="65"/>
      <c r="H1438" s="65"/>
      <c r="I1438" s="70"/>
      <c r="J1438" s="71"/>
      <c r="K1438" s="71"/>
      <c r="L1438" s="72" t="str">
        <f>IFERROR(IF(G1438="","",VLOOKUP($G1438,[1]基础信息!$B:$C,2,FALSE)+SUMIF(G$8:G1438,G1438,J$8:J1438)-SUMIF(G$8:G1438,G1438,K$8:K1438)+SUMIFS([1]内部转账!$G:$G,[1]内部转账!$C:$C,"&lt;="&amp;$D1438,[1]内部转账!$E:$E,$G1438)-SUMIFS([1]内部转账!$G:$G,[1]内部转账!$C:$C,"&lt;="&amp;$D1438,[1]内部转账!$F:$F,$G1438)),"")</f>
        <v/>
      </c>
      <c r="M1438" s="64"/>
      <c r="N1438" s="69"/>
      <c r="O1438" s="64"/>
      <c r="P1438" s="64"/>
      <c r="Q1438" s="69"/>
      <c r="R1438" s="69"/>
      <c r="S1438" s="69"/>
    </row>
    <row r="1439" s="2" customFormat="1" ht="24.95" customHeight="1" spans="1:19">
      <c r="A1439" s="15"/>
      <c r="B1439" s="55"/>
      <c r="C1439" s="56"/>
      <c r="D1439" s="68"/>
      <c r="E1439" s="69"/>
      <c r="F1439" s="69"/>
      <c r="G1439" s="65"/>
      <c r="H1439" s="65"/>
      <c r="I1439" s="70"/>
      <c r="J1439" s="71"/>
      <c r="K1439" s="71"/>
      <c r="L1439" s="72" t="str">
        <f>IFERROR(IF(G1439="","",VLOOKUP($G1439,[1]基础信息!$B:$C,2,FALSE)+SUMIF(G$8:G1439,G1439,J$8:J1439)-SUMIF(G$8:G1439,G1439,K$8:K1439)+SUMIFS([1]内部转账!$G:$G,[1]内部转账!$C:$C,"&lt;="&amp;$D1439,[1]内部转账!$E:$E,$G1439)-SUMIFS([1]内部转账!$G:$G,[1]内部转账!$C:$C,"&lt;="&amp;$D1439,[1]内部转账!$F:$F,$G1439)),"")</f>
        <v/>
      </c>
      <c r="M1439" s="64"/>
      <c r="N1439" s="69"/>
      <c r="O1439" s="64"/>
      <c r="P1439" s="64"/>
      <c r="Q1439" s="69"/>
      <c r="R1439" s="69"/>
      <c r="S1439" s="69"/>
    </row>
    <row r="1440" s="2" customFormat="1" ht="24.95" customHeight="1" spans="1:19">
      <c r="A1440" s="15"/>
      <c r="B1440" s="55"/>
      <c r="C1440" s="56"/>
      <c r="D1440" s="68"/>
      <c r="E1440" s="69"/>
      <c r="F1440" s="69"/>
      <c r="G1440" s="65"/>
      <c r="H1440" s="65"/>
      <c r="I1440" s="70"/>
      <c r="J1440" s="71"/>
      <c r="K1440" s="71"/>
      <c r="L1440" s="72" t="str">
        <f>IFERROR(IF(G1440="","",VLOOKUP($G1440,[1]基础信息!$B:$C,2,FALSE)+SUMIF(G$8:G1440,G1440,J$8:J1440)-SUMIF(G$8:G1440,G1440,K$8:K1440)+SUMIFS([1]内部转账!$G:$G,[1]内部转账!$C:$C,"&lt;="&amp;$D1440,[1]内部转账!$E:$E,$G1440)-SUMIFS([1]内部转账!$G:$G,[1]内部转账!$C:$C,"&lt;="&amp;$D1440,[1]内部转账!$F:$F,$G1440)),"")</f>
        <v/>
      </c>
      <c r="M1440" s="64"/>
      <c r="N1440" s="69"/>
      <c r="O1440" s="64"/>
      <c r="P1440" s="64"/>
      <c r="Q1440" s="69"/>
      <c r="R1440" s="69"/>
      <c r="S1440" s="69"/>
    </row>
    <row r="1441" s="2" customFormat="1" ht="24.95" customHeight="1" spans="1:19">
      <c r="A1441" s="15"/>
      <c r="B1441" s="55"/>
      <c r="C1441" s="56"/>
      <c r="D1441" s="68"/>
      <c r="E1441" s="69"/>
      <c r="F1441" s="69"/>
      <c r="G1441" s="65"/>
      <c r="H1441" s="65"/>
      <c r="I1441" s="70"/>
      <c r="J1441" s="71"/>
      <c r="K1441" s="71"/>
      <c r="L1441" s="72" t="str">
        <f>IFERROR(IF(G1441="","",VLOOKUP($G1441,[1]基础信息!$B:$C,2,FALSE)+SUMIF(G$8:G1441,G1441,J$8:J1441)-SUMIF(G$8:G1441,G1441,K$8:K1441)+SUMIFS([1]内部转账!$G:$G,[1]内部转账!$C:$C,"&lt;="&amp;$D1441,[1]内部转账!$E:$E,$G1441)-SUMIFS([1]内部转账!$G:$G,[1]内部转账!$C:$C,"&lt;="&amp;$D1441,[1]内部转账!$F:$F,$G1441)),"")</f>
        <v/>
      </c>
      <c r="M1441" s="64"/>
      <c r="N1441" s="69"/>
      <c r="O1441" s="64"/>
      <c r="P1441" s="64"/>
      <c r="Q1441" s="69"/>
      <c r="R1441" s="69"/>
      <c r="S1441" s="69"/>
    </row>
    <row r="1442" s="2" customFormat="1" ht="24.95" customHeight="1" spans="1:19">
      <c r="A1442" s="15"/>
      <c r="B1442" s="55"/>
      <c r="C1442" s="56"/>
      <c r="D1442" s="68"/>
      <c r="E1442" s="69"/>
      <c r="F1442" s="69"/>
      <c r="G1442" s="65"/>
      <c r="H1442" s="65"/>
      <c r="I1442" s="70"/>
      <c r="J1442" s="71"/>
      <c r="K1442" s="71"/>
      <c r="L1442" s="72" t="str">
        <f>IFERROR(IF(G1442="","",VLOOKUP($G1442,[1]基础信息!$B:$C,2,FALSE)+SUMIF(G$8:G1442,G1442,J$8:J1442)-SUMIF(G$8:G1442,G1442,K$8:K1442)+SUMIFS([1]内部转账!$G:$G,[1]内部转账!$C:$C,"&lt;="&amp;$D1442,[1]内部转账!$E:$E,$G1442)-SUMIFS([1]内部转账!$G:$G,[1]内部转账!$C:$C,"&lt;="&amp;$D1442,[1]内部转账!$F:$F,$G1442)),"")</f>
        <v/>
      </c>
      <c r="M1442" s="64"/>
      <c r="N1442" s="69"/>
      <c r="O1442" s="64"/>
      <c r="P1442" s="64"/>
      <c r="Q1442" s="69"/>
      <c r="R1442" s="69"/>
      <c r="S1442" s="69"/>
    </row>
    <row r="1443" s="2" customFormat="1" ht="24.95" customHeight="1" spans="1:19">
      <c r="A1443" s="15"/>
      <c r="B1443" s="55"/>
      <c r="C1443" s="56"/>
      <c r="D1443" s="68"/>
      <c r="E1443" s="69"/>
      <c r="F1443" s="69"/>
      <c r="G1443" s="65"/>
      <c r="H1443" s="65"/>
      <c r="I1443" s="70"/>
      <c r="J1443" s="71"/>
      <c r="K1443" s="71"/>
      <c r="L1443" s="72" t="str">
        <f>IFERROR(IF(G1443="","",VLOOKUP($G1443,[1]基础信息!$B:$C,2,FALSE)+SUMIF(G$8:G1443,G1443,J$8:J1443)-SUMIF(G$8:G1443,G1443,K$8:K1443)+SUMIFS([1]内部转账!$G:$G,[1]内部转账!$C:$C,"&lt;="&amp;$D1443,[1]内部转账!$E:$E,$G1443)-SUMIFS([1]内部转账!$G:$G,[1]内部转账!$C:$C,"&lt;="&amp;$D1443,[1]内部转账!$F:$F,$G1443)),"")</f>
        <v/>
      </c>
      <c r="M1443" s="64"/>
      <c r="N1443" s="69"/>
      <c r="O1443" s="64"/>
      <c r="P1443" s="64"/>
      <c r="Q1443" s="69"/>
      <c r="R1443" s="69"/>
      <c r="S1443" s="69"/>
    </row>
    <row r="1444" s="2" customFormat="1" ht="24.95" customHeight="1" spans="1:19">
      <c r="A1444" s="15"/>
      <c r="B1444" s="55"/>
      <c r="C1444" s="56"/>
      <c r="D1444" s="68"/>
      <c r="E1444" s="69"/>
      <c r="F1444" s="69"/>
      <c r="G1444" s="65"/>
      <c r="H1444" s="65"/>
      <c r="I1444" s="70"/>
      <c r="J1444" s="71"/>
      <c r="K1444" s="71"/>
      <c r="L1444" s="72" t="str">
        <f>IFERROR(IF(G1444="","",VLOOKUP($G1444,[1]基础信息!$B:$C,2,FALSE)+SUMIF(G$8:G1444,G1444,J$8:J1444)-SUMIF(G$8:G1444,G1444,K$8:K1444)+SUMIFS([1]内部转账!$G:$G,[1]内部转账!$C:$C,"&lt;="&amp;$D1444,[1]内部转账!$E:$E,$G1444)-SUMIFS([1]内部转账!$G:$G,[1]内部转账!$C:$C,"&lt;="&amp;$D1444,[1]内部转账!$F:$F,$G1444)),"")</f>
        <v/>
      </c>
      <c r="M1444" s="64"/>
      <c r="N1444" s="69"/>
      <c r="O1444" s="64"/>
      <c r="P1444" s="64"/>
      <c r="Q1444" s="69"/>
      <c r="R1444" s="69"/>
      <c r="S1444" s="69"/>
    </row>
    <row r="1445" s="2" customFormat="1" ht="24.95" customHeight="1" spans="1:19">
      <c r="A1445" s="15"/>
      <c r="B1445" s="55"/>
      <c r="C1445" s="56"/>
      <c r="D1445" s="68"/>
      <c r="E1445" s="69"/>
      <c r="F1445" s="69"/>
      <c r="G1445" s="65"/>
      <c r="H1445" s="65"/>
      <c r="I1445" s="70"/>
      <c r="J1445" s="71"/>
      <c r="K1445" s="71"/>
      <c r="L1445" s="72" t="str">
        <f>IFERROR(IF(G1445="","",VLOOKUP($G1445,[1]基础信息!$B:$C,2,FALSE)+SUMIF(G$8:G1445,G1445,J$8:J1445)-SUMIF(G$8:G1445,G1445,K$8:K1445)+SUMIFS([1]内部转账!$G:$G,[1]内部转账!$C:$C,"&lt;="&amp;$D1445,[1]内部转账!$E:$E,$G1445)-SUMIFS([1]内部转账!$G:$G,[1]内部转账!$C:$C,"&lt;="&amp;$D1445,[1]内部转账!$F:$F,$G1445)),"")</f>
        <v/>
      </c>
      <c r="M1445" s="64"/>
      <c r="N1445" s="69"/>
      <c r="O1445" s="64"/>
      <c r="P1445" s="64"/>
      <c r="Q1445" s="69"/>
      <c r="R1445" s="69"/>
      <c r="S1445" s="69"/>
    </row>
    <row r="1446" s="2" customFormat="1" ht="24.95" customHeight="1" spans="1:19">
      <c r="A1446" s="15"/>
      <c r="B1446" s="55"/>
      <c r="C1446" s="56"/>
      <c r="D1446" s="68"/>
      <c r="E1446" s="69"/>
      <c r="F1446" s="69"/>
      <c r="G1446" s="65"/>
      <c r="H1446" s="65"/>
      <c r="I1446" s="70"/>
      <c r="J1446" s="71"/>
      <c r="K1446" s="71"/>
      <c r="L1446" s="72" t="str">
        <f>IFERROR(IF(G1446="","",VLOOKUP($G1446,[1]基础信息!$B:$C,2,FALSE)+SUMIF(G$8:G1446,G1446,J$8:J1446)-SUMIF(G$8:G1446,G1446,K$8:K1446)+SUMIFS([1]内部转账!$G:$G,[1]内部转账!$C:$C,"&lt;="&amp;$D1446,[1]内部转账!$E:$E,$G1446)-SUMIFS([1]内部转账!$G:$G,[1]内部转账!$C:$C,"&lt;="&amp;$D1446,[1]内部转账!$F:$F,$G1446)),"")</f>
        <v/>
      </c>
      <c r="M1446" s="64"/>
      <c r="N1446" s="69"/>
      <c r="O1446" s="64"/>
      <c r="P1446" s="64"/>
      <c r="Q1446" s="69"/>
      <c r="R1446" s="69"/>
      <c r="S1446" s="69"/>
    </row>
    <row r="1447" s="2" customFormat="1" ht="24.95" customHeight="1" spans="1:19">
      <c r="A1447" s="15"/>
      <c r="B1447" s="55"/>
      <c r="C1447" s="56"/>
      <c r="D1447" s="68"/>
      <c r="E1447" s="69"/>
      <c r="F1447" s="69"/>
      <c r="G1447" s="65"/>
      <c r="H1447" s="65"/>
      <c r="I1447" s="70"/>
      <c r="J1447" s="71"/>
      <c r="K1447" s="71"/>
      <c r="L1447" s="72" t="str">
        <f>IFERROR(IF(G1447="","",VLOOKUP($G1447,[1]基础信息!$B:$C,2,FALSE)+SUMIF(G$8:G1447,G1447,J$8:J1447)-SUMIF(G$8:G1447,G1447,K$8:K1447)+SUMIFS([1]内部转账!$G:$G,[1]内部转账!$C:$C,"&lt;="&amp;$D1447,[1]内部转账!$E:$E,$G1447)-SUMIFS([1]内部转账!$G:$G,[1]内部转账!$C:$C,"&lt;="&amp;$D1447,[1]内部转账!$F:$F,$G1447)),"")</f>
        <v/>
      </c>
      <c r="M1447" s="64"/>
      <c r="N1447" s="69"/>
      <c r="O1447" s="64"/>
      <c r="P1447" s="64"/>
      <c r="Q1447" s="69"/>
      <c r="R1447" s="69"/>
      <c r="S1447" s="69"/>
    </row>
    <row r="1448" s="2" customFormat="1" ht="24.95" customHeight="1" spans="1:19">
      <c r="A1448" s="15"/>
      <c r="B1448" s="55"/>
      <c r="C1448" s="56"/>
      <c r="D1448" s="68"/>
      <c r="E1448" s="69"/>
      <c r="F1448" s="69"/>
      <c r="G1448" s="65"/>
      <c r="H1448" s="65"/>
      <c r="I1448" s="70"/>
      <c r="J1448" s="71"/>
      <c r="K1448" s="71"/>
      <c r="L1448" s="72" t="str">
        <f>IFERROR(IF(G1448="","",VLOOKUP($G1448,[1]基础信息!$B:$C,2,FALSE)+SUMIF(G$8:G1448,G1448,J$8:J1448)-SUMIF(G$8:G1448,G1448,K$8:K1448)+SUMIFS([1]内部转账!$G:$G,[1]内部转账!$C:$C,"&lt;="&amp;$D1448,[1]内部转账!$E:$E,$G1448)-SUMIFS([1]内部转账!$G:$G,[1]内部转账!$C:$C,"&lt;="&amp;$D1448,[1]内部转账!$F:$F,$G1448)),"")</f>
        <v/>
      </c>
      <c r="M1448" s="64"/>
      <c r="N1448" s="69"/>
      <c r="O1448" s="64"/>
      <c r="P1448" s="64"/>
      <c r="Q1448" s="69"/>
      <c r="R1448" s="69"/>
      <c r="S1448" s="69"/>
    </row>
    <row r="1449" s="2" customFormat="1" ht="24.95" customHeight="1" spans="1:19">
      <c r="A1449" s="15"/>
      <c r="B1449" s="55"/>
      <c r="C1449" s="56"/>
      <c r="D1449" s="68"/>
      <c r="E1449" s="69"/>
      <c r="F1449" s="69"/>
      <c r="G1449" s="65"/>
      <c r="H1449" s="65"/>
      <c r="I1449" s="70"/>
      <c r="J1449" s="71"/>
      <c r="K1449" s="71"/>
      <c r="L1449" s="72" t="str">
        <f>IFERROR(IF(G1449="","",VLOOKUP($G1449,[1]基础信息!$B:$C,2,FALSE)+SUMIF(G$8:G1449,G1449,J$8:J1449)-SUMIF(G$8:G1449,G1449,K$8:K1449)+SUMIFS([1]内部转账!$G:$G,[1]内部转账!$C:$C,"&lt;="&amp;$D1449,[1]内部转账!$E:$E,$G1449)-SUMIFS([1]内部转账!$G:$G,[1]内部转账!$C:$C,"&lt;="&amp;$D1449,[1]内部转账!$F:$F,$G1449)),"")</f>
        <v/>
      </c>
      <c r="M1449" s="64"/>
      <c r="N1449" s="69"/>
      <c r="O1449" s="64"/>
      <c r="P1449" s="64"/>
      <c r="Q1449" s="69"/>
      <c r="R1449" s="69"/>
      <c r="S1449" s="69"/>
    </row>
    <row r="1450" s="2" customFormat="1" ht="24.95" customHeight="1" spans="1:19">
      <c r="A1450" s="15"/>
      <c r="B1450" s="55"/>
      <c r="C1450" s="56"/>
      <c r="D1450" s="68"/>
      <c r="E1450" s="69"/>
      <c r="F1450" s="69"/>
      <c r="G1450" s="65"/>
      <c r="H1450" s="65"/>
      <c r="I1450" s="70"/>
      <c r="J1450" s="71"/>
      <c r="K1450" s="71"/>
      <c r="L1450" s="72" t="str">
        <f>IFERROR(IF(G1450="","",VLOOKUP($G1450,[1]基础信息!$B:$C,2,FALSE)+SUMIF(G$8:G1450,G1450,J$8:J1450)-SUMIF(G$8:G1450,G1450,K$8:K1450)+SUMIFS([1]内部转账!$G:$G,[1]内部转账!$C:$C,"&lt;="&amp;$D1450,[1]内部转账!$E:$E,$G1450)-SUMIFS([1]内部转账!$G:$G,[1]内部转账!$C:$C,"&lt;="&amp;$D1450,[1]内部转账!$F:$F,$G1450)),"")</f>
        <v/>
      </c>
      <c r="M1450" s="64"/>
      <c r="N1450" s="69"/>
      <c r="O1450" s="64"/>
      <c r="P1450" s="64"/>
      <c r="Q1450" s="69"/>
      <c r="R1450" s="69"/>
      <c r="S1450" s="69"/>
    </row>
    <row r="1451" s="2" customFormat="1" ht="24.95" customHeight="1" spans="1:19">
      <c r="A1451" s="15"/>
      <c r="B1451" s="55"/>
      <c r="C1451" s="56"/>
      <c r="D1451" s="68"/>
      <c r="E1451" s="69"/>
      <c r="F1451" s="69"/>
      <c r="G1451" s="65"/>
      <c r="H1451" s="65"/>
      <c r="I1451" s="70"/>
      <c r="J1451" s="71"/>
      <c r="K1451" s="71"/>
      <c r="L1451" s="72" t="str">
        <f>IFERROR(IF(G1451="","",VLOOKUP($G1451,[1]基础信息!$B:$C,2,FALSE)+SUMIF(G$8:G1451,G1451,J$8:J1451)-SUMIF(G$8:G1451,G1451,K$8:K1451)+SUMIFS([1]内部转账!$G:$G,[1]内部转账!$C:$C,"&lt;="&amp;$D1451,[1]内部转账!$E:$E,$G1451)-SUMIFS([1]内部转账!$G:$G,[1]内部转账!$C:$C,"&lt;="&amp;$D1451,[1]内部转账!$F:$F,$G1451)),"")</f>
        <v/>
      </c>
      <c r="M1451" s="64"/>
      <c r="N1451" s="69"/>
      <c r="O1451" s="64"/>
      <c r="P1451" s="64"/>
      <c r="Q1451" s="69"/>
      <c r="R1451" s="69"/>
      <c r="S1451" s="69"/>
    </row>
    <row r="1452" s="2" customFormat="1" ht="24.95" customHeight="1" spans="1:19">
      <c r="A1452" s="15"/>
      <c r="B1452" s="55"/>
      <c r="C1452" s="56"/>
      <c r="D1452" s="68"/>
      <c r="E1452" s="69"/>
      <c r="F1452" s="69"/>
      <c r="G1452" s="65"/>
      <c r="H1452" s="65"/>
      <c r="I1452" s="70"/>
      <c r="J1452" s="71"/>
      <c r="K1452" s="71"/>
      <c r="L1452" s="72" t="str">
        <f>IFERROR(IF(G1452="","",VLOOKUP($G1452,[1]基础信息!$B:$C,2,FALSE)+SUMIF(G$8:G1452,G1452,J$8:J1452)-SUMIF(G$8:G1452,G1452,K$8:K1452)+SUMIFS([1]内部转账!$G:$G,[1]内部转账!$C:$C,"&lt;="&amp;$D1452,[1]内部转账!$E:$E,$G1452)-SUMIFS([1]内部转账!$G:$G,[1]内部转账!$C:$C,"&lt;="&amp;$D1452,[1]内部转账!$F:$F,$G1452)),"")</f>
        <v/>
      </c>
      <c r="M1452" s="64"/>
      <c r="N1452" s="69"/>
      <c r="O1452" s="64"/>
      <c r="P1452" s="64"/>
      <c r="Q1452" s="69"/>
      <c r="R1452" s="69"/>
      <c r="S1452" s="69"/>
    </row>
    <row r="1453" s="2" customFormat="1" ht="24.95" customHeight="1" spans="1:19">
      <c r="A1453" s="15"/>
      <c r="B1453" s="55"/>
      <c r="C1453" s="56"/>
      <c r="D1453" s="68"/>
      <c r="E1453" s="69"/>
      <c r="F1453" s="69"/>
      <c r="G1453" s="65"/>
      <c r="H1453" s="65"/>
      <c r="I1453" s="70"/>
      <c r="J1453" s="71"/>
      <c r="K1453" s="71"/>
      <c r="L1453" s="72" t="str">
        <f>IFERROR(IF(G1453="","",VLOOKUP($G1453,[1]基础信息!$B:$C,2,FALSE)+SUMIF(G$8:G1453,G1453,J$8:J1453)-SUMIF(G$8:G1453,G1453,K$8:K1453)+SUMIFS([1]内部转账!$G:$G,[1]内部转账!$C:$C,"&lt;="&amp;$D1453,[1]内部转账!$E:$E,$G1453)-SUMIFS([1]内部转账!$G:$G,[1]内部转账!$C:$C,"&lt;="&amp;$D1453,[1]内部转账!$F:$F,$G1453)),"")</f>
        <v/>
      </c>
      <c r="M1453" s="64"/>
      <c r="N1453" s="69"/>
      <c r="O1453" s="64"/>
      <c r="P1453" s="64"/>
      <c r="Q1453" s="69"/>
      <c r="R1453" s="69"/>
      <c r="S1453" s="69"/>
    </row>
    <row r="1454" s="2" customFormat="1" ht="24.95" customHeight="1" spans="1:19">
      <c r="A1454" s="15"/>
      <c r="B1454" s="55"/>
      <c r="C1454" s="56"/>
      <c r="D1454" s="68"/>
      <c r="E1454" s="69"/>
      <c r="F1454" s="69"/>
      <c r="G1454" s="65"/>
      <c r="H1454" s="65"/>
      <c r="I1454" s="70"/>
      <c r="J1454" s="71"/>
      <c r="K1454" s="71"/>
      <c r="L1454" s="72" t="str">
        <f>IFERROR(IF(G1454="","",VLOOKUP($G1454,[1]基础信息!$B:$C,2,FALSE)+SUMIF(G$8:G1454,G1454,J$8:J1454)-SUMIF(G$8:G1454,G1454,K$8:K1454)+SUMIFS([1]内部转账!$G:$G,[1]内部转账!$C:$C,"&lt;="&amp;$D1454,[1]内部转账!$E:$E,$G1454)-SUMIFS([1]内部转账!$G:$G,[1]内部转账!$C:$C,"&lt;="&amp;$D1454,[1]内部转账!$F:$F,$G1454)),"")</f>
        <v/>
      </c>
      <c r="M1454" s="64"/>
      <c r="N1454" s="69"/>
      <c r="O1454" s="64"/>
      <c r="P1454" s="64"/>
      <c r="Q1454" s="69"/>
      <c r="R1454" s="69"/>
      <c r="S1454" s="69"/>
    </row>
    <row r="1455" s="2" customFormat="1" ht="24.95" customHeight="1" spans="1:19">
      <c r="A1455" s="15"/>
      <c r="B1455" s="55"/>
      <c r="C1455" s="56"/>
      <c r="D1455" s="68"/>
      <c r="E1455" s="69"/>
      <c r="F1455" s="69"/>
      <c r="G1455" s="65"/>
      <c r="H1455" s="65"/>
      <c r="I1455" s="70"/>
      <c r="J1455" s="71"/>
      <c r="K1455" s="71"/>
      <c r="L1455" s="72" t="str">
        <f>IFERROR(IF(G1455="","",VLOOKUP($G1455,[1]基础信息!$B:$C,2,FALSE)+SUMIF(G$8:G1455,G1455,J$8:J1455)-SUMIF(G$8:G1455,G1455,K$8:K1455)+SUMIFS([1]内部转账!$G:$G,[1]内部转账!$C:$C,"&lt;="&amp;$D1455,[1]内部转账!$E:$E,$G1455)-SUMIFS([1]内部转账!$G:$G,[1]内部转账!$C:$C,"&lt;="&amp;$D1455,[1]内部转账!$F:$F,$G1455)),"")</f>
        <v/>
      </c>
      <c r="M1455" s="64"/>
      <c r="N1455" s="69"/>
      <c r="O1455" s="64"/>
      <c r="P1455" s="64"/>
      <c r="Q1455" s="69"/>
      <c r="R1455" s="69"/>
      <c r="S1455" s="69"/>
    </row>
    <row r="1456" s="2" customFormat="1" ht="24.95" customHeight="1" spans="1:19">
      <c r="A1456" s="15"/>
      <c r="B1456" s="55"/>
      <c r="C1456" s="56"/>
      <c r="D1456" s="68"/>
      <c r="E1456" s="69"/>
      <c r="F1456" s="69"/>
      <c r="G1456" s="65"/>
      <c r="H1456" s="65"/>
      <c r="I1456" s="70"/>
      <c r="J1456" s="71"/>
      <c r="K1456" s="71"/>
      <c r="L1456" s="72" t="str">
        <f>IFERROR(IF(G1456="","",VLOOKUP($G1456,[1]基础信息!$B:$C,2,FALSE)+SUMIF(G$8:G1456,G1456,J$8:J1456)-SUMIF(G$8:G1456,G1456,K$8:K1456)+SUMIFS([1]内部转账!$G:$G,[1]内部转账!$C:$C,"&lt;="&amp;$D1456,[1]内部转账!$E:$E,$G1456)-SUMIFS([1]内部转账!$G:$G,[1]内部转账!$C:$C,"&lt;="&amp;$D1456,[1]内部转账!$F:$F,$G1456)),"")</f>
        <v/>
      </c>
      <c r="M1456" s="64"/>
      <c r="N1456" s="69"/>
      <c r="O1456" s="64"/>
      <c r="P1456" s="64"/>
      <c r="Q1456" s="69"/>
      <c r="R1456" s="69"/>
      <c r="S1456" s="69"/>
    </row>
    <row r="1457" s="2" customFormat="1" ht="24.95" customHeight="1" spans="1:19">
      <c r="A1457" s="15"/>
      <c r="B1457" s="55"/>
      <c r="C1457" s="56"/>
      <c r="D1457" s="68"/>
      <c r="E1457" s="69"/>
      <c r="F1457" s="69"/>
      <c r="G1457" s="65"/>
      <c r="H1457" s="65"/>
      <c r="I1457" s="70"/>
      <c r="J1457" s="71"/>
      <c r="K1457" s="71"/>
      <c r="L1457" s="72" t="str">
        <f>IFERROR(IF(G1457="","",VLOOKUP($G1457,[1]基础信息!$B:$C,2,FALSE)+SUMIF(G$8:G1457,G1457,J$8:J1457)-SUMIF(G$8:G1457,G1457,K$8:K1457)+SUMIFS([1]内部转账!$G:$G,[1]内部转账!$C:$C,"&lt;="&amp;$D1457,[1]内部转账!$E:$E,$G1457)-SUMIFS([1]内部转账!$G:$G,[1]内部转账!$C:$C,"&lt;="&amp;$D1457,[1]内部转账!$F:$F,$G1457)),"")</f>
        <v/>
      </c>
      <c r="M1457" s="64"/>
      <c r="N1457" s="69"/>
      <c r="O1457" s="64"/>
      <c r="P1457" s="64"/>
      <c r="Q1457" s="69"/>
      <c r="R1457" s="69"/>
      <c r="S1457" s="69"/>
    </row>
    <row r="1458" s="2" customFormat="1" ht="24.95" customHeight="1" spans="1:19">
      <c r="A1458" s="15"/>
      <c r="B1458" s="55"/>
      <c r="C1458" s="56"/>
      <c r="D1458" s="68"/>
      <c r="E1458" s="69"/>
      <c r="F1458" s="69"/>
      <c r="G1458" s="65"/>
      <c r="H1458" s="65"/>
      <c r="I1458" s="70"/>
      <c r="J1458" s="71"/>
      <c r="K1458" s="71"/>
      <c r="L1458" s="72" t="str">
        <f>IFERROR(IF(G1458="","",VLOOKUP($G1458,[1]基础信息!$B:$C,2,FALSE)+SUMIF(G$8:G1458,G1458,J$8:J1458)-SUMIF(G$8:G1458,G1458,K$8:K1458)+SUMIFS([1]内部转账!$G:$G,[1]内部转账!$C:$C,"&lt;="&amp;$D1458,[1]内部转账!$E:$E,$G1458)-SUMIFS([1]内部转账!$G:$G,[1]内部转账!$C:$C,"&lt;="&amp;$D1458,[1]内部转账!$F:$F,$G1458)),"")</f>
        <v/>
      </c>
      <c r="M1458" s="64"/>
      <c r="N1458" s="69"/>
      <c r="O1458" s="64"/>
      <c r="P1458" s="64"/>
      <c r="Q1458" s="69"/>
      <c r="R1458" s="69"/>
      <c r="S1458" s="69"/>
    </row>
    <row r="1459" s="2" customFormat="1" ht="24.95" customHeight="1" spans="1:19">
      <c r="A1459" s="15"/>
      <c r="B1459" s="55"/>
      <c r="C1459" s="56"/>
      <c r="D1459" s="68"/>
      <c r="E1459" s="69"/>
      <c r="F1459" s="69"/>
      <c r="G1459" s="65"/>
      <c r="H1459" s="65"/>
      <c r="I1459" s="70"/>
      <c r="J1459" s="71"/>
      <c r="K1459" s="71"/>
      <c r="L1459" s="72" t="str">
        <f>IFERROR(IF(G1459="","",VLOOKUP($G1459,[1]基础信息!$B:$C,2,FALSE)+SUMIF(G$8:G1459,G1459,J$8:J1459)-SUMIF(G$8:G1459,G1459,K$8:K1459)+SUMIFS([1]内部转账!$G:$G,[1]内部转账!$C:$C,"&lt;="&amp;$D1459,[1]内部转账!$E:$E,$G1459)-SUMIFS([1]内部转账!$G:$G,[1]内部转账!$C:$C,"&lt;="&amp;$D1459,[1]内部转账!$F:$F,$G1459)),"")</f>
        <v/>
      </c>
      <c r="M1459" s="64"/>
      <c r="N1459" s="69"/>
      <c r="O1459" s="64"/>
      <c r="P1459" s="64"/>
      <c r="Q1459" s="69"/>
      <c r="R1459" s="69"/>
      <c r="S1459" s="69"/>
    </row>
    <row r="1460" s="2" customFormat="1" ht="24.95" customHeight="1" spans="1:19">
      <c r="A1460" s="15"/>
      <c r="B1460" s="55"/>
      <c r="C1460" s="56"/>
      <c r="D1460" s="68"/>
      <c r="E1460" s="69"/>
      <c r="F1460" s="69"/>
      <c r="G1460" s="65"/>
      <c r="H1460" s="65"/>
      <c r="I1460" s="70"/>
      <c r="J1460" s="71"/>
      <c r="K1460" s="71"/>
      <c r="L1460" s="72" t="str">
        <f>IFERROR(IF(G1460="","",VLOOKUP($G1460,[1]基础信息!$B:$C,2,FALSE)+SUMIF(G$8:G1460,G1460,J$8:J1460)-SUMIF(G$8:G1460,G1460,K$8:K1460)+SUMIFS([1]内部转账!$G:$G,[1]内部转账!$C:$C,"&lt;="&amp;$D1460,[1]内部转账!$E:$E,$G1460)-SUMIFS([1]内部转账!$G:$G,[1]内部转账!$C:$C,"&lt;="&amp;$D1460,[1]内部转账!$F:$F,$G1460)),"")</f>
        <v/>
      </c>
      <c r="M1460" s="64"/>
      <c r="N1460" s="69"/>
      <c r="O1460" s="64"/>
      <c r="P1460" s="64"/>
      <c r="Q1460" s="69"/>
      <c r="R1460" s="69"/>
      <c r="S1460" s="69"/>
    </row>
    <row r="1461" s="2" customFormat="1" ht="24.95" customHeight="1" spans="1:19">
      <c r="A1461" s="15"/>
      <c r="B1461" s="55"/>
      <c r="C1461" s="56"/>
      <c r="D1461" s="68"/>
      <c r="E1461" s="69"/>
      <c r="F1461" s="69"/>
      <c r="G1461" s="65"/>
      <c r="H1461" s="65"/>
      <c r="I1461" s="70"/>
      <c r="J1461" s="71"/>
      <c r="K1461" s="71"/>
      <c r="L1461" s="72" t="str">
        <f>IFERROR(IF(G1461="","",VLOOKUP($G1461,[1]基础信息!$B:$C,2,FALSE)+SUMIF(G$8:G1461,G1461,J$8:J1461)-SUMIF(G$8:G1461,G1461,K$8:K1461)+SUMIFS([1]内部转账!$G:$G,[1]内部转账!$C:$C,"&lt;="&amp;$D1461,[1]内部转账!$E:$E,$G1461)-SUMIFS([1]内部转账!$G:$G,[1]内部转账!$C:$C,"&lt;="&amp;$D1461,[1]内部转账!$F:$F,$G1461)),"")</f>
        <v/>
      </c>
      <c r="M1461" s="64"/>
      <c r="N1461" s="69"/>
      <c r="O1461" s="64"/>
      <c r="P1461" s="64"/>
      <c r="Q1461" s="69"/>
      <c r="R1461" s="69"/>
      <c r="S1461" s="69"/>
    </row>
    <row r="1462" s="2" customFormat="1" ht="24.95" customHeight="1" spans="1:19">
      <c r="A1462" s="15"/>
      <c r="B1462" s="55"/>
      <c r="C1462" s="56"/>
      <c r="D1462" s="68"/>
      <c r="E1462" s="69"/>
      <c r="F1462" s="69"/>
      <c r="G1462" s="65"/>
      <c r="H1462" s="65"/>
      <c r="I1462" s="70"/>
      <c r="J1462" s="71"/>
      <c r="K1462" s="71"/>
      <c r="L1462" s="72" t="str">
        <f>IFERROR(IF(G1462="","",VLOOKUP($G1462,[1]基础信息!$B:$C,2,FALSE)+SUMIF(G$8:G1462,G1462,J$8:J1462)-SUMIF(G$8:G1462,G1462,K$8:K1462)+SUMIFS([1]内部转账!$G:$G,[1]内部转账!$C:$C,"&lt;="&amp;$D1462,[1]内部转账!$E:$E,$G1462)-SUMIFS([1]内部转账!$G:$G,[1]内部转账!$C:$C,"&lt;="&amp;$D1462,[1]内部转账!$F:$F,$G1462)),"")</f>
        <v/>
      </c>
      <c r="M1462" s="64"/>
      <c r="N1462" s="69"/>
      <c r="O1462" s="64"/>
      <c r="P1462" s="64"/>
      <c r="Q1462" s="69"/>
      <c r="R1462" s="69"/>
      <c r="S1462" s="69"/>
    </row>
    <row r="1463" s="2" customFormat="1" ht="24.95" customHeight="1" spans="1:19">
      <c r="A1463" s="15"/>
      <c r="B1463" s="55"/>
      <c r="C1463" s="56"/>
      <c r="D1463" s="68"/>
      <c r="E1463" s="69"/>
      <c r="F1463" s="69"/>
      <c r="G1463" s="65"/>
      <c r="H1463" s="65"/>
      <c r="I1463" s="70"/>
      <c r="J1463" s="71"/>
      <c r="K1463" s="71"/>
      <c r="L1463" s="72" t="str">
        <f>IFERROR(IF(G1463="","",VLOOKUP($G1463,[1]基础信息!$B:$C,2,FALSE)+SUMIF(G$8:G1463,G1463,J$8:J1463)-SUMIF(G$8:G1463,G1463,K$8:K1463)+SUMIFS([1]内部转账!$G:$G,[1]内部转账!$C:$C,"&lt;="&amp;$D1463,[1]内部转账!$E:$E,$G1463)-SUMIFS([1]内部转账!$G:$G,[1]内部转账!$C:$C,"&lt;="&amp;$D1463,[1]内部转账!$F:$F,$G1463)),"")</f>
        <v/>
      </c>
      <c r="M1463" s="64"/>
      <c r="N1463" s="69"/>
      <c r="O1463" s="64"/>
      <c r="P1463" s="64"/>
      <c r="Q1463" s="69"/>
      <c r="R1463" s="69"/>
      <c r="S1463" s="69"/>
    </row>
    <row r="1464" s="2" customFormat="1" ht="24.95" customHeight="1" spans="1:19">
      <c r="A1464" s="15"/>
      <c r="B1464" s="55"/>
      <c r="C1464" s="56"/>
      <c r="D1464" s="68"/>
      <c r="E1464" s="69"/>
      <c r="F1464" s="69"/>
      <c r="G1464" s="65"/>
      <c r="H1464" s="65"/>
      <c r="I1464" s="70"/>
      <c r="J1464" s="71"/>
      <c r="K1464" s="71"/>
      <c r="L1464" s="72" t="str">
        <f>IFERROR(IF(G1464="","",VLOOKUP($G1464,[1]基础信息!$B:$C,2,FALSE)+SUMIF(G$8:G1464,G1464,J$8:J1464)-SUMIF(G$8:G1464,G1464,K$8:K1464)+SUMIFS([1]内部转账!$G:$G,[1]内部转账!$C:$C,"&lt;="&amp;$D1464,[1]内部转账!$E:$E,$G1464)-SUMIFS([1]内部转账!$G:$G,[1]内部转账!$C:$C,"&lt;="&amp;$D1464,[1]内部转账!$F:$F,$G1464)),"")</f>
        <v/>
      </c>
      <c r="M1464" s="64"/>
      <c r="N1464" s="69"/>
      <c r="O1464" s="64"/>
      <c r="P1464" s="64"/>
      <c r="Q1464" s="69"/>
      <c r="R1464" s="69"/>
      <c r="S1464" s="69"/>
    </row>
    <row r="1465" s="2" customFormat="1" ht="24.95" customHeight="1" spans="1:19">
      <c r="A1465" s="15"/>
      <c r="B1465" s="55"/>
      <c r="C1465" s="56"/>
      <c r="D1465" s="68"/>
      <c r="E1465" s="69"/>
      <c r="F1465" s="69"/>
      <c r="G1465" s="65"/>
      <c r="H1465" s="65"/>
      <c r="I1465" s="70"/>
      <c r="J1465" s="71"/>
      <c r="K1465" s="71"/>
      <c r="L1465" s="72" t="str">
        <f>IFERROR(IF(G1465="","",VLOOKUP($G1465,[1]基础信息!$B:$C,2,FALSE)+SUMIF(G$8:G1465,G1465,J$8:J1465)-SUMIF(G$8:G1465,G1465,K$8:K1465)+SUMIFS([1]内部转账!$G:$G,[1]内部转账!$C:$C,"&lt;="&amp;$D1465,[1]内部转账!$E:$E,$G1465)-SUMIFS([1]内部转账!$G:$G,[1]内部转账!$C:$C,"&lt;="&amp;$D1465,[1]内部转账!$F:$F,$G1465)),"")</f>
        <v/>
      </c>
      <c r="M1465" s="64"/>
      <c r="N1465" s="69"/>
      <c r="O1465" s="64"/>
      <c r="P1465" s="64"/>
      <c r="Q1465" s="69"/>
      <c r="R1465" s="69"/>
      <c r="S1465" s="69"/>
    </row>
    <row r="1466" s="2" customFormat="1" ht="24.95" customHeight="1" spans="1:19">
      <c r="A1466" s="15"/>
      <c r="B1466" s="55"/>
      <c r="C1466" s="56"/>
      <c r="D1466" s="68"/>
      <c r="E1466" s="69"/>
      <c r="F1466" s="69"/>
      <c r="G1466" s="65"/>
      <c r="H1466" s="65"/>
      <c r="I1466" s="70"/>
      <c r="J1466" s="71"/>
      <c r="K1466" s="71"/>
      <c r="L1466" s="72" t="str">
        <f>IFERROR(IF(G1466="","",VLOOKUP($G1466,[1]基础信息!$B:$C,2,FALSE)+SUMIF(G$8:G1466,G1466,J$8:J1466)-SUMIF(G$8:G1466,G1466,K$8:K1466)+SUMIFS([1]内部转账!$G:$G,[1]内部转账!$C:$C,"&lt;="&amp;$D1466,[1]内部转账!$E:$E,$G1466)-SUMIFS([1]内部转账!$G:$G,[1]内部转账!$C:$C,"&lt;="&amp;$D1466,[1]内部转账!$F:$F,$G1466)),"")</f>
        <v/>
      </c>
      <c r="M1466" s="64"/>
      <c r="N1466" s="69"/>
      <c r="O1466" s="64"/>
      <c r="P1466" s="64"/>
      <c r="Q1466" s="69"/>
      <c r="R1466" s="69"/>
      <c r="S1466" s="69"/>
    </row>
    <row r="1467" s="2" customFormat="1" ht="24.95" customHeight="1" spans="1:19">
      <c r="A1467" s="15"/>
      <c r="B1467" s="55"/>
      <c r="C1467" s="56"/>
      <c r="D1467" s="68"/>
      <c r="E1467" s="69"/>
      <c r="F1467" s="69"/>
      <c r="G1467" s="65"/>
      <c r="H1467" s="65"/>
      <c r="I1467" s="70"/>
      <c r="J1467" s="71"/>
      <c r="K1467" s="71"/>
      <c r="L1467" s="72" t="str">
        <f>IFERROR(IF(G1467="","",VLOOKUP($G1467,[1]基础信息!$B:$C,2,FALSE)+SUMIF(G$8:G1467,G1467,J$8:J1467)-SUMIF(G$8:G1467,G1467,K$8:K1467)+SUMIFS([1]内部转账!$G:$G,[1]内部转账!$C:$C,"&lt;="&amp;$D1467,[1]内部转账!$E:$E,$G1467)-SUMIFS([1]内部转账!$G:$G,[1]内部转账!$C:$C,"&lt;="&amp;$D1467,[1]内部转账!$F:$F,$G1467)),"")</f>
        <v/>
      </c>
      <c r="M1467" s="64"/>
      <c r="N1467" s="69"/>
      <c r="O1467" s="64"/>
      <c r="P1467" s="64"/>
      <c r="Q1467" s="69"/>
      <c r="R1467" s="69"/>
      <c r="S1467" s="69"/>
    </row>
    <row r="1468" s="2" customFormat="1" ht="24.95" customHeight="1" spans="1:19">
      <c r="A1468" s="15"/>
      <c r="B1468" s="55"/>
      <c r="C1468" s="56"/>
      <c r="D1468" s="68"/>
      <c r="E1468" s="69"/>
      <c r="F1468" s="69"/>
      <c r="G1468" s="65"/>
      <c r="H1468" s="65"/>
      <c r="I1468" s="70"/>
      <c r="J1468" s="71"/>
      <c r="K1468" s="71"/>
      <c r="L1468" s="72" t="str">
        <f>IFERROR(IF(G1468="","",VLOOKUP($G1468,[1]基础信息!$B:$C,2,FALSE)+SUMIF(G$8:G1468,G1468,J$8:J1468)-SUMIF(G$8:G1468,G1468,K$8:K1468)+SUMIFS([1]内部转账!$G:$G,[1]内部转账!$C:$C,"&lt;="&amp;$D1468,[1]内部转账!$E:$E,$G1468)-SUMIFS([1]内部转账!$G:$G,[1]内部转账!$C:$C,"&lt;="&amp;$D1468,[1]内部转账!$F:$F,$G1468)),"")</f>
        <v/>
      </c>
      <c r="M1468" s="64"/>
      <c r="N1468" s="69"/>
      <c r="O1468" s="64"/>
      <c r="P1468" s="64"/>
      <c r="Q1468" s="69"/>
      <c r="R1468" s="69"/>
      <c r="S1468" s="69"/>
    </row>
    <row r="1469" s="2" customFormat="1" ht="24.95" customHeight="1" spans="1:19">
      <c r="A1469" s="15"/>
      <c r="B1469" s="55"/>
      <c r="C1469" s="56"/>
      <c r="D1469" s="68"/>
      <c r="E1469" s="69"/>
      <c r="F1469" s="69"/>
      <c r="G1469" s="65"/>
      <c r="H1469" s="65"/>
      <c r="I1469" s="70"/>
      <c r="J1469" s="71"/>
      <c r="K1469" s="71"/>
      <c r="L1469" s="72" t="str">
        <f>IFERROR(IF(G1469="","",VLOOKUP($G1469,[1]基础信息!$B:$C,2,FALSE)+SUMIF(G$8:G1469,G1469,J$8:J1469)-SUMIF(G$8:G1469,G1469,K$8:K1469)+SUMIFS([1]内部转账!$G:$G,[1]内部转账!$C:$C,"&lt;="&amp;$D1469,[1]内部转账!$E:$E,$G1469)-SUMIFS([1]内部转账!$G:$G,[1]内部转账!$C:$C,"&lt;="&amp;$D1469,[1]内部转账!$F:$F,$G1469)),"")</f>
        <v/>
      </c>
      <c r="M1469" s="64"/>
      <c r="N1469" s="69"/>
      <c r="O1469" s="64"/>
      <c r="P1469" s="64"/>
      <c r="Q1469" s="69"/>
      <c r="R1469" s="69"/>
      <c r="S1469" s="69"/>
    </row>
    <row r="1470" s="2" customFormat="1" ht="24.95" customHeight="1" spans="1:19">
      <c r="A1470" s="15"/>
      <c r="B1470" s="55"/>
      <c r="C1470" s="56"/>
      <c r="D1470" s="68"/>
      <c r="E1470" s="69"/>
      <c r="F1470" s="69"/>
      <c r="G1470" s="65"/>
      <c r="H1470" s="65"/>
      <c r="I1470" s="70"/>
      <c r="J1470" s="71"/>
      <c r="K1470" s="71"/>
      <c r="L1470" s="72" t="str">
        <f>IFERROR(IF(G1470="","",VLOOKUP($G1470,[1]基础信息!$B:$C,2,FALSE)+SUMIF(G$8:G1470,G1470,J$8:J1470)-SUMIF(G$8:G1470,G1470,K$8:K1470)+SUMIFS([1]内部转账!$G:$G,[1]内部转账!$C:$C,"&lt;="&amp;$D1470,[1]内部转账!$E:$E,$G1470)-SUMIFS([1]内部转账!$G:$G,[1]内部转账!$C:$C,"&lt;="&amp;$D1470,[1]内部转账!$F:$F,$G1470)),"")</f>
        <v/>
      </c>
      <c r="M1470" s="64"/>
      <c r="N1470" s="69"/>
      <c r="O1470" s="64"/>
      <c r="P1470" s="64"/>
      <c r="Q1470" s="69"/>
      <c r="R1470" s="69"/>
      <c r="S1470" s="69"/>
    </row>
    <row r="1471" s="2" customFormat="1" ht="24.95" customHeight="1" spans="1:19">
      <c r="A1471" s="15"/>
      <c r="B1471" s="55"/>
      <c r="C1471" s="56"/>
      <c r="D1471" s="68"/>
      <c r="E1471" s="69"/>
      <c r="F1471" s="69"/>
      <c r="G1471" s="65"/>
      <c r="H1471" s="65"/>
      <c r="I1471" s="70"/>
      <c r="J1471" s="71"/>
      <c r="K1471" s="71"/>
      <c r="L1471" s="72" t="str">
        <f>IFERROR(IF(G1471="","",VLOOKUP($G1471,[1]基础信息!$B:$C,2,FALSE)+SUMIF(G$8:G1471,G1471,J$8:J1471)-SUMIF(G$8:G1471,G1471,K$8:K1471)+SUMIFS([1]内部转账!$G:$G,[1]内部转账!$C:$C,"&lt;="&amp;$D1471,[1]内部转账!$E:$E,$G1471)-SUMIFS([1]内部转账!$G:$G,[1]内部转账!$C:$C,"&lt;="&amp;$D1471,[1]内部转账!$F:$F,$G1471)),"")</f>
        <v/>
      </c>
      <c r="M1471" s="64"/>
      <c r="N1471" s="69"/>
      <c r="O1471" s="64"/>
      <c r="P1471" s="64"/>
      <c r="Q1471" s="69"/>
      <c r="R1471" s="69"/>
      <c r="S1471" s="69"/>
    </row>
    <row r="1472" s="2" customFormat="1" ht="24.95" customHeight="1" spans="1:19">
      <c r="A1472" s="15"/>
      <c r="B1472" s="55"/>
      <c r="C1472" s="56"/>
      <c r="D1472" s="68"/>
      <c r="E1472" s="69"/>
      <c r="F1472" s="69"/>
      <c r="G1472" s="65"/>
      <c r="H1472" s="65"/>
      <c r="I1472" s="70"/>
      <c r="J1472" s="71"/>
      <c r="K1472" s="71"/>
      <c r="L1472" s="72" t="str">
        <f>IFERROR(IF(G1472="","",VLOOKUP($G1472,[1]基础信息!$B:$C,2,FALSE)+SUMIF(G$8:G1472,G1472,J$8:J1472)-SUMIF(G$8:G1472,G1472,K$8:K1472)+SUMIFS([1]内部转账!$G:$G,[1]内部转账!$C:$C,"&lt;="&amp;$D1472,[1]内部转账!$E:$E,$G1472)-SUMIFS([1]内部转账!$G:$G,[1]内部转账!$C:$C,"&lt;="&amp;$D1472,[1]内部转账!$F:$F,$G1472)),"")</f>
        <v/>
      </c>
      <c r="M1472" s="64"/>
      <c r="N1472" s="69"/>
      <c r="O1472" s="64"/>
      <c r="P1472" s="64"/>
      <c r="Q1472" s="69"/>
      <c r="R1472" s="69"/>
      <c r="S1472" s="69"/>
    </row>
    <row r="1473" s="2" customFormat="1" ht="24.95" customHeight="1" spans="1:19">
      <c r="A1473" s="15"/>
      <c r="B1473" s="55"/>
      <c r="C1473" s="56"/>
      <c r="D1473" s="68"/>
      <c r="E1473" s="69"/>
      <c r="F1473" s="69"/>
      <c r="G1473" s="65"/>
      <c r="H1473" s="65"/>
      <c r="I1473" s="70"/>
      <c r="J1473" s="71"/>
      <c r="K1473" s="71"/>
      <c r="L1473" s="72" t="str">
        <f>IFERROR(IF(G1473="","",VLOOKUP($G1473,[1]基础信息!$B:$C,2,FALSE)+SUMIF(G$8:G1473,G1473,J$8:J1473)-SUMIF(G$8:G1473,G1473,K$8:K1473)+SUMIFS([1]内部转账!$G:$G,[1]内部转账!$C:$C,"&lt;="&amp;$D1473,[1]内部转账!$E:$E,$G1473)-SUMIFS([1]内部转账!$G:$G,[1]内部转账!$C:$C,"&lt;="&amp;$D1473,[1]内部转账!$F:$F,$G1473)),"")</f>
        <v/>
      </c>
      <c r="M1473" s="64"/>
      <c r="N1473" s="69"/>
      <c r="O1473" s="64"/>
      <c r="P1473" s="64"/>
      <c r="Q1473" s="69"/>
      <c r="R1473" s="69"/>
      <c r="S1473" s="69"/>
    </row>
    <row r="1474" s="2" customFormat="1" ht="24.95" customHeight="1" spans="1:19">
      <c r="A1474" s="15"/>
      <c r="B1474" s="55"/>
      <c r="C1474" s="56"/>
      <c r="D1474" s="68"/>
      <c r="E1474" s="69"/>
      <c r="F1474" s="69"/>
      <c r="G1474" s="65"/>
      <c r="H1474" s="65"/>
      <c r="I1474" s="70"/>
      <c r="J1474" s="71"/>
      <c r="K1474" s="71"/>
      <c r="L1474" s="72" t="str">
        <f>IFERROR(IF(G1474="","",VLOOKUP($G1474,[1]基础信息!$B:$C,2,FALSE)+SUMIF(G$8:G1474,G1474,J$8:J1474)-SUMIF(G$8:G1474,G1474,K$8:K1474)+SUMIFS([1]内部转账!$G:$G,[1]内部转账!$C:$C,"&lt;="&amp;$D1474,[1]内部转账!$E:$E,$G1474)-SUMIFS([1]内部转账!$G:$G,[1]内部转账!$C:$C,"&lt;="&amp;$D1474,[1]内部转账!$F:$F,$G1474)),"")</f>
        <v/>
      </c>
      <c r="M1474" s="64"/>
      <c r="N1474" s="69"/>
      <c r="O1474" s="64"/>
      <c r="P1474" s="64"/>
      <c r="Q1474" s="69"/>
      <c r="R1474" s="69"/>
      <c r="S1474" s="69"/>
    </row>
    <row r="1475" s="2" customFormat="1" ht="24.95" customHeight="1" spans="1:19">
      <c r="A1475" s="15"/>
      <c r="B1475" s="55"/>
      <c r="C1475" s="56"/>
      <c r="D1475" s="68"/>
      <c r="E1475" s="69"/>
      <c r="F1475" s="69"/>
      <c r="G1475" s="65"/>
      <c r="H1475" s="65"/>
      <c r="I1475" s="70"/>
      <c r="J1475" s="71"/>
      <c r="K1475" s="71"/>
      <c r="L1475" s="72" t="str">
        <f>IFERROR(IF(G1475="","",VLOOKUP($G1475,[1]基础信息!$B:$C,2,FALSE)+SUMIF(G$8:G1475,G1475,J$8:J1475)-SUMIF(G$8:G1475,G1475,K$8:K1475)+SUMIFS([1]内部转账!$G:$G,[1]内部转账!$C:$C,"&lt;="&amp;$D1475,[1]内部转账!$E:$E,$G1475)-SUMIFS([1]内部转账!$G:$G,[1]内部转账!$C:$C,"&lt;="&amp;$D1475,[1]内部转账!$F:$F,$G1475)),"")</f>
        <v/>
      </c>
      <c r="M1475" s="64"/>
      <c r="N1475" s="69"/>
      <c r="O1475" s="64"/>
      <c r="P1475" s="64"/>
      <c r="Q1475" s="69"/>
      <c r="R1475" s="69"/>
      <c r="S1475" s="69"/>
    </row>
    <row r="1476" s="2" customFormat="1" ht="24.95" customHeight="1" spans="1:19">
      <c r="A1476" s="15"/>
      <c r="B1476" s="55"/>
      <c r="C1476" s="56"/>
      <c r="D1476" s="68"/>
      <c r="E1476" s="69"/>
      <c r="F1476" s="69"/>
      <c r="G1476" s="65"/>
      <c r="H1476" s="65"/>
      <c r="I1476" s="70"/>
      <c r="J1476" s="71"/>
      <c r="K1476" s="71"/>
      <c r="L1476" s="72" t="str">
        <f>IFERROR(IF(G1476="","",VLOOKUP($G1476,[1]基础信息!$B:$C,2,FALSE)+SUMIF(G$8:G1476,G1476,J$8:J1476)-SUMIF(G$8:G1476,G1476,K$8:K1476)+SUMIFS([1]内部转账!$G:$G,[1]内部转账!$C:$C,"&lt;="&amp;$D1476,[1]内部转账!$E:$E,$G1476)-SUMIFS([1]内部转账!$G:$G,[1]内部转账!$C:$C,"&lt;="&amp;$D1476,[1]内部转账!$F:$F,$G1476)),"")</f>
        <v/>
      </c>
      <c r="M1476" s="64"/>
      <c r="N1476" s="69"/>
      <c r="O1476" s="64"/>
      <c r="P1476" s="64"/>
      <c r="Q1476" s="69"/>
      <c r="R1476" s="69"/>
      <c r="S1476" s="69"/>
    </row>
    <row r="1477" s="2" customFormat="1" ht="24.95" customHeight="1" spans="1:19">
      <c r="A1477" s="15"/>
      <c r="B1477" s="55"/>
      <c r="C1477" s="56"/>
      <c r="D1477" s="68"/>
      <c r="E1477" s="69"/>
      <c r="F1477" s="69"/>
      <c r="G1477" s="65"/>
      <c r="H1477" s="65"/>
      <c r="I1477" s="70"/>
      <c r="J1477" s="71"/>
      <c r="K1477" s="71"/>
      <c r="L1477" s="72" t="str">
        <f>IFERROR(IF(G1477="","",VLOOKUP($G1477,[1]基础信息!$B:$C,2,FALSE)+SUMIF(G$8:G1477,G1477,J$8:J1477)-SUMIF(G$8:G1477,G1477,K$8:K1477)+SUMIFS([1]内部转账!$G:$G,[1]内部转账!$C:$C,"&lt;="&amp;$D1477,[1]内部转账!$E:$E,$G1477)-SUMIFS([1]内部转账!$G:$G,[1]内部转账!$C:$C,"&lt;="&amp;$D1477,[1]内部转账!$F:$F,$G1477)),"")</f>
        <v/>
      </c>
      <c r="M1477" s="64"/>
      <c r="N1477" s="69"/>
      <c r="O1477" s="64"/>
      <c r="P1477" s="64"/>
      <c r="Q1477" s="69"/>
      <c r="R1477" s="69"/>
      <c r="S1477" s="69"/>
    </row>
    <row r="1478" s="2" customFormat="1" ht="24.95" customHeight="1" spans="1:19">
      <c r="A1478" s="15"/>
      <c r="B1478" s="55"/>
      <c r="C1478" s="56"/>
      <c r="D1478" s="68"/>
      <c r="E1478" s="69"/>
      <c r="F1478" s="69"/>
      <c r="G1478" s="65"/>
      <c r="H1478" s="65"/>
      <c r="I1478" s="70"/>
      <c r="J1478" s="71"/>
      <c r="K1478" s="71"/>
      <c r="L1478" s="72" t="str">
        <f>IFERROR(IF(G1478="","",VLOOKUP($G1478,[1]基础信息!$B:$C,2,FALSE)+SUMIF(G$8:G1478,G1478,J$8:J1478)-SUMIF(G$8:G1478,G1478,K$8:K1478)+SUMIFS([1]内部转账!$G:$G,[1]内部转账!$C:$C,"&lt;="&amp;$D1478,[1]内部转账!$E:$E,$G1478)-SUMIFS([1]内部转账!$G:$G,[1]内部转账!$C:$C,"&lt;="&amp;$D1478,[1]内部转账!$F:$F,$G1478)),"")</f>
        <v/>
      </c>
      <c r="M1478" s="64"/>
      <c r="N1478" s="69"/>
      <c r="O1478" s="64"/>
      <c r="P1478" s="64"/>
      <c r="Q1478" s="69"/>
      <c r="R1478" s="69"/>
      <c r="S1478" s="69"/>
    </row>
    <row r="1479" s="2" customFormat="1" ht="24.95" customHeight="1" spans="1:19">
      <c r="A1479" s="15"/>
      <c r="B1479" s="55"/>
      <c r="C1479" s="56"/>
      <c r="D1479" s="68"/>
      <c r="E1479" s="69"/>
      <c r="F1479" s="69"/>
      <c r="G1479" s="65"/>
      <c r="H1479" s="65"/>
      <c r="I1479" s="70"/>
      <c r="J1479" s="71"/>
      <c r="K1479" s="71"/>
      <c r="L1479" s="72" t="str">
        <f>IFERROR(IF(G1479="","",VLOOKUP($G1479,[1]基础信息!$B:$C,2,FALSE)+SUMIF(G$8:G1479,G1479,J$8:J1479)-SUMIF(G$8:G1479,G1479,K$8:K1479)+SUMIFS([1]内部转账!$G:$G,[1]内部转账!$C:$C,"&lt;="&amp;$D1479,[1]内部转账!$E:$E,$G1479)-SUMIFS([1]内部转账!$G:$G,[1]内部转账!$C:$C,"&lt;="&amp;$D1479,[1]内部转账!$F:$F,$G1479)),"")</f>
        <v/>
      </c>
      <c r="M1479" s="64"/>
      <c r="N1479" s="69"/>
      <c r="O1479" s="64"/>
      <c r="P1479" s="64"/>
      <c r="Q1479" s="69"/>
      <c r="R1479" s="69"/>
      <c r="S1479" s="69"/>
    </row>
    <row r="1480" s="2" customFormat="1" ht="24.95" customHeight="1" spans="1:19">
      <c r="A1480" s="15"/>
      <c r="B1480" s="55"/>
      <c r="C1480" s="56"/>
      <c r="D1480" s="68"/>
      <c r="E1480" s="69"/>
      <c r="F1480" s="69"/>
      <c r="G1480" s="65"/>
      <c r="H1480" s="65"/>
      <c r="I1480" s="70"/>
      <c r="J1480" s="71"/>
      <c r="K1480" s="71"/>
      <c r="L1480" s="72" t="str">
        <f>IFERROR(IF(G1480="","",VLOOKUP($G1480,[1]基础信息!$B:$C,2,FALSE)+SUMIF(G$8:G1480,G1480,J$8:J1480)-SUMIF(G$8:G1480,G1480,K$8:K1480)+SUMIFS([1]内部转账!$G:$G,[1]内部转账!$C:$C,"&lt;="&amp;$D1480,[1]内部转账!$E:$E,$G1480)-SUMIFS([1]内部转账!$G:$G,[1]内部转账!$C:$C,"&lt;="&amp;$D1480,[1]内部转账!$F:$F,$G1480)),"")</f>
        <v/>
      </c>
      <c r="M1480" s="64"/>
      <c r="N1480" s="69"/>
      <c r="O1480" s="64"/>
      <c r="P1480" s="64"/>
      <c r="Q1480" s="69"/>
      <c r="R1480" s="69"/>
      <c r="S1480" s="69"/>
    </row>
    <row r="1481" s="2" customFormat="1" ht="24.95" customHeight="1" spans="1:19">
      <c r="A1481" s="15"/>
      <c r="B1481" s="55"/>
      <c r="C1481" s="56"/>
      <c r="D1481" s="68"/>
      <c r="E1481" s="69"/>
      <c r="F1481" s="69"/>
      <c r="G1481" s="65"/>
      <c r="H1481" s="65"/>
      <c r="I1481" s="70"/>
      <c r="J1481" s="71"/>
      <c r="K1481" s="71"/>
      <c r="L1481" s="72" t="str">
        <f>IFERROR(IF(G1481="","",VLOOKUP($G1481,[1]基础信息!$B:$C,2,FALSE)+SUMIF(G$8:G1481,G1481,J$8:J1481)-SUMIF(G$8:G1481,G1481,K$8:K1481)+SUMIFS([1]内部转账!$G:$G,[1]内部转账!$C:$C,"&lt;="&amp;$D1481,[1]内部转账!$E:$E,$G1481)-SUMIFS([1]内部转账!$G:$G,[1]内部转账!$C:$C,"&lt;="&amp;$D1481,[1]内部转账!$F:$F,$G1481)),"")</f>
        <v/>
      </c>
      <c r="M1481" s="64"/>
      <c r="N1481" s="69"/>
      <c r="O1481" s="64"/>
      <c r="P1481" s="64"/>
      <c r="Q1481" s="69"/>
      <c r="R1481" s="69"/>
      <c r="S1481" s="69"/>
    </row>
    <row r="1482" s="2" customFormat="1" ht="24.95" customHeight="1" spans="1:19">
      <c r="A1482" s="15"/>
      <c r="B1482" s="55"/>
      <c r="C1482" s="56"/>
      <c r="D1482" s="68"/>
      <c r="E1482" s="69"/>
      <c r="F1482" s="69"/>
      <c r="G1482" s="65"/>
      <c r="H1482" s="65"/>
      <c r="I1482" s="70"/>
      <c r="J1482" s="71"/>
      <c r="K1482" s="71"/>
      <c r="L1482" s="72" t="str">
        <f>IFERROR(IF(G1482="","",VLOOKUP($G1482,[1]基础信息!$B:$C,2,FALSE)+SUMIF(G$8:G1482,G1482,J$8:J1482)-SUMIF(G$8:G1482,G1482,K$8:K1482)+SUMIFS([1]内部转账!$G:$G,[1]内部转账!$C:$C,"&lt;="&amp;$D1482,[1]内部转账!$E:$E,$G1482)-SUMIFS([1]内部转账!$G:$G,[1]内部转账!$C:$C,"&lt;="&amp;$D1482,[1]内部转账!$F:$F,$G1482)),"")</f>
        <v/>
      </c>
      <c r="M1482" s="64"/>
      <c r="N1482" s="69"/>
      <c r="O1482" s="64"/>
      <c r="P1482" s="64"/>
      <c r="Q1482" s="69"/>
      <c r="R1482" s="69"/>
      <c r="S1482" s="69"/>
    </row>
    <row r="1483" s="2" customFormat="1" ht="24.95" customHeight="1" spans="1:19">
      <c r="A1483" s="15"/>
      <c r="B1483" s="55"/>
      <c r="C1483" s="56"/>
      <c r="D1483" s="68"/>
      <c r="E1483" s="69"/>
      <c r="F1483" s="69"/>
      <c r="G1483" s="65"/>
      <c r="H1483" s="65"/>
      <c r="I1483" s="70"/>
      <c r="J1483" s="71"/>
      <c r="K1483" s="71"/>
      <c r="L1483" s="72" t="str">
        <f>IFERROR(IF(G1483="","",VLOOKUP($G1483,[1]基础信息!$B:$C,2,FALSE)+SUMIF(G$8:G1483,G1483,J$8:J1483)-SUMIF(G$8:G1483,G1483,K$8:K1483)+SUMIFS([1]内部转账!$G:$G,[1]内部转账!$C:$C,"&lt;="&amp;$D1483,[1]内部转账!$E:$E,$G1483)-SUMIFS([1]内部转账!$G:$G,[1]内部转账!$C:$C,"&lt;="&amp;$D1483,[1]内部转账!$F:$F,$G1483)),"")</f>
        <v/>
      </c>
      <c r="M1483" s="64"/>
      <c r="N1483" s="69"/>
      <c r="O1483" s="64"/>
      <c r="P1483" s="64"/>
      <c r="Q1483" s="69"/>
      <c r="R1483" s="69"/>
      <c r="S1483" s="69"/>
    </row>
    <row r="1484" s="2" customFormat="1" ht="24.95" customHeight="1" spans="1:19">
      <c r="A1484" s="15"/>
      <c r="B1484" s="55"/>
      <c r="C1484" s="56"/>
      <c r="D1484" s="68"/>
      <c r="E1484" s="69"/>
      <c r="F1484" s="69"/>
      <c r="G1484" s="65"/>
      <c r="H1484" s="65"/>
      <c r="I1484" s="70"/>
      <c r="J1484" s="71"/>
      <c r="K1484" s="71"/>
      <c r="L1484" s="72" t="str">
        <f>IFERROR(IF(G1484="","",VLOOKUP($G1484,[1]基础信息!$B:$C,2,FALSE)+SUMIF(G$8:G1484,G1484,J$8:J1484)-SUMIF(G$8:G1484,G1484,K$8:K1484)+SUMIFS([1]内部转账!$G:$G,[1]内部转账!$C:$C,"&lt;="&amp;$D1484,[1]内部转账!$E:$E,$G1484)-SUMIFS([1]内部转账!$G:$G,[1]内部转账!$C:$C,"&lt;="&amp;$D1484,[1]内部转账!$F:$F,$G1484)),"")</f>
        <v/>
      </c>
      <c r="M1484" s="64"/>
      <c r="N1484" s="69"/>
      <c r="O1484" s="64"/>
      <c r="P1484" s="64"/>
      <c r="Q1484" s="69"/>
      <c r="R1484" s="69"/>
      <c r="S1484" s="69"/>
    </row>
    <row r="1485" s="2" customFormat="1" ht="24.95" customHeight="1" spans="1:19">
      <c r="A1485" s="15"/>
      <c r="B1485" s="55"/>
      <c r="C1485" s="56"/>
      <c r="D1485" s="68"/>
      <c r="E1485" s="69"/>
      <c r="F1485" s="69"/>
      <c r="G1485" s="65"/>
      <c r="H1485" s="65"/>
      <c r="I1485" s="70"/>
      <c r="J1485" s="71"/>
      <c r="K1485" s="71"/>
      <c r="L1485" s="72" t="str">
        <f>IFERROR(IF(G1485="","",VLOOKUP($G1485,[1]基础信息!$B:$C,2,FALSE)+SUMIF(G$8:G1485,G1485,J$8:J1485)-SUMIF(G$8:G1485,G1485,K$8:K1485)+SUMIFS([1]内部转账!$G:$G,[1]内部转账!$C:$C,"&lt;="&amp;$D1485,[1]内部转账!$E:$E,$G1485)-SUMIFS([1]内部转账!$G:$G,[1]内部转账!$C:$C,"&lt;="&amp;$D1485,[1]内部转账!$F:$F,$G1485)),"")</f>
        <v/>
      </c>
      <c r="M1485" s="64"/>
      <c r="N1485" s="69"/>
      <c r="O1485" s="64"/>
      <c r="P1485" s="64"/>
      <c r="Q1485" s="69"/>
      <c r="R1485" s="69"/>
      <c r="S1485" s="69"/>
    </row>
    <row r="1486" s="2" customFormat="1" ht="24.95" customHeight="1" spans="1:19">
      <c r="A1486" s="15"/>
      <c r="B1486" s="55"/>
      <c r="C1486" s="56"/>
      <c r="D1486" s="68"/>
      <c r="E1486" s="69"/>
      <c r="F1486" s="69"/>
      <c r="G1486" s="65"/>
      <c r="H1486" s="65"/>
      <c r="I1486" s="70"/>
      <c r="J1486" s="71"/>
      <c r="K1486" s="71"/>
      <c r="L1486" s="72" t="str">
        <f>IFERROR(IF(G1486="","",VLOOKUP($G1486,[1]基础信息!$B:$C,2,FALSE)+SUMIF(G$8:G1486,G1486,J$8:J1486)-SUMIF(G$8:G1486,G1486,K$8:K1486)+SUMIFS([1]内部转账!$G:$G,[1]内部转账!$C:$C,"&lt;="&amp;$D1486,[1]内部转账!$E:$E,$G1486)-SUMIFS([1]内部转账!$G:$G,[1]内部转账!$C:$C,"&lt;="&amp;$D1486,[1]内部转账!$F:$F,$G1486)),"")</f>
        <v/>
      </c>
      <c r="M1486" s="64"/>
      <c r="N1486" s="69"/>
      <c r="O1486" s="64"/>
      <c r="P1486" s="64"/>
      <c r="Q1486" s="69"/>
      <c r="R1486" s="69"/>
      <c r="S1486" s="69"/>
    </row>
    <row r="1487" s="2" customFormat="1" ht="24.95" customHeight="1" spans="1:19">
      <c r="A1487" s="15"/>
      <c r="B1487" s="55"/>
      <c r="C1487" s="56"/>
      <c r="D1487" s="68"/>
      <c r="E1487" s="69"/>
      <c r="F1487" s="69"/>
      <c r="G1487" s="65"/>
      <c r="H1487" s="65"/>
      <c r="I1487" s="70"/>
      <c r="J1487" s="71"/>
      <c r="K1487" s="71"/>
      <c r="L1487" s="72" t="str">
        <f>IFERROR(IF(G1487="","",VLOOKUP($G1487,[1]基础信息!$B:$C,2,FALSE)+SUMIF(G$8:G1487,G1487,J$8:J1487)-SUMIF(G$8:G1487,G1487,K$8:K1487)+SUMIFS([1]内部转账!$G:$G,[1]内部转账!$C:$C,"&lt;="&amp;$D1487,[1]内部转账!$E:$E,$G1487)-SUMIFS([1]内部转账!$G:$G,[1]内部转账!$C:$C,"&lt;="&amp;$D1487,[1]内部转账!$F:$F,$G1487)),"")</f>
        <v/>
      </c>
      <c r="M1487" s="64"/>
      <c r="N1487" s="69"/>
      <c r="O1487" s="64"/>
      <c r="P1487" s="64"/>
      <c r="Q1487" s="69"/>
      <c r="R1487" s="69"/>
      <c r="S1487" s="69"/>
    </row>
    <row r="1488" s="2" customFormat="1" ht="24.95" customHeight="1" spans="1:19">
      <c r="A1488" s="15"/>
      <c r="B1488" s="55"/>
      <c r="C1488" s="56"/>
      <c r="D1488" s="68"/>
      <c r="E1488" s="69"/>
      <c r="F1488" s="69"/>
      <c r="G1488" s="65"/>
      <c r="H1488" s="65"/>
      <c r="I1488" s="70"/>
      <c r="J1488" s="71"/>
      <c r="K1488" s="71"/>
      <c r="L1488" s="72" t="str">
        <f>IFERROR(IF(G1488="","",VLOOKUP($G1488,[1]基础信息!$B:$C,2,FALSE)+SUMIF(G$8:G1488,G1488,J$8:J1488)-SUMIF(G$8:G1488,G1488,K$8:K1488)+SUMIFS([1]内部转账!$G:$G,[1]内部转账!$C:$C,"&lt;="&amp;$D1488,[1]内部转账!$E:$E,$G1488)-SUMIFS([1]内部转账!$G:$G,[1]内部转账!$C:$C,"&lt;="&amp;$D1488,[1]内部转账!$F:$F,$G1488)),"")</f>
        <v/>
      </c>
      <c r="M1488" s="64"/>
      <c r="N1488" s="69"/>
      <c r="O1488" s="64"/>
      <c r="P1488" s="64"/>
      <c r="Q1488" s="69"/>
      <c r="R1488" s="69"/>
      <c r="S1488" s="69"/>
    </row>
    <row r="1489" s="2" customFormat="1" ht="24.95" customHeight="1" spans="1:19">
      <c r="A1489" s="15"/>
      <c r="B1489" s="55"/>
      <c r="C1489" s="56"/>
      <c r="D1489" s="68"/>
      <c r="E1489" s="69"/>
      <c r="F1489" s="69"/>
      <c r="G1489" s="65"/>
      <c r="H1489" s="65"/>
      <c r="I1489" s="70"/>
      <c r="J1489" s="71"/>
      <c r="K1489" s="71"/>
      <c r="L1489" s="72" t="str">
        <f>IFERROR(IF(G1489="","",VLOOKUP($G1489,[1]基础信息!$B:$C,2,FALSE)+SUMIF(G$8:G1489,G1489,J$8:J1489)-SUMIF(G$8:G1489,G1489,K$8:K1489)+SUMIFS([1]内部转账!$G:$G,[1]内部转账!$C:$C,"&lt;="&amp;$D1489,[1]内部转账!$E:$E,$G1489)-SUMIFS([1]内部转账!$G:$G,[1]内部转账!$C:$C,"&lt;="&amp;$D1489,[1]内部转账!$F:$F,$G1489)),"")</f>
        <v/>
      </c>
      <c r="M1489" s="64"/>
      <c r="N1489" s="69"/>
      <c r="O1489" s="64"/>
      <c r="P1489" s="64"/>
      <c r="Q1489" s="69"/>
      <c r="R1489" s="69"/>
      <c r="S1489" s="69"/>
    </row>
    <row r="1490" s="2" customFormat="1" ht="24.95" customHeight="1" spans="1:19">
      <c r="A1490" s="15"/>
      <c r="B1490" s="55"/>
      <c r="C1490" s="56"/>
      <c r="D1490" s="68"/>
      <c r="E1490" s="69"/>
      <c r="F1490" s="69"/>
      <c r="G1490" s="65"/>
      <c r="H1490" s="65"/>
      <c r="I1490" s="70"/>
      <c r="J1490" s="71"/>
      <c r="K1490" s="71"/>
      <c r="L1490" s="72" t="str">
        <f>IFERROR(IF(G1490="","",VLOOKUP($G1490,[1]基础信息!$B:$C,2,FALSE)+SUMIF(G$8:G1490,G1490,J$8:J1490)-SUMIF(G$8:G1490,G1490,K$8:K1490)+SUMIFS([1]内部转账!$G:$G,[1]内部转账!$C:$C,"&lt;="&amp;$D1490,[1]内部转账!$E:$E,$G1490)-SUMIFS([1]内部转账!$G:$G,[1]内部转账!$C:$C,"&lt;="&amp;$D1490,[1]内部转账!$F:$F,$G1490)),"")</f>
        <v/>
      </c>
      <c r="M1490" s="64"/>
      <c r="N1490" s="69"/>
      <c r="O1490" s="64"/>
      <c r="P1490" s="64"/>
      <c r="Q1490" s="69"/>
      <c r="R1490" s="69"/>
      <c r="S1490" s="69"/>
    </row>
    <row r="1491" s="2" customFormat="1" ht="24.95" customHeight="1" spans="1:19">
      <c r="A1491" s="15"/>
      <c r="B1491" s="55"/>
      <c r="C1491" s="56"/>
      <c r="D1491" s="68"/>
      <c r="E1491" s="69"/>
      <c r="F1491" s="69"/>
      <c r="G1491" s="65"/>
      <c r="H1491" s="65"/>
      <c r="I1491" s="70"/>
      <c r="J1491" s="71"/>
      <c r="K1491" s="71"/>
      <c r="L1491" s="72" t="str">
        <f>IFERROR(IF(G1491="","",VLOOKUP($G1491,[1]基础信息!$B:$C,2,FALSE)+SUMIF(G$8:G1491,G1491,J$8:J1491)-SUMIF(G$8:G1491,G1491,K$8:K1491)+SUMIFS([1]内部转账!$G:$G,[1]内部转账!$C:$C,"&lt;="&amp;$D1491,[1]内部转账!$E:$E,$G1491)-SUMIFS([1]内部转账!$G:$G,[1]内部转账!$C:$C,"&lt;="&amp;$D1491,[1]内部转账!$F:$F,$G1491)),"")</f>
        <v/>
      </c>
      <c r="M1491" s="64"/>
      <c r="N1491" s="69"/>
      <c r="O1491" s="64"/>
      <c r="P1491" s="64"/>
      <c r="Q1491" s="69"/>
      <c r="R1491" s="69"/>
      <c r="S1491" s="69"/>
    </row>
    <row r="1492" s="2" customFormat="1" ht="24.95" customHeight="1" spans="1:19">
      <c r="A1492" s="15"/>
      <c r="B1492" s="55"/>
      <c r="C1492" s="56"/>
      <c r="D1492" s="68"/>
      <c r="E1492" s="69"/>
      <c r="F1492" s="69"/>
      <c r="G1492" s="65"/>
      <c r="H1492" s="65"/>
      <c r="I1492" s="70"/>
      <c r="J1492" s="71"/>
      <c r="K1492" s="71"/>
      <c r="L1492" s="72" t="str">
        <f>IFERROR(IF(G1492="","",VLOOKUP($G1492,[1]基础信息!$B:$C,2,FALSE)+SUMIF(G$8:G1492,G1492,J$8:J1492)-SUMIF(G$8:G1492,G1492,K$8:K1492)+SUMIFS([1]内部转账!$G:$G,[1]内部转账!$C:$C,"&lt;="&amp;$D1492,[1]内部转账!$E:$E,$G1492)-SUMIFS([1]内部转账!$G:$G,[1]内部转账!$C:$C,"&lt;="&amp;$D1492,[1]内部转账!$F:$F,$G1492)),"")</f>
        <v/>
      </c>
      <c r="M1492" s="64"/>
      <c r="N1492" s="69"/>
      <c r="O1492" s="64"/>
      <c r="P1492" s="64"/>
      <c r="Q1492" s="69"/>
      <c r="R1492" s="69"/>
      <c r="S1492" s="69"/>
    </row>
    <row r="1493" s="2" customFormat="1" ht="24.95" customHeight="1" spans="1:19">
      <c r="A1493" s="15"/>
      <c r="B1493" s="55"/>
      <c r="C1493" s="56"/>
      <c r="D1493" s="68"/>
      <c r="E1493" s="69"/>
      <c r="F1493" s="69"/>
      <c r="G1493" s="65"/>
      <c r="H1493" s="65"/>
      <c r="I1493" s="70"/>
      <c r="J1493" s="71"/>
      <c r="K1493" s="71"/>
      <c r="L1493" s="72" t="str">
        <f>IFERROR(IF(G1493="","",VLOOKUP($G1493,[1]基础信息!$B:$C,2,FALSE)+SUMIF(G$8:G1493,G1493,J$8:J1493)-SUMIF(G$8:G1493,G1493,K$8:K1493)+SUMIFS([1]内部转账!$G:$G,[1]内部转账!$C:$C,"&lt;="&amp;$D1493,[1]内部转账!$E:$E,$G1493)-SUMIFS([1]内部转账!$G:$G,[1]内部转账!$C:$C,"&lt;="&amp;$D1493,[1]内部转账!$F:$F,$G1493)),"")</f>
        <v/>
      </c>
      <c r="M1493" s="64"/>
      <c r="N1493" s="69"/>
      <c r="O1493" s="64"/>
      <c r="P1493" s="64"/>
      <c r="Q1493" s="69"/>
      <c r="R1493" s="69"/>
      <c r="S1493" s="69"/>
    </row>
    <row r="1494" s="2" customFormat="1" ht="24.95" customHeight="1" spans="1:19">
      <c r="A1494" s="15"/>
      <c r="B1494" s="55"/>
      <c r="C1494" s="56"/>
      <c r="D1494" s="68"/>
      <c r="E1494" s="69"/>
      <c r="F1494" s="69"/>
      <c r="G1494" s="65"/>
      <c r="H1494" s="65"/>
      <c r="I1494" s="70"/>
      <c r="J1494" s="71"/>
      <c r="K1494" s="71"/>
      <c r="L1494" s="72" t="str">
        <f>IFERROR(IF(G1494="","",VLOOKUP($G1494,[1]基础信息!$B:$C,2,FALSE)+SUMIF(G$8:G1494,G1494,J$8:J1494)-SUMIF(G$8:G1494,G1494,K$8:K1494)+SUMIFS([1]内部转账!$G:$G,[1]内部转账!$C:$C,"&lt;="&amp;$D1494,[1]内部转账!$E:$E,$G1494)-SUMIFS([1]内部转账!$G:$G,[1]内部转账!$C:$C,"&lt;="&amp;$D1494,[1]内部转账!$F:$F,$G1494)),"")</f>
        <v/>
      </c>
      <c r="M1494" s="64"/>
      <c r="N1494" s="69"/>
      <c r="O1494" s="64"/>
      <c r="P1494" s="64"/>
      <c r="Q1494" s="69"/>
      <c r="R1494" s="69"/>
      <c r="S1494" s="69"/>
    </row>
    <row r="1495" s="2" customFormat="1" ht="24.95" customHeight="1" spans="1:19">
      <c r="A1495" s="15"/>
      <c r="B1495" s="55"/>
      <c r="C1495" s="56"/>
      <c r="D1495" s="68"/>
      <c r="E1495" s="69"/>
      <c r="F1495" s="69"/>
      <c r="G1495" s="65"/>
      <c r="H1495" s="65"/>
      <c r="I1495" s="70"/>
      <c r="J1495" s="71"/>
      <c r="K1495" s="71"/>
      <c r="L1495" s="72" t="str">
        <f>IFERROR(IF(G1495="","",VLOOKUP($G1495,[1]基础信息!$B:$C,2,FALSE)+SUMIF(G$8:G1495,G1495,J$8:J1495)-SUMIF(G$8:G1495,G1495,K$8:K1495)+SUMIFS([1]内部转账!$G:$G,[1]内部转账!$C:$C,"&lt;="&amp;$D1495,[1]内部转账!$E:$E,$G1495)-SUMIFS([1]内部转账!$G:$G,[1]内部转账!$C:$C,"&lt;="&amp;$D1495,[1]内部转账!$F:$F,$G1495)),"")</f>
        <v/>
      </c>
      <c r="M1495" s="64"/>
      <c r="N1495" s="69"/>
      <c r="O1495" s="64"/>
      <c r="P1495" s="64"/>
      <c r="Q1495" s="69"/>
      <c r="R1495" s="69"/>
      <c r="S1495" s="69"/>
    </row>
    <row r="1496" s="2" customFormat="1" ht="24.95" customHeight="1" spans="1:19">
      <c r="A1496" s="15"/>
      <c r="B1496" s="55"/>
      <c r="C1496" s="56"/>
      <c r="D1496" s="68"/>
      <c r="E1496" s="69"/>
      <c r="F1496" s="69"/>
      <c r="G1496" s="65"/>
      <c r="H1496" s="65"/>
      <c r="I1496" s="70"/>
      <c r="J1496" s="71"/>
      <c r="K1496" s="71"/>
      <c r="L1496" s="72" t="str">
        <f>IFERROR(IF(G1496="","",VLOOKUP($G1496,[1]基础信息!$B:$C,2,FALSE)+SUMIF(G$8:G1496,G1496,J$8:J1496)-SUMIF(G$8:G1496,G1496,K$8:K1496)+SUMIFS([1]内部转账!$G:$G,[1]内部转账!$C:$C,"&lt;="&amp;$D1496,[1]内部转账!$E:$E,$G1496)-SUMIFS([1]内部转账!$G:$G,[1]内部转账!$C:$C,"&lt;="&amp;$D1496,[1]内部转账!$F:$F,$G1496)),"")</f>
        <v/>
      </c>
      <c r="M1496" s="64"/>
      <c r="N1496" s="69"/>
      <c r="O1496" s="64"/>
      <c r="P1496" s="64"/>
      <c r="Q1496" s="69"/>
      <c r="R1496" s="69"/>
      <c r="S1496" s="69"/>
    </row>
    <row r="1497" s="2" customFormat="1" ht="24.95" customHeight="1" spans="1:19">
      <c r="A1497" s="15"/>
      <c r="B1497" s="55"/>
      <c r="C1497" s="56"/>
      <c r="D1497" s="68"/>
      <c r="E1497" s="69"/>
      <c r="F1497" s="69"/>
      <c r="G1497" s="65"/>
      <c r="H1497" s="65"/>
      <c r="I1497" s="70"/>
      <c r="J1497" s="71"/>
      <c r="K1497" s="71"/>
      <c r="L1497" s="72" t="str">
        <f>IFERROR(IF(G1497="","",VLOOKUP($G1497,[1]基础信息!$B:$C,2,FALSE)+SUMIF(G$8:G1497,G1497,J$8:J1497)-SUMIF(G$8:G1497,G1497,K$8:K1497)+SUMIFS([1]内部转账!$G:$G,[1]内部转账!$C:$C,"&lt;="&amp;$D1497,[1]内部转账!$E:$E,$G1497)-SUMIFS([1]内部转账!$G:$G,[1]内部转账!$C:$C,"&lt;="&amp;$D1497,[1]内部转账!$F:$F,$G1497)),"")</f>
        <v/>
      </c>
      <c r="M1497" s="64"/>
      <c r="N1497" s="69"/>
      <c r="O1497" s="64"/>
      <c r="P1497" s="64"/>
      <c r="Q1497" s="69"/>
      <c r="R1497" s="69"/>
      <c r="S1497" s="69"/>
    </row>
    <row r="1498" s="2" customFormat="1" ht="24.95" customHeight="1" spans="1:19">
      <c r="A1498" s="15"/>
      <c r="B1498" s="55"/>
      <c r="C1498" s="56"/>
      <c r="D1498" s="68"/>
      <c r="E1498" s="69"/>
      <c r="F1498" s="69"/>
      <c r="G1498" s="65"/>
      <c r="H1498" s="65"/>
      <c r="I1498" s="70"/>
      <c r="J1498" s="71"/>
      <c r="K1498" s="71"/>
      <c r="L1498" s="72" t="str">
        <f>IFERROR(IF(G1498="","",VLOOKUP($G1498,[1]基础信息!$B:$C,2,FALSE)+SUMIF(G$8:G1498,G1498,J$8:J1498)-SUMIF(G$8:G1498,G1498,K$8:K1498)+SUMIFS([1]内部转账!$G:$G,[1]内部转账!$C:$C,"&lt;="&amp;$D1498,[1]内部转账!$E:$E,$G1498)-SUMIFS([1]内部转账!$G:$G,[1]内部转账!$C:$C,"&lt;="&amp;$D1498,[1]内部转账!$F:$F,$G1498)),"")</f>
        <v/>
      </c>
      <c r="M1498" s="64"/>
      <c r="N1498" s="69"/>
      <c r="O1498" s="64"/>
      <c r="P1498" s="64"/>
      <c r="Q1498" s="69"/>
      <c r="R1498" s="69"/>
      <c r="S1498" s="69"/>
    </row>
    <row r="1499" s="2" customFormat="1" ht="24.95" customHeight="1" spans="1:19">
      <c r="A1499" s="15"/>
      <c r="B1499" s="55"/>
      <c r="C1499" s="56"/>
      <c r="D1499" s="68"/>
      <c r="E1499" s="69"/>
      <c r="F1499" s="69"/>
      <c r="G1499" s="65"/>
      <c r="H1499" s="65"/>
      <c r="I1499" s="70"/>
      <c r="J1499" s="71"/>
      <c r="K1499" s="71"/>
      <c r="L1499" s="72" t="str">
        <f>IFERROR(IF(G1499="","",VLOOKUP($G1499,[1]基础信息!$B:$C,2,FALSE)+SUMIF(G$8:G1499,G1499,J$8:J1499)-SUMIF(G$8:G1499,G1499,K$8:K1499)+SUMIFS([1]内部转账!$G:$G,[1]内部转账!$C:$C,"&lt;="&amp;$D1499,[1]内部转账!$E:$E,$G1499)-SUMIFS([1]内部转账!$G:$G,[1]内部转账!$C:$C,"&lt;="&amp;$D1499,[1]内部转账!$F:$F,$G1499)),"")</f>
        <v/>
      </c>
      <c r="M1499" s="64"/>
      <c r="N1499" s="69"/>
      <c r="O1499" s="64"/>
      <c r="P1499" s="64"/>
      <c r="Q1499" s="69"/>
      <c r="R1499" s="69"/>
      <c r="S1499" s="69"/>
    </row>
    <row r="1500" s="2" customFormat="1" ht="24.95" customHeight="1" spans="1:19">
      <c r="A1500" s="15"/>
      <c r="B1500" s="55"/>
      <c r="C1500" s="56"/>
      <c r="D1500" s="68"/>
      <c r="E1500" s="69"/>
      <c r="F1500" s="69"/>
      <c r="G1500" s="65"/>
      <c r="H1500" s="65"/>
      <c r="I1500" s="70"/>
      <c r="J1500" s="71"/>
      <c r="K1500" s="71"/>
      <c r="L1500" s="72" t="str">
        <f>IFERROR(IF(G1500="","",VLOOKUP($G1500,[1]基础信息!$B:$C,2,FALSE)+SUMIF(G$8:G1500,G1500,J$8:J1500)-SUMIF(G$8:G1500,G1500,K$8:K1500)+SUMIFS([1]内部转账!$G:$G,[1]内部转账!$C:$C,"&lt;="&amp;$D1500,[1]内部转账!$E:$E,$G1500)-SUMIFS([1]内部转账!$G:$G,[1]内部转账!$C:$C,"&lt;="&amp;$D1500,[1]内部转账!$F:$F,$G1500)),"")</f>
        <v/>
      </c>
      <c r="M1500" s="64"/>
      <c r="N1500" s="69"/>
      <c r="O1500" s="64"/>
      <c r="P1500" s="64"/>
      <c r="Q1500" s="69"/>
      <c r="R1500" s="69"/>
      <c r="S1500" s="69"/>
    </row>
    <row r="1501" s="2" customFormat="1" ht="24.95" customHeight="1" spans="1:19">
      <c r="A1501" s="15"/>
      <c r="B1501" s="55"/>
      <c r="C1501" s="56"/>
      <c r="D1501" s="68"/>
      <c r="E1501" s="69"/>
      <c r="F1501" s="69"/>
      <c r="G1501" s="65"/>
      <c r="H1501" s="65"/>
      <c r="I1501" s="70"/>
      <c r="J1501" s="71"/>
      <c r="K1501" s="71"/>
      <c r="L1501" s="72" t="str">
        <f>IFERROR(IF(G1501="","",VLOOKUP($G1501,[1]基础信息!$B:$C,2,FALSE)+SUMIF(G$8:G1501,G1501,J$8:J1501)-SUMIF(G$8:G1501,G1501,K$8:K1501)+SUMIFS([1]内部转账!$G:$G,[1]内部转账!$C:$C,"&lt;="&amp;$D1501,[1]内部转账!$E:$E,$G1501)-SUMIFS([1]内部转账!$G:$G,[1]内部转账!$C:$C,"&lt;="&amp;$D1501,[1]内部转账!$F:$F,$G1501)),"")</f>
        <v/>
      </c>
      <c r="M1501" s="64"/>
      <c r="N1501" s="69"/>
      <c r="O1501" s="64"/>
      <c r="P1501" s="64"/>
      <c r="Q1501" s="69"/>
      <c r="R1501" s="69"/>
      <c r="S1501" s="69"/>
    </row>
    <row r="1502" s="2" customFormat="1" ht="24.95" customHeight="1" spans="1:19">
      <c r="A1502" s="15"/>
      <c r="B1502" s="55"/>
      <c r="C1502" s="56"/>
      <c r="D1502" s="68"/>
      <c r="E1502" s="69"/>
      <c r="F1502" s="69"/>
      <c r="G1502" s="65"/>
      <c r="H1502" s="65"/>
      <c r="I1502" s="70"/>
      <c r="J1502" s="71"/>
      <c r="K1502" s="71"/>
      <c r="L1502" s="72" t="str">
        <f>IFERROR(IF(G1502="","",VLOOKUP($G1502,[1]基础信息!$B:$C,2,FALSE)+SUMIF(G$8:G1502,G1502,J$8:J1502)-SUMIF(G$8:G1502,G1502,K$8:K1502)+SUMIFS([1]内部转账!$G:$G,[1]内部转账!$C:$C,"&lt;="&amp;$D1502,[1]内部转账!$E:$E,$G1502)-SUMIFS([1]内部转账!$G:$G,[1]内部转账!$C:$C,"&lt;="&amp;$D1502,[1]内部转账!$F:$F,$G1502)),"")</f>
        <v/>
      </c>
      <c r="M1502" s="64"/>
      <c r="N1502" s="69"/>
      <c r="O1502" s="64"/>
      <c r="P1502" s="64"/>
      <c r="Q1502" s="69"/>
      <c r="R1502" s="69"/>
      <c r="S1502" s="69"/>
    </row>
    <row r="1503" s="2" customFormat="1" ht="24.95" customHeight="1" spans="1:19">
      <c r="A1503" s="15"/>
      <c r="B1503" s="55"/>
      <c r="C1503" s="56"/>
      <c r="D1503" s="68"/>
      <c r="E1503" s="69"/>
      <c r="F1503" s="69"/>
      <c r="G1503" s="65"/>
      <c r="H1503" s="65"/>
      <c r="I1503" s="70"/>
      <c r="J1503" s="71"/>
      <c r="K1503" s="71"/>
      <c r="L1503" s="72" t="str">
        <f>IFERROR(IF(G1503="","",VLOOKUP($G1503,[1]基础信息!$B:$C,2,FALSE)+SUMIF(G$8:G1503,G1503,J$8:J1503)-SUMIF(G$8:G1503,G1503,K$8:K1503)+SUMIFS([1]内部转账!$G:$G,[1]内部转账!$C:$C,"&lt;="&amp;$D1503,[1]内部转账!$E:$E,$G1503)-SUMIFS([1]内部转账!$G:$G,[1]内部转账!$C:$C,"&lt;="&amp;$D1503,[1]内部转账!$F:$F,$G1503)),"")</f>
        <v/>
      </c>
      <c r="M1503" s="64"/>
      <c r="N1503" s="69"/>
      <c r="O1503" s="64"/>
      <c r="P1503" s="64"/>
      <c r="Q1503" s="69"/>
      <c r="R1503" s="69"/>
      <c r="S1503" s="69"/>
    </row>
    <row r="1504" s="2" customFormat="1" ht="24.95" customHeight="1" spans="1:19">
      <c r="A1504" s="15"/>
      <c r="B1504" s="55"/>
      <c r="C1504" s="56"/>
      <c r="D1504" s="68"/>
      <c r="E1504" s="69"/>
      <c r="F1504" s="69"/>
      <c r="G1504" s="65"/>
      <c r="H1504" s="65"/>
      <c r="I1504" s="70"/>
      <c r="J1504" s="71"/>
      <c r="K1504" s="71"/>
      <c r="L1504" s="72" t="str">
        <f>IFERROR(IF(G1504="","",VLOOKUP($G1504,[1]基础信息!$B:$C,2,FALSE)+SUMIF(G$8:G1504,G1504,J$8:J1504)-SUMIF(G$8:G1504,G1504,K$8:K1504)+SUMIFS([1]内部转账!$G:$G,[1]内部转账!$C:$C,"&lt;="&amp;$D1504,[1]内部转账!$E:$E,$G1504)-SUMIFS([1]内部转账!$G:$G,[1]内部转账!$C:$C,"&lt;="&amp;$D1504,[1]内部转账!$F:$F,$G1504)),"")</f>
        <v/>
      </c>
      <c r="M1504" s="64"/>
      <c r="N1504" s="69"/>
      <c r="O1504" s="64"/>
      <c r="P1504" s="64"/>
      <c r="Q1504" s="69"/>
      <c r="R1504" s="69"/>
      <c r="S1504" s="69"/>
    </row>
    <row r="1505" s="2" customFormat="1" ht="24.95" customHeight="1" spans="1:19">
      <c r="A1505" s="15"/>
      <c r="B1505" s="55"/>
      <c r="C1505" s="56"/>
      <c r="D1505" s="68"/>
      <c r="E1505" s="69"/>
      <c r="F1505" s="69"/>
      <c r="G1505" s="65"/>
      <c r="H1505" s="65"/>
      <c r="I1505" s="70"/>
      <c r="J1505" s="71"/>
      <c r="K1505" s="71"/>
      <c r="L1505" s="72" t="str">
        <f>IFERROR(IF(G1505="","",VLOOKUP($G1505,[1]基础信息!$B:$C,2,FALSE)+SUMIF(G$8:G1505,G1505,J$8:J1505)-SUMIF(G$8:G1505,G1505,K$8:K1505)+SUMIFS([1]内部转账!$G:$G,[1]内部转账!$C:$C,"&lt;="&amp;$D1505,[1]内部转账!$E:$E,$G1505)-SUMIFS([1]内部转账!$G:$G,[1]内部转账!$C:$C,"&lt;="&amp;$D1505,[1]内部转账!$F:$F,$G1505)),"")</f>
        <v/>
      </c>
      <c r="M1505" s="64"/>
      <c r="N1505" s="69"/>
      <c r="O1505" s="64"/>
      <c r="P1505" s="64"/>
      <c r="Q1505" s="69"/>
      <c r="R1505" s="69"/>
      <c r="S1505" s="69"/>
    </row>
    <row r="1506" s="2" customFormat="1" ht="24.95" customHeight="1" spans="1:19">
      <c r="A1506" s="15"/>
      <c r="B1506" s="55"/>
      <c r="C1506" s="56"/>
      <c r="D1506" s="68"/>
      <c r="E1506" s="69"/>
      <c r="F1506" s="69"/>
      <c r="G1506" s="65"/>
      <c r="H1506" s="65"/>
      <c r="I1506" s="70"/>
      <c r="J1506" s="71"/>
      <c r="K1506" s="71"/>
      <c r="L1506" s="72" t="str">
        <f>IFERROR(IF(G1506="","",VLOOKUP($G1506,[1]基础信息!$B:$C,2,FALSE)+SUMIF(G$8:G1506,G1506,J$8:J1506)-SUMIF(G$8:G1506,G1506,K$8:K1506)+SUMIFS([1]内部转账!$G:$G,[1]内部转账!$C:$C,"&lt;="&amp;$D1506,[1]内部转账!$E:$E,$G1506)-SUMIFS([1]内部转账!$G:$G,[1]内部转账!$C:$C,"&lt;="&amp;$D1506,[1]内部转账!$F:$F,$G1506)),"")</f>
        <v/>
      </c>
      <c r="M1506" s="64"/>
      <c r="N1506" s="69"/>
      <c r="O1506" s="64"/>
      <c r="P1506" s="64"/>
      <c r="Q1506" s="69"/>
      <c r="R1506" s="69"/>
      <c r="S1506" s="69"/>
    </row>
    <row r="1507" s="2" customFormat="1" ht="24.95" customHeight="1" spans="1:19">
      <c r="A1507" s="15"/>
      <c r="B1507" s="55"/>
      <c r="C1507" s="56"/>
      <c r="D1507" s="68"/>
      <c r="E1507" s="69"/>
      <c r="F1507" s="69"/>
      <c r="G1507" s="65"/>
      <c r="H1507" s="65"/>
      <c r="I1507" s="70"/>
      <c r="J1507" s="71"/>
      <c r="K1507" s="71"/>
      <c r="L1507" s="72" t="str">
        <f>IFERROR(IF(G1507="","",VLOOKUP($G1507,[1]基础信息!$B:$C,2,FALSE)+SUMIF(G$8:G1507,G1507,J$8:J1507)-SUMIF(G$8:G1507,G1507,K$8:K1507)+SUMIFS([1]内部转账!$G:$G,[1]内部转账!$C:$C,"&lt;="&amp;$D1507,[1]内部转账!$E:$E,$G1507)-SUMIFS([1]内部转账!$G:$G,[1]内部转账!$C:$C,"&lt;="&amp;$D1507,[1]内部转账!$F:$F,$G1507)),"")</f>
        <v/>
      </c>
      <c r="M1507" s="64"/>
      <c r="N1507" s="69"/>
      <c r="O1507" s="64"/>
      <c r="P1507" s="64"/>
      <c r="Q1507" s="69"/>
      <c r="R1507" s="69"/>
      <c r="S1507" s="69"/>
    </row>
    <row r="1508" s="2" customFormat="1" ht="24.95" customHeight="1" spans="1:19">
      <c r="A1508" s="15"/>
      <c r="B1508" s="55"/>
      <c r="C1508" s="56"/>
      <c r="D1508" s="68"/>
      <c r="E1508" s="69"/>
      <c r="F1508" s="69"/>
      <c r="G1508" s="65"/>
      <c r="H1508" s="65"/>
      <c r="I1508" s="70"/>
      <c r="J1508" s="71"/>
      <c r="K1508" s="71"/>
      <c r="L1508" s="72" t="str">
        <f>IFERROR(IF(G1508="","",VLOOKUP($G1508,[1]基础信息!$B:$C,2,FALSE)+SUMIF(G$8:G1508,G1508,J$8:J1508)-SUMIF(G$8:G1508,G1508,K$8:K1508)+SUMIFS([1]内部转账!$G:$G,[1]内部转账!$C:$C,"&lt;="&amp;$D1508,[1]内部转账!$E:$E,$G1508)-SUMIFS([1]内部转账!$G:$G,[1]内部转账!$C:$C,"&lt;="&amp;$D1508,[1]内部转账!$F:$F,$G1508)),"")</f>
        <v/>
      </c>
      <c r="M1508" s="64"/>
      <c r="N1508" s="69"/>
      <c r="O1508" s="64"/>
      <c r="P1508" s="64"/>
      <c r="Q1508" s="69"/>
      <c r="R1508" s="69"/>
      <c r="S1508" s="69"/>
    </row>
    <row r="1509" s="2" customFormat="1" ht="24.95" customHeight="1" spans="1:19">
      <c r="A1509" s="15"/>
      <c r="B1509" s="55"/>
      <c r="C1509" s="56"/>
      <c r="D1509" s="68"/>
      <c r="E1509" s="69"/>
      <c r="F1509" s="69"/>
      <c r="G1509" s="65"/>
      <c r="H1509" s="65"/>
      <c r="I1509" s="70"/>
      <c r="J1509" s="71"/>
      <c r="K1509" s="71"/>
      <c r="L1509" s="72" t="str">
        <f>IFERROR(IF(G1509="","",VLOOKUP($G1509,[1]基础信息!$B:$C,2,FALSE)+SUMIF(G$8:G1509,G1509,J$8:J1509)-SUMIF(G$8:G1509,G1509,K$8:K1509)+SUMIFS([1]内部转账!$G:$G,[1]内部转账!$C:$C,"&lt;="&amp;$D1509,[1]内部转账!$E:$E,$G1509)-SUMIFS([1]内部转账!$G:$G,[1]内部转账!$C:$C,"&lt;="&amp;$D1509,[1]内部转账!$F:$F,$G1509)),"")</f>
        <v/>
      </c>
      <c r="M1509" s="64"/>
      <c r="N1509" s="69"/>
      <c r="O1509" s="64"/>
      <c r="P1509" s="64"/>
      <c r="Q1509" s="69"/>
      <c r="R1509" s="69"/>
      <c r="S1509" s="69"/>
    </row>
    <row r="1510" s="2" customFormat="1" ht="24.95" customHeight="1" spans="1:19">
      <c r="A1510" s="15"/>
      <c r="B1510" s="55"/>
      <c r="C1510" s="56"/>
      <c r="D1510" s="68"/>
      <c r="E1510" s="69"/>
      <c r="F1510" s="69"/>
      <c r="G1510" s="65"/>
      <c r="H1510" s="65"/>
      <c r="I1510" s="70"/>
      <c r="J1510" s="71"/>
      <c r="K1510" s="71"/>
      <c r="L1510" s="72" t="str">
        <f>IFERROR(IF(G1510="","",VLOOKUP($G1510,[1]基础信息!$B:$C,2,FALSE)+SUMIF(G$8:G1510,G1510,J$8:J1510)-SUMIF(G$8:G1510,G1510,K$8:K1510)+SUMIFS([1]内部转账!$G:$G,[1]内部转账!$C:$C,"&lt;="&amp;$D1510,[1]内部转账!$E:$E,$G1510)-SUMIFS([1]内部转账!$G:$G,[1]内部转账!$C:$C,"&lt;="&amp;$D1510,[1]内部转账!$F:$F,$G1510)),"")</f>
        <v/>
      </c>
      <c r="M1510" s="64"/>
      <c r="N1510" s="69"/>
      <c r="O1510" s="64"/>
      <c r="P1510" s="64"/>
      <c r="Q1510" s="69"/>
      <c r="R1510" s="69"/>
      <c r="S1510" s="69"/>
    </row>
    <row r="1511" s="2" customFormat="1" ht="24.95" customHeight="1" spans="1:19">
      <c r="A1511" s="15"/>
      <c r="B1511" s="55"/>
      <c r="C1511" s="56"/>
      <c r="D1511" s="68"/>
      <c r="E1511" s="69"/>
      <c r="F1511" s="69"/>
      <c r="G1511" s="65"/>
      <c r="H1511" s="65"/>
      <c r="I1511" s="70"/>
      <c r="J1511" s="71"/>
      <c r="K1511" s="71"/>
      <c r="L1511" s="72" t="str">
        <f>IFERROR(IF(G1511="","",VLOOKUP($G1511,[1]基础信息!$B:$C,2,FALSE)+SUMIF(G$8:G1511,G1511,J$8:J1511)-SUMIF(G$8:G1511,G1511,K$8:K1511)+SUMIFS([1]内部转账!$G:$G,[1]内部转账!$C:$C,"&lt;="&amp;$D1511,[1]内部转账!$E:$E,$G1511)-SUMIFS([1]内部转账!$G:$G,[1]内部转账!$C:$C,"&lt;="&amp;$D1511,[1]内部转账!$F:$F,$G1511)),"")</f>
        <v/>
      </c>
      <c r="M1511" s="64"/>
      <c r="N1511" s="69"/>
      <c r="O1511" s="64"/>
      <c r="P1511" s="64"/>
      <c r="Q1511" s="69"/>
      <c r="R1511" s="69"/>
      <c r="S1511" s="69"/>
    </row>
    <row r="1512" s="2" customFormat="1" ht="24.95" customHeight="1" spans="1:19">
      <c r="A1512" s="15"/>
      <c r="B1512" s="55"/>
      <c r="C1512" s="56"/>
      <c r="D1512" s="68"/>
      <c r="E1512" s="69"/>
      <c r="F1512" s="69"/>
      <c r="G1512" s="65"/>
      <c r="H1512" s="65"/>
      <c r="I1512" s="70"/>
      <c r="J1512" s="71"/>
      <c r="K1512" s="71"/>
      <c r="L1512" s="72" t="str">
        <f>IFERROR(IF(G1512="","",VLOOKUP($G1512,[1]基础信息!$B:$C,2,FALSE)+SUMIF(G$8:G1512,G1512,J$8:J1512)-SUMIF(G$8:G1512,G1512,K$8:K1512)+SUMIFS([1]内部转账!$G:$G,[1]内部转账!$C:$C,"&lt;="&amp;$D1512,[1]内部转账!$E:$E,$G1512)-SUMIFS([1]内部转账!$G:$G,[1]内部转账!$C:$C,"&lt;="&amp;$D1512,[1]内部转账!$F:$F,$G1512)),"")</f>
        <v/>
      </c>
      <c r="M1512" s="64"/>
      <c r="N1512" s="69"/>
      <c r="O1512" s="64"/>
      <c r="P1512" s="64"/>
      <c r="Q1512" s="69"/>
      <c r="R1512" s="69"/>
      <c r="S1512" s="69"/>
    </row>
    <row r="1513" s="2" customFormat="1" ht="24.95" customHeight="1" spans="1:19">
      <c r="A1513" s="15"/>
      <c r="B1513" s="55"/>
      <c r="C1513" s="56"/>
      <c r="D1513" s="68"/>
      <c r="E1513" s="69"/>
      <c r="F1513" s="69"/>
      <c r="G1513" s="65"/>
      <c r="H1513" s="65"/>
      <c r="I1513" s="70"/>
      <c r="J1513" s="71"/>
      <c r="K1513" s="71"/>
      <c r="L1513" s="72" t="str">
        <f>IFERROR(IF(G1513="","",VLOOKUP($G1513,[1]基础信息!$B:$C,2,FALSE)+SUMIF(G$8:G1513,G1513,J$8:J1513)-SUMIF(G$8:G1513,G1513,K$8:K1513)+SUMIFS([1]内部转账!$G:$G,[1]内部转账!$C:$C,"&lt;="&amp;$D1513,[1]内部转账!$E:$E,$G1513)-SUMIFS([1]内部转账!$G:$G,[1]内部转账!$C:$C,"&lt;="&amp;$D1513,[1]内部转账!$F:$F,$G1513)),"")</f>
        <v/>
      </c>
      <c r="M1513" s="64"/>
      <c r="N1513" s="69"/>
      <c r="O1513" s="64"/>
      <c r="P1513" s="64"/>
      <c r="Q1513" s="69"/>
      <c r="R1513" s="69"/>
      <c r="S1513" s="69"/>
    </row>
    <row r="1514" s="2" customFormat="1" ht="24.95" customHeight="1" spans="1:19">
      <c r="A1514" s="15"/>
      <c r="B1514" s="55"/>
      <c r="C1514" s="56"/>
      <c r="D1514" s="68"/>
      <c r="E1514" s="69"/>
      <c r="F1514" s="69"/>
      <c r="G1514" s="65"/>
      <c r="H1514" s="65"/>
      <c r="I1514" s="70"/>
      <c r="J1514" s="71"/>
      <c r="K1514" s="71"/>
      <c r="L1514" s="72" t="str">
        <f>IFERROR(IF(G1514="","",VLOOKUP($G1514,[1]基础信息!$B:$C,2,FALSE)+SUMIF(G$8:G1514,G1514,J$8:J1514)-SUMIF(G$8:G1514,G1514,K$8:K1514)+SUMIFS([1]内部转账!$G:$G,[1]内部转账!$C:$C,"&lt;="&amp;$D1514,[1]内部转账!$E:$E,$G1514)-SUMIFS([1]内部转账!$G:$G,[1]内部转账!$C:$C,"&lt;="&amp;$D1514,[1]内部转账!$F:$F,$G1514)),"")</f>
        <v/>
      </c>
      <c r="M1514" s="64"/>
      <c r="N1514" s="69"/>
      <c r="O1514" s="64"/>
      <c r="P1514" s="64"/>
      <c r="Q1514" s="69"/>
      <c r="R1514" s="69"/>
      <c r="S1514" s="69"/>
    </row>
    <row r="1515" s="2" customFormat="1" ht="24.95" customHeight="1" spans="1:19">
      <c r="A1515" s="15"/>
      <c r="B1515" s="55"/>
      <c r="C1515" s="56"/>
      <c r="D1515" s="68"/>
      <c r="E1515" s="69"/>
      <c r="F1515" s="69"/>
      <c r="G1515" s="65"/>
      <c r="H1515" s="65"/>
      <c r="I1515" s="70"/>
      <c r="J1515" s="71"/>
      <c r="K1515" s="71"/>
      <c r="L1515" s="72" t="str">
        <f>IFERROR(IF(G1515="","",VLOOKUP($G1515,[1]基础信息!$B:$C,2,FALSE)+SUMIF(G$8:G1515,G1515,J$8:J1515)-SUMIF(G$8:G1515,G1515,K$8:K1515)+SUMIFS([1]内部转账!$G:$G,[1]内部转账!$C:$C,"&lt;="&amp;$D1515,[1]内部转账!$E:$E,$G1515)-SUMIFS([1]内部转账!$G:$G,[1]内部转账!$C:$C,"&lt;="&amp;$D1515,[1]内部转账!$F:$F,$G1515)),"")</f>
        <v/>
      </c>
      <c r="M1515" s="64"/>
      <c r="N1515" s="69"/>
      <c r="O1515" s="64"/>
      <c r="P1515" s="64"/>
      <c r="Q1515" s="69"/>
      <c r="R1515" s="69"/>
      <c r="S1515" s="69"/>
    </row>
    <row r="1516" s="2" customFormat="1" ht="24.95" customHeight="1" spans="1:19">
      <c r="A1516" s="15"/>
      <c r="B1516" s="55"/>
      <c r="C1516" s="56"/>
      <c r="D1516" s="68"/>
      <c r="E1516" s="69"/>
      <c r="F1516" s="69"/>
      <c r="G1516" s="65"/>
      <c r="H1516" s="65"/>
      <c r="I1516" s="70"/>
      <c r="J1516" s="71"/>
      <c r="K1516" s="71"/>
      <c r="L1516" s="72" t="str">
        <f>IFERROR(IF(G1516="","",VLOOKUP($G1516,[1]基础信息!$B:$C,2,FALSE)+SUMIF(G$8:G1516,G1516,J$8:J1516)-SUMIF(G$8:G1516,G1516,K$8:K1516)+SUMIFS([1]内部转账!$G:$G,[1]内部转账!$C:$C,"&lt;="&amp;$D1516,[1]内部转账!$E:$E,$G1516)-SUMIFS([1]内部转账!$G:$G,[1]内部转账!$C:$C,"&lt;="&amp;$D1516,[1]内部转账!$F:$F,$G1516)),"")</f>
        <v/>
      </c>
      <c r="M1516" s="64"/>
      <c r="N1516" s="69"/>
      <c r="O1516" s="64"/>
      <c r="P1516" s="64"/>
      <c r="Q1516" s="69"/>
      <c r="R1516" s="69"/>
      <c r="S1516" s="69"/>
    </row>
    <row r="1517" s="2" customFormat="1" ht="24.95" customHeight="1" spans="1:19">
      <c r="A1517" s="15"/>
      <c r="B1517" s="55"/>
      <c r="C1517" s="56"/>
      <c r="D1517" s="68"/>
      <c r="E1517" s="69"/>
      <c r="F1517" s="69"/>
      <c r="G1517" s="65"/>
      <c r="H1517" s="65"/>
      <c r="I1517" s="70"/>
      <c r="J1517" s="71"/>
      <c r="K1517" s="71"/>
      <c r="L1517" s="72" t="str">
        <f>IFERROR(IF(G1517="","",VLOOKUP($G1517,[1]基础信息!$B:$C,2,FALSE)+SUMIF(G$8:G1517,G1517,J$8:J1517)-SUMIF(G$8:G1517,G1517,K$8:K1517)+SUMIFS([1]内部转账!$G:$G,[1]内部转账!$C:$C,"&lt;="&amp;$D1517,[1]内部转账!$E:$E,$G1517)-SUMIFS([1]内部转账!$G:$G,[1]内部转账!$C:$C,"&lt;="&amp;$D1517,[1]内部转账!$F:$F,$G1517)),"")</f>
        <v/>
      </c>
      <c r="M1517" s="64"/>
      <c r="N1517" s="69"/>
      <c r="O1517" s="64"/>
      <c r="P1517" s="64"/>
      <c r="Q1517" s="69"/>
      <c r="R1517" s="69"/>
      <c r="S1517" s="69"/>
    </row>
    <row r="1518" s="2" customFormat="1" ht="24.95" customHeight="1" spans="1:19">
      <c r="A1518" s="15"/>
      <c r="B1518" s="55"/>
      <c r="C1518" s="56"/>
      <c r="D1518" s="68"/>
      <c r="E1518" s="69"/>
      <c r="F1518" s="69"/>
      <c r="G1518" s="65"/>
      <c r="H1518" s="65"/>
      <c r="I1518" s="70"/>
      <c r="J1518" s="71"/>
      <c r="K1518" s="71"/>
      <c r="L1518" s="72" t="str">
        <f>IFERROR(IF(G1518="","",VLOOKUP($G1518,[1]基础信息!$B:$C,2,FALSE)+SUMIF(G$8:G1518,G1518,J$8:J1518)-SUMIF(G$8:G1518,G1518,K$8:K1518)+SUMIFS([1]内部转账!$G:$G,[1]内部转账!$C:$C,"&lt;="&amp;$D1518,[1]内部转账!$E:$E,$G1518)-SUMIFS([1]内部转账!$G:$G,[1]内部转账!$C:$C,"&lt;="&amp;$D1518,[1]内部转账!$F:$F,$G1518)),"")</f>
        <v/>
      </c>
      <c r="M1518" s="64"/>
      <c r="N1518" s="69"/>
      <c r="O1518" s="64"/>
      <c r="P1518" s="64"/>
      <c r="Q1518" s="69"/>
      <c r="R1518" s="69"/>
      <c r="S1518" s="69"/>
    </row>
    <row r="1519" s="2" customFormat="1" ht="24.95" customHeight="1" spans="1:19">
      <c r="A1519" s="15"/>
      <c r="B1519" s="55"/>
      <c r="C1519" s="56"/>
      <c r="D1519" s="68"/>
      <c r="E1519" s="69"/>
      <c r="F1519" s="69"/>
      <c r="G1519" s="65"/>
      <c r="H1519" s="65"/>
      <c r="I1519" s="70"/>
      <c r="J1519" s="71"/>
      <c r="K1519" s="71"/>
      <c r="L1519" s="72" t="str">
        <f>IFERROR(IF(G1519="","",VLOOKUP($G1519,[1]基础信息!$B:$C,2,FALSE)+SUMIF(G$8:G1519,G1519,J$8:J1519)-SUMIF(G$8:G1519,G1519,K$8:K1519)+SUMIFS([1]内部转账!$G:$G,[1]内部转账!$C:$C,"&lt;="&amp;$D1519,[1]内部转账!$E:$E,$G1519)-SUMIFS([1]内部转账!$G:$G,[1]内部转账!$C:$C,"&lt;="&amp;$D1519,[1]内部转账!$F:$F,$G1519)),"")</f>
        <v/>
      </c>
      <c r="M1519" s="64"/>
      <c r="N1519" s="69"/>
      <c r="O1519" s="64"/>
      <c r="P1519" s="64"/>
      <c r="Q1519" s="69"/>
      <c r="R1519" s="69"/>
      <c r="S1519" s="69"/>
    </row>
    <row r="1520" s="2" customFormat="1" ht="24.95" customHeight="1" spans="1:19">
      <c r="A1520" s="15"/>
      <c r="B1520" s="55"/>
      <c r="C1520" s="56"/>
      <c r="D1520" s="68"/>
      <c r="E1520" s="69"/>
      <c r="F1520" s="69"/>
      <c r="G1520" s="65"/>
      <c r="H1520" s="65"/>
      <c r="I1520" s="70"/>
      <c r="J1520" s="71"/>
      <c r="K1520" s="71"/>
      <c r="L1520" s="72" t="str">
        <f>IFERROR(IF(G1520="","",VLOOKUP($G1520,[1]基础信息!$B:$C,2,FALSE)+SUMIF(G$8:G1520,G1520,J$8:J1520)-SUMIF(G$8:G1520,G1520,K$8:K1520)+SUMIFS([1]内部转账!$G:$G,[1]内部转账!$C:$C,"&lt;="&amp;$D1520,[1]内部转账!$E:$E,$G1520)-SUMIFS([1]内部转账!$G:$G,[1]内部转账!$C:$C,"&lt;="&amp;$D1520,[1]内部转账!$F:$F,$G1520)),"")</f>
        <v/>
      </c>
      <c r="M1520" s="64"/>
      <c r="N1520" s="69"/>
      <c r="O1520" s="64"/>
      <c r="P1520" s="64"/>
      <c r="Q1520" s="69"/>
      <c r="R1520" s="69"/>
      <c r="S1520" s="69"/>
    </row>
    <row r="1521" s="2" customFormat="1" ht="24.95" customHeight="1" spans="1:19">
      <c r="A1521" s="15"/>
      <c r="B1521" s="55"/>
      <c r="C1521" s="56"/>
      <c r="D1521" s="68"/>
      <c r="E1521" s="69"/>
      <c r="F1521" s="69"/>
      <c r="G1521" s="65"/>
      <c r="H1521" s="65"/>
      <c r="I1521" s="70"/>
      <c r="J1521" s="71"/>
      <c r="K1521" s="71"/>
      <c r="L1521" s="72" t="str">
        <f>IFERROR(IF(G1521="","",VLOOKUP($G1521,[1]基础信息!$B:$C,2,FALSE)+SUMIF(G$8:G1521,G1521,J$8:J1521)-SUMIF(G$8:G1521,G1521,K$8:K1521)+SUMIFS([1]内部转账!$G:$G,[1]内部转账!$C:$C,"&lt;="&amp;$D1521,[1]内部转账!$E:$E,$G1521)-SUMIFS([1]内部转账!$G:$G,[1]内部转账!$C:$C,"&lt;="&amp;$D1521,[1]内部转账!$F:$F,$G1521)),"")</f>
        <v/>
      </c>
      <c r="M1521" s="64"/>
      <c r="N1521" s="69"/>
      <c r="O1521" s="64"/>
      <c r="P1521" s="64"/>
      <c r="Q1521" s="69"/>
      <c r="R1521" s="69"/>
      <c r="S1521" s="69"/>
    </row>
    <row r="1522" s="2" customFormat="1" ht="24.95" customHeight="1" spans="1:19">
      <c r="A1522" s="15"/>
      <c r="B1522" s="55"/>
      <c r="C1522" s="56"/>
      <c r="D1522" s="68"/>
      <c r="E1522" s="69"/>
      <c r="F1522" s="69"/>
      <c r="G1522" s="65"/>
      <c r="H1522" s="65"/>
      <c r="I1522" s="70"/>
      <c r="J1522" s="71"/>
      <c r="K1522" s="71"/>
      <c r="L1522" s="72" t="str">
        <f>IFERROR(IF(G1522="","",VLOOKUP($G1522,[1]基础信息!$B:$C,2,FALSE)+SUMIF(G$8:G1522,G1522,J$8:J1522)-SUMIF(G$8:G1522,G1522,K$8:K1522)+SUMIFS([1]内部转账!$G:$G,[1]内部转账!$C:$C,"&lt;="&amp;$D1522,[1]内部转账!$E:$E,$G1522)-SUMIFS([1]内部转账!$G:$G,[1]内部转账!$C:$C,"&lt;="&amp;$D1522,[1]内部转账!$F:$F,$G1522)),"")</f>
        <v/>
      </c>
      <c r="M1522" s="64"/>
      <c r="N1522" s="69"/>
      <c r="O1522" s="64"/>
      <c r="P1522" s="64"/>
      <c r="Q1522" s="69"/>
      <c r="R1522" s="69"/>
      <c r="S1522" s="69"/>
    </row>
    <row r="1523" s="2" customFormat="1" ht="24.95" customHeight="1" spans="1:19">
      <c r="A1523" s="15"/>
      <c r="B1523" s="55"/>
      <c r="C1523" s="56"/>
      <c r="D1523" s="68"/>
      <c r="E1523" s="69"/>
      <c r="F1523" s="69"/>
      <c r="G1523" s="65"/>
      <c r="H1523" s="65"/>
      <c r="I1523" s="70"/>
      <c r="J1523" s="71"/>
      <c r="K1523" s="71"/>
      <c r="L1523" s="72" t="str">
        <f>IFERROR(IF(G1523="","",VLOOKUP($G1523,[1]基础信息!$B:$C,2,FALSE)+SUMIF(G$8:G1523,G1523,J$8:J1523)-SUMIF(G$8:G1523,G1523,K$8:K1523)+SUMIFS([1]内部转账!$G:$G,[1]内部转账!$C:$C,"&lt;="&amp;$D1523,[1]内部转账!$E:$E,$G1523)-SUMIFS([1]内部转账!$G:$G,[1]内部转账!$C:$C,"&lt;="&amp;$D1523,[1]内部转账!$F:$F,$G1523)),"")</f>
        <v/>
      </c>
      <c r="M1523" s="64"/>
      <c r="N1523" s="69"/>
      <c r="O1523" s="64"/>
      <c r="P1523" s="64"/>
      <c r="Q1523" s="69"/>
      <c r="R1523" s="69"/>
      <c r="S1523" s="69"/>
    </row>
    <row r="1524" s="2" customFormat="1" ht="24.95" customHeight="1" spans="1:19">
      <c r="A1524" s="15"/>
      <c r="B1524" s="55"/>
      <c r="C1524" s="56"/>
      <c r="D1524" s="68"/>
      <c r="E1524" s="69"/>
      <c r="F1524" s="69"/>
      <c r="G1524" s="65"/>
      <c r="H1524" s="65"/>
      <c r="I1524" s="70"/>
      <c r="J1524" s="71"/>
      <c r="K1524" s="71"/>
      <c r="L1524" s="72" t="str">
        <f>IFERROR(IF(G1524="","",VLOOKUP($G1524,[1]基础信息!$B:$C,2,FALSE)+SUMIF(G$8:G1524,G1524,J$8:J1524)-SUMIF(G$8:G1524,G1524,K$8:K1524)+SUMIFS([1]内部转账!$G:$G,[1]内部转账!$C:$C,"&lt;="&amp;$D1524,[1]内部转账!$E:$E,$G1524)-SUMIFS([1]内部转账!$G:$G,[1]内部转账!$C:$C,"&lt;="&amp;$D1524,[1]内部转账!$F:$F,$G1524)),"")</f>
        <v/>
      </c>
      <c r="M1524" s="64"/>
      <c r="N1524" s="69"/>
      <c r="O1524" s="64"/>
      <c r="P1524" s="64"/>
      <c r="Q1524" s="69"/>
      <c r="R1524" s="69"/>
      <c r="S1524" s="69"/>
    </row>
    <row r="1525" s="2" customFormat="1" ht="24.95" customHeight="1" spans="1:19">
      <c r="A1525" s="15"/>
      <c r="B1525" s="55"/>
      <c r="C1525" s="56"/>
      <c r="D1525" s="68"/>
      <c r="E1525" s="69"/>
      <c r="F1525" s="69"/>
      <c r="G1525" s="65"/>
      <c r="H1525" s="65"/>
      <c r="I1525" s="70"/>
      <c r="J1525" s="71"/>
      <c r="K1525" s="71"/>
      <c r="L1525" s="72" t="str">
        <f>IFERROR(IF(G1525="","",VLOOKUP($G1525,[1]基础信息!$B:$C,2,FALSE)+SUMIF(G$8:G1525,G1525,J$8:J1525)-SUMIF(G$8:G1525,G1525,K$8:K1525)+SUMIFS([1]内部转账!$G:$G,[1]内部转账!$C:$C,"&lt;="&amp;$D1525,[1]内部转账!$E:$E,$G1525)-SUMIFS([1]内部转账!$G:$G,[1]内部转账!$C:$C,"&lt;="&amp;$D1525,[1]内部转账!$F:$F,$G1525)),"")</f>
        <v/>
      </c>
      <c r="M1525" s="64"/>
      <c r="N1525" s="69"/>
      <c r="O1525" s="64"/>
      <c r="P1525" s="64"/>
      <c r="Q1525" s="69"/>
      <c r="R1525" s="69"/>
      <c r="S1525" s="69"/>
    </row>
    <row r="1526" s="2" customFormat="1" ht="24.95" customHeight="1" spans="1:19">
      <c r="A1526" s="15"/>
      <c r="B1526" s="55"/>
      <c r="C1526" s="56"/>
      <c r="D1526" s="68"/>
      <c r="E1526" s="69"/>
      <c r="F1526" s="69"/>
      <c r="G1526" s="65"/>
      <c r="H1526" s="65"/>
      <c r="I1526" s="70"/>
      <c r="J1526" s="71"/>
      <c r="K1526" s="71"/>
      <c r="L1526" s="72" t="str">
        <f>IFERROR(IF(G1526="","",VLOOKUP($G1526,[1]基础信息!$B:$C,2,FALSE)+SUMIF(G$8:G1526,G1526,J$8:J1526)-SUMIF(G$8:G1526,G1526,K$8:K1526)+SUMIFS([1]内部转账!$G:$G,[1]内部转账!$C:$C,"&lt;="&amp;$D1526,[1]内部转账!$E:$E,$G1526)-SUMIFS([1]内部转账!$G:$G,[1]内部转账!$C:$C,"&lt;="&amp;$D1526,[1]内部转账!$F:$F,$G1526)),"")</f>
        <v/>
      </c>
      <c r="M1526" s="64"/>
      <c r="N1526" s="69"/>
      <c r="O1526" s="64"/>
      <c r="P1526" s="64"/>
      <c r="Q1526" s="69"/>
      <c r="R1526" s="69"/>
      <c r="S1526" s="69"/>
    </row>
    <row r="1527" s="2" customFormat="1" ht="24.95" customHeight="1" spans="1:19">
      <c r="A1527" s="15"/>
      <c r="B1527" s="55"/>
      <c r="C1527" s="56"/>
      <c r="D1527" s="68"/>
      <c r="E1527" s="69"/>
      <c r="F1527" s="69"/>
      <c r="G1527" s="65"/>
      <c r="H1527" s="65"/>
      <c r="I1527" s="70"/>
      <c r="J1527" s="71"/>
      <c r="K1527" s="71"/>
      <c r="L1527" s="72" t="str">
        <f>IFERROR(IF(G1527="","",VLOOKUP($G1527,[1]基础信息!$B:$C,2,FALSE)+SUMIF(G$8:G1527,G1527,J$8:J1527)-SUMIF(G$8:G1527,G1527,K$8:K1527)+SUMIFS([1]内部转账!$G:$G,[1]内部转账!$C:$C,"&lt;="&amp;$D1527,[1]内部转账!$E:$E,$G1527)-SUMIFS([1]内部转账!$G:$G,[1]内部转账!$C:$C,"&lt;="&amp;$D1527,[1]内部转账!$F:$F,$G1527)),"")</f>
        <v/>
      </c>
      <c r="M1527" s="64"/>
      <c r="N1527" s="69"/>
      <c r="O1527" s="64"/>
      <c r="P1527" s="64"/>
      <c r="Q1527" s="69"/>
      <c r="R1527" s="69"/>
      <c r="S1527" s="69"/>
    </row>
    <row r="1528" s="2" customFormat="1" ht="24.95" customHeight="1" spans="1:19">
      <c r="A1528" s="15"/>
      <c r="B1528" s="55"/>
      <c r="C1528" s="56"/>
      <c r="D1528" s="68"/>
      <c r="E1528" s="69"/>
      <c r="F1528" s="69"/>
      <c r="G1528" s="65"/>
      <c r="H1528" s="65"/>
      <c r="I1528" s="70"/>
      <c r="J1528" s="71"/>
      <c r="K1528" s="71"/>
      <c r="L1528" s="72" t="str">
        <f>IFERROR(IF(G1528="","",VLOOKUP($G1528,[1]基础信息!$B:$C,2,FALSE)+SUMIF(G$8:G1528,G1528,J$8:J1528)-SUMIF(G$8:G1528,G1528,K$8:K1528)+SUMIFS([1]内部转账!$G:$G,[1]内部转账!$C:$C,"&lt;="&amp;$D1528,[1]内部转账!$E:$E,$G1528)-SUMIFS([1]内部转账!$G:$G,[1]内部转账!$C:$C,"&lt;="&amp;$D1528,[1]内部转账!$F:$F,$G1528)),"")</f>
        <v/>
      </c>
      <c r="M1528" s="64"/>
      <c r="N1528" s="69"/>
      <c r="O1528" s="64"/>
      <c r="P1528" s="64"/>
      <c r="Q1528" s="69"/>
      <c r="R1528" s="69"/>
      <c r="S1528" s="69"/>
    </row>
    <row r="1529" s="2" customFormat="1" ht="24.95" customHeight="1" spans="1:19">
      <c r="A1529" s="15"/>
      <c r="B1529" s="55"/>
      <c r="C1529" s="56"/>
      <c r="D1529" s="68"/>
      <c r="E1529" s="69"/>
      <c r="F1529" s="69"/>
      <c r="G1529" s="65"/>
      <c r="H1529" s="65"/>
      <c r="I1529" s="70"/>
      <c r="J1529" s="71"/>
      <c r="K1529" s="71"/>
      <c r="L1529" s="72" t="str">
        <f>IFERROR(IF(G1529="","",VLOOKUP($G1529,[1]基础信息!$B:$C,2,FALSE)+SUMIF(G$8:G1529,G1529,J$8:J1529)-SUMIF(G$8:G1529,G1529,K$8:K1529)+SUMIFS([1]内部转账!$G:$G,[1]内部转账!$C:$C,"&lt;="&amp;$D1529,[1]内部转账!$E:$E,$G1529)-SUMIFS([1]内部转账!$G:$G,[1]内部转账!$C:$C,"&lt;="&amp;$D1529,[1]内部转账!$F:$F,$G1529)),"")</f>
        <v/>
      </c>
      <c r="M1529" s="64"/>
      <c r="N1529" s="69"/>
      <c r="O1529" s="64"/>
      <c r="P1529" s="64"/>
      <c r="Q1529" s="69"/>
      <c r="R1529" s="69"/>
      <c r="S1529" s="69"/>
    </row>
    <row r="1530" s="2" customFormat="1" ht="24.95" customHeight="1" spans="1:19">
      <c r="A1530" s="15"/>
      <c r="B1530" s="55"/>
      <c r="C1530" s="56"/>
      <c r="D1530" s="68"/>
      <c r="E1530" s="69"/>
      <c r="F1530" s="69"/>
      <c r="G1530" s="65"/>
      <c r="H1530" s="65"/>
      <c r="I1530" s="70"/>
      <c r="J1530" s="71"/>
      <c r="K1530" s="71"/>
      <c r="L1530" s="72" t="str">
        <f>IFERROR(IF(G1530="","",VLOOKUP($G1530,[1]基础信息!$B:$C,2,FALSE)+SUMIF(G$8:G1530,G1530,J$8:J1530)-SUMIF(G$8:G1530,G1530,K$8:K1530)+SUMIFS([1]内部转账!$G:$G,[1]内部转账!$C:$C,"&lt;="&amp;$D1530,[1]内部转账!$E:$E,$G1530)-SUMIFS([1]内部转账!$G:$G,[1]内部转账!$C:$C,"&lt;="&amp;$D1530,[1]内部转账!$F:$F,$G1530)),"")</f>
        <v/>
      </c>
      <c r="M1530" s="64"/>
      <c r="N1530" s="69"/>
      <c r="O1530" s="64"/>
      <c r="P1530" s="64"/>
      <c r="Q1530" s="69"/>
      <c r="R1530" s="69"/>
      <c r="S1530" s="69"/>
    </row>
    <row r="1531" s="2" customFormat="1" ht="24.95" customHeight="1" spans="1:19">
      <c r="A1531" s="15"/>
      <c r="B1531" s="55"/>
      <c r="C1531" s="56"/>
      <c r="D1531" s="68"/>
      <c r="E1531" s="69"/>
      <c r="F1531" s="69"/>
      <c r="G1531" s="65"/>
      <c r="H1531" s="65"/>
      <c r="I1531" s="70"/>
      <c r="J1531" s="71"/>
      <c r="K1531" s="71"/>
      <c r="L1531" s="72" t="str">
        <f>IFERROR(IF(G1531="","",VLOOKUP($G1531,[1]基础信息!$B:$C,2,FALSE)+SUMIF(G$8:G1531,G1531,J$8:J1531)-SUMIF(G$8:G1531,G1531,K$8:K1531)+SUMIFS([1]内部转账!$G:$G,[1]内部转账!$C:$C,"&lt;="&amp;$D1531,[1]内部转账!$E:$E,$G1531)-SUMIFS([1]内部转账!$G:$G,[1]内部转账!$C:$C,"&lt;="&amp;$D1531,[1]内部转账!$F:$F,$G1531)),"")</f>
        <v/>
      </c>
      <c r="M1531" s="64"/>
      <c r="N1531" s="69"/>
      <c r="O1531" s="64"/>
      <c r="P1531" s="64"/>
      <c r="Q1531" s="69"/>
      <c r="R1531" s="69"/>
      <c r="S1531" s="69"/>
    </row>
    <row r="1532" s="2" customFormat="1" ht="24.95" customHeight="1" spans="1:19">
      <c r="A1532" s="15"/>
      <c r="B1532" s="55"/>
      <c r="C1532" s="56"/>
      <c r="D1532" s="68"/>
      <c r="E1532" s="69"/>
      <c r="F1532" s="69"/>
      <c r="G1532" s="65"/>
      <c r="H1532" s="65"/>
      <c r="I1532" s="70"/>
      <c r="J1532" s="71"/>
      <c r="K1532" s="71"/>
      <c r="L1532" s="72" t="str">
        <f>IFERROR(IF(G1532="","",VLOOKUP($G1532,[1]基础信息!$B:$C,2,FALSE)+SUMIF(G$8:G1532,G1532,J$8:J1532)-SUMIF(G$8:G1532,G1532,K$8:K1532)+SUMIFS([1]内部转账!$G:$G,[1]内部转账!$C:$C,"&lt;="&amp;$D1532,[1]内部转账!$E:$E,$G1532)-SUMIFS([1]内部转账!$G:$G,[1]内部转账!$C:$C,"&lt;="&amp;$D1532,[1]内部转账!$F:$F,$G1532)),"")</f>
        <v/>
      </c>
      <c r="M1532" s="64"/>
      <c r="N1532" s="69"/>
      <c r="O1532" s="64"/>
      <c r="P1532" s="64"/>
      <c r="Q1532" s="69"/>
      <c r="R1532" s="69"/>
      <c r="S1532" s="69"/>
    </row>
    <row r="1533" s="2" customFormat="1" ht="24.95" customHeight="1" spans="1:19">
      <c r="A1533" s="15"/>
      <c r="B1533" s="55"/>
      <c r="C1533" s="56"/>
      <c r="D1533" s="68"/>
      <c r="E1533" s="69"/>
      <c r="F1533" s="69"/>
      <c r="G1533" s="65"/>
      <c r="H1533" s="65"/>
      <c r="I1533" s="70"/>
      <c r="J1533" s="71"/>
      <c r="K1533" s="71"/>
      <c r="L1533" s="72" t="str">
        <f>IFERROR(IF(G1533="","",VLOOKUP($G1533,[1]基础信息!$B:$C,2,FALSE)+SUMIF(G$8:G1533,G1533,J$8:J1533)-SUMIF(G$8:G1533,G1533,K$8:K1533)+SUMIFS([1]内部转账!$G:$G,[1]内部转账!$C:$C,"&lt;="&amp;$D1533,[1]内部转账!$E:$E,$G1533)-SUMIFS([1]内部转账!$G:$G,[1]内部转账!$C:$C,"&lt;="&amp;$D1533,[1]内部转账!$F:$F,$G1533)),"")</f>
        <v/>
      </c>
      <c r="M1533" s="64"/>
      <c r="N1533" s="69"/>
      <c r="O1533" s="64"/>
      <c r="P1533" s="64"/>
      <c r="Q1533" s="69"/>
      <c r="R1533" s="69"/>
      <c r="S1533" s="69"/>
    </row>
    <row r="1534" s="2" customFormat="1" ht="24.95" customHeight="1" spans="1:19">
      <c r="A1534" s="15"/>
      <c r="B1534" s="55"/>
      <c r="C1534" s="56"/>
      <c r="D1534" s="68"/>
      <c r="E1534" s="69"/>
      <c r="F1534" s="69"/>
      <c r="G1534" s="65"/>
      <c r="H1534" s="65"/>
      <c r="I1534" s="70"/>
      <c r="J1534" s="71"/>
      <c r="K1534" s="71"/>
      <c r="L1534" s="72" t="str">
        <f>IFERROR(IF(G1534="","",VLOOKUP($G1534,[1]基础信息!$B:$C,2,FALSE)+SUMIF(G$8:G1534,G1534,J$8:J1534)-SUMIF(G$8:G1534,G1534,K$8:K1534)+SUMIFS([1]内部转账!$G:$G,[1]内部转账!$C:$C,"&lt;="&amp;$D1534,[1]内部转账!$E:$E,$G1534)-SUMIFS([1]内部转账!$G:$G,[1]内部转账!$C:$C,"&lt;="&amp;$D1534,[1]内部转账!$F:$F,$G1534)),"")</f>
        <v/>
      </c>
      <c r="M1534" s="64"/>
      <c r="N1534" s="69"/>
      <c r="O1534" s="64"/>
      <c r="P1534" s="64"/>
      <c r="Q1534" s="69"/>
      <c r="R1534" s="69"/>
      <c r="S1534" s="69"/>
    </row>
    <row r="1535" s="2" customFormat="1" ht="24.95" customHeight="1" spans="1:19">
      <c r="A1535" s="15"/>
      <c r="B1535" s="55"/>
      <c r="C1535" s="56"/>
      <c r="D1535" s="68"/>
      <c r="E1535" s="69"/>
      <c r="F1535" s="69"/>
      <c r="G1535" s="65"/>
      <c r="H1535" s="65"/>
      <c r="I1535" s="70"/>
      <c r="J1535" s="71"/>
      <c r="K1535" s="71"/>
      <c r="L1535" s="72" t="str">
        <f>IFERROR(IF(G1535="","",VLOOKUP($G1535,[1]基础信息!$B:$C,2,FALSE)+SUMIF(G$8:G1535,G1535,J$8:J1535)-SUMIF(G$8:G1535,G1535,K$8:K1535)+SUMIFS([1]内部转账!$G:$G,[1]内部转账!$C:$C,"&lt;="&amp;$D1535,[1]内部转账!$E:$E,$G1535)-SUMIFS([1]内部转账!$G:$G,[1]内部转账!$C:$C,"&lt;="&amp;$D1535,[1]内部转账!$F:$F,$G1535)),"")</f>
        <v/>
      </c>
      <c r="M1535" s="64"/>
      <c r="N1535" s="69"/>
      <c r="O1535" s="64"/>
      <c r="P1535" s="64"/>
      <c r="Q1535" s="69"/>
      <c r="R1535" s="69"/>
      <c r="S1535" s="69"/>
    </row>
    <row r="1536" s="2" customFormat="1" ht="24.95" customHeight="1" spans="1:19">
      <c r="A1536" s="15"/>
      <c r="B1536" s="55"/>
      <c r="C1536" s="56"/>
      <c r="D1536" s="68"/>
      <c r="E1536" s="69"/>
      <c r="F1536" s="69"/>
      <c r="G1536" s="65"/>
      <c r="H1536" s="65"/>
      <c r="I1536" s="70"/>
      <c r="J1536" s="71"/>
      <c r="K1536" s="71"/>
      <c r="L1536" s="72" t="str">
        <f>IFERROR(IF(G1536="","",VLOOKUP($G1536,[1]基础信息!$B:$C,2,FALSE)+SUMIF(G$8:G1536,G1536,J$8:J1536)-SUMIF(G$8:G1536,G1536,K$8:K1536)+SUMIFS([1]内部转账!$G:$G,[1]内部转账!$C:$C,"&lt;="&amp;$D1536,[1]内部转账!$E:$E,$G1536)-SUMIFS([1]内部转账!$G:$G,[1]内部转账!$C:$C,"&lt;="&amp;$D1536,[1]内部转账!$F:$F,$G1536)),"")</f>
        <v/>
      </c>
      <c r="M1536" s="64"/>
      <c r="N1536" s="69"/>
      <c r="O1536" s="64"/>
      <c r="P1536" s="64"/>
      <c r="Q1536" s="69"/>
      <c r="R1536" s="69"/>
      <c r="S1536" s="69"/>
    </row>
    <row r="1537" s="2" customFormat="1" ht="24.95" customHeight="1" spans="1:19">
      <c r="A1537" s="15"/>
      <c r="B1537" s="55"/>
      <c r="C1537" s="56"/>
      <c r="D1537" s="68"/>
      <c r="E1537" s="69"/>
      <c r="F1537" s="69"/>
      <c r="G1537" s="65"/>
      <c r="H1537" s="65"/>
      <c r="I1537" s="70"/>
      <c r="J1537" s="71"/>
      <c r="K1537" s="71"/>
      <c r="L1537" s="72" t="str">
        <f>IFERROR(IF(G1537="","",VLOOKUP($G1537,[1]基础信息!$B:$C,2,FALSE)+SUMIF(G$8:G1537,G1537,J$8:J1537)-SUMIF(G$8:G1537,G1537,K$8:K1537)+SUMIFS([1]内部转账!$G:$G,[1]内部转账!$C:$C,"&lt;="&amp;$D1537,[1]内部转账!$E:$E,$G1537)-SUMIFS([1]内部转账!$G:$G,[1]内部转账!$C:$C,"&lt;="&amp;$D1537,[1]内部转账!$F:$F,$G1537)),"")</f>
        <v/>
      </c>
      <c r="M1537" s="64"/>
      <c r="N1537" s="69"/>
      <c r="O1537" s="64"/>
      <c r="P1537" s="64"/>
      <c r="Q1537" s="69"/>
      <c r="R1537" s="69"/>
      <c r="S1537" s="69"/>
    </row>
    <row r="1538" s="2" customFormat="1" ht="24.95" customHeight="1" spans="1:19">
      <c r="A1538" s="15"/>
      <c r="B1538" s="55"/>
      <c r="C1538" s="56"/>
      <c r="D1538" s="68"/>
      <c r="E1538" s="69"/>
      <c r="F1538" s="69"/>
      <c r="G1538" s="65"/>
      <c r="H1538" s="65"/>
      <c r="I1538" s="70"/>
      <c r="J1538" s="71"/>
      <c r="K1538" s="71"/>
      <c r="L1538" s="72" t="str">
        <f>IFERROR(IF(G1538="","",VLOOKUP($G1538,[1]基础信息!$B:$C,2,FALSE)+SUMIF(G$8:G1538,G1538,J$8:J1538)-SUMIF(G$8:G1538,G1538,K$8:K1538)+SUMIFS([1]内部转账!$G:$G,[1]内部转账!$C:$C,"&lt;="&amp;$D1538,[1]内部转账!$E:$E,$G1538)-SUMIFS([1]内部转账!$G:$G,[1]内部转账!$C:$C,"&lt;="&amp;$D1538,[1]内部转账!$F:$F,$G1538)),"")</f>
        <v/>
      </c>
      <c r="M1538" s="64"/>
      <c r="N1538" s="69"/>
      <c r="O1538" s="64"/>
      <c r="P1538" s="64"/>
      <c r="Q1538" s="69"/>
      <c r="R1538" s="69"/>
      <c r="S1538" s="69"/>
    </row>
    <row r="1539" s="2" customFormat="1" ht="24.95" customHeight="1" spans="1:19">
      <c r="A1539" s="15"/>
      <c r="B1539" s="55"/>
      <c r="C1539" s="56"/>
      <c r="D1539" s="68"/>
      <c r="E1539" s="69"/>
      <c r="F1539" s="69"/>
      <c r="G1539" s="65"/>
      <c r="H1539" s="65"/>
      <c r="I1539" s="70"/>
      <c r="J1539" s="71"/>
      <c r="K1539" s="71"/>
      <c r="L1539" s="72" t="str">
        <f>IFERROR(IF(G1539="","",VLOOKUP($G1539,[1]基础信息!$B:$C,2,FALSE)+SUMIF(G$8:G1539,G1539,J$8:J1539)-SUMIF(G$8:G1539,G1539,K$8:K1539)+SUMIFS([1]内部转账!$G:$G,[1]内部转账!$C:$C,"&lt;="&amp;$D1539,[1]内部转账!$E:$E,$G1539)-SUMIFS([1]内部转账!$G:$G,[1]内部转账!$C:$C,"&lt;="&amp;$D1539,[1]内部转账!$F:$F,$G1539)),"")</f>
        <v/>
      </c>
      <c r="M1539" s="64"/>
      <c r="N1539" s="69"/>
      <c r="O1539" s="64"/>
      <c r="P1539" s="64"/>
      <c r="Q1539" s="69"/>
      <c r="R1539" s="69"/>
      <c r="S1539" s="69"/>
    </row>
    <row r="1540" s="2" customFormat="1" ht="24.95" customHeight="1" spans="1:19">
      <c r="A1540" s="15"/>
      <c r="B1540" s="55"/>
      <c r="C1540" s="56"/>
      <c r="D1540" s="68"/>
      <c r="E1540" s="69"/>
      <c r="F1540" s="69"/>
      <c r="G1540" s="65"/>
      <c r="H1540" s="65"/>
      <c r="I1540" s="70"/>
      <c r="J1540" s="71"/>
      <c r="K1540" s="71"/>
      <c r="L1540" s="72" t="str">
        <f>IFERROR(IF(G1540="","",VLOOKUP($G1540,[1]基础信息!$B:$C,2,FALSE)+SUMIF(G$8:G1540,G1540,J$8:J1540)-SUMIF(G$8:G1540,G1540,K$8:K1540)+SUMIFS([1]内部转账!$G:$G,[1]内部转账!$C:$C,"&lt;="&amp;$D1540,[1]内部转账!$E:$E,$G1540)-SUMIFS([1]内部转账!$G:$G,[1]内部转账!$C:$C,"&lt;="&amp;$D1540,[1]内部转账!$F:$F,$G1540)),"")</f>
        <v/>
      </c>
      <c r="M1540" s="64"/>
      <c r="N1540" s="69"/>
      <c r="O1540" s="64"/>
      <c r="P1540" s="64"/>
      <c r="Q1540" s="69"/>
      <c r="R1540" s="69"/>
      <c r="S1540" s="69"/>
    </row>
    <row r="1541" s="2" customFormat="1" ht="24.95" customHeight="1" spans="1:19">
      <c r="A1541" s="15"/>
      <c r="B1541" s="55"/>
      <c r="C1541" s="56"/>
      <c r="D1541" s="68"/>
      <c r="E1541" s="69"/>
      <c r="F1541" s="69"/>
      <c r="G1541" s="65"/>
      <c r="H1541" s="65"/>
      <c r="I1541" s="70"/>
      <c r="J1541" s="71"/>
      <c r="K1541" s="71"/>
      <c r="L1541" s="72" t="str">
        <f>IFERROR(IF(G1541="","",VLOOKUP($G1541,[1]基础信息!$B:$C,2,FALSE)+SUMIF(G$8:G1541,G1541,J$8:J1541)-SUMIF(G$8:G1541,G1541,K$8:K1541)+SUMIFS([1]内部转账!$G:$G,[1]内部转账!$C:$C,"&lt;="&amp;$D1541,[1]内部转账!$E:$E,$G1541)-SUMIFS([1]内部转账!$G:$G,[1]内部转账!$C:$C,"&lt;="&amp;$D1541,[1]内部转账!$F:$F,$G1541)),"")</f>
        <v/>
      </c>
      <c r="M1541" s="64"/>
      <c r="N1541" s="69"/>
      <c r="O1541" s="64"/>
      <c r="P1541" s="64"/>
      <c r="Q1541" s="69"/>
      <c r="R1541" s="69"/>
      <c r="S1541" s="69"/>
    </row>
    <row r="1542" s="2" customFormat="1" ht="24.95" customHeight="1" spans="1:19">
      <c r="A1542" s="15"/>
      <c r="B1542" s="55"/>
      <c r="C1542" s="56"/>
      <c r="D1542" s="68"/>
      <c r="E1542" s="69"/>
      <c r="F1542" s="69"/>
      <c r="G1542" s="65"/>
      <c r="H1542" s="65"/>
      <c r="I1542" s="70"/>
      <c r="J1542" s="71"/>
      <c r="K1542" s="71"/>
      <c r="L1542" s="72" t="str">
        <f>IFERROR(IF(G1542="","",VLOOKUP($G1542,[1]基础信息!$B:$C,2,FALSE)+SUMIF(G$8:G1542,G1542,J$8:J1542)-SUMIF(G$8:G1542,G1542,K$8:K1542)+SUMIFS([1]内部转账!$G:$G,[1]内部转账!$C:$C,"&lt;="&amp;$D1542,[1]内部转账!$E:$E,$G1542)-SUMIFS([1]内部转账!$G:$G,[1]内部转账!$C:$C,"&lt;="&amp;$D1542,[1]内部转账!$F:$F,$G1542)),"")</f>
        <v/>
      </c>
      <c r="M1542" s="64"/>
      <c r="N1542" s="69"/>
      <c r="O1542" s="64"/>
      <c r="P1542" s="64"/>
      <c r="Q1542" s="69"/>
      <c r="R1542" s="69"/>
      <c r="S1542" s="69"/>
    </row>
    <row r="1543" s="2" customFormat="1" ht="24.95" customHeight="1" spans="1:19">
      <c r="A1543" s="15"/>
      <c r="B1543" s="55"/>
      <c r="C1543" s="56"/>
      <c r="D1543" s="68"/>
      <c r="E1543" s="69"/>
      <c r="F1543" s="69"/>
      <c r="G1543" s="65"/>
      <c r="H1543" s="65"/>
      <c r="I1543" s="70"/>
      <c r="J1543" s="71"/>
      <c r="K1543" s="71"/>
      <c r="L1543" s="72" t="str">
        <f>IFERROR(IF(G1543="","",VLOOKUP($G1543,[1]基础信息!$B:$C,2,FALSE)+SUMIF(G$8:G1543,G1543,J$8:J1543)-SUMIF(G$8:G1543,G1543,K$8:K1543)+SUMIFS([1]内部转账!$G:$G,[1]内部转账!$C:$C,"&lt;="&amp;$D1543,[1]内部转账!$E:$E,$G1543)-SUMIFS([1]内部转账!$G:$G,[1]内部转账!$C:$C,"&lt;="&amp;$D1543,[1]内部转账!$F:$F,$G1543)),"")</f>
        <v/>
      </c>
      <c r="M1543" s="64"/>
      <c r="N1543" s="69"/>
      <c r="O1543" s="64"/>
      <c r="P1543" s="64"/>
      <c r="Q1543" s="69"/>
      <c r="R1543" s="69"/>
      <c r="S1543" s="69"/>
    </row>
    <row r="1544" s="2" customFormat="1" ht="24.95" customHeight="1" spans="1:19">
      <c r="A1544" s="15"/>
      <c r="B1544" s="55"/>
      <c r="C1544" s="56"/>
      <c r="D1544" s="68"/>
      <c r="E1544" s="69"/>
      <c r="F1544" s="69"/>
      <c r="G1544" s="65"/>
      <c r="H1544" s="65"/>
      <c r="I1544" s="70"/>
      <c r="J1544" s="71"/>
      <c r="K1544" s="71"/>
      <c r="L1544" s="72" t="str">
        <f>IFERROR(IF(G1544="","",VLOOKUP($G1544,[1]基础信息!$B:$C,2,FALSE)+SUMIF(G$8:G1544,G1544,J$8:J1544)-SUMIF(G$8:G1544,G1544,K$8:K1544)+SUMIFS([1]内部转账!$G:$G,[1]内部转账!$C:$C,"&lt;="&amp;$D1544,[1]内部转账!$E:$E,$G1544)-SUMIFS([1]内部转账!$G:$G,[1]内部转账!$C:$C,"&lt;="&amp;$D1544,[1]内部转账!$F:$F,$G1544)),"")</f>
        <v/>
      </c>
      <c r="M1544" s="64"/>
      <c r="N1544" s="69"/>
      <c r="O1544" s="64"/>
      <c r="P1544" s="64"/>
      <c r="Q1544" s="69"/>
      <c r="R1544" s="69"/>
      <c r="S1544" s="69"/>
    </row>
    <row r="1545" s="2" customFormat="1" ht="24.95" customHeight="1" spans="1:19">
      <c r="A1545" s="15"/>
      <c r="B1545" s="55"/>
      <c r="C1545" s="56"/>
      <c r="D1545" s="68"/>
      <c r="E1545" s="69"/>
      <c r="F1545" s="69"/>
      <c r="G1545" s="65"/>
      <c r="H1545" s="65"/>
      <c r="I1545" s="70"/>
      <c r="J1545" s="71"/>
      <c r="K1545" s="71"/>
      <c r="L1545" s="72" t="str">
        <f>IFERROR(IF(G1545="","",VLOOKUP($G1545,[1]基础信息!$B:$C,2,FALSE)+SUMIF(G$8:G1545,G1545,J$8:J1545)-SUMIF(G$8:G1545,G1545,K$8:K1545)+SUMIFS([1]内部转账!$G:$G,[1]内部转账!$C:$C,"&lt;="&amp;$D1545,[1]内部转账!$E:$E,$G1545)-SUMIFS([1]内部转账!$G:$G,[1]内部转账!$C:$C,"&lt;="&amp;$D1545,[1]内部转账!$F:$F,$G1545)),"")</f>
        <v/>
      </c>
      <c r="M1545" s="64"/>
      <c r="N1545" s="69"/>
      <c r="O1545" s="64"/>
      <c r="P1545" s="64"/>
      <c r="Q1545" s="69"/>
      <c r="R1545" s="69"/>
      <c r="S1545" s="69"/>
    </row>
    <row r="1546" s="2" customFormat="1" ht="24.95" customHeight="1" spans="1:19">
      <c r="A1546" s="15"/>
      <c r="B1546" s="55"/>
      <c r="C1546" s="56"/>
      <c r="D1546" s="68"/>
      <c r="E1546" s="69"/>
      <c r="F1546" s="69"/>
      <c r="G1546" s="65"/>
      <c r="H1546" s="65"/>
      <c r="I1546" s="70"/>
      <c r="J1546" s="71"/>
      <c r="K1546" s="71"/>
      <c r="L1546" s="72" t="str">
        <f>IFERROR(IF(G1546="","",VLOOKUP($G1546,[1]基础信息!$B:$C,2,FALSE)+SUMIF(G$8:G1546,G1546,J$8:J1546)-SUMIF(G$8:G1546,G1546,K$8:K1546)+SUMIFS([1]内部转账!$G:$G,[1]内部转账!$C:$C,"&lt;="&amp;$D1546,[1]内部转账!$E:$E,$G1546)-SUMIFS([1]内部转账!$G:$G,[1]内部转账!$C:$C,"&lt;="&amp;$D1546,[1]内部转账!$F:$F,$G1546)),"")</f>
        <v/>
      </c>
      <c r="M1546" s="64"/>
      <c r="N1546" s="69"/>
      <c r="O1546" s="64"/>
      <c r="P1546" s="64"/>
      <c r="Q1546" s="69"/>
      <c r="R1546" s="69"/>
      <c r="S1546" s="69"/>
    </row>
    <row r="1547" s="2" customFormat="1" ht="24.95" customHeight="1" spans="1:19">
      <c r="A1547" s="15"/>
      <c r="B1547" s="55"/>
      <c r="C1547" s="56"/>
      <c r="D1547" s="68"/>
      <c r="E1547" s="69"/>
      <c r="F1547" s="69"/>
      <c r="G1547" s="65"/>
      <c r="H1547" s="65"/>
      <c r="I1547" s="70"/>
      <c r="J1547" s="71"/>
      <c r="K1547" s="71"/>
      <c r="L1547" s="72" t="str">
        <f>IFERROR(IF(G1547="","",VLOOKUP($G1547,[1]基础信息!$B:$C,2,FALSE)+SUMIF(G$8:G1547,G1547,J$8:J1547)-SUMIF(G$8:G1547,G1547,K$8:K1547)+SUMIFS([1]内部转账!$G:$G,[1]内部转账!$C:$C,"&lt;="&amp;$D1547,[1]内部转账!$E:$E,$G1547)-SUMIFS([1]内部转账!$G:$G,[1]内部转账!$C:$C,"&lt;="&amp;$D1547,[1]内部转账!$F:$F,$G1547)),"")</f>
        <v/>
      </c>
      <c r="M1547" s="64"/>
      <c r="N1547" s="69"/>
      <c r="O1547" s="64"/>
      <c r="P1547" s="64"/>
      <c r="Q1547" s="69"/>
      <c r="R1547" s="69"/>
      <c r="S1547" s="69"/>
    </row>
    <row r="1548" s="2" customFormat="1" ht="24.95" customHeight="1" spans="1:19">
      <c r="A1548" s="15"/>
      <c r="B1548" s="55"/>
      <c r="C1548" s="56"/>
      <c r="D1548" s="68"/>
      <c r="E1548" s="69"/>
      <c r="F1548" s="69"/>
      <c r="G1548" s="65"/>
      <c r="H1548" s="65"/>
      <c r="I1548" s="70"/>
      <c r="J1548" s="71"/>
      <c r="K1548" s="71"/>
      <c r="L1548" s="72" t="str">
        <f>IFERROR(IF(G1548="","",VLOOKUP($G1548,[1]基础信息!$B:$C,2,FALSE)+SUMIF(G$8:G1548,G1548,J$8:J1548)-SUMIF(G$8:G1548,G1548,K$8:K1548)+SUMIFS([1]内部转账!$G:$G,[1]内部转账!$C:$C,"&lt;="&amp;$D1548,[1]内部转账!$E:$E,$G1548)-SUMIFS([1]内部转账!$G:$G,[1]内部转账!$C:$C,"&lt;="&amp;$D1548,[1]内部转账!$F:$F,$G1548)),"")</f>
        <v/>
      </c>
      <c r="M1548" s="64"/>
      <c r="N1548" s="69"/>
      <c r="O1548" s="64"/>
      <c r="P1548" s="64"/>
      <c r="Q1548" s="69"/>
      <c r="R1548" s="69"/>
      <c r="S1548" s="69"/>
    </row>
    <row r="1549" s="2" customFormat="1" ht="24.95" customHeight="1" spans="1:19">
      <c r="A1549" s="15"/>
      <c r="B1549" s="55"/>
      <c r="C1549" s="56"/>
      <c r="D1549" s="68"/>
      <c r="E1549" s="69"/>
      <c r="F1549" s="69"/>
      <c r="G1549" s="65"/>
      <c r="H1549" s="65"/>
      <c r="I1549" s="70"/>
      <c r="J1549" s="71"/>
      <c r="K1549" s="71"/>
      <c r="L1549" s="72" t="str">
        <f>IFERROR(IF(G1549="","",VLOOKUP($G1549,[1]基础信息!$B:$C,2,FALSE)+SUMIF(G$8:G1549,G1549,J$8:J1549)-SUMIF(G$8:G1549,G1549,K$8:K1549)+SUMIFS([1]内部转账!$G:$G,[1]内部转账!$C:$C,"&lt;="&amp;$D1549,[1]内部转账!$E:$E,$G1549)-SUMIFS([1]内部转账!$G:$G,[1]内部转账!$C:$C,"&lt;="&amp;$D1549,[1]内部转账!$F:$F,$G1549)),"")</f>
        <v/>
      </c>
      <c r="M1549" s="64"/>
      <c r="N1549" s="69"/>
      <c r="O1549" s="64"/>
      <c r="P1549" s="64"/>
      <c r="Q1549" s="69"/>
      <c r="R1549" s="69"/>
      <c r="S1549" s="69"/>
    </row>
    <row r="1550" s="2" customFormat="1" ht="24.95" customHeight="1" spans="1:19">
      <c r="A1550" s="15"/>
      <c r="B1550" s="55"/>
      <c r="C1550" s="56"/>
      <c r="D1550" s="68"/>
      <c r="E1550" s="69"/>
      <c r="F1550" s="69"/>
      <c r="G1550" s="65"/>
      <c r="H1550" s="65"/>
      <c r="I1550" s="70"/>
      <c r="J1550" s="71"/>
      <c r="K1550" s="71"/>
      <c r="L1550" s="72" t="str">
        <f>IFERROR(IF(G1550="","",VLOOKUP($G1550,[1]基础信息!$B:$C,2,FALSE)+SUMIF(G$8:G1550,G1550,J$8:J1550)-SUMIF(G$8:G1550,G1550,K$8:K1550)+SUMIFS([1]内部转账!$G:$G,[1]内部转账!$C:$C,"&lt;="&amp;$D1550,[1]内部转账!$E:$E,$G1550)-SUMIFS([1]内部转账!$G:$G,[1]内部转账!$C:$C,"&lt;="&amp;$D1550,[1]内部转账!$F:$F,$G1550)),"")</f>
        <v/>
      </c>
      <c r="M1550" s="64"/>
      <c r="N1550" s="69"/>
      <c r="O1550" s="64"/>
      <c r="P1550" s="64"/>
      <c r="Q1550" s="69"/>
      <c r="R1550" s="69"/>
      <c r="S1550" s="69"/>
    </row>
    <row r="1551" s="2" customFormat="1" ht="24.95" customHeight="1" spans="1:19">
      <c r="A1551" s="15"/>
      <c r="B1551" s="55"/>
      <c r="C1551" s="56"/>
      <c r="D1551" s="68"/>
      <c r="E1551" s="69"/>
      <c r="F1551" s="69"/>
      <c r="G1551" s="65"/>
      <c r="H1551" s="65"/>
      <c r="I1551" s="70"/>
      <c r="J1551" s="71"/>
      <c r="K1551" s="71"/>
      <c r="L1551" s="72" t="str">
        <f>IFERROR(IF(G1551="","",VLOOKUP($G1551,[1]基础信息!$B:$C,2,FALSE)+SUMIF(G$8:G1551,G1551,J$8:J1551)-SUMIF(G$8:G1551,G1551,K$8:K1551)+SUMIFS([1]内部转账!$G:$G,[1]内部转账!$C:$C,"&lt;="&amp;$D1551,[1]内部转账!$E:$E,$G1551)-SUMIFS([1]内部转账!$G:$G,[1]内部转账!$C:$C,"&lt;="&amp;$D1551,[1]内部转账!$F:$F,$G1551)),"")</f>
        <v/>
      </c>
      <c r="M1551" s="64"/>
      <c r="N1551" s="69"/>
      <c r="O1551" s="64"/>
      <c r="P1551" s="64"/>
      <c r="Q1551" s="69"/>
      <c r="R1551" s="69"/>
      <c r="S1551" s="69"/>
    </row>
    <row r="1552" s="2" customFormat="1" ht="24.95" customHeight="1" spans="1:19">
      <c r="A1552" s="15"/>
      <c r="B1552" s="55"/>
      <c r="C1552" s="56"/>
      <c r="D1552" s="68"/>
      <c r="E1552" s="69"/>
      <c r="F1552" s="69"/>
      <c r="G1552" s="65"/>
      <c r="H1552" s="65"/>
      <c r="I1552" s="70"/>
      <c r="J1552" s="71"/>
      <c r="K1552" s="71"/>
      <c r="L1552" s="72" t="str">
        <f>IFERROR(IF(G1552="","",VLOOKUP($G1552,[1]基础信息!$B:$C,2,FALSE)+SUMIF(G$8:G1552,G1552,J$8:J1552)-SUMIF(G$8:G1552,G1552,K$8:K1552)+SUMIFS([1]内部转账!$G:$G,[1]内部转账!$C:$C,"&lt;="&amp;$D1552,[1]内部转账!$E:$E,$G1552)-SUMIFS([1]内部转账!$G:$G,[1]内部转账!$C:$C,"&lt;="&amp;$D1552,[1]内部转账!$F:$F,$G1552)),"")</f>
        <v/>
      </c>
      <c r="M1552" s="64"/>
      <c r="N1552" s="69"/>
      <c r="O1552" s="64"/>
      <c r="P1552" s="64"/>
      <c r="Q1552" s="69"/>
      <c r="R1552" s="69"/>
      <c r="S1552" s="69"/>
    </row>
    <row r="1553" s="2" customFormat="1" ht="24.95" customHeight="1" spans="1:19">
      <c r="A1553" s="15"/>
      <c r="B1553" s="55"/>
      <c r="C1553" s="56"/>
      <c r="D1553" s="68"/>
      <c r="E1553" s="69"/>
      <c r="F1553" s="69"/>
      <c r="G1553" s="65"/>
      <c r="H1553" s="65"/>
      <c r="I1553" s="70"/>
      <c r="J1553" s="71"/>
      <c r="K1553" s="71"/>
      <c r="L1553" s="72" t="str">
        <f>IFERROR(IF(G1553="","",VLOOKUP($G1553,[1]基础信息!$B:$C,2,FALSE)+SUMIF(G$8:G1553,G1553,J$8:J1553)-SUMIF(G$8:G1553,G1553,K$8:K1553)+SUMIFS([1]内部转账!$G:$G,[1]内部转账!$C:$C,"&lt;="&amp;$D1553,[1]内部转账!$E:$E,$G1553)-SUMIFS([1]内部转账!$G:$G,[1]内部转账!$C:$C,"&lt;="&amp;$D1553,[1]内部转账!$F:$F,$G1553)),"")</f>
        <v/>
      </c>
      <c r="M1553" s="64"/>
      <c r="N1553" s="69"/>
      <c r="O1553" s="64"/>
      <c r="P1553" s="64"/>
      <c r="Q1553" s="69"/>
      <c r="R1553" s="69"/>
      <c r="S1553" s="69"/>
    </row>
    <row r="1554" s="2" customFormat="1" ht="24.95" customHeight="1" spans="1:19">
      <c r="A1554" s="15"/>
      <c r="B1554" s="55"/>
      <c r="C1554" s="56"/>
      <c r="D1554" s="68"/>
      <c r="E1554" s="69"/>
      <c r="F1554" s="69"/>
      <c r="G1554" s="65"/>
      <c r="H1554" s="65"/>
      <c r="I1554" s="70"/>
      <c r="J1554" s="71"/>
      <c r="K1554" s="71"/>
      <c r="L1554" s="72" t="str">
        <f>IFERROR(IF(G1554="","",VLOOKUP($G1554,[1]基础信息!$B:$C,2,FALSE)+SUMIF(G$8:G1554,G1554,J$8:J1554)-SUMIF(G$8:G1554,G1554,K$8:K1554)+SUMIFS([1]内部转账!$G:$G,[1]内部转账!$C:$C,"&lt;="&amp;$D1554,[1]内部转账!$E:$E,$G1554)-SUMIFS([1]内部转账!$G:$G,[1]内部转账!$C:$C,"&lt;="&amp;$D1554,[1]内部转账!$F:$F,$G1554)),"")</f>
        <v/>
      </c>
      <c r="M1554" s="64"/>
      <c r="N1554" s="69"/>
      <c r="O1554" s="64"/>
      <c r="P1554" s="64"/>
      <c r="Q1554" s="69"/>
      <c r="R1554" s="69"/>
      <c r="S1554" s="69"/>
    </row>
    <row r="1555" s="2" customFormat="1" ht="24.95" customHeight="1" spans="1:19">
      <c r="A1555" s="15"/>
      <c r="B1555" s="55"/>
      <c r="C1555" s="56"/>
      <c r="D1555" s="68"/>
      <c r="E1555" s="69"/>
      <c r="F1555" s="69"/>
      <c r="G1555" s="65"/>
      <c r="H1555" s="65"/>
      <c r="I1555" s="70"/>
      <c r="J1555" s="71"/>
      <c r="K1555" s="71"/>
      <c r="L1555" s="72" t="str">
        <f>IFERROR(IF(G1555="","",VLOOKUP($G1555,[1]基础信息!$B:$C,2,FALSE)+SUMIF(G$8:G1555,G1555,J$8:J1555)-SUMIF(G$8:G1555,G1555,K$8:K1555)+SUMIFS([1]内部转账!$G:$G,[1]内部转账!$C:$C,"&lt;="&amp;$D1555,[1]内部转账!$E:$E,$G1555)-SUMIFS([1]内部转账!$G:$G,[1]内部转账!$C:$C,"&lt;="&amp;$D1555,[1]内部转账!$F:$F,$G1555)),"")</f>
        <v/>
      </c>
      <c r="M1555" s="64"/>
      <c r="N1555" s="69"/>
      <c r="O1555" s="64"/>
      <c r="P1555" s="64"/>
      <c r="Q1555" s="69"/>
      <c r="R1555" s="69"/>
      <c r="S1555" s="69"/>
    </row>
    <row r="1556" s="2" customFormat="1" ht="24.95" customHeight="1" spans="1:19">
      <c r="A1556" s="15"/>
      <c r="B1556" s="55"/>
      <c r="C1556" s="56"/>
      <c r="D1556" s="68"/>
      <c r="E1556" s="69"/>
      <c r="F1556" s="69"/>
      <c r="G1556" s="65"/>
      <c r="H1556" s="65"/>
      <c r="I1556" s="70"/>
      <c r="J1556" s="71"/>
      <c r="K1556" s="71"/>
      <c r="L1556" s="72" t="str">
        <f>IFERROR(IF(G1556="","",VLOOKUP($G1556,[1]基础信息!$B:$C,2,FALSE)+SUMIF(G$8:G1556,G1556,J$8:J1556)-SUMIF(G$8:G1556,G1556,K$8:K1556)+SUMIFS([1]内部转账!$G:$G,[1]内部转账!$C:$C,"&lt;="&amp;$D1556,[1]内部转账!$E:$E,$G1556)-SUMIFS([1]内部转账!$G:$G,[1]内部转账!$C:$C,"&lt;="&amp;$D1556,[1]内部转账!$F:$F,$G1556)),"")</f>
        <v/>
      </c>
      <c r="M1556" s="64"/>
      <c r="N1556" s="69"/>
      <c r="O1556" s="64"/>
      <c r="P1556" s="64"/>
      <c r="Q1556" s="69"/>
      <c r="R1556" s="69"/>
      <c r="S1556" s="69"/>
    </row>
    <row r="1557" s="2" customFormat="1" ht="24.95" customHeight="1" spans="1:19">
      <c r="A1557" s="15"/>
      <c r="B1557" s="55"/>
      <c r="C1557" s="56"/>
      <c r="D1557" s="68"/>
      <c r="E1557" s="69"/>
      <c r="F1557" s="69"/>
      <c r="G1557" s="65"/>
      <c r="H1557" s="65"/>
      <c r="I1557" s="70"/>
      <c r="J1557" s="71"/>
      <c r="K1557" s="71"/>
      <c r="L1557" s="72" t="str">
        <f>IFERROR(IF(G1557="","",VLOOKUP($G1557,[1]基础信息!$B:$C,2,FALSE)+SUMIF(G$8:G1557,G1557,J$8:J1557)-SUMIF(G$8:G1557,G1557,K$8:K1557)+SUMIFS([1]内部转账!$G:$G,[1]内部转账!$C:$C,"&lt;="&amp;$D1557,[1]内部转账!$E:$E,$G1557)-SUMIFS([1]内部转账!$G:$G,[1]内部转账!$C:$C,"&lt;="&amp;$D1557,[1]内部转账!$F:$F,$G1557)),"")</f>
        <v/>
      </c>
      <c r="M1557" s="64"/>
      <c r="N1557" s="69"/>
      <c r="O1557" s="64"/>
      <c r="P1557" s="64"/>
      <c r="Q1557" s="69"/>
      <c r="R1557" s="69"/>
      <c r="S1557" s="69"/>
    </row>
    <row r="1558" s="2" customFormat="1" ht="24.95" customHeight="1" spans="1:19">
      <c r="A1558" s="15"/>
      <c r="B1558" s="55"/>
      <c r="C1558" s="56"/>
      <c r="D1558" s="68"/>
      <c r="E1558" s="69"/>
      <c r="F1558" s="69"/>
      <c r="G1558" s="65"/>
      <c r="H1558" s="65"/>
      <c r="I1558" s="70"/>
      <c r="J1558" s="71"/>
      <c r="K1558" s="71"/>
      <c r="L1558" s="72" t="str">
        <f>IFERROR(IF(G1558="","",VLOOKUP($G1558,[1]基础信息!$B:$C,2,FALSE)+SUMIF(G$8:G1558,G1558,J$8:J1558)-SUMIF(G$8:G1558,G1558,K$8:K1558)+SUMIFS([1]内部转账!$G:$G,[1]内部转账!$C:$C,"&lt;="&amp;$D1558,[1]内部转账!$E:$E,$G1558)-SUMIFS([1]内部转账!$G:$G,[1]内部转账!$C:$C,"&lt;="&amp;$D1558,[1]内部转账!$F:$F,$G1558)),"")</f>
        <v/>
      </c>
      <c r="M1558" s="64"/>
      <c r="N1558" s="69"/>
      <c r="O1558" s="64"/>
      <c r="P1558" s="64"/>
      <c r="Q1558" s="69"/>
      <c r="R1558" s="69"/>
      <c r="S1558" s="69"/>
    </row>
    <row r="1559" s="2" customFormat="1" ht="24.95" customHeight="1" spans="1:19">
      <c r="A1559" s="15"/>
      <c r="B1559" s="55"/>
      <c r="C1559" s="56"/>
      <c r="D1559" s="68"/>
      <c r="E1559" s="69"/>
      <c r="F1559" s="69"/>
      <c r="G1559" s="65"/>
      <c r="H1559" s="65"/>
      <c r="I1559" s="70"/>
      <c r="J1559" s="71"/>
      <c r="K1559" s="71"/>
      <c r="L1559" s="72" t="str">
        <f>IFERROR(IF(G1559="","",VLOOKUP($G1559,[1]基础信息!$B:$C,2,FALSE)+SUMIF(G$8:G1559,G1559,J$8:J1559)-SUMIF(G$8:G1559,G1559,K$8:K1559)+SUMIFS([1]内部转账!$G:$G,[1]内部转账!$C:$C,"&lt;="&amp;$D1559,[1]内部转账!$E:$E,$G1559)-SUMIFS([1]内部转账!$G:$G,[1]内部转账!$C:$C,"&lt;="&amp;$D1559,[1]内部转账!$F:$F,$G1559)),"")</f>
        <v/>
      </c>
      <c r="M1559" s="64"/>
      <c r="N1559" s="69"/>
      <c r="O1559" s="64"/>
      <c r="P1559" s="64"/>
      <c r="Q1559" s="69"/>
      <c r="R1559" s="69"/>
      <c r="S1559" s="69"/>
    </row>
    <row r="1560" s="2" customFormat="1" ht="24.95" customHeight="1" spans="1:19">
      <c r="A1560" s="15"/>
      <c r="B1560" s="55"/>
      <c r="C1560" s="56"/>
      <c r="D1560" s="68"/>
      <c r="E1560" s="69"/>
      <c r="F1560" s="69"/>
      <c r="G1560" s="65"/>
      <c r="H1560" s="65"/>
      <c r="I1560" s="70"/>
      <c r="J1560" s="71"/>
      <c r="K1560" s="71"/>
      <c r="L1560" s="72" t="str">
        <f>IFERROR(IF(G1560="","",VLOOKUP($G1560,[1]基础信息!$B:$C,2,FALSE)+SUMIF(G$8:G1560,G1560,J$8:J1560)-SUMIF(G$8:G1560,G1560,K$8:K1560)+SUMIFS([1]内部转账!$G:$G,[1]内部转账!$C:$C,"&lt;="&amp;$D1560,[1]内部转账!$E:$E,$G1560)-SUMIFS([1]内部转账!$G:$G,[1]内部转账!$C:$C,"&lt;="&amp;$D1560,[1]内部转账!$F:$F,$G1560)),"")</f>
        <v/>
      </c>
      <c r="M1560" s="64"/>
      <c r="N1560" s="69"/>
      <c r="O1560" s="64"/>
      <c r="P1560" s="64"/>
      <c r="Q1560" s="69"/>
      <c r="R1560" s="69"/>
      <c r="S1560" s="69"/>
    </row>
    <row r="1561" s="2" customFormat="1" ht="24.95" customHeight="1" spans="1:19">
      <c r="A1561" s="15"/>
      <c r="B1561" s="55"/>
      <c r="C1561" s="56"/>
      <c r="D1561" s="68"/>
      <c r="E1561" s="69"/>
      <c r="F1561" s="69"/>
      <c r="G1561" s="65"/>
      <c r="H1561" s="65"/>
      <c r="I1561" s="70"/>
      <c r="J1561" s="71"/>
      <c r="K1561" s="71"/>
      <c r="L1561" s="72" t="str">
        <f>IFERROR(IF(G1561="","",VLOOKUP($G1561,[1]基础信息!$B:$C,2,FALSE)+SUMIF(G$8:G1561,G1561,J$8:J1561)-SUMIF(G$8:G1561,G1561,K$8:K1561)+SUMIFS([1]内部转账!$G:$G,[1]内部转账!$C:$C,"&lt;="&amp;$D1561,[1]内部转账!$E:$E,$G1561)-SUMIFS([1]内部转账!$G:$G,[1]内部转账!$C:$C,"&lt;="&amp;$D1561,[1]内部转账!$F:$F,$G1561)),"")</f>
        <v/>
      </c>
      <c r="M1561" s="64"/>
      <c r="N1561" s="69"/>
      <c r="O1561" s="64"/>
      <c r="P1561" s="64"/>
      <c r="Q1561" s="69"/>
      <c r="R1561" s="69"/>
      <c r="S1561" s="69"/>
    </row>
    <row r="1562" s="2" customFormat="1" ht="24.95" customHeight="1" spans="1:19">
      <c r="A1562" s="15"/>
      <c r="B1562" s="55"/>
      <c r="C1562" s="56"/>
      <c r="D1562" s="68"/>
      <c r="E1562" s="69"/>
      <c r="F1562" s="69"/>
      <c r="G1562" s="65"/>
      <c r="H1562" s="65"/>
      <c r="I1562" s="70"/>
      <c r="J1562" s="71"/>
      <c r="K1562" s="71"/>
      <c r="L1562" s="72" t="str">
        <f>IFERROR(IF(G1562="","",VLOOKUP($G1562,[1]基础信息!$B:$C,2,FALSE)+SUMIF(G$8:G1562,G1562,J$8:J1562)-SUMIF(G$8:G1562,G1562,K$8:K1562)+SUMIFS([1]内部转账!$G:$G,[1]内部转账!$C:$C,"&lt;="&amp;$D1562,[1]内部转账!$E:$E,$G1562)-SUMIFS([1]内部转账!$G:$G,[1]内部转账!$C:$C,"&lt;="&amp;$D1562,[1]内部转账!$F:$F,$G1562)),"")</f>
        <v/>
      </c>
      <c r="M1562" s="64"/>
      <c r="N1562" s="69"/>
      <c r="O1562" s="64"/>
      <c r="P1562" s="64"/>
      <c r="Q1562" s="69"/>
      <c r="R1562" s="69"/>
      <c r="S1562" s="69"/>
    </row>
    <row r="1563" s="2" customFormat="1" ht="24.95" customHeight="1" spans="1:19">
      <c r="A1563" s="15"/>
      <c r="B1563" s="55"/>
      <c r="C1563" s="56"/>
      <c r="D1563" s="68"/>
      <c r="E1563" s="69"/>
      <c r="F1563" s="69"/>
      <c r="G1563" s="65"/>
      <c r="H1563" s="65"/>
      <c r="I1563" s="70"/>
      <c r="J1563" s="71"/>
      <c r="K1563" s="71"/>
      <c r="L1563" s="72" t="str">
        <f>IFERROR(IF(G1563="","",VLOOKUP($G1563,[1]基础信息!$B:$C,2,FALSE)+SUMIF(G$8:G1563,G1563,J$8:J1563)-SUMIF(G$8:G1563,G1563,K$8:K1563)+SUMIFS([1]内部转账!$G:$G,[1]内部转账!$C:$C,"&lt;="&amp;$D1563,[1]内部转账!$E:$E,$G1563)-SUMIFS([1]内部转账!$G:$G,[1]内部转账!$C:$C,"&lt;="&amp;$D1563,[1]内部转账!$F:$F,$G1563)),"")</f>
        <v/>
      </c>
      <c r="M1563" s="64"/>
      <c r="N1563" s="69"/>
      <c r="O1563" s="64"/>
      <c r="P1563" s="64"/>
      <c r="Q1563" s="69"/>
      <c r="R1563" s="69"/>
      <c r="S1563" s="69"/>
    </row>
    <row r="1564" s="2" customFormat="1" ht="24.95" customHeight="1" spans="1:19">
      <c r="A1564" s="15"/>
      <c r="B1564" s="55"/>
      <c r="C1564" s="56"/>
      <c r="D1564" s="68"/>
      <c r="E1564" s="69"/>
      <c r="F1564" s="69"/>
      <c r="G1564" s="65"/>
      <c r="H1564" s="65"/>
      <c r="I1564" s="70"/>
      <c r="J1564" s="71"/>
      <c r="K1564" s="71"/>
      <c r="L1564" s="72" t="str">
        <f>IFERROR(IF(G1564="","",VLOOKUP($G1564,[1]基础信息!$B:$C,2,FALSE)+SUMIF(G$8:G1564,G1564,J$8:J1564)-SUMIF(G$8:G1564,G1564,K$8:K1564)+SUMIFS([1]内部转账!$G:$G,[1]内部转账!$C:$C,"&lt;="&amp;$D1564,[1]内部转账!$E:$E,$G1564)-SUMIFS([1]内部转账!$G:$G,[1]内部转账!$C:$C,"&lt;="&amp;$D1564,[1]内部转账!$F:$F,$G1564)),"")</f>
        <v/>
      </c>
      <c r="M1564" s="64"/>
      <c r="N1564" s="69"/>
      <c r="O1564" s="64"/>
      <c r="P1564" s="64"/>
      <c r="Q1564" s="69"/>
      <c r="R1564" s="69"/>
      <c r="S1564" s="69"/>
    </row>
    <row r="1565" s="2" customFormat="1" ht="24.95" customHeight="1" spans="1:19">
      <c r="A1565" s="15"/>
      <c r="B1565" s="55"/>
      <c r="C1565" s="56"/>
      <c r="D1565" s="68"/>
      <c r="E1565" s="69"/>
      <c r="F1565" s="69"/>
      <c r="G1565" s="65"/>
      <c r="H1565" s="65"/>
      <c r="I1565" s="70"/>
      <c r="J1565" s="71"/>
      <c r="K1565" s="71"/>
      <c r="L1565" s="72" t="str">
        <f>IFERROR(IF(G1565="","",VLOOKUP($G1565,[1]基础信息!$B:$C,2,FALSE)+SUMIF(G$8:G1565,G1565,J$8:J1565)-SUMIF(G$8:G1565,G1565,K$8:K1565)+SUMIFS([1]内部转账!$G:$G,[1]内部转账!$C:$C,"&lt;="&amp;$D1565,[1]内部转账!$E:$E,$G1565)-SUMIFS([1]内部转账!$G:$G,[1]内部转账!$C:$C,"&lt;="&amp;$D1565,[1]内部转账!$F:$F,$G1565)),"")</f>
        <v/>
      </c>
      <c r="M1565" s="64"/>
      <c r="N1565" s="69"/>
      <c r="O1565" s="64"/>
      <c r="P1565" s="64"/>
      <c r="Q1565" s="69"/>
      <c r="R1565" s="69"/>
      <c r="S1565" s="69"/>
    </row>
    <row r="1566" s="2" customFormat="1" ht="24.95" customHeight="1" spans="1:19">
      <c r="A1566" s="15"/>
      <c r="B1566" s="55"/>
      <c r="C1566" s="56"/>
      <c r="D1566" s="68"/>
      <c r="E1566" s="69"/>
      <c r="F1566" s="69"/>
      <c r="G1566" s="65"/>
      <c r="H1566" s="65"/>
      <c r="I1566" s="70"/>
      <c r="J1566" s="71"/>
      <c r="K1566" s="71"/>
      <c r="L1566" s="72" t="str">
        <f>IFERROR(IF(G1566="","",VLOOKUP($G1566,[1]基础信息!$B:$C,2,FALSE)+SUMIF(G$8:G1566,G1566,J$8:J1566)-SUMIF(G$8:G1566,G1566,K$8:K1566)+SUMIFS([1]内部转账!$G:$G,[1]内部转账!$C:$C,"&lt;="&amp;$D1566,[1]内部转账!$E:$E,$G1566)-SUMIFS([1]内部转账!$G:$G,[1]内部转账!$C:$C,"&lt;="&amp;$D1566,[1]内部转账!$F:$F,$G1566)),"")</f>
        <v/>
      </c>
      <c r="M1566" s="64"/>
      <c r="N1566" s="69"/>
      <c r="O1566" s="64"/>
      <c r="P1566" s="64"/>
      <c r="Q1566" s="69"/>
      <c r="R1566" s="69"/>
      <c r="S1566" s="69"/>
    </row>
    <row r="1567" s="2" customFormat="1" ht="24.95" customHeight="1" spans="1:19">
      <c r="A1567" s="15"/>
      <c r="B1567" s="55"/>
      <c r="C1567" s="56"/>
      <c r="D1567" s="68"/>
      <c r="E1567" s="69"/>
      <c r="F1567" s="69"/>
      <c r="G1567" s="65"/>
      <c r="H1567" s="65"/>
      <c r="I1567" s="70"/>
      <c r="J1567" s="71"/>
      <c r="K1567" s="71"/>
      <c r="L1567" s="72" t="str">
        <f>IFERROR(IF(G1567="","",VLOOKUP($G1567,[1]基础信息!$B:$C,2,FALSE)+SUMIF(G$8:G1567,G1567,J$8:J1567)-SUMIF(G$8:G1567,G1567,K$8:K1567)+SUMIFS([1]内部转账!$G:$G,[1]内部转账!$C:$C,"&lt;="&amp;$D1567,[1]内部转账!$E:$E,$G1567)-SUMIFS([1]内部转账!$G:$G,[1]内部转账!$C:$C,"&lt;="&amp;$D1567,[1]内部转账!$F:$F,$G1567)),"")</f>
        <v/>
      </c>
      <c r="M1567" s="64"/>
      <c r="N1567" s="69"/>
      <c r="O1567" s="64"/>
      <c r="P1567" s="64"/>
      <c r="Q1567" s="69"/>
      <c r="R1567" s="69"/>
      <c r="S1567" s="69"/>
    </row>
    <row r="1568" s="2" customFormat="1" ht="24.95" customHeight="1" spans="1:19">
      <c r="A1568" s="15"/>
      <c r="B1568" s="55"/>
      <c r="C1568" s="56"/>
      <c r="D1568" s="68"/>
      <c r="E1568" s="69"/>
      <c r="F1568" s="69"/>
      <c r="G1568" s="65"/>
      <c r="H1568" s="65"/>
      <c r="I1568" s="70"/>
      <c r="J1568" s="71"/>
      <c r="K1568" s="71"/>
      <c r="L1568" s="72" t="str">
        <f>IFERROR(IF(G1568="","",VLOOKUP($G1568,[1]基础信息!$B:$C,2,FALSE)+SUMIF(G$8:G1568,G1568,J$8:J1568)-SUMIF(G$8:G1568,G1568,K$8:K1568)+SUMIFS([1]内部转账!$G:$G,[1]内部转账!$C:$C,"&lt;="&amp;$D1568,[1]内部转账!$E:$E,$G1568)-SUMIFS([1]内部转账!$G:$G,[1]内部转账!$C:$C,"&lt;="&amp;$D1568,[1]内部转账!$F:$F,$G1568)),"")</f>
        <v/>
      </c>
      <c r="M1568" s="64"/>
      <c r="N1568" s="69"/>
      <c r="O1568" s="64"/>
      <c r="P1568" s="64"/>
      <c r="Q1568" s="69"/>
      <c r="R1568" s="69"/>
      <c r="S1568" s="69"/>
    </row>
    <row r="1569" s="2" customFormat="1" ht="24.95" customHeight="1" spans="1:19">
      <c r="A1569" s="15"/>
      <c r="B1569" s="55"/>
      <c r="C1569" s="56"/>
      <c r="D1569" s="68"/>
      <c r="E1569" s="69"/>
      <c r="F1569" s="69"/>
      <c r="G1569" s="65"/>
      <c r="H1569" s="65"/>
      <c r="I1569" s="70"/>
      <c r="J1569" s="71"/>
      <c r="K1569" s="71"/>
      <c r="L1569" s="72" t="str">
        <f>IFERROR(IF(G1569="","",VLOOKUP($G1569,[1]基础信息!$B:$C,2,FALSE)+SUMIF(G$8:G1569,G1569,J$8:J1569)-SUMIF(G$8:G1569,G1569,K$8:K1569)+SUMIFS([1]内部转账!$G:$G,[1]内部转账!$C:$C,"&lt;="&amp;$D1569,[1]内部转账!$E:$E,$G1569)-SUMIFS([1]内部转账!$G:$G,[1]内部转账!$C:$C,"&lt;="&amp;$D1569,[1]内部转账!$F:$F,$G1569)),"")</f>
        <v/>
      </c>
      <c r="M1569" s="64"/>
      <c r="N1569" s="69"/>
      <c r="O1569" s="64"/>
      <c r="P1569" s="64"/>
      <c r="Q1569" s="69"/>
      <c r="R1569" s="69"/>
      <c r="S1569" s="69"/>
    </row>
    <row r="1570" s="2" customFormat="1" ht="24.95" customHeight="1" spans="1:19">
      <c r="A1570" s="15"/>
      <c r="B1570" s="55"/>
      <c r="C1570" s="56"/>
      <c r="D1570" s="68"/>
      <c r="E1570" s="69"/>
      <c r="F1570" s="69"/>
      <c r="G1570" s="65"/>
      <c r="H1570" s="65"/>
      <c r="I1570" s="70"/>
      <c r="J1570" s="71"/>
      <c r="K1570" s="71"/>
      <c r="L1570" s="72" t="str">
        <f>IFERROR(IF(G1570="","",VLOOKUP($G1570,[1]基础信息!$B:$C,2,FALSE)+SUMIF(G$8:G1570,G1570,J$8:J1570)-SUMIF(G$8:G1570,G1570,K$8:K1570)+SUMIFS([1]内部转账!$G:$G,[1]内部转账!$C:$C,"&lt;="&amp;$D1570,[1]内部转账!$E:$E,$G1570)-SUMIFS([1]内部转账!$G:$G,[1]内部转账!$C:$C,"&lt;="&amp;$D1570,[1]内部转账!$F:$F,$G1570)),"")</f>
        <v/>
      </c>
      <c r="M1570" s="64"/>
      <c r="N1570" s="69"/>
      <c r="O1570" s="64"/>
      <c r="P1570" s="64"/>
      <c r="Q1570" s="69"/>
      <c r="R1570" s="69"/>
      <c r="S1570" s="69"/>
    </row>
    <row r="1571" s="2" customFormat="1" ht="24.95" customHeight="1" spans="1:19">
      <c r="A1571" s="15"/>
      <c r="B1571" s="55"/>
      <c r="C1571" s="56"/>
      <c r="D1571" s="68"/>
      <c r="E1571" s="69"/>
      <c r="F1571" s="69"/>
      <c r="G1571" s="65"/>
      <c r="H1571" s="65"/>
      <c r="I1571" s="70"/>
      <c r="J1571" s="71"/>
      <c r="K1571" s="71"/>
      <c r="L1571" s="72" t="str">
        <f>IFERROR(IF(G1571="","",VLOOKUP($G1571,[1]基础信息!$B:$C,2,FALSE)+SUMIF(G$8:G1571,G1571,J$8:J1571)-SUMIF(G$8:G1571,G1571,K$8:K1571)+SUMIFS([1]内部转账!$G:$G,[1]内部转账!$C:$C,"&lt;="&amp;$D1571,[1]内部转账!$E:$E,$G1571)-SUMIFS([1]内部转账!$G:$G,[1]内部转账!$C:$C,"&lt;="&amp;$D1571,[1]内部转账!$F:$F,$G1571)),"")</f>
        <v/>
      </c>
      <c r="M1571" s="64"/>
      <c r="N1571" s="69"/>
      <c r="O1571" s="64"/>
      <c r="P1571" s="64"/>
      <c r="Q1571" s="69"/>
      <c r="R1571" s="69"/>
      <c r="S1571" s="69"/>
    </row>
    <row r="1572" s="2" customFormat="1" ht="24.95" customHeight="1" spans="1:19">
      <c r="A1572" s="15"/>
      <c r="B1572" s="55"/>
      <c r="C1572" s="56"/>
      <c r="D1572" s="68"/>
      <c r="E1572" s="69"/>
      <c r="F1572" s="69"/>
      <c r="G1572" s="65"/>
      <c r="H1572" s="65"/>
      <c r="I1572" s="70"/>
      <c r="J1572" s="71"/>
      <c r="K1572" s="71"/>
      <c r="L1572" s="72" t="str">
        <f>IFERROR(IF(G1572="","",VLOOKUP($G1572,[1]基础信息!$B:$C,2,FALSE)+SUMIF(G$8:G1572,G1572,J$8:J1572)-SUMIF(G$8:G1572,G1572,K$8:K1572)+SUMIFS([1]内部转账!$G:$G,[1]内部转账!$C:$C,"&lt;="&amp;$D1572,[1]内部转账!$E:$E,$G1572)-SUMIFS([1]内部转账!$G:$G,[1]内部转账!$C:$C,"&lt;="&amp;$D1572,[1]内部转账!$F:$F,$G1572)),"")</f>
        <v/>
      </c>
      <c r="M1572" s="64"/>
      <c r="N1572" s="69"/>
      <c r="O1572" s="64"/>
      <c r="P1572" s="64"/>
      <c r="Q1572" s="69"/>
      <c r="R1572" s="69"/>
      <c r="S1572" s="69"/>
    </row>
    <row r="1573" s="2" customFormat="1" ht="24.95" customHeight="1" spans="1:19">
      <c r="A1573" s="15"/>
      <c r="B1573" s="55"/>
      <c r="C1573" s="56"/>
      <c r="D1573" s="68"/>
      <c r="E1573" s="69"/>
      <c r="F1573" s="69"/>
      <c r="G1573" s="65"/>
      <c r="H1573" s="65"/>
      <c r="I1573" s="70"/>
      <c r="J1573" s="71"/>
      <c r="K1573" s="71"/>
      <c r="L1573" s="72" t="str">
        <f>IFERROR(IF(G1573="","",VLOOKUP($G1573,[1]基础信息!$B:$C,2,FALSE)+SUMIF(G$8:G1573,G1573,J$8:J1573)-SUMIF(G$8:G1573,G1573,K$8:K1573)+SUMIFS([1]内部转账!$G:$G,[1]内部转账!$C:$C,"&lt;="&amp;$D1573,[1]内部转账!$E:$E,$G1573)-SUMIFS([1]内部转账!$G:$G,[1]内部转账!$C:$C,"&lt;="&amp;$D1573,[1]内部转账!$F:$F,$G1573)),"")</f>
        <v/>
      </c>
      <c r="M1573" s="64"/>
      <c r="N1573" s="69"/>
      <c r="O1573" s="64"/>
      <c r="P1573" s="64"/>
      <c r="Q1573" s="69"/>
      <c r="R1573" s="69"/>
      <c r="S1573" s="69"/>
    </row>
    <row r="1574" s="2" customFormat="1" ht="24.95" customHeight="1" spans="1:19">
      <c r="A1574" s="15"/>
      <c r="B1574" s="55"/>
      <c r="C1574" s="56"/>
      <c r="D1574" s="68"/>
      <c r="E1574" s="69"/>
      <c r="F1574" s="69"/>
      <c r="G1574" s="65"/>
      <c r="H1574" s="65"/>
      <c r="I1574" s="70"/>
      <c r="J1574" s="71"/>
      <c r="K1574" s="71"/>
      <c r="L1574" s="72" t="str">
        <f>IFERROR(IF(G1574="","",VLOOKUP($G1574,[1]基础信息!$B:$C,2,FALSE)+SUMIF(G$8:G1574,G1574,J$8:J1574)-SUMIF(G$8:G1574,G1574,K$8:K1574)+SUMIFS([1]内部转账!$G:$G,[1]内部转账!$C:$C,"&lt;="&amp;$D1574,[1]内部转账!$E:$E,$G1574)-SUMIFS([1]内部转账!$G:$G,[1]内部转账!$C:$C,"&lt;="&amp;$D1574,[1]内部转账!$F:$F,$G1574)),"")</f>
        <v/>
      </c>
      <c r="M1574" s="64"/>
      <c r="N1574" s="69"/>
      <c r="O1574" s="64"/>
      <c r="P1574" s="64"/>
      <c r="Q1574" s="69"/>
      <c r="R1574" s="69"/>
      <c r="S1574" s="69"/>
    </row>
    <row r="1575" s="2" customFormat="1" ht="24.95" customHeight="1" spans="1:19">
      <c r="A1575" s="15"/>
      <c r="B1575" s="55"/>
      <c r="C1575" s="56"/>
      <c r="D1575" s="68"/>
      <c r="E1575" s="69"/>
      <c r="F1575" s="69"/>
      <c r="G1575" s="65"/>
      <c r="H1575" s="65"/>
      <c r="I1575" s="70"/>
      <c r="J1575" s="71"/>
      <c r="K1575" s="71"/>
      <c r="L1575" s="72" t="str">
        <f>IFERROR(IF(G1575="","",VLOOKUP($G1575,[1]基础信息!$B:$C,2,FALSE)+SUMIF(G$8:G1575,G1575,J$8:J1575)-SUMIF(G$8:G1575,G1575,K$8:K1575)+SUMIFS([1]内部转账!$G:$G,[1]内部转账!$C:$C,"&lt;="&amp;$D1575,[1]内部转账!$E:$E,$G1575)-SUMIFS([1]内部转账!$G:$G,[1]内部转账!$C:$C,"&lt;="&amp;$D1575,[1]内部转账!$F:$F,$G1575)),"")</f>
        <v/>
      </c>
      <c r="M1575" s="64"/>
      <c r="N1575" s="69"/>
      <c r="O1575" s="64"/>
      <c r="P1575" s="64"/>
      <c r="Q1575" s="69"/>
      <c r="R1575" s="69"/>
      <c r="S1575" s="69"/>
    </row>
    <row r="1576" s="2" customFormat="1" ht="24.95" customHeight="1" spans="1:19">
      <c r="A1576" s="15"/>
      <c r="B1576" s="55"/>
      <c r="C1576" s="56"/>
      <c r="D1576" s="68"/>
      <c r="E1576" s="69"/>
      <c r="F1576" s="69"/>
      <c r="G1576" s="65"/>
      <c r="H1576" s="65"/>
      <c r="I1576" s="70"/>
      <c r="J1576" s="71"/>
      <c r="K1576" s="71"/>
      <c r="L1576" s="72" t="str">
        <f>IFERROR(IF(G1576="","",VLOOKUP($G1576,[1]基础信息!$B:$C,2,FALSE)+SUMIF(G$8:G1576,G1576,J$8:J1576)-SUMIF(G$8:G1576,G1576,K$8:K1576)+SUMIFS([1]内部转账!$G:$G,[1]内部转账!$C:$C,"&lt;="&amp;$D1576,[1]内部转账!$E:$E,$G1576)-SUMIFS([1]内部转账!$G:$G,[1]内部转账!$C:$C,"&lt;="&amp;$D1576,[1]内部转账!$F:$F,$G1576)),"")</f>
        <v/>
      </c>
      <c r="M1576" s="64"/>
      <c r="N1576" s="69"/>
      <c r="O1576" s="64"/>
      <c r="P1576" s="64"/>
      <c r="Q1576" s="69"/>
      <c r="R1576" s="69"/>
      <c r="S1576" s="69"/>
    </row>
    <row r="1577" s="2" customFormat="1" ht="24.95" customHeight="1" spans="1:19">
      <c r="A1577" s="15"/>
      <c r="B1577" s="55"/>
      <c r="C1577" s="56"/>
      <c r="D1577" s="68"/>
      <c r="E1577" s="69"/>
      <c r="F1577" s="69"/>
      <c r="G1577" s="65"/>
      <c r="H1577" s="65"/>
      <c r="I1577" s="70"/>
      <c r="J1577" s="71"/>
      <c r="K1577" s="71"/>
      <c r="L1577" s="72" t="str">
        <f>IFERROR(IF(G1577="","",VLOOKUP($G1577,[1]基础信息!$B:$C,2,FALSE)+SUMIF(G$8:G1577,G1577,J$8:J1577)-SUMIF(G$8:G1577,G1577,K$8:K1577)+SUMIFS([1]内部转账!$G:$G,[1]内部转账!$C:$C,"&lt;="&amp;$D1577,[1]内部转账!$E:$E,$G1577)-SUMIFS([1]内部转账!$G:$G,[1]内部转账!$C:$C,"&lt;="&amp;$D1577,[1]内部转账!$F:$F,$G1577)),"")</f>
        <v/>
      </c>
      <c r="M1577" s="64"/>
      <c r="N1577" s="69"/>
      <c r="O1577" s="64"/>
      <c r="P1577" s="64"/>
      <c r="Q1577" s="69"/>
      <c r="R1577" s="69"/>
      <c r="S1577" s="69"/>
    </row>
    <row r="1578" s="2" customFormat="1" ht="24.95" customHeight="1" spans="1:19">
      <c r="A1578" s="15"/>
      <c r="B1578" s="55"/>
      <c r="C1578" s="56"/>
      <c r="D1578" s="68"/>
      <c r="E1578" s="69"/>
      <c r="F1578" s="69"/>
      <c r="G1578" s="65"/>
      <c r="H1578" s="65"/>
      <c r="I1578" s="70"/>
      <c r="J1578" s="71"/>
      <c r="K1578" s="71"/>
      <c r="L1578" s="72" t="str">
        <f>IFERROR(IF(G1578="","",VLOOKUP($G1578,[1]基础信息!$B:$C,2,FALSE)+SUMIF(G$8:G1578,G1578,J$8:J1578)-SUMIF(G$8:G1578,G1578,K$8:K1578)+SUMIFS([1]内部转账!$G:$G,[1]内部转账!$C:$C,"&lt;="&amp;$D1578,[1]内部转账!$E:$E,$G1578)-SUMIFS([1]内部转账!$G:$G,[1]内部转账!$C:$C,"&lt;="&amp;$D1578,[1]内部转账!$F:$F,$G1578)),"")</f>
        <v/>
      </c>
      <c r="M1578" s="64"/>
      <c r="N1578" s="69"/>
      <c r="O1578" s="64"/>
      <c r="P1578" s="64"/>
      <c r="Q1578" s="69"/>
      <c r="R1578" s="69"/>
      <c r="S1578" s="69"/>
    </row>
    <row r="1579" s="2" customFormat="1" ht="24.95" customHeight="1" spans="1:19">
      <c r="A1579" s="15"/>
      <c r="B1579" s="55"/>
      <c r="C1579" s="56"/>
      <c r="D1579" s="68"/>
      <c r="E1579" s="69"/>
      <c r="F1579" s="69"/>
      <c r="G1579" s="65"/>
      <c r="H1579" s="65"/>
      <c r="I1579" s="70"/>
      <c r="J1579" s="71"/>
      <c r="K1579" s="71"/>
      <c r="L1579" s="72" t="str">
        <f>IFERROR(IF(G1579="","",VLOOKUP($G1579,[1]基础信息!$B:$C,2,FALSE)+SUMIF(G$8:G1579,G1579,J$8:J1579)-SUMIF(G$8:G1579,G1579,K$8:K1579)+SUMIFS([1]内部转账!$G:$G,[1]内部转账!$C:$C,"&lt;="&amp;$D1579,[1]内部转账!$E:$E,$G1579)-SUMIFS([1]内部转账!$G:$G,[1]内部转账!$C:$C,"&lt;="&amp;$D1579,[1]内部转账!$F:$F,$G1579)),"")</f>
        <v/>
      </c>
      <c r="M1579" s="64"/>
      <c r="N1579" s="69"/>
      <c r="O1579" s="64"/>
      <c r="P1579" s="64"/>
      <c r="Q1579" s="69"/>
      <c r="R1579" s="69"/>
      <c r="S1579" s="69"/>
    </row>
    <row r="1580" s="2" customFormat="1" ht="24.95" customHeight="1" spans="1:19">
      <c r="A1580" s="15"/>
      <c r="B1580" s="55"/>
      <c r="C1580" s="56"/>
      <c r="D1580" s="68"/>
      <c r="E1580" s="69"/>
      <c r="F1580" s="69"/>
      <c r="G1580" s="65"/>
      <c r="H1580" s="65"/>
      <c r="I1580" s="70"/>
      <c r="J1580" s="71"/>
      <c r="K1580" s="71"/>
      <c r="L1580" s="72" t="str">
        <f>IFERROR(IF(G1580="","",VLOOKUP($G1580,[1]基础信息!$B:$C,2,FALSE)+SUMIF(G$8:G1580,G1580,J$8:J1580)-SUMIF(G$8:G1580,G1580,K$8:K1580)+SUMIFS([1]内部转账!$G:$G,[1]内部转账!$C:$C,"&lt;="&amp;$D1580,[1]内部转账!$E:$E,$G1580)-SUMIFS([1]内部转账!$G:$G,[1]内部转账!$C:$C,"&lt;="&amp;$D1580,[1]内部转账!$F:$F,$G1580)),"")</f>
        <v/>
      </c>
      <c r="M1580" s="64"/>
      <c r="N1580" s="69"/>
      <c r="O1580" s="64"/>
      <c r="P1580" s="64"/>
      <c r="Q1580" s="69"/>
      <c r="R1580" s="69"/>
      <c r="S1580" s="69"/>
    </row>
    <row r="1581" s="2" customFormat="1" ht="24.95" customHeight="1" spans="1:19">
      <c r="A1581" s="15"/>
      <c r="B1581" s="55"/>
      <c r="C1581" s="56"/>
      <c r="D1581" s="68"/>
      <c r="E1581" s="69"/>
      <c r="F1581" s="69"/>
      <c r="G1581" s="65"/>
      <c r="H1581" s="65"/>
      <c r="I1581" s="70"/>
      <c r="J1581" s="71"/>
      <c r="K1581" s="71"/>
      <c r="L1581" s="72" t="str">
        <f>IFERROR(IF(G1581="","",VLOOKUP($G1581,[1]基础信息!$B:$C,2,FALSE)+SUMIF(G$8:G1581,G1581,J$8:J1581)-SUMIF(G$8:G1581,G1581,K$8:K1581)+SUMIFS([1]内部转账!$G:$G,[1]内部转账!$C:$C,"&lt;="&amp;$D1581,[1]内部转账!$E:$E,$G1581)-SUMIFS([1]内部转账!$G:$G,[1]内部转账!$C:$C,"&lt;="&amp;$D1581,[1]内部转账!$F:$F,$G1581)),"")</f>
        <v/>
      </c>
      <c r="M1581" s="64"/>
      <c r="N1581" s="69"/>
      <c r="O1581" s="64"/>
      <c r="P1581" s="64"/>
      <c r="Q1581" s="69"/>
      <c r="R1581" s="69"/>
      <c r="S1581" s="69"/>
    </row>
    <row r="1582" s="2" customFormat="1" ht="24.95" customHeight="1" spans="1:19">
      <c r="A1582" s="15"/>
      <c r="B1582" s="55"/>
      <c r="C1582" s="56"/>
      <c r="D1582" s="68"/>
      <c r="E1582" s="69"/>
      <c r="F1582" s="69"/>
      <c r="G1582" s="65"/>
      <c r="H1582" s="65"/>
      <c r="I1582" s="70"/>
      <c r="J1582" s="71"/>
      <c r="K1582" s="71"/>
      <c r="L1582" s="72" t="str">
        <f>IFERROR(IF(G1582="","",VLOOKUP($G1582,[1]基础信息!$B:$C,2,FALSE)+SUMIF(G$8:G1582,G1582,J$8:J1582)-SUMIF(G$8:G1582,G1582,K$8:K1582)+SUMIFS([1]内部转账!$G:$G,[1]内部转账!$C:$C,"&lt;="&amp;$D1582,[1]内部转账!$E:$E,$G1582)-SUMIFS([1]内部转账!$G:$G,[1]内部转账!$C:$C,"&lt;="&amp;$D1582,[1]内部转账!$F:$F,$G1582)),"")</f>
        <v/>
      </c>
      <c r="M1582" s="64"/>
      <c r="N1582" s="69"/>
      <c r="O1582" s="64"/>
      <c r="P1582" s="64"/>
      <c r="Q1582" s="69"/>
      <c r="R1582" s="69"/>
      <c r="S1582" s="69"/>
    </row>
    <row r="1583" s="2" customFormat="1" ht="24.95" customHeight="1" spans="1:19">
      <c r="A1583" s="15"/>
      <c r="B1583" s="55"/>
      <c r="C1583" s="56"/>
      <c r="D1583" s="68"/>
      <c r="E1583" s="69"/>
      <c r="F1583" s="69"/>
      <c r="G1583" s="65"/>
      <c r="H1583" s="65"/>
      <c r="I1583" s="70"/>
      <c r="J1583" s="71"/>
      <c r="K1583" s="71"/>
      <c r="L1583" s="72" t="str">
        <f>IFERROR(IF(G1583="","",VLOOKUP($G1583,[1]基础信息!$B:$C,2,FALSE)+SUMIF(G$8:G1583,G1583,J$8:J1583)-SUMIF(G$8:G1583,G1583,K$8:K1583)+SUMIFS([1]内部转账!$G:$G,[1]内部转账!$C:$C,"&lt;="&amp;$D1583,[1]内部转账!$E:$E,$G1583)-SUMIFS([1]内部转账!$G:$G,[1]内部转账!$C:$C,"&lt;="&amp;$D1583,[1]内部转账!$F:$F,$G1583)),"")</f>
        <v/>
      </c>
      <c r="M1583" s="64"/>
      <c r="N1583" s="69"/>
      <c r="O1583" s="64"/>
      <c r="P1583" s="64"/>
      <c r="Q1583" s="69"/>
      <c r="R1583" s="69"/>
      <c r="S1583" s="69"/>
    </row>
    <row r="1584" s="2" customFormat="1" ht="24.95" customHeight="1" spans="1:19">
      <c r="A1584" s="15"/>
      <c r="B1584" s="55"/>
      <c r="C1584" s="56"/>
      <c r="D1584" s="68"/>
      <c r="E1584" s="69"/>
      <c r="F1584" s="69"/>
      <c r="G1584" s="65"/>
      <c r="H1584" s="65"/>
      <c r="I1584" s="70"/>
      <c r="J1584" s="71"/>
      <c r="K1584" s="71"/>
      <c r="L1584" s="72" t="str">
        <f>IFERROR(IF(G1584="","",VLOOKUP($G1584,[1]基础信息!$B:$C,2,FALSE)+SUMIF(G$8:G1584,G1584,J$8:J1584)-SUMIF(G$8:G1584,G1584,K$8:K1584)+SUMIFS([1]内部转账!$G:$G,[1]内部转账!$C:$C,"&lt;="&amp;$D1584,[1]内部转账!$E:$E,$G1584)-SUMIFS([1]内部转账!$G:$G,[1]内部转账!$C:$C,"&lt;="&amp;$D1584,[1]内部转账!$F:$F,$G1584)),"")</f>
        <v/>
      </c>
      <c r="M1584" s="64"/>
      <c r="N1584" s="69"/>
      <c r="O1584" s="64"/>
      <c r="P1584" s="64"/>
      <c r="Q1584" s="69"/>
      <c r="R1584" s="69"/>
      <c r="S1584" s="69"/>
    </row>
    <row r="1585" s="2" customFormat="1" ht="24.95" customHeight="1" spans="1:19">
      <c r="A1585" s="15"/>
      <c r="B1585" s="55"/>
      <c r="C1585" s="56"/>
      <c r="D1585" s="68"/>
      <c r="E1585" s="69"/>
      <c r="F1585" s="69"/>
      <c r="G1585" s="65"/>
      <c r="H1585" s="65"/>
      <c r="I1585" s="70"/>
      <c r="J1585" s="71"/>
      <c r="K1585" s="71"/>
      <c r="L1585" s="72" t="str">
        <f>IFERROR(IF(G1585="","",VLOOKUP($G1585,[1]基础信息!$B:$C,2,FALSE)+SUMIF(G$8:G1585,G1585,J$8:J1585)-SUMIF(G$8:G1585,G1585,K$8:K1585)+SUMIFS([1]内部转账!$G:$G,[1]内部转账!$C:$C,"&lt;="&amp;$D1585,[1]内部转账!$E:$E,$G1585)-SUMIFS([1]内部转账!$G:$G,[1]内部转账!$C:$C,"&lt;="&amp;$D1585,[1]内部转账!$F:$F,$G1585)),"")</f>
        <v/>
      </c>
      <c r="M1585" s="64"/>
      <c r="N1585" s="69"/>
      <c r="O1585" s="64"/>
      <c r="P1585" s="64"/>
      <c r="Q1585" s="69"/>
      <c r="R1585" s="69"/>
      <c r="S1585" s="69"/>
    </row>
    <row r="1586" s="2" customFormat="1" ht="24.95" customHeight="1" spans="1:19">
      <c r="A1586" s="15"/>
      <c r="B1586" s="55"/>
      <c r="C1586" s="56"/>
      <c r="D1586" s="68"/>
      <c r="E1586" s="69"/>
      <c r="F1586" s="69"/>
      <c r="G1586" s="65"/>
      <c r="H1586" s="65"/>
      <c r="I1586" s="70"/>
      <c r="J1586" s="71"/>
      <c r="K1586" s="71"/>
      <c r="L1586" s="72" t="str">
        <f>IFERROR(IF(G1586="","",VLOOKUP($G1586,[1]基础信息!$B:$C,2,FALSE)+SUMIF(G$8:G1586,G1586,J$8:J1586)-SUMIF(G$8:G1586,G1586,K$8:K1586)+SUMIFS([1]内部转账!$G:$G,[1]内部转账!$C:$C,"&lt;="&amp;$D1586,[1]内部转账!$E:$E,$G1586)-SUMIFS([1]内部转账!$G:$G,[1]内部转账!$C:$C,"&lt;="&amp;$D1586,[1]内部转账!$F:$F,$G1586)),"")</f>
        <v/>
      </c>
      <c r="M1586" s="64"/>
      <c r="N1586" s="69"/>
      <c r="O1586" s="64"/>
      <c r="P1586" s="64"/>
      <c r="Q1586" s="69"/>
      <c r="R1586" s="69"/>
      <c r="S1586" s="69"/>
    </row>
    <row r="1587" s="2" customFormat="1" ht="24.95" customHeight="1" spans="1:19">
      <c r="A1587" s="15"/>
      <c r="B1587" s="55"/>
      <c r="C1587" s="56"/>
      <c r="D1587" s="68"/>
      <c r="E1587" s="69"/>
      <c r="F1587" s="69"/>
      <c r="G1587" s="65"/>
      <c r="H1587" s="65"/>
      <c r="I1587" s="70"/>
      <c r="J1587" s="71"/>
      <c r="K1587" s="71"/>
      <c r="L1587" s="72" t="str">
        <f>IFERROR(IF(G1587="","",VLOOKUP($G1587,[1]基础信息!$B:$C,2,FALSE)+SUMIF(G$8:G1587,G1587,J$8:J1587)-SUMIF(G$8:G1587,G1587,K$8:K1587)+SUMIFS([1]内部转账!$G:$G,[1]内部转账!$C:$C,"&lt;="&amp;$D1587,[1]内部转账!$E:$E,$G1587)-SUMIFS([1]内部转账!$G:$G,[1]内部转账!$C:$C,"&lt;="&amp;$D1587,[1]内部转账!$F:$F,$G1587)),"")</f>
        <v/>
      </c>
      <c r="M1587" s="64"/>
      <c r="N1587" s="69"/>
      <c r="O1587" s="64"/>
      <c r="P1587" s="64"/>
      <c r="Q1587" s="69"/>
      <c r="R1587" s="69"/>
      <c r="S1587" s="69"/>
    </row>
    <row r="1588" s="2" customFormat="1" ht="24.95" customHeight="1" spans="1:19">
      <c r="A1588" s="15"/>
      <c r="B1588" s="55"/>
      <c r="C1588" s="56"/>
      <c r="D1588" s="68"/>
      <c r="E1588" s="69"/>
      <c r="F1588" s="69"/>
      <c r="G1588" s="65"/>
      <c r="H1588" s="65"/>
      <c r="I1588" s="70"/>
      <c r="J1588" s="71"/>
      <c r="K1588" s="71"/>
      <c r="L1588" s="72" t="str">
        <f>IFERROR(IF(G1588="","",VLOOKUP($G1588,[1]基础信息!$B:$C,2,FALSE)+SUMIF(G$8:G1588,G1588,J$8:J1588)-SUMIF(G$8:G1588,G1588,K$8:K1588)+SUMIFS([1]内部转账!$G:$G,[1]内部转账!$C:$C,"&lt;="&amp;$D1588,[1]内部转账!$E:$E,$G1588)-SUMIFS([1]内部转账!$G:$G,[1]内部转账!$C:$C,"&lt;="&amp;$D1588,[1]内部转账!$F:$F,$G1588)),"")</f>
        <v/>
      </c>
      <c r="M1588" s="64"/>
      <c r="N1588" s="69"/>
      <c r="O1588" s="64"/>
      <c r="P1588" s="64"/>
      <c r="Q1588" s="69"/>
      <c r="R1588" s="69"/>
      <c r="S1588" s="69"/>
    </row>
    <row r="1589" s="2" customFormat="1" ht="24.95" customHeight="1" spans="1:19">
      <c r="A1589" s="15"/>
      <c r="B1589" s="55"/>
      <c r="C1589" s="56"/>
      <c r="D1589" s="68"/>
      <c r="E1589" s="69"/>
      <c r="F1589" s="69"/>
      <c r="G1589" s="65"/>
      <c r="H1589" s="65"/>
      <c r="I1589" s="70"/>
      <c r="J1589" s="71"/>
      <c r="K1589" s="71"/>
      <c r="L1589" s="72" t="str">
        <f>IFERROR(IF(G1589="","",VLOOKUP($G1589,[1]基础信息!$B:$C,2,FALSE)+SUMIF(G$8:G1589,G1589,J$8:J1589)-SUMIF(G$8:G1589,G1589,K$8:K1589)+SUMIFS([1]内部转账!$G:$G,[1]内部转账!$C:$C,"&lt;="&amp;$D1589,[1]内部转账!$E:$E,$G1589)-SUMIFS([1]内部转账!$G:$G,[1]内部转账!$C:$C,"&lt;="&amp;$D1589,[1]内部转账!$F:$F,$G1589)),"")</f>
        <v/>
      </c>
      <c r="M1589" s="64"/>
      <c r="N1589" s="69"/>
      <c r="O1589" s="64"/>
      <c r="P1589" s="64"/>
      <c r="Q1589" s="69"/>
      <c r="R1589" s="69"/>
      <c r="S1589" s="69"/>
    </row>
    <row r="1590" s="2" customFormat="1" ht="24.95" customHeight="1" spans="1:19">
      <c r="A1590" s="15"/>
      <c r="B1590" s="55"/>
      <c r="C1590" s="56"/>
      <c r="D1590" s="68"/>
      <c r="E1590" s="69"/>
      <c r="F1590" s="69"/>
      <c r="G1590" s="65"/>
      <c r="H1590" s="65"/>
      <c r="I1590" s="70"/>
      <c r="J1590" s="71"/>
      <c r="K1590" s="71"/>
      <c r="L1590" s="72" t="str">
        <f>IFERROR(IF(G1590="","",VLOOKUP($G1590,[1]基础信息!$B:$C,2,FALSE)+SUMIF(G$8:G1590,G1590,J$8:J1590)-SUMIF(G$8:G1590,G1590,K$8:K1590)+SUMIFS([1]内部转账!$G:$G,[1]内部转账!$C:$C,"&lt;="&amp;$D1590,[1]内部转账!$E:$E,$G1590)-SUMIFS([1]内部转账!$G:$G,[1]内部转账!$C:$C,"&lt;="&amp;$D1590,[1]内部转账!$F:$F,$G1590)),"")</f>
        <v/>
      </c>
      <c r="M1590" s="64"/>
      <c r="N1590" s="69"/>
      <c r="O1590" s="64"/>
      <c r="P1590" s="64"/>
      <c r="Q1590" s="69"/>
      <c r="R1590" s="69"/>
      <c r="S1590" s="69"/>
    </row>
    <row r="1591" s="2" customFormat="1" ht="24.95" customHeight="1" spans="1:19">
      <c r="A1591" s="15"/>
      <c r="B1591" s="55"/>
      <c r="C1591" s="56"/>
      <c r="D1591" s="68"/>
      <c r="E1591" s="69"/>
      <c r="F1591" s="69"/>
      <c r="G1591" s="65"/>
      <c r="H1591" s="65"/>
      <c r="I1591" s="70"/>
      <c r="J1591" s="71"/>
      <c r="K1591" s="71"/>
      <c r="L1591" s="72" t="str">
        <f>IFERROR(IF(G1591="","",VLOOKUP($G1591,[1]基础信息!$B:$C,2,FALSE)+SUMIF(G$8:G1591,G1591,J$8:J1591)-SUMIF(G$8:G1591,G1591,K$8:K1591)+SUMIFS([1]内部转账!$G:$G,[1]内部转账!$C:$C,"&lt;="&amp;$D1591,[1]内部转账!$E:$E,$G1591)-SUMIFS([1]内部转账!$G:$G,[1]内部转账!$C:$C,"&lt;="&amp;$D1591,[1]内部转账!$F:$F,$G1591)),"")</f>
        <v/>
      </c>
      <c r="M1591" s="64"/>
      <c r="N1591" s="69"/>
      <c r="O1591" s="64"/>
      <c r="P1591" s="64"/>
      <c r="Q1591" s="69"/>
      <c r="R1591" s="69"/>
      <c r="S1591" s="69"/>
    </row>
    <row r="1592" s="2" customFormat="1" ht="24.95" customHeight="1" spans="1:19">
      <c r="A1592" s="15"/>
      <c r="B1592" s="55"/>
      <c r="C1592" s="56"/>
      <c r="D1592" s="68"/>
      <c r="E1592" s="69"/>
      <c r="F1592" s="69"/>
      <c r="G1592" s="65"/>
      <c r="H1592" s="65"/>
      <c r="I1592" s="70"/>
      <c r="J1592" s="71"/>
      <c r="K1592" s="71"/>
      <c r="L1592" s="72" t="str">
        <f>IFERROR(IF(G1592="","",VLOOKUP($G1592,[1]基础信息!$B:$C,2,FALSE)+SUMIF(G$8:G1592,G1592,J$8:J1592)-SUMIF(G$8:G1592,G1592,K$8:K1592)+SUMIFS([1]内部转账!$G:$G,[1]内部转账!$C:$C,"&lt;="&amp;$D1592,[1]内部转账!$E:$E,$G1592)-SUMIFS([1]内部转账!$G:$G,[1]内部转账!$C:$C,"&lt;="&amp;$D1592,[1]内部转账!$F:$F,$G1592)),"")</f>
        <v/>
      </c>
      <c r="M1592" s="64"/>
      <c r="N1592" s="69"/>
      <c r="O1592" s="64"/>
      <c r="P1592" s="64"/>
      <c r="Q1592" s="69"/>
      <c r="R1592" s="69"/>
      <c r="S1592" s="69"/>
    </row>
    <row r="1593" s="2" customFormat="1" ht="24.95" customHeight="1" spans="1:19">
      <c r="A1593" s="15"/>
      <c r="B1593" s="55"/>
      <c r="C1593" s="56"/>
      <c r="D1593" s="68"/>
      <c r="E1593" s="69"/>
      <c r="F1593" s="69"/>
      <c r="G1593" s="65"/>
      <c r="H1593" s="65"/>
      <c r="I1593" s="70"/>
      <c r="J1593" s="71"/>
      <c r="K1593" s="71"/>
      <c r="L1593" s="72" t="str">
        <f>IFERROR(IF(G1593="","",VLOOKUP($G1593,[1]基础信息!$B:$C,2,FALSE)+SUMIF(G$8:G1593,G1593,J$8:J1593)-SUMIF(G$8:G1593,G1593,K$8:K1593)+SUMIFS([1]内部转账!$G:$G,[1]内部转账!$C:$C,"&lt;="&amp;$D1593,[1]内部转账!$E:$E,$G1593)-SUMIFS([1]内部转账!$G:$G,[1]内部转账!$C:$C,"&lt;="&amp;$D1593,[1]内部转账!$F:$F,$G1593)),"")</f>
        <v/>
      </c>
      <c r="M1593" s="64"/>
      <c r="N1593" s="69"/>
      <c r="O1593" s="64"/>
      <c r="P1593" s="64"/>
      <c r="Q1593" s="69"/>
      <c r="R1593" s="69"/>
      <c r="S1593" s="69"/>
    </row>
    <row r="1594" s="2" customFormat="1" ht="24.95" customHeight="1" spans="1:19">
      <c r="A1594" s="15"/>
      <c r="B1594" s="55"/>
      <c r="C1594" s="56"/>
      <c r="D1594" s="68"/>
      <c r="E1594" s="69"/>
      <c r="F1594" s="69"/>
      <c r="G1594" s="65"/>
      <c r="H1594" s="65"/>
      <c r="I1594" s="70"/>
      <c r="J1594" s="71"/>
      <c r="K1594" s="71"/>
      <c r="L1594" s="72" t="str">
        <f>IFERROR(IF(G1594="","",VLOOKUP($G1594,[1]基础信息!$B:$C,2,FALSE)+SUMIF(G$8:G1594,G1594,J$8:J1594)-SUMIF(G$8:G1594,G1594,K$8:K1594)+SUMIFS([1]内部转账!$G:$G,[1]内部转账!$C:$C,"&lt;="&amp;$D1594,[1]内部转账!$E:$E,$G1594)-SUMIFS([1]内部转账!$G:$G,[1]内部转账!$C:$C,"&lt;="&amp;$D1594,[1]内部转账!$F:$F,$G1594)),"")</f>
        <v/>
      </c>
      <c r="M1594" s="64"/>
      <c r="N1594" s="69"/>
      <c r="O1594" s="64"/>
      <c r="P1594" s="64"/>
      <c r="Q1594" s="69"/>
      <c r="R1594" s="69"/>
      <c r="S1594" s="69"/>
    </row>
    <row r="1595" s="2" customFormat="1" ht="24.95" customHeight="1" spans="1:19">
      <c r="A1595" s="15"/>
      <c r="B1595" s="55"/>
      <c r="C1595" s="56"/>
      <c r="D1595" s="68"/>
      <c r="E1595" s="69"/>
      <c r="F1595" s="69"/>
      <c r="G1595" s="65"/>
      <c r="H1595" s="65"/>
      <c r="I1595" s="70"/>
      <c r="J1595" s="71"/>
      <c r="K1595" s="71"/>
      <c r="L1595" s="72" t="str">
        <f>IFERROR(IF(G1595="","",VLOOKUP($G1595,[1]基础信息!$B:$C,2,FALSE)+SUMIF(G$8:G1595,G1595,J$8:J1595)-SUMIF(G$8:G1595,G1595,K$8:K1595)+SUMIFS([1]内部转账!$G:$G,[1]内部转账!$C:$C,"&lt;="&amp;$D1595,[1]内部转账!$E:$E,$G1595)-SUMIFS([1]内部转账!$G:$G,[1]内部转账!$C:$C,"&lt;="&amp;$D1595,[1]内部转账!$F:$F,$G1595)),"")</f>
        <v/>
      </c>
      <c r="M1595" s="64"/>
      <c r="N1595" s="69"/>
      <c r="O1595" s="64"/>
      <c r="P1595" s="64"/>
      <c r="Q1595" s="69"/>
      <c r="R1595" s="69"/>
      <c r="S1595" s="69"/>
    </row>
    <row r="1596" s="2" customFormat="1" ht="24.95" customHeight="1" spans="1:19">
      <c r="A1596" s="15"/>
      <c r="B1596" s="55"/>
      <c r="C1596" s="56"/>
      <c r="D1596" s="68"/>
      <c r="E1596" s="69"/>
      <c r="F1596" s="69"/>
      <c r="G1596" s="65"/>
      <c r="H1596" s="65"/>
      <c r="I1596" s="70"/>
      <c r="J1596" s="71"/>
      <c r="K1596" s="71"/>
      <c r="L1596" s="72" t="str">
        <f>IFERROR(IF(G1596="","",VLOOKUP($G1596,[1]基础信息!$B:$C,2,FALSE)+SUMIF(G$8:G1596,G1596,J$8:J1596)-SUMIF(G$8:G1596,G1596,K$8:K1596)+SUMIFS([1]内部转账!$G:$G,[1]内部转账!$C:$C,"&lt;="&amp;$D1596,[1]内部转账!$E:$E,$G1596)-SUMIFS([1]内部转账!$G:$G,[1]内部转账!$C:$C,"&lt;="&amp;$D1596,[1]内部转账!$F:$F,$G1596)),"")</f>
        <v/>
      </c>
      <c r="M1596" s="64"/>
      <c r="N1596" s="69"/>
      <c r="O1596" s="64"/>
      <c r="P1596" s="64"/>
      <c r="Q1596" s="69"/>
      <c r="R1596" s="69"/>
      <c r="S1596" s="69"/>
    </row>
    <row r="1597" s="2" customFormat="1" ht="24.95" customHeight="1" spans="1:19">
      <c r="A1597" s="15"/>
      <c r="B1597" s="55"/>
      <c r="C1597" s="56"/>
      <c r="D1597" s="68"/>
      <c r="E1597" s="69"/>
      <c r="F1597" s="69"/>
      <c r="G1597" s="65"/>
      <c r="H1597" s="65"/>
      <c r="I1597" s="70"/>
      <c r="J1597" s="71"/>
      <c r="K1597" s="71"/>
      <c r="L1597" s="72" t="str">
        <f>IFERROR(IF(G1597="","",VLOOKUP($G1597,[1]基础信息!$B:$C,2,FALSE)+SUMIF(G$8:G1597,G1597,J$8:J1597)-SUMIF(G$8:G1597,G1597,K$8:K1597)+SUMIFS([1]内部转账!$G:$G,[1]内部转账!$C:$C,"&lt;="&amp;$D1597,[1]内部转账!$E:$E,$G1597)-SUMIFS([1]内部转账!$G:$G,[1]内部转账!$C:$C,"&lt;="&amp;$D1597,[1]内部转账!$F:$F,$G1597)),"")</f>
        <v/>
      </c>
      <c r="M1597" s="64"/>
      <c r="N1597" s="69"/>
      <c r="O1597" s="64"/>
      <c r="P1597" s="64"/>
      <c r="Q1597" s="69"/>
      <c r="R1597" s="69"/>
      <c r="S1597" s="69"/>
    </row>
    <row r="1598" s="2" customFormat="1" ht="24.95" customHeight="1" spans="1:19">
      <c r="A1598" s="15"/>
      <c r="B1598" s="55"/>
      <c r="C1598" s="56"/>
      <c r="D1598" s="68"/>
      <c r="E1598" s="69"/>
      <c r="F1598" s="69"/>
      <c r="G1598" s="65"/>
      <c r="H1598" s="65"/>
      <c r="I1598" s="70"/>
      <c r="J1598" s="71"/>
      <c r="K1598" s="71"/>
      <c r="L1598" s="72" t="str">
        <f>IFERROR(IF(G1598="","",VLOOKUP($G1598,[1]基础信息!$B:$C,2,FALSE)+SUMIF(G$8:G1598,G1598,J$8:J1598)-SUMIF(G$8:G1598,G1598,K$8:K1598)+SUMIFS([1]内部转账!$G:$G,[1]内部转账!$C:$C,"&lt;="&amp;$D1598,[1]内部转账!$E:$E,$G1598)-SUMIFS([1]内部转账!$G:$G,[1]内部转账!$C:$C,"&lt;="&amp;$D1598,[1]内部转账!$F:$F,$G1598)),"")</f>
        <v/>
      </c>
      <c r="M1598" s="64"/>
      <c r="N1598" s="69"/>
      <c r="O1598" s="64"/>
      <c r="P1598" s="64"/>
      <c r="Q1598" s="69"/>
      <c r="R1598" s="69"/>
      <c r="S1598" s="69"/>
    </row>
    <row r="1599" s="2" customFormat="1" ht="24.95" customHeight="1" spans="1:19">
      <c r="A1599" s="15"/>
      <c r="B1599" s="55"/>
      <c r="C1599" s="56"/>
      <c r="D1599" s="68"/>
      <c r="E1599" s="69"/>
      <c r="F1599" s="69"/>
      <c r="G1599" s="65"/>
      <c r="H1599" s="65"/>
      <c r="I1599" s="70"/>
      <c r="J1599" s="71"/>
      <c r="K1599" s="71"/>
      <c r="L1599" s="72" t="str">
        <f>IFERROR(IF(G1599="","",VLOOKUP($G1599,[1]基础信息!$B:$C,2,FALSE)+SUMIF(G$8:G1599,G1599,J$8:J1599)-SUMIF(G$8:G1599,G1599,K$8:K1599)+SUMIFS([1]内部转账!$G:$G,[1]内部转账!$C:$C,"&lt;="&amp;$D1599,[1]内部转账!$E:$E,$G1599)-SUMIFS([1]内部转账!$G:$G,[1]内部转账!$C:$C,"&lt;="&amp;$D1599,[1]内部转账!$F:$F,$G1599)),"")</f>
        <v/>
      </c>
      <c r="M1599" s="64"/>
      <c r="N1599" s="69"/>
      <c r="O1599" s="64"/>
      <c r="P1599" s="64"/>
      <c r="Q1599" s="69"/>
      <c r="R1599" s="69"/>
      <c r="S1599" s="69"/>
    </row>
    <row r="1600" s="2" customFormat="1" ht="24.95" customHeight="1" spans="1:19">
      <c r="A1600" s="15"/>
      <c r="B1600" s="55"/>
      <c r="C1600" s="56"/>
      <c r="D1600" s="68"/>
      <c r="E1600" s="69"/>
      <c r="F1600" s="69"/>
      <c r="G1600" s="65"/>
      <c r="H1600" s="65"/>
      <c r="I1600" s="70"/>
      <c r="J1600" s="71"/>
      <c r="K1600" s="71"/>
      <c r="L1600" s="72" t="str">
        <f>IFERROR(IF(G1600="","",VLOOKUP($G1600,[1]基础信息!$B:$C,2,FALSE)+SUMIF(G$8:G1600,G1600,J$8:J1600)-SUMIF(G$8:G1600,G1600,K$8:K1600)+SUMIFS([1]内部转账!$G:$G,[1]内部转账!$C:$C,"&lt;="&amp;$D1600,[1]内部转账!$E:$E,$G1600)-SUMIFS([1]内部转账!$G:$G,[1]内部转账!$C:$C,"&lt;="&amp;$D1600,[1]内部转账!$F:$F,$G1600)),"")</f>
        <v/>
      </c>
      <c r="M1600" s="64"/>
      <c r="N1600" s="69"/>
      <c r="O1600" s="64"/>
      <c r="P1600" s="64"/>
      <c r="Q1600" s="69"/>
      <c r="R1600" s="69"/>
      <c r="S1600" s="69"/>
    </row>
    <row r="1601" s="2" customFormat="1" ht="24.95" customHeight="1" spans="1:19">
      <c r="A1601" s="15"/>
      <c r="B1601" s="55"/>
      <c r="C1601" s="56"/>
      <c r="D1601" s="68"/>
      <c r="E1601" s="69"/>
      <c r="F1601" s="69"/>
      <c r="G1601" s="65"/>
      <c r="H1601" s="65"/>
      <c r="I1601" s="70"/>
      <c r="J1601" s="71"/>
      <c r="K1601" s="71"/>
      <c r="L1601" s="72" t="str">
        <f>IFERROR(IF(G1601="","",VLOOKUP($G1601,[1]基础信息!$B:$C,2,FALSE)+SUMIF(G$8:G1601,G1601,J$8:J1601)-SUMIF(G$8:G1601,G1601,K$8:K1601)+SUMIFS([1]内部转账!$G:$G,[1]内部转账!$C:$C,"&lt;="&amp;$D1601,[1]内部转账!$E:$E,$G1601)-SUMIFS([1]内部转账!$G:$G,[1]内部转账!$C:$C,"&lt;="&amp;$D1601,[1]内部转账!$F:$F,$G1601)),"")</f>
        <v/>
      </c>
      <c r="M1601" s="64"/>
      <c r="N1601" s="69"/>
      <c r="O1601" s="64"/>
      <c r="P1601" s="64"/>
      <c r="Q1601" s="69"/>
      <c r="R1601" s="69"/>
      <c r="S1601" s="69"/>
    </row>
    <row r="1602" s="2" customFormat="1" ht="24.95" customHeight="1" spans="1:19">
      <c r="A1602" s="15"/>
      <c r="B1602" s="55"/>
      <c r="C1602" s="56"/>
      <c r="D1602" s="68"/>
      <c r="E1602" s="69"/>
      <c r="F1602" s="69"/>
      <c r="G1602" s="65"/>
      <c r="H1602" s="65"/>
      <c r="I1602" s="70"/>
      <c r="J1602" s="71"/>
      <c r="K1602" s="71"/>
      <c r="L1602" s="72" t="str">
        <f>IFERROR(IF(G1602="","",VLOOKUP($G1602,[1]基础信息!$B:$C,2,FALSE)+SUMIF(G$8:G1602,G1602,J$8:J1602)-SUMIF(G$8:G1602,G1602,K$8:K1602)+SUMIFS([1]内部转账!$G:$G,[1]内部转账!$C:$C,"&lt;="&amp;$D1602,[1]内部转账!$E:$E,$G1602)-SUMIFS([1]内部转账!$G:$G,[1]内部转账!$C:$C,"&lt;="&amp;$D1602,[1]内部转账!$F:$F,$G1602)),"")</f>
        <v/>
      </c>
      <c r="M1602" s="64"/>
      <c r="N1602" s="69"/>
      <c r="O1602" s="64"/>
      <c r="P1602" s="64"/>
      <c r="Q1602" s="69"/>
      <c r="R1602" s="69"/>
      <c r="S1602" s="69"/>
    </row>
    <row r="1603" s="2" customFormat="1" ht="24.95" customHeight="1" spans="1:19">
      <c r="A1603" s="15"/>
      <c r="B1603" s="55"/>
      <c r="C1603" s="56"/>
      <c r="D1603" s="68"/>
      <c r="E1603" s="69"/>
      <c r="F1603" s="69"/>
      <c r="G1603" s="65"/>
      <c r="H1603" s="65"/>
      <c r="I1603" s="70"/>
      <c r="J1603" s="71"/>
      <c r="K1603" s="71"/>
      <c r="L1603" s="72" t="str">
        <f>IFERROR(IF(G1603="","",VLOOKUP($G1603,[1]基础信息!$B:$C,2,FALSE)+SUMIF(G$8:G1603,G1603,J$8:J1603)-SUMIF(G$8:G1603,G1603,K$8:K1603)+SUMIFS([1]内部转账!$G:$G,[1]内部转账!$C:$C,"&lt;="&amp;$D1603,[1]内部转账!$E:$E,$G1603)-SUMIFS([1]内部转账!$G:$G,[1]内部转账!$C:$C,"&lt;="&amp;$D1603,[1]内部转账!$F:$F,$G1603)),"")</f>
        <v/>
      </c>
      <c r="M1603" s="64"/>
      <c r="N1603" s="69"/>
      <c r="O1603" s="64"/>
      <c r="P1603" s="64"/>
      <c r="Q1603" s="69"/>
      <c r="R1603" s="69"/>
      <c r="S1603" s="69"/>
    </row>
    <row r="1604" s="2" customFormat="1" ht="24.95" customHeight="1" spans="1:19">
      <c r="A1604" s="15"/>
      <c r="B1604" s="55"/>
      <c r="C1604" s="56"/>
      <c r="D1604" s="68"/>
      <c r="E1604" s="69"/>
      <c r="F1604" s="69"/>
      <c r="G1604" s="65"/>
      <c r="H1604" s="65"/>
      <c r="I1604" s="70"/>
      <c r="J1604" s="71"/>
      <c r="K1604" s="71"/>
      <c r="L1604" s="72" t="str">
        <f>IFERROR(IF(G1604="","",VLOOKUP($G1604,[1]基础信息!$B:$C,2,FALSE)+SUMIF(G$8:G1604,G1604,J$8:J1604)-SUMIF(G$8:G1604,G1604,K$8:K1604)+SUMIFS([1]内部转账!$G:$G,[1]内部转账!$C:$C,"&lt;="&amp;$D1604,[1]内部转账!$E:$E,$G1604)-SUMIFS([1]内部转账!$G:$G,[1]内部转账!$C:$C,"&lt;="&amp;$D1604,[1]内部转账!$F:$F,$G1604)),"")</f>
        <v/>
      </c>
      <c r="M1604" s="64"/>
      <c r="N1604" s="69"/>
      <c r="O1604" s="64"/>
      <c r="P1604" s="64"/>
      <c r="Q1604" s="69"/>
      <c r="R1604" s="69"/>
      <c r="S1604" s="69"/>
    </row>
    <row r="1605" s="2" customFormat="1" ht="24.95" customHeight="1" spans="1:19">
      <c r="A1605" s="15"/>
      <c r="B1605" s="55"/>
      <c r="C1605" s="56"/>
      <c r="D1605" s="68"/>
      <c r="E1605" s="69"/>
      <c r="F1605" s="69"/>
      <c r="G1605" s="65"/>
      <c r="H1605" s="65"/>
      <c r="I1605" s="70"/>
      <c r="J1605" s="71"/>
      <c r="K1605" s="71"/>
      <c r="L1605" s="72" t="str">
        <f>IFERROR(IF(G1605="","",VLOOKUP($G1605,[1]基础信息!$B:$C,2,FALSE)+SUMIF(G$8:G1605,G1605,J$8:J1605)-SUMIF(G$8:G1605,G1605,K$8:K1605)+SUMIFS([1]内部转账!$G:$G,[1]内部转账!$C:$C,"&lt;="&amp;$D1605,[1]内部转账!$E:$E,$G1605)-SUMIFS([1]内部转账!$G:$G,[1]内部转账!$C:$C,"&lt;="&amp;$D1605,[1]内部转账!$F:$F,$G1605)),"")</f>
        <v/>
      </c>
      <c r="M1605" s="64"/>
      <c r="N1605" s="69"/>
      <c r="O1605" s="64"/>
      <c r="P1605" s="64"/>
      <c r="Q1605" s="69"/>
      <c r="R1605" s="69"/>
      <c r="S1605" s="69"/>
    </row>
    <row r="1606" s="2" customFormat="1" ht="24.95" customHeight="1" spans="1:19">
      <c r="A1606" s="15"/>
      <c r="B1606" s="55"/>
      <c r="C1606" s="56"/>
      <c r="D1606" s="68"/>
      <c r="E1606" s="69"/>
      <c r="F1606" s="69"/>
      <c r="G1606" s="65"/>
      <c r="H1606" s="65"/>
      <c r="I1606" s="70"/>
      <c r="J1606" s="71"/>
      <c r="K1606" s="71"/>
      <c r="L1606" s="72" t="str">
        <f>IFERROR(IF(G1606="","",VLOOKUP($G1606,[1]基础信息!$B:$C,2,FALSE)+SUMIF(G$8:G1606,G1606,J$8:J1606)-SUMIF(G$8:G1606,G1606,K$8:K1606)+SUMIFS([1]内部转账!$G:$G,[1]内部转账!$C:$C,"&lt;="&amp;$D1606,[1]内部转账!$E:$E,$G1606)-SUMIFS([1]内部转账!$G:$G,[1]内部转账!$C:$C,"&lt;="&amp;$D1606,[1]内部转账!$F:$F,$G1606)),"")</f>
        <v/>
      </c>
      <c r="M1606" s="64"/>
      <c r="N1606" s="69"/>
      <c r="O1606" s="64"/>
      <c r="P1606" s="64"/>
      <c r="Q1606" s="69"/>
      <c r="R1606" s="69"/>
      <c r="S1606" s="69"/>
    </row>
    <row r="1607" s="2" customFormat="1" ht="24.95" customHeight="1" spans="1:19">
      <c r="A1607" s="15"/>
      <c r="B1607" s="55"/>
      <c r="C1607" s="56"/>
      <c r="D1607" s="68"/>
      <c r="E1607" s="69"/>
      <c r="F1607" s="69"/>
      <c r="G1607" s="65"/>
      <c r="H1607" s="65"/>
      <c r="I1607" s="70"/>
      <c r="J1607" s="71"/>
      <c r="K1607" s="71"/>
      <c r="L1607" s="72" t="str">
        <f>IFERROR(IF(G1607="","",VLOOKUP($G1607,[1]基础信息!$B:$C,2,FALSE)+SUMIF(G$8:G1607,G1607,J$8:J1607)-SUMIF(G$8:G1607,G1607,K$8:K1607)+SUMIFS([1]内部转账!$G:$G,[1]内部转账!$C:$C,"&lt;="&amp;$D1607,[1]内部转账!$E:$E,$G1607)-SUMIFS([1]内部转账!$G:$G,[1]内部转账!$C:$C,"&lt;="&amp;$D1607,[1]内部转账!$F:$F,$G1607)),"")</f>
        <v/>
      </c>
      <c r="M1607" s="64"/>
      <c r="N1607" s="69"/>
      <c r="O1607" s="64"/>
      <c r="P1607" s="64"/>
      <c r="Q1607" s="69"/>
      <c r="R1607" s="69"/>
      <c r="S1607" s="69"/>
    </row>
    <row r="1608" s="2" customFormat="1" ht="24.95" customHeight="1" spans="1:19">
      <c r="A1608" s="15"/>
      <c r="B1608" s="55"/>
      <c r="C1608" s="56"/>
      <c r="D1608" s="68"/>
      <c r="E1608" s="69"/>
      <c r="F1608" s="69"/>
      <c r="G1608" s="65"/>
      <c r="H1608" s="65"/>
      <c r="I1608" s="70"/>
      <c r="J1608" s="71"/>
      <c r="K1608" s="71"/>
      <c r="L1608" s="72" t="str">
        <f>IFERROR(IF(G1608="","",VLOOKUP($G1608,[1]基础信息!$B:$C,2,FALSE)+SUMIF(G$8:G1608,G1608,J$8:J1608)-SUMIF(G$8:G1608,G1608,K$8:K1608)+SUMIFS([1]内部转账!$G:$G,[1]内部转账!$C:$C,"&lt;="&amp;$D1608,[1]内部转账!$E:$E,$G1608)-SUMIFS([1]内部转账!$G:$G,[1]内部转账!$C:$C,"&lt;="&amp;$D1608,[1]内部转账!$F:$F,$G1608)),"")</f>
        <v/>
      </c>
      <c r="M1608" s="64"/>
      <c r="N1608" s="69"/>
      <c r="O1608" s="64"/>
      <c r="P1608" s="64"/>
      <c r="Q1608" s="69"/>
      <c r="R1608" s="69"/>
      <c r="S1608" s="69"/>
    </row>
    <row r="1609" s="2" customFormat="1" ht="24.95" customHeight="1" spans="1:19">
      <c r="A1609" s="15"/>
      <c r="B1609" s="55"/>
      <c r="C1609" s="56"/>
      <c r="D1609" s="68"/>
      <c r="E1609" s="69"/>
      <c r="F1609" s="69"/>
      <c r="G1609" s="65"/>
      <c r="H1609" s="65"/>
      <c r="I1609" s="70"/>
      <c r="J1609" s="71"/>
      <c r="K1609" s="71"/>
      <c r="L1609" s="72" t="str">
        <f>IFERROR(IF(G1609="","",VLOOKUP($G1609,[1]基础信息!$B:$C,2,FALSE)+SUMIF(G$8:G1609,G1609,J$8:J1609)-SUMIF(G$8:G1609,G1609,K$8:K1609)+SUMIFS([1]内部转账!$G:$G,[1]内部转账!$C:$C,"&lt;="&amp;$D1609,[1]内部转账!$E:$E,$G1609)-SUMIFS([1]内部转账!$G:$G,[1]内部转账!$C:$C,"&lt;="&amp;$D1609,[1]内部转账!$F:$F,$G1609)),"")</f>
        <v/>
      </c>
      <c r="M1609" s="64"/>
      <c r="N1609" s="69"/>
      <c r="O1609" s="64"/>
      <c r="P1609" s="64"/>
      <c r="Q1609" s="69"/>
      <c r="R1609" s="69"/>
      <c r="S1609" s="69"/>
    </row>
    <row r="1610" s="2" customFormat="1" ht="24.95" customHeight="1" spans="1:19">
      <c r="A1610" s="15"/>
      <c r="B1610" s="55"/>
      <c r="C1610" s="56"/>
      <c r="D1610" s="68"/>
      <c r="E1610" s="69"/>
      <c r="F1610" s="69"/>
      <c r="G1610" s="65"/>
      <c r="H1610" s="65"/>
      <c r="I1610" s="70"/>
      <c r="J1610" s="71"/>
      <c r="K1610" s="71"/>
      <c r="L1610" s="72" t="str">
        <f>IFERROR(IF(G1610="","",VLOOKUP($G1610,[1]基础信息!$B:$C,2,FALSE)+SUMIF(G$8:G1610,G1610,J$8:J1610)-SUMIF(G$8:G1610,G1610,K$8:K1610)+SUMIFS([1]内部转账!$G:$G,[1]内部转账!$C:$C,"&lt;="&amp;$D1610,[1]内部转账!$E:$E,$G1610)-SUMIFS([1]内部转账!$G:$G,[1]内部转账!$C:$C,"&lt;="&amp;$D1610,[1]内部转账!$F:$F,$G1610)),"")</f>
        <v/>
      </c>
      <c r="M1610" s="64"/>
      <c r="N1610" s="69"/>
      <c r="O1610" s="64"/>
      <c r="P1610" s="64"/>
      <c r="Q1610" s="69"/>
      <c r="R1610" s="69"/>
      <c r="S1610" s="69"/>
    </row>
    <row r="1611" s="2" customFormat="1" ht="24.95" customHeight="1" spans="1:19">
      <c r="A1611" s="15"/>
      <c r="B1611" s="55"/>
      <c r="C1611" s="56"/>
      <c r="D1611" s="68"/>
      <c r="E1611" s="69"/>
      <c r="F1611" s="69"/>
      <c r="G1611" s="65"/>
      <c r="H1611" s="65"/>
      <c r="I1611" s="70"/>
      <c r="J1611" s="71"/>
      <c r="K1611" s="71"/>
      <c r="L1611" s="72" t="str">
        <f>IFERROR(IF(G1611="","",VLOOKUP($G1611,[1]基础信息!$B:$C,2,FALSE)+SUMIF(G$8:G1611,G1611,J$8:J1611)-SUMIF(G$8:G1611,G1611,K$8:K1611)+SUMIFS([1]内部转账!$G:$G,[1]内部转账!$C:$C,"&lt;="&amp;$D1611,[1]内部转账!$E:$E,$G1611)-SUMIFS([1]内部转账!$G:$G,[1]内部转账!$C:$C,"&lt;="&amp;$D1611,[1]内部转账!$F:$F,$G1611)),"")</f>
        <v/>
      </c>
      <c r="M1611" s="64"/>
      <c r="N1611" s="69"/>
      <c r="O1611" s="64"/>
      <c r="P1611" s="64"/>
      <c r="Q1611" s="69"/>
      <c r="R1611" s="69"/>
      <c r="S1611" s="69"/>
    </row>
    <row r="1612" s="2" customFormat="1" ht="24.95" customHeight="1" spans="1:19">
      <c r="A1612" s="15"/>
      <c r="B1612" s="55"/>
      <c r="C1612" s="56"/>
      <c r="D1612" s="68"/>
      <c r="E1612" s="69"/>
      <c r="F1612" s="69"/>
      <c r="G1612" s="65"/>
      <c r="H1612" s="65"/>
      <c r="I1612" s="70"/>
      <c r="J1612" s="71"/>
      <c r="K1612" s="71"/>
      <c r="L1612" s="72" t="str">
        <f>IFERROR(IF(G1612="","",VLOOKUP($G1612,[1]基础信息!$B:$C,2,FALSE)+SUMIF(G$8:G1612,G1612,J$8:J1612)-SUMIF(G$8:G1612,G1612,K$8:K1612)+SUMIFS([1]内部转账!$G:$G,[1]内部转账!$C:$C,"&lt;="&amp;$D1612,[1]内部转账!$E:$E,$G1612)-SUMIFS([1]内部转账!$G:$G,[1]内部转账!$C:$C,"&lt;="&amp;$D1612,[1]内部转账!$F:$F,$G1612)),"")</f>
        <v/>
      </c>
      <c r="M1612" s="64"/>
      <c r="N1612" s="69"/>
      <c r="O1612" s="64"/>
      <c r="P1612" s="64"/>
      <c r="Q1612" s="69"/>
      <c r="R1612" s="69"/>
      <c r="S1612" s="69"/>
    </row>
    <row r="1613" s="2" customFormat="1" ht="24.95" customHeight="1" spans="1:19">
      <c r="A1613" s="15"/>
      <c r="B1613" s="55"/>
      <c r="C1613" s="56"/>
      <c r="D1613" s="68"/>
      <c r="E1613" s="69"/>
      <c r="F1613" s="69"/>
      <c r="G1613" s="65"/>
      <c r="H1613" s="65"/>
      <c r="I1613" s="70"/>
      <c r="J1613" s="71"/>
      <c r="K1613" s="71"/>
      <c r="L1613" s="72" t="str">
        <f>IFERROR(IF(G1613="","",VLOOKUP($G1613,[1]基础信息!$B:$C,2,FALSE)+SUMIF(G$8:G1613,G1613,J$8:J1613)-SUMIF(G$8:G1613,G1613,K$8:K1613)+SUMIFS([1]内部转账!$G:$G,[1]内部转账!$C:$C,"&lt;="&amp;$D1613,[1]内部转账!$E:$E,$G1613)-SUMIFS([1]内部转账!$G:$G,[1]内部转账!$C:$C,"&lt;="&amp;$D1613,[1]内部转账!$F:$F,$G1613)),"")</f>
        <v/>
      </c>
      <c r="M1613" s="64"/>
      <c r="N1613" s="69"/>
      <c r="O1613" s="64"/>
      <c r="P1613" s="64"/>
      <c r="Q1613" s="69"/>
      <c r="R1613" s="69"/>
      <c r="S1613" s="69"/>
    </row>
    <row r="1614" s="2" customFormat="1" ht="24.95" customHeight="1" spans="1:19">
      <c r="A1614" s="15"/>
      <c r="B1614" s="55"/>
      <c r="C1614" s="56"/>
      <c r="D1614" s="68"/>
      <c r="E1614" s="69"/>
      <c r="F1614" s="69"/>
      <c r="G1614" s="65"/>
      <c r="H1614" s="65"/>
      <c r="I1614" s="70"/>
      <c r="J1614" s="71"/>
      <c r="K1614" s="71"/>
      <c r="L1614" s="72" t="str">
        <f>IFERROR(IF(G1614="","",VLOOKUP($G1614,[1]基础信息!$B:$C,2,FALSE)+SUMIF(G$8:G1614,G1614,J$8:J1614)-SUMIF(G$8:G1614,G1614,K$8:K1614)+SUMIFS([1]内部转账!$G:$G,[1]内部转账!$C:$C,"&lt;="&amp;$D1614,[1]内部转账!$E:$E,$G1614)-SUMIFS([1]内部转账!$G:$G,[1]内部转账!$C:$C,"&lt;="&amp;$D1614,[1]内部转账!$F:$F,$G1614)),"")</f>
        <v/>
      </c>
      <c r="M1614" s="64"/>
      <c r="N1614" s="69"/>
      <c r="O1614" s="64"/>
      <c r="P1614" s="64"/>
      <c r="Q1614" s="69"/>
      <c r="R1614" s="69"/>
      <c r="S1614" s="69"/>
    </row>
    <row r="1615" s="2" customFormat="1" ht="24.95" customHeight="1" spans="1:19">
      <c r="A1615" s="15"/>
      <c r="B1615" s="55"/>
      <c r="C1615" s="56"/>
      <c r="D1615" s="68"/>
      <c r="E1615" s="69"/>
      <c r="F1615" s="69"/>
      <c r="G1615" s="65"/>
      <c r="H1615" s="65"/>
      <c r="I1615" s="70"/>
      <c r="J1615" s="71"/>
      <c r="K1615" s="71"/>
      <c r="L1615" s="72" t="str">
        <f>IFERROR(IF(G1615="","",VLOOKUP($G1615,[1]基础信息!$B:$C,2,FALSE)+SUMIF(G$8:G1615,G1615,J$8:J1615)-SUMIF(G$8:G1615,G1615,K$8:K1615)+SUMIFS([1]内部转账!$G:$G,[1]内部转账!$C:$C,"&lt;="&amp;$D1615,[1]内部转账!$E:$E,$G1615)-SUMIFS([1]内部转账!$G:$G,[1]内部转账!$C:$C,"&lt;="&amp;$D1615,[1]内部转账!$F:$F,$G1615)),"")</f>
        <v/>
      </c>
      <c r="M1615" s="64"/>
      <c r="N1615" s="69"/>
      <c r="O1615" s="64"/>
      <c r="P1615" s="64"/>
      <c r="Q1615" s="69"/>
      <c r="R1615" s="69"/>
      <c r="S1615" s="69"/>
    </row>
    <row r="1616" s="2" customFormat="1" ht="24.95" customHeight="1" spans="1:19">
      <c r="A1616" s="15"/>
      <c r="B1616" s="55"/>
      <c r="C1616" s="56"/>
      <c r="D1616" s="68"/>
      <c r="E1616" s="69"/>
      <c r="F1616" s="69"/>
      <c r="G1616" s="65"/>
      <c r="H1616" s="65"/>
      <c r="I1616" s="70"/>
      <c r="J1616" s="71"/>
      <c r="K1616" s="71"/>
      <c r="L1616" s="72" t="str">
        <f>IFERROR(IF(G1616="","",VLOOKUP($G1616,[1]基础信息!$B:$C,2,FALSE)+SUMIF(G$8:G1616,G1616,J$8:J1616)-SUMIF(G$8:G1616,G1616,K$8:K1616)+SUMIFS([1]内部转账!$G:$G,[1]内部转账!$C:$C,"&lt;="&amp;$D1616,[1]内部转账!$E:$E,$G1616)-SUMIFS([1]内部转账!$G:$G,[1]内部转账!$C:$C,"&lt;="&amp;$D1616,[1]内部转账!$F:$F,$G1616)),"")</f>
        <v/>
      </c>
      <c r="M1616" s="64"/>
      <c r="N1616" s="69"/>
      <c r="O1616" s="64"/>
      <c r="P1616" s="64"/>
      <c r="Q1616" s="69"/>
      <c r="R1616" s="69"/>
      <c r="S1616" s="69"/>
    </row>
    <row r="1617" s="2" customFormat="1" ht="24.95" customHeight="1" spans="1:19">
      <c r="A1617" s="15"/>
      <c r="B1617" s="55"/>
      <c r="C1617" s="56"/>
      <c r="D1617" s="68"/>
      <c r="E1617" s="69"/>
      <c r="F1617" s="69"/>
      <c r="G1617" s="65"/>
      <c r="H1617" s="65"/>
      <c r="I1617" s="70"/>
      <c r="J1617" s="71"/>
      <c r="K1617" s="71"/>
      <c r="L1617" s="72" t="str">
        <f>IFERROR(IF(G1617="","",VLOOKUP($G1617,[1]基础信息!$B:$C,2,FALSE)+SUMIF(G$8:G1617,G1617,J$8:J1617)-SUMIF(G$8:G1617,G1617,K$8:K1617)+SUMIFS([1]内部转账!$G:$G,[1]内部转账!$C:$C,"&lt;="&amp;$D1617,[1]内部转账!$E:$E,$G1617)-SUMIFS([1]内部转账!$G:$G,[1]内部转账!$C:$C,"&lt;="&amp;$D1617,[1]内部转账!$F:$F,$G1617)),"")</f>
        <v/>
      </c>
      <c r="M1617" s="64"/>
      <c r="N1617" s="69"/>
      <c r="O1617" s="64"/>
      <c r="P1617" s="64"/>
      <c r="Q1617" s="69"/>
      <c r="R1617" s="69"/>
      <c r="S1617" s="69"/>
    </row>
    <row r="1618" s="2" customFormat="1" ht="24.95" customHeight="1" spans="1:19">
      <c r="A1618" s="15"/>
      <c r="B1618" s="55"/>
      <c r="C1618" s="56"/>
      <c r="D1618" s="68"/>
      <c r="E1618" s="69"/>
      <c r="F1618" s="69"/>
      <c r="G1618" s="65"/>
      <c r="H1618" s="65"/>
      <c r="I1618" s="70"/>
      <c r="J1618" s="71"/>
      <c r="K1618" s="71"/>
      <c r="L1618" s="72" t="str">
        <f>IFERROR(IF(G1618="","",VLOOKUP($G1618,[1]基础信息!$B:$C,2,FALSE)+SUMIF(G$8:G1618,G1618,J$8:J1618)-SUMIF(G$8:G1618,G1618,K$8:K1618)+SUMIFS([1]内部转账!$G:$G,[1]内部转账!$C:$C,"&lt;="&amp;$D1618,[1]内部转账!$E:$E,$G1618)-SUMIFS([1]内部转账!$G:$G,[1]内部转账!$C:$C,"&lt;="&amp;$D1618,[1]内部转账!$F:$F,$G1618)),"")</f>
        <v/>
      </c>
      <c r="M1618" s="64"/>
      <c r="N1618" s="69"/>
      <c r="O1618" s="64"/>
      <c r="P1618" s="64"/>
      <c r="Q1618" s="69"/>
      <c r="R1618" s="69"/>
      <c r="S1618" s="69"/>
    </row>
    <row r="1619" s="2" customFormat="1" ht="24.95" customHeight="1" spans="1:19">
      <c r="A1619" s="15"/>
      <c r="B1619" s="55"/>
      <c r="C1619" s="56"/>
      <c r="D1619" s="68"/>
      <c r="E1619" s="69"/>
      <c r="F1619" s="69"/>
      <c r="G1619" s="65"/>
      <c r="H1619" s="65"/>
      <c r="I1619" s="70"/>
      <c r="J1619" s="71"/>
      <c r="K1619" s="71"/>
      <c r="L1619" s="72" t="str">
        <f>IFERROR(IF(G1619="","",VLOOKUP($G1619,[1]基础信息!$B:$C,2,FALSE)+SUMIF(G$8:G1619,G1619,J$8:J1619)-SUMIF(G$8:G1619,G1619,K$8:K1619)+SUMIFS([1]内部转账!$G:$G,[1]内部转账!$C:$C,"&lt;="&amp;$D1619,[1]内部转账!$E:$E,$G1619)-SUMIFS([1]内部转账!$G:$G,[1]内部转账!$C:$C,"&lt;="&amp;$D1619,[1]内部转账!$F:$F,$G1619)),"")</f>
        <v/>
      </c>
      <c r="M1619" s="64"/>
      <c r="N1619" s="69"/>
      <c r="O1619" s="64"/>
      <c r="P1619" s="64"/>
      <c r="Q1619" s="69"/>
      <c r="R1619" s="69"/>
      <c r="S1619" s="69"/>
    </row>
    <row r="1620" s="2" customFormat="1" ht="24.95" customHeight="1" spans="1:19">
      <c r="A1620" s="15"/>
      <c r="B1620" s="55"/>
      <c r="C1620" s="56"/>
      <c r="D1620" s="68"/>
      <c r="E1620" s="69"/>
      <c r="F1620" s="69"/>
      <c r="G1620" s="65"/>
      <c r="H1620" s="65"/>
      <c r="I1620" s="70"/>
      <c r="J1620" s="71"/>
      <c r="K1620" s="71"/>
      <c r="L1620" s="72" t="str">
        <f>IFERROR(IF(G1620="","",VLOOKUP($G1620,[1]基础信息!$B:$C,2,FALSE)+SUMIF(G$8:G1620,G1620,J$8:J1620)-SUMIF(G$8:G1620,G1620,K$8:K1620)+SUMIFS([1]内部转账!$G:$G,[1]内部转账!$C:$C,"&lt;="&amp;$D1620,[1]内部转账!$E:$E,$G1620)-SUMIFS([1]内部转账!$G:$G,[1]内部转账!$C:$C,"&lt;="&amp;$D1620,[1]内部转账!$F:$F,$G1620)),"")</f>
        <v/>
      </c>
      <c r="M1620" s="64"/>
      <c r="N1620" s="69"/>
      <c r="O1620" s="64"/>
      <c r="P1620" s="64"/>
      <c r="Q1620" s="69"/>
      <c r="R1620" s="69"/>
      <c r="S1620" s="69"/>
    </row>
    <row r="1621" s="2" customFormat="1" ht="24.95" customHeight="1" spans="1:19">
      <c r="A1621" s="15"/>
      <c r="B1621" s="55"/>
      <c r="C1621" s="56"/>
      <c r="D1621" s="68"/>
      <c r="E1621" s="69"/>
      <c r="F1621" s="69"/>
      <c r="G1621" s="65"/>
      <c r="H1621" s="65"/>
      <c r="I1621" s="70"/>
      <c r="J1621" s="71"/>
      <c r="K1621" s="71"/>
      <c r="L1621" s="72" t="str">
        <f>IFERROR(IF(G1621="","",VLOOKUP($G1621,[1]基础信息!$B:$C,2,FALSE)+SUMIF(G$8:G1621,G1621,J$8:J1621)-SUMIF(G$8:G1621,G1621,K$8:K1621)+SUMIFS([1]内部转账!$G:$G,[1]内部转账!$C:$C,"&lt;="&amp;$D1621,[1]内部转账!$E:$E,$G1621)-SUMIFS([1]内部转账!$G:$G,[1]内部转账!$C:$C,"&lt;="&amp;$D1621,[1]内部转账!$F:$F,$G1621)),"")</f>
        <v/>
      </c>
      <c r="M1621" s="64"/>
      <c r="N1621" s="69"/>
      <c r="O1621" s="64"/>
      <c r="P1621" s="64"/>
      <c r="Q1621" s="69"/>
      <c r="R1621" s="69"/>
      <c r="S1621" s="69"/>
    </row>
    <row r="1622" s="2" customFormat="1" ht="24.95" customHeight="1" spans="1:19">
      <c r="A1622" s="15"/>
      <c r="B1622" s="55"/>
      <c r="C1622" s="56"/>
      <c r="D1622" s="68"/>
      <c r="E1622" s="69"/>
      <c r="F1622" s="69"/>
      <c r="G1622" s="65"/>
      <c r="H1622" s="65"/>
      <c r="I1622" s="70"/>
      <c r="J1622" s="71"/>
      <c r="K1622" s="71"/>
      <c r="L1622" s="72" t="str">
        <f>IFERROR(IF(G1622="","",VLOOKUP($G1622,[1]基础信息!$B:$C,2,FALSE)+SUMIF(G$8:G1622,G1622,J$8:J1622)-SUMIF(G$8:G1622,G1622,K$8:K1622)+SUMIFS([1]内部转账!$G:$G,[1]内部转账!$C:$C,"&lt;="&amp;$D1622,[1]内部转账!$E:$E,$G1622)-SUMIFS([1]内部转账!$G:$G,[1]内部转账!$C:$C,"&lt;="&amp;$D1622,[1]内部转账!$F:$F,$G1622)),"")</f>
        <v/>
      </c>
      <c r="M1622" s="64"/>
      <c r="N1622" s="69"/>
      <c r="O1622" s="64"/>
      <c r="P1622" s="64"/>
      <c r="Q1622" s="69"/>
      <c r="R1622" s="69"/>
      <c r="S1622" s="69"/>
    </row>
    <row r="1623" s="2" customFormat="1" ht="24.95" customHeight="1" spans="1:19">
      <c r="A1623" s="15"/>
      <c r="B1623" s="55"/>
      <c r="C1623" s="56"/>
      <c r="D1623" s="68"/>
      <c r="E1623" s="69"/>
      <c r="F1623" s="69"/>
      <c r="G1623" s="65"/>
      <c r="H1623" s="65"/>
      <c r="I1623" s="70"/>
      <c r="J1623" s="71"/>
      <c r="K1623" s="71"/>
      <c r="L1623" s="72" t="str">
        <f>IFERROR(IF(G1623="","",VLOOKUP($G1623,[1]基础信息!$B:$C,2,FALSE)+SUMIF(G$8:G1623,G1623,J$8:J1623)-SUMIF(G$8:G1623,G1623,K$8:K1623)+SUMIFS([1]内部转账!$G:$G,[1]内部转账!$C:$C,"&lt;="&amp;$D1623,[1]内部转账!$E:$E,$G1623)-SUMIFS([1]内部转账!$G:$G,[1]内部转账!$C:$C,"&lt;="&amp;$D1623,[1]内部转账!$F:$F,$G1623)),"")</f>
        <v/>
      </c>
      <c r="M1623" s="64"/>
      <c r="N1623" s="69"/>
      <c r="O1623" s="64"/>
      <c r="P1623" s="64"/>
      <c r="Q1623" s="69"/>
      <c r="R1623" s="69"/>
      <c r="S1623" s="69"/>
    </row>
    <row r="1624" s="2" customFormat="1" ht="24.95" customHeight="1" spans="1:19">
      <c r="A1624" s="15"/>
      <c r="B1624" s="55"/>
      <c r="C1624" s="56"/>
      <c r="D1624" s="68"/>
      <c r="E1624" s="69"/>
      <c r="F1624" s="69"/>
      <c r="G1624" s="65"/>
      <c r="H1624" s="65"/>
      <c r="I1624" s="70"/>
      <c r="J1624" s="71"/>
      <c r="K1624" s="71"/>
      <c r="L1624" s="72" t="str">
        <f>IFERROR(IF(G1624="","",VLOOKUP($G1624,[1]基础信息!$B:$C,2,FALSE)+SUMIF(G$8:G1624,G1624,J$8:J1624)-SUMIF(G$8:G1624,G1624,K$8:K1624)+SUMIFS([1]内部转账!$G:$G,[1]内部转账!$C:$C,"&lt;="&amp;$D1624,[1]内部转账!$E:$E,$G1624)-SUMIFS([1]内部转账!$G:$G,[1]内部转账!$C:$C,"&lt;="&amp;$D1624,[1]内部转账!$F:$F,$G1624)),"")</f>
        <v/>
      </c>
      <c r="M1624" s="64"/>
      <c r="N1624" s="69"/>
      <c r="O1624" s="64"/>
      <c r="P1624" s="64"/>
      <c r="Q1624" s="69"/>
      <c r="R1624" s="69"/>
      <c r="S1624" s="69"/>
    </row>
    <row r="1625" s="2" customFormat="1" ht="24.95" customHeight="1" spans="1:19">
      <c r="A1625" s="15"/>
      <c r="B1625" s="55"/>
      <c r="C1625" s="56"/>
      <c r="D1625" s="68"/>
      <c r="E1625" s="69"/>
      <c r="F1625" s="69"/>
      <c r="G1625" s="65"/>
      <c r="H1625" s="65"/>
      <c r="I1625" s="70"/>
      <c r="J1625" s="71"/>
      <c r="K1625" s="71"/>
      <c r="L1625" s="72" t="str">
        <f>IFERROR(IF(G1625="","",VLOOKUP($G1625,[1]基础信息!$B:$C,2,FALSE)+SUMIF(G$8:G1625,G1625,J$8:J1625)-SUMIF(G$8:G1625,G1625,K$8:K1625)+SUMIFS([1]内部转账!$G:$G,[1]内部转账!$C:$C,"&lt;="&amp;$D1625,[1]内部转账!$E:$E,$G1625)-SUMIFS([1]内部转账!$G:$G,[1]内部转账!$C:$C,"&lt;="&amp;$D1625,[1]内部转账!$F:$F,$G1625)),"")</f>
        <v/>
      </c>
      <c r="M1625" s="64"/>
      <c r="N1625" s="69"/>
      <c r="O1625" s="64"/>
      <c r="P1625" s="64"/>
      <c r="Q1625" s="69"/>
      <c r="R1625" s="69"/>
      <c r="S1625" s="69"/>
    </row>
    <row r="1626" s="2" customFormat="1" ht="24.95" customHeight="1" spans="1:19">
      <c r="A1626" s="15"/>
      <c r="B1626" s="55"/>
      <c r="C1626" s="56"/>
      <c r="D1626" s="68"/>
      <c r="E1626" s="69"/>
      <c r="F1626" s="69"/>
      <c r="G1626" s="65"/>
      <c r="H1626" s="65"/>
      <c r="I1626" s="70"/>
      <c r="J1626" s="71"/>
      <c r="K1626" s="71"/>
      <c r="L1626" s="72" t="str">
        <f>IFERROR(IF(G1626="","",VLOOKUP($G1626,[1]基础信息!$B:$C,2,FALSE)+SUMIF(G$8:G1626,G1626,J$8:J1626)-SUMIF(G$8:G1626,G1626,K$8:K1626)+SUMIFS([1]内部转账!$G:$G,[1]内部转账!$C:$C,"&lt;="&amp;$D1626,[1]内部转账!$E:$E,$G1626)-SUMIFS([1]内部转账!$G:$G,[1]内部转账!$C:$C,"&lt;="&amp;$D1626,[1]内部转账!$F:$F,$G1626)),"")</f>
        <v/>
      </c>
      <c r="M1626" s="64"/>
      <c r="N1626" s="69"/>
      <c r="O1626" s="64"/>
      <c r="P1626" s="64"/>
      <c r="Q1626" s="69"/>
      <c r="R1626" s="69"/>
      <c r="S1626" s="69"/>
    </row>
    <row r="1627" s="2" customFormat="1" ht="24.95" customHeight="1" spans="1:19">
      <c r="A1627" s="15"/>
      <c r="B1627" s="55"/>
      <c r="C1627" s="56"/>
      <c r="D1627" s="68"/>
      <c r="E1627" s="69"/>
      <c r="F1627" s="69"/>
      <c r="G1627" s="65"/>
      <c r="H1627" s="65"/>
      <c r="I1627" s="70"/>
      <c r="J1627" s="71"/>
      <c r="K1627" s="71"/>
      <c r="L1627" s="72" t="str">
        <f>IFERROR(IF(G1627="","",VLOOKUP($G1627,[1]基础信息!$B:$C,2,FALSE)+SUMIF(G$8:G1627,G1627,J$8:J1627)-SUMIF(G$8:G1627,G1627,K$8:K1627)+SUMIFS([1]内部转账!$G:$G,[1]内部转账!$C:$C,"&lt;="&amp;$D1627,[1]内部转账!$E:$E,$G1627)-SUMIFS([1]内部转账!$G:$G,[1]内部转账!$C:$C,"&lt;="&amp;$D1627,[1]内部转账!$F:$F,$G1627)),"")</f>
        <v/>
      </c>
      <c r="M1627" s="64"/>
      <c r="N1627" s="69"/>
      <c r="O1627" s="64"/>
      <c r="P1627" s="64"/>
      <c r="Q1627" s="69"/>
      <c r="R1627" s="69"/>
      <c r="S1627" s="69"/>
    </row>
    <row r="1628" s="2" customFormat="1" ht="24.95" customHeight="1" spans="1:19">
      <c r="A1628" s="15"/>
      <c r="B1628" s="55"/>
      <c r="C1628" s="56"/>
      <c r="D1628" s="68"/>
      <c r="E1628" s="69"/>
      <c r="F1628" s="69"/>
      <c r="G1628" s="65"/>
      <c r="H1628" s="65"/>
      <c r="I1628" s="70"/>
      <c r="J1628" s="71"/>
      <c r="K1628" s="71"/>
      <c r="L1628" s="72" t="str">
        <f>IFERROR(IF(G1628="","",VLOOKUP($G1628,[1]基础信息!$B:$C,2,FALSE)+SUMIF(G$8:G1628,G1628,J$8:J1628)-SUMIF(G$8:G1628,G1628,K$8:K1628)+SUMIFS([1]内部转账!$G:$G,[1]内部转账!$C:$C,"&lt;="&amp;$D1628,[1]内部转账!$E:$E,$G1628)-SUMIFS([1]内部转账!$G:$G,[1]内部转账!$C:$C,"&lt;="&amp;$D1628,[1]内部转账!$F:$F,$G1628)),"")</f>
        <v/>
      </c>
      <c r="M1628" s="64"/>
      <c r="N1628" s="69"/>
      <c r="O1628" s="64"/>
      <c r="P1628" s="64"/>
      <c r="Q1628" s="69"/>
      <c r="R1628" s="69"/>
      <c r="S1628" s="69"/>
    </row>
    <row r="1629" s="2" customFormat="1" ht="24.95" customHeight="1" spans="1:19">
      <c r="A1629" s="15"/>
      <c r="B1629" s="55"/>
      <c r="C1629" s="56"/>
      <c r="D1629" s="68"/>
      <c r="E1629" s="69"/>
      <c r="F1629" s="69"/>
      <c r="G1629" s="65"/>
      <c r="H1629" s="65"/>
      <c r="I1629" s="70"/>
      <c r="J1629" s="71"/>
      <c r="K1629" s="71"/>
      <c r="L1629" s="72" t="str">
        <f>IFERROR(IF(G1629="","",VLOOKUP($G1629,[1]基础信息!$B:$C,2,FALSE)+SUMIF(G$8:G1629,G1629,J$8:J1629)-SUMIF(G$8:G1629,G1629,K$8:K1629)+SUMIFS([1]内部转账!$G:$G,[1]内部转账!$C:$C,"&lt;="&amp;$D1629,[1]内部转账!$E:$E,$G1629)-SUMIFS([1]内部转账!$G:$G,[1]内部转账!$C:$C,"&lt;="&amp;$D1629,[1]内部转账!$F:$F,$G1629)),"")</f>
        <v/>
      </c>
      <c r="M1629" s="64"/>
      <c r="N1629" s="69"/>
      <c r="O1629" s="64"/>
      <c r="P1629" s="64"/>
      <c r="Q1629" s="69"/>
      <c r="R1629" s="69"/>
      <c r="S1629" s="69"/>
    </row>
    <row r="1630" s="2" customFormat="1" ht="24.95" customHeight="1" spans="1:19">
      <c r="A1630" s="15"/>
      <c r="B1630" s="55"/>
      <c r="C1630" s="56"/>
      <c r="D1630" s="68"/>
      <c r="E1630" s="69"/>
      <c r="F1630" s="69"/>
      <c r="G1630" s="65"/>
      <c r="H1630" s="65"/>
      <c r="I1630" s="70"/>
      <c r="J1630" s="71"/>
      <c r="K1630" s="71"/>
      <c r="L1630" s="72" t="str">
        <f>IFERROR(IF(G1630="","",VLOOKUP($G1630,[1]基础信息!$B:$C,2,FALSE)+SUMIF(G$8:G1630,G1630,J$8:J1630)-SUMIF(G$8:G1630,G1630,K$8:K1630)+SUMIFS([1]内部转账!$G:$G,[1]内部转账!$C:$C,"&lt;="&amp;$D1630,[1]内部转账!$E:$E,$G1630)-SUMIFS([1]内部转账!$G:$G,[1]内部转账!$C:$C,"&lt;="&amp;$D1630,[1]内部转账!$F:$F,$G1630)),"")</f>
        <v/>
      </c>
      <c r="M1630" s="64"/>
      <c r="N1630" s="69"/>
      <c r="O1630" s="64"/>
      <c r="P1630" s="64"/>
      <c r="Q1630" s="69"/>
      <c r="R1630" s="69"/>
      <c r="S1630" s="69"/>
    </row>
    <row r="1631" s="2" customFormat="1" ht="24.95" customHeight="1" spans="1:19">
      <c r="A1631" s="15"/>
      <c r="B1631" s="55"/>
      <c r="C1631" s="56"/>
      <c r="D1631" s="68"/>
      <c r="E1631" s="69"/>
      <c r="F1631" s="69"/>
      <c r="G1631" s="65"/>
      <c r="H1631" s="65"/>
      <c r="I1631" s="70"/>
      <c r="J1631" s="71"/>
      <c r="K1631" s="71"/>
      <c r="L1631" s="72" t="str">
        <f>IFERROR(IF(G1631="","",VLOOKUP($G1631,[1]基础信息!$B:$C,2,FALSE)+SUMIF(G$8:G1631,G1631,J$8:J1631)-SUMIF(G$8:G1631,G1631,K$8:K1631)+SUMIFS([1]内部转账!$G:$G,[1]内部转账!$C:$C,"&lt;="&amp;$D1631,[1]内部转账!$E:$E,$G1631)-SUMIFS([1]内部转账!$G:$G,[1]内部转账!$C:$C,"&lt;="&amp;$D1631,[1]内部转账!$F:$F,$G1631)),"")</f>
        <v/>
      </c>
      <c r="M1631" s="64"/>
      <c r="N1631" s="69"/>
      <c r="O1631" s="64"/>
      <c r="P1631" s="64"/>
      <c r="Q1631" s="69"/>
      <c r="R1631" s="69"/>
      <c r="S1631" s="69"/>
    </row>
    <row r="1632" s="2" customFormat="1" ht="24.95" customHeight="1" spans="1:19">
      <c r="A1632" s="15"/>
      <c r="B1632" s="55"/>
      <c r="C1632" s="56"/>
      <c r="D1632" s="68"/>
      <c r="E1632" s="69"/>
      <c r="F1632" s="69"/>
      <c r="G1632" s="65"/>
      <c r="H1632" s="65"/>
      <c r="I1632" s="70"/>
      <c r="J1632" s="71"/>
      <c r="K1632" s="71"/>
      <c r="L1632" s="72" t="str">
        <f>IFERROR(IF(G1632="","",VLOOKUP($G1632,[1]基础信息!$B:$C,2,FALSE)+SUMIF(G$8:G1632,G1632,J$8:J1632)-SUMIF(G$8:G1632,G1632,K$8:K1632)+SUMIFS([1]内部转账!$G:$G,[1]内部转账!$C:$C,"&lt;="&amp;$D1632,[1]内部转账!$E:$E,$G1632)-SUMIFS([1]内部转账!$G:$G,[1]内部转账!$C:$C,"&lt;="&amp;$D1632,[1]内部转账!$F:$F,$G1632)),"")</f>
        <v/>
      </c>
      <c r="M1632" s="64"/>
      <c r="N1632" s="69"/>
      <c r="O1632" s="64"/>
      <c r="P1632" s="64"/>
      <c r="Q1632" s="69"/>
      <c r="R1632" s="69"/>
      <c r="S1632" s="69"/>
    </row>
    <row r="1633" s="2" customFormat="1" ht="24.95" customHeight="1" spans="1:19">
      <c r="A1633" s="15"/>
      <c r="B1633" s="55"/>
      <c r="C1633" s="56"/>
      <c r="D1633" s="68"/>
      <c r="E1633" s="69"/>
      <c r="F1633" s="69"/>
      <c r="G1633" s="65"/>
      <c r="H1633" s="65"/>
      <c r="I1633" s="70"/>
      <c r="J1633" s="71"/>
      <c r="K1633" s="71"/>
      <c r="L1633" s="72" t="str">
        <f>IFERROR(IF(G1633="","",VLOOKUP($G1633,[1]基础信息!$B:$C,2,FALSE)+SUMIF(G$8:G1633,G1633,J$8:J1633)-SUMIF(G$8:G1633,G1633,K$8:K1633)+SUMIFS([1]内部转账!$G:$G,[1]内部转账!$C:$C,"&lt;="&amp;$D1633,[1]内部转账!$E:$E,$G1633)-SUMIFS([1]内部转账!$G:$G,[1]内部转账!$C:$C,"&lt;="&amp;$D1633,[1]内部转账!$F:$F,$G1633)),"")</f>
        <v/>
      </c>
      <c r="M1633" s="64"/>
      <c r="N1633" s="69"/>
      <c r="O1633" s="64"/>
      <c r="P1633" s="64"/>
      <c r="Q1633" s="69"/>
      <c r="R1633" s="69"/>
      <c r="S1633" s="69"/>
    </row>
    <row r="1634" s="2" customFormat="1" ht="24.95" customHeight="1" spans="1:19">
      <c r="A1634" s="15"/>
      <c r="B1634" s="55"/>
      <c r="C1634" s="56"/>
      <c r="D1634" s="68"/>
      <c r="E1634" s="69"/>
      <c r="F1634" s="69"/>
      <c r="G1634" s="65"/>
      <c r="H1634" s="65"/>
      <c r="I1634" s="70"/>
      <c r="J1634" s="71"/>
      <c r="K1634" s="71"/>
      <c r="L1634" s="72" t="str">
        <f>IFERROR(IF(G1634="","",VLOOKUP($G1634,[1]基础信息!$B:$C,2,FALSE)+SUMIF(G$8:G1634,G1634,J$8:J1634)-SUMIF(G$8:G1634,G1634,K$8:K1634)+SUMIFS([1]内部转账!$G:$G,[1]内部转账!$C:$C,"&lt;="&amp;$D1634,[1]内部转账!$E:$E,$G1634)-SUMIFS([1]内部转账!$G:$G,[1]内部转账!$C:$C,"&lt;="&amp;$D1634,[1]内部转账!$F:$F,$G1634)),"")</f>
        <v/>
      </c>
      <c r="M1634" s="64"/>
      <c r="N1634" s="69"/>
      <c r="O1634" s="64"/>
      <c r="P1634" s="64"/>
      <c r="Q1634" s="69"/>
      <c r="R1634" s="69"/>
      <c r="S1634" s="69"/>
    </row>
    <row r="1635" s="2" customFormat="1" ht="24.95" customHeight="1" spans="1:19">
      <c r="A1635" s="15"/>
      <c r="B1635" s="55"/>
      <c r="C1635" s="56"/>
      <c r="D1635" s="68"/>
      <c r="E1635" s="69"/>
      <c r="F1635" s="69"/>
      <c r="G1635" s="65"/>
      <c r="H1635" s="65"/>
      <c r="I1635" s="70"/>
      <c r="J1635" s="71"/>
      <c r="K1635" s="71"/>
      <c r="L1635" s="72" t="str">
        <f>IFERROR(IF(G1635="","",VLOOKUP($G1635,[1]基础信息!$B:$C,2,FALSE)+SUMIF(G$8:G1635,G1635,J$8:J1635)-SUMIF(G$8:G1635,G1635,K$8:K1635)+SUMIFS([1]内部转账!$G:$G,[1]内部转账!$C:$C,"&lt;="&amp;$D1635,[1]内部转账!$E:$E,$G1635)-SUMIFS([1]内部转账!$G:$G,[1]内部转账!$C:$C,"&lt;="&amp;$D1635,[1]内部转账!$F:$F,$G1635)),"")</f>
        <v/>
      </c>
      <c r="M1635" s="64"/>
      <c r="N1635" s="69"/>
      <c r="O1635" s="64"/>
      <c r="P1635" s="64"/>
      <c r="Q1635" s="69"/>
      <c r="R1635" s="69"/>
      <c r="S1635" s="69"/>
    </row>
    <row r="1636" s="2" customFormat="1" ht="24.95" customHeight="1" spans="1:19">
      <c r="A1636" s="15"/>
      <c r="B1636" s="55"/>
      <c r="C1636" s="56"/>
      <c r="D1636" s="68"/>
      <c r="E1636" s="69"/>
      <c r="F1636" s="69"/>
      <c r="G1636" s="65"/>
      <c r="H1636" s="65"/>
      <c r="I1636" s="70"/>
      <c r="J1636" s="71"/>
      <c r="K1636" s="71"/>
      <c r="L1636" s="72" t="str">
        <f>IFERROR(IF(G1636="","",VLOOKUP($G1636,[1]基础信息!$B:$C,2,FALSE)+SUMIF(G$8:G1636,G1636,J$8:J1636)-SUMIF(G$8:G1636,G1636,K$8:K1636)+SUMIFS([1]内部转账!$G:$G,[1]内部转账!$C:$C,"&lt;="&amp;$D1636,[1]内部转账!$E:$E,$G1636)-SUMIFS([1]内部转账!$G:$G,[1]内部转账!$C:$C,"&lt;="&amp;$D1636,[1]内部转账!$F:$F,$G1636)),"")</f>
        <v/>
      </c>
      <c r="M1636" s="64"/>
      <c r="N1636" s="69"/>
      <c r="O1636" s="64"/>
      <c r="P1636" s="64"/>
      <c r="Q1636" s="69"/>
      <c r="R1636" s="69"/>
      <c r="S1636" s="69"/>
    </row>
    <row r="1637" s="2" customFormat="1" ht="24.95" customHeight="1" spans="1:19">
      <c r="A1637" s="15"/>
      <c r="B1637" s="55"/>
      <c r="C1637" s="56"/>
      <c r="D1637" s="68"/>
      <c r="E1637" s="69"/>
      <c r="F1637" s="69"/>
      <c r="G1637" s="65"/>
      <c r="H1637" s="65"/>
      <c r="I1637" s="70"/>
      <c r="J1637" s="71"/>
      <c r="K1637" s="71"/>
      <c r="L1637" s="72" t="str">
        <f>IFERROR(IF(G1637="","",VLOOKUP($G1637,[1]基础信息!$B:$C,2,FALSE)+SUMIF(G$8:G1637,G1637,J$8:J1637)-SUMIF(G$8:G1637,G1637,K$8:K1637)+SUMIFS([1]内部转账!$G:$G,[1]内部转账!$C:$C,"&lt;="&amp;$D1637,[1]内部转账!$E:$E,$G1637)-SUMIFS([1]内部转账!$G:$G,[1]内部转账!$C:$C,"&lt;="&amp;$D1637,[1]内部转账!$F:$F,$G1637)),"")</f>
        <v/>
      </c>
      <c r="M1637" s="64"/>
      <c r="N1637" s="69"/>
      <c r="O1637" s="64"/>
      <c r="P1637" s="64"/>
      <c r="Q1637" s="69"/>
      <c r="R1637" s="69"/>
      <c r="S1637" s="69"/>
    </row>
    <row r="1638" s="2" customFormat="1" ht="24.95" customHeight="1" spans="1:19">
      <c r="A1638" s="15"/>
      <c r="B1638" s="55"/>
      <c r="C1638" s="56"/>
      <c r="D1638" s="68"/>
      <c r="E1638" s="69"/>
      <c r="F1638" s="69"/>
      <c r="G1638" s="65"/>
      <c r="H1638" s="65"/>
      <c r="I1638" s="70"/>
      <c r="J1638" s="71"/>
      <c r="K1638" s="71"/>
      <c r="L1638" s="72" t="str">
        <f>IFERROR(IF(G1638="","",VLOOKUP($G1638,[1]基础信息!$B:$C,2,FALSE)+SUMIF(G$8:G1638,G1638,J$8:J1638)-SUMIF(G$8:G1638,G1638,K$8:K1638)+SUMIFS([1]内部转账!$G:$G,[1]内部转账!$C:$C,"&lt;="&amp;$D1638,[1]内部转账!$E:$E,$G1638)-SUMIFS([1]内部转账!$G:$G,[1]内部转账!$C:$C,"&lt;="&amp;$D1638,[1]内部转账!$F:$F,$G1638)),"")</f>
        <v/>
      </c>
      <c r="M1638" s="64"/>
      <c r="N1638" s="69"/>
      <c r="O1638" s="64"/>
      <c r="P1638" s="64"/>
      <c r="Q1638" s="69"/>
      <c r="R1638" s="69"/>
      <c r="S1638" s="69"/>
    </row>
    <row r="1639" s="2" customFormat="1" ht="24.95" customHeight="1" spans="1:19">
      <c r="A1639" s="15"/>
      <c r="B1639" s="55"/>
      <c r="C1639" s="56"/>
      <c r="D1639" s="68"/>
      <c r="E1639" s="69"/>
      <c r="F1639" s="69"/>
      <c r="G1639" s="65"/>
      <c r="H1639" s="65"/>
      <c r="I1639" s="70"/>
      <c r="J1639" s="71"/>
      <c r="K1639" s="71"/>
      <c r="L1639" s="72" t="str">
        <f>IFERROR(IF(G1639="","",VLOOKUP($G1639,[1]基础信息!$B:$C,2,FALSE)+SUMIF(G$8:G1639,G1639,J$8:J1639)-SUMIF(G$8:G1639,G1639,K$8:K1639)+SUMIFS([1]内部转账!$G:$G,[1]内部转账!$C:$C,"&lt;="&amp;$D1639,[1]内部转账!$E:$E,$G1639)-SUMIFS([1]内部转账!$G:$G,[1]内部转账!$C:$C,"&lt;="&amp;$D1639,[1]内部转账!$F:$F,$G1639)),"")</f>
        <v/>
      </c>
      <c r="M1639" s="64"/>
      <c r="N1639" s="69"/>
      <c r="O1639" s="64"/>
      <c r="P1639" s="64"/>
      <c r="Q1639" s="69"/>
      <c r="R1639" s="69"/>
      <c r="S1639" s="69"/>
    </row>
    <row r="1640" s="2" customFormat="1" ht="24.95" customHeight="1" spans="1:19">
      <c r="A1640" s="15"/>
      <c r="B1640" s="55"/>
      <c r="C1640" s="56"/>
      <c r="D1640" s="68"/>
      <c r="E1640" s="69"/>
      <c r="F1640" s="69"/>
      <c r="G1640" s="65"/>
      <c r="H1640" s="65"/>
      <c r="I1640" s="70"/>
      <c r="J1640" s="71"/>
      <c r="K1640" s="71"/>
      <c r="L1640" s="72" t="str">
        <f>IFERROR(IF(G1640="","",VLOOKUP($G1640,[1]基础信息!$B:$C,2,FALSE)+SUMIF(G$8:G1640,G1640,J$8:J1640)-SUMIF(G$8:G1640,G1640,K$8:K1640)+SUMIFS([1]内部转账!$G:$G,[1]内部转账!$C:$C,"&lt;="&amp;$D1640,[1]内部转账!$E:$E,$G1640)-SUMIFS([1]内部转账!$G:$G,[1]内部转账!$C:$C,"&lt;="&amp;$D1640,[1]内部转账!$F:$F,$G1640)),"")</f>
        <v/>
      </c>
      <c r="M1640" s="64"/>
      <c r="N1640" s="69"/>
      <c r="O1640" s="64"/>
      <c r="P1640" s="64"/>
      <c r="Q1640" s="69"/>
      <c r="R1640" s="69"/>
      <c r="S1640" s="69"/>
    </row>
    <row r="1641" s="2" customFormat="1" ht="24.95" customHeight="1" spans="1:19">
      <c r="A1641" s="15"/>
      <c r="B1641" s="55"/>
      <c r="C1641" s="56"/>
      <c r="D1641" s="68"/>
      <c r="E1641" s="69"/>
      <c r="F1641" s="69"/>
      <c r="G1641" s="65"/>
      <c r="H1641" s="65"/>
      <c r="I1641" s="70"/>
      <c r="J1641" s="71"/>
      <c r="K1641" s="71"/>
      <c r="L1641" s="72" t="str">
        <f>IFERROR(IF(G1641="","",VLOOKUP($G1641,[1]基础信息!$B:$C,2,FALSE)+SUMIF(G$8:G1641,G1641,J$8:J1641)-SUMIF(G$8:G1641,G1641,K$8:K1641)+SUMIFS([1]内部转账!$G:$G,[1]内部转账!$C:$C,"&lt;="&amp;$D1641,[1]内部转账!$E:$E,$G1641)-SUMIFS([1]内部转账!$G:$G,[1]内部转账!$C:$C,"&lt;="&amp;$D1641,[1]内部转账!$F:$F,$G1641)),"")</f>
        <v/>
      </c>
      <c r="M1641" s="64"/>
      <c r="N1641" s="69"/>
      <c r="O1641" s="64"/>
      <c r="P1641" s="64"/>
      <c r="Q1641" s="69"/>
      <c r="R1641" s="69"/>
      <c r="S1641" s="69"/>
    </row>
    <row r="1642" s="2" customFormat="1" ht="24.95" customHeight="1" spans="1:19">
      <c r="A1642" s="15"/>
      <c r="B1642" s="55"/>
      <c r="C1642" s="56"/>
      <c r="D1642" s="68"/>
      <c r="E1642" s="69"/>
      <c r="F1642" s="69"/>
      <c r="G1642" s="65"/>
      <c r="H1642" s="65"/>
      <c r="I1642" s="70"/>
      <c r="J1642" s="71"/>
      <c r="K1642" s="71"/>
      <c r="L1642" s="72" t="str">
        <f>IFERROR(IF(G1642="","",VLOOKUP($G1642,[1]基础信息!$B:$C,2,FALSE)+SUMIF(G$8:G1642,G1642,J$8:J1642)-SUMIF(G$8:G1642,G1642,K$8:K1642)+SUMIFS([1]内部转账!$G:$G,[1]内部转账!$C:$C,"&lt;="&amp;$D1642,[1]内部转账!$E:$E,$G1642)-SUMIFS([1]内部转账!$G:$G,[1]内部转账!$C:$C,"&lt;="&amp;$D1642,[1]内部转账!$F:$F,$G1642)),"")</f>
        <v/>
      </c>
      <c r="M1642" s="64"/>
      <c r="N1642" s="69"/>
      <c r="O1642" s="64"/>
      <c r="P1642" s="64"/>
      <c r="Q1642" s="69"/>
      <c r="R1642" s="69"/>
      <c r="S1642" s="69"/>
    </row>
    <row r="1643" s="2" customFormat="1" ht="24.95" customHeight="1" spans="1:19">
      <c r="A1643" s="15"/>
      <c r="B1643" s="55"/>
      <c r="C1643" s="56"/>
      <c r="D1643" s="68"/>
      <c r="E1643" s="69"/>
      <c r="F1643" s="69"/>
      <c r="G1643" s="65"/>
      <c r="H1643" s="65"/>
      <c r="I1643" s="70"/>
      <c r="J1643" s="71"/>
      <c r="K1643" s="71"/>
      <c r="L1643" s="72" t="str">
        <f>IFERROR(IF(G1643="","",VLOOKUP($G1643,[1]基础信息!$B:$C,2,FALSE)+SUMIF(G$8:G1643,G1643,J$8:J1643)-SUMIF(G$8:G1643,G1643,K$8:K1643)+SUMIFS([1]内部转账!$G:$G,[1]内部转账!$C:$C,"&lt;="&amp;$D1643,[1]内部转账!$E:$E,$G1643)-SUMIFS([1]内部转账!$G:$G,[1]内部转账!$C:$C,"&lt;="&amp;$D1643,[1]内部转账!$F:$F,$G1643)),"")</f>
        <v/>
      </c>
      <c r="M1643" s="64"/>
      <c r="N1643" s="69"/>
      <c r="O1643" s="64"/>
      <c r="P1643" s="64"/>
      <c r="Q1643" s="69"/>
      <c r="R1643" s="69"/>
      <c r="S1643" s="69"/>
    </row>
    <row r="1644" s="2" customFormat="1" ht="24.95" customHeight="1" spans="1:19">
      <c r="A1644" s="15"/>
      <c r="B1644" s="55"/>
      <c r="C1644" s="56"/>
      <c r="D1644" s="68"/>
      <c r="E1644" s="69"/>
      <c r="F1644" s="69"/>
      <c r="G1644" s="65"/>
      <c r="H1644" s="65"/>
      <c r="I1644" s="70"/>
      <c r="J1644" s="71"/>
      <c r="K1644" s="71"/>
      <c r="L1644" s="72" t="str">
        <f>IFERROR(IF(G1644="","",VLOOKUP($G1644,[1]基础信息!$B:$C,2,FALSE)+SUMIF(G$8:G1644,G1644,J$8:J1644)-SUMIF(G$8:G1644,G1644,K$8:K1644)+SUMIFS([1]内部转账!$G:$G,[1]内部转账!$C:$C,"&lt;="&amp;$D1644,[1]内部转账!$E:$E,$G1644)-SUMIFS([1]内部转账!$G:$G,[1]内部转账!$C:$C,"&lt;="&amp;$D1644,[1]内部转账!$F:$F,$G1644)),"")</f>
        <v/>
      </c>
      <c r="M1644" s="64"/>
      <c r="N1644" s="69"/>
      <c r="O1644" s="64"/>
      <c r="P1644" s="64"/>
      <c r="Q1644" s="69"/>
      <c r="R1644" s="69"/>
      <c r="S1644" s="69"/>
    </row>
    <row r="1645" s="2" customFormat="1" ht="24.95" customHeight="1" spans="1:19">
      <c r="A1645" s="15"/>
      <c r="B1645" s="55"/>
      <c r="C1645" s="56"/>
      <c r="D1645" s="68"/>
      <c r="E1645" s="69"/>
      <c r="F1645" s="69"/>
      <c r="G1645" s="65"/>
      <c r="H1645" s="65"/>
      <c r="I1645" s="70"/>
      <c r="J1645" s="71"/>
      <c r="K1645" s="71"/>
      <c r="L1645" s="72" t="str">
        <f>IFERROR(IF(G1645="","",VLOOKUP($G1645,[1]基础信息!$B:$C,2,FALSE)+SUMIF(G$8:G1645,G1645,J$8:J1645)-SUMIF(G$8:G1645,G1645,K$8:K1645)+SUMIFS([1]内部转账!$G:$G,[1]内部转账!$C:$C,"&lt;="&amp;$D1645,[1]内部转账!$E:$E,$G1645)-SUMIFS([1]内部转账!$G:$G,[1]内部转账!$C:$C,"&lt;="&amp;$D1645,[1]内部转账!$F:$F,$G1645)),"")</f>
        <v/>
      </c>
      <c r="M1645" s="64"/>
      <c r="N1645" s="69"/>
      <c r="O1645" s="64"/>
      <c r="P1645" s="64"/>
      <c r="Q1645" s="69"/>
      <c r="R1645" s="69"/>
      <c r="S1645" s="69"/>
    </row>
    <row r="1646" s="2" customFormat="1" ht="24.95" customHeight="1" spans="1:19">
      <c r="A1646" s="15"/>
      <c r="B1646" s="55"/>
      <c r="C1646" s="56"/>
      <c r="D1646" s="68"/>
      <c r="E1646" s="69"/>
      <c r="F1646" s="69"/>
      <c r="G1646" s="65"/>
      <c r="H1646" s="65"/>
      <c r="I1646" s="70"/>
      <c r="J1646" s="71"/>
      <c r="K1646" s="71"/>
      <c r="L1646" s="72" t="str">
        <f>IFERROR(IF(G1646="","",VLOOKUP($G1646,[1]基础信息!$B:$C,2,FALSE)+SUMIF(G$8:G1646,G1646,J$8:J1646)-SUMIF(G$8:G1646,G1646,K$8:K1646)+SUMIFS([1]内部转账!$G:$G,[1]内部转账!$C:$C,"&lt;="&amp;$D1646,[1]内部转账!$E:$E,$G1646)-SUMIFS([1]内部转账!$G:$G,[1]内部转账!$C:$C,"&lt;="&amp;$D1646,[1]内部转账!$F:$F,$G1646)),"")</f>
        <v/>
      </c>
      <c r="M1646" s="64"/>
      <c r="N1646" s="69"/>
      <c r="O1646" s="64"/>
      <c r="P1646" s="64"/>
      <c r="Q1646" s="69"/>
      <c r="R1646" s="69"/>
      <c r="S1646" s="69"/>
    </row>
    <row r="1647" s="2" customFormat="1" ht="24.95" customHeight="1" spans="1:19">
      <c r="A1647" s="15"/>
      <c r="B1647" s="55"/>
      <c r="C1647" s="56"/>
      <c r="D1647" s="68"/>
      <c r="E1647" s="69"/>
      <c r="F1647" s="69"/>
      <c r="G1647" s="65"/>
      <c r="H1647" s="65"/>
      <c r="I1647" s="70"/>
      <c r="J1647" s="71"/>
      <c r="K1647" s="71"/>
      <c r="L1647" s="72" t="str">
        <f>IFERROR(IF(G1647="","",VLOOKUP($G1647,[1]基础信息!$B:$C,2,FALSE)+SUMIF(G$8:G1647,G1647,J$8:J1647)-SUMIF(G$8:G1647,G1647,K$8:K1647)+SUMIFS([1]内部转账!$G:$G,[1]内部转账!$C:$C,"&lt;="&amp;$D1647,[1]内部转账!$E:$E,$G1647)-SUMIFS([1]内部转账!$G:$G,[1]内部转账!$C:$C,"&lt;="&amp;$D1647,[1]内部转账!$F:$F,$G1647)),"")</f>
        <v/>
      </c>
      <c r="M1647" s="64"/>
      <c r="N1647" s="69"/>
      <c r="O1647" s="64"/>
      <c r="P1647" s="64"/>
      <c r="Q1647" s="69"/>
      <c r="R1647" s="69"/>
      <c r="S1647" s="69"/>
    </row>
    <row r="1648" s="2" customFormat="1" ht="24.95" customHeight="1" spans="1:19">
      <c r="A1648" s="15"/>
      <c r="B1648" s="55"/>
      <c r="C1648" s="56"/>
      <c r="D1648" s="68"/>
      <c r="E1648" s="69"/>
      <c r="F1648" s="69"/>
      <c r="G1648" s="65"/>
      <c r="H1648" s="65"/>
      <c r="I1648" s="70"/>
      <c r="J1648" s="71"/>
      <c r="K1648" s="71"/>
      <c r="L1648" s="72" t="str">
        <f>IFERROR(IF(G1648="","",VLOOKUP($G1648,[1]基础信息!$B:$C,2,FALSE)+SUMIF(G$8:G1648,G1648,J$8:J1648)-SUMIF(G$8:G1648,G1648,K$8:K1648)+SUMIFS([1]内部转账!$G:$G,[1]内部转账!$C:$C,"&lt;="&amp;$D1648,[1]内部转账!$E:$E,$G1648)-SUMIFS([1]内部转账!$G:$G,[1]内部转账!$C:$C,"&lt;="&amp;$D1648,[1]内部转账!$F:$F,$G1648)),"")</f>
        <v/>
      </c>
      <c r="M1648" s="64"/>
      <c r="N1648" s="69"/>
      <c r="O1648" s="64"/>
      <c r="P1648" s="64"/>
      <c r="Q1648" s="69"/>
      <c r="R1648" s="69"/>
      <c r="S1648" s="69"/>
    </row>
    <row r="1649" s="2" customFormat="1" ht="24.95" customHeight="1" spans="1:19">
      <c r="A1649" s="15"/>
      <c r="B1649" s="55"/>
      <c r="C1649" s="56"/>
      <c r="D1649" s="68"/>
      <c r="E1649" s="69"/>
      <c r="F1649" s="69"/>
      <c r="G1649" s="65"/>
      <c r="H1649" s="65"/>
      <c r="I1649" s="70"/>
      <c r="J1649" s="71"/>
      <c r="K1649" s="71"/>
      <c r="L1649" s="72" t="str">
        <f>IFERROR(IF(G1649="","",VLOOKUP($G1649,[1]基础信息!$B:$C,2,FALSE)+SUMIF(G$8:G1649,G1649,J$8:J1649)-SUMIF(G$8:G1649,G1649,K$8:K1649)+SUMIFS([1]内部转账!$G:$G,[1]内部转账!$C:$C,"&lt;="&amp;$D1649,[1]内部转账!$E:$E,$G1649)-SUMIFS([1]内部转账!$G:$G,[1]内部转账!$C:$C,"&lt;="&amp;$D1649,[1]内部转账!$F:$F,$G1649)),"")</f>
        <v/>
      </c>
      <c r="M1649" s="64"/>
      <c r="N1649" s="69"/>
      <c r="O1649" s="64"/>
      <c r="P1649" s="64"/>
      <c r="Q1649" s="69"/>
      <c r="R1649" s="69"/>
      <c r="S1649" s="69"/>
    </row>
    <row r="1650" s="2" customFormat="1" ht="24.95" customHeight="1" spans="1:19">
      <c r="A1650" s="15"/>
      <c r="B1650" s="55"/>
      <c r="C1650" s="56"/>
      <c r="D1650" s="68"/>
      <c r="E1650" s="69"/>
      <c r="F1650" s="69"/>
      <c r="G1650" s="65"/>
      <c r="H1650" s="65"/>
      <c r="I1650" s="70"/>
      <c r="J1650" s="71"/>
      <c r="K1650" s="71"/>
      <c r="L1650" s="72" t="str">
        <f>IFERROR(IF(G1650="","",VLOOKUP($G1650,[1]基础信息!$B:$C,2,FALSE)+SUMIF(G$8:G1650,G1650,J$8:J1650)-SUMIF(G$8:G1650,G1650,K$8:K1650)+SUMIFS([1]内部转账!$G:$G,[1]内部转账!$C:$C,"&lt;="&amp;$D1650,[1]内部转账!$E:$E,$G1650)-SUMIFS([1]内部转账!$G:$G,[1]内部转账!$C:$C,"&lt;="&amp;$D1650,[1]内部转账!$F:$F,$G1650)),"")</f>
        <v/>
      </c>
      <c r="M1650" s="64"/>
      <c r="N1650" s="69"/>
      <c r="O1650" s="64"/>
      <c r="P1650" s="64"/>
      <c r="Q1650" s="69"/>
      <c r="R1650" s="69"/>
      <c r="S1650" s="69"/>
    </row>
    <row r="1651" s="2" customFormat="1" ht="24.95" customHeight="1" spans="1:19">
      <c r="A1651" s="15"/>
      <c r="B1651" s="55"/>
      <c r="C1651" s="56"/>
      <c r="D1651" s="68"/>
      <c r="E1651" s="69"/>
      <c r="F1651" s="69"/>
      <c r="G1651" s="65"/>
      <c r="H1651" s="65"/>
      <c r="I1651" s="70"/>
      <c r="J1651" s="71"/>
      <c r="K1651" s="71"/>
      <c r="L1651" s="72" t="str">
        <f>IFERROR(IF(G1651="","",VLOOKUP($G1651,[1]基础信息!$B:$C,2,FALSE)+SUMIF(G$8:G1651,G1651,J$8:J1651)-SUMIF(G$8:G1651,G1651,K$8:K1651)+SUMIFS([1]内部转账!$G:$G,[1]内部转账!$C:$C,"&lt;="&amp;$D1651,[1]内部转账!$E:$E,$G1651)-SUMIFS([1]内部转账!$G:$G,[1]内部转账!$C:$C,"&lt;="&amp;$D1651,[1]内部转账!$F:$F,$G1651)),"")</f>
        <v/>
      </c>
      <c r="M1651" s="64"/>
      <c r="N1651" s="69"/>
      <c r="O1651" s="64"/>
      <c r="P1651" s="64"/>
      <c r="Q1651" s="69"/>
      <c r="R1651" s="69"/>
      <c r="S1651" s="69"/>
    </row>
    <row r="1652" s="2" customFormat="1" ht="24.95" customHeight="1" spans="1:19">
      <c r="A1652" s="15"/>
      <c r="B1652" s="55"/>
      <c r="C1652" s="56"/>
      <c r="D1652" s="68"/>
      <c r="E1652" s="69"/>
      <c r="F1652" s="69"/>
      <c r="G1652" s="65"/>
      <c r="H1652" s="65"/>
      <c r="I1652" s="70"/>
      <c r="J1652" s="71"/>
      <c r="K1652" s="71"/>
      <c r="L1652" s="72" t="str">
        <f>IFERROR(IF(G1652="","",VLOOKUP($G1652,[1]基础信息!$B:$C,2,FALSE)+SUMIF(G$8:G1652,G1652,J$8:J1652)-SUMIF(G$8:G1652,G1652,K$8:K1652)+SUMIFS([1]内部转账!$G:$G,[1]内部转账!$C:$C,"&lt;="&amp;$D1652,[1]内部转账!$E:$E,$G1652)-SUMIFS([1]内部转账!$G:$G,[1]内部转账!$C:$C,"&lt;="&amp;$D1652,[1]内部转账!$F:$F,$G1652)),"")</f>
        <v/>
      </c>
      <c r="M1652" s="64"/>
      <c r="N1652" s="69"/>
      <c r="O1652" s="64"/>
      <c r="P1652" s="64"/>
      <c r="Q1652" s="69"/>
      <c r="R1652" s="69"/>
      <c r="S1652" s="69"/>
    </row>
    <row r="1653" s="2" customFormat="1" ht="24.95" customHeight="1" spans="1:19">
      <c r="A1653" s="15"/>
      <c r="B1653" s="55"/>
      <c r="C1653" s="56"/>
      <c r="D1653" s="68"/>
      <c r="E1653" s="69"/>
      <c r="F1653" s="69"/>
      <c r="G1653" s="65"/>
      <c r="H1653" s="65"/>
      <c r="I1653" s="70"/>
      <c r="J1653" s="71"/>
      <c r="K1653" s="71"/>
      <c r="L1653" s="72" t="str">
        <f>IFERROR(IF(G1653="","",VLOOKUP($G1653,[1]基础信息!$B:$C,2,FALSE)+SUMIF(G$8:G1653,G1653,J$8:J1653)-SUMIF(G$8:G1653,G1653,K$8:K1653)+SUMIFS([1]内部转账!$G:$G,[1]内部转账!$C:$C,"&lt;="&amp;$D1653,[1]内部转账!$E:$E,$G1653)-SUMIFS([1]内部转账!$G:$G,[1]内部转账!$C:$C,"&lt;="&amp;$D1653,[1]内部转账!$F:$F,$G1653)),"")</f>
        <v/>
      </c>
      <c r="M1653" s="64"/>
      <c r="N1653" s="69"/>
      <c r="O1653" s="64"/>
      <c r="P1653" s="64"/>
      <c r="Q1653" s="69"/>
      <c r="R1653" s="69"/>
      <c r="S1653" s="69"/>
    </row>
    <row r="1654" s="2" customFormat="1" ht="24.95" customHeight="1" spans="1:19">
      <c r="A1654" s="15"/>
      <c r="B1654" s="55"/>
      <c r="C1654" s="56"/>
      <c r="D1654" s="68"/>
      <c r="E1654" s="69"/>
      <c r="F1654" s="69"/>
      <c r="G1654" s="65"/>
      <c r="H1654" s="65"/>
      <c r="I1654" s="70"/>
      <c r="J1654" s="71"/>
      <c r="K1654" s="71"/>
      <c r="L1654" s="72" t="str">
        <f>IFERROR(IF(G1654="","",VLOOKUP($G1654,[1]基础信息!$B:$C,2,FALSE)+SUMIF(G$8:G1654,G1654,J$8:J1654)-SUMIF(G$8:G1654,G1654,K$8:K1654)+SUMIFS([1]内部转账!$G:$G,[1]内部转账!$C:$C,"&lt;="&amp;$D1654,[1]内部转账!$E:$E,$G1654)-SUMIFS([1]内部转账!$G:$G,[1]内部转账!$C:$C,"&lt;="&amp;$D1654,[1]内部转账!$F:$F,$G1654)),"")</f>
        <v/>
      </c>
      <c r="M1654" s="64"/>
      <c r="N1654" s="69"/>
      <c r="O1654" s="64"/>
      <c r="P1654" s="64"/>
      <c r="Q1654" s="69"/>
      <c r="R1654" s="69"/>
      <c r="S1654" s="69"/>
    </row>
    <row r="1655" s="2" customFormat="1" ht="24.95" customHeight="1" spans="1:19">
      <c r="A1655" s="15"/>
      <c r="B1655" s="55"/>
      <c r="C1655" s="56"/>
      <c r="D1655" s="68"/>
      <c r="E1655" s="69"/>
      <c r="F1655" s="69"/>
      <c r="G1655" s="65"/>
      <c r="H1655" s="65"/>
      <c r="I1655" s="70"/>
      <c r="J1655" s="71"/>
      <c r="K1655" s="71"/>
      <c r="L1655" s="72" t="str">
        <f>IFERROR(IF(G1655="","",VLOOKUP($G1655,[1]基础信息!$B:$C,2,FALSE)+SUMIF(G$8:G1655,G1655,J$8:J1655)-SUMIF(G$8:G1655,G1655,K$8:K1655)+SUMIFS([1]内部转账!$G:$G,[1]内部转账!$C:$C,"&lt;="&amp;$D1655,[1]内部转账!$E:$E,$G1655)-SUMIFS([1]内部转账!$G:$G,[1]内部转账!$C:$C,"&lt;="&amp;$D1655,[1]内部转账!$F:$F,$G1655)),"")</f>
        <v/>
      </c>
      <c r="M1655" s="64"/>
      <c r="N1655" s="69"/>
      <c r="O1655" s="64"/>
      <c r="P1655" s="64"/>
      <c r="Q1655" s="69"/>
      <c r="R1655" s="69"/>
      <c r="S1655" s="69"/>
    </row>
    <row r="1656" s="2" customFormat="1" ht="24.95" customHeight="1" spans="1:19">
      <c r="A1656" s="15"/>
      <c r="B1656" s="55"/>
      <c r="C1656" s="56"/>
      <c r="D1656" s="68"/>
      <c r="E1656" s="69"/>
      <c r="F1656" s="69"/>
      <c r="G1656" s="65"/>
      <c r="H1656" s="65"/>
      <c r="I1656" s="70"/>
      <c r="J1656" s="71"/>
      <c r="K1656" s="71"/>
      <c r="L1656" s="72" t="str">
        <f>IFERROR(IF(G1656="","",VLOOKUP($G1656,[1]基础信息!$B:$C,2,FALSE)+SUMIF(G$8:G1656,G1656,J$8:J1656)-SUMIF(G$8:G1656,G1656,K$8:K1656)+SUMIFS([1]内部转账!$G:$G,[1]内部转账!$C:$C,"&lt;="&amp;$D1656,[1]内部转账!$E:$E,$G1656)-SUMIFS([1]内部转账!$G:$G,[1]内部转账!$C:$C,"&lt;="&amp;$D1656,[1]内部转账!$F:$F,$G1656)),"")</f>
        <v/>
      </c>
      <c r="M1656" s="64"/>
      <c r="N1656" s="69"/>
      <c r="O1656" s="64"/>
      <c r="P1656" s="64"/>
      <c r="Q1656" s="69"/>
      <c r="R1656" s="69"/>
      <c r="S1656" s="69"/>
    </row>
    <row r="1657" s="2" customFormat="1" ht="24.95" customHeight="1" spans="1:19">
      <c r="A1657" s="15"/>
      <c r="B1657" s="55"/>
      <c r="C1657" s="56"/>
      <c r="D1657" s="68"/>
      <c r="E1657" s="69"/>
      <c r="F1657" s="69"/>
      <c r="G1657" s="65"/>
      <c r="H1657" s="65"/>
      <c r="I1657" s="70"/>
      <c r="J1657" s="71"/>
      <c r="K1657" s="71"/>
      <c r="L1657" s="72" t="str">
        <f>IFERROR(IF(G1657="","",VLOOKUP($G1657,[1]基础信息!$B:$C,2,FALSE)+SUMIF(G$8:G1657,G1657,J$8:J1657)-SUMIF(G$8:G1657,G1657,K$8:K1657)+SUMIFS([1]内部转账!$G:$G,[1]内部转账!$C:$C,"&lt;="&amp;$D1657,[1]内部转账!$E:$E,$G1657)-SUMIFS([1]内部转账!$G:$G,[1]内部转账!$C:$C,"&lt;="&amp;$D1657,[1]内部转账!$F:$F,$G1657)),"")</f>
        <v/>
      </c>
      <c r="M1657" s="64"/>
      <c r="N1657" s="69"/>
      <c r="O1657" s="64"/>
      <c r="P1657" s="64"/>
      <c r="Q1657" s="69"/>
      <c r="R1657" s="69"/>
      <c r="S1657" s="69"/>
    </row>
    <row r="1658" s="2" customFormat="1" ht="24.95" customHeight="1" spans="1:19">
      <c r="A1658" s="15"/>
      <c r="B1658" s="55"/>
      <c r="C1658" s="56"/>
      <c r="D1658" s="68"/>
      <c r="E1658" s="69"/>
      <c r="F1658" s="69"/>
      <c r="G1658" s="65"/>
      <c r="H1658" s="65"/>
      <c r="I1658" s="70"/>
      <c r="J1658" s="71"/>
      <c r="K1658" s="71"/>
      <c r="L1658" s="72" t="str">
        <f>IFERROR(IF(G1658="","",VLOOKUP($G1658,[1]基础信息!$B:$C,2,FALSE)+SUMIF(G$8:G1658,G1658,J$8:J1658)-SUMIF(G$8:G1658,G1658,K$8:K1658)+SUMIFS([1]内部转账!$G:$G,[1]内部转账!$C:$C,"&lt;="&amp;$D1658,[1]内部转账!$E:$E,$G1658)-SUMIFS([1]内部转账!$G:$G,[1]内部转账!$C:$C,"&lt;="&amp;$D1658,[1]内部转账!$F:$F,$G1658)),"")</f>
        <v/>
      </c>
      <c r="M1658" s="64"/>
      <c r="N1658" s="69"/>
      <c r="O1658" s="64"/>
      <c r="P1658" s="64"/>
      <c r="Q1658" s="69"/>
      <c r="R1658" s="69"/>
      <c r="S1658" s="69"/>
    </row>
    <row r="1659" s="2" customFormat="1" ht="24.95" customHeight="1" spans="1:19">
      <c r="A1659" s="15"/>
      <c r="B1659" s="55"/>
      <c r="C1659" s="56"/>
      <c r="D1659" s="68"/>
      <c r="E1659" s="69"/>
      <c r="F1659" s="69"/>
      <c r="G1659" s="65"/>
      <c r="H1659" s="65"/>
      <c r="I1659" s="70"/>
      <c r="J1659" s="71"/>
      <c r="K1659" s="71"/>
      <c r="L1659" s="72" t="str">
        <f>IFERROR(IF(G1659="","",VLOOKUP($G1659,[1]基础信息!$B:$C,2,FALSE)+SUMIF(G$8:G1659,G1659,J$8:J1659)-SUMIF(G$8:G1659,G1659,K$8:K1659)+SUMIFS([1]内部转账!$G:$G,[1]内部转账!$C:$C,"&lt;="&amp;$D1659,[1]内部转账!$E:$E,$G1659)-SUMIFS([1]内部转账!$G:$G,[1]内部转账!$C:$C,"&lt;="&amp;$D1659,[1]内部转账!$F:$F,$G1659)),"")</f>
        <v/>
      </c>
      <c r="M1659" s="64"/>
      <c r="N1659" s="69"/>
      <c r="O1659" s="64"/>
      <c r="P1659" s="64"/>
      <c r="Q1659" s="69"/>
      <c r="R1659" s="69"/>
      <c r="S1659" s="69"/>
    </row>
    <row r="1660" s="2" customFormat="1" ht="24.95" customHeight="1" spans="1:19">
      <c r="A1660" s="15"/>
      <c r="B1660" s="55"/>
      <c r="C1660" s="56"/>
      <c r="D1660" s="68"/>
      <c r="E1660" s="69"/>
      <c r="F1660" s="69"/>
      <c r="G1660" s="65"/>
      <c r="H1660" s="65"/>
      <c r="I1660" s="70"/>
      <c r="J1660" s="71"/>
      <c r="K1660" s="71"/>
      <c r="L1660" s="72" t="str">
        <f>IFERROR(IF(G1660="","",VLOOKUP($G1660,[1]基础信息!$B:$C,2,FALSE)+SUMIF(G$8:G1660,G1660,J$8:J1660)-SUMIF(G$8:G1660,G1660,K$8:K1660)+SUMIFS([1]内部转账!$G:$G,[1]内部转账!$C:$C,"&lt;="&amp;$D1660,[1]内部转账!$E:$E,$G1660)-SUMIFS([1]内部转账!$G:$G,[1]内部转账!$C:$C,"&lt;="&amp;$D1660,[1]内部转账!$F:$F,$G1660)),"")</f>
        <v/>
      </c>
      <c r="M1660" s="64"/>
      <c r="N1660" s="69"/>
      <c r="O1660" s="64"/>
      <c r="P1660" s="64"/>
      <c r="Q1660" s="69"/>
      <c r="R1660" s="69"/>
      <c r="S1660" s="69"/>
    </row>
    <row r="1661" s="2" customFormat="1" ht="24.95" customHeight="1" spans="1:19">
      <c r="A1661" s="15"/>
      <c r="B1661" s="55"/>
      <c r="C1661" s="56"/>
      <c r="D1661" s="68"/>
      <c r="E1661" s="69"/>
      <c r="F1661" s="69"/>
      <c r="G1661" s="65"/>
      <c r="H1661" s="65"/>
      <c r="I1661" s="70"/>
      <c r="J1661" s="71"/>
      <c r="K1661" s="71"/>
      <c r="L1661" s="72" t="str">
        <f>IFERROR(IF(G1661="","",VLOOKUP($G1661,[1]基础信息!$B:$C,2,FALSE)+SUMIF(G$8:G1661,G1661,J$8:J1661)-SUMIF(G$8:G1661,G1661,K$8:K1661)+SUMIFS([1]内部转账!$G:$G,[1]内部转账!$C:$C,"&lt;="&amp;$D1661,[1]内部转账!$E:$E,$G1661)-SUMIFS([1]内部转账!$G:$G,[1]内部转账!$C:$C,"&lt;="&amp;$D1661,[1]内部转账!$F:$F,$G1661)),"")</f>
        <v/>
      </c>
      <c r="M1661" s="64"/>
      <c r="N1661" s="69"/>
      <c r="O1661" s="64"/>
      <c r="P1661" s="64"/>
      <c r="Q1661" s="69"/>
      <c r="R1661" s="69"/>
      <c r="S1661" s="69"/>
    </row>
    <row r="1662" s="2" customFormat="1" ht="24.95" customHeight="1" spans="1:19">
      <c r="A1662" s="15"/>
      <c r="B1662" s="55"/>
      <c r="C1662" s="56"/>
      <c r="D1662" s="68"/>
      <c r="E1662" s="69"/>
      <c r="F1662" s="69"/>
      <c r="G1662" s="65"/>
      <c r="H1662" s="65"/>
      <c r="I1662" s="70"/>
      <c r="J1662" s="71"/>
      <c r="K1662" s="71"/>
      <c r="L1662" s="72" t="str">
        <f>IFERROR(IF(G1662="","",VLOOKUP($G1662,[1]基础信息!$B:$C,2,FALSE)+SUMIF(G$8:G1662,G1662,J$8:J1662)-SUMIF(G$8:G1662,G1662,K$8:K1662)+SUMIFS([1]内部转账!$G:$G,[1]内部转账!$C:$C,"&lt;="&amp;$D1662,[1]内部转账!$E:$E,$G1662)-SUMIFS([1]内部转账!$G:$G,[1]内部转账!$C:$C,"&lt;="&amp;$D1662,[1]内部转账!$F:$F,$G1662)),"")</f>
        <v/>
      </c>
      <c r="M1662" s="64"/>
      <c r="N1662" s="69"/>
      <c r="O1662" s="64"/>
      <c r="P1662" s="64"/>
      <c r="Q1662" s="69"/>
      <c r="R1662" s="69"/>
      <c r="S1662" s="69"/>
    </row>
    <row r="1663" s="2" customFormat="1" ht="24.95" customHeight="1" spans="1:19">
      <c r="A1663" s="15"/>
      <c r="B1663" s="55"/>
      <c r="C1663" s="56"/>
      <c r="D1663" s="68"/>
      <c r="E1663" s="69"/>
      <c r="F1663" s="69"/>
      <c r="G1663" s="65"/>
      <c r="H1663" s="65"/>
      <c r="I1663" s="70"/>
      <c r="J1663" s="71"/>
      <c r="K1663" s="71"/>
      <c r="L1663" s="72" t="str">
        <f>IFERROR(IF(G1663="","",VLOOKUP($G1663,[1]基础信息!$B:$C,2,FALSE)+SUMIF(G$8:G1663,G1663,J$8:J1663)-SUMIF(G$8:G1663,G1663,K$8:K1663)+SUMIFS([1]内部转账!$G:$G,[1]内部转账!$C:$C,"&lt;="&amp;$D1663,[1]内部转账!$E:$E,$G1663)-SUMIFS([1]内部转账!$G:$G,[1]内部转账!$C:$C,"&lt;="&amp;$D1663,[1]内部转账!$F:$F,$G1663)),"")</f>
        <v/>
      </c>
      <c r="M1663" s="64"/>
      <c r="N1663" s="69"/>
      <c r="O1663" s="64"/>
      <c r="P1663" s="64"/>
      <c r="Q1663" s="69"/>
      <c r="R1663" s="69"/>
      <c r="S1663" s="69"/>
    </row>
    <row r="1664" s="2" customFormat="1" ht="24.95" customHeight="1" spans="1:19">
      <c r="A1664" s="15"/>
      <c r="B1664" s="55"/>
      <c r="C1664" s="56"/>
      <c r="D1664" s="68"/>
      <c r="E1664" s="69"/>
      <c r="F1664" s="69"/>
      <c r="G1664" s="65"/>
      <c r="H1664" s="65"/>
      <c r="I1664" s="70"/>
      <c r="J1664" s="71"/>
      <c r="K1664" s="71"/>
      <c r="L1664" s="72" t="str">
        <f>IFERROR(IF(G1664="","",VLOOKUP($G1664,[1]基础信息!$B:$C,2,FALSE)+SUMIF(G$8:G1664,G1664,J$8:J1664)-SUMIF(G$8:G1664,G1664,K$8:K1664)+SUMIFS([1]内部转账!$G:$G,[1]内部转账!$C:$C,"&lt;="&amp;$D1664,[1]内部转账!$E:$E,$G1664)-SUMIFS([1]内部转账!$G:$G,[1]内部转账!$C:$C,"&lt;="&amp;$D1664,[1]内部转账!$F:$F,$G1664)),"")</f>
        <v/>
      </c>
      <c r="M1664" s="64"/>
      <c r="N1664" s="69"/>
      <c r="O1664" s="64"/>
      <c r="P1664" s="64"/>
      <c r="Q1664" s="69"/>
      <c r="R1664" s="69"/>
      <c r="S1664" s="69"/>
    </row>
    <row r="1665" s="2" customFormat="1" ht="24.95" customHeight="1" spans="1:19">
      <c r="A1665" s="15"/>
      <c r="B1665" s="55"/>
      <c r="C1665" s="56"/>
      <c r="D1665" s="68"/>
      <c r="E1665" s="69"/>
      <c r="F1665" s="69"/>
      <c r="G1665" s="65"/>
      <c r="H1665" s="65"/>
      <c r="I1665" s="70"/>
      <c r="J1665" s="71"/>
      <c r="K1665" s="71"/>
      <c r="L1665" s="72" t="str">
        <f>IFERROR(IF(G1665="","",VLOOKUP($G1665,[1]基础信息!$B:$C,2,FALSE)+SUMIF(G$8:G1665,G1665,J$8:J1665)-SUMIF(G$8:G1665,G1665,K$8:K1665)+SUMIFS([1]内部转账!$G:$G,[1]内部转账!$C:$C,"&lt;="&amp;$D1665,[1]内部转账!$E:$E,$G1665)-SUMIFS([1]内部转账!$G:$G,[1]内部转账!$C:$C,"&lt;="&amp;$D1665,[1]内部转账!$F:$F,$G1665)),"")</f>
        <v/>
      </c>
      <c r="M1665" s="64"/>
      <c r="N1665" s="69"/>
      <c r="O1665" s="64"/>
      <c r="P1665" s="64"/>
      <c r="Q1665" s="69"/>
      <c r="R1665" s="69"/>
      <c r="S1665" s="69"/>
    </row>
    <row r="1666" s="2" customFormat="1" ht="24.95" customHeight="1" spans="1:19">
      <c r="A1666" s="15"/>
      <c r="B1666" s="55"/>
      <c r="C1666" s="56"/>
      <c r="D1666" s="68"/>
      <c r="E1666" s="69"/>
      <c r="F1666" s="69"/>
      <c r="G1666" s="65"/>
      <c r="H1666" s="65"/>
      <c r="I1666" s="70"/>
      <c r="J1666" s="71"/>
      <c r="K1666" s="71"/>
      <c r="L1666" s="72" t="str">
        <f>IFERROR(IF(G1666="","",VLOOKUP($G1666,[1]基础信息!$B:$C,2,FALSE)+SUMIF(G$8:G1666,G1666,J$8:J1666)-SUMIF(G$8:G1666,G1666,K$8:K1666)+SUMIFS([1]内部转账!$G:$G,[1]内部转账!$C:$C,"&lt;="&amp;$D1666,[1]内部转账!$E:$E,$G1666)-SUMIFS([1]内部转账!$G:$G,[1]内部转账!$C:$C,"&lt;="&amp;$D1666,[1]内部转账!$F:$F,$G1666)),"")</f>
        <v/>
      </c>
      <c r="M1666" s="64"/>
      <c r="N1666" s="69"/>
      <c r="O1666" s="64"/>
      <c r="P1666" s="64"/>
      <c r="Q1666" s="69"/>
      <c r="R1666" s="69"/>
      <c r="S1666" s="69"/>
    </row>
    <row r="1667" s="2" customFormat="1" ht="24.95" customHeight="1" spans="1:19">
      <c r="A1667" s="15"/>
      <c r="B1667" s="55"/>
      <c r="C1667" s="56"/>
      <c r="D1667" s="68"/>
      <c r="E1667" s="69"/>
      <c r="F1667" s="69"/>
      <c r="G1667" s="65"/>
      <c r="H1667" s="65"/>
      <c r="I1667" s="70"/>
      <c r="J1667" s="71"/>
      <c r="K1667" s="71"/>
      <c r="L1667" s="72" t="str">
        <f>IFERROR(IF(G1667="","",VLOOKUP($G1667,[1]基础信息!$B:$C,2,FALSE)+SUMIF(G$8:G1667,G1667,J$8:J1667)-SUMIF(G$8:G1667,G1667,K$8:K1667)+SUMIFS([1]内部转账!$G:$G,[1]内部转账!$C:$C,"&lt;="&amp;$D1667,[1]内部转账!$E:$E,$G1667)-SUMIFS([1]内部转账!$G:$G,[1]内部转账!$C:$C,"&lt;="&amp;$D1667,[1]内部转账!$F:$F,$G1667)),"")</f>
        <v/>
      </c>
      <c r="M1667" s="64"/>
      <c r="N1667" s="69"/>
      <c r="O1667" s="64"/>
      <c r="P1667" s="64"/>
      <c r="Q1667" s="69"/>
      <c r="R1667" s="69"/>
      <c r="S1667" s="69"/>
    </row>
    <row r="1668" s="2" customFormat="1" ht="24.95" customHeight="1" spans="1:19">
      <c r="A1668" s="15"/>
      <c r="B1668" s="55"/>
      <c r="C1668" s="56"/>
      <c r="D1668" s="68"/>
      <c r="E1668" s="69"/>
      <c r="F1668" s="69"/>
      <c r="G1668" s="65"/>
      <c r="H1668" s="65"/>
      <c r="I1668" s="70"/>
      <c r="J1668" s="71"/>
      <c r="K1668" s="71"/>
      <c r="L1668" s="72" t="str">
        <f>IFERROR(IF(G1668="","",VLOOKUP($G1668,[1]基础信息!$B:$C,2,FALSE)+SUMIF(G$8:G1668,G1668,J$8:J1668)-SUMIF(G$8:G1668,G1668,K$8:K1668)+SUMIFS([1]内部转账!$G:$G,[1]内部转账!$C:$C,"&lt;="&amp;$D1668,[1]内部转账!$E:$E,$G1668)-SUMIFS([1]内部转账!$G:$G,[1]内部转账!$C:$C,"&lt;="&amp;$D1668,[1]内部转账!$F:$F,$G1668)),"")</f>
        <v/>
      </c>
      <c r="M1668" s="64"/>
      <c r="N1668" s="69"/>
      <c r="O1668" s="64"/>
      <c r="P1668" s="64"/>
      <c r="Q1668" s="69"/>
      <c r="R1668" s="69"/>
      <c r="S1668" s="69"/>
    </row>
    <row r="1669" s="2" customFormat="1" ht="24.95" customHeight="1" spans="1:19">
      <c r="A1669" s="15"/>
      <c r="B1669" s="55"/>
      <c r="C1669" s="56"/>
      <c r="D1669" s="68"/>
      <c r="E1669" s="69"/>
      <c r="F1669" s="69"/>
      <c r="G1669" s="65"/>
      <c r="H1669" s="65"/>
      <c r="I1669" s="70"/>
      <c r="J1669" s="71"/>
      <c r="K1669" s="71"/>
      <c r="L1669" s="72" t="str">
        <f>IFERROR(IF(G1669="","",VLOOKUP($G1669,[1]基础信息!$B:$C,2,FALSE)+SUMIF(G$8:G1669,G1669,J$8:J1669)-SUMIF(G$8:G1669,G1669,K$8:K1669)+SUMIFS([1]内部转账!$G:$G,[1]内部转账!$C:$C,"&lt;="&amp;$D1669,[1]内部转账!$E:$E,$G1669)-SUMIFS([1]内部转账!$G:$G,[1]内部转账!$C:$C,"&lt;="&amp;$D1669,[1]内部转账!$F:$F,$G1669)),"")</f>
        <v/>
      </c>
      <c r="M1669" s="64"/>
      <c r="N1669" s="69"/>
      <c r="O1669" s="64"/>
      <c r="P1669" s="64"/>
      <c r="Q1669" s="69"/>
      <c r="R1669" s="69"/>
      <c r="S1669" s="69"/>
    </row>
    <row r="1670" s="2" customFormat="1" ht="24.95" customHeight="1" spans="1:19">
      <c r="A1670" s="15"/>
      <c r="B1670" s="55"/>
      <c r="C1670" s="56"/>
      <c r="D1670" s="68"/>
      <c r="E1670" s="69"/>
      <c r="F1670" s="69"/>
      <c r="G1670" s="65"/>
      <c r="H1670" s="65"/>
      <c r="I1670" s="70"/>
      <c r="J1670" s="71"/>
      <c r="K1670" s="71"/>
      <c r="L1670" s="72" t="str">
        <f>IFERROR(IF(G1670="","",VLOOKUP($G1670,[1]基础信息!$B:$C,2,FALSE)+SUMIF(G$8:G1670,G1670,J$8:J1670)-SUMIF(G$8:G1670,G1670,K$8:K1670)+SUMIFS([1]内部转账!$G:$G,[1]内部转账!$C:$C,"&lt;="&amp;$D1670,[1]内部转账!$E:$E,$G1670)-SUMIFS([1]内部转账!$G:$G,[1]内部转账!$C:$C,"&lt;="&amp;$D1670,[1]内部转账!$F:$F,$G1670)),"")</f>
        <v/>
      </c>
      <c r="M1670" s="64"/>
      <c r="N1670" s="69"/>
      <c r="O1670" s="64"/>
      <c r="P1670" s="64"/>
      <c r="Q1670" s="69"/>
      <c r="R1670" s="69"/>
      <c r="S1670" s="69"/>
    </row>
    <row r="1671" s="2" customFormat="1" ht="24.95" customHeight="1" spans="1:19">
      <c r="A1671" s="15"/>
      <c r="B1671" s="55"/>
      <c r="C1671" s="56"/>
      <c r="D1671" s="68"/>
      <c r="E1671" s="69"/>
      <c r="F1671" s="69"/>
      <c r="G1671" s="65"/>
      <c r="H1671" s="65"/>
      <c r="I1671" s="70"/>
      <c r="J1671" s="71"/>
      <c r="K1671" s="71"/>
      <c r="L1671" s="72" t="str">
        <f>IFERROR(IF(G1671="","",VLOOKUP($G1671,[1]基础信息!$B:$C,2,FALSE)+SUMIF(G$8:G1671,G1671,J$8:J1671)-SUMIF(G$8:G1671,G1671,K$8:K1671)+SUMIFS([1]内部转账!$G:$G,[1]内部转账!$C:$C,"&lt;="&amp;$D1671,[1]内部转账!$E:$E,$G1671)-SUMIFS([1]内部转账!$G:$G,[1]内部转账!$C:$C,"&lt;="&amp;$D1671,[1]内部转账!$F:$F,$G1671)),"")</f>
        <v/>
      </c>
      <c r="M1671" s="64"/>
      <c r="N1671" s="69"/>
      <c r="O1671" s="64"/>
      <c r="P1671" s="64"/>
      <c r="Q1671" s="69"/>
      <c r="R1671" s="69"/>
      <c r="S1671" s="69"/>
    </row>
    <row r="1672" s="2" customFormat="1" ht="24.95" customHeight="1" spans="1:19">
      <c r="A1672" s="15"/>
      <c r="B1672" s="55"/>
      <c r="C1672" s="56"/>
      <c r="D1672" s="68"/>
      <c r="E1672" s="69"/>
      <c r="F1672" s="69"/>
      <c r="G1672" s="65"/>
      <c r="H1672" s="65"/>
      <c r="I1672" s="70"/>
      <c r="J1672" s="71"/>
      <c r="K1672" s="71"/>
      <c r="L1672" s="72" t="str">
        <f>IFERROR(IF(G1672="","",VLOOKUP($G1672,[1]基础信息!$B:$C,2,FALSE)+SUMIF(G$8:G1672,G1672,J$8:J1672)-SUMIF(G$8:G1672,G1672,K$8:K1672)+SUMIFS([1]内部转账!$G:$G,[1]内部转账!$C:$C,"&lt;="&amp;$D1672,[1]内部转账!$E:$E,$G1672)-SUMIFS([1]内部转账!$G:$G,[1]内部转账!$C:$C,"&lt;="&amp;$D1672,[1]内部转账!$F:$F,$G1672)),"")</f>
        <v/>
      </c>
      <c r="M1672" s="64"/>
      <c r="N1672" s="69"/>
      <c r="O1672" s="64"/>
      <c r="P1672" s="64"/>
      <c r="Q1672" s="69"/>
      <c r="R1672" s="69"/>
      <c r="S1672" s="69"/>
    </row>
    <row r="1673" s="2" customFormat="1" ht="24.95" customHeight="1" spans="1:19">
      <c r="A1673" s="15"/>
      <c r="B1673" s="55"/>
      <c r="C1673" s="56"/>
      <c r="D1673" s="68"/>
      <c r="E1673" s="69"/>
      <c r="F1673" s="69"/>
      <c r="G1673" s="65"/>
      <c r="H1673" s="65"/>
      <c r="I1673" s="70"/>
      <c r="J1673" s="71"/>
      <c r="K1673" s="71"/>
      <c r="L1673" s="72" t="str">
        <f>IFERROR(IF(G1673="","",VLOOKUP($G1673,[1]基础信息!$B:$C,2,FALSE)+SUMIF(G$8:G1673,G1673,J$8:J1673)-SUMIF(G$8:G1673,G1673,K$8:K1673)+SUMIFS([1]内部转账!$G:$G,[1]内部转账!$C:$C,"&lt;="&amp;$D1673,[1]内部转账!$E:$E,$G1673)-SUMIFS([1]内部转账!$G:$G,[1]内部转账!$C:$C,"&lt;="&amp;$D1673,[1]内部转账!$F:$F,$G1673)),"")</f>
        <v/>
      </c>
      <c r="M1673" s="64"/>
      <c r="N1673" s="69"/>
      <c r="O1673" s="64"/>
      <c r="P1673" s="64"/>
      <c r="Q1673" s="69"/>
      <c r="R1673" s="69"/>
      <c r="S1673" s="69"/>
    </row>
    <row r="1674" s="2" customFormat="1" ht="24.95" customHeight="1" spans="1:19">
      <c r="A1674" s="15"/>
      <c r="B1674" s="55"/>
      <c r="C1674" s="56"/>
      <c r="D1674" s="68"/>
      <c r="E1674" s="69"/>
      <c r="F1674" s="69"/>
      <c r="G1674" s="65"/>
      <c r="H1674" s="65"/>
      <c r="I1674" s="70"/>
      <c r="J1674" s="71"/>
      <c r="K1674" s="71"/>
      <c r="L1674" s="72" t="str">
        <f>IFERROR(IF(G1674="","",VLOOKUP($G1674,[1]基础信息!$B:$C,2,FALSE)+SUMIF(G$8:G1674,G1674,J$8:J1674)-SUMIF(G$8:G1674,G1674,K$8:K1674)+SUMIFS([1]内部转账!$G:$G,[1]内部转账!$C:$C,"&lt;="&amp;$D1674,[1]内部转账!$E:$E,$G1674)-SUMIFS([1]内部转账!$G:$G,[1]内部转账!$C:$C,"&lt;="&amp;$D1674,[1]内部转账!$F:$F,$G1674)),"")</f>
        <v/>
      </c>
      <c r="M1674" s="64"/>
      <c r="N1674" s="69"/>
      <c r="O1674" s="64"/>
      <c r="P1674" s="64"/>
      <c r="Q1674" s="69"/>
      <c r="R1674" s="69"/>
      <c r="S1674" s="69"/>
    </row>
    <row r="1675" s="2" customFormat="1" ht="24.95" customHeight="1" spans="1:19">
      <c r="A1675" s="15"/>
      <c r="B1675" s="55"/>
      <c r="C1675" s="56"/>
      <c r="D1675" s="68"/>
      <c r="E1675" s="69"/>
      <c r="F1675" s="69"/>
      <c r="G1675" s="65"/>
      <c r="H1675" s="65"/>
      <c r="I1675" s="70"/>
      <c r="J1675" s="71"/>
      <c r="K1675" s="71"/>
      <c r="L1675" s="72" t="str">
        <f>IFERROR(IF(G1675="","",VLOOKUP($G1675,[1]基础信息!$B:$C,2,FALSE)+SUMIF(G$8:G1675,G1675,J$8:J1675)-SUMIF(G$8:G1675,G1675,K$8:K1675)+SUMIFS([1]内部转账!$G:$G,[1]内部转账!$C:$C,"&lt;="&amp;$D1675,[1]内部转账!$E:$E,$G1675)-SUMIFS([1]内部转账!$G:$G,[1]内部转账!$C:$C,"&lt;="&amp;$D1675,[1]内部转账!$F:$F,$G1675)),"")</f>
        <v/>
      </c>
      <c r="M1675" s="64"/>
      <c r="N1675" s="69"/>
      <c r="O1675" s="64"/>
      <c r="P1675" s="64"/>
      <c r="Q1675" s="69"/>
      <c r="R1675" s="69"/>
      <c r="S1675" s="69"/>
    </row>
    <row r="1676" s="2" customFormat="1" ht="24.95" customHeight="1" spans="1:19">
      <c r="A1676" s="15"/>
      <c r="B1676" s="55"/>
      <c r="C1676" s="56"/>
      <c r="D1676" s="68"/>
      <c r="E1676" s="69"/>
      <c r="F1676" s="69"/>
      <c r="G1676" s="65"/>
      <c r="H1676" s="65"/>
      <c r="I1676" s="70"/>
      <c r="J1676" s="71"/>
      <c r="K1676" s="71"/>
      <c r="L1676" s="72" t="str">
        <f>IFERROR(IF(G1676="","",VLOOKUP($G1676,[1]基础信息!$B:$C,2,FALSE)+SUMIF(G$8:G1676,G1676,J$8:J1676)-SUMIF(G$8:G1676,G1676,K$8:K1676)+SUMIFS([1]内部转账!$G:$G,[1]内部转账!$C:$C,"&lt;="&amp;$D1676,[1]内部转账!$E:$E,$G1676)-SUMIFS([1]内部转账!$G:$G,[1]内部转账!$C:$C,"&lt;="&amp;$D1676,[1]内部转账!$F:$F,$G1676)),"")</f>
        <v/>
      </c>
      <c r="M1676" s="64"/>
      <c r="N1676" s="69"/>
      <c r="O1676" s="64"/>
      <c r="P1676" s="64"/>
      <c r="Q1676" s="69"/>
      <c r="R1676" s="69"/>
      <c r="S1676" s="69"/>
    </row>
    <row r="1677" s="2" customFormat="1" ht="24.95" customHeight="1" spans="1:19">
      <c r="A1677" s="15"/>
      <c r="B1677" s="55"/>
      <c r="C1677" s="56"/>
      <c r="D1677" s="68"/>
      <c r="E1677" s="69"/>
      <c r="F1677" s="69"/>
      <c r="G1677" s="65"/>
      <c r="H1677" s="65"/>
      <c r="I1677" s="70"/>
      <c r="J1677" s="71"/>
      <c r="K1677" s="71"/>
      <c r="L1677" s="72" t="str">
        <f>IFERROR(IF(G1677="","",VLOOKUP($G1677,[1]基础信息!$B:$C,2,FALSE)+SUMIF(G$8:G1677,G1677,J$8:J1677)-SUMIF(G$8:G1677,G1677,K$8:K1677)+SUMIFS([1]内部转账!$G:$G,[1]内部转账!$C:$C,"&lt;="&amp;$D1677,[1]内部转账!$E:$E,$G1677)-SUMIFS([1]内部转账!$G:$G,[1]内部转账!$C:$C,"&lt;="&amp;$D1677,[1]内部转账!$F:$F,$G1677)),"")</f>
        <v/>
      </c>
      <c r="M1677" s="64"/>
      <c r="N1677" s="69"/>
      <c r="O1677" s="64"/>
      <c r="P1677" s="64"/>
      <c r="Q1677" s="69"/>
      <c r="R1677" s="69"/>
      <c r="S1677" s="69"/>
    </row>
    <row r="1678" s="2" customFormat="1" ht="24.95" customHeight="1" spans="1:19">
      <c r="A1678" s="15"/>
      <c r="B1678" s="55"/>
      <c r="C1678" s="56"/>
      <c r="D1678" s="68"/>
      <c r="E1678" s="69"/>
      <c r="F1678" s="69"/>
      <c r="G1678" s="65"/>
      <c r="H1678" s="65"/>
      <c r="I1678" s="70"/>
      <c r="J1678" s="71"/>
      <c r="K1678" s="71"/>
      <c r="L1678" s="72" t="str">
        <f>IFERROR(IF(G1678="","",VLOOKUP($G1678,[1]基础信息!$B:$C,2,FALSE)+SUMIF(G$8:G1678,G1678,J$8:J1678)-SUMIF(G$8:G1678,G1678,K$8:K1678)+SUMIFS([1]内部转账!$G:$G,[1]内部转账!$C:$C,"&lt;="&amp;$D1678,[1]内部转账!$E:$E,$G1678)-SUMIFS([1]内部转账!$G:$G,[1]内部转账!$C:$C,"&lt;="&amp;$D1678,[1]内部转账!$F:$F,$G1678)),"")</f>
        <v/>
      </c>
      <c r="M1678" s="64"/>
      <c r="N1678" s="69"/>
      <c r="O1678" s="64"/>
      <c r="P1678" s="64"/>
      <c r="Q1678" s="69"/>
      <c r="R1678" s="69"/>
      <c r="S1678" s="69"/>
    </row>
    <row r="1679" s="2" customFormat="1" ht="24.95" customHeight="1" spans="1:19">
      <c r="A1679" s="15"/>
      <c r="B1679" s="55"/>
      <c r="C1679" s="56"/>
      <c r="D1679" s="68"/>
      <c r="E1679" s="69"/>
      <c r="F1679" s="69"/>
      <c r="G1679" s="65"/>
      <c r="H1679" s="65"/>
      <c r="I1679" s="70"/>
      <c r="J1679" s="71"/>
      <c r="K1679" s="71"/>
      <c r="L1679" s="72" t="str">
        <f>IFERROR(IF(G1679="","",VLOOKUP($G1679,[1]基础信息!$B:$C,2,FALSE)+SUMIF(G$8:G1679,G1679,J$8:J1679)-SUMIF(G$8:G1679,G1679,K$8:K1679)+SUMIFS([1]内部转账!$G:$G,[1]内部转账!$C:$C,"&lt;="&amp;$D1679,[1]内部转账!$E:$E,$G1679)-SUMIFS([1]内部转账!$G:$G,[1]内部转账!$C:$C,"&lt;="&amp;$D1679,[1]内部转账!$F:$F,$G1679)),"")</f>
        <v/>
      </c>
      <c r="M1679" s="64"/>
      <c r="N1679" s="69"/>
      <c r="O1679" s="64"/>
      <c r="P1679" s="64"/>
      <c r="Q1679" s="69"/>
      <c r="R1679" s="69"/>
      <c r="S1679" s="69"/>
    </row>
    <row r="1680" s="2" customFormat="1" ht="24.95" customHeight="1" spans="1:19">
      <c r="A1680" s="15"/>
      <c r="B1680" s="55"/>
      <c r="C1680" s="56"/>
      <c r="D1680" s="68"/>
      <c r="E1680" s="69"/>
      <c r="F1680" s="69"/>
      <c r="G1680" s="65"/>
      <c r="H1680" s="65"/>
      <c r="I1680" s="70"/>
      <c r="J1680" s="71"/>
      <c r="K1680" s="71"/>
      <c r="L1680" s="72" t="str">
        <f>IFERROR(IF(G1680="","",VLOOKUP($G1680,[1]基础信息!$B:$C,2,FALSE)+SUMIF(G$8:G1680,G1680,J$8:J1680)-SUMIF(G$8:G1680,G1680,K$8:K1680)+SUMIFS([1]内部转账!$G:$G,[1]内部转账!$C:$C,"&lt;="&amp;$D1680,[1]内部转账!$E:$E,$G1680)-SUMIFS([1]内部转账!$G:$G,[1]内部转账!$C:$C,"&lt;="&amp;$D1680,[1]内部转账!$F:$F,$G1680)),"")</f>
        <v/>
      </c>
      <c r="M1680" s="64"/>
      <c r="N1680" s="69"/>
      <c r="O1680" s="64"/>
      <c r="P1680" s="64"/>
      <c r="Q1680" s="69"/>
      <c r="R1680" s="69"/>
      <c r="S1680" s="69"/>
    </row>
    <row r="1681" s="2" customFormat="1" ht="24.95" customHeight="1" spans="1:19">
      <c r="A1681" s="15"/>
      <c r="B1681" s="55"/>
      <c r="C1681" s="56"/>
      <c r="D1681" s="68"/>
      <c r="E1681" s="69"/>
      <c r="F1681" s="69"/>
      <c r="G1681" s="65"/>
      <c r="H1681" s="65"/>
      <c r="I1681" s="70"/>
      <c r="J1681" s="71"/>
      <c r="K1681" s="71"/>
      <c r="L1681" s="72" t="str">
        <f>IFERROR(IF(G1681="","",VLOOKUP($G1681,[1]基础信息!$B:$C,2,FALSE)+SUMIF(G$8:G1681,G1681,J$8:J1681)-SUMIF(G$8:G1681,G1681,K$8:K1681)+SUMIFS([1]内部转账!$G:$G,[1]内部转账!$C:$C,"&lt;="&amp;$D1681,[1]内部转账!$E:$E,$G1681)-SUMIFS([1]内部转账!$G:$G,[1]内部转账!$C:$C,"&lt;="&amp;$D1681,[1]内部转账!$F:$F,$G1681)),"")</f>
        <v/>
      </c>
      <c r="M1681" s="64"/>
      <c r="N1681" s="69"/>
      <c r="O1681" s="64"/>
      <c r="P1681" s="64"/>
      <c r="Q1681" s="69"/>
      <c r="R1681" s="69"/>
      <c r="S1681" s="69"/>
    </row>
    <row r="1682" s="2" customFormat="1" ht="24.95" customHeight="1" spans="1:19">
      <c r="A1682" s="15"/>
      <c r="B1682" s="55"/>
      <c r="C1682" s="56"/>
      <c r="D1682" s="68"/>
      <c r="E1682" s="69"/>
      <c r="F1682" s="69"/>
      <c r="G1682" s="65"/>
      <c r="H1682" s="65"/>
      <c r="I1682" s="70"/>
      <c r="J1682" s="71"/>
      <c r="K1682" s="71"/>
      <c r="L1682" s="72" t="str">
        <f>IFERROR(IF(G1682="","",VLOOKUP($G1682,[1]基础信息!$B:$C,2,FALSE)+SUMIF(G$8:G1682,G1682,J$8:J1682)-SUMIF(G$8:G1682,G1682,K$8:K1682)+SUMIFS([1]内部转账!$G:$G,[1]内部转账!$C:$C,"&lt;="&amp;$D1682,[1]内部转账!$E:$E,$G1682)-SUMIFS([1]内部转账!$G:$G,[1]内部转账!$C:$C,"&lt;="&amp;$D1682,[1]内部转账!$F:$F,$G1682)),"")</f>
        <v/>
      </c>
      <c r="M1682" s="64"/>
      <c r="N1682" s="69"/>
      <c r="O1682" s="64"/>
      <c r="P1682" s="64"/>
      <c r="Q1682" s="69"/>
      <c r="R1682" s="69"/>
      <c r="S1682" s="69"/>
    </row>
    <row r="1683" s="2" customFormat="1" ht="24.95" customHeight="1" spans="1:19">
      <c r="A1683" s="15"/>
      <c r="B1683" s="55"/>
      <c r="C1683" s="56"/>
      <c r="D1683" s="68"/>
      <c r="E1683" s="69"/>
      <c r="F1683" s="69"/>
      <c r="G1683" s="65"/>
      <c r="H1683" s="65"/>
      <c r="I1683" s="70"/>
      <c r="J1683" s="71"/>
      <c r="K1683" s="71"/>
      <c r="L1683" s="72" t="str">
        <f>IFERROR(IF(G1683="","",VLOOKUP($G1683,[1]基础信息!$B:$C,2,FALSE)+SUMIF(G$8:G1683,G1683,J$8:J1683)-SUMIF(G$8:G1683,G1683,K$8:K1683)+SUMIFS([1]内部转账!$G:$G,[1]内部转账!$C:$C,"&lt;="&amp;$D1683,[1]内部转账!$E:$E,$G1683)-SUMIFS([1]内部转账!$G:$G,[1]内部转账!$C:$C,"&lt;="&amp;$D1683,[1]内部转账!$F:$F,$G1683)),"")</f>
        <v/>
      </c>
      <c r="M1683" s="64"/>
      <c r="N1683" s="69"/>
      <c r="O1683" s="64"/>
      <c r="P1683" s="64"/>
      <c r="Q1683" s="69"/>
      <c r="R1683" s="69"/>
      <c r="S1683" s="69"/>
    </row>
    <row r="1684" s="2" customFormat="1" ht="24.95" customHeight="1" spans="1:19">
      <c r="A1684" s="15"/>
      <c r="B1684" s="55"/>
      <c r="C1684" s="56"/>
      <c r="D1684" s="68"/>
      <c r="E1684" s="69"/>
      <c r="F1684" s="69"/>
      <c r="G1684" s="65"/>
      <c r="H1684" s="65"/>
      <c r="I1684" s="70"/>
      <c r="J1684" s="71"/>
      <c r="K1684" s="71"/>
      <c r="L1684" s="72" t="str">
        <f>IFERROR(IF(G1684="","",VLOOKUP($G1684,[1]基础信息!$B:$C,2,FALSE)+SUMIF(G$8:G1684,G1684,J$8:J1684)-SUMIF(G$8:G1684,G1684,K$8:K1684)+SUMIFS([1]内部转账!$G:$G,[1]内部转账!$C:$C,"&lt;="&amp;$D1684,[1]内部转账!$E:$E,$G1684)-SUMIFS([1]内部转账!$G:$G,[1]内部转账!$C:$C,"&lt;="&amp;$D1684,[1]内部转账!$F:$F,$G1684)),"")</f>
        <v/>
      </c>
      <c r="M1684" s="64"/>
      <c r="N1684" s="69"/>
      <c r="O1684" s="64"/>
      <c r="P1684" s="64"/>
      <c r="Q1684" s="69"/>
      <c r="R1684" s="69"/>
      <c r="S1684" s="69"/>
    </row>
    <row r="1685" s="2" customFormat="1" ht="24.95" customHeight="1" spans="1:19">
      <c r="A1685" s="15"/>
      <c r="B1685" s="55"/>
      <c r="C1685" s="56"/>
      <c r="D1685" s="68"/>
      <c r="E1685" s="69"/>
      <c r="F1685" s="69"/>
      <c r="G1685" s="65"/>
      <c r="H1685" s="65"/>
      <c r="I1685" s="70"/>
      <c r="J1685" s="71"/>
      <c r="K1685" s="71"/>
      <c r="L1685" s="72" t="str">
        <f>IFERROR(IF(G1685="","",VLOOKUP($G1685,[1]基础信息!$B:$C,2,FALSE)+SUMIF(G$8:G1685,G1685,J$8:J1685)-SUMIF(G$8:G1685,G1685,K$8:K1685)+SUMIFS([1]内部转账!$G:$G,[1]内部转账!$C:$C,"&lt;="&amp;$D1685,[1]内部转账!$E:$E,$G1685)-SUMIFS([1]内部转账!$G:$G,[1]内部转账!$C:$C,"&lt;="&amp;$D1685,[1]内部转账!$F:$F,$G1685)),"")</f>
        <v/>
      </c>
      <c r="M1685" s="64"/>
      <c r="N1685" s="69"/>
      <c r="O1685" s="64"/>
      <c r="P1685" s="64"/>
      <c r="Q1685" s="69"/>
      <c r="R1685" s="69"/>
      <c r="S1685" s="69"/>
    </row>
    <row r="1686" s="2" customFormat="1" ht="24.95" customHeight="1" spans="1:19">
      <c r="A1686" s="15"/>
      <c r="B1686" s="55"/>
      <c r="C1686" s="56"/>
      <c r="D1686" s="68"/>
      <c r="E1686" s="69"/>
      <c r="F1686" s="69"/>
      <c r="G1686" s="65"/>
      <c r="H1686" s="65"/>
      <c r="I1686" s="70"/>
      <c r="J1686" s="71"/>
      <c r="K1686" s="71"/>
      <c r="L1686" s="72" t="str">
        <f>IFERROR(IF(G1686="","",VLOOKUP($G1686,[1]基础信息!$B:$C,2,FALSE)+SUMIF(G$8:G1686,G1686,J$8:J1686)-SUMIF(G$8:G1686,G1686,K$8:K1686)+SUMIFS([1]内部转账!$G:$G,[1]内部转账!$C:$C,"&lt;="&amp;$D1686,[1]内部转账!$E:$E,$G1686)-SUMIFS([1]内部转账!$G:$G,[1]内部转账!$C:$C,"&lt;="&amp;$D1686,[1]内部转账!$F:$F,$G1686)),"")</f>
        <v/>
      </c>
      <c r="M1686" s="64"/>
      <c r="N1686" s="69"/>
      <c r="O1686" s="64"/>
      <c r="P1686" s="64"/>
      <c r="Q1686" s="69"/>
      <c r="R1686" s="69"/>
      <c r="S1686" s="69"/>
    </row>
    <row r="1687" s="2" customFormat="1" ht="24.95" customHeight="1" spans="1:19">
      <c r="A1687" s="15"/>
      <c r="B1687" s="55"/>
      <c r="C1687" s="56"/>
      <c r="D1687" s="68"/>
      <c r="E1687" s="69"/>
      <c r="F1687" s="69"/>
      <c r="G1687" s="65"/>
      <c r="H1687" s="65"/>
      <c r="I1687" s="70"/>
      <c r="J1687" s="71"/>
      <c r="K1687" s="71"/>
      <c r="L1687" s="72" t="str">
        <f>IFERROR(IF(G1687="","",VLOOKUP($G1687,[1]基础信息!$B:$C,2,FALSE)+SUMIF(G$8:G1687,G1687,J$8:J1687)-SUMIF(G$8:G1687,G1687,K$8:K1687)+SUMIFS([1]内部转账!$G:$G,[1]内部转账!$C:$C,"&lt;="&amp;$D1687,[1]内部转账!$E:$E,$G1687)-SUMIFS([1]内部转账!$G:$G,[1]内部转账!$C:$C,"&lt;="&amp;$D1687,[1]内部转账!$F:$F,$G1687)),"")</f>
        <v/>
      </c>
      <c r="M1687" s="64"/>
      <c r="N1687" s="69"/>
      <c r="O1687" s="64"/>
      <c r="P1687" s="64"/>
      <c r="Q1687" s="69"/>
      <c r="R1687" s="69"/>
      <c r="S1687" s="69"/>
    </row>
    <row r="1688" s="2" customFormat="1" ht="24.95" customHeight="1" spans="1:19">
      <c r="A1688" s="15"/>
      <c r="B1688" s="55"/>
      <c r="C1688" s="56"/>
      <c r="D1688" s="68"/>
      <c r="E1688" s="69"/>
      <c r="F1688" s="69"/>
      <c r="G1688" s="65"/>
      <c r="H1688" s="65"/>
      <c r="I1688" s="70"/>
      <c r="J1688" s="71"/>
      <c r="K1688" s="71"/>
      <c r="L1688" s="72" t="str">
        <f>IFERROR(IF(G1688="","",VLOOKUP($G1688,[1]基础信息!$B:$C,2,FALSE)+SUMIF(G$8:G1688,G1688,J$8:J1688)-SUMIF(G$8:G1688,G1688,K$8:K1688)+SUMIFS([1]内部转账!$G:$G,[1]内部转账!$C:$C,"&lt;="&amp;$D1688,[1]内部转账!$E:$E,$G1688)-SUMIFS([1]内部转账!$G:$G,[1]内部转账!$C:$C,"&lt;="&amp;$D1688,[1]内部转账!$F:$F,$G1688)),"")</f>
        <v/>
      </c>
      <c r="M1688" s="64"/>
      <c r="N1688" s="69"/>
      <c r="O1688" s="64"/>
      <c r="P1688" s="64"/>
      <c r="Q1688" s="69"/>
      <c r="R1688" s="69"/>
      <c r="S1688" s="69"/>
    </row>
    <row r="1689" s="2" customFormat="1" ht="24.95" customHeight="1" spans="1:19">
      <c r="A1689" s="15"/>
      <c r="B1689" s="55"/>
      <c r="C1689" s="56"/>
      <c r="D1689" s="68"/>
      <c r="E1689" s="69"/>
      <c r="F1689" s="69"/>
      <c r="G1689" s="65"/>
      <c r="H1689" s="65"/>
      <c r="I1689" s="70"/>
      <c r="J1689" s="71"/>
      <c r="K1689" s="71"/>
      <c r="L1689" s="72" t="str">
        <f>IFERROR(IF(G1689="","",VLOOKUP($G1689,[1]基础信息!$B:$C,2,FALSE)+SUMIF(G$8:G1689,G1689,J$8:J1689)-SUMIF(G$8:G1689,G1689,K$8:K1689)+SUMIFS([1]内部转账!$G:$G,[1]内部转账!$C:$C,"&lt;="&amp;$D1689,[1]内部转账!$E:$E,$G1689)-SUMIFS([1]内部转账!$G:$G,[1]内部转账!$C:$C,"&lt;="&amp;$D1689,[1]内部转账!$F:$F,$G1689)),"")</f>
        <v/>
      </c>
      <c r="M1689" s="64"/>
      <c r="N1689" s="69"/>
      <c r="O1689" s="64"/>
      <c r="P1689" s="64"/>
      <c r="Q1689" s="69"/>
      <c r="R1689" s="69"/>
      <c r="S1689" s="69"/>
    </row>
    <row r="1690" s="2" customFormat="1" ht="24.95" customHeight="1" spans="1:19">
      <c r="A1690" s="15"/>
      <c r="B1690" s="55"/>
      <c r="C1690" s="56"/>
      <c r="D1690" s="68"/>
      <c r="E1690" s="69"/>
      <c r="F1690" s="69"/>
      <c r="G1690" s="65"/>
      <c r="H1690" s="65"/>
      <c r="I1690" s="70"/>
      <c r="J1690" s="71"/>
      <c r="K1690" s="71"/>
      <c r="L1690" s="72" t="str">
        <f>IFERROR(IF(G1690="","",VLOOKUP($G1690,[1]基础信息!$B:$C,2,FALSE)+SUMIF(G$8:G1690,G1690,J$8:J1690)-SUMIF(G$8:G1690,G1690,K$8:K1690)+SUMIFS([1]内部转账!$G:$G,[1]内部转账!$C:$C,"&lt;="&amp;$D1690,[1]内部转账!$E:$E,$G1690)-SUMIFS([1]内部转账!$G:$G,[1]内部转账!$C:$C,"&lt;="&amp;$D1690,[1]内部转账!$F:$F,$G1690)),"")</f>
        <v/>
      </c>
      <c r="M1690" s="64"/>
      <c r="N1690" s="69"/>
      <c r="O1690" s="64"/>
      <c r="P1690" s="64"/>
      <c r="Q1690" s="69"/>
      <c r="R1690" s="69"/>
      <c r="S1690" s="69"/>
    </row>
    <row r="1691" s="2" customFormat="1" ht="24.95" customHeight="1" spans="1:19">
      <c r="A1691" s="15"/>
      <c r="B1691" s="55"/>
      <c r="C1691" s="56"/>
      <c r="D1691" s="68"/>
      <c r="E1691" s="69"/>
      <c r="F1691" s="69"/>
      <c r="G1691" s="65"/>
      <c r="H1691" s="65"/>
      <c r="I1691" s="70"/>
      <c r="J1691" s="71"/>
      <c r="K1691" s="71"/>
      <c r="L1691" s="72" t="str">
        <f>IFERROR(IF(G1691="","",VLOOKUP($G1691,[1]基础信息!$B:$C,2,FALSE)+SUMIF(G$8:G1691,G1691,J$8:J1691)-SUMIF(G$8:G1691,G1691,K$8:K1691)+SUMIFS([1]内部转账!$G:$G,[1]内部转账!$C:$C,"&lt;="&amp;$D1691,[1]内部转账!$E:$E,$G1691)-SUMIFS([1]内部转账!$G:$G,[1]内部转账!$C:$C,"&lt;="&amp;$D1691,[1]内部转账!$F:$F,$G1691)),"")</f>
        <v/>
      </c>
      <c r="M1691" s="64"/>
      <c r="N1691" s="69"/>
      <c r="O1691" s="64"/>
      <c r="P1691" s="64"/>
      <c r="Q1691" s="69"/>
      <c r="R1691" s="69"/>
      <c r="S1691" s="69"/>
    </row>
    <row r="1692" s="2" customFormat="1" ht="24.95" customHeight="1" spans="1:19">
      <c r="A1692" s="15"/>
      <c r="B1692" s="55"/>
      <c r="C1692" s="56"/>
      <c r="D1692" s="68"/>
      <c r="E1692" s="69"/>
      <c r="F1692" s="69"/>
      <c r="G1692" s="65"/>
      <c r="H1692" s="65"/>
      <c r="I1692" s="70"/>
      <c r="J1692" s="71"/>
      <c r="K1692" s="71"/>
      <c r="L1692" s="72" t="str">
        <f>IFERROR(IF(G1692="","",VLOOKUP($G1692,[1]基础信息!$B:$C,2,FALSE)+SUMIF(G$8:G1692,G1692,J$8:J1692)-SUMIF(G$8:G1692,G1692,K$8:K1692)+SUMIFS([1]内部转账!$G:$G,[1]内部转账!$C:$C,"&lt;="&amp;$D1692,[1]内部转账!$E:$E,$G1692)-SUMIFS([1]内部转账!$G:$G,[1]内部转账!$C:$C,"&lt;="&amp;$D1692,[1]内部转账!$F:$F,$G1692)),"")</f>
        <v/>
      </c>
      <c r="M1692" s="64"/>
      <c r="N1692" s="69"/>
      <c r="O1692" s="64"/>
      <c r="P1692" s="64"/>
      <c r="Q1692" s="69"/>
      <c r="R1692" s="69"/>
      <c r="S1692" s="69"/>
    </row>
    <row r="1693" s="2" customFormat="1" ht="24.95" customHeight="1" spans="1:19">
      <c r="A1693" s="15"/>
      <c r="B1693" s="55"/>
      <c r="C1693" s="56"/>
      <c r="D1693" s="68"/>
      <c r="E1693" s="69"/>
      <c r="F1693" s="69"/>
      <c r="G1693" s="65"/>
      <c r="H1693" s="65"/>
      <c r="I1693" s="70"/>
      <c r="J1693" s="71"/>
      <c r="K1693" s="71"/>
      <c r="L1693" s="72" t="str">
        <f>IFERROR(IF(G1693="","",VLOOKUP($G1693,[1]基础信息!$B:$C,2,FALSE)+SUMIF(G$8:G1693,G1693,J$8:J1693)-SUMIF(G$8:G1693,G1693,K$8:K1693)+SUMIFS([1]内部转账!$G:$G,[1]内部转账!$C:$C,"&lt;="&amp;$D1693,[1]内部转账!$E:$E,$G1693)-SUMIFS([1]内部转账!$G:$G,[1]内部转账!$C:$C,"&lt;="&amp;$D1693,[1]内部转账!$F:$F,$G1693)),"")</f>
        <v/>
      </c>
      <c r="M1693" s="64"/>
      <c r="N1693" s="69"/>
      <c r="O1693" s="64"/>
      <c r="P1693" s="64"/>
      <c r="Q1693" s="69"/>
      <c r="R1693" s="69"/>
      <c r="S1693" s="69"/>
    </row>
    <row r="1694" s="2" customFormat="1" ht="24.95" customHeight="1" spans="1:19">
      <c r="A1694" s="15"/>
      <c r="B1694" s="55"/>
      <c r="C1694" s="56"/>
      <c r="D1694" s="68"/>
      <c r="E1694" s="69"/>
      <c r="F1694" s="69"/>
      <c r="G1694" s="65"/>
      <c r="H1694" s="65"/>
      <c r="I1694" s="70"/>
      <c r="J1694" s="71"/>
      <c r="K1694" s="71"/>
      <c r="L1694" s="72" t="str">
        <f>IFERROR(IF(G1694="","",VLOOKUP($G1694,[1]基础信息!$B:$C,2,FALSE)+SUMIF(G$8:G1694,G1694,J$8:J1694)-SUMIF(G$8:G1694,G1694,K$8:K1694)+SUMIFS([1]内部转账!$G:$G,[1]内部转账!$C:$C,"&lt;="&amp;$D1694,[1]内部转账!$E:$E,$G1694)-SUMIFS([1]内部转账!$G:$G,[1]内部转账!$C:$C,"&lt;="&amp;$D1694,[1]内部转账!$F:$F,$G1694)),"")</f>
        <v/>
      </c>
      <c r="M1694" s="64"/>
      <c r="N1694" s="69"/>
      <c r="O1694" s="64"/>
      <c r="P1694" s="64"/>
      <c r="Q1694" s="69"/>
      <c r="R1694" s="69"/>
      <c r="S1694" s="69"/>
    </row>
    <row r="1695" s="2" customFormat="1" ht="24.95" customHeight="1" spans="1:19">
      <c r="A1695" s="15"/>
      <c r="B1695" s="55"/>
      <c r="C1695" s="56"/>
      <c r="D1695" s="68"/>
      <c r="E1695" s="69"/>
      <c r="F1695" s="69"/>
      <c r="G1695" s="65"/>
      <c r="H1695" s="65"/>
      <c r="I1695" s="70"/>
      <c r="J1695" s="71"/>
      <c r="K1695" s="71"/>
      <c r="L1695" s="72" t="str">
        <f>IFERROR(IF(G1695="","",VLOOKUP($G1695,[1]基础信息!$B:$C,2,FALSE)+SUMIF(G$8:G1695,G1695,J$8:J1695)-SUMIF(G$8:G1695,G1695,K$8:K1695)+SUMIFS([1]内部转账!$G:$G,[1]内部转账!$C:$C,"&lt;="&amp;$D1695,[1]内部转账!$E:$E,$G1695)-SUMIFS([1]内部转账!$G:$G,[1]内部转账!$C:$C,"&lt;="&amp;$D1695,[1]内部转账!$F:$F,$G1695)),"")</f>
        <v/>
      </c>
      <c r="M1695" s="64"/>
      <c r="N1695" s="69"/>
      <c r="O1695" s="64"/>
      <c r="P1695" s="64"/>
      <c r="Q1695" s="69"/>
      <c r="R1695" s="69"/>
      <c r="S1695" s="69"/>
    </row>
    <row r="1696" s="2" customFormat="1" ht="24.95" customHeight="1" spans="1:19">
      <c r="A1696" s="15"/>
      <c r="B1696" s="55"/>
      <c r="C1696" s="56"/>
      <c r="D1696" s="68"/>
      <c r="E1696" s="69"/>
      <c r="F1696" s="69"/>
      <c r="G1696" s="65"/>
      <c r="H1696" s="65"/>
      <c r="I1696" s="70"/>
      <c r="J1696" s="71"/>
      <c r="K1696" s="71"/>
      <c r="L1696" s="72" t="str">
        <f>IFERROR(IF(G1696="","",VLOOKUP($G1696,[1]基础信息!$B:$C,2,FALSE)+SUMIF(G$8:G1696,G1696,J$8:J1696)-SUMIF(G$8:G1696,G1696,K$8:K1696)+SUMIFS([1]内部转账!$G:$G,[1]内部转账!$C:$C,"&lt;="&amp;$D1696,[1]内部转账!$E:$E,$G1696)-SUMIFS([1]内部转账!$G:$G,[1]内部转账!$C:$C,"&lt;="&amp;$D1696,[1]内部转账!$F:$F,$G1696)),"")</f>
        <v/>
      </c>
      <c r="M1696" s="64"/>
      <c r="N1696" s="69"/>
      <c r="O1696" s="64"/>
      <c r="P1696" s="64"/>
      <c r="Q1696" s="69"/>
      <c r="R1696" s="69"/>
      <c r="S1696" s="69"/>
    </row>
    <row r="1697" s="2" customFormat="1" ht="24.95" customHeight="1" spans="1:19">
      <c r="A1697" s="15"/>
      <c r="B1697" s="55"/>
      <c r="C1697" s="56"/>
      <c r="D1697" s="68"/>
      <c r="E1697" s="69"/>
      <c r="F1697" s="69"/>
      <c r="G1697" s="65"/>
      <c r="H1697" s="65"/>
      <c r="I1697" s="70"/>
      <c r="J1697" s="71"/>
      <c r="K1697" s="71"/>
      <c r="L1697" s="72" t="str">
        <f>IFERROR(IF(G1697="","",VLOOKUP($G1697,[1]基础信息!$B:$C,2,FALSE)+SUMIF(G$8:G1697,G1697,J$8:J1697)-SUMIF(G$8:G1697,G1697,K$8:K1697)+SUMIFS([1]内部转账!$G:$G,[1]内部转账!$C:$C,"&lt;="&amp;$D1697,[1]内部转账!$E:$E,$G1697)-SUMIFS([1]内部转账!$G:$G,[1]内部转账!$C:$C,"&lt;="&amp;$D1697,[1]内部转账!$F:$F,$G1697)),"")</f>
        <v/>
      </c>
      <c r="M1697" s="64"/>
      <c r="N1697" s="69"/>
      <c r="O1697" s="64"/>
      <c r="P1697" s="64"/>
      <c r="Q1697" s="69"/>
      <c r="R1697" s="69"/>
      <c r="S1697" s="69"/>
    </row>
    <row r="1698" s="2" customFormat="1" ht="24.95" customHeight="1" spans="1:19">
      <c r="A1698" s="15"/>
      <c r="B1698" s="55"/>
      <c r="C1698" s="56"/>
      <c r="D1698" s="68"/>
      <c r="E1698" s="69"/>
      <c r="F1698" s="69"/>
      <c r="G1698" s="65"/>
      <c r="H1698" s="65"/>
      <c r="I1698" s="70"/>
      <c r="J1698" s="71"/>
      <c r="K1698" s="71"/>
      <c r="L1698" s="72" t="str">
        <f>IFERROR(IF(G1698="","",VLOOKUP($G1698,[1]基础信息!$B:$C,2,FALSE)+SUMIF(G$8:G1698,G1698,J$8:J1698)-SUMIF(G$8:G1698,G1698,K$8:K1698)+SUMIFS([1]内部转账!$G:$G,[1]内部转账!$C:$C,"&lt;="&amp;$D1698,[1]内部转账!$E:$E,$G1698)-SUMIFS([1]内部转账!$G:$G,[1]内部转账!$C:$C,"&lt;="&amp;$D1698,[1]内部转账!$F:$F,$G1698)),"")</f>
        <v/>
      </c>
      <c r="M1698" s="64"/>
      <c r="N1698" s="69"/>
      <c r="O1698" s="64"/>
      <c r="P1698" s="64"/>
      <c r="Q1698" s="69"/>
      <c r="R1698" s="69"/>
      <c r="S1698" s="69"/>
    </row>
    <row r="1699" s="2" customFormat="1" ht="24.95" customHeight="1" spans="1:19">
      <c r="A1699" s="15"/>
      <c r="B1699" s="55"/>
      <c r="C1699" s="56"/>
      <c r="D1699" s="68"/>
      <c r="E1699" s="69"/>
      <c r="F1699" s="69"/>
      <c r="G1699" s="65"/>
      <c r="H1699" s="65"/>
      <c r="I1699" s="70"/>
      <c r="J1699" s="71"/>
      <c r="K1699" s="71"/>
      <c r="L1699" s="72" t="str">
        <f>IFERROR(IF(G1699="","",VLOOKUP($G1699,[1]基础信息!$B:$C,2,FALSE)+SUMIF(G$8:G1699,G1699,J$8:J1699)-SUMIF(G$8:G1699,G1699,K$8:K1699)+SUMIFS([1]内部转账!$G:$G,[1]内部转账!$C:$C,"&lt;="&amp;$D1699,[1]内部转账!$E:$E,$G1699)-SUMIFS([1]内部转账!$G:$G,[1]内部转账!$C:$C,"&lt;="&amp;$D1699,[1]内部转账!$F:$F,$G1699)),"")</f>
        <v/>
      </c>
      <c r="M1699" s="64"/>
      <c r="N1699" s="69"/>
      <c r="O1699" s="64"/>
      <c r="P1699" s="64"/>
      <c r="Q1699" s="69"/>
      <c r="R1699" s="69"/>
      <c r="S1699" s="69"/>
    </row>
    <row r="1700" s="2" customFormat="1" ht="24.95" customHeight="1" spans="1:19">
      <c r="A1700" s="15"/>
      <c r="B1700" s="55"/>
      <c r="C1700" s="56"/>
      <c r="D1700" s="68"/>
      <c r="E1700" s="69"/>
      <c r="F1700" s="69"/>
      <c r="G1700" s="65"/>
      <c r="H1700" s="65"/>
      <c r="I1700" s="70"/>
      <c r="J1700" s="71"/>
      <c r="K1700" s="71"/>
      <c r="L1700" s="72" t="str">
        <f>IFERROR(IF(G1700="","",VLOOKUP($G1700,[1]基础信息!$B:$C,2,FALSE)+SUMIF(G$8:G1700,G1700,J$8:J1700)-SUMIF(G$8:G1700,G1700,K$8:K1700)+SUMIFS([1]内部转账!$G:$G,[1]内部转账!$C:$C,"&lt;="&amp;$D1700,[1]内部转账!$E:$E,$G1700)-SUMIFS([1]内部转账!$G:$G,[1]内部转账!$C:$C,"&lt;="&amp;$D1700,[1]内部转账!$F:$F,$G1700)),"")</f>
        <v/>
      </c>
      <c r="M1700" s="64"/>
      <c r="N1700" s="69"/>
      <c r="O1700" s="64"/>
      <c r="P1700" s="64"/>
      <c r="Q1700" s="69"/>
      <c r="R1700" s="69"/>
      <c r="S1700" s="69"/>
    </row>
    <row r="1701" s="2" customFormat="1" ht="24.95" customHeight="1" spans="1:19">
      <c r="A1701" s="15"/>
      <c r="B1701" s="55"/>
      <c r="C1701" s="56"/>
      <c r="D1701" s="68"/>
      <c r="E1701" s="69"/>
      <c r="F1701" s="69"/>
      <c r="G1701" s="65"/>
      <c r="H1701" s="65"/>
      <c r="I1701" s="70"/>
      <c r="J1701" s="71"/>
      <c r="K1701" s="71"/>
      <c r="L1701" s="72" t="str">
        <f>IFERROR(IF(G1701="","",VLOOKUP($G1701,[1]基础信息!$B:$C,2,FALSE)+SUMIF(G$8:G1701,G1701,J$8:J1701)-SUMIF(G$8:G1701,G1701,K$8:K1701)+SUMIFS([1]内部转账!$G:$G,[1]内部转账!$C:$C,"&lt;="&amp;$D1701,[1]内部转账!$E:$E,$G1701)-SUMIFS([1]内部转账!$G:$G,[1]内部转账!$C:$C,"&lt;="&amp;$D1701,[1]内部转账!$F:$F,$G1701)),"")</f>
        <v/>
      </c>
      <c r="M1701" s="64"/>
      <c r="N1701" s="69"/>
      <c r="O1701" s="64"/>
      <c r="P1701" s="64"/>
      <c r="Q1701" s="69"/>
      <c r="R1701" s="69"/>
      <c r="S1701" s="69"/>
    </row>
    <row r="1702" s="2" customFormat="1" ht="24.95" customHeight="1" spans="1:19">
      <c r="A1702" s="15"/>
      <c r="B1702" s="55"/>
      <c r="C1702" s="56"/>
      <c r="D1702" s="68"/>
      <c r="E1702" s="69"/>
      <c r="F1702" s="69"/>
      <c r="G1702" s="65"/>
      <c r="H1702" s="65"/>
      <c r="I1702" s="70"/>
      <c r="J1702" s="71"/>
      <c r="K1702" s="71"/>
      <c r="L1702" s="72" t="str">
        <f>IFERROR(IF(G1702="","",VLOOKUP($G1702,[1]基础信息!$B:$C,2,FALSE)+SUMIF(G$8:G1702,G1702,J$8:J1702)-SUMIF(G$8:G1702,G1702,K$8:K1702)+SUMIFS([1]内部转账!$G:$G,[1]内部转账!$C:$C,"&lt;="&amp;$D1702,[1]内部转账!$E:$E,$G1702)-SUMIFS([1]内部转账!$G:$G,[1]内部转账!$C:$C,"&lt;="&amp;$D1702,[1]内部转账!$F:$F,$G1702)),"")</f>
        <v/>
      </c>
      <c r="M1702" s="64"/>
      <c r="N1702" s="69"/>
      <c r="O1702" s="64"/>
      <c r="P1702" s="64"/>
      <c r="Q1702" s="69"/>
      <c r="R1702" s="69"/>
      <c r="S1702" s="69"/>
    </row>
    <row r="1703" s="2" customFormat="1" ht="24.95" customHeight="1" spans="1:19">
      <c r="A1703" s="15"/>
      <c r="B1703" s="55"/>
      <c r="C1703" s="56"/>
      <c r="D1703" s="68"/>
      <c r="E1703" s="69"/>
      <c r="F1703" s="69"/>
      <c r="G1703" s="65"/>
      <c r="H1703" s="65"/>
      <c r="I1703" s="70"/>
      <c r="J1703" s="71"/>
      <c r="K1703" s="71"/>
      <c r="L1703" s="72" t="str">
        <f>IFERROR(IF(G1703="","",VLOOKUP($G1703,[1]基础信息!$B:$C,2,FALSE)+SUMIF(G$8:G1703,G1703,J$8:J1703)-SUMIF(G$8:G1703,G1703,K$8:K1703)+SUMIFS([1]内部转账!$G:$G,[1]内部转账!$C:$C,"&lt;="&amp;$D1703,[1]内部转账!$E:$E,$G1703)-SUMIFS([1]内部转账!$G:$G,[1]内部转账!$C:$C,"&lt;="&amp;$D1703,[1]内部转账!$F:$F,$G1703)),"")</f>
        <v/>
      </c>
      <c r="M1703" s="64"/>
      <c r="N1703" s="69"/>
      <c r="O1703" s="64"/>
      <c r="P1703" s="64"/>
      <c r="Q1703" s="69"/>
      <c r="R1703" s="69"/>
      <c r="S1703" s="69"/>
    </row>
    <row r="1704" s="2" customFormat="1" ht="24.95" customHeight="1" spans="1:19">
      <c r="A1704" s="15"/>
      <c r="B1704" s="55"/>
      <c r="C1704" s="56"/>
      <c r="D1704" s="68"/>
      <c r="E1704" s="69"/>
      <c r="F1704" s="69"/>
      <c r="G1704" s="65"/>
      <c r="H1704" s="65"/>
      <c r="I1704" s="70"/>
      <c r="J1704" s="71"/>
      <c r="K1704" s="71"/>
      <c r="L1704" s="72" t="str">
        <f>IFERROR(IF(G1704="","",VLOOKUP($G1704,[1]基础信息!$B:$C,2,FALSE)+SUMIF(G$8:G1704,G1704,J$8:J1704)-SUMIF(G$8:G1704,G1704,K$8:K1704)+SUMIFS([1]内部转账!$G:$G,[1]内部转账!$C:$C,"&lt;="&amp;$D1704,[1]内部转账!$E:$E,$G1704)-SUMIFS([1]内部转账!$G:$G,[1]内部转账!$C:$C,"&lt;="&amp;$D1704,[1]内部转账!$F:$F,$G1704)),"")</f>
        <v/>
      </c>
      <c r="M1704" s="64"/>
      <c r="N1704" s="69"/>
      <c r="O1704" s="64"/>
      <c r="P1704" s="64"/>
      <c r="Q1704" s="69"/>
      <c r="R1704" s="69"/>
      <c r="S1704" s="69"/>
    </row>
    <row r="1705" s="2" customFormat="1" ht="24.95" customHeight="1" spans="1:19">
      <c r="A1705" s="15"/>
      <c r="B1705" s="55"/>
      <c r="C1705" s="56"/>
      <c r="D1705" s="68"/>
      <c r="E1705" s="69"/>
      <c r="F1705" s="69"/>
      <c r="G1705" s="65"/>
      <c r="H1705" s="65"/>
      <c r="I1705" s="70"/>
      <c r="J1705" s="71"/>
      <c r="K1705" s="71"/>
      <c r="L1705" s="72" t="str">
        <f>IFERROR(IF(G1705="","",VLOOKUP($G1705,[1]基础信息!$B:$C,2,FALSE)+SUMIF(G$8:G1705,G1705,J$8:J1705)-SUMIF(G$8:G1705,G1705,K$8:K1705)+SUMIFS([1]内部转账!$G:$G,[1]内部转账!$C:$C,"&lt;="&amp;$D1705,[1]内部转账!$E:$E,$G1705)-SUMIFS([1]内部转账!$G:$G,[1]内部转账!$C:$C,"&lt;="&amp;$D1705,[1]内部转账!$F:$F,$G1705)),"")</f>
        <v/>
      </c>
      <c r="M1705" s="64"/>
      <c r="N1705" s="69"/>
      <c r="O1705" s="64"/>
      <c r="P1705" s="64"/>
      <c r="Q1705" s="69"/>
      <c r="R1705" s="69"/>
      <c r="S1705" s="69"/>
    </row>
    <row r="1706" s="2" customFormat="1" ht="24.95" customHeight="1" spans="1:19">
      <c r="A1706" s="15"/>
      <c r="B1706" s="55"/>
      <c r="C1706" s="56"/>
      <c r="D1706" s="68"/>
      <c r="E1706" s="69"/>
      <c r="F1706" s="69"/>
      <c r="G1706" s="65"/>
      <c r="H1706" s="65"/>
      <c r="I1706" s="70"/>
      <c r="J1706" s="71"/>
      <c r="K1706" s="71"/>
      <c r="L1706" s="72" t="str">
        <f>IFERROR(IF(G1706="","",VLOOKUP($G1706,[1]基础信息!$B:$C,2,FALSE)+SUMIF(G$8:G1706,G1706,J$8:J1706)-SUMIF(G$8:G1706,G1706,K$8:K1706)+SUMIFS([1]内部转账!$G:$G,[1]内部转账!$C:$C,"&lt;="&amp;$D1706,[1]内部转账!$E:$E,$G1706)-SUMIFS([1]内部转账!$G:$G,[1]内部转账!$C:$C,"&lt;="&amp;$D1706,[1]内部转账!$F:$F,$G1706)),"")</f>
        <v/>
      </c>
      <c r="M1706" s="64"/>
      <c r="N1706" s="69"/>
      <c r="O1706" s="64"/>
      <c r="P1706" s="64"/>
      <c r="Q1706" s="69"/>
      <c r="R1706" s="69"/>
      <c r="S1706" s="69"/>
    </row>
    <row r="1707" s="2" customFormat="1" ht="24.95" customHeight="1" spans="1:19">
      <c r="A1707" s="15"/>
      <c r="B1707" s="55"/>
      <c r="C1707" s="56"/>
      <c r="D1707" s="68"/>
      <c r="E1707" s="69"/>
      <c r="F1707" s="69"/>
      <c r="G1707" s="65"/>
      <c r="H1707" s="65"/>
      <c r="I1707" s="70"/>
      <c r="J1707" s="71"/>
      <c r="K1707" s="71"/>
      <c r="L1707" s="72" t="str">
        <f>IFERROR(IF(G1707="","",VLOOKUP($G1707,[1]基础信息!$B:$C,2,FALSE)+SUMIF(G$8:G1707,G1707,J$8:J1707)-SUMIF(G$8:G1707,G1707,K$8:K1707)+SUMIFS([1]内部转账!$G:$G,[1]内部转账!$C:$C,"&lt;="&amp;$D1707,[1]内部转账!$E:$E,$G1707)-SUMIFS([1]内部转账!$G:$G,[1]内部转账!$C:$C,"&lt;="&amp;$D1707,[1]内部转账!$F:$F,$G1707)),"")</f>
        <v/>
      </c>
      <c r="M1707" s="64"/>
      <c r="N1707" s="69"/>
      <c r="O1707" s="64"/>
      <c r="P1707" s="64"/>
      <c r="Q1707" s="69"/>
      <c r="R1707" s="69"/>
      <c r="S1707" s="69"/>
    </row>
    <row r="1708" s="2" customFormat="1" ht="24.95" customHeight="1" spans="1:19">
      <c r="A1708" s="15"/>
      <c r="B1708" s="55"/>
      <c r="C1708" s="56"/>
      <c r="D1708" s="68"/>
      <c r="E1708" s="69"/>
      <c r="F1708" s="69"/>
      <c r="G1708" s="65"/>
      <c r="H1708" s="65"/>
      <c r="I1708" s="70"/>
      <c r="J1708" s="71"/>
      <c r="K1708" s="71"/>
      <c r="L1708" s="72" t="str">
        <f>IFERROR(IF(G1708="","",VLOOKUP($G1708,[1]基础信息!$B:$C,2,FALSE)+SUMIF(G$8:G1708,G1708,J$8:J1708)-SUMIF(G$8:G1708,G1708,K$8:K1708)+SUMIFS([1]内部转账!$G:$G,[1]内部转账!$C:$C,"&lt;="&amp;$D1708,[1]内部转账!$E:$E,$G1708)-SUMIFS([1]内部转账!$G:$G,[1]内部转账!$C:$C,"&lt;="&amp;$D1708,[1]内部转账!$F:$F,$G1708)),"")</f>
        <v/>
      </c>
      <c r="M1708" s="64"/>
      <c r="N1708" s="69"/>
      <c r="O1708" s="64"/>
      <c r="P1708" s="64"/>
      <c r="Q1708" s="69"/>
      <c r="R1708" s="69"/>
      <c r="S1708" s="69"/>
    </row>
    <row r="1709" s="2" customFormat="1" ht="24.95" customHeight="1" spans="1:19">
      <c r="A1709" s="15"/>
      <c r="B1709" s="55"/>
      <c r="C1709" s="56"/>
      <c r="D1709" s="68"/>
      <c r="E1709" s="69"/>
      <c r="F1709" s="69"/>
      <c r="G1709" s="65"/>
      <c r="H1709" s="65"/>
      <c r="I1709" s="70"/>
      <c r="J1709" s="71"/>
      <c r="K1709" s="71"/>
      <c r="L1709" s="72" t="str">
        <f>IFERROR(IF(G1709="","",VLOOKUP($G1709,[1]基础信息!$B:$C,2,FALSE)+SUMIF(G$8:G1709,G1709,J$8:J1709)-SUMIF(G$8:G1709,G1709,K$8:K1709)+SUMIFS([1]内部转账!$G:$G,[1]内部转账!$C:$C,"&lt;="&amp;$D1709,[1]内部转账!$E:$E,$G1709)-SUMIFS([1]内部转账!$G:$G,[1]内部转账!$C:$C,"&lt;="&amp;$D1709,[1]内部转账!$F:$F,$G1709)),"")</f>
        <v/>
      </c>
      <c r="M1709" s="64"/>
      <c r="N1709" s="69"/>
      <c r="O1709" s="64"/>
      <c r="P1709" s="64"/>
      <c r="Q1709" s="69"/>
      <c r="R1709" s="69"/>
      <c r="S1709" s="69"/>
    </row>
    <row r="1710" s="2" customFormat="1" ht="24.95" customHeight="1" spans="1:19">
      <c r="A1710" s="15"/>
      <c r="B1710" s="55"/>
      <c r="C1710" s="56"/>
      <c r="D1710" s="68"/>
      <c r="E1710" s="69"/>
      <c r="F1710" s="69"/>
      <c r="G1710" s="65"/>
      <c r="H1710" s="65"/>
      <c r="I1710" s="70"/>
      <c r="J1710" s="71"/>
      <c r="K1710" s="71"/>
      <c r="L1710" s="72" t="str">
        <f>IFERROR(IF(G1710="","",VLOOKUP($G1710,[1]基础信息!$B:$C,2,FALSE)+SUMIF(G$8:G1710,G1710,J$8:J1710)-SUMIF(G$8:G1710,G1710,K$8:K1710)+SUMIFS([1]内部转账!$G:$G,[1]内部转账!$C:$C,"&lt;="&amp;$D1710,[1]内部转账!$E:$E,$G1710)-SUMIFS([1]内部转账!$G:$G,[1]内部转账!$C:$C,"&lt;="&amp;$D1710,[1]内部转账!$F:$F,$G1710)),"")</f>
        <v/>
      </c>
      <c r="M1710" s="64"/>
      <c r="N1710" s="69"/>
      <c r="O1710" s="64"/>
      <c r="P1710" s="64"/>
      <c r="Q1710" s="69"/>
      <c r="R1710" s="69"/>
      <c r="S1710" s="69"/>
    </row>
    <row r="1711" s="2" customFormat="1" ht="24.95" customHeight="1" spans="1:19">
      <c r="A1711" s="15"/>
      <c r="B1711" s="55"/>
      <c r="C1711" s="56"/>
      <c r="D1711" s="68"/>
      <c r="E1711" s="69"/>
      <c r="F1711" s="69"/>
      <c r="G1711" s="65"/>
      <c r="H1711" s="65"/>
      <c r="I1711" s="70"/>
      <c r="J1711" s="71"/>
      <c r="K1711" s="71"/>
      <c r="L1711" s="72" t="str">
        <f>IFERROR(IF(G1711="","",VLOOKUP($G1711,[1]基础信息!$B:$C,2,FALSE)+SUMIF(G$8:G1711,G1711,J$8:J1711)-SUMIF(G$8:G1711,G1711,K$8:K1711)+SUMIFS([1]内部转账!$G:$G,[1]内部转账!$C:$C,"&lt;="&amp;$D1711,[1]内部转账!$E:$E,$G1711)-SUMIFS([1]内部转账!$G:$G,[1]内部转账!$C:$C,"&lt;="&amp;$D1711,[1]内部转账!$F:$F,$G1711)),"")</f>
        <v/>
      </c>
      <c r="M1711" s="64"/>
      <c r="N1711" s="69"/>
      <c r="O1711" s="64"/>
      <c r="P1711" s="64"/>
      <c r="Q1711" s="69"/>
      <c r="R1711" s="69"/>
      <c r="S1711" s="69"/>
    </row>
    <row r="1712" s="2" customFormat="1" ht="24.95" customHeight="1" spans="1:19">
      <c r="A1712" s="15"/>
      <c r="B1712" s="55"/>
      <c r="C1712" s="56"/>
      <c r="D1712" s="68"/>
      <c r="E1712" s="69"/>
      <c r="F1712" s="69"/>
      <c r="G1712" s="65"/>
      <c r="H1712" s="65"/>
      <c r="I1712" s="70"/>
      <c r="J1712" s="71"/>
      <c r="K1712" s="71"/>
      <c r="L1712" s="72" t="str">
        <f>IFERROR(IF(G1712="","",VLOOKUP($G1712,[1]基础信息!$B:$C,2,FALSE)+SUMIF(G$8:G1712,G1712,J$8:J1712)-SUMIF(G$8:G1712,G1712,K$8:K1712)+SUMIFS([1]内部转账!$G:$G,[1]内部转账!$C:$C,"&lt;="&amp;$D1712,[1]内部转账!$E:$E,$G1712)-SUMIFS([1]内部转账!$G:$G,[1]内部转账!$C:$C,"&lt;="&amp;$D1712,[1]内部转账!$F:$F,$G1712)),"")</f>
        <v/>
      </c>
      <c r="M1712" s="64"/>
      <c r="N1712" s="69"/>
      <c r="O1712" s="64"/>
      <c r="P1712" s="64"/>
      <c r="Q1712" s="69"/>
      <c r="R1712" s="69"/>
      <c r="S1712" s="69"/>
    </row>
    <row r="1713" s="2" customFormat="1" ht="24.95" customHeight="1" spans="1:19">
      <c r="A1713" s="15"/>
      <c r="B1713" s="55"/>
      <c r="C1713" s="56"/>
      <c r="D1713" s="68"/>
      <c r="E1713" s="69"/>
      <c r="F1713" s="69"/>
      <c r="G1713" s="65"/>
      <c r="H1713" s="65"/>
      <c r="I1713" s="70"/>
      <c r="J1713" s="71"/>
      <c r="K1713" s="71"/>
      <c r="L1713" s="72" t="str">
        <f>IFERROR(IF(G1713="","",VLOOKUP($G1713,[1]基础信息!$B:$C,2,FALSE)+SUMIF(G$8:G1713,G1713,J$8:J1713)-SUMIF(G$8:G1713,G1713,K$8:K1713)+SUMIFS([1]内部转账!$G:$G,[1]内部转账!$C:$C,"&lt;="&amp;$D1713,[1]内部转账!$E:$E,$G1713)-SUMIFS([1]内部转账!$G:$G,[1]内部转账!$C:$C,"&lt;="&amp;$D1713,[1]内部转账!$F:$F,$G1713)),"")</f>
        <v/>
      </c>
      <c r="M1713" s="64"/>
      <c r="N1713" s="69"/>
      <c r="O1713" s="64"/>
      <c r="P1713" s="64"/>
      <c r="Q1713" s="69"/>
      <c r="R1713" s="69"/>
      <c r="S1713" s="69"/>
    </row>
    <row r="1714" s="2" customFormat="1" ht="24.95" customHeight="1" spans="1:19">
      <c r="A1714" s="15"/>
      <c r="B1714" s="55"/>
      <c r="C1714" s="56"/>
      <c r="D1714" s="68"/>
      <c r="E1714" s="69"/>
      <c r="F1714" s="69"/>
      <c r="G1714" s="65"/>
      <c r="H1714" s="65"/>
      <c r="I1714" s="70"/>
      <c r="J1714" s="71"/>
      <c r="K1714" s="71"/>
      <c r="L1714" s="72" t="str">
        <f>IFERROR(IF(G1714="","",VLOOKUP($G1714,[1]基础信息!$B:$C,2,FALSE)+SUMIF(G$8:G1714,G1714,J$8:J1714)-SUMIF(G$8:G1714,G1714,K$8:K1714)+SUMIFS([1]内部转账!$G:$G,[1]内部转账!$C:$C,"&lt;="&amp;$D1714,[1]内部转账!$E:$E,$G1714)-SUMIFS([1]内部转账!$G:$G,[1]内部转账!$C:$C,"&lt;="&amp;$D1714,[1]内部转账!$F:$F,$G1714)),"")</f>
        <v/>
      </c>
      <c r="M1714" s="64"/>
      <c r="N1714" s="69"/>
      <c r="O1714" s="64"/>
      <c r="P1714" s="64"/>
      <c r="Q1714" s="69"/>
      <c r="R1714" s="69"/>
      <c r="S1714" s="69"/>
    </row>
    <row r="1715" s="2" customFormat="1" ht="24.95" customHeight="1" spans="1:19">
      <c r="A1715" s="15"/>
      <c r="B1715" s="55"/>
      <c r="C1715" s="56"/>
      <c r="D1715" s="68"/>
      <c r="E1715" s="69"/>
      <c r="F1715" s="69"/>
      <c r="G1715" s="65"/>
      <c r="H1715" s="65"/>
      <c r="I1715" s="70"/>
      <c r="J1715" s="71"/>
      <c r="K1715" s="71"/>
      <c r="L1715" s="72" t="str">
        <f>IFERROR(IF(G1715="","",VLOOKUP($G1715,[1]基础信息!$B:$C,2,FALSE)+SUMIF(G$8:G1715,G1715,J$8:J1715)-SUMIF(G$8:G1715,G1715,K$8:K1715)+SUMIFS([1]内部转账!$G:$G,[1]内部转账!$C:$C,"&lt;="&amp;$D1715,[1]内部转账!$E:$E,$G1715)-SUMIFS([1]内部转账!$G:$G,[1]内部转账!$C:$C,"&lt;="&amp;$D1715,[1]内部转账!$F:$F,$G1715)),"")</f>
        <v/>
      </c>
      <c r="M1715" s="64"/>
      <c r="N1715" s="69"/>
      <c r="O1715" s="64"/>
      <c r="P1715" s="64"/>
      <c r="Q1715" s="69"/>
      <c r="R1715" s="69"/>
      <c r="S1715" s="69"/>
    </row>
    <row r="1716" s="2" customFormat="1" ht="24.95" customHeight="1" spans="1:19">
      <c r="A1716" s="15"/>
      <c r="B1716" s="55"/>
      <c r="C1716" s="56"/>
      <c r="D1716" s="68"/>
      <c r="E1716" s="69"/>
      <c r="F1716" s="69"/>
      <c r="G1716" s="65"/>
      <c r="H1716" s="65"/>
      <c r="I1716" s="70"/>
      <c r="J1716" s="71"/>
      <c r="K1716" s="71"/>
      <c r="L1716" s="72" t="str">
        <f>IFERROR(IF(G1716="","",VLOOKUP($G1716,[1]基础信息!$B:$C,2,FALSE)+SUMIF(G$8:G1716,G1716,J$8:J1716)-SUMIF(G$8:G1716,G1716,K$8:K1716)+SUMIFS([1]内部转账!$G:$G,[1]内部转账!$C:$C,"&lt;="&amp;$D1716,[1]内部转账!$E:$E,$G1716)-SUMIFS([1]内部转账!$G:$G,[1]内部转账!$C:$C,"&lt;="&amp;$D1716,[1]内部转账!$F:$F,$G1716)),"")</f>
        <v/>
      </c>
      <c r="M1716" s="64"/>
      <c r="N1716" s="69"/>
      <c r="O1716" s="64"/>
      <c r="P1716" s="64"/>
      <c r="Q1716" s="69"/>
      <c r="R1716" s="69"/>
      <c r="S1716" s="69"/>
    </row>
    <row r="1717" s="2" customFormat="1" ht="24.95" customHeight="1" spans="1:19">
      <c r="A1717" s="15"/>
      <c r="B1717" s="55"/>
      <c r="C1717" s="56"/>
      <c r="D1717" s="68"/>
      <c r="E1717" s="69"/>
      <c r="F1717" s="69"/>
      <c r="G1717" s="65"/>
      <c r="H1717" s="65"/>
      <c r="I1717" s="70"/>
      <c r="J1717" s="71"/>
      <c r="K1717" s="71"/>
      <c r="L1717" s="72" t="str">
        <f>IFERROR(IF(G1717="","",VLOOKUP($G1717,[1]基础信息!$B:$C,2,FALSE)+SUMIF(G$8:G1717,G1717,J$8:J1717)-SUMIF(G$8:G1717,G1717,K$8:K1717)+SUMIFS([1]内部转账!$G:$G,[1]内部转账!$C:$C,"&lt;="&amp;$D1717,[1]内部转账!$E:$E,$G1717)-SUMIFS([1]内部转账!$G:$G,[1]内部转账!$C:$C,"&lt;="&amp;$D1717,[1]内部转账!$F:$F,$G1717)),"")</f>
        <v/>
      </c>
      <c r="M1717" s="64"/>
      <c r="N1717" s="69"/>
      <c r="O1717" s="64"/>
      <c r="P1717" s="64"/>
      <c r="Q1717" s="69"/>
      <c r="R1717" s="69"/>
      <c r="S1717" s="69"/>
    </row>
    <row r="1718" s="2" customFormat="1" ht="24.95" customHeight="1" spans="1:19">
      <c r="A1718" s="15"/>
      <c r="B1718" s="55"/>
      <c r="C1718" s="56"/>
      <c r="D1718" s="68"/>
      <c r="E1718" s="69"/>
      <c r="F1718" s="69"/>
      <c r="G1718" s="65"/>
      <c r="H1718" s="65"/>
      <c r="I1718" s="70"/>
      <c r="J1718" s="71"/>
      <c r="K1718" s="71"/>
      <c r="L1718" s="72" t="str">
        <f>IFERROR(IF(G1718="","",VLOOKUP($G1718,[1]基础信息!$B:$C,2,FALSE)+SUMIF(G$8:G1718,G1718,J$8:J1718)-SUMIF(G$8:G1718,G1718,K$8:K1718)+SUMIFS([1]内部转账!$G:$G,[1]内部转账!$C:$C,"&lt;="&amp;$D1718,[1]内部转账!$E:$E,$G1718)-SUMIFS([1]内部转账!$G:$G,[1]内部转账!$C:$C,"&lt;="&amp;$D1718,[1]内部转账!$F:$F,$G1718)),"")</f>
        <v/>
      </c>
      <c r="M1718" s="64"/>
      <c r="N1718" s="69"/>
      <c r="O1718" s="64"/>
      <c r="P1718" s="64"/>
      <c r="Q1718" s="69"/>
      <c r="R1718" s="69"/>
      <c r="S1718" s="69"/>
    </row>
    <row r="1719" s="2" customFormat="1" ht="24.95" customHeight="1" spans="1:19">
      <c r="A1719" s="15"/>
      <c r="B1719" s="55"/>
      <c r="C1719" s="56"/>
      <c r="D1719" s="68"/>
      <c r="E1719" s="69"/>
      <c r="F1719" s="69"/>
      <c r="G1719" s="65"/>
      <c r="H1719" s="65"/>
      <c r="I1719" s="70"/>
      <c r="J1719" s="71"/>
      <c r="K1719" s="71"/>
      <c r="L1719" s="72" t="str">
        <f>IFERROR(IF(G1719="","",VLOOKUP($G1719,[1]基础信息!$B:$C,2,FALSE)+SUMIF(G$8:G1719,G1719,J$8:J1719)-SUMIF(G$8:G1719,G1719,K$8:K1719)+SUMIFS([1]内部转账!$G:$G,[1]内部转账!$C:$C,"&lt;="&amp;$D1719,[1]内部转账!$E:$E,$G1719)-SUMIFS([1]内部转账!$G:$G,[1]内部转账!$C:$C,"&lt;="&amp;$D1719,[1]内部转账!$F:$F,$G1719)),"")</f>
        <v/>
      </c>
      <c r="M1719" s="64"/>
      <c r="N1719" s="69"/>
      <c r="O1719" s="64"/>
      <c r="P1719" s="64"/>
      <c r="Q1719" s="69"/>
      <c r="R1719" s="69"/>
      <c r="S1719" s="69"/>
    </row>
    <row r="1720" s="2" customFormat="1" ht="24.95" customHeight="1" spans="1:19">
      <c r="A1720" s="15"/>
      <c r="B1720" s="55"/>
      <c r="C1720" s="56"/>
      <c r="D1720" s="68"/>
      <c r="E1720" s="69"/>
      <c r="F1720" s="69"/>
      <c r="G1720" s="65"/>
      <c r="H1720" s="65"/>
      <c r="I1720" s="70"/>
      <c r="J1720" s="71"/>
      <c r="K1720" s="71"/>
      <c r="L1720" s="72" t="str">
        <f>IFERROR(IF(G1720="","",VLOOKUP($G1720,[1]基础信息!$B:$C,2,FALSE)+SUMIF(G$8:G1720,G1720,J$8:J1720)-SUMIF(G$8:G1720,G1720,K$8:K1720)+SUMIFS([1]内部转账!$G:$G,[1]内部转账!$C:$C,"&lt;="&amp;$D1720,[1]内部转账!$E:$E,$G1720)-SUMIFS([1]内部转账!$G:$G,[1]内部转账!$C:$C,"&lt;="&amp;$D1720,[1]内部转账!$F:$F,$G1720)),"")</f>
        <v/>
      </c>
      <c r="M1720" s="64"/>
      <c r="N1720" s="69"/>
      <c r="O1720" s="64"/>
      <c r="P1720" s="64"/>
      <c r="Q1720" s="69"/>
      <c r="R1720" s="69"/>
      <c r="S1720" s="69"/>
    </row>
    <row r="1721" s="2" customFormat="1" ht="24.95" customHeight="1" spans="1:19">
      <c r="A1721" s="15"/>
      <c r="B1721" s="55"/>
      <c r="C1721" s="56"/>
      <c r="D1721" s="68"/>
      <c r="E1721" s="69"/>
      <c r="F1721" s="69"/>
      <c r="G1721" s="65"/>
      <c r="H1721" s="65"/>
      <c r="I1721" s="70"/>
      <c r="J1721" s="71"/>
      <c r="K1721" s="71"/>
      <c r="L1721" s="72" t="str">
        <f>IFERROR(IF(G1721="","",VLOOKUP($G1721,[1]基础信息!$B:$C,2,FALSE)+SUMIF(G$8:G1721,G1721,J$8:J1721)-SUMIF(G$8:G1721,G1721,K$8:K1721)+SUMIFS([1]内部转账!$G:$G,[1]内部转账!$C:$C,"&lt;="&amp;$D1721,[1]内部转账!$E:$E,$G1721)-SUMIFS([1]内部转账!$G:$G,[1]内部转账!$C:$C,"&lt;="&amp;$D1721,[1]内部转账!$F:$F,$G1721)),"")</f>
        <v/>
      </c>
      <c r="M1721" s="64"/>
      <c r="N1721" s="69"/>
      <c r="O1721" s="64"/>
      <c r="P1721" s="64"/>
      <c r="Q1721" s="69"/>
      <c r="R1721" s="69"/>
      <c r="S1721" s="69"/>
    </row>
    <row r="1722" s="2" customFormat="1" ht="24.95" customHeight="1" spans="1:19">
      <c r="A1722" s="15"/>
      <c r="B1722" s="55"/>
      <c r="C1722" s="56"/>
      <c r="D1722" s="68"/>
      <c r="E1722" s="69"/>
      <c r="F1722" s="69"/>
      <c r="G1722" s="65"/>
      <c r="H1722" s="65"/>
      <c r="I1722" s="70"/>
      <c r="J1722" s="71"/>
      <c r="K1722" s="71"/>
      <c r="L1722" s="72" t="str">
        <f>IFERROR(IF(G1722="","",VLOOKUP($G1722,[1]基础信息!$B:$C,2,FALSE)+SUMIF(G$8:G1722,G1722,J$8:J1722)-SUMIF(G$8:G1722,G1722,K$8:K1722)+SUMIFS([1]内部转账!$G:$G,[1]内部转账!$C:$C,"&lt;="&amp;$D1722,[1]内部转账!$E:$E,$G1722)-SUMIFS([1]内部转账!$G:$G,[1]内部转账!$C:$C,"&lt;="&amp;$D1722,[1]内部转账!$F:$F,$G1722)),"")</f>
        <v/>
      </c>
      <c r="M1722" s="64"/>
      <c r="N1722" s="69"/>
      <c r="O1722" s="64"/>
      <c r="P1722" s="64"/>
      <c r="Q1722" s="69"/>
      <c r="R1722" s="69"/>
      <c r="S1722" s="69"/>
    </row>
    <row r="1723" s="2" customFormat="1" ht="24.95" customHeight="1" spans="1:19">
      <c r="A1723" s="15"/>
      <c r="B1723" s="55"/>
      <c r="C1723" s="56"/>
      <c r="D1723" s="68"/>
      <c r="E1723" s="69"/>
      <c r="F1723" s="69"/>
      <c r="G1723" s="65"/>
      <c r="H1723" s="65"/>
      <c r="I1723" s="70"/>
      <c r="J1723" s="71"/>
      <c r="K1723" s="71"/>
      <c r="L1723" s="72" t="str">
        <f>IFERROR(IF(G1723="","",VLOOKUP($G1723,[1]基础信息!$B:$C,2,FALSE)+SUMIF(G$8:G1723,G1723,J$8:J1723)-SUMIF(G$8:G1723,G1723,K$8:K1723)+SUMIFS([1]内部转账!$G:$G,[1]内部转账!$C:$C,"&lt;="&amp;$D1723,[1]内部转账!$E:$E,$G1723)-SUMIFS([1]内部转账!$G:$G,[1]内部转账!$C:$C,"&lt;="&amp;$D1723,[1]内部转账!$F:$F,$G1723)),"")</f>
        <v/>
      </c>
      <c r="M1723" s="64"/>
      <c r="N1723" s="69"/>
      <c r="O1723" s="64"/>
      <c r="P1723" s="64"/>
      <c r="Q1723" s="69"/>
      <c r="R1723" s="69"/>
      <c r="S1723" s="69"/>
    </row>
    <row r="1724" s="2" customFormat="1" ht="24.95" customHeight="1" spans="1:19">
      <c r="A1724" s="15"/>
      <c r="B1724" s="55"/>
      <c r="C1724" s="56"/>
      <c r="D1724" s="68"/>
      <c r="E1724" s="69"/>
      <c r="F1724" s="69"/>
      <c r="G1724" s="65"/>
      <c r="H1724" s="65"/>
      <c r="I1724" s="70"/>
      <c r="J1724" s="71"/>
      <c r="K1724" s="71"/>
      <c r="L1724" s="72" t="str">
        <f>IFERROR(IF(G1724="","",VLOOKUP($G1724,[1]基础信息!$B:$C,2,FALSE)+SUMIF(G$8:G1724,G1724,J$8:J1724)-SUMIF(G$8:G1724,G1724,K$8:K1724)+SUMIFS([1]内部转账!$G:$G,[1]内部转账!$C:$C,"&lt;="&amp;$D1724,[1]内部转账!$E:$E,$G1724)-SUMIFS([1]内部转账!$G:$G,[1]内部转账!$C:$C,"&lt;="&amp;$D1724,[1]内部转账!$F:$F,$G1724)),"")</f>
        <v/>
      </c>
      <c r="M1724" s="64"/>
      <c r="N1724" s="69"/>
      <c r="O1724" s="64"/>
      <c r="P1724" s="64"/>
      <c r="Q1724" s="69"/>
      <c r="R1724" s="69"/>
      <c r="S1724" s="69"/>
    </row>
    <row r="1725" s="2" customFormat="1" ht="24.95" customHeight="1" spans="1:19">
      <c r="A1725" s="15"/>
      <c r="B1725" s="55"/>
      <c r="C1725" s="56"/>
      <c r="D1725" s="68"/>
      <c r="E1725" s="69"/>
      <c r="F1725" s="69"/>
      <c r="G1725" s="65"/>
      <c r="H1725" s="65"/>
      <c r="I1725" s="70"/>
      <c r="J1725" s="71"/>
      <c r="K1725" s="71"/>
      <c r="L1725" s="72" t="str">
        <f>IFERROR(IF(G1725="","",VLOOKUP($G1725,[1]基础信息!$B:$C,2,FALSE)+SUMIF(G$8:G1725,G1725,J$8:J1725)-SUMIF(G$8:G1725,G1725,K$8:K1725)+SUMIFS([1]内部转账!$G:$G,[1]内部转账!$C:$C,"&lt;="&amp;$D1725,[1]内部转账!$E:$E,$G1725)-SUMIFS([1]内部转账!$G:$G,[1]内部转账!$C:$C,"&lt;="&amp;$D1725,[1]内部转账!$F:$F,$G1725)),"")</f>
        <v/>
      </c>
      <c r="M1725" s="64"/>
      <c r="N1725" s="69"/>
      <c r="O1725" s="64"/>
      <c r="P1725" s="64"/>
      <c r="Q1725" s="69"/>
      <c r="R1725" s="69"/>
      <c r="S1725" s="69"/>
    </row>
    <row r="1726" s="2" customFormat="1" ht="24.95" customHeight="1" spans="1:19">
      <c r="A1726" s="15"/>
      <c r="B1726" s="55"/>
      <c r="C1726" s="56"/>
      <c r="D1726" s="68"/>
      <c r="E1726" s="69"/>
      <c r="F1726" s="69"/>
      <c r="G1726" s="65"/>
      <c r="H1726" s="65"/>
      <c r="I1726" s="70"/>
      <c r="J1726" s="71"/>
      <c r="K1726" s="71"/>
      <c r="L1726" s="72" t="str">
        <f>IFERROR(IF(G1726="","",VLOOKUP($G1726,[1]基础信息!$B:$C,2,FALSE)+SUMIF(G$8:G1726,G1726,J$8:J1726)-SUMIF(G$8:G1726,G1726,K$8:K1726)+SUMIFS([1]内部转账!$G:$G,[1]内部转账!$C:$C,"&lt;="&amp;$D1726,[1]内部转账!$E:$E,$G1726)-SUMIFS([1]内部转账!$G:$G,[1]内部转账!$C:$C,"&lt;="&amp;$D1726,[1]内部转账!$F:$F,$G1726)),"")</f>
        <v/>
      </c>
      <c r="M1726" s="64"/>
      <c r="N1726" s="69"/>
      <c r="O1726" s="64"/>
      <c r="P1726" s="64"/>
      <c r="Q1726" s="69"/>
      <c r="R1726" s="69"/>
      <c r="S1726" s="69"/>
    </row>
    <row r="1727" s="2" customFormat="1" ht="24.95" customHeight="1" spans="1:19">
      <c r="A1727" s="15"/>
      <c r="B1727" s="55"/>
      <c r="C1727" s="56"/>
      <c r="D1727" s="68"/>
      <c r="E1727" s="69"/>
      <c r="F1727" s="69"/>
      <c r="G1727" s="65"/>
      <c r="H1727" s="65"/>
      <c r="I1727" s="70"/>
      <c r="J1727" s="71"/>
      <c r="K1727" s="71"/>
      <c r="L1727" s="72" t="str">
        <f>IFERROR(IF(G1727="","",VLOOKUP($G1727,[1]基础信息!$B:$C,2,FALSE)+SUMIF(G$8:G1727,G1727,J$8:J1727)-SUMIF(G$8:G1727,G1727,K$8:K1727)+SUMIFS([1]内部转账!$G:$G,[1]内部转账!$C:$C,"&lt;="&amp;$D1727,[1]内部转账!$E:$E,$G1727)-SUMIFS([1]内部转账!$G:$G,[1]内部转账!$C:$C,"&lt;="&amp;$D1727,[1]内部转账!$F:$F,$G1727)),"")</f>
        <v/>
      </c>
      <c r="M1727" s="64"/>
      <c r="N1727" s="69"/>
      <c r="O1727" s="64"/>
      <c r="P1727" s="64"/>
      <c r="Q1727" s="69"/>
      <c r="R1727" s="69"/>
      <c r="S1727" s="69"/>
    </row>
    <row r="1728" s="2" customFormat="1" ht="24.95" customHeight="1" spans="1:19">
      <c r="A1728" s="15"/>
      <c r="B1728" s="55"/>
      <c r="C1728" s="56"/>
      <c r="D1728" s="68"/>
      <c r="E1728" s="69"/>
      <c r="F1728" s="69"/>
      <c r="G1728" s="65"/>
      <c r="H1728" s="65"/>
      <c r="I1728" s="70"/>
      <c r="J1728" s="71"/>
      <c r="K1728" s="71"/>
      <c r="L1728" s="72" t="str">
        <f>IFERROR(IF(G1728="","",VLOOKUP($G1728,[1]基础信息!$B:$C,2,FALSE)+SUMIF(G$8:G1728,G1728,J$8:J1728)-SUMIF(G$8:G1728,G1728,K$8:K1728)+SUMIFS([1]内部转账!$G:$G,[1]内部转账!$C:$C,"&lt;="&amp;$D1728,[1]内部转账!$E:$E,$G1728)-SUMIFS([1]内部转账!$G:$G,[1]内部转账!$C:$C,"&lt;="&amp;$D1728,[1]内部转账!$F:$F,$G1728)),"")</f>
        <v/>
      </c>
      <c r="M1728" s="64"/>
      <c r="N1728" s="69"/>
      <c r="O1728" s="64"/>
      <c r="P1728" s="64"/>
      <c r="Q1728" s="69"/>
      <c r="R1728" s="69"/>
      <c r="S1728" s="69"/>
    </row>
    <row r="1729" s="2" customFormat="1" ht="24.95" customHeight="1" spans="1:19">
      <c r="A1729" s="15"/>
      <c r="B1729" s="55"/>
      <c r="C1729" s="56"/>
      <c r="D1729" s="68"/>
      <c r="E1729" s="69"/>
      <c r="F1729" s="69"/>
      <c r="G1729" s="65"/>
      <c r="H1729" s="65"/>
      <c r="I1729" s="70"/>
      <c r="J1729" s="71"/>
      <c r="K1729" s="71"/>
      <c r="L1729" s="72" t="str">
        <f>IFERROR(IF(G1729="","",VLOOKUP($G1729,[1]基础信息!$B:$C,2,FALSE)+SUMIF(G$8:G1729,G1729,J$8:J1729)-SUMIF(G$8:G1729,G1729,K$8:K1729)+SUMIFS([1]内部转账!$G:$G,[1]内部转账!$C:$C,"&lt;="&amp;$D1729,[1]内部转账!$E:$E,$G1729)-SUMIFS([1]内部转账!$G:$G,[1]内部转账!$C:$C,"&lt;="&amp;$D1729,[1]内部转账!$F:$F,$G1729)),"")</f>
        <v/>
      </c>
      <c r="M1729" s="64"/>
      <c r="N1729" s="69"/>
      <c r="O1729" s="64"/>
      <c r="P1729" s="64"/>
      <c r="Q1729" s="69"/>
      <c r="R1729" s="69"/>
      <c r="S1729" s="69"/>
    </row>
    <row r="1730" s="2" customFormat="1" ht="24.95" customHeight="1" spans="1:19">
      <c r="A1730" s="15"/>
      <c r="B1730" s="55"/>
      <c r="C1730" s="56"/>
      <c r="D1730" s="68"/>
      <c r="E1730" s="69"/>
      <c r="F1730" s="69"/>
      <c r="G1730" s="65"/>
      <c r="H1730" s="65"/>
      <c r="I1730" s="70"/>
      <c r="J1730" s="71"/>
      <c r="K1730" s="71"/>
      <c r="L1730" s="72" t="str">
        <f>IFERROR(IF(G1730="","",VLOOKUP($G1730,[1]基础信息!$B:$C,2,FALSE)+SUMIF(G$8:G1730,G1730,J$8:J1730)-SUMIF(G$8:G1730,G1730,K$8:K1730)+SUMIFS([1]内部转账!$G:$G,[1]内部转账!$C:$C,"&lt;="&amp;$D1730,[1]内部转账!$E:$E,$G1730)-SUMIFS([1]内部转账!$G:$G,[1]内部转账!$C:$C,"&lt;="&amp;$D1730,[1]内部转账!$F:$F,$G1730)),"")</f>
        <v/>
      </c>
      <c r="M1730" s="64"/>
      <c r="N1730" s="69"/>
      <c r="O1730" s="64"/>
      <c r="P1730" s="64"/>
      <c r="Q1730" s="69"/>
      <c r="R1730" s="69"/>
      <c r="S1730" s="69"/>
    </row>
    <row r="1731" s="2" customFormat="1" ht="24.95" customHeight="1" spans="1:19">
      <c r="A1731" s="15"/>
      <c r="B1731" s="55"/>
      <c r="C1731" s="56"/>
      <c r="D1731" s="68"/>
      <c r="E1731" s="69"/>
      <c r="F1731" s="69"/>
      <c r="G1731" s="65"/>
      <c r="H1731" s="65"/>
      <c r="I1731" s="70"/>
      <c r="J1731" s="71"/>
      <c r="K1731" s="71"/>
      <c r="L1731" s="72" t="str">
        <f>IFERROR(IF(G1731="","",VLOOKUP($G1731,[1]基础信息!$B:$C,2,FALSE)+SUMIF(G$8:G1731,G1731,J$8:J1731)-SUMIF(G$8:G1731,G1731,K$8:K1731)+SUMIFS([1]内部转账!$G:$G,[1]内部转账!$C:$C,"&lt;="&amp;$D1731,[1]内部转账!$E:$E,$G1731)-SUMIFS([1]内部转账!$G:$G,[1]内部转账!$C:$C,"&lt;="&amp;$D1731,[1]内部转账!$F:$F,$G1731)),"")</f>
        <v/>
      </c>
      <c r="M1731" s="64"/>
      <c r="N1731" s="69"/>
      <c r="O1731" s="64"/>
      <c r="P1731" s="64"/>
      <c r="Q1731" s="69"/>
      <c r="R1731" s="69"/>
      <c r="S1731" s="69"/>
    </row>
    <row r="1732" s="2" customFormat="1" ht="24.95" customHeight="1" spans="1:19">
      <c r="A1732" s="15"/>
      <c r="B1732" s="55"/>
      <c r="C1732" s="56"/>
      <c r="D1732" s="68"/>
      <c r="E1732" s="69"/>
      <c r="F1732" s="69"/>
      <c r="G1732" s="65"/>
      <c r="H1732" s="65"/>
      <c r="I1732" s="70"/>
      <c r="J1732" s="71"/>
      <c r="K1732" s="71"/>
      <c r="L1732" s="72" t="str">
        <f>IFERROR(IF(G1732="","",VLOOKUP($G1732,[1]基础信息!$B:$C,2,FALSE)+SUMIF(G$8:G1732,G1732,J$8:J1732)-SUMIF(G$8:G1732,G1732,K$8:K1732)+SUMIFS([1]内部转账!$G:$G,[1]内部转账!$C:$C,"&lt;="&amp;$D1732,[1]内部转账!$E:$E,$G1732)-SUMIFS([1]内部转账!$G:$G,[1]内部转账!$C:$C,"&lt;="&amp;$D1732,[1]内部转账!$F:$F,$G1732)),"")</f>
        <v/>
      </c>
      <c r="M1732" s="64"/>
      <c r="N1732" s="69"/>
      <c r="O1732" s="64"/>
      <c r="P1732" s="64"/>
      <c r="Q1732" s="69"/>
      <c r="R1732" s="69"/>
      <c r="S1732" s="69"/>
    </row>
    <row r="1733" s="2" customFormat="1" ht="24.95" customHeight="1" spans="1:19">
      <c r="A1733" s="15"/>
      <c r="B1733" s="55"/>
      <c r="C1733" s="56"/>
      <c r="D1733" s="68"/>
      <c r="E1733" s="69"/>
      <c r="F1733" s="69"/>
      <c r="G1733" s="65"/>
      <c r="H1733" s="65"/>
      <c r="I1733" s="70"/>
      <c r="J1733" s="71"/>
      <c r="K1733" s="71"/>
      <c r="L1733" s="72" t="str">
        <f>IFERROR(IF(G1733="","",VLOOKUP($G1733,[1]基础信息!$B:$C,2,FALSE)+SUMIF(G$8:G1733,G1733,J$8:J1733)-SUMIF(G$8:G1733,G1733,K$8:K1733)+SUMIFS([1]内部转账!$G:$G,[1]内部转账!$C:$C,"&lt;="&amp;$D1733,[1]内部转账!$E:$E,$G1733)-SUMIFS([1]内部转账!$G:$G,[1]内部转账!$C:$C,"&lt;="&amp;$D1733,[1]内部转账!$F:$F,$G1733)),"")</f>
        <v/>
      </c>
      <c r="M1733" s="64"/>
      <c r="N1733" s="69"/>
      <c r="O1733" s="64"/>
      <c r="P1733" s="64"/>
      <c r="Q1733" s="69"/>
      <c r="R1733" s="69"/>
      <c r="S1733" s="69"/>
    </row>
    <row r="1734" s="2" customFormat="1" ht="24.95" customHeight="1" spans="1:19">
      <c r="A1734" s="15"/>
      <c r="B1734" s="55"/>
      <c r="C1734" s="56"/>
      <c r="D1734" s="68"/>
      <c r="E1734" s="69"/>
      <c r="F1734" s="69"/>
      <c r="G1734" s="65"/>
      <c r="H1734" s="65"/>
      <c r="I1734" s="70"/>
      <c r="J1734" s="71"/>
      <c r="K1734" s="71"/>
      <c r="L1734" s="72" t="str">
        <f>IFERROR(IF(G1734="","",VLOOKUP($G1734,[1]基础信息!$B:$C,2,FALSE)+SUMIF(G$8:G1734,G1734,J$8:J1734)-SUMIF(G$8:G1734,G1734,K$8:K1734)+SUMIFS([1]内部转账!$G:$G,[1]内部转账!$C:$C,"&lt;="&amp;$D1734,[1]内部转账!$E:$E,$G1734)-SUMIFS([1]内部转账!$G:$G,[1]内部转账!$C:$C,"&lt;="&amp;$D1734,[1]内部转账!$F:$F,$G1734)),"")</f>
        <v/>
      </c>
      <c r="M1734" s="64"/>
      <c r="N1734" s="69"/>
      <c r="O1734" s="64"/>
      <c r="P1734" s="64"/>
      <c r="Q1734" s="69"/>
      <c r="R1734" s="69"/>
      <c r="S1734" s="69"/>
    </row>
    <row r="1735" s="2" customFormat="1" ht="24.95" customHeight="1" spans="1:19">
      <c r="A1735" s="15"/>
      <c r="B1735" s="55"/>
      <c r="C1735" s="56"/>
      <c r="D1735" s="68"/>
      <c r="E1735" s="69"/>
      <c r="F1735" s="69"/>
      <c r="G1735" s="65"/>
      <c r="H1735" s="65"/>
      <c r="I1735" s="70"/>
      <c r="J1735" s="71"/>
      <c r="K1735" s="71"/>
      <c r="L1735" s="72" t="str">
        <f>IFERROR(IF(G1735="","",VLOOKUP($G1735,[1]基础信息!$B:$C,2,FALSE)+SUMIF(G$8:G1735,G1735,J$8:J1735)-SUMIF(G$8:G1735,G1735,K$8:K1735)+SUMIFS([1]内部转账!$G:$G,[1]内部转账!$C:$C,"&lt;="&amp;$D1735,[1]内部转账!$E:$E,$G1735)-SUMIFS([1]内部转账!$G:$G,[1]内部转账!$C:$C,"&lt;="&amp;$D1735,[1]内部转账!$F:$F,$G1735)),"")</f>
        <v/>
      </c>
      <c r="M1735" s="64"/>
      <c r="N1735" s="69"/>
      <c r="O1735" s="64"/>
      <c r="P1735" s="64"/>
      <c r="Q1735" s="69"/>
      <c r="R1735" s="69"/>
      <c r="S1735" s="69"/>
    </row>
    <row r="1736" s="2" customFormat="1" ht="24.95" customHeight="1" spans="1:19">
      <c r="A1736" s="15"/>
      <c r="B1736" s="55"/>
      <c r="C1736" s="56"/>
      <c r="D1736" s="68"/>
      <c r="E1736" s="69"/>
      <c r="F1736" s="69"/>
      <c r="G1736" s="65"/>
      <c r="H1736" s="65"/>
      <c r="I1736" s="70"/>
      <c r="J1736" s="71"/>
      <c r="K1736" s="71"/>
      <c r="L1736" s="72" t="str">
        <f>IFERROR(IF(G1736="","",VLOOKUP($G1736,[1]基础信息!$B:$C,2,FALSE)+SUMIF(G$8:G1736,G1736,J$8:J1736)-SUMIF(G$8:G1736,G1736,K$8:K1736)+SUMIFS([1]内部转账!$G:$G,[1]内部转账!$C:$C,"&lt;="&amp;$D1736,[1]内部转账!$E:$E,$G1736)-SUMIFS([1]内部转账!$G:$G,[1]内部转账!$C:$C,"&lt;="&amp;$D1736,[1]内部转账!$F:$F,$G1736)),"")</f>
        <v/>
      </c>
      <c r="M1736" s="64"/>
      <c r="N1736" s="69"/>
      <c r="O1736" s="64"/>
      <c r="P1736" s="64"/>
      <c r="Q1736" s="69"/>
      <c r="R1736" s="69"/>
      <c r="S1736" s="69"/>
    </row>
    <row r="1737" s="2" customFormat="1" ht="24.95" customHeight="1" spans="1:19">
      <c r="A1737" s="15"/>
      <c r="B1737" s="55"/>
      <c r="C1737" s="56"/>
      <c r="D1737" s="68"/>
      <c r="E1737" s="69"/>
      <c r="F1737" s="69"/>
      <c r="G1737" s="65"/>
      <c r="H1737" s="65"/>
      <c r="I1737" s="70"/>
      <c r="J1737" s="71"/>
      <c r="K1737" s="71"/>
      <c r="L1737" s="72" t="str">
        <f>IFERROR(IF(G1737="","",VLOOKUP($G1737,[1]基础信息!$B:$C,2,FALSE)+SUMIF(G$8:G1737,G1737,J$8:J1737)-SUMIF(G$8:G1737,G1737,K$8:K1737)+SUMIFS([1]内部转账!$G:$G,[1]内部转账!$C:$C,"&lt;="&amp;$D1737,[1]内部转账!$E:$E,$G1737)-SUMIFS([1]内部转账!$G:$G,[1]内部转账!$C:$C,"&lt;="&amp;$D1737,[1]内部转账!$F:$F,$G1737)),"")</f>
        <v/>
      </c>
      <c r="M1737" s="64"/>
      <c r="N1737" s="69"/>
      <c r="O1737" s="64"/>
      <c r="P1737" s="64"/>
      <c r="Q1737" s="69"/>
      <c r="R1737" s="69"/>
      <c r="S1737" s="69"/>
    </row>
    <row r="1738" s="2" customFormat="1" ht="24.95" customHeight="1" spans="1:19">
      <c r="A1738" s="15"/>
      <c r="B1738" s="55"/>
      <c r="C1738" s="56"/>
      <c r="D1738" s="68"/>
      <c r="E1738" s="69"/>
      <c r="F1738" s="69"/>
      <c r="G1738" s="65"/>
      <c r="H1738" s="65"/>
      <c r="I1738" s="70"/>
      <c r="J1738" s="71"/>
      <c r="K1738" s="71"/>
      <c r="L1738" s="72" t="str">
        <f>IFERROR(IF(G1738="","",VLOOKUP($G1738,[1]基础信息!$B:$C,2,FALSE)+SUMIF(G$8:G1738,G1738,J$8:J1738)-SUMIF(G$8:G1738,G1738,K$8:K1738)+SUMIFS([1]内部转账!$G:$G,[1]内部转账!$C:$C,"&lt;="&amp;$D1738,[1]内部转账!$E:$E,$G1738)-SUMIFS([1]内部转账!$G:$G,[1]内部转账!$C:$C,"&lt;="&amp;$D1738,[1]内部转账!$F:$F,$G1738)),"")</f>
        <v/>
      </c>
      <c r="M1738" s="64"/>
      <c r="N1738" s="69"/>
      <c r="O1738" s="64"/>
      <c r="P1738" s="64"/>
      <c r="Q1738" s="69"/>
      <c r="R1738" s="69"/>
      <c r="S1738" s="69"/>
    </row>
    <row r="1739" s="2" customFormat="1" ht="24.95" customHeight="1" spans="1:19">
      <c r="A1739" s="15"/>
      <c r="B1739" s="55"/>
      <c r="C1739" s="56"/>
      <c r="D1739" s="68"/>
      <c r="E1739" s="69"/>
      <c r="F1739" s="69"/>
      <c r="G1739" s="65"/>
      <c r="H1739" s="65"/>
      <c r="I1739" s="70"/>
      <c r="J1739" s="71"/>
      <c r="K1739" s="71"/>
      <c r="L1739" s="72" t="str">
        <f>IFERROR(IF(G1739="","",VLOOKUP($G1739,[1]基础信息!$B:$C,2,FALSE)+SUMIF(G$8:G1739,G1739,J$8:J1739)-SUMIF(G$8:G1739,G1739,K$8:K1739)+SUMIFS([1]内部转账!$G:$G,[1]内部转账!$C:$C,"&lt;="&amp;$D1739,[1]内部转账!$E:$E,$G1739)-SUMIFS([1]内部转账!$G:$G,[1]内部转账!$C:$C,"&lt;="&amp;$D1739,[1]内部转账!$F:$F,$G1739)),"")</f>
        <v/>
      </c>
      <c r="M1739" s="64"/>
      <c r="N1739" s="69"/>
      <c r="O1739" s="64"/>
      <c r="P1739" s="64"/>
      <c r="Q1739" s="69"/>
      <c r="R1739" s="69"/>
      <c r="S1739" s="69"/>
    </row>
    <row r="1740" s="2" customFormat="1" ht="24.95" customHeight="1" spans="1:19">
      <c r="A1740" s="15"/>
      <c r="B1740" s="55"/>
      <c r="C1740" s="56"/>
      <c r="D1740" s="68"/>
      <c r="E1740" s="69"/>
      <c r="F1740" s="69"/>
      <c r="G1740" s="65"/>
      <c r="H1740" s="65"/>
      <c r="I1740" s="70"/>
      <c r="J1740" s="71"/>
      <c r="K1740" s="71"/>
      <c r="L1740" s="72" t="str">
        <f>IFERROR(IF(G1740="","",VLOOKUP($G1740,[1]基础信息!$B:$C,2,FALSE)+SUMIF(G$8:G1740,G1740,J$8:J1740)-SUMIF(G$8:G1740,G1740,K$8:K1740)+SUMIFS([1]内部转账!$G:$G,[1]内部转账!$C:$C,"&lt;="&amp;$D1740,[1]内部转账!$E:$E,$G1740)-SUMIFS([1]内部转账!$G:$G,[1]内部转账!$C:$C,"&lt;="&amp;$D1740,[1]内部转账!$F:$F,$G1740)),"")</f>
        <v/>
      </c>
      <c r="M1740" s="64"/>
      <c r="N1740" s="69"/>
      <c r="O1740" s="64"/>
      <c r="P1740" s="64"/>
      <c r="Q1740" s="69"/>
      <c r="R1740" s="69"/>
      <c r="S1740" s="69"/>
    </row>
    <row r="1741" s="2" customFormat="1" ht="24.95" customHeight="1" spans="1:19">
      <c r="A1741" s="15"/>
      <c r="B1741" s="55"/>
      <c r="C1741" s="56"/>
      <c r="D1741" s="68"/>
      <c r="E1741" s="69"/>
      <c r="F1741" s="69"/>
      <c r="G1741" s="65"/>
      <c r="H1741" s="65"/>
      <c r="I1741" s="70"/>
      <c r="J1741" s="71"/>
      <c r="K1741" s="71"/>
      <c r="L1741" s="72" t="str">
        <f>IFERROR(IF(G1741="","",VLOOKUP($G1741,[1]基础信息!$B:$C,2,FALSE)+SUMIF(G$8:G1741,G1741,J$8:J1741)-SUMIF(G$8:G1741,G1741,K$8:K1741)+SUMIFS([1]内部转账!$G:$G,[1]内部转账!$C:$C,"&lt;="&amp;$D1741,[1]内部转账!$E:$E,$G1741)-SUMIFS([1]内部转账!$G:$G,[1]内部转账!$C:$C,"&lt;="&amp;$D1741,[1]内部转账!$F:$F,$G1741)),"")</f>
        <v/>
      </c>
      <c r="M1741" s="64"/>
      <c r="N1741" s="69"/>
      <c r="O1741" s="64"/>
      <c r="P1741" s="64"/>
      <c r="Q1741" s="69"/>
      <c r="R1741" s="69"/>
      <c r="S1741" s="69"/>
    </row>
    <row r="1742" s="2" customFormat="1" ht="24.95" customHeight="1" spans="1:19">
      <c r="A1742" s="15"/>
      <c r="B1742" s="55"/>
      <c r="C1742" s="56"/>
      <c r="D1742" s="68"/>
      <c r="E1742" s="69"/>
      <c r="F1742" s="69"/>
      <c r="G1742" s="65"/>
      <c r="H1742" s="65"/>
      <c r="I1742" s="70"/>
      <c r="J1742" s="71"/>
      <c r="K1742" s="71"/>
      <c r="L1742" s="72" t="str">
        <f>IFERROR(IF(G1742="","",VLOOKUP($G1742,[1]基础信息!$B:$C,2,FALSE)+SUMIF(G$8:G1742,G1742,J$8:J1742)-SUMIF(G$8:G1742,G1742,K$8:K1742)+SUMIFS([1]内部转账!$G:$G,[1]内部转账!$C:$C,"&lt;="&amp;$D1742,[1]内部转账!$E:$E,$G1742)-SUMIFS([1]内部转账!$G:$G,[1]内部转账!$C:$C,"&lt;="&amp;$D1742,[1]内部转账!$F:$F,$G1742)),"")</f>
        <v/>
      </c>
      <c r="M1742" s="64"/>
      <c r="N1742" s="69"/>
      <c r="O1742" s="64"/>
      <c r="P1742" s="64"/>
      <c r="Q1742" s="69"/>
      <c r="R1742" s="69"/>
      <c r="S1742" s="69"/>
    </row>
    <row r="1743" s="2" customFormat="1" ht="24.95" customHeight="1" spans="1:19">
      <c r="A1743" s="15"/>
      <c r="B1743" s="55"/>
      <c r="C1743" s="56"/>
      <c r="D1743" s="68"/>
      <c r="E1743" s="69"/>
      <c r="F1743" s="69"/>
      <c r="G1743" s="65"/>
      <c r="H1743" s="65"/>
      <c r="I1743" s="70"/>
      <c r="J1743" s="71"/>
      <c r="K1743" s="71"/>
      <c r="L1743" s="72" t="str">
        <f>IFERROR(IF(G1743="","",VLOOKUP($G1743,[1]基础信息!$B:$C,2,FALSE)+SUMIF(G$8:G1743,G1743,J$8:J1743)-SUMIF(G$8:G1743,G1743,K$8:K1743)+SUMIFS([1]内部转账!$G:$G,[1]内部转账!$C:$C,"&lt;="&amp;$D1743,[1]内部转账!$E:$E,$G1743)-SUMIFS([1]内部转账!$G:$G,[1]内部转账!$C:$C,"&lt;="&amp;$D1743,[1]内部转账!$F:$F,$G1743)),"")</f>
        <v/>
      </c>
      <c r="M1743" s="64"/>
      <c r="N1743" s="69"/>
      <c r="O1743" s="64"/>
      <c r="P1743" s="64"/>
      <c r="Q1743" s="69"/>
      <c r="R1743" s="69"/>
      <c r="S1743" s="69"/>
    </row>
    <row r="1744" s="2" customFormat="1" ht="24.95" customHeight="1" spans="1:19">
      <c r="A1744" s="15"/>
      <c r="B1744" s="55"/>
      <c r="C1744" s="56"/>
      <c r="D1744" s="68"/>
      <c r="E1744" s="69"/>
      <c r="F1744" s="69"/>
      <c r="G1744" s="65"/>
      <c r="H1744" s="65"/>
      <c r="I1744" s="70"/>
      <c r="J1744" s="71"/>
      <c r="K1744" s="71"/>
      <c r="L1744" s="72" t="str">
        <f>IFERROR(IF(G1744="","",VLOOKUP($G1744,[1]基础信息!$B:$C,2,FALSE)+SUMIF(G$8:G1744,G1744,J$8:J1744)-SUMIF(G$8:G1744,G1744,K$8:K1744)+SUMIFS([1]内部转账!$G:$G,[1]内部转账!$C:$C,"&lt;="&amp;$D1744,[1]内部转账!$E:$E,$G1744)-SUMIFS([1]内部转账!$G:$G,[1]内部转账!$C:$C,"&lt;="&amp;$D1744,[1]内部转账!$F:$F,$G1744)),"")</f>
        <v/>
      </c>
      <c r="M1744" s="64"/>
      <c r="N1744" s="69"/>
      <c r="O1744" s="64"/>
      <c r="P1744" s="64"/>
      <c r="Q1744" s="69"/>
      <c r="R1744" s="69"/>
      <c r="S1744" s="69"/>
    </row>
    <row r="1745" s="2" customFormat="1" ht="24.95" customHeight="1" spans="1:19">
      <c r="A1745" s="15"/>
      <c r="B1745" s="55"/>
      <c r="C1745" s="56"/>
      <c r="D1745" s="68"/>
      <c r="E1745" s="69"/>
      <c r="F1745" s="69"/>
      <c r="G1745" s="65"/>
      <c r="H1745" s="65"/>
      <c r="I1745" s="70"/>
      <c r="J1745" s="71"/>
      <c r="K1745" s="71"/>
      <c r="L1745" s="72" t="str">
        <f>IFERROR(IF(G1745="","",VLOOKUP($G1745,[1]基础信息!$B:$C,2,FALSE)+SUMIF(G$8:G1745,G1745,J$8:J1745)-SUMIF(G$8:G1745,G1745,K$8:K1745)+SUMIFS([1]内部转账!$G:$G,[1]内部转账!$C:$C,"&lt;="&amp;$D1745,[1]内部转账!$E:$E,$G1745)-SUMIFS([1]内部转账!$G:$G,[1]内部转账!$C:$C,"&lt;="&amp;$D1745,[1]内部转账!$F:$F,$G1745)),"")</f>
        <v/>
      </c>
      <c r="M1745" s="64"/>
      <c r="N1745" s="69"/>
      <c r="O1745" s="64"/>
      <c r="P1745" s="64"/>
      <c r="Q1745" s="69"/>
      <c r="R1745" s="69"/>
      <c r="S1745" s="69"/>
    </row>
    <row r="1746" s="2" customFormat="1" ht="24.95" customHeight="1" spans="1:19">
      <c r="A1746" s="15"/>
      <c r="B1746" s="55"/>
      <c r="C1746" s="56"/>
      <c r="D1746" s="68"/>
      <c r="E1746" s="69"/>
      <c r="F1746" s="69"/>
      <c r="G1746" s="65"/>
      <c r="H1746" s="65"/>
      <c r="I1746" s="70"/>
      <c r="J1746" s="71"/>
      <c r="K1746" s="71"/>
      <c r="L1746" s="72" t="str">
        <f>IFERROR(IF(G1746="","",VLOOKUP($G1746,[1]基础信息!$B:$C,2,FALSE)+SUMIF(G$8:G1746,G1746,J$8:J1746)-SUMIF(G$8:G1746,G1746,K$8:K1746)+SUMIFS([1]内部转账!$G:$G,[1]内部转账!$C:$C,"&lt;="&amp;$D1746,[1]内部转账!$E:$E,$G1746)-SUMIFS([1]内部转账!$G:$G,[1]内部转账!$C:$C,"&lt;="&amp;$D1746,[1]内部转账!$F:$F,$G1746)),"")</f>
        <v/>
      </c>
      <c r="M1746" s="64"/>
      <c r="N1746" s="69"/>
      <c r="O1746" s="64"/>
      <c r="P1746" s="64"/>
      <c r="Q1746" s="69"/>
      <c r="R1746" s="69"/>
      <c r="S1746" s="69"/>
    </row>
    <row r="1747" s="2" customFormat="1" ht="24.95" customHeight="1" spans="1:19">
      <c r="A1747" s="15"/>
      <c r="B1747" s="55"/>
      <c r="C1747" s="56"/>
      <c r="D1747" s="68"/>
      <c r="E1747" s="69"/>
      <c r="F1747" s="69"/>
      <c r="G1747" s="65"/>
      <c r="H1747" s="65"/>
      <c r="I1747" s="70"/>
      <c r="J1747" s="71"/>
      <c r="K1747" s="71"/>
      <c r="L1747" s="72" t="str">
        <f>IFERROR(IF(G1747="","",VLOOKUP($G1747,[1]基础信息!$B:$C,2,FALSE)+SUMIF(G$8:G1747,G1747,J$8:J1747)-SUMIF(G$8:G1747,G1747,K$8:K1747)+SUMIFS([1]内部转账!$G:$G,[1]内部转账!$C:$C,"&lt;="&amp;$D1747,[1]内部转账!$E:$E,$G1747)-SUMIFS([1]内部转账!$G:$G,[1]内部转账!$C:$C,"&lt;="&amp;$D1747,[1]内部转账!$F:$F,$G1747)),"")</f>
        <v/>
      </c>
      <c r="M1747" s="64"/>
      <c r="N1747" s="69"/>
      <c r="O1747" s="64"/>
      <c r="P1747" s="64"/>
      <c r="Q1747" s="69"/>
      <c r="R1747" s="69"/>
      <c r="S1747" s="69"/>
    </row>
    <row r="1748" s="2" customFormat="1" ht="24.95" customHeight="1" spans="1:19">
      <c r="A1748" s="15"/>
      <c r="B1748" s="55"/>
      <c r="C1748" s="56"/>
      <c r="D1748" s="68"/>
      <c r="E1748" s="69"/>
      <c r="F1748" s="69"/>
      <c r="G1748" s="65"/>
      <c r="H1748" s="65"/>
      <c r="I1748" s="70"/>
      <c r="J1748" s="71"/>
      <c r="K1748" s="71"/>
      <c r="L1748" s="72" t="str">
        <f>IFERROR(IF(G1748="","",VLOOKUP($G1748,[1]基础信息!$B:$C,2,FALSE)+SUMIF(G$8:G1748,G1748,J$8:J1748)-SUMIF(G$8:G1748,G1748,K$8:K1748)+SUMIFS([1]内部转账!$G:$G,[1]内部转账!$C:$C,"&lt;="&amp;$D1748,[1]内部转账!$E:$E,$G1748)-SUMIFS([1]内部转账!$G:$G,[1]内部转账!$C:$C,"&lt;="&amp;$D1748,[1]内部转账!$F:$F,$G1748)),"")</f>
        <v/>
      </c>
      <c r="M1748" s="64"/>
      <c r="N1748" s="69"/>
      <c r="O1748" s="64"/>
      <c r="P1748" s="64"/>
      <c r="Q1748" s="69"/>
      <c r="R1748" s="69"/>
      <c r="S1748" s="69"/>
    </row>
    <row r="1749" s="2" customFormat="1" ht="24.95" customHeight="1" spans="1:19">
      <c r="A1749" s="15"/>
      <c r="B1749" s="55"/>
      <c r="C1749" s="56"/>
      <c r="D1749" s="68"/>
      <c r="E1749" s="69"/>
      <c r="F1749" s="69"/>
      <c r="G1749" s="65"/>
      <c r="H1749" s="65"/>
      <c r="I1749" s="70"/>
      <c r="J1749" s="71"/>
      <c r="K1749" s="71"/>
      <c r="L1749" s="72" t="str">
        <f>IFERROR(IF(G1749="","",VLOOKUP($G1749,[1]基础信息!$B:$C,2,FALSE)+SUMIF(G$8:G1749,G1749,J$8:J1749)-SUMIF(G$8:G1749,G1749,K$8:K1749)+SUMIFS([1]内部转账!$G:$G,[1]内部转账!$C:$C,"&lt;="&amp;$D1749,[1]内部转账!$E:$E,$G1749)-SUMIFS([1]内部转账!$G:$G,[1]内部转账!$C:$C,"&lt;="&amp;$D1749,[1]内部转账!$F:$F,$G1749)),"")</f>
        <v/>
      </c>
      <c r="M1749" s="64"/>
      <c r="N1749" s="69"/>
      <c r="O1749" s="64"/>
      <c r="P1749" s="64"/>
      <c r="Q1749" s="69"/>
      <c r="R1749" s="69"/>
      <c r="S1749" s="69"/>
    </row>
    <row r="1750" s="2" customFormat="1" ht="24.95" customHeight="1" spans="1:19">
      <c r="A1750" s="15"/>
      <c r="B1750" s="55"/>
      <c r="C1750" s="56"/>
      <c r="D1750" s="68"/>
      <c r="E1750" s="69"/>
      <c r="F1750" s="69"/>
      <c r="G1750" s="65"/>
      <c r="H1750" s="65"/>
      <c r="I1750" s="70"/>
      <c r="J1750" s="71"/>
      <c r="K1750" s="71"/>
      <c r="L1750" s="72" t="str">
        <f>IFERROR(IF(G1750="","",VLOOKUP($G1750,[1]基础信息!$B:$C,2,FALSE)+SUMIF(G$8:G1750,G1750,J$8:J1750)-SUMIF(G$8:G1750,G1750,K$8:K1750)+SUMIFS([1]内部转账!$G:$G,[1]内部转账!$C:$C,"&lt;="&amp;$D1750,[1]内部转账!$E:$E,$G1750)-SUMIFS([1]内部转账!$G:$G,[1]内部转账!$C:$C,"&lt;="&amp;$D1750,[1]内部转账!$F:$F,$G1750)),"")</f>
        <v/>
      </c>
      <c r="M1750" s="64"/>
      <c r="N1750" s="69"/>
      <c r="O1750" s="64"/>
      <c r="P1750" s="64"/>
      <c r="Q1750" s="69"/>
      <c r="R1750" s="69"/>
      <c r="S1750" s="69"/>
    </row>
    <row r="1751" s="2" customFormat="1" ht="24.95" customHeight="1" spans="1:19">
      <c r="A1751" s="15"/>
      <c r="B1751" s="55"/>
      <c r="C1751" s="56"/>
      <c r="D1751" s="68"/>
      <c r="E1751" s="69"/>
      <c r="F1751" s="69"/>
      <c r="G1751" s="65"/>
      <c r="H1751" s="65"/>
      <c r="I1751" s="70"/>
      <c r="J1751" s="71"/>
      <c r="K1751" s="71"/>
      <c r="L1751" s="72" t="str">
        <f>IFERROR(IF(G1751="","",VLOOKUP($G1751,[1]基础信息!$B:$C,2,FALSE)+SUMIF(G$8:G1751,G1751,J$8:J1751)-SUMIF(G$8:G1751,G1751,K$8:K1751)+SUMIFS([1]内部转账!$G:$G,[1]内部转账!$C:$C,"&lt;="&amp;$D1751,[1]内部转账!$E:$E,$G1751)-SUMIFS([1]内部转账!$G:$G,[1]内部转账!$C:$C,"&lt;="&amp;$D1751,[1]内部转账!$F:$F,$G1751)),"")</f>
        <v/>
      </c>
      <c r="M1751" s="64"/>
      <c r="N1751" s="69"/>
      <c r="O1751" s="64"/>
      <c r="P1751" s="64"/>
      <c r="Q1751" s="69"/>
      <c r="R1751" s="69"/>
      <c r="S1751" s="69"/>
    </row>
    <row r="1752" s="2" customFormat="1" ht="24.95" customHeight="1" spans="1:19">
      <c r="A1752" s="15"/>
      <c r="B1752" s="55"/>
      <c r="C1752" s="56"/>
      <c r="D1752" s="68"/>
      <c r="E1752" s="69"/>
      <c r="F1752" s="69"/>
      <c r="G1752" s="65"/>
      <c r="H1752" s="65"/>
      <c r="I1752" s="70"/>
      <c r="J1752" s="71"/>
      <c r="K1752" s="71"/>
      <c r="L1752" s="72" t="str">
        <f>IFERROR(IF(G1752="","",VLOOKUP($G1752,[1]基础信息!$B:$C,2,FALSE)+SUMIF(G$8:G1752,G1752,J$8:J1752)-SUMIF(G$8:G1752,G1752,K$8:K1752)+SUMIFS([1]内部转账!$G:$G,[1]内部转账!$C:$C,"&lt;="&amp;$D1752,[1]内部转账!$E:$E,$G1752)-SUMIFS([1]内部转账!$G:$G,[1]内部转账!$C:$C,"&lt;="&amp;$D1752,[1]内部转账!$F:$F,$G1752)),"")</f>
        <v/>
      </c>
      <c r="M1752" s="64"/>
      <c r="N1752" s="69"/>
      <c r="O1752" s="64"/>
      <c r="P1752" s="64"/>
      <c r="Q1752" s="69"/>
      <c r="R1752" s="69"/>
      <c r="S1752" s="69"/>
    </row>
    <row r="1753" s="2" customFormat="1" ht="24.95" customHeight="1" spans="1:19">
      <c r="A1753" s="15"/>
      <c r="B1753" s="55"/>
      <c r="C1753" s="56"/>
      <c r="D1753" s="68"/>
      <c r="E1753" s="69"/>
      <c r="F1753" s="69"/>
      <c r="G1753" s="65"/>
      <c r="H1753" s="65"/>
      <c r="I1753" s="70"/>
      <c r="J1753" s="71"/>
      <c r="K1753" s="71"/>
      <c r="L1753" s="72" t="str">
        <f>IFERROR(IF(G1753="","",VLOOKUP($G1753,[1]基础信息!$B:$C,2,FALSE)+SUMIF(G$8:G1753,G1753,J$8:J1753)-SUMIF(G$8:G1753,G1753,K$8:K1753)+SUMIFS([1]内部转账!$G:$G,[1]内部转账!$C:$C,"&lt;="&amp;$D1753,[1]内部转账!$E:$E,$G1753)-SUMIFS([1]内部转账!$G:$G,[1]内部转账!$C:$C,"&lt;="&amp;$D1753,[1]内部转账!$F:$F,$G1753)),"")</f>
        <v/>
      </c>
      <c r="M1753" s="64"/>
      <c r="N1753" s="69"/>
      <c r="O1753" s="64"/>
      <c r="P1753" s="64"/>
      <c r="Q1753" s="69"/>
      <c r="R1753" s="69"/>
      <c r="S1753" s="69"/>
    </row>
    <row r="1754" s="2" customFormat="1" ht="24.95" customHeight="1" spans="1:19">
      <c r="A1754" s="15"/>
      <c r="B1754" s="55"/>
      <c r="C1754" s="56"/>
      <c r="D1754" s="68"/>
      <c r="E1754" s="69"/>
      <c r="F1754" s="69"/>
      <c r="G1754" s="65"/>
      <c r="H1754" s="65"/>
      <c r="I1754" s="70"/>
      <c r="J1754" s="71"/>
      <c r="K1754" s="71"/>
      <c r="L1754" s="72" t="str">
        <f>IFERROR(IF(G1754="","",VLOOKUP($G1754,[1]基础信息!$B:$C,2,FALSE)+SUMIF(G$8:G1754,G1754,J$8:J1754)-SUMIF(G$8:G1754,G1754,K$8:K1754)+SUMIFS([1]内部转账!$G:$G,[1]内部转账!$C:$C,"&lt;="&amp;$D1754,[1]内部转账!$E:$E,$G1754)-SUMIFS([1]内部转账!$G:$G,[1]内部转账!$C:$C,"&lt;="&amp;$D1754,[1]内部转账!$F:$F,$G1754)),"")</f>
        <v/>
      </c>
      <c r="M1754" s="64"/>
      <c r="N1754" s="69"/>
      <c r="O1754" s="64"/>
      <c r="P1754" s="64"/>
      <c r="Q1754" s="69"/>
      <c r="R1754" s="69"/>
      <c r="S1754" s="69"/>
    </row>
    <row r="1755" s="2" customFormat="1" ht="24.95" customHeight="1" spans="1:19">
      <c r="A1755" s="15"/>
      <c r="B1755" s="55"/>
      <c r="C1755" s="56"/>
      <c r="D1755" s="68"/>
      <c r="E1755" s="69"/>
      <c r="F1755" s="69"/>
      <c r="G1755" s="65"/>
      <c r="H1755" s="65"/>
      <c r="I1755" s="70"/>
      <c r="J1755" s="71"/>
      <c r="K1755" s="71"/>
      <c r="L1755" s="72" t="str">
        <f>IFERROR(IF(G1755="","",VLOOKUP($G1755,[1]基础信息!$B:$C,2,FALSE)+SUMIF(G$8:G1755,G1755,J$8:J1755)-SUMIF(G$8:G1755,G1755,K$8:K1755)+SUMIFS([1]内部转账!$G:$G,[1]内部转账!$C:$C,"&lt;="&amp;$D1755,[1]内部转账!$E:$E,$G1755)-SUMIFS([1]内部转账!$G:$G,[1]内部转账!$C:$C,"&lt;="&amp;$D1755,[1]内部转账!$F:$F,$G1755)),"")</f>
        <v/>
      </c>
      <c r="M1755" s="64"/>
      <c r="N1755" s="69"/>
      <c r="O1755" s="64"/>
      <c r="P1755" s="64"/>
      <c r="Q1755" s="69"/>
      <c r="R1755" s="69"/>
      <c r="S1755" s="69"/>
    </row>
    <row r="1756" s="2" customFormat="1" ht="24.95" customHeight="1" spans="1:19">
      <c r="A1756" s="15"/>
      <c r="B1756" s="55"/>
      <c r="C1756" s="56"/>
      <c r="D1756" s="68"/>
      <c r="E1756" s="69"/>
      <c r="F1756" s="69"/>
      <c r="G1756" s="65"/>
      <c r="H1756" s="65"/>
      <c r="I1756" s="70"/>
      <c r="J1756" s="71"/>
      <c r="K1756" s="71"/>
      <c r="L1756" s="72" t="str">
        <f>IFERROR(IF(G1756="","",VLOOKUP($G1756,[1]基础信息!$B:$C,2,FALSE)+SUMIF(G$8:G1756,G1756,J$8:J1756)-SUMIF(G$8:G1756,G1756,K$8:K1756)+SUMIFS([1]内部转账!$G:$G,[1]内部转账!$C:$C,"&lt;="&amp;$D1756,[1]内部转账!$E:$E,$G1756)-SUMIFS([1]内部转账!$G:$G,[1]内部转账!$C:$C,"&lt;="&amp;$D1756,[1]内部转账!$F:$F,$G1756)),"")</f>
        <v/>
      </c>
      <c r="M1756" s="64"/>
      <c r="N1756" s="69"/>
      <c r="O1756" s="64"/>
      <c r="P1756" s="64"/>
      <c r="Q1756" s="69"/>
      <c r="R1756" s="69"/>
      <c r="S1756" s="69"/>
    </row>
    <row r="1757" s="2" customFormat="1" ht="24.95" customHeight="1" spans="1:19">
      <c r="A1757" s="15"/>
      <c r="B1757" s="55"/>
      <c r="C1757" s="56"/>
      <c r="D1757" s="68"/>
      <c r="E1757" s="69"/>
      <c r="F1757" s="69"/>
      <c r="G1757" s="65"/>
      <c r="H1757" s="65"/>
      <c r="I1757" s="70"/>
      <c r="J1757" s="71"/>
      <c r="K1757" s="71"/>
      <c r="L1757" s="72" t="str">
        <f>IFERROR(IF(G1757="","",VLOOKUP($G1757,[1]基础信息!$B:$C,2,FALSE)+SUMIF(G$8:G1757,G1757,J$8:J1757)-SUMIF(G$8:G1757,G1757,K$8:K1757)+SUMIFS([1]内部转账!$G:$G,[1]内部转账!$C:$C,"&lt;="&amp;$D1757,[1]内部转账!$E:$E,$G1757)-SUMIFS([1]内部转账!$G:$G,[1]内部转账!$C:$C,"&lt;="&amp;$D1757,[1]内部转账!$F:$F,$G1757)),"")</f>
        <v/>
      </c>
      <c r="M1757" s="64"/>
      <c r="N1757" s="69"/>
      <c r="O1757" s="64"/>
      <c r="P1757" s="64"/>
      <c r="Q1757" s="69"/>
      <c r="R1757" s="69"/>
      <c r="S1757" s="69"/>
    </row>
    <row r="1758" s="2" customFormat="1" ht="24.95" customHeight="1" spans="1:19">
      <c r="A1758" s="15"/>
      <c r="B1758" s="55"/>
      <c r="C1758" s="56"/>
      <c r="D1758" s="68"/>
      <c r="E1758" s="69"/>
      <c r="F1758" s="69"/>
      <c r="G1758" s="65"/>
      <c r="H1758" s="65"/>
      <c r="I1758" s="70"/>
      <c r="J1758" s="71"/>
      <c r="K1758" s="71"/>
      <c r="L1758" s="72" t="str">
        <f>IFERROR(IF(G1758="","",VLOOKUP($G1758,[1]基础信息!$B:$C,2,FALSE)+SUMIF(G$8:G1758,G1758,J$8:J1758)-SUMIF(G$8:G1758,G1758,K$8:K1758)+SUMIFS([1]内部转账!$G:$G,[1]内部转账!$C:$C,"&lt;="&amp;$D1758,[1]内部转账!$E:$E,$G1758)-SUMIFS([1]内部转账!$G:$G,[1]内部转账!$C:$C,"&lt;="&amp;$D1758,[1]内部转账!$F:$F,$G1758)),"")</f>
        <v/>
      </c>
      <c r="M1758" s="64"/>
      <c r="N1758" s="69"/>
      <c r="O1758" s="64"/>
      <c r="P1758" s="64"/>
      <c r="Q1758" s="69"/>
      <c r="R1758" s="69"/>
      <c r="S1758" s="69"/>
    </row>
    <row r="1759" s="2" customFormat="1" ht="24.95" customHeight="1" spans="1:19">
      <c r="A1759" s="15"/>
      <c r="B1759" s="55"/>
      <c r="C1759" s="56"/>
      <c r="D1759" s="68"/>
      <c r="E1759" s="69"/>
      <c r="F1759" s="69"/>
      <c r="G1759" s="65"/>
      <c r="H1759" s="65"/>
      <c r="I1759" s="70"/>
      <c r="J1759" s="71"/>
      <c r="K1759" s="71"/>
      <c r="L1759" s="72" t="str">
        <f>IFERROR(IF(G1759="","",VLOOKUP($G1759,[1]基础信息!$B:$C,2,FALSE)+SUMIF(G$8:G1759,G1759,J$8:J1759)-SUMIF(G$8:G1759,G1759,K$8:K1759)+SUMIFS([1]内部转账!$G:$G,[1]内部转账!$C:$C,"&lt;="&amp;$D1759,[1]内部转账!$E:$E,$G1759)-SUMIFS([1]内部转账!$G:$G,[1]内部转账!$C:$C,"&lt;="&amp;$D1759,[1]内部转账!$F:$F,$G1759)),"")</f>
        <v/>
      </c>
      <c r="M1759" s="64"/>
      <c r="N1759" s="69"/>
      <c r="O1759" s="64"/>
      <c r="P1759" s="64"/>
      <c r="Q1759" s="69"/>
      <c r="R1759" s="69"/>
      <c r="S1759" s="69"/>
    </row>
    <row r="1760" s="2" customFormat="1" ht="24.95" customHeight="1" spans="1:19">
      <c r="A1760" s="15"/>
      <c r="B1760" s="55"/>
      <c r="C1760" s="56"/>
      <c r="D1760" s="68"/>
      <c r="E1760" s="69"/>
      <c r="F1760" s="69"/>
      <c r="G1760" s="65"/>
      <c r="H1760" s="65"/>
      <c r="I1760" s="70"/>
      <c r="J1760" s="71"/>
      <c r="K1760" s="71"/>
      <c r="L1760" s="72" t="str">
        <f>IFERROR(IF(G1760="","",VLOOKUP($G1760,[1]基础信息!$B:$C,2,FALSE)+SUMIF(G$8:G1760,G1760,J$8:J1760)-SUMIF(G$8:G1760,G1760,K$8:K1760)+SUMIFS([1]内部转账!$G:$G,[1]内部转账!$C:$C,"&lt;="&amp;$D1760,[1]内部转账!$E:$E,$G1760)-SUMIFS([1]内部转账!$G:$G,[1]内部转账!$C:$C,"&lt;="&amp;$D1760,[1]内部转账!$F:$F,$G1760)),"")</f>
        <v/>
      </c>
      <c r="M1760" s="64"/>
      <c r="N1760" s="69"/>
      <c r="O1760" s="64"/>
      <c r="P1760" s="64"/>
      <c r="Q1760" s="69"/>
      <c r="R1760" s="69"/>
      <c r="S1760" s="69"/>
    </row>
    <row r="1761" s="2" customFormat="1" ht="24.95" customHeight="1" spans="1:19">
      <c r="A1761" s="15"/>
      <c r="B1761" s="55"/>
      <c r="C1761" s="56"/>
      <c r="D1761" s="68"/>
      <c r="E1761" s="69"/>
      <c r="F1761" s="69"/>
      <c r="G1761" s="65"/>
      <c r="H1761" s="65"/>
      <c r="I1761" s="70"/>
      <c r="J1761" s="71"/>
      <c r="K1761" s="71"/>
      <c r="L1761" s="72" t="str">
        <f>IFERROR(IF(G1761="","",VLOOKUP($G1761,[1]基础信息!$B:$C,2,FALSE)+SUMIF(G$8:G1761,G1761,J$8:J1761)-SUMIF(G$8:G1761,G1761,K$8:K1761)+SUMIFS([1]内部转账!$G:$G,[1]内部转账!$C:$C,"&lt;="&amp;$D1761,[1]内部转账!$E:$E,$G1761)-SUMIFS([1]内部转账!$G:$G,[1]内部转账!$C:$C,"&lt;="&amp;$D1761,[1]内部转账!$F:$F,$G1761)),"")</f>
        <v/>
      </c>
      <c r="M1761" s="64"/>
      <c r="N1761" s="69"/>
      <c r="O1761" s="64"/>
      <c r="P1761" s="64"/>
      <c r="Q1761" s="69"/>
      <c r="R1761" s="69"/>
      <c r="S1761" s="69"/>
    </row>
    <row r="1762" s="2" customFormat="1" ht="24.95" customHeight="1" spans="1:19">
      <c r="A1762" s="15"/>
      <c r="B1762" s="55"/>
      <c r="C1762" s="56"/>
      <c r="D1762" s="68"/>
      <c r="E1762" s="69"/>
      <c r="F1762" s="69"/>
      <c r="G1762" s="65"/>
      <c r="H1762" s="65"/>
      <c r="I1762" s="70"/>
      <c r="J1762" s="71"/>
      <c r="K1762" s="71"/>
      <c r="L1762" s="72" t="str">
        <f>IFERROR(IF(G1762="","",VLOOKUP($G1762,[1]基础信息!$B:$C,2,FALSE)+SUMIF(G$8:G1762,G1762,J$8:J1762)-SUMIF(G$8:G1762,G1762,K$8:K1762)+SUMIFS([1]内部转账!$G:$G,[1]内部转账!$C:$C,"&lt;="&amp;$D1762,[1]内部转账!$E:$E,$G1762)-SUMIFS([1]内部转账!$G:$G,[1]内部转账!$C:$C,"&lt;="&amp;$D1762,[1]内部转账!$F:$F,$G1762)),"")</f>
        <v/>
      </c>
      <c r="M1762" s="64"/>
      <c r="N1762" s="69"/>
      <c r="O1762" s="64"/>
      <c r="P1762" s="64"/>
      <c r="Q1762" s="69"/>
      <c r="R1762" s="69"/>
      <c r="S1762" s="69"/>
    </row>
    <row r="1763" s="2" customFormat="1" ht="24.95" customHeight="1" spans="1:19">
      <c r="A1763" s="15"/>
      <c r="B1763" s="55"/>
      <c r="C1763" s="56"/>
      <c r="D1763" s="68"/>
      <c r="E1763" s="69"/>
      <c r="F1763" s="69"/>
      <c r="G1763" s="65"/>
      <c r="H1763" s="65"/>
      <c r="I1763" s="70"/>
      <c r="J1763" s="71"/>
      <c r="K1763" s="71"/>
      <c r="L1763" s="72" t="str">
        <f>IFERROR(IF(G1763="","",VLOOKUP($G1763,[1]基础信息!$B:$C,2,FALSE)+SUMIF(G$8:G1763,G1763,J$8:J1763)-SUMIF(G$8:G1763,G1763,K$8:K1763)+SUMIFS([1]内部转账!$G:$G,[1]内部转账!$C:$C,"&lt;="&amp;$D1763,[1]内部转账!$E:$E,$G1763)-SUMIFS([1]内部转账!$G:$G,[1]内部转账!$C:$C,"&lt;="&amp;$D1763,[1]内部转账!$F:$F,$G1763)),"")</f>
        <v/>
      </c>
      <c r="M1763" s="64"/>
      <c r="N1763" s="69"/>
      <c r="O1763" s="64"/>
      <c r="P1763" s="64"/>
      <c r="Q1763" s="69"/>
      <c r="R1763" s="69"/>
      <c r="S1763" s="69"/>
    </row>
    <row r="1764" s="2" customFormat="1" ht="24.95" customHeight="1" spans="1:19">
      <c r="A1764" s="15"/>
      <c r="B1764" s="55"/>
      <c r="C1764" s="56"/>
      <c r="D1764" s="68"/>
      <c r="E1764" s="69"/>
      <c r="F1764" s="69"/>
      <c r="G1764" s="65"/>
      <c r="H1764" s="65"/>
      <c r="I1764" s="70"/>
      <c r="J1764" s="71"/>
      <c r="K1764" s="71"/>
      <c r="L1764" s="72" t="str">
        <f>IFERROR(IF(G1764="","",VLOOKUP($G1764,[1]基础信息!$B:$C,2,FALSE)+SUMIF(G$8:G1764,G1764,J$8:J1764)-SUMIF(G$8:G1764,G1764,K$8:K1764)+SUMIFS([1]内部转账!$G:$G,[1]内部转账!$C:$C,"&lt;="&amp;$D1764,[1]内部转账!$E:$E,$G1764)-SUMIFS([1]内部转账!$G:$G,[1]内部转账!$C:$C,"&lt;="&amp;$D1764,[1]内部转账!$F:$F,$G1764)),"")</f>
        <v/>
      </c>
      <c r="M1764" s="64"/>
      <c r="N1764" s="69"/>
      <c r="O1764" s="64"/>
      <c r="P1764" s="64"/>
      <c r="Q1764" s="69"/>
      <c r="R1764" s="69"/>
      <c r="S1764" s="69"/>
    </row>
    <row r="1765" s="2" customFormat="1" ht="24.95" customHeight="1" spans="1:19">
      <c r="A1765" s="15"/>
      <c r="B1765" s="55"/>
      <c r="C1765" s="56"/>
      <c r="D1765" s="68"/>
      <c r="E1765" s="69"/>
      <c r="F1765" s="69"/>
      <c r="G1765" s="65"/>
      <c r="H1765" s="65"/>
      <c r="I1765" s="70"/>
      <c r="J1765" s="71"/>
      <c r="K1765" s="71"/>
      <c r="L1765" s="72" t="str">
        <f>IFERROR(IF(G1765="","",VLOOKUP($G1765,[1]基础信息!$B:$C,2,FALSE)+SUMIF(G$8:G1765,G1765,J$8:J1765)-SUMIF(G$8:G1765,G1765,K$8:K1765)+SUMIFS([1]内部转账!$G:$G,[1]内部转账!$C:$C,"&lt;="&amp;$D1765,[1]内部转账!$E:$E,$G1765)-SUMIFS([1]内部转账!$G:$G,[1]内部转账!$C:$C,"&lt;="&amp;$D1765,[1]内部转账!$F:$F,$G1765)),"")</f>
        <v/>
      </c>
      <c r="M1765" s="64"/>
      <c r="N1765" s="69"/>
      <c r="O1765" s="64"/>
      <c r="P1765" s="64"/>
      <c r="Q1765" s="69"/>
      <c r="R1765" s="69"/>
      <c r="S1765" s="69"/>
    </row>
    <row r="1766" s="2" customFormat="1" ht="24.95" customHeight="1" spans="1:19">
      <c r="A1766" s="15"/>
      <c r="B1766" s="55"/>
      <c r="C1766" s="56"/>
      <c r="D1766" s="68"/>
      <c r="E1766" s="69"/>
      <c r="F1766" s="69"/>
      <c r="G1766" s="65"/>
      <c r="H1766" s="65"/>
      <c r="I1766" s="70"/>
      <c r="J1766" s="71"/>
      <c r="K1766" s="71"/>
      <c r="L1766" s="72" t="str">
        <f>IFERROR(IF(G1766="","",VLOOKUP($G1766,[1]基础信息!$B:$C,2,FALSE)+SUMIF(G$8:G1766,G1766,J$8:J1766)-SUMIF(G$8:G1766,G1766,K$8:K1766)+SUMIFS([1]内部转账!$G:$G,[1]内部转账!$C:$C,"&lt;="&amp;$D1766,[1]内部转账!$E:$E,$G1766)-SUMIFS([1]内部转账!$G:$G,[1]内部转账!$C:$C,"&lt;="&amp;$D1766,[1]内部转账!$F:$F,$G1766)),"")</f>
        <v/>
      </c>
      <c r="M1766" s="64"/>
      <c r="N1766" s="69"/>
      <c r="O1766" s="64"/>
      <c r="P1766" s="64"/>
      <c r="Q1766" s="69"/>
      <c r="R1766" s="69"/>
      <c r="S1766" s="69"/>
    </row>
    <row r="1767" s="2" customFormat="1" ht="24.95" customHeight="1" spans="1:19">
      <c r="A1767" s="15"/>
      <c r="B1767" s="55"/>
      <c r="C1767" s="56"/>
      <c r="D1767" s="68"/>
      <c r="E1767" s="69"/>
      <c r="F1767" s="69"/>
      <c r="G1767" s="65"/>
      <c r="H1767" s="65"/>
      <c r="I1767" s="70"/>
      <c r="J1767" s="71"/>
      <c r="K1767" s="71"/>
      <c r="L1767" s="72" t="str">
        <f>IFERROR(IF(G1767="","",VLOOKUP($G1767,[1]基础信息!$B:$C,2,FALSE)+SUMIF(G$8:G1767,G1767,J$8:J1767)-SUMIF(G$8:G1767,G1767,K$8:K1767)+SUMIFS([1]内部转账!$G:$G,[1]内部转账!$C:$C,"&lt;="&amp;$D1767,[1]内部转账!$E:$E,$G1767)-SUMIFS([1]内部转账!$G:$G,[1]内部转账!$C:$C,"&lt;="&amp;$D1767,[1]内部转账!$F:$F,$G1767)),"")</f>
        <v/>
      </c>
      <c r="M1767" s="64"/>
      <c r="N1767" s="69"/>
      <c r="O1767" s="64"/>
      <c r="P1767" s="64"/>
      <c r="Q1767" s="69"/>
      <c r="R1767" s="69"/>
      <c r="S1767" s="69"/>
    </row>
    <row r="1768" s="2" customFormat="1" ht="24.95" customHeight="1" spans="1:19">
      <c r="A1768" s="15"/>
      <c r="B1768" s="55"/>
      <c r="C1768" s="56"/>
      <c r="D1768" s="68"/>
      <c r="E1768" s="69"/>
      <c r="F1768" s="69"/>
      <c r="G1768" s="65"/>
      <c r="H1768" s="65"/>
      <c r="I1768" s="70"/>
      <c r="J1768" s="71"/>
      <c r="K1768" s="71"/>
      <c r="L1768" s="72" t="str">
        <f>IFERROR(IF(G1768="","",VLOOKUP($G1768,[1]基础信息!$B:$C,2,FALSE)+SUMIF(G$8:G1768,G1768,J$8:J1768)-SUMIF(G$8:G1768,G1768,K$8:K1768)+SUMIFS([1]内部转账!$G:$G,[1]内部转账!$C:$C,"&lt;="&amp;$D1768,[1]内部转账!$E:$E,$G1768)-SUMIFS([1]内部转账!$G:$G,[1]内部转账!$C:$C,"&lt;="&amp;$D1768,[1]内部转账!$F:$F,$G1768)),"")</f>
        <v/>
      </c>
      <c r="M1768" s="64"/>
      <c r="N1768" s="69"/>
      <c r="O1768" s="64"/>
      <c r="P1768" s="64"/>
      <c r="Q1768" s="69"/>
      <c r="R1768" s="69"/>
      <c r="S1768" s="69"/>
    </row>
    <row r="1769" s="2" customFormat="1" ht="24.95" customHeight="1" spans="1:19">
      <c r="A1769" s="15"/>
      <c r="B1769" s="55"/>
      <c r="C1769" s="56"/>
      <c r="D1769" s="68"/>
      <c r="E1769" s="69"/>
      <c r="F1769" s="69"/>
      <c r="G1769" s="65"/>
      <c r="H1769" s="65"/>
      <c r="I1769" s="70"/>
      <c r="J1769" s="71"/>
      <c r="K1769" s="71"/>
      <c r="L1769" s="72" t="str">
        <f>IFERROR(IF(G1769="","",VLOOKUP($G1769,[1]基础信息!$B:$C,2,FALSE)+SUMIF(G$8:G1769,G1769,J$8:J1769)-SUMIF(G$8:G1769,G1769,K$8:K1769)+SUMIFS([1]内部转账!$G:$G,[1]内部转账!$C:$C,"&lt;="&amp;$D1769,[1]内部转账!$E:$E,$G1769)-SUMIFS([1]内部转账!$G:$G,[1]内部转账!$C:$C,"&lt;="&amp;$D1769,[1]内部转账!$F:$F,$G1769)),"")</f>
        <v/>
      </c>
      <c r="M1769" s="64"/>
      <c r="N1769" s="69"/>
      <c r="O1769" s="64"/>
      <c r="P1769" s="64"/>
      <c r="Q1769" s="69"/>
      <c r="R1769" s="69"/>
      <c r="S1769" s="69"/>
    </row>
    <row r="1770" s="2" customFormat="1" ht="24.95" customHeight="1" spans="1:19">
      <c r="A1770" s="15"/>
      <c r="B1770" s="55"/>
      <c r="C1770" s="56"/>
      <c r="D1770" s="68"/>
      <c r="E1770" s="69"/>
      <c r="F1770" s="69"/>
      <c r="G1770" s="65"/>
      <c r="H1770" s="65"/>
      <c r="I1770" s="70"/>
      <c r="J1770" s="71"/>
      <c r="K1770" s="71"/>
      <c r="L1770" s="72" t="str">
        <f>IFERROR(IF(G1770="","",VLOOKUP($G1770,[1]基础信息!$B:$C,2,FALSE)+SUMIF(G$8:G1770,G1770,J$8:J1770)-SUMIF(G$8:G1770,G1770,K$8:K1770)+SUMIFS([1]内部转账!$G:$G,[1]内部转账!$C:$C,"&lt;="&amp;$D1770,[1]内部转账!$E:$E,$G1770)-SUMIFS([1]内部转账!$G:$G,[1]内部转账!$C:$C,"&lt;="&amp;$D1770,[1]内部转账!$F:$F,$G1770)),"")</f>
        <v/>
      </c>
      <c r="M1770" s="64"/>
      <c r="N1770" s="69"/>
      <c r="O1770" s="64"/>
      <c r="P1770" s="64"/>
      <c r="Q1770" s="69"/>
      <c r="R1770" s="69"/>
      <c r="S1770" s="69"/>
    </row>
    <row r="1771" s="2" customFormat="1" ht="24.95" customHeight="1" spans="1:19">
      <c r="A1771" s="15"/>
      <c r="B1771" s="55"/>
      <c r="C1771" s="56"/>
      <c r="D1771" s="68"/>
      <c r="E1771" s="69"/>
      <c r="F1771" s="69"/>
      <c r="G1771" s="65"/>
      <c r="H1771" s="65"/>
      <c r="I1771" s="70"/>
      <c r="J1771" s="71"/>
      <c r="K1771" s="71"/>
      <c r="L1771" s="72" t="str">
        <f>IFERROR(IF(G1771="","",VLOOKUP($G1771,[1]基础信息!$B:$C,2,FALSE)+SUMIF(G$8:G1771,G1771,J$8:J1771)-SUMIF(G$8:G1771,G1771,K$8:K1771)+SUMIFS([1]内部转账!$G:$G,[1]内部转账!$C:$C,"&lt;="&amp;$D1771,[1]内部转账!$E:$E,$G1771)-SUMIFS([1]内部转账!$G:$G,[1]内部转账!$C:$C,"&lt;="&amp;$D1771,[1]内部转账!$F:$F,$G1771)),"")</f>
        <v/>
      </c>
      <c r="M1771" s="64"/>
      <c r="N1771" s="69"/>
      <c r="O1771" s="64"/>
      <c r="P1771" s="64"/>
      <c r="Q1771" s="69"/>
      <c r="R1771" s="69"/>
      <c r="S1771" s="69"/>
    </row>
    <row r="1772" s="2" customFormat="1" ht="24.95" customHeight="1" spans="1:19">
      <c r="A1772" s="15"/>
      <c r="B1772" s="55"/>
      <c r="C1772" s="56"/>
      <c r="D1772" s="68"/>
      <c r="E1772" s="69"/>
      <c r="F1772" s="69"/>
      <c r="G1772" s="65"/>
      <c r="H1772" s="65"/>
      <c r="I1772" s="70"/>
      <c r="J1772" s="71"/>
      <c r="K1772" s="71"/>
      <c r="L1772" s="72" t="str">
        <f>IFERROR(IF(G1772="","",VLOOKUP($G1772,[1]基础信息!$B:$C,2,FALSE)+SUMIF(G$8:G1772,G1772,J$8:J1772)-SUMIF(G$8:G1772,G1772,K$8:K1772)+SUMIFS([1]内部转账!$G:$G,[1]内部转账!$C:$C,"&lt;="&amp;$D1772,[1]内部转账!$E:$E,$G1772)-SUMIFS([1]内部转账!$G:$G,[1]内部转账!$C:$C,"&lt;="&amp;$D1772,[1]内部转账!$F:$F,$G1772)),"")</f>
        <v/>
      </c>
      <c r="M1772" s="64"/>
      <c r="N1772" s="69"/>
      <c r="O1772" s="64"/>
      <c r="P1772" s="64"/>
      <c r="Q1772" s="69"/>
      <c r="R1772" s="69"/>
      <c r="S1772" s="69"/>
    </row>
    <row r="1773" s="2" customFormat="1" ht="24.95" customHeight="1" spans="1:19">
      <c r="A1773" s="15"/>
      <c r="B1773" s="55"/>
      <c r="C1773" s="56"/>
      <c r="D1773" s="68"/>
      <c r="E1773" s="69"/>
      <c r="F1773" s="69"/>
      <c r="G1773" s="65"/>
      <c r="H1773" s="65"/>
      <c r="I1773" s="70"/>
      <c r="J1773" s="71"/>
      <c r="K1773" s="71"/>
      <c r="L1773" s="72" t="str">
        <f>IFERROR(IF(G1773="","",VLOOKUP($G1773,[1]基础信息!$B:$C,2,FALSE)+SUMIF(G$8:G1773,G1773,J$8:J1773)-SUMIF(G$8:G1773,G1773,K$8:K1773)+SUMIFS([1]内部转账!$G:$G,[1]内部转账!$C:$C,"&lt;="&amp;$D1773,[1]内部转账!$E:$E,$G1773)-SUMIFS([1]内部转账!$G:$G,[1]内部转账!$C:$C,"&lt;="&amp;$D1773,[1]内部转账!$F:$F,$G1773)),"")</f>
        <v/>
      </c>
      <c r="M1773" s="64"/>
      <c r="N1773" s="69"/>
      <c r="O1773" s="64"/>
      <c r="P1773" s="64"/>
      <c r="Q1773" s="69"/>
      <c r="R1773" s="69"/>
      <c r="S1773" s="69"/>
    </row>
    <row r="1774" s="2" customFormat="1" ht="24.95" customHeight="1" spans="1:19">
      <c r="A1774" s="15"/>
      <c r="B1774" s="55"/>
      <c r="C1774" s="56"/>
      <c r="D1774" s="68"/>
      <c r="E1774" s="69"/>
      <c r="F1774" s="69"/>
      <c r="G1774" s="65"/>
      <c r="H1774" s="65"/>
      <c r="I1774" s="70"/>
      <c r="J1774" s="71"/>
      <c r="K1774" s="71"/>
      <c r="L1774" s="72" t="str">
        <f>IFERROR(IF(G1774="","",VLOOKUP($G1774,[1]基础信息!$B:$C,2,FALSE)+SUMIF(G$8:G1774,G1774,J$8:J1774)-SUMIF(G$8:G1774,G1774,K$8:K1774)+SUMIFS([1]内部转账!$G:$G,[1]内部转账!$C:$C,"&lt;="&amp;$D1774,[1]内部转账!$E:$E,$G1774)-SUMIFS([1]内部转账!$G:$G,[1]内部转账!$C:$C,"&lt;="&amp;$D1774,[1]内部转账!$F:$F,$G1774)),"")</f>
        <v/>
      </c>
      <c r="M1774" s="64"/>
      <c r="N1774" s="69"/>
      <c r="O1774" s="64"/>
      <c r="P1774" s="64"/>
      <c r="Q1774" s="69"/>
      <c r="R1774" s="69"/>
      <c r="S1774" s="69"/>
    </row>
    <row r="1775" s="2" customFormat="1" ht="24.95" customHeight="1" spans="1:19">
      <c r="A1775" s="15"/>
      <c r="B1775" s="55"/>
      <c r="C1775" s="56"/>
      <c r="D1775" s="68"/>
      <c r="E1775" s="69"/>
      <c r="F1775" s="69"/>
      <c r="G1775" s="65"/>
      <c r="H1775" s="65"/>
      <c r="I1775" s="70"/>
      <c r="J1775" s="71"/>
      <c r="K1775" s="71"/>
      <c r="L1775" s="72" t="str">
        <f>IFERROR(IF(G1775="","",VLOOKUP($G1775,[1]基础信息!$B:$C,2,FALSE)+SUMIF(G$8:G1775,G1775,J$8:J1775)-SUMIF(G$8:G1775,G1775,K$8:K1775)+SUMIFS([1]内部转账!$G:$G,[1]内部转账!$C:$C,"&lt;="&amp;$D1775,[1]内部转账!$E:$E,$G1775)-SUMIFS([1]内部转账!$G:$G,[1]内部转账!$C:$C,"&lt;="&amp;$D1775,[1]内部转账!$F:$F,$G1775)),"")</f>
        <v/>
      </c>
      <c r="M1775" s="64"/>
      <c r="N1775" s="69"/>
      <c r="O1775" s="64"/>
      <c r="P1775" s="64"/>
      <c r="Q1775" s="69"/>
      <c r="R1775" s="69"/>
      <c r="S1775" s="69"/>
    </row>
    <row r="1776" s="2" customFormat="1" ht="24.95" customHeight="1" spans="1:19">
      <c r="A1776" s="15"/>
      <c r="B1776" s="55"/>
      <c r="C1776" s="56"/>
      <c r="D1776" s="68"/>
      <c r="E1776" s="69"/>
      <c r="F1776" s="69"/>
      <c r="G1776" s="65"/>
      <c r="H1776" s="65"/>
      <c r="I1776" s="70"/>
      <c r="J1776" s="71"/>
      <c r="K1776" s="71"/>
      <c r="L1776" s="72" t="str">
        <f>IFERROR(IF(G1776="","",VLOOKUP($G1776,[1]基础信息!$B:$C,2,FALSE)+SUMIF(G$8:G1776,G1776,J$8:J1776)-SUMIF(G$8:G1776,G1776,K$8:K1776)+SUMIFS([1]内部转账!$G:$G,[1]内部转账!$C:$C,"&lt;="&amp;$D1776,[1]内部转账!$E:$E,$G1776)-SUMIFS([1]内部转账!$G:$G,[1]内部转账!$C:$C,"&lt;="&amp;$D1776,[1]内部转账!$F:$F,$G1776)),"")</f>
        <v/>
      </c>
      <c r="M1776" s="64"/>
      <c r="N1776" s="69"/>
      <c r="O1776" s="64"/>
      <c r="P1776" s="64"/>
      <c r="Q1776" s="69"/>
      <c r="R1776" s="69"/>
      <c r="S1776" s="69"/>
    </row>
    <row r="1777" s="2" customFormat="1" ht="24.95" customHeight="1" spans="1:19">
      <c r="A1777" s="15"/>
      <c r="B1777" s="55"/>
      <c r="C1777" s="56"/>
      <c r="D1777" s="68"/>
      <c r="E1777" s="69"/>
      <c r="F1777" s="69"/>
      <c r="G1777" s="65"/>
      <c r="H1777" s="65"/>
      <c r="I1777" s="70"/>
      <c r="J1777" s="71"/>
      <c r="K1777" s="71"/>
      <c r="L1777" s="72" t="str">
        <f>IFERROR(IF(G1777="","",VLOOKUP($G1777,[1]基础信息!$B:$C,2,FALSE)+SUMIF(G$8:G1777,G1777,J$8:J1777)-SUMIF(G$8:G1777,G1777,K$8:K1777)+SUMIFS([1]内部转账!$G:$G,[1]内部转账!$C:$C,"&lt;="&amp;$D1777,[1]内部转账!$E:$E,$G1777)-SUMIFS([1]内部转账!$G:$G,[1]内部转账!$C:$C,"&lt;="&amp;$D1777,[1]内部转账!$F:$F,$G1777)),"")</f>
        <v/>
      </c>
      <c r="M1777" s="64"/>
      <c r="N1777" s="69"/>
      <c r="O1777" s="64"/>
      <c r="P1777" s="64"/>
      <c r="Q1777" s="69"/>
      <c r="R1777" s="69"/>
      <c r="S1777" s="69"/>
    </row>
    <row r="1778" s="2" customFormat="1" ht="24.95" customHeight="1" spans="1:19">
      <c r="A1778" s="15"/>
      <c r="B1778" s="55"/>
      <c r="C1778" s="56"/>
      <c r="D1778" s="68"/>
      <c r="E1778" s="69"/>
      <c r="F1778" s="69"/>
      <c r="G1778" s="65"/>
      <c r="H1778" s="65"/>
      <c r="I1778" s="70"/>
      <c r="J1778" s="71"/>
      <c r="K1778" s="71"/>
      <c r="L1778" s="72" t="str">
        <f>IFERROR(IF(G1778="","",VLOOKUP($G1778,[1]基础信息!$B:$C,2,FALSE)+SUMIF(G$8:G1778,G1778,J$8:J1778)-SUMIF(G$8:G1778,G1778,K$8:K1778)+SUMIFS([1]内部转账!$G:$G,[1]内部转账!$C:$C,"&lt;="&amp;$D1778,[1]内部转账!$E:$E,$G1778)-SUMIFS([1]内部转账!$G:$G,[1]内部转账!$C:$C,"&lt;="&amp;$D1778,[1]内部转账!$F:$F,$G1778)),"")</f>
        <v/>
      </c>
      <c r="M1778" s="64"/>
      <c r="N1778" s="69"/>
      <c r="O1778" s="64"/>
      <c r="P1778" s="64"/>
      <c r="Q1778" s="69"/>
      <c r="R1778" s="69"/>
      <c r="S1778" s="69"/>
    </row>
    <row r="1779" s="2" customFormat="1" ht="24.95" customHeight="1" spans="1:19">
      <c r="A1779" s="15"/>
      <c r="B1779" s="55"/>
      <c r="C1779" s="56"/>
      <c r="D1779" s="68"/>
      <c r="E1779" s="69"/>
      <c r="F1779" s="69"/>
      <c r="G1779" s="65"/>
      <c r="H1779" s="65"/>
      <c r="I1779" s="70"/>
      <c r="J1779" s="71"/>
      <c r="K1779" s="71"/>
      <c r="L1779" s="72" t="str">
        <f>IFERROR(IF(G1779="","",VLOOKUP($G1779,[1]基础信息!$B:$C,2,FALSE)+SUMIF(G$8:G1779,G1779,J$8:J1779)-SUMIF(G$8:G1779,G1779,K$8:K1779)+SUMIFS([1]内部转账!$G:$G,[1]内部转账!$C:$C,"&lt;="&amp;$D1779,[1]内部转账!$E:$E,$G1779)-SUMIFS([1]内部转账!$G:$G,[1]内部转账!$C:$C,"&lt;="&amp;$D1779,[1]内部转账!$F:$F,$G1779)),"")</f>
        <v/>
      </c>
      <c r="M1779" s="64"/>
      <c r="N1779" s="69"/>
      <c r="O1779" s="64"/>
      <c r="P1779" s="64"/>
      <c r="Q1779" s="69"/>
      <c r="R1779" s="69"/>
      <c r="S1779" s="69"/>
    </row>
    <row r="1780" s="2" customFormat="1" ht="24.95" customHeight="1" spans="1:19">
      <c r="A1780" s="15"/>
      <c r="B1780" s="55"/>
      <c r="C1780" s="56"/>
      <c r="D1780" s="68"/>
      <c r="E1780" s="69"/>
      <c r="F1780" s="69"/>
      <c r="G1780" s="65"/>
      <c r="H1780" s="65"/>
      <c r="I1780" s="70"/>
      <c r="J1780" s="71"/>
      <c r="K1780" s="71"/>
      <c r="L1780" s="72" t="str">
        <f>IFERROR(IF(G1780="","",VLOOKUP($G1780,[1]基础信息!$B:$C,2,FALSE)+SUMIF(G$8:G1780,G1780,J$8:J1780)-SUMIF(G$8:G1780,G1780,K$8:K1780)+SUMIFS([1]内部转账!$G:$G,[1]内部转账!$C:$C,"&lt;="&amp;$D1780,[1]内部转账!$E:$E,$G1780)-SUMIFS([1]内部转账!$G:$G,[1]内部转账!$C:$C,"&lt;="&amp;$D1780,[1]内部转账!$F:$F,$G1780)),"")</f>
        <v/>
      </c>
      <c r="M1780" s="64"/>
      <c r="N1780" s="69"/>
      <c r="O1780" s="64"/>
      <c r="P1780" s="64"/>
      <c r="Q1780" s="69"/>
      <c r="R1780" s="69"/>
      <c r="S1780" s="69"/>
    </row>
    <row r="1781" s="2" customFormat="1" ht="24.95" customHeight="1" spans="1:19">
      <c r="A1781" s="15"/>
      <c r="B1781" s="55"/>
      <c r="C1781" s="56"/>
      <c r="D1781" s="68"/>
      <c r="E1781" s="69"/>
      <c r="F1781" s="69"/>
      <c r="G1781" s="65"/>
      <c r="H1781" s="65"/>
      <c r="I1781" s="70"/>
      <c r="J1781" s="71"/>
      <c r="K1781" s="71"/>
      <c r="L1781" s="72" t="str">
        <f>IFERROR(IF(G1781="","",VLOOKUP($G1781,[1]基础信息!$B:$C,2,FALSE)+SUMIF(G$8:G1781,G1781,J$8:J1781)-SUMIF(G$8:G1781,G1781,K$8:K1781)+SUMIFS([1]内部转账!$G:$G,[1]内部转账!$C:$C,"&lt;="&amp;$D1781,[1]内部转账!$E:$E,$G1781)-SUMIFS([1]内部转账!$G:$G,[1]内部转账!$C:$C,"&lt;="&amp;$D1781,[1]内部转账!$F:$F,$G1781)),"")</f>
        <v/>
      </c>
      <c r="M1781" s="64"/>
      <c r="N1781" s="69"/>
      <c r="O1781" s="64"/>
      <c r="P1781" s="64"/>
      <c r="Q1781" s="69"/>
      <c r="R1781" s="69"/>
      <c r="S1781" s="69"/>
    </row>
    <row r="1782" s="2" customFormat="1" ht="24.95" customHeight="1" spans="1:19">
      <c r="A1782" s="15"/>
      <c r="B1782" s="55"/>
      <c r="C1782" s="56"/>
      <c r="D1782" s="68"/>
      <c r="E1782" s="69"/>
      <c r="F1782" s="69"/>
      <c r="G1782" s="65"/>
      <c r="H1782" s="65"/>
      <c r="I1782" s="70"/>
      <c r="J1782" s="71"/>
      <c r="K1782" s="71"/>
      <c r="L1782" s="72" t="str">
        <f>IFERROR(IF(G1782="","",VLOOKUP($G1782,[1]基础信息!$B:$C,2,FALSE)+SUMIF(G$8:G1782,G1782,J$8:J1782)-SUMIF(G$8:G1782,G1782,K$8:K1782)+SUMIFS([1]内部转账!$G:$G,[1]内部转账!$C:$C,"&lt;="&amp;$D1782,[1]内部转账!$E:$E,$G1782)-SUMIFS([1]内部转账!$G:$G,[1]内部转账!$C:$C,"&lt;="&amp;$D1782,[1]内部转账!$F:$F,$G1782)),"")</f>
        <v/>
      </c>
      <c r="M1782" s="64"/>
      <c r="N1782" s="69"/>
      <c r="O1782" s="64"/>
      <c r="P1782" s="64"/>
      <c r="Q1782" s="69"/>
      <c r="R1782" s="69"/>
      <c r="S1782" s="69"/>
    </row>
    <row r="1783" s="2" customFormat="1" ht="24.95" customHeight="1" spans="1:19">
      <c r="A1783" s="15"/>
      <c r="B1783" s="55"/>
      <c r="C1783" s="56"/>
      <c r="D1783" s="68"/>
      <c r="E1783" s="69"/>
      <c r="F1783" s="69"/>
      <c r="G1783" s="65"/>
      <c r="H1783" s="65"/>
      <c r="I1783" s="70"/>
      <c r="J1783" s="71"/>
      <c r="K1783" s="71"/>
      <c r="L1783" s="72" t="str">
        <f>IFERROR(IF(G1783="","",VLOOKUP($G1783,[1]基础信息!$B:$C,2,FALSE)+SUMIF(G$8:G1783,G1783,J$8:J1783)-SUMIF(G$8:G1783,G1783,K$8:K1783)+SUMIFS([1]内部转账!$G:$G,[1]内部转账!$C:$C,"&lt;="&amp;$D1783,[1]内部转账!$E:$E,$G1783)-SUMIFS([1]内部转账!$G:$G,[1]内部转账!$C:$C,"&lt;="&amp;$D1783,[1]内部转账!$F:$F,$G1783)),"")</f>
        <v/>
      </c>
      <c r="M1783" s="64"/>
      <c r="N1783" s="69"/>
      <c r="O1783" s="64"/>
      <c r="P1783" s="64"/>
      <c r="Q1783" s="69"/>
      <c r="R1783" s="69"/>
      <c r="S1783" s="69"/>
    </row>
    <row r="1784" s="2" customFormat="1" ht="24.95" customHeight="1" spans="1:19">
      <c r="A1784" s="15"/>
      <c r="B1784" s="55"/>
      <c r="C1784" s="56"/>
      <c r="D1784" s="68"/>
      <c r="E1784" s="69"/>
      <c r="F1784" s="69"/>
      <c r="G1784" s="65"/>
      <c r="H1784" s="65"/>
      <c r="I1784" s="70"/>
      <c r="J1784" s="71"/>
      <c r="K1784" s="71"/>
      <c r="L1784" s="72" t="str">
        <f>IFERROR(IF(G1784="","",VLOOKUP($G1784,[1]基础信息!$B:$C,2,FALSE)+SUMIF(G$8:G1784,G1784,J$8:J1784)-SUMIF(G$8:G1784,G1784,K$8:K1784)+SUMIFS([1]内部转账!$G:$G,[1]内部转账!$C:$C,"&lt;="&amp;$D1784,[1]内部转账!$E:$E,$G1784)-SUMIFS([1]内部转账!$G:$G,[1]内部转账!$C:$C,"&lt;="&amp;$D1784,[1]内部转账!$F:$F,$G1784)),"")</f>
        <v/>
      </c>
      <c r="M1784" s="64"/>
      <c r="N1784" s="69"/>
      <c r="O1784" s="64"/>
      <c r="P1784" s="64"/>
      <c r="Q1784" s="69"/>
      <c r="R1784" s="69"/>
      <c r="S1784" s="69"/>
    </row>
    <row r="1785" s="2" customFormat="1" ht="24.95" customHeight="1" spans="1:19">
      <c r="A1785" s="15"/>
      <c r="B1785" s="55"/>
      <c r="C1785" s="56"/>
      <c r="D1785" s="68"/>
      <c r="E1785" s="69"/>
      <c r="F1785" s="69"/>
      <c r="G1785" s="65"/>
      <c r="H1785" s="65"/>
      <c r="I1785" s="70"/>
      <c r="J1785" s="71"/>
      <c r="K1785" s="71"/>
      <c r="L1785" s="72" t="str">
        <f>IFERROR(IF(G1785="","",VLOOKUP($G1785,[1]基础信息!$B:$C,2,FALSE)+SUMIF(G$8:G1785,G1785,J$8:J1785)-SUMIF(G$8:G1785,G1785,K$8:K1785)+SUMIFS([1]内部转账!$G:$G,[1]内部转账!$C:$C,"&lt;="&amp;$D1785,[1]内部转账!$E:$E,$G1785)-SUMIFS([1]内部转账!$G:$G,[1]内部转账!$C:$C,"&lt;="&amp;$D1785,[1]内部转账!$F:$F,$G1785)),"")</f>
        <v/>
      </c>
      <c r="M1785" s="64"/>
      <c r="N1785" s="69"/>
      <c r="O1785" s="64"/>
      <c r="P1785" s="64"/>
      <c r="Q1785" s="69"/>
      <c r="R1785" s="69"/>
      <c r="S1785" s="69"/>
    </row>
    <row r="1786" s="2" customFormat="1" ht="24.95" customHeight="1" spans="1:19">
      <c r="A1786" s="15"/>
      <c r="B1786" s="55"/>
      <c r="C1786" s="56"/>
      <c r="D1786" s="68"/>
      <c r="E1786" s="69"/>
      <c r="F1786" s="69"/>
      <c r="G1786" s="65"/>
      <c r="H1786" s="65"/>
      <c r="I1786" s="70"/>
      <c r="J1786" s="71"/>
      <c r="K1786" s="71"/>
      <c r="L1786" s="72" t="str">
        <f>IFERROR(IF(G1786="","",VLOOKUP($G1786,[1]基础信息!$B:$C,2,FALSE)+SUMIF(G$8:G1786,G1786,J$8:J1786)-SUMIF(G$8:G1786,G1786,K$8:K1786)+SUMIFS([1]内部转账!$G:$G,[1]内部转账!$C:$C,"&lt;="&amp;$D1786,[1]内部转账!$E:$E,$G1786)-SUMIFS([1]内部转账!$G:$G,[1]内部转账!$C:$C,"&lt;="&amp;$D1786,[1]内部转账!$F:$F,$G1786)),"")</f>
        <v/>
      </c>
      <c r="M1786" s="64"/>
      <c r="N1786" s="69"/>
      <c r="O1786" s="64"/>
      <c r="P1786" s="64"/>
      <c r="Q1786" s="69"/>
      <c r="R1786" s="69"/>
      <c r="S1786" s="69"/>
    </row>
    <row r="1787" s="2" customFormat="1" ht="24.95" customHeight="1" spans="1:19">
      <c r="A1787" s="15"/>
      <c r="B1787" s="55"/>
      <c r="C1787" s="56"/>
      <c r="D1787" s="68"/>
      <c r="E1787" s="69"/>
      <c r="F1787" s="69"/>
      <c r="G1787" s="65"/>
      <c r="H1787" s="65"/>
      <c r="I1787" s="70"/>
      <c r="J1787" s="71"/>
      <c r="K1787" s="71"/>
      <c r="L1787" s="72" t="str">
        <f>IFERROR(IF(G1787="","",VLOOKUP($G1787,[1]基础信息!$B:$C,2,FALSE)+SUMIF(G$8:G1787,G1787,J$8:J1787)-SUMIF(G$8:G1787,G1787,K$8:K1787)+SUMIFS([1]内部转账!$G:$G,[1]内部转账!$C:$C,"&lt;="&amp;$D1787,[1]内部转账!$E:$E,$G1787)-SUMIFS([1]内部转账!$G:$G,[1]内部转账!$C:$C,"&lt;="&amp;$D1787,[1]内部转账!$F:$F,$G1787)),"")</f>
        <v/>
      </c>
      <c r="M1787" s="64"/>
      <c r="N1787" s="69"/>
      <c r="O1787" s="64"/>
      <c r="P1787" s="64"/>
      <c r="Q1787" s="69"/>
      <c r="R1787" s="69"/>
      <c r="S1787" s="69"/>
    </row>
    <row r="1788" s="2" customFormat="1" ht="24.95" customHeight="1" spans="1:19">
      <c r="A1788" s="15"/>
      <c r="B1788" s="55"/>
      <c r="C1788" s="56"/>
      <c r="D1788" s="68"/>
      <c r="E1788" s="69"/>
      <c r="F1788" s="69"/>
      <c r="G1788" s="65"/>
      <c r="H1788" s="65"/>
      <c r="I1788" s="70"/>
      <c r="J1788" s="71"/>
      <c r="K1788" s="71"/>
      <c r="L1788" s="72" t="str">
        <f>IFERROR(IF(G1788="","",VLOOKUP($G1788,[1]基础信息!$B:$C,2,FALSE)+SUMIF(G$8:G1788,G1788,J$8:J1788)-SUMIF(G$8:G1788,G1788,K$8:K1788)+SUMIFS([1]内部转账!$G:$G,[1]内部转账!$C:$C,"&lt;="&amp;$D1788,[1]内部转账!$E:$E,$G1788)-SUMIFS([1]内部转账!$G:$G,[1]内部转账!$C:$C,"&lt;="&amp;$D1788,[1]内部转账!$F:$F,$G1788)),"")</f>
        <v/>
      </c>
      <c r="M1788" s="64"/>
      <c r="N1788" s="69"/>
      <c r="O1788" s="64"/>
      <c r="P1788" s="64"/>
      <c r="Q1788" s="69"/>
      <c r="R1788" s="69"/>
      <c r="S1788" s="69"/>
    </row>
    <row r="1789" s="2" customFormat="1" ht="24.95" customHeight="1" spans="1:19">
      <c r="A1789" s="15"/>
      <c r="B1789" s="55"/>
      <c r="C1789" s="56"/>
      <c r="D1789" s="68"/>
      <c r="E1789" s="69"/>
      <c r="F1789" s="69"/>
      <c r="G1789" s="65"/>
      <c r="H1789" s="65"/>
      <c r="I1789" s="70"/>
      <c r="J1789" s="71"/>
      <c r="K1789" s="71"/>
      <c r="L1789" s="72" t="str">
        <f>IFERROR(IF(G1789="","",VLOOKUP($G1789,[1]基础信息!$B:$C,2,FALSE)+SUMIF(G$8:G1789,G1789,J$8:J1789)-SUMIF(G$8:G1789,G1789,K$8:K1789)+SUMIFS([1]内部转账!$G:$G,[1]内部转账!$C:$C,"&lt;="&amp;$D1789,[1]内部转账!$E:$E,$G1789)-SUMIFS([1]内部转账!$G:$G,[1]内部转账!$C:$C,"&lt;="&amp;$D1789,[1]内部转账!$F:$F,$G1789)),"")</f>
        <v/>
      </c>
      <c r="M1789" s="64"/>
      <c r="N1789" s="69"/>
      <c r="O1789" s="64"/>
      <c r="P1789" s="64"/>
      <c r="Q1789" s="69"/>
      <c r="R1789" s="69"/>
      <c r="S1789" s="69"/>
    </row>
    <row r="1790" s="2" customFormat="1" ht="24.95" customHeight="1" spans="1:19">
      <c r="A1790" s="15"/>
      <c r="B1790" s="55"/>
      <c r="C1790" s="56"/>
      <c r="D1790" s="68"/>
      <c r="E1790" s="69"/>
      <c r="F1790" s="69"/>
      <c r="G1790" s="65"/>
      <c r="H1790" s="65"/>
      <c r="I1790" s="70"/>
      <c r="J1790" s="71"/>
      <c r="K1790" s="71"/>
      <c r="L1790" s="72" t="str">
        <f>IFERROR(IF(G1790="","",VLOOKUP($G1790,[1]基础信息!$B:$C,2,FALSE)+SUMIF(G$8:G1790,G1790,J$8:J1790)-SUMIF(G$8:G1790,G1790,K$8:K1790)+SUMIFS([1]内部转账!$G:$G,[1]内部转账!$C:$C,"&lt;="&amp;$D1790,[1]内部转账!$E:$E,$G1790)-SUMIFS([1]内部转账!$G:$G,[1]内部转账!$C:$C,"&lt;="&amp;$D1790,[1]内部转账!$F:$F,$G1790)),"")</f>
        <v/>
      </c>
      <c r="M1790" s="64"/>
      <c r="N1790" s="69"/>
      <c r="O1790" s="64"/>
      <c r="P1790" s="64"/>
      <c r="Q1790" s="69"/>
      <c r="R1790" s="69"/>
      <c r="S1790" s="69"/>
    </row>
    <row r="1791" s="2" customFormat="1" ht="24.95" customHeight="1" spans="1:19">
      <c r="A1791" s="15"/>
      <c r="B1791" s="55"/>
      <c r="C1791" s="56"/>
      <c r="D1791" s="68"/>
      <c r="E1791" s="69"/>
      <c r="F1791" s="69"/>
      <c r="G1791" s="65"/>
      <c r="H1791" s="65"/>
      <c r="I1791" s="70"/>
      <c r="J1791" s="71"/>
      <c r="K1791" s="71"/>
      <c r="L1791" s="72" t="str">
        <f>IFERROR(IF(G1791="","",VLOOKUP($G1791,[1]基础信息!$B:$C,2,FALSE)+SUMIF(G$8:G1791,G1791,J$8:J1791)-SUMIF(G$8:G1791,G1791,K$8:K1791)+SUMIFS([1]内部转账!$G:$G,[1]内部转账!$C:$C,"&lt;="&amp;$D1791,[1]内部转账!$E:$E,$G1791)-SUMIFS([1]内部转账!$G:$G,[1]内部转账!$C:$C,"&lt;="&amp;$D1791,[1]内部转账!$F:$F,$G1791)),"")</f>
        <v/>
      </c>
      <c r="M1791" s="64"/>
      <c r="N1791" s="69"/>
      <c r="O1791" s="64"/>
      <c r="P1791" s="64"/>
      <c r="Q1791" s="69"/>
      <c r="R1791" s="69"/>
      <c r="S1791" s="69"/>
    </row>
    <row r="1792" s="2" customFormat="1" ht="24.95" customHeight="1" spans="1:19">
      <c r="A1792" s="15"/>
      <c r="B1792" s="55"/>
      <c r="C1792" s="56"/>
      <c r="D1792" s="68"/>
      <c r="E1792" s="69"/>
      <c r="F1792" s="69"/>
      <c r="G1792" s="65"/>
      <c r="H1792" s="65"/>
      <c r="I1792" s="70"/>
      <c r="J1792" s="71"/>
      <c r="K1792" s="71"/>
      <c r="L1792" s="72" t="str">
        <f>IFERROR(IF(G1792="","",VLOOKUP($G1792,[1]基础信息!$B:$C,2,FALSE)+SUMIF(G$8:G1792,G1792,J$8:J1792)-SUMIF(G$8:G1792,G1792,K$8:K1792)+SUMIFS([1]内部转账!$G:$G,[1]内部转账!$C:$C,"&lt;="&amp;$D1792,[1]内部转账!$E:$E,$G1792)-SUMIFS([1]内部转账!$G:$G,[1]内部转账!$C:$C,"&lt;="&amp;$D1792,[1]内部转账!$F:$F,$G1792)),"")</f>
        <v/>
      </c>
      <c r="M1792" s="64"/>
      <c r="N1792" s="69"/>
      <c r="O1792" s="64"/>
      <c r="P1792" s="64"/>
      <c r="Q1792" s="69"/>
      <c r="R1792" s="69"/>
      <c r="S1792" s="69"/>
    </row>
    <row r="1793" s="2" customFormat="1" ht="24.95" customHeight="1" spans="1:19">
      <c r="A1793" s="15"/>
      <c r="B1793" s="55"/>
      <c r="C1793" s="56"/>
      <c r="D1793" s="68"/>
      <c r="E1793" s="69"/>
      <c r="F1793" s="69"/>
      <c r="G1793" s="65"/>
      <c r="H1793" s="65"/>
      <c r="I1793" s="70"/>
      <c r="J1793" s="71"/>
      <c r="K1793" s="71"/>
      <c r="L1793" s="72" t="str">
        <f>IFERROR(IF(G1793="","",VLOOKUP($G1793,[1]基础信息!$B:$C,2,FALSE)+SUMIF(G$8:G1793,G1793,J$8:J1793)-SUMIF(G$8:G1793,G1793,K$8:K1793)+SUMIFS([1]内部转账!$G:$G,[1]内部转账!$C:$C,"&lt;="&amp;$D1793,[1]内部转账!$E:$E,$G1793)-SUMIFS([1]内部转账!$G:$G,[1]内部转账!$C:$C,"&lt;="&amp;$D1793,[1]内部转账!$F:$F,$G1793)),"")</f>
        <v/>
      </c>
      <c r="M1793" s="64"/>
      <c r="N1793" s="69"/>
      <c r="O1793" s="64"/>
      <c r="P1793" s="64"/>
      <c r="Q1793" s="69"/>
      <c r="R1793" s="69"/>
      <c r="S1793" s="69"/>
    </row>
    <row r="1794" s="2" customFormat="1" ht="24.95" customHeight="1" spans="1:19">
      <c r="A1794" s="15"/>
      <c r="B1794" s="55"/>
      <c r="C1794" s="56"/>
      <c r="D1794" s="68"/>
      <c r="E1794" s="69"/>
      <c r="F1794" s="69"/>
      <c r="G1794" s="65"/>
      <c r="H1794" s="65"/>
      <c r="I1794" s="70"/>
      <c r="J1794" s="71"/>
      <c r="K1794" s="71"/>
      <c r="L1794" s="72" t="str">
        <f>IFERROR(IF(G1794="","",VLOOKUP($G1794,[1]基础信息!$B:$C,2,FALSE)+SUMIF(G$8:G1794,G1794,J$8:J1794)-SUMIF(G$8:G1794,G1794,K$8:K1794)+SUMIFS([1]内部转账!$G:$G,[1]内部转账!$C:$C,"&lt;="&amp;$D1794,[1]内部转账!$E:$E,$G1794)-SUMIFS([1]内部转账!$G:$G,[1]内部转账!$C:$C,"&lt;="&amp;$D1794,[1]内部转账!$F:$F,$G1794)),"")</f>
        <v/>
      </c>
      <c r="M1794" s="64"/>
      <c r="N1794" s="69"/>
      <c r="O1794" s="64"/>
      <c r="P1794" s="64"/>
      <c r="Q1794" s="69"/>
      <c r="R1794" s="69"/>
      <c r="S1794" s="69"/>
    </row>
    <row r="1795" s="2" customFormat="1" ht="24.95" customHeight="1" spans="1:19">
      <c r="A1795" s="15"/>
      <c r="B1795" s="55"/>
      <c r="C1795" s="56"/>
      <c r="D1795" s="68"/>
      <c r="E1795" s="69"/>
      <c r="F1795" s="69"/>
      <c r="G1795" s="65"/>
      <c r="H1795" s="65"/>
      <c r="I1795" s="70"/>
      <c r="J1795" s="71"/>
      <c r="K1795" s="71"/>
      <c r="L1795" s="72" t="str">
        <f>IFERROR(IF(G1795="","",VLOOKUP($G1795,[1]基础信息!$B:$C,2,FALSE)+SUMIF(G$8:G1795,G1795,J$8:J1795)-SUMIF(G$8:G1795,G1795,K$8:K1795)+SUMIFS([1]内部转账!$G:$G,[1]内部转账!$C:$C,"&lt;="&amp;$D1795,[1]内部转账!$E:$E,$G1795)-SUMIFS([1]内部转账!$G:$G,[1]内部转账!$C:$C,"&lt;="&amp;$D1795,[1]内部转账!$F:$F,$G1795)),"")</f>
        <v/>
      </c>
      <c r="M1795" s="64"/>
      <c r="N1795" s="69"/>
      <c r="O1795" s="64"/>
      <c r="P1795" s="64"/>
      <c r="Q1795" s="69"/>
      <c r="R1795" s="69"/>
      <c r="S1795" s="69"/>
    </row>
    <row r="1796" s="2" customFormat="1" ht="24.95" customHeight="1" spans="1:19">
      <c r="A1796" s="15"/>
      <c r="B1796" s="55"/>
      <c r="C1796" s="56"/>
      <c r="D1796" s="68"/>
      <c r="E1796" s="69"/>
      <c r="F1796" s="69"/>
      <c r="G1796" s="65"/>
      <c r="H1796" s="65"/>
      <c r="I1796" s="70"/>
      <c r="J1796" s="71"/>
      <c r="K1796" s="71"/>
      <c r="L1796" s="72" t="str">
        <f>IFERROR(IF(G1796="","",VLOOKUP($G1796,[1]基础信息!$B:$C,2,FALSE)+SUMIF(G$8:G1796,G1796,J$8:J1796)-SUMIF(G$8:G1796,G1796,K$8:K1796)+SUMIFS([1]内部转账!$G:$G,[1]内部转账!$C:$C,"&lt;="&amp;$D1796,[1]内部转账!$E:$E,$G1796)-SUMIFS([1]内部转账!$G:$G,[1]内部转账!$C:$C,"&lt;="&amp;$D1796,[1]内部转账!$F:$F,$G1796)),"")</f>
        <v/>
      </c>
      <c r="M1796" s="64"/>
      <c r="N1796" s="69"/>
      <c r="O1796" s="64"/>
      <c r="P1796" s="64"/>
      <c r="Q1796" s="69"/>
      <c r="R1796" s="69"/>
      <c r="S1796" s="69"/>
    </row>
    <row r="1797" s="2" customFormat="1" ht="24.95" customHeight="1" spans="1:19">
      <c r="A1797" s="15"/>
      <c r="B1797" s="55"/>
      <c r="C1797" s="56"/>
      <c r="D1797" s="68"/>
      <c r="E1797" s="69"/>
      <c r="F1797" s="69"/>
      <c r="G1797" s="65"/>
      <c r="H1797" s="65"/>
      <c r="I1797" s="70"/>
      <c r="J1797" s="71"/>
      <c r="K1797" s="71"/>
      <c r="L1797" s="72" t="str">
        <f>IFERROR(IF(G1797="","",VLOOKUP($G1797,[1]基础信息!$B:$C,2,FALSE)+SUMIF(G$8:G1797,G1797,J$8:J1797)-SUMIF(G$8:G1797,G1797,K$8:K1797)+SUMIFS([1]内部转账!$G:$G,[1]内部转账!$C:$C,"&lt;="&amp;$D1797,[1]内部转账!$E:$E,$G1797)-SUMIFS([1]内部转账!$G:$G,[1]内部转账!$C:$C,"&lt;="&amp;$D1797,[1]内部转账!$F:$F,$G1797)),"")</f>
        <v/>
      </c>
      <c r="M1797" s="64"/>
      <c r="N1797" s="69"/>
      <c r="O1797" s="64"/>
      <c r="P1797" s="64"/>
      <c r="Q1797" s="69"/>
      <c r="R1797" s="69"/>
      <c r="S1797" s="69"/>
    </row>
    <row r="1798" s="2" customFormat="1" ht="24.95" customHeight="1" spans="1:19">
      <c r="A1798" s="15"/>
      <c r="B1798" s="55"/>
      <c r="C1798" s="56"/>
      <c r="D1798" s="68"/>
      <c r="E1798" s="69"/>
      <c r="F1798" s="69"/>
      <c r="G1798" s="65"/>
      <c r="H1798" s="65"/>
      <c r="I1798" s="70"/>
      <c r="J1798" s="71"/>
      <c r="K1798" s="71"/>
      <c r="L1798" s="72" t="str">
        <f>IFERROR(IF(G1798="","",VLOOKUP($G1798,[1]基础信息!$B:$C,2,FALSE)+SUMIF(G$8:G1798,G1798,J$8:J1798)-SUMIF(G$8:G1798,G1798,K$8:K1798)+SUMIFS([1]内部转账!$G:$G,[1]内部转账!$C:$C,"&lt;="&amp;$D1798,[1]内部转账!$E:$E,$G1798)-SUMIFS([1]内部转账!$G:$G,[1]内部转账!$C:$C,"&lt;="&amp;$D1798,[1]内部转账!$F:$F,$G1798)),"")</f>
        <v/>
      </c>
      <c r="M1798" s="64"/>
      <c r="N1798" s="69"/>
      <c r="O1798" s="64"/>
      <c r="P1798" s="64"/>
      <c r="Q1798" s="69"/>
      <c r="R1798" s="69"/>
      <c r="S1798" s="69"/>
    </row>
    <row r="1799" s="2" customFormat="1" ht="24.95" customHeight="1" spans="1:19">
      <c r="A1799" s="15"/>
      <c r="B1799" s="55"/>
      <c r="C1799" s="56"/>
      <c r="D1799" s="68"/>
      <c r="E1799" s="69"/>
      <c r="F1799" s="69"/>
      <c r="G1799" s="65"/>
      <c r="H1799" s="65"/>
      <c r="I1799" s="70"/>
      <c r="J1799" s="71"/>
      <c r="K1799" s="71"/>
      <c r="L1799" s="72" t="str">
        <f>IFERROR(IF(G1799="","",VLOOKUP($G1799,[1]基础信息!$B:$C,2,FALSE)+SUMIF(G$8:G1799,G1799,J$8:J1799)-SUMIF(G$8:G1799,G1799,K$8:K1799)+SUMIFS([1]内部转账!$G:$G,[1]内部转账!$C:$C,"&lt;="&amp;$D1799,[1]内部转账!$E:$E,$G1799)-SUMIFS([1]内部转账!$G:$G,[1]内部转账!$C:$C,"&lt;="&amp;$D1799,[1]内部转账!$F:$F,$G1799)),"")</f>
        <v/>
      </c>
      <c r="M1799" s="64"/>
      <c r="N1799" s="69"/>
      <c r="O1799" s="64"/>
      <c r="P1799" s="64"/>
      <c r="Q1799" s="69"/>
      <c r="R1799" s="69"/>
      <c r="S1799" s="69"/>
    </row>
    <row r="1800" s="2" customFormat="1" ht="24.95" customHeight="1" spans="1:19">
      <c r="A1800" s="15"/>
      <c r="B1800" s="55"/>
      <c r="C1800" s="56"/>
      <c r="D1800" s="68"/>
      <c r="E1800" s="69"/>
      <c r="F1800" s="69"/>
      <c r="G1800" s="65"/>
      <c r="H1800" s="65"/>
      <c r="I1800" s="70"/>
      <c r="J1800" s="71"/>
      <c r="K1800" s="71"/>
      <c r="L1800" s="72" t="str">
        <f>IFERROR(IF(G1800="","",VLOOKUP($G1800,[1]基础信息!$B:$C,2,FALSE)+SUMIF(G$8:G1800,G1800,J$8:J1800)-SUMIF(G$8:G1800,G1800,K$8:K1800)+SUMIFS([1]内部转账!$G:$G,[1]内部转账!$C:$C,"&lt;="&amp;$D1800,[1]内部转账!$E:$E,$G1800)-SUMIFS([1]内部转账!$G:$G,[1]内部转账!$C:$C,"&lt;="&amp;$D1800,[1]内部转账!$F:$F,$G1800)),"")</f>
        <v/>
      </c>
      <c r="M1800" s="64"/>
      <c r="N1800" s="69"/>
      <c r="O1800" s="64"/>
      <c r="P1800" s="64"/>
      <c r="Q1800" s="69"/>
      <c r="R1800" s="69"/>
      <c r="S1800" s="69"/>
    </row>
    <row r="1801" s="2" customFormat="1" ht="24.95" customHeight="1" spans="1:19">
      <c r="A1801" s="15"/>
      <c r="B1801" s="55"/>
      <c r="C1801" s="56"/>
      <c r="D1801" s="68"/>
      <c r="E1801" s="69"/>
      <c r="F1801" s="69"/>
      <c r="G1801" s="65"/>
      <c r="H1801" s="65"/>
      <c r="I1801" s="70"/>
      <c r="J1801" s="71"/>
      <c r="K1801" s="71"/>
      <c r="L1801" s="72" t="str">
        <f>IFERROR(IF(G1801="","",VLOOKUP($G1801,[1]基础信息!$B:$C,2,FALSE)+SUMIF(G$8:G1801,G1801,J$8:J1801)-SUMIF(G$8:G1801,G1801,K$8:K1801)+SUMIFS([1]内部转账!$G:$G,[1]内部转账!$C:$C,"&lt;="&amp;$D1801,[1]内部转账!$E:$E,$G1801)-SUMIFS([1]内部转账!$G:$G,[1]内部转账!$C:$C,"&lt;="&amp;$D1801,[1]内部转账!$F:$F,$G1801)),"")</f>
        <v/>
      </c>
      <c r="M1801" s="64"/>
      <c r="N1801" s="69"/>
      <c r="O1801" s="64"/>
      <c r="P1801" s="64"/>
      <c r="Q1801" s="69"/>
      <c r="R1801" s="69"/>
      <c r="S1801" s="69"/>
    </row>
    <row r="1802" s="2" customFormat="1" ht="24.95" customHeight="1" spans="1:19">
      <c r="A1802" s="15"/>
      <c r="B1802" s="55"/>
      <c r="C1802" s="56"/>
      <c r="D1802" s="68"/>
      <c r="E1802" s="69"/>
      <c r="F1802" s="69"/>
      <c r="G1802" s="65"/>
      <c r="H1802" s="65"/>
      <c r="I1802" s="70"/>
      <c r="J1802" s="71"/>
      <c r="K1802" s="71"/>
      <c r="L1802" s="72" t="str">
        <f>IFERROR(IF(G1802="","",VLOOKUP($G1802,[1]基础信息!$B:$C,2,FALSE)+SUMIF(G$8:G1802,G1802,J$8:J1802)-SUMIF(G$8:G1802,G1802,K$8:K1802)+SUMIFS([1]内部转账!$G:$G,[1]内部转账!$C:$C,"&lt;="&amp;$D1802,[1]内部转账!$E:$E,$G1802)-SUMIFS([1]内部转账!$G:$G,[1]内部转账!$C:$C,"&lt;="&amp;$D1802,[1]内部转账!$F:$F,$G1802)),"")</f>
        <v/>
      </c>
      <c r="M1802" s="64"/>
      <c r="N1802" s="69"/>
      <c r="O1802" s="64"/>
      <c r="P1802" s="64"/>
      <c r="Q1802" s="69"/>
      <c r="R1802" s="69"/>
      <c r="S1802" s="69"/>
    </row>
    <row r="1803" s="2" customFormat="1" ht="24.95" customHeight="1" spans="1:19">
      <c r="A1803" s="15"/>
      <c r="B1803" s="55"/>
      <c r="C1803" s="56"/>
      <c r="D1803" s="68"/>
      <c r="E1803" s="69"/>
      <c r="F1803" s="69"/>
      <c r="G1803" s="65"/>
      <c r="H1803" s="65"/>
      <c r="I1803" s="70"/>
      <c r="J1803" s="71"/>
      <c r="K1803" s="71"/>
      <c r="L1803" s="72" t="str">
        <f>IFERROR(IF(G1803="","",VLOOKUP($G1803,[1]基础信息!$B:$C,2,FALSE)+SUMIF(G$8:G1803,G1803,J$8:J1803)-SUMIF(G$8:G1803,G1803,K$8:K1803)+SUMIFS([1]内部转账!$G:$G,[1]内部转账!$C:$C,"&lt;="&amp;$D1803,[1]内部转账!$E:$E,$G1803)-SUMIFS([1]内部转账!$G:$G,[1]内部转账!$C:$C,"&lt;="&amp;$D1803,[1]内部转账!$F:$F,$G1803)),"")</f>
        <v/>
      </c>
      <c r="M1803" s="64"/>
      <c r="N1803" s="69"/>
      <c r="O1803" s="64"/>
      <c r="P1803" s="64"/>
      <c r="Q1803" s="69"/>
      <c r="R1803" s="69"/>
      <c r="S1803" s="69"/>
    </row>
    <row r="1804" s="2" customFormat="1" ht="24.95" customHeight="1" spans="1:19">
      <c r="A1804" s="15"/>
      <c r="B1804" s="55"/>
      <c r="C1804" s="56"/>
      <c r="D1804" s="68"/>
      <c r="E1804" s="69"/>
      <c r="F1804" s="69"/>
      <c r="G1804" s="65"/>
      <c r="H1804" s="65"/>
      <c r="I1804" s="70"/>
      <c r="J1804" s="71"/>
      <c r="K1804" s="71"/>
      <c r="L1804" s="72" t="str">
        <f>IFERROR(IF(G1804="","",VLOOKUP($G1804,[1]基础信息!$B:$C,2,FALSE)+SUMIF(G$8:G1804,G1804,J$8:J1804)-SUMIF(G$8:G1804,G1804,K$8:K1804)+SUMIFS([1]内部转账!$G:$G,[1]内部转账!$C:$C,"&lt;="&amp;$D1804,[1]内部转账!$E:$E,$G1804)-SUMIFS([1]内部转账!$G:$G,[1]内部转账!$C:$C,"&lt;="&amp;$D1804,[1]内部转账!$F:$F,$G1804)),"")</f>
        <v/>
      </c>
      <c r="M1804" s="64"/>
      <c r="N1804" s="69"/>
      <c r="O1804" s="64"/>
      <c r="P1804" s="64"/>
      <c r="Q1804" s="69"/>
      <c r="R1804" s="69"/>
      <c r="S1804" s="69"/>
    </row>
    <row r="1805" s="2" customFormat="1" ht="24.95" customHeight="1" spans="1:19">
      <c r="A1805" s="15"/>
      <c r="B1805" s="55"/>
      <c r="C1805" s="56"/>
      <c r="D1805" s="68"/>
      <c r="E1805" s="69"/>
      <c r="F1805" s="69"/>
      <c r="G1805" s="65"/>
      <c r="H1805" s="65"/>
      <c r="I1805" s="70"/>
      <c r="J1805" s="71"/>
      <c r="K1805" s="71"/>
      <c r="L1805" s="72" t="str">
        <f>IFERROR(IF(G1805="","",VLOOKUP($G1805,[1]基础信息!$B:$C,2,FALSE)+SUMIF(G$8:G1805,G1805,J$8:J1805)-SUMIF(G$8:G1805,G1805,K$8:K1805)+SUMIFS([1]内部转账!$G:$G,[1]内部转账!$C:$C,"&lt;="&amp;$D1805,[1]内部转账!$E:$E,$G1805)-SUMIFS([1]内部转账!$G:$G,[1]内部转账!$C:$C,"&lt;="&amp;$D1805,[1]内部转账!$F:$F,$G1805)),"")</f>
        <v/>
      </c>
      <c r="M1805" s="64"/>
      <c r="N1805" s="69"/>
      <c r="O1805" s="64"/>
      <c r="P1805" s="64"/>
      <c r="Q1805" s="69"/>
      <c r="R1805" s="69"/>
      <c r="S1805" s="69"/>
    </row>
    <row r="1806" s="2" customFormat="1" ht="24.95" customHeight="1" spans="1:19">
      <c r="A1806" s="15"/>
      <c r="B1806" s="55"/>
      <c r="C1806" s="56"/>
      <c r="D1806" s="68"/>
      <c r="E1806" s="69"/>
      <c r="F1806" s="69"/>
      <c r="G1806" s="65"/>
      <c r="H1806" s="65"/>
      <c r="I1806" s="70"/>
      <c r="J1806" s="71"/>
      <c r="K1806" s="71"/>
      <c r="L1806" s="72" t="str">
        <f>IFERROR(IF(G1806="","",VLOOKUP($G1806,[1]基础信息!$B:$C,2,FALSE)+SUMIF(G$8:G1806,G1806,J$8:J1806)-SUMIF(G$8:G1806,G1806,K$8:K1806)+SUMIFS([1]内部转账!$G:$G,[1]内部转账!$C:$C,"&lt;="&amp;$D1806,[1]内部转账!$E:$E,$G1806)-SUMIFS([1]内部转账!$G:$G,[1]内部转账!$C:$C,"&lt;="&amp;$D1806,[1]内部转账!$F:$F,$G1806)),"")</f>
        <v/>
      </c>
      <c r="M1806" s="64"/>
      <c r="N1806" s="69"/>
      <c r="O1806" s="64"/>
      <c r="P1806" s="64"/>
      <c r="Q1806" s="69"/>
      <c r="R1806" s="69"/>
      <c r="S1806" s="69"/>
    </row>
    <row r="1807" s="2" customFormat="1" ht="24.95" customHeight="1" spans="1:19">
      <c r="A1807" s="15"/>
      <c r="B1807" s="55"/>
      <c r="C1807" s="56"/>
      <c r="D1807" s="68"/>
      <c r="E1807" s="69"/>
      <c r="F1807" s="69"/>
      <c r="G1807" s="65"/>
      <c r="H1807" s="65"/>
      <c r="I1807" s="70"/>
      <c r="J1807" s="71"/>
      <c r="K1807" s="71"/>
      <c r="L1807" s="72" t="str">
        <f>IFERROR(IF(G1807="","",VLOOKUP($G1807,[1]基础信息!$B:$C,2,FALSE)+SUMIF(G$8:G1807,G1807,J$8:J1807)-SUMIF(G$8:G1807,G1807,K$8:K1807)+SUMIFS([1]内部转账!$G:$G,[1]内部转账!$C:$C,"&lt;="&amp;$D1807,[1]内部转账!$E:$E,$G1807)-SUMIFS([1]内部转账!$G:$G,[1]内部转账!$C:$C,"&lt;="&amp;$D1807,[1]内部转账!$F:$F,$G1807)),"")</f>
        <v/>
      </c>
      <c r="M1807" s="64"/>
      <c r="N1807" s="69"/>
      <c r="O1807" s="64"/>
      <c r="P1807" s="64"/>
      <c r="Q1807" s="69"/>
      <c r="R1807" s="69"/>
      <c r="S1807" s="69"/>
    </row>
    <row r="1808" s="2" customFormat="1" ht="24.95" customHeight="1" spans="1:19">
      <c r="A1808" s="15"/>
      <c r="B1808" s="55"/>
      <c r="C1808" s="56"/>
      <c r="D1808" s="68"/>
      <c r="E1808" s="69"/>
      <c r="F1808" s="69"/>
      <c r="G1808" s="65"/>
      <c r="H1808" s="65"/>
      <c r="I1808" s="70"/>
      <c r="J1808" s="71"/>
      <c r="K1808" s="71"/>
      <c r="L1808" s="72" t="str">
        <f>IFERROR(IF(G1808="","",VLOOKUP($G1808,[1]基础信息!$B:$C,2,FALSE)+SUMIF(G$8:G1808,G1808,J$8:J1808)-SUMIF(G$8:G1808,G1808,K$8:K1808)+SUMIFS([1]内部转账!$G:$G,[1]内部转账!$C:$C,"&lt;="&amp;$D1808,[1]内部转账!$E:$E,$G1808)-SUMIFS([1]内部转账!$G:$G,[1]内部转账!$C:$C,"&lt;="&amp;$D1808,[1]内部转账!$F:$F,$G1808)),"")</f>
        <v/>
      </c>
      <c r="M1808" s="64"/>
      <c r="N1808" s="69"/>
      <c r="O1808" s="64"/>
      <c r="P1808" s="64"/>
      <c r="Q1808" s="69"/>
      <c r="R1808" s="69"/>
      <c r="S1808" s="69"/>
    </row>
    <row r="1809" s="2" customFormat="1" ht="24.95" customHeight="1" spans="1:19">
      <c r="A1809" s="15"/>
      <c r="B1809" s="55"/>
      <c r="C1809" s="56"/>
      <c r="D1809" s="68"/>
      <c r="E1809" s="69"/>
      <c r="F1809" s="69"/>
      <c r="G1809" s="65"/>
      <c r="H1809" s="65"/>
      <c r="I1809" s="70"/>
      <c r="J1809" s="71"/>
      <c r="K1809" s="71"/>
      <c r="L1809" s="72" t="str">
        <f>IFERROR(IF(G1809="","",VLOOKUP($G1809,[1]基础信息!$B:$C,2,FALSE)+SUMIF(G$8:G1809,G1809,J$8:J1809)-SUMIF(G$8:G1809,G1809,K$8:K1809)+SUMIFS([1]内部转账!$G:$G,[1]内部转账!$C:$C,"&lt;="&amp;$D1809,[1]内部转账!$E:$E,$G1809)-SUMIFS([1]内部转账!$G:$G,[1]内部转账!$C:$C,"&lt;="&amp;$D1809,[1]内部转账!$F:$F,$G1809)),"")</f>
        <v/>
      </c>
      <c r="M1809" s="64"/>
      <c r="N1809" s="69"/>
      <c r="O1809" s="64"/>
      <c r="P1809" s="64"/>
      <c r="Q1809" s="69"/>
      <c r="R1809" s="69"/>
      <c r="S1809" s="69"/>
    </row>
    <row r="1810" s="2" customFormat="1" ht="24.95" customHeight="1" spans="1:19">
      <c r="A1810" s="15"/>
      <c r="B1810" s="55"/>
      <c r="C1810" s="56"/>
      <c r="D1810" s="68"/>
      <c r="E1810" s="69"/>
      <c r="F1810" s="69"/>
      <c r="G1810" s="65"/>
      <c r="H1810" s="65"/>
      <c r="I1810" s="70"/>
      <c r="J1810" s="71"/>
      <c r="K1810" s="71"/>
      <c r="L1810" s="72" t="str">
        <f>IFERROR(IF(G1810="","",VLOOKUP($G1810,[1]基础信息!$B:$C,2,FALSE)+SUMIF(G$8:G1810,G1810,J$8:J1810)-SUMIF(G$8:G1810,G1810,K$8:K1810)+SUMIFS([1]内部转账!$G:$G,[1]内部转账!$C:$C,"&lt;="&amp;$D1810,[1]内部转账!$E:$E,$G1810)-SUMIFS([1]内部转账!$G:$G,[1]内部转账!$C:$C,"&lt;="&amp;$D1810,[1]内部转账!$F:$F,$G1810)),"")</f>
        <v/>
      </c>
      <c r="M1810" s="64"/>
      <c r="N1810" s="69"/>
      <c r="O1810" s="64"/>
      <c r="P1810" s="64"/>
      <c r="Q1810" s="69"/>
      <c r="R1810" s="69"/>
      <c r="S1810" s="69"/>
    </row>
    <row r="1811" s="2" customFormat="1" ht="24.95" customHeight="1" spans="1:19">
      <c r="A1811" s="15"/>
      <c r="B1811" s="55"/>
      <c r="C1811" s="56"/>
      <c r="D1811" s="68"/>
      <c r="E1811" s="69"/>
      <c r="F1811" s="69"/>
      <c r="G1811" s="65"/>
      <c r="H1811" s="65"/>
      <c r="I1811" s="70"/>
      <c r="J1811" s="71"/>
      <c r="K1811" s="71"/>
      <c r="L1811" s="72" t="str">
        <f>IFERROR(IF(G1811="","",VLOOKUP($G1811,[1]基础信息!$B:$C,2,FALSE)+SUMIF(G$8:G1811,G1811,J$8:J1811)-SUMIF(G$8:G1811,G1811,K$8:K1811)+SUMIFS([1]内部转账!$G:$G,[1]内部转账!$C:$C,"&lt;="&amp;$D1811,[1]内部转账!$E:$E,$G1811)-SUMIFS([1]内部转账!$G:$G,[1]内部转账!$C:$C,"&lt;="&amp;$D1811,[1]内部转账!$F:$F,$G1811)),"")</f>
        <v/>
      </c>
      <c r="M1811" s="64"/>
      <c r="N1811" s="69"/>
      <c r="O1811" s="64"/>
      <c r="P1811" s="64"/>
      <c r="Q1811" s="69"/>
      <c r="R1811" s="69"/>
      <c r="S1811" s="69"/>
    </row>
    <row r="1812" s="2" customFormat="1" ht="24.95" customHeight="1" spans="1:19">
      <c r="A1812" s="15"/>
      <c r="B1812" s="55"/>
      <c r="C1812" s="56"/>
      <c r="D1812" s="68"/>
      <c r="E1812" s="69"/>
      <c r="F1812" s="69"/>
      <c r="G1812" s="65"/>
      <c r="H1812" s="65"/>
      <c r="I1812" s="70"/>
      <c r="J1812" s="71"/>
      <c r="K1812" s="71"/>
      <c r="L1812" s="72" t="str">
        <f>IFERROR(IF(G1812="","",VLOOKUP($G1812,[1]基础信息!$B:$C,2,FALSE)+SUMIF(G$8:G1812,G1812,J$8:J1812)-SUMIF(G$8:G1812,G1812,K$8:K1812)+SUMIFS([1]内部转账!$G:$G,[1]内部转账!$C:$C,"&lt;="&amp;$D1812,[1]内部转账!$E:$E,$G1812)-SUMIFS([1]内部转账!$G:$G,[1]内部转账!$C:$C,"&lt;="&amp;$D1812,[1]内部转账!$F:$F,$G1812)),"")</f>
        <v/>
      </c>
      <c r="M1812" s="64"/>
      <c r="N1812" s="69"/>
      <c r="O1812" s="64"/>
      <c r="P1812" s="64"/>
      <c r="Q1812" s="69"/>
      <c r="R1812" s="69"/>
      <c r="S1812" s="69"/>
    </row>
    <row r="1813" s="2" customFormat="1" ht="24.95" customHeight="1" spans="1:19">
      <c r="A1813" s="15"/>
      <c r="B1813" s="55"/>
      <c r="C1813" s="56"/>
      <c r="D1813" s="68"/>
      <c r="E1813" s="69"/>
      <c r="F1813" s="69"/>
      <c r="G1813" s="65"/>
      <c r="H1813" s="65"/>
      <c r="I1813" s="70"/>
      <c r="J1813" s="71"/>
      <c r="K1813" s="71"/>
      <c r="L1813" s="72" t="str">
        <f>IFERROR(IF(G1813="","",VLOOKUP($G1813,[1]基础信息!$B:$C,2,FALSE)+SUMIF(G$8:G1813,G1813,J$8:J1813)-SUMIF(G$8:G1813,G1813,K$8:K1813)+SUMIFS([1]内部转账!$G:$G,[1]内部转账!$C:$C,"&lt;="&amp;$D1813,[1]内部转账!$E:$E,$G1813)-SUMIFS([1]内部转账!$G:$G,[1]内部转账!$C:$C,"&lt;="&amp;$D1813,[1]内部转账!$F:$F,$G1813)),"")</f>
        <v/>
      </c>
      <c r="M1813" s="64"/>
      <c r="N1813" s="69"/>
      <c r="O1813" s="64"/>
      <c r="P1813" s="64"/>
      <c r="Q1813" s="69"/>
      <c r="R1813" s="69"/>
      <c r="S1813" s="69"/>
    </row>
    <row r="1814" s="2" customFormat="1" ht="24.95" customHeight="1" spans="1:19">
      <c r="A1814" s="15"/>
      <c r="B1814" s="55"/>
      <c r="C1814" s="56"/>
      <c r="D1814" s="68"/>
      <c r="E1814" s="69"/>
      <c r="F1814" s="69"/>
      <c r="G1814" s="65"/>
      <c r="H1814" s="65"/>
      <c r="I1814" s="70"/>
      <c r="J1814" s="71"/>
      <c r="K1814" s="71"/>
      <c r="L1814" s="72" t="str">
        <f>IFERROR(IF(G1814="","",VLOOKUP($G1814,[1]基础信息!$B:$C,2,FALSE)+SUMIF(G$8:G1814,G1814,J$8:J1814)-SUMIF(G$8:G1814,G1814,K$8:K1814)+SUMIFS([1]内部转账!$G:$G,[1]内部转账!$C:$C,"&lt;="&amp;$D1814,[1]内部转账!$E:$E,$G1814)-SUMIFS([1]内部转账!$G:$G,[1]内部转账!$C:$C,"&lt;="&amp;$D1814,[1]内部转账!$F:$F,$G1814)),"")</f>
        <v/>
      </c>
      <c r="M1814" s="64"/>
      <c r="N1814" s="69"/>
      <c r="O1814" s="64"/>
      <c r="P1814" s="64"/>
      <c r="Q1814" s="69"/>
      <c r="R1814" s="69"/>
      <c r="S1814" s="69"/>
    </row>
    <row r="1815" s="2" customFormat="1" ht="24.95" customHeight="1" spans="1:19">
      <c r="A1815" s="15"/>
      <c r="B1815" s="55"/>
      <c r="C1815" s="56"/>
      <c r="D1815" s="68"/>
      <c r="E1815" s="69"/>
      <c r="F1815" s="69"/>
      <c r="G1815" s="65"/>
      <c r="H1815" s="65"/>
      <c r="I1815" s="70"/>
      <c r="J1815" s="71"/>
      <c r="K1815" s="71"/>
      <c r="L1815" s="72" t="str">
        <f>IFERROR(IF(G1815="","",VLOOKUP($G1815,[1]基础信息!$B:$C,2,FALSE)+SUMIF(G$8:G1815,G1815,J$8:J1815)-SUMIF(G$8:G1815,G1815,K$8:K1815)+SUMIFS([1]内部转账!$G:$G,[1]内部转账!$C:$C,"&lt;="&amp;$D1815,[1]内部转账!$E:$E,$G1815)-SUMIFS([1]内部转账!$G:$G,[1]内部转账!$C:$C,"&lt;="&amp;$D1815,[1]内部转账!$F:$F,$G1815)),"")</f>
        <v/>
      </c>
      <c r="M1815" s="64"/>
      <c r="N1815" s="69"/>
      <c r="O1815" s="64"/>
      <c r="P1815" s="64"/>
      <c r="Q1815" s="69"/>
      <c r="R1815" s="69"/>
      <c r="S1815" s="69"/>
    </row>
    <row r="1816" s="2" customFormat="1" ht="24.95" customHeight="1" spans="1:19">
      <c r="A1816" s="15"/>
      <c r="B1816" s="55"/>
      <c r="C1816" s="56"/>
      <c r="D1816" s="68"/>
      <c r="E1816" s="69"/>
      <c r="F1816" s="69"/>
      <c r="G1816" s="65"/>
      <c r="H1816" s="65"/>
      <c r="I1816" s="70"/>
      <c r="J1816" s="71"/>
      <c r="K1816" s="71"/>
      <c r="L1816" s="72" t="str">
        <f>IFERROR(IF(G1816="","",VLOOKUP($G1816,[1]基础信息!$B:$C,2,FALSE)+SUMIF(G$8:G1816,G1816,J$8:J1816)-SUMIF(G$8:G1816,G1816,K$8:K1816)+SUMIFS([1]内部转账!$G:$G,[1]内部转账!$C:$C,"&lt;="&amp;$D1816,[1]内部转账!$E:$E,$G1816)-SUMIFS([1]内部转账!$G:$G,[1]内部转账!$C:$C,"&lt;="&amp;$D1816,[1]内部转账!$F:$F,$G1816)),"")</f>
        <v/>
      </c>
      <c r="M1816" s="64"/>
      <c r="N1816" s="69"/>
      <c r="O1816" s="64"/>
      <c r="P1816" s="64"/>
      <c r="Q1816" s="69"/>
      <c r="R1816" s="69"/>
      <c r="S1816" s="69"/>
    </row>
    <row r="1817" s="2" customFormat="1" ht="24.95" customHeight="1" spans="1:19">
      <c r="A1817" s="15"/>
      <c r="B1817" s="55"/>
      <c r="C1817" s="56"/>
      <c r="D1817" s="68"/>
      <c r="E1817" s="69"/>
      <c r="F1817" s="69"/>
      <c r="G1817" s="65"/>
      <c r="H1817" s="65"/>
      <c r="I1817" s="70"/>
      <c r="J1817" s="71"/>
      <c r="K1817" s="71"/>
      <c r="L1817" s="72" t="str">
        <f>IFERROR(IF(G1817="","",VLOOKUP($G1817,[1]基础信息!$B:$C,2,FALSE)+SUMIF(G$8:G1817,G1817,J$8:J1817)-SUMIF(G$8:G1817,G1817,K$8:K1817)+SUMIFS([1]内部转账!$G:$G,[1]内部转账!$C:$C,"&lt;="&amp;$D1817,[1]内部转账!$E:$E,$G1817)-SUMIFS([1]内部转账!$G:$G,[1]内部转账!$C:$C,"&lt;="&amp;$D1817,[1]内部转账!$F:$F,$G1817)),"")</f>
        <v/>
      </c>
      <c r="M1817" s="64"/>
      <c r="N1817" s="69"/>
      <c r="O1817" s="64"/>
      <c r="P1817" s="64"/>
      <c r="Q1817" s="69"/>
      <c r="R1817" s="69"/>
      <c r="S1817" s="69"/>
    </row>
    <row r="1818" s="2" customFormat="1" ht="24.95" customHeight="1" spans="1:19">
      <c r="A1818" s="15"/>
      <c r="B1818" s="55"/>
      <c r="C1818" s="56"/>
      <c r="D1818" s="68"/>
      <c r="E1818" s="69"/>
      <c r="F1818" s="69"/>
      <c r="G1818" s="65"/>
      <c r="H1818" s="65"/>
      <c r="I1818" s="70"/>
      <c r="J1818" s="71"/>
      <c r="K1818" s="71"/>
      <c r="L1818" s="72" t="str">
        <f>IFERROR(IF(G1818="","",VLOOKUP($G1818,[1]基础信息!$B:$C,2,FALSE)+SUMIF(G$8:G1818,G1818,J$8:J1818)-SUMIF(G$8:G1818,G1818,K$8:K1818)+SUMIFS([1]内部转账!$G:$G,[1]内部转账!$C:$C,"&lt;="&amp;$D1818,[1]内部转账!$E:$E,$G1818)-SUMIFS([1]内部转账!$G:$G,[1]内部转账!$C:$C,"&lt;="&amp;$D1818,[1]内部转账!$F:$F,$G1818)),"")</f>
        <v/>
      </c>
      <c r="M1818" s="64"/>
      <c r="N1818" s="69"/>
      <c r="O1818" s="64"/>
      <c r="P1818" s="64"/>
      <c r="Q1818" s="69"/>
      <c r="R1818" s="69"/>
      <c r="S1818" s="69"/>
    </row>
    <row r="1819" s="2" customFormat="1" ht="24.95" customHeight="1" spans="1:19">
      <c r="A1819" s="15"/>
      <c r="B1819" s="55"/>
      <c r="C1819" s="56"/>
      <c r="D1819" s="68"/>
      <c r="E1819" s="69"/>
      <c r="F1819" s="69"/>
      <c r="G1819" s="65"/>
      <c r="H1819" s="65"/>
      <c r="I1819" s="70"/>
      <c r="J1819" s="71"/>
      <c r="K1819" s="71"/>
      <c r="L1819" s="72" t="str">
        <f>IFERROR(IF(G1819="","",VLOOKUP($G1819,[1]基础信息!$B:$C,2,FALSE)+SUMIF(G$8:G1819,G1819,J$8:J1819)-SUMIF(G$8:G1819,G1819,K$8:K1819)+SUMIFS([1]内部转账!$G:$G,[1]内部转账!$C:$C,"&lt;="&amp;$D1819,[1]内部转账!$E:$E,$G1819)-SUMIFS([1]内部转账!$G:$G,[1]内部转账!$C:$C,"&lt;="&amp;$D1819,[1]内部转账!$F:$F,$G1819)),"")</f>
        <v/>
      </c>
      <c r="M1819" s="64"/>
      <c r="N1819" s="69"/>
      <c r="O1819" s="64"/>
      <c r="P1819" s="64"/>
      <c r="Q1819" s="69"/>
      <c r="R1819" s="69"/>
      <c r="S1819" s="69"/>
    </row>
    <row r="1820" s="2" customFormat="1" ht="24.95" customHeight="1" spans="1:19">
      <c r="A1820" s="15"/>
      <c r="B1820" s="55"/>
      <c r="C1820" s="56"/>
      <c r="D1820" s="68"/>
      <c r="E1820" s="69"/>
      <c r="F1820" s="69"/>
      <c r="G1820" s="65"/>
      <c r="H1820" s="65"/>
      <c r="I1820" s="70"/>
      <c r="J1820" s="71"/>
      <c r="K1820" s="71"/>
      <c r="L1820" s="72" t="str">
        <f>IFERROR(IF(G1820="","",VLOOKUP($G1820,[1]基础信息!$B:$C,2,FALSE)+SUMIF(G$8:G1820,G1820,J$8:J1820)-SUMIF(G$8:G1820,G1820,K$8:K1820)+SUMIFS([1]内部转账!$G:$G,[1]内部转账!$C:$C,"&lt;="&amp;$D1820,[1]内部转账!$E:$E,$G1820)-SUMIFS([1]内部转账!$G:$G,[1]内部转账!$C:$C,"&lt;="&amp;$D1820,[1]内部转账!$F:$F,$G1820)),"")</f>
        <v/>
      </c>
      <c r="M1820" s="64"/>
      <c r="N1820" s="69"/>
      <c r="O1820" s="64"/>
      <c r="P1820" s="64"/>
      <c r="Q1820" s="69"/>
      <c r="R1820" s="69"/>
      <c r="S1820" s="69"/>
    </row>
    <row r="1821" s="2" customFormat="1" ht="24.95" customHeight="1" spans="1:19">
      <c r="A1821" s="15"/>
      <c r="B1821" s="55"/>
      <c r="C1821" s="56"/>
      <c r="D1821" s="68"/>
      <c r="E1821" s="69"/>
      <c r="F1821" s="69"/>
      <c r="G1821" s="65"/>
      <c r="H1821" s="65"/>
      <c r="I1821" s="70"/>
      <c r="J1821" s="71"/>
      <c r="K1821" s="71"/>
      <c r="L1821" s="72" t="str">
        <f>IFERROR(IF(G1821="","",VLOOKUP($G1821,[1]基础信息!$B:$C,2,FALSE)+SUMIF(G$8:G1821,G1821,J$8:J1821)-SUMIF(G$8:G1821,G1821,K$8:K1821)+SUMIFS([1]内部转账!$G:$G,[1]内部转账!$C:$C,"&lt;="&amp;$D1821,[1]内部转账!$E:$E,$G1821)-SUMIFS([1]内部转账!$G:$G,[1]内部转账!$C:$C,"&lt;="&amp;$D1821,[1]内部转账!$F:$F,$G1821)),"")</f>
        <v/>
      </c>
      <c r="M1821" s="64"/>
      <c r="N1821" s="69"/>
      <c r="O1821" s="64"/>
      <c r="P1821" s="64"/>
      <c r="Q1821" s="69"/>
      <c r="R1821" s="69"/>
      <c r="S1821" s="69"/>
    </row>
    <row r="1822" s="2" customFormat="1" ht="24.95" customHeight="1" spans="1:19">
      <c r="A1822" s="15"/>
      <c r="B1822" s="55"/>
      <c r="C1822" s="56"/>
      <c r="D1822" s="68"/>
      <c r="E1822" s="69"/>
      <c r="F1822" s="69"/>
      <c r="G1822" s="65"/>
      <c r="H1822" s="65"/>
      <c r="I1822" s="70"/>
      <c r="J1822" s="71"/>
      <c r="K1822" s="71"/>
      <c r="L1822" s="72" t="str">
        <f>IFERROR(IF(G1822="","",VLOOKUP($G1822,[1]基础信息!$B:$C,2,FALSE)+SUMIF(G$8:G1822,G1822,J$8:J1822)-SUMIF(G$8:G1822,G1822,K$8:K1822)+SUMIFS([1]内部转账!$G:$G,[1]内部转账!$C:$C,"&lt;="&amp;$D1822,[1]内部转账!$E:$E,$G1822)-SUMIFS([1]内部转账!$G:$G,[1]内部转账!$C:$C,"&lt;="&amp;$D1822,[1]内部转账!$F:$F,$G1822)),"")</f>
        <v/>
      </c>
      <c r="M1822" s="64"/>
      <c r="N1822" s="69"/>
      <c r="O1822" s="64"/>
      <c r="P1822" s="64"/>
      <c r="Q1822" s="69"/>
      <c r="R1822" s="69"/>
      <c r="S1822" s="69"/>
    </row>
    <row r="1823" s="2" customFormat="1" ht="24.95" customHeight="1" spans="1:19">
      <c r="A1823" s="15"/>
      <c r="B1823" s="55"/>
      <c r="C1823" s="56"/>
      <c r="D1823" s="68"/>
      <c r="E1823" s="69"/>
      <c r="F1823" s="69"/>
      <c r="G1823" s="65"/>
      <c r="H1823" s="65"/>
      <c r="I1823" s="70"/>
      <c r="J1823" s="71"/>
      <c r="K1823" s="71"/>
      <c r="L1823" s="72" t="str">
        <f>IFERROR(IF(G1823="","",VLOOKUP($G1823,[1]基础信息!$B:$C,2,FALSE)+SUMIF(G$8:G1823,G1823,J$8:J1823)-SUMIF(G$8:G1823,G1823,K$8:K1823)+SUMIFS([1]内部转账!$G:$G,[1]内部转账!$C:$C,"&lt;="&amp;$D1823,[1]内部转账!$E:$E,$G1823)-SUMIFS([1]内部转账!$G:$G,[1]内部转账!$C:$C,"&lt;="&amp;$D1823,[1]内部转账!$F:$F,$G1823)),"")</f>
        <v/>
      </c>
      <c r="M1823" s="64"/>
      <c r="N1823" s="69"/>
      <c r="O1823" s="64"/>
      <c r="P1823" s="64"/>
      <c r="Q1823" s="69"/>
      <c r="R1823" s="69"/>
      <c r="S1823" s="69"/>
    </row>
    <row r="1824" s="2" customFormat="1" ht="24.95" customHeight="1" spans="1:19">
      <c r="A1824" s="15"/>
      <c r="B1824" s="55"/>
      <c r="C1824" s="56"/>
      <c r="D1824" s="68"/>
      <c r="E1824" s="69"/>
      <c r="F1824" s="69"/>
      <c r="G1824" s="65"/>
      <c r="H1824" s="65"/>
      <c r="I1824" s="70"/>
      <c r="J1824" s="71"/>
      <c r="K1824" s="71"/>
      <c r="L1824" s="72" t="str">
        <f>IFERROR(IF(G1824="","",VLOOKUP($G1824,[1]基础信息!$B:$C,2,FALSE)+SUMIF(G$8:G1824,G1824,J$8:J1824)-SUMIF(G$8:G1824,G1824,K$8:K1824)+SUMIFS([1]内部转账!$G:$G,[1]内部转账!$C:$C,"&lt;="&amp;$D1824,[1]内部转账!$E:$E,$G1824)-SUMIFS([1]内部转账!$G:$G,[1]内部转账!$C:$C,"&lt;="&amp;$D1824,[1]内部转账!$F:$F,$G1824)),"")</f>
        <v/>
      </c>
      <c r="M1824" s="64"/>
      <c r="N1824" s="69"/>
      <c r="O1824" s="64"/>
      <c r="P1824" s="64"/>
      <c r="Q1824" s="69"/>
      <c r="R1824" s="69"/>
      <c r="S1824" s="69"/>
    </row>
    <row r="1825" s="2" customFormat="1" ht="24.95" customHeight="1" spans="1:19">
      <c r="A1825" s="15"/>
      <c r="B1825" s="55"/>
      <c r="C1825" s="56"/>
      <c r="D1825" s="68"/>
      <c r="E1825" s="69"/>
      <c r="F1825" s="69"/>
      <c r="G1825" s="65"/>
      <c r="H1825" s="65"/>
      <c r="I1825" s="70"/>
      <c r="J1825" s="71"/>
      <c r="K1825" s="71"/>
      <c r="L1825" s="72" t="str">
        <f>IFERROR(IF(G1825="","",VLOOKUP($G1825,[1]基础信息!$B:$C,2,FALSE)+SUMIF(G$8:G1825,G1825,J$8:J1825)-SUMIF(G$8:G1825,G1825,K$8:K1825)+SUMIFS([1]内部转账!$G:$G,[1]内部转账!$C:$C,"&lt;="&amp;$D1825,[1]内部转账!$E:$E,$G1825)-SUMIFS([1]内部转账!$G:$G,[1]内部转账!$C:$C,"&lt;="&amp;$D1825,[1]内部转账!$F:$F,$G1825)),"")</f>
        <v/>
      </c>
      <c r="M1825" s="64"/>
      <c r="N1825" s="69"/>
      <c r="O1825" s="64"/>
      <c r="P1825" s="64"/>
      <c r="Q1825" s="69"/>
      <c r="R1825" s="69"/>
      <c r="S1825" s="69"/>
    </row>
    <row r="1826" s="2" customFormat="1" ht="24.95" customHeight="1" spans="1:19">
      <c r="A1826" s="15"/>
      <c r="B1826" s="55"/>
      <c r="C1826" s="56"/>
      <c r="D1826" s="68"/>
      <c r="E1826" s="69"/>
      <c r="F1826" s="69"/>
      <c r="G1826" s="65"/>
      <c r="H1826" s="65"/>
      <c r="I1826" s="70"/>
      <c r="J1826" s="71"/>
      <c r="K1826" s="71"/>
      <c r="L1826" s="72" t="str">
        <f>IFERROR(IF(G1826="","",VLOOKUP($G1826,[1]基础信息!$B:$C,2,FALSE)+SUMIF(G$8:G1826,G1826,J$8:J1826)-SUMIF(G$8:G1826,G1826,K$8:K1826)+SUMIFS([1]内部转账!$G:$G,[1]内部转账!$C:$C,"&lt;="&amp;$D1826,[1]内部转账!$E:$E,$G1826)-SUMIFS([1]内部转账!$G:$G,[1]内部转账!$C:$C,"&lt;="&amp;$D1826,[1]内部转账!$F:$F,$G1826)),"")</f>
        <v/>
      </c>
      <c r="M1826" s="64"/>
      <c r="N1826" s="69"/>
      <c r="O1826" s="64"/>
      <c r="P1826" s="64"/>
      <c r="Q1826" s="69"/>
      <c r="R1826" s="69"/>
      <c r="S1826" s="69"/>
    </row>
    <row r="1827" s="2" customFormat="1" ht="24.95" customHeight="1" spans="1:19">
      <c r="A1827" s="15"/>
      <c r="B1827" s="55"/>
      <c r="C1827" s="56"/>
      <c r="D1827" s="68"/>
      <c r="E1827" s="69"/>
      <c r="F1827" s="69"/>
      <c r="G1827" s="65"/>
      <c r="H1827" s="65"/>
      <c r="I1827" s="70"/>
      <c r="J1827" s="71"/>
      <c r="K1827" s="71"/>
      <c r="L1827" s="72" t="str">
        <f>IFERROR(IF(G1827="","",VLOOKUP($G1827,[1]基础信息!$B:$C,2,FALSE)+SUMIF(G$8:G1827,G1827,J$8:J1827)-SUMIF(G$8:G1827,G1827,K$8:K1827)+SUMIFS([1]内部转账!$G:$G,[1]内部转账!$C:$C,"&lt;="&amp;$D1827,[1]内部转账!$E:$E,$G1827)-SUMIFS([1]内部转账!$G:$G,[1]内部转账!$C:$C,"&lt;="&amp;$D1827,[1]内部转账!$F:$F,$G1827)),"")</f>
        <v/>
      </c>
      <c r="M1827" s="64"/>
      <c r="N1827" s="69"/>
      <c r="O1827" s="64"/>
      <c r="P1827" s="64"/>
      <c r="Q1827" s="69"/>
      <c r="R1827" s="69"/>
      <c r="S1827" s="69"/>
    </row>
    <row r="1828" s="2" customFormat="1" ht="24.95" customHeight="1" spans="1:19">
      <c r="A1828" s="15"/>
      <c r="B1828" s="55"/>
      <c r="C1828" s="56"/>
      <c r="D1828" s="68"/>
      <c r="E1828" s="69"/>
      <c r="F1828" s="69"/>
      <c r="G1828" s="65"/>
      <c r="H1828" s="65"/>
      <c r="I1828" s="70"/>
      <c r="J1828" s="71"/>
      <c r="K1828" s="71"/>
      <c r="L1828" s="72" t="str">
        <f>IFERROR(IF(G1828="","",VLOOKUP($G1828,[1]基础信息!$B:$C,2,FALSE)+SUMIF(G$8:G1828,G1828,J$8:J1828)-SUMIF(G$8:G1828,G1828,K$8:K1828)+SUMIFS([1]内部转账!$G:$G,[1]内部转账!$C:$C,"&lt;="&amp;$D1828,[1]内部转账!$E:$E,$G1828)-SUMIFS([1]内部转账!$G:$G,[1]内部转账!$C:$C,"&lt;="&amp;$D1828,[1]内部转账!$F:$F,$G1828)),"")</f>
        <v/>
      </c>
      <c r="M1828" s="64"/>
      <c r="N1828" s="69"/>
      <c r="O1828" s="64"/>
      <c r="P1828" s="64"/>
      <c r="Q1828" s="69"/>
      <c r="R1828" s="69"/>
      <c r="S1828" s="69"/>
    </row>
    <row r="1829" s="2" customFormat="1" ht="24.95" customHeight="1" spans="1:19">
      <c r="A1829" s="15"/>
      <c r="B1829" s="55"/>
      <c r="C1829" s="56"/>
      <c r="D1829" s="68"/>
      <c r="E1829" s="69"/>
      <c r="F1829" s="69"/>
      <c r="G1829" s="65"/>
      <c r="H1829" s="65"/>
      <c r="I1829" s="70"/>
      <c r="J1829" s="71"/>
      <c r="K1829" s="71"/>
      <c r="L1829" s="72" t="str">
        <f>IFERROR(IF(G1829="","",VLOOKUP($G1829,[1]基础信息!$B:$C,2,FALSE)+SUMIF(G$8:G1829,G1829,J$8:J1829)-SUMIF(G$8:G1829,G1829,K$8:K1829)+SUMIFS([1]内部转账!$G:$G,[1]内部转账!$C:$C,"&lt;="&amp;$D1829,[1]内部转账!$E:$E,$G1829)-SUMIFS([1]内部转账!$G:$G,[1]内部转账!$C:$C,"&lt;="&amp;$D1829,[1]内部转账!$F:$F,$G1829)),"")</f>
        <v/>
      </c>
      <c r="M1829" s="64"/>
      <c r="N1829" s="69"/>
      <c r="O1829" s="64"/>
      <c r="P1829" s="64"/>
      <c r="Q1829" s="69"/>
      <c r="R1829" s="69"/>
      <c r="S1829" s="69"/>
    </row>
    <row r="1830" s="2" customFormat="1" ht="24.95" customHeight="1" spans="1:19">
      <c r="A1830" s="15"/>
      <c r="B1830" s="55"/>
      <c r="C1830" s="56"/>
      <c r="D1830" s="68"/>
      <c r="E1830" s="69"/>
      <c r="F1830" s="69"/>
      <c r="G1830" s="65"/>
      <c r="H1830" s="65"/>
      <c r="I1830" s="70"/>
      <c r="J1830" s="71"/>
      <c r="K1830" s="71"/>
      <c r="L1830" s="72" t="str">
        <f>IFERROR(IF(G1830="","",VLOOKUP($G1830,[1]基础信息!$B:$C,2,FALSE)+SUMIF(G$8:G1830,G1830,J$8:J1830)-SUMIF(G$8:G1830,G1830,K$8:K1830)+SUMIFS([1]内部转账!$G:$G,[1]内部转账!$C:$C,"&lt;="&amp;$D1830,[1]内部转账!$E:$E,$G1830)-SUMIFS([1]内部转账!$G:$G,[1]内部转账!$C:$C,"&lt;="&amp;$D1830,[1]内部转账!$F:$F,$G1830)),"")</f>
        <v/>
      </c>
      <c r="M1830" s="64"/>
      <c r="N1830" s="69"/>
      <c r="O1830" s="64"/>
      <c r="P1830" s="64"/>
      <c r="Q1830" s="69"/>
      <c r="R1830" s="69"/>
      <c r="S1830" s="69"/>
    </row>
    <row r="1831" s="2" customFormat="1" ht="24.95" customHeight="1" spans="1:19">
      <c r="A1831" s="15"/>
      <c r="B1831" s="55"/>
      <c r="C1831" s="56"/>
      <c r="D1831" s="68"/>
      <c r="E1831" s="69"/>
      <c r="F1831" s="69"/>
      <c r="G1831" s="65"/>
      <c r="H1831" s="65"/>
      <c r="I1831" s="70"/>
      <c r="J1831" s="71"/>
      <c r="K1831" s="71"/>
      <c r="L1831" s="72" t="str">
        <f>IFERROR(IF(G1831="","",VLOOKUP($G1831,[1]基础信息!$B:$C,2,FALSE)+SUMIF(G$8:G1831,G1831,J$8:J1831)-SUMIF(G$8:G1831,G1831,K$8:K1831)+SUMIFS([1]内部转账!$G:$G,[1]内部转账!$C:$C,"&lt;="&amp;$D1831,[1]内部转账!$E:$E,$G1831)-SUMIFS([1]内部转账!$G:$G,[1]内部转账!$C:$C,"&lt;="&amp;$D1831,[1]内部转账!$F:$F,$G1831)),"")</f>
        <v/>
      </c>
      <c r="M1831" s="64"/>
      <c r="N1831" s="69"/>
      <c r="O1831" s="64"/>
      <c r="P1831" s="64"/>
      <c r="Q1831" s="69"/>
      <c r="R1831" s="69"/>
      <c r="S1831" s="69"/>
    </row>
    <row r="1832" s="2" customFormat="1" ht="24.95" customHeight="1" spans="1:19">
      <c r="A1832" s="15"/>
      <c r="B1832" s="55"/>
      <c r="C1832" s="56"/>
      <c r="D1832" s="68"/>
      <c r="E1832" s="69"/>
      <c r="F1832" s="69"/>
      <c r="G1832" s="65"/>
      <c r="H1832" s="65"/>
      <c r="I1832" s="70"/>
      <c r="J1832" s="71"/>
      <c r="K1832" s="71"/>
      <c r="L1832" s="72" t="str">
        <f>IFERROR(IF(G1832="","",VLOOKUP($G1832,[1]基础信息!$B:$C,2,FALSE)+SUMIF(G$8:G1832,G1832,J$8:J1832)-SUMIF(G$8:G1832,G1832,K$8:K1832)+SUMIFS([1]内部转账!$G:$G,[1]内部转账!$C:$C,"&lt;="&amp;$D1832,[1]内部转账!$E:$E,$G1832)-SUMIFS([1]内部转账!$G:$G,[1]内部转账!$C:$C,"&lt;="&amp;$D1832,[1]内部转账!$F:$F,$G1832)),"")</f>
        <v/>
      </c>
      <c r="M1832" s="64"/>
      <c r="N1832" s="69"/>
      <c r="O1832" s="64"/>
      <c r="P1832" s="64"/>
      <c r="Q1832" s="69"/>
      <c r="R1832" s="69"/>
      <c r="S1832" s="69"/>
    </row>
    <row r="1833" s="2" customFormat="1" ht="24.95" customHeight="1" spans="1:19">
      <c r="A1833" s="15"/>
      <c r="B1833" s="55"/>
      <c r="C1833" s="56"/>
      <c r="D1833" s="68"/>
      <c r="E1833" s="69"/>
      <c r="F1833" s="69"/>
      <c r="G1833" s="65"/>
      <c r="H1833" s="65"/>
      <c r="I1833" s="70"/>
      <c r="J1833" s="71"/>
      <c r="K1833" s="71"/>
      <c r="L1833" s="72" t="str">
        <f>IFERROR(IF(G1833="","",VLOOKUP($G1833,[1]基础信息!$B:$C,2,FALSE)+SUMIF(G$8:G1833,G1833,J$8:J1833)-SUMIF(G$8:G1833,G1833,K$8:K1833)+SUMIFS([1]内部转账!$G:$G,[1]内部转账!$C:$C,"&lt;="&amp;$D1833,[1]内部转账!$E:$E,$G1833)-SUMIFS([1]内部转账!$G:$G,[1]内部转账!$C:$C,"&lt;="&amp;$D1833,[1]内部转账!$F:$F,$G1833)),"")</f>
        <v/>
      </c>
      <c r="M1833" s="64"/>
      <c r="N1833" s="69"/>
      <c r="O1833" s="64"/>
      <c r="P1833" s="64"/>
      <c r="Q1833" s="69"/>
      <c r="R1833" s="69"/>
      <c r="S1833" s="69"/>
    </row>
    <row r="1834" s="2" customFormat="1" ht="24.95" customHeight="1" spans="1:19">
      <c r="A1834" s="15"/>
      <c r="B1834" s="55"/>
      <c r="C1834" s="56"/>
      <c r="D1834" s="68"/>
      <c r="E1834" s="69"/>
      <c r="F1834" s="69"/>
      <c r="G1834" s="65"/>
      <c r="H1834" s="65"/>
      <c r="I1834" s="70"/>
      <c r="J1834" s="71"/>
      <c r="K1834" s="71"/>
      <c r="L1834" s="72" t="str">
        <f>IFERROR(IF(G1834="","",VLOOKUP($G1834,[1]基础信息!$B:$C,2,FALSE)+SUMIF(G$8:G1834,G1834,J$8:J1834)-SUMIF(G$8:G1834,G1834,K$8:K1834)+SUMIFS([1]内部转账!$G:$G,[1]内部转账!$C:$C,"&lt;="&amp;$D1834,[1]内部转账!$E:$E,$G1834)-SUMIFS([1]内部转账!$G:$G,[1]内部转账!$C:$C,"&lt;="&amp;$D1834,[1]内部转账!$F:$F,$G1834)),"")</f>
        <v/>
      </c>
      <c r="M1834" s="64"/>
      <c r="N1834" s="69"/>
      <c r="O1834" s="64"/>
      <c r="P1834" s="64"/>
      <c r="Q1834" s="69"/>
      <c r="R1834" s="69"/>
      <c r="S1834" s="69"/>
    </row>
    <row r="1835" s="2" customFormat="1" ht="24.95" customHeight="1" spans="1:19">
      <c r="A1835" s="15"/>
      <c r="B1835" s="55"/>
      <c r="C1835" s="56"/>
      <c r="D1835" s="68"/>
      <c r="E1835" s="69"/>
      <c r="F1835" s="69"/>
      <c r="G1835" s="65"/>
      <c r="H1835" s="65"/>
      <c r="I1835" s="70"/>
      <c r="J1835" s="71"/>
      <c r="K1835" s="71"/>
      <c r="L1835" s="72" t="str">
        <f>IFERROR(IF(G1835="","",VLOOKUP($G1835,[1]基础信息!$B:$C,2,FALSE)+SUMIF(G$8:G1835,G1835,J$8:J1835)-SUMIF(G$8:G1835,G1835,K$8:K1835)+SUMIFS([1]内部转账!$G:$G,[1]内部转账!$C:$C,"&lt;="&amp;$D1835,[1]内部转账!$E:$E,$G1835)-SUMIFS([1]内部转账!$G:$G,[1]内部转账!$C:$C,"&lt;="&amp;$D1835,[1]内部转账!$F:$F,$G1835)),"")</f>
        <v/>
      </c>
      <c r="M1835" s="64"/>
      <c r="N1835" s="69"/>
      <c r="O1835" s="64"/>
      <c r="P1835" s="64"/>
      <c r="Q1835" s="69"/>
      <c r="R1835" s="69"/>
      <c r="S1835" s="69"/>
    </row>
    <row r="1836" s="2" customFormat="1" ht="24.95" customHeight="1" spans="1:19">
      <c r="A1836" s="15"/>
      <c r="B1836" s="55"/>
      <c r="C1836" s="56"/>
      <c r="D1836" s="68"/>
      <c r="E1836" s="69"/>
      <c r="F1836" s="69"/>
      <c r="G1836" s="65"/>
      <c r="H1836" s="65"/>
      <c r="I1836" s="70"/>
      <c r="J1836" s="71"/>
      <c r="K1836" s="71"/>
      <c r="L1836" s="72" t="str">
        <f>IFERROR(IF(G1836="","",VLOOKUP($G1836,[1]基础信息!$B:$C,2,FALSE)+SUMIF(G$8:G1836,G1836,J$8:J1836)-SUMIF(G$8:G1836,G1836,K$8:K1836)+SUMIFS([1]内部转账!$G:$G,[1]内部转账!$C:$C,"&lt;="&amp;$D1836,[1]内部转账!$E:$E,$G1836)-SUMIFS([1]内部转账!$G:$G,[1]内部转账!$C:$C,"&lt;="&amp;$D1836,[1]内部转账!$F:$F,$G1836)),"")</f>
        <v/>
      </c>
      <c r="M1836" s="64"/>
      <c r="N1836" s="69"/>
      <c r="O1836" s="64"/>
      <c r="P1836" s="64"/>
      <c r="Q1836" s="69"/>
      <c r="R1836" s="69"/>
      <c r="S1836" s="69"/>
    </row>
    <row r="1837" s="2" customFormat="1" ht="24.95" customHeight="1" spans="1:19">
      <c r="A1837" s="15"/>
      <c r="B1837" s="55"/>
      <c r="C1837" s="56"/>
      <c r="D1837" s="68"/>
      <c r="E1837" s="69"/>
      <c r="F1837" s="69"/>
      <c r="G1837" s="65"/>
      <c r="H1837" s="65"/>
      <c r="I1837" s="70"/>
      <c r="J1837" s="71"/>
      <c r="K1837" s="71"/>
      <c r="L1837" s="72" t="str">
        <f>IFERROR(IF(G1837="","",VLOOKUP($G1837,[1]基础信息!$B:$C,2,FALSE)+SUMIF(G$8:G1837,G1837,J$8:J1837)-SUMIF(G$8:G1837,G1837,K$8:K1837)+SUMIFS([1]内部转账!$G:$G,[1]内部转账!$C:$C,"&lt;="&amp;$D1837,[1]内部转账!$E:$E,$G1837)-SUMIFS([1]内部转账!$G:$G,[1]内部转账!$C:$C,"&lt;="&amp;$D1837,[1]内部转账!$F:$F,$G1837)),"")</f>
        <v/>
      </c>
      <c r="M1837" s="64"/>
      <c r="N1837" s="69"/>
      <c r="O1837" s="64"/>
      <c r="P1837" s="64"/>
      <c r="Q1837" s="69"/>
      <c r="R1837" s="69"/>
      <c r="S1837" s="69"/>
    </row>
    <row r="1838" s="2" customFormat="1" ht="24.95" customHeight="1" spans="1:19">
      <c r="A1838" s="15"/>
      <c r="B1838" s="55"/>
      <c r="C1838" s="56"/>
      <c r="D1838" s="68"/>
      <c r="E1838" s="69"/>
      <c r="F1838" s="69"/>
      <c r="G1838" s="65"/>
      <c r="H1838" s="65"/>
      <c r="I1838" s="70"/>
      <c r="J1838" s="71"/>
      <c r="K1838" s="71"/>
      <c r="L1838" s="72" t="str">
        <f>IFERROR(IF(G1838="","",VLOOKUP($G1838,[1]基础信息!$B:$C,2,FALSE)+SUMIF(G$8:G1838,G1838,J$8:J1838)-SUMIF(G$8:G1838,G1838,K$8:K1838)+SUMIFS([1]内部转账!$G:$G,[1]内部转账!$C:$C,"&lt;="&amp;$D1838,[1]内部转账!$E:$E,$G1838)-SUMIFS([1]内部转账!$G:$G,[1]内部转账!$C:$C,"&lt;="&amp;$D1838,[1]内部转账!$F:$F,$G1838)),"")</f>
        <v/>
      </c>
      <c r="M1838" s="64"/>
      <c r="N1838" s="69"/>
      <c r="O1838" s="64"/>
      <c r="P1838" s="64"/>
      <c r="Q1838" s="69"/>
      <c r="R1838" s="69"/>
      <c r="S1838" s="69"/>
    </row>
    <row r="1839" s="2" customFormat="1" ht="24.95" customHeight="1" spans="1:19">
      <c r="A1839" s="15"/>
      <c r="B1839" s="55"/>
      <c r="C1839" s="56"/>
      <c r="D1839" s="68"/>
      <c r="E1839" s="69"/>
      <c r="F1839" s="69"/>
      <c r="G1839" s="65"/>
      <c r="H1839" s="65"/>
      <c r="I1839" s="70"/>
      <c r="J1839" s="71"/>
      <c r="K1839" s="71"/>
      <c r="L1839" s="72" t="str">
        <f>IFERROR(IF(G1839="","",VLOOKUP($G1839,[1]基础信息!$B:$C,2,FALSE)+SUMIF(G$8:G1839,G1839,J$8:J1839)-SUMIF(G$8:G1839,G1839,K$8:K1839)+SUMIFS([1]内部转账!$G:$G,[1]内部转账!$C:$C,"&lt;="&amp;$D1839,[1]内部转账!$E:$E,$G1839)-SUMIFS([1]内部转账!$G:$G,[1]内部转账!$C:$C,"&lt;="&amp;$D1839,[1]内部转账!$F:$F,$G1839)),"")</f>
        <v/>
      </c>
      <c r="M1839" s="64"/>
      <c r="N1839" s="69"/>
      <c r="O1839" s="64"/>
      <c r="P1839" s="64"/>
      <c r="Q1839" s="69"/>
      <c r="R1839" s="69"/>
      <c r="S1839" s="69"/>
    </row>
    <row r="1840" s="2" customFormat="1" ht="24.95" customHeight="1" spans="1:19">
      <c r="A1840" s="15"/>
      <c r="B1840" s="55"/>
      <c r="C1840" s="56"/>
      <c r="D1840" s="68"/>
      <c r="E1840" s="69"/>
      <c r="F1840" s="69"/>
      <c r="G1840" s="65"/>
      <c r="H1840" s="65"/>
      <c r="I1840" s="70"/>
      <c r="J1840" s="71"/>
      <c r="K1840" s="71"/>
      <c r="L1840" s="72" t="str">
        <f>IFERROR(IF(G1840="","",VLOOKUP($G1840,[1]基础信息!$B:$C,2,FALSE)+SUMIF(G$8:G1840,G1840,J$8:J1840)-SUMIF(G$8:G1840,G1840,K$8:K1840)+SUMIFS([1]内部转账!$G:$G,[1]内部转账!$C:$C,"&lt;="&amp;$D1840,[1]内部转账!$E:$E,$G1840)-SUMIFS([1]内部转账!$G:$G,[1]内部转账!$C:$C,"&lt;="&amp;$D1840,[1]内部转账!$F:$F,$G1840)),"")</f>
        <v/>
      </c>
      <c r="M1840" s="64"/>
      <c r="N1840" s="69"/>
      <c r="O1840" s="64"/>
      <c r="P1840" s="64"/>
      <c r="Q1840" s="69"/>
      <c r="R1840" s="69"/>
      <c r="S1840" s="69"/>
    </row>
    <row r="1841" s="2" customFormat="1" ht="24.95" customHeight="1" spans="1:19">
      <c r="A1841" s="15"/>
      <c r="B1841" s="55"/>
      <c r="C1841" s="56"/>
      <c r="D1841" s="68"/>
      <c r="E1841" s="69"/>
      <c r="F1841" s="69"/>
      <c r="G1841" s="65"/>
      <c r="H1841" s="65"/>
      <c r="I1841" s="70"/>
      <c r="J1841" s="71"/>
      <c r="K1841" s="71"/>
      <c r="L1841" s="72" t="str">
        <f>IFERROR(IF(G1841="","",VLOOKUP($G1841,[1]基础信息!$B:$C,2,FALSE)+SUMIF(G$8:G1841,G1841,J$8:J1841)-SUMIF(G$8:G1841,G1841,K$8:K1841)+SUMIFS([1]内部转账!$G:$G,[1]内部转账!$C:$C,"&lt;="&amp;$D1841,[1]内部转账!$E:$E,$G1841)-SUMIFS([1]内部转账!$G:$G,[1]内部转账!$C:$C,"&lt;="&amp;$D1841,[1]内部转账!$F:$F,$G1841)),"")</f>
        <v/>
      </c>
      <c r="M1841" s="64"/>
      <c r="N1841" s="69"/>
      <c r="O1841" s="64"/>
      <c r="P1841" s="64"/>
      <c r="Q1841" s="69"/>
      <c r="R1841" s="69"/>
      <c r="S1841" s="69"/>
    </row>
    <row r="1842" s="2" customFormat="1" ht="24.95" customHeight="1" spans="1:19">
      <c r="A1842" s="15"/>
      <c r="B1842" s="55"/>
      <c r="C1842" s="56"/>
      <c r="D1842" s="68"/>
      <c r="E1842" s="69"/>
      <c r="F1842" s="69"/>
      <c r="G1842" s="65"/>
      <c r="H1842" s="65"/>
      <c r="I1842" s="70"/>
      <c r="J1842" s="71"/>
      <c r="K1842" s="71"/>
      <c r="L1842" s="72" t="str">
        <f>IFERROR(IF(G1842="","",VLOOKUP($G1842,[1]基础信息!$B:$C,2,FALSE)+SUMIF(G$8:G1842,G1842,J$8:J1842)-SUMIF(G$8:G1842,G1842,K$8:K1842)+SUMIFS([1]内部转账!$G:$G,[1]内部转账!$C:$C,"&lt;="&amp;$D1842,[1]内部转账!$E:$E,$G1842)-SUMIFS([1]内部转账!$G:$G,[1]内部转账!$C:$C,"&lt;="&amp;$D1842,[1]内部转账!$F:$F,$G1842)),"")</f>
        <v/>
      </c>
      <c r="M1842" s="64"/>
      <c r="N1842" s="69"/>
      <c r="O1842" s="64"/>
      <c r="P1842" s="64"/>
      <c r="Q1842" s="69"/>
      <c r="R1842" s="69"/>
      <c r="S1842" s="69"/>
    </row>
    <row r="1843" s="2" customFormat="1" ht="24.95" customHeight="1" spans="1:19">
      <c r="A1843" s="15"/>
      <c r="B1843" s="55"/>
      <c r="C1843" s="56"/>
      <c r="D1843" s="68"/>
      <c r="E1843" s="69"/>
      <c r="F1843" s="69"/>
      <c r="G1843" s="65"/>
      <c r="H1843" s="65"/>
      <c r="I1843" s="70"/>
      <c r="J1843" s="71"/>
      <c r="K1843" s="71"/>
      <c r="L1843" s="72" t="str">
        <f>IFERROR(IF(G1843="","",VLOOKUP($G1843,[1]基础信息!$B:$C,2,FALSE)+SUMIF(G$8:G1843,G1843,J$8:J1843)-SUMIF(G$8:G1843,G1843,K$8:K1843)+SUMIFS([1]内部转账!$G:$G,[1]内部转账!$C:$C,"&lt;="&amp;$D1843,[1]内部转账!$E:$E,$G1843)-SUMIFS([1]内部转账!$G:$G,[1]内部转账!$C:$C,"&lt;="&amp;$D1843,[1]内部转账!$F:$F,$G1843)),"")</f>
        <v/>
      </c>
      <c r="M1843" s="64"/>
      <c r="N1843" s="69"/>
      <c r="O1843" s="64"/>
      <c r="P1843" s="64"/>
      <c r="Q1843" s="69"/>
      <c r="R1843" s="69"/>
      <c r="S1843" s="69"/>
    </row>
    <row r="1844" s="2" customFormat="1" ht="24.95" customHeight="1" spans="1:19">
      <c r="A1844" s="15"/>
      <c r="B1844" s="55"/>
      <c r="C1844" s="56"/>
      <c r="D1844" s="68"/>
      <c r="E1844" s="69"/>
      <c r="F1844" s="69"/>
      <c r="G1844" s="65"/>
      <c r="H1844" s="65"/>
      <c r="I1844" s="70"/>
      <c r="J1844" s="71"/>
      <c r="K1844" s="71"/>
      <c r="L1844" s="72" t="str">
        <f>IFERROR(IF(G1844="","",VLOOKUP($G1844,[1]基础信息!$B:$C,2,FALSE)+SUMIF(G$8:G1844,G1844,J$8:J1844)-SUMIF(G$8:G1844,G1844,K$8:K1844)+SUMIFS([1]内部转账!$G:$G,[1]内部转账!$C:$C,"&lt;="&amp;$D1844,[1]内部转账!$E:$E,$G1844)-SUMIFS([1]内部转账!$G:$G,[1]内部转账!$C:$C,"&lt;="&amp;$D1844,[1]内部转账!$F:$F,$G1844)),"")</f>
        <v/>
      </c>
      <c r="M1844" s="64"/>
      <c r="N1844" s="69"/>
      <c r="O1844" s="64"/>
      <c r="P1844" s="64"/>
      <c r="Q1844" s="69"/>
      <c r="R1844" s="69"/>
      <c r="S1844" s="69"/>
    </row>
    <row r="1845" s="2" customFormat="1" ht="24.95" customHeight="1" spans="1:19">
      <c r="A1845" s="15"/>
      <c r="B1845" s="55"/>
      <c r="C1845" s="56"/>
      <c r="D1845" s="68"/>
      <c r="E1845" s="69"/>
      <c r="F1845" s="69"/>
      <c r="G1845" s="65"/>
      <c r="H1845" s="65"/>
      <c r="I1845" s="70"/>
      <c r="J1845" s="71"/>
      <c r="K1845" s="71"/>
      <c r="L1845" s="72" t="str">
        <f>IFERROR(IF(G1845="","",VLOOKUP($G1845,[1]基础信息!$B:$C,2,FALSE)+SUMIF(G$8:G1845,G1845,J$8:J1845)-SUMIF(G$8:G1845,G1845,K$8:K1845)+SUMIFS([1]内部转账!$G:$G,[1]内部转账!$C:$C,"&lt;="&amp;$D1845,[1]内部转账!$E:$E,$G1845)-SUMIFS([1]内部转账!$G:$G,[1]内部转账!$C:$C,"&lt;="&amp;$D1845,[1]内部转账!$F:$F,$G1845)),"")</f>
        <v/>
      </c>
      <c r="M1845" s="64"/>
      <c r="N1845" s="69"/>
      <c r="O1845" s="64"/>
      <c r="P1845" s="64"/>
      <c r="Q1845" s="69"/>
      <c r="R1845" s="69"/>
      <c r="S1845" s="69"/>
    </row>
    <row r="1846" s="2" customFormat="1" ht="24.95" customHeight="1" spans="1:19">
      <c r="A1846" s="15"/>
      <c r="B1846" s="55"/>
      <c r="C1846" s="56"/>
      <c r="D1846" s="68"/>
      <c r="E1846" s="69"/>
      <c r="F1846" s="69"/>
      <c r="G1846" s="65"/>
      <c r="H1846" s="65"/>
      <c r="I1846" s="70"/>
      <c r="J1846" s="71"/>
      <c r="K1846" s="71"/>
      <c r="L1846" s="72" t="str">
        <f>IFERROR(IF(G1846="","",VLOOKUP($G1846,[1]基础信息!$B:$C,2,FALSE)+SUMIF(G$8:G1846,G1846,J$8:J1846)-SUMIF(G$8:G1846,G1846,K$8:K1846)+SUMIFS([1]内部转账!$G:$G,[1]内部转账!$C:$C,"&lt;="&amp;$D1846,[1]内部转账!$E:$E,$G1846)-SUMIFS([1]内部转账!$G:$G,[1]内部转账!$C:$C,"&lt;="&amp;$D1846,[1]内部转账!$F:$F,$G1846)),"")</f>
        <v/>
      </c>
      <c r="M1846" s="64"/>
      <c r="N1846" s="69"/>
      <c r="O1846" s="64"/>
      <c r="P1846" s="64"/>
      <c r="Q1846" s="69"/>
      <c r="R1846" s="69"/>
      <c r="S1846" s="69"/>
    </row>
    <row r="1847" s="2" customFormat="1" ht="24.95" customHeight="1" spans="1:19">
      <c r="A1847" s="15"/>
      <c r="B1847" s="55"/>
      <c r="C1847" s="56"/>
      <c r="D1847" s="68"/>
      <c r="E1847" s="69"/>
      <c r="F1847" s="69"/>
      <c r="G1847" s="65"/>
      <c r="H1847" s="65"/>
      <c r="I1847" s="70"/>
      <c r="J1847" s="71"/>
      <c r="K1847" s="71"/>
      <c r="L1847" s="72" t="str">
        <f>IFERROR(IF(G1847="","",VLOOKUP($G1847,[1]基础信息!$B:$C,2,FALSE)+SUMIF(G$8:G1847,G1847,J$8:J1847)-SUMIF(G$8:G1847,G1847,K$8:K1847)+SUMIFS([1]内部转账!$G:$G,[1]内部转账!$C:$C,"&lt;="&amp;$D1847,[1]内部转账!$E:$E,$G1847)-SUMIFS([1]内部转账!$G:$G,[1]内部转账!$C:$C,"&lt;="&amp;$D1847,[1]内部转账!$F:$F,$G1847)),"")</f>
        <v/>
      </c>
      <c r="M1847" s="64"/>
      <c r="N1847" s="69"/>
      <c r="O1847" s="64"/>
      <c r="P1847" s="64"/>
      <c r="Q1847" s="69"/>
      <c r="R1847" s="69"/>
      <c r="S1847" s="69"/>
    </row>
    <row r="1848" s="2" customFormat="1" ht="24.95" customHeight="1" spans="1:19">
      <c r="A1848" s="15"/>
      <c r="B1848" s="55"/>
      <c r="C1848" s="56"/>
      <c r="D1848" s="68"/>
      <c r="E1848" s="69"/>
      <c r="F1848" s="69"/>
      <c r="G1848" s="65"/>
      <c r="H1848" s="65"/>
      <c r="I1848" s="70"/>
      <c r="J1848" s="71"/>
      <c r="K1848" s="71"/>
      <c r="L1848" s="72" t="str">
        <f>IFERROR(IF(G1848="","",VLOOKUP($G1848,[1]基础信息!$B:$C,2,FALSE)+SUMIF(G$8:G1848,G1848,J$8:J1848)-SUMIF(G$8:G1848,G1848,K$8:K1848)+SUMIFS([1]内部转账!$G:$G,[1]内部转账!$C:$C,"&lt;="&amp;$D1848,[1]内部转账!$E:$E,$G1848)-SUMIFS([1]内部转账!$G:$G,[1]内部转账!$C:$C,"&lt;="&amp;$D1848,[1]内部转账!$F:$F,$G1848)),"")</f>
        <v/>
      </c>
      <c r="M1848" s="64"/>
      <c r="N1848" s="69"/>
      <c r="O1848" s="64"/>
      <c r="P1848" s="64"/>
      <c r="Q1848" s="69"/>
      <c r="R1848" s="69"/>
      <c r="S1848" s="69"/>
    </row>
    <row r="1849" s="2" customFormat="1" ht="24.95" customHeight="1" spans="1:19">
      <c r="A1849" s="15"/>
      <c r="B1849" s="55"/>
      <c r="C1849" s="56"/>
      <c r="D1849" s="68"/>
      <c r="E1849" s="69"/>
      <c r="F1849" s="69"/>
      <c r="G1849" s="65"/>
      <c r="H1849" s="65"/>
      <c r="I1849" s="70"/>
      <c r="J1849" s="71"/>
      <c r="K1849" s="71"/>
      <c r="L1849" s="72" t="str">
        <f>IFERROR(IF(G1849="","",VLOOKUP($G1849,[1]基础信息!$B:$C,2,FALSE)+SUMIF(G$8:G1849,G1849,J$8:J1849)-SUMIF(G$8:G1849,G1849,K$8:K1849)+SUMIFS([1]内部转账!$G:$G,[1]内部转账!$C:$C,"&lt;="&amp;$D1849,[1]内部转账!$E:$E,$G1849)-SUMIFS([1]内部转账!$G:$G,[1]内部转账!$C:$C,"&lt;="&amp;$D1849,[1]内部转账!$F:$F,$G1849)),"")</f>
        <v/>
      </c>
      <c r="M1849" s="64"/>
      <c r="N1849" s="69"/>
      <c r="O1849" s="64"/>
      <c r="P1849" s="64"/>
      <c r="Q1849" s="69"/>
      <c r="R1849" s="69"/>
      <c r="S1849" s="69"/>
    </row>
    <row r="1850" s="2" customFormat="1" ht="24.95" customHeight="1" spans="1:19">
      <c r="A1850" s="15"/>
      <c r="B1850" s="55"/>
      <c r="C1850" s="56"/>
      <c r="D1850" s="68"/>
      <c r="E1850" s="69"/>
      <c r="F1850" s="69"/>
      <c r="G1850" s="65"/>
      <c r="H1850" s="65"/>
      <c r="I1850" s="70"/>
      <c r="J1850" s="71"/>
      <c r="K1850" s="71"/>
      <c r="L1850" s="72" t="str">
        <f>IFERROR(IF(G1850="","",VLOOKUP($G1850,[1]基础信息!$B:$C,2,FALSE)+SUMIF(G$8:G1850,G1850,J$8:J1850)-SUMIF(G$8:G1850,G1850,K$8:K1850)+SUMIFS([1]内部转账!$G:$G,[1]内部转账!$C:$C,"&lt;="&amp;$D1850,[1]内部转账!$E:$E,$G1850)-SUMIFS([1]内部转账!$G:$G,[1]内部转账!$C:$C,"&lt;="&amp;$D1850,[1]内部转账!$F:$F,$G1850)),"")</f>
        <v/>
      </c>
      <c r="M1850" s="64"/>
      <c r="N1850" s="69"/>
      <c r="O1850" s="64"/>
      <c r="P1850" s="64"/>
      <c r="Q1850" s="69"/>
      <c r="R1850" s="69"/>
      <c r="S1850" s="69"/>
    </row>
    <row r="1851" s="2" customFormat="1" ht="24.95" customHeight="1" spans="1:19">
      <c r="A1851" s="15"/>
      <c r="B1851" s="55"/>
      <c r="C1851" s="56"/>
      <c r="D1851" s="68"/>
      <c r="E1851" s="69"/>
      <c r="F1851" s="69"/>
      <c r="G1851" s="65"/>
      <c r="H1851" s="65"/>
      <c r="I1851" s="70"/>
      <c r="J1851" s="71"/>
      <c r="K1851" s="71"/>
      <c r="L1851" s="72" t="str">
        <f>IFERROR(IF(G1851="","",VLOOKUP($G1851,[1]基础信息!$B:$C,2,FALSE)+SUMIF(G$8:G1851,G1851,J$8:J1851)-SUMIF(G$8:G1851,G1851,K$8:K1851)+SUMIFS([1]内部转账!$G:$G,[1]内部转账!$C:$C,"&lt;="&amp;$D1851,[1]内部转账!$E:$E,$G1851)-SUMIFS([1]内部转账!$G:$G,[1]内部转账!$C:$C,"&lt;="&amp;$D1851,[1]内部转账!$F:$F,$G1851)),"")</f>
        <v/>
      </c>
      <c r="M1851" s="64"/>
      <c r="N1851" s="69"/>
      <c r="O1851" s="64"/>
      <c r="P1851" s="64"/>
      <c r="Q1851" s="69"/>
      <c r="R1851" s="69"/>
      <c r="S1851" s="69"/>
    </row>
    <row r="1852" s="2" customFormat="1" ht="24.95" customHeight="1" spans="1:19">
      <c r="A1852" s="15"/>
      <c r="B1852" s="55"/>
      <c r="C1852" s="56"/>
      <c r="D1852" s="68"/>
      <c r="E1852" s="69"/>
      <c r="F1852" s="69"/>
      <c r="G1852" s="65"/>
      <c r="H1852" s="65"/>
      <c r="I1852" s="70"/>
      <c r="J1852" s="71"/>
      <c r="K1852" s="71"/>
      <c r="L1852" s="72" t="str">
        <f>IFERROR(IF(G1852="","",VLOOKUP($G1852,[1]基础信息!$B:$C,2,FALSE)+SUMIF(G$8:G1852,G1852,J$8:J1852)-SUMIF(G$8:G1852,G1852,K$8:K1852)+SUMIFS([1]内部转账!$G:$G,[1]内部转账!$C:$C,"&lt;="&amp;$D1852,[1]内部转账!$E:$E,$G1852)-SUMIFS([1]内部转账!$G:$G,[1]内部转账!$C:$C,"&lt;="&amp;$D1852,[1]内部转账!$F:$F,$G1852)),"")</f>
        <v/>
      </c>
      <c r="M1852" s="64"/>
      <c r="N1852" s="69"/>
      <c r="O1852" s="64"/>
      <c r="P1852" s="64"/>
      <c r="Q1852" s="69"/>
      <c r="R1852" s="69"/>
      <c r="S1852" s="69"/>
    </row>
    <row r="1853" s="2" customFormat="1" ht="24.95" customHeight="1" spans="1:19">
      <c r="A1853" s="15"/>
      <c r="B1853" s="55"/>
      <c r="C1853" s="56"/>
      <c r="D1853" s="68"/>
      <c r="E1853" s="69"/>
      <c r="F1853" s="69"/>
      <c r="G1853" s="65"/>
      <c r="H1853" s="65"/>
      <c r="I1853" s="70"/>
      <c r="J1853" s="71"/>
      <c r="K1853" s="71"/>
      <c r="L1853" s="72" t="str">
        <f>IFERROR(IF(G1853="","",VLOOKUP($G1853,[1]基础信息!$B:$C,2,FALSE)+SUMIF(G$8:G1853,G1853,J$8:J1853)-SUMIF(G$8:G1853,G1853,K$8:K1853)+SUMIFS([1]内部转账!$G:$G,[1]内部转账!$C:$C,"&lt;="&amp;$D1853,[1]内部转账!$E:$E,$G1853)-SUMIFS([1]内部转账!$G:$G,[1]内部转账!$C:$C,"&lt;="&amp;$D1853,[1]内部转账!$F:$F,$G1853)),"")</f>
        <v/>
      </c>
      <c r="M1853" s="64"/>
      <c r="N1853" s="69"/>
      <c r="O1853" s="64"/>
      <c r="P1853" s="64"/>
      <c r="Q1853" s="69"/>
      <c r="R1853" s="69"/>
      <c r="S1853" s="69"/>
    </row>
    <row r="1854" s="2" customFormat="1" ht="24.95" customHeight="1" spans="1:19">
      <c r="A1854" s="15"/>
      <c r="B1854" s="55"/>
      <c r="C1854" s="56"/>
      <c r="D1854" s="68"/>
      <c r="E1854" s="69"/>
      <c r="F1854" s="69"/>
      <c r="G1854" s="65"/>
      <c r="H1854" s="65"/>
      <c r="I1854" s="70"/>
      <c r="J1854" s="71"/>
      <c r="K1854" s="71"/>
      <c r="L1854" s="72" t="str">
        <f>IFERROR(IF(G1854="","",VLOOKUP($G1854,[1]基础信息!$B:$C,2,FALSE)+SUMIF(G$8:G1854,G1854,J$8:J1854)-SUMIF(G$8:G1854,G1854,K$8:K1854)+SUMIFS([1]内部转账!$G:$G,[1]内部转账!$C:$C,"&lt;="&amp;$D1854,[1]内部转账!$E:$E,$G1854)-SUMIFS([1]内部转账!$G:$G,[1]内部转账!$C:$C,"&lt;="&amp;$D1854,[1]内部转账!$F:$F,$G1854)),"")</f>
        <v/>
      </c>
      <c r="M1854" s="64"/>
      <c r="N1854" s="69"/>
      <c r="O1854" s="64"/>
      <c r="P1854" s="64"/>
      <c r="Q1854" s="69"/>
      <c r="R1854" s="69"/>
      <c r="S1854" s="69"/>
    </row>
    <row r="1855" s="2" customFormat="1" ht="24.95" customHeight="1" spans="1:19">
      <c r="A1855" s="15"/>
      <c r="B1855" s="55"/>
      <c r="C1855" s="56"/>
      <c r="D1855" s="68"/>
      <c r="E1855" s="69"/>
      <c r="F1855" s="69"/>
      <c r="G1855" s="65"/>
      <c r="H1855" s="65"/>
      <c r="I1855" s="70"/>
      <c r="J1855" s="71"/>
      <c r="K1855" s="71"/>
      <c r="L1855" s="72" t="str">
        <f>IFERROR(IF(G1855="","",VLOOKUP($G1855,[1]基础信息!$B:$C,2,FALSE)+SUMIF(G$8:G1855,G1855,J$8:J1855)-SUMIF(G$8:G1855,G1855,K$8:K1855)+SUMIFS([1]内部转账!$G:$G,[1]内部转账!$C:$C,"&lt;="&amp;$D1855,[1]内部转账!$E:$E,$G1855)-SUMIFS([1]内部转账!$G:$G,[1]内部转账!$C:$C,"&lt;="&amp;$D1855,[1]内部转账!$F:$F,$G1855)),"")</f>
        <v/>
      </c>
      <c r="M1855" s="64"/>
      <c r="N1855" s="69"/>
      <c r="O1855" s="64"/>
      <c r="P1855" s="64"/>
      <c r="Q1855" s="69"/>
      <c r="R1855" s="69"/>
      <c r="S1855" s="69"/>
    </row>
    <row r="1856" s="2" customFormat="1" ht="24.95" customHeight="1" spans="1:19">
      <c r="A1856" s="15"/>
      <c r="B1856" s="55"/>
      <c r="C1856" s="56"/>
      <c r="D1856" s="68"/>
      <c r="E1856" s="69"/>
      <c r="F1856" s="69"/>
      <c r="G1856" s="65"/>
      <c r="H1856" s="65"/>
      <c r="I1856" s="70"/>
      <c r="J1856" s="71"/>
      <c r="K1856" s="71"/>
      <c r="L1856" s="72" t="str">
        <f>IFERROR(IF(G1856="","",VLOOKUP($G1856,[1]基础信息!$B:$C,2,FALSE)+SUMIF(G$8:G1856,G1856,J$8:J1856)-SUMIF(G$8:G1856,G1856,K$8:K1856)+SUMIFS([1]内部转账!$G:$G,[1]内部转账!$C:$C,"&lt;="&amp;$D1856,[1]内部转账!$E:$E,$G1856)-SUMIFS([1]内部转账!$G:$G,[1]内部转账!$C:$C,"&lt;="&amp;$D1856,[1]内部转账!$F:$F,$G1856)),"")</f>
        <v/>
      </c>
      <c r="M1856" s="64"/>
      <c r="N1856" s="69"/>
      <c r="O1856" s="64"/>
      <c r="P1856" s="64"/>
      <c r="Q1856" s="69"/>
      <c r="R1856" s="69"/>
      <c r="S1856" s="69"/>
    </row>
    <row r="1857" s="2" customFormat="1" ht="24.95" customHeight="1" spans="1:19">
      <c r="A1857" s="15"/>
      <c r="B1857" s="55"/>
      <c r="C1857" s="56"/>
      <c r="D1857" s="68"/>
      <c r="E1857" s="69"/>
      <c r="F1857" s="69"/>
      <c r="G1857" s="65"/>
      <c r="H1857" s="65"/>
      <c r="I1857" s="70"/>
      <c r="J1857" s="71"/>
      <c r="K1857" s="71"/>
      <c r="L1857" s="72" t="str">
        <f>IFERROR(IF(G1857="","",VLOOKUP($G1857,[1]基础信息!$B:$C,2,FALSE)+SUMIF(G$8:G1857,G1857,J$8:J1857)-SUMIF(G$8:G1857,G1857,K$8:K1857)+SUMIFS([1]内部转账!$G:$G,[1]内部转账!$C:$C,"&lt;="&amp;$D1857,[1]内部转账!$E:$E,$G1857)-SUMIFS([1]内部转账!$G:$G,[1]内部转账!$C:$C,"&lt;="&amp;$D1857,[1]内部转账!$F:$F,$G1857)),"")</f>
        <v/>
      </c>
      <c r="M1857" s="64"/>
      <c r="N1857" s="69"/>
      <c r="O1857" s="64"/>
      <c r="P1857" s="64"/>
      <c r="Q1857" s="69"/>
      <c r="R1857" s="69"/>
      <c r="S1857" s="69"/>
    </row>
    <row r="1858" s="2" customFormat="1" ht="24.95" customHeight="1" spans="1:19">
      <c r="A1858" s="15"/>
      <c r="B1858" s="55"/>
      <c r="C1858" s="56"/>
      <c r="D1858" s="68"/>
      <c r="E1858" s="69"/>
      <c r="F1858" s="69"/>
      <c r="G1858" s="65"/>
      <c r="H1858" s="65"/>
      <c r="I1858" s="70"/>
      <c r="J1858" s="71"/>
      <c r="K1858" s="71"/>
      <c r="L1858" s="72" t="str">
        <f>IFERROR(IF(G1858="","",VLOOKUP($G1858,[1]基础信息!$B:$C,2,FALSE)+SUMIF(G$8:G1858,G1858,J$8:J1858)-SUMIF(G$8:G1858,G1858,K$8:K1858)+SUMIFS([1]内部转账!$G:$G,[1]内部转账!$C:$C,"&lt;="&amp;$D1858,[1]内部转账!$E:$E,$G1858)-SUMIFS([1]内部转账!$G:$G,[1]内部转账!$C:$C,"&lt;="&amp;$D1858,[1]内部转账!$F:$F,$G1858)),"")</f>
        <v/>
      </c>
      <c r="M1858" s="64"/>
      <c r="N1858" s="69"/>
      <c r="O1858" s="64"/>
      <c r="P1858" s="64"/>
      <c r="Q1858" s="69"/>
      <c r="R1858" s="69"/>
      <c r="S1858" s="69"/>
    </row>
    <row r="1859" s="2" customFormat="1" ht="24.95" customHeight="1" spans="1:19">
      <c r="A1859" s="15"/>
      <c r="B1859" s="55"/>
      <c r="C1859" s="56"/>
      <c r="D1859" s="68"/>
      <c r="E1859" s="69"/>
      <c r="F1859" s="69"/>
      <c r="G1859" s="65"/>
      <c r="H1859" s="65"/>
      <c r="I1859" s="70"/>
      <c r="J1859" s="71"/>
      <c r="K1859" s="71"/>
      <c r="L1859" s="72" t="str">
        <f>IFERROR(IF(G1859="","",VLOOKUP($G1859,[1]基础信息!$B:$C,2,FALSE)+SUMIF(G$8:G1859,G1859,J$8:J1859)-SUMIF(G$8:G1859,G1859,K$8:K1859)+SUMIFS([1]内部转账!$G:$G,[1]内部转账!$C:$C,"&lt;="&amp;$D1859,[1]内部转账!$E:$E,$G1859)-SUMIFS([1]内部转账!$G:$G,[1]内部转账!$C:$C,"&lt;="&amp;$D1859,[1]内部转账!$F:$F,$G1859)),"")</f>
        <v/>
      </c>
      <c r="M1859" s="64"/>
      <c r="N1859" s="69"/>
      <c r="O1859" s="64"/>
      <c r="P1859" s="64"/>
      <c r="Q1859" s="69"/>
      <c r="R1859" s="69"/>
      <c r="S1859" s="69"/>
    </row>
    <row r="1860" s="2" customFormat="1" ht="24.95" customHeight="1" spans="1:19">
      <c r="A1860" s="15"/>
      <c r="B1860" s="55"/>
      <c r="C1860" s="56"/>
      <c r="D1860" s="68"/>
      <c r="E1860" s="69"/>
      <c r="F1860" s="69"/>
      <c r="G1860" s="65"/>
      <c r="H1860" s="65"/>
      <c r="I1860" s="70"/>
      <c r="J1860" s="71"/>
      <c r="K1860" s="71"/>
      <c r="L1860" s="72" t="str">
        <f>IFERROR(IF(G1860="","",VLOOKUP($G1860,[1]基础信息!$B:$C,2,FALSE)+SUMIF(G$8:G1860,G1860,J$8:J1860)-SUMIF(G$8:G1860,G1860,K$8:K1860)+SUMIFS([1]内部转账!$G:$G,[1]内部转账!$C:$C,"&lt;="&amp;$D1860,[1]内部转账!$E:$E,$G1860)-SUMIFS([1]内部转账!$G:$G,[1]内部转账!$C:$C,"&lt;="&amp;$D1860,[1]内部转账!$F:$F,$G1860)),"")</f>
        <v/>
      </c>
      <c r="M1860" s="64"/>
      <c r="N1860" s="69"/>
      <c r="O1860" s="64"/>
      <c r="P1860" s="64"/>
      <c r="Q1860" s="69"/>
      <c r="R1860" s="69"/>
      <c r="S1860" s="69"/>
    </row>
    <row r="1861" s="2" customFormat="1" ht="24.95" customHeight="1" spans="1:19">
      <c r="A1861" s="15"/>
      <c r="B1861" s="55"/>
      <c r="C1861" s="56"/>
      <c r="D1861" s="68"/>
      <c r="E1861" s="69"/>
      <c r="F1861" s="69"/>
      <c r="G1861" s="65"/>
      <c r="H1861" s="65"/>
      <c r="I1861" s="70"/>
      <c r="J1861" s="71"/>
      <c r="K1861" s="71"/>
      <c r="L1861" s="72" t="str">
        <f>IFERROR(IF(G1861="","",VLOOKUP($G1861,[1]基础信息!$B:$C,2,FALSE)+SUMIF(G$8:G1861,G1861,J$8:J1861)-SUMIF(G$8:G1861,G1861,K$8:K1861)+SUMIFS([1]内部转账!$G:$G,[1]内部转账!$C:$C,"&lt;="&amp;$D1861,[1]内部转账!$E:$E,$G1861)-SUMIFS([1]内部转账!$G:$G,[1]内部转账!$C:$C,"&lt;="&amp;$D1861,[1]内部转账!$F:$F,$G1861)),"")</f>
        <v/>
      </c>
      <c r="M1861" s="64"/>
      <c r="N1861" s="69"/>
      <c r="O1861" s="64"/>
      <c r="P1861" s="64"/>
      <c r="Q1861" s="69"/>
      <c r="R1861" s="69"/>
      <c r="S1861" s="69"/>
    </row>
    <row r="1862" s="2" customFormat="1" ht="24.95" customHeight="1" spans="1:19">
      <c r="A1862" s="15"/>
      <c r="B1862" s="55"/>
      <c r="C1862" s="56"/>
      <c r="D1862" s="68"/>
      <c r="E1862" s="69"/>
      <c r="F1862" s="69"/>
      <c r="G1862" s="65"/>
      <c r="H1862" s="65"/>
      <c r="I1862" s="70"/>
      <c r="J1862" s="71"/>
      <c r="K1862" s="71"/>
      <c r="L1862" s="72" t="str">
        <f>IFERROR(IF(G1862="","",VLOOKUP($G1862,[1]基础信息!$B:$C,2,FALSE)+SUMIF(G$8:G1862,G1862,J$8:J1862)-SUMIF(G$8:G1862,G1862,K$8:K1862)+SUMIFS([1]内部转账!$G:$G,[1]内部转账!$C:$C,"&lt;="&amp;$D1862,[1]内部转账!$E:$E,$G1862)-SUMIFS([1]内部转账!$G:$G,[1]内部转账!$C:$C,"&lt;="&amp;$D1862,[1]内部转账!$F:$F,$G1862)),"")</f>
        <v/>
      </c>
      <c r="M1862" s="64"/>
      <c r="N1862" s="69"/>
      <c r="O1862" s="64"/>
      <c r="P1862" s="64"/>
      <c r="Q1862" s="69"/>
      <c r="R1862" s="69"/>
      <c r="S1862" s="69"/>
    </row>
    <row r="1863" s="2" customFormat="1" ht="24.95" customHeight="1" spans="1:19">
      <c r="A1863" s="15"/>
      <c r="B1863" s="55"/>
      <c r="C1863" s="56"/>
      <c r="D1863" s="68"/>
      <c r="E1863" s="69"/>
      <c r="F1863" s="69"/>
      <c r="G1863" s="65"/>
      <c r="H1863" s="65"/>
      <c r="I1863" s="70"/>
      <c r="J1863" s="71"/>
      <c r="K1863" s="71"/>
      <c r="L1863" s="72" t="str">
        <f>IFERROR(IF(G1863="","",VLOOKUP($G1863,[1]基础信息!$B:$C,2,FALSE)+SUMIF(G$8:G1863,G1863,J$8:J1863)-SUMIF(G$8:G1863,G1863,K$8:K1863)+SUMIFS([1]内部转账!$G:$G,[1]内部转账!$C:$C,"&lt;="&amp;$D1863,[1]内部转账!$E:$E,$G1863)-SUMIFS([1]内部转账!$G:$G,[1]内部转账!$C:$C,"&lt;="&amp;$D1863,[1]内部转账!$F:$F,$G1863)),"")</f>
        <v/>
      </c>
      <c r="M1863" s="64"/>
      <c r="N1863" s="69"/>
      <c r="O1863" s="64"/>
      <c r="P1863" s="64"/>
      <c r="Q1863" s="69"/>
      <c r="R1863" s="69"/>
      <c r="S1863" s="69"/>
    </row>
    <row r="1864" s="2" customFormat="1" ht="24.95" customHeight="1" spans="1:19">
      <c r="A1864" s="15"/>
      <c r="B1864" s="55"/>
      <c r="C1864" s="56"/>
      <c r="D1864" s="68"/>
      <c r="E1864" s="69"/>
      <c r="F1864" s="69"/>
      <c r="G1864" s="65"/>
      <c r="H1864" s="65"/>
      <c r="I1864" s="70"/>
      <c r="J1864" s="71"/>
      <c r="K1864" s="71"/>
      <c r="L1864" s="72" t="str">
        <f>IFERROR(IF(G1864="","",VLOOKUP($G1864,[1]基础信息!$B:$C,2,FALSE)+SUMIF(G$8:G1864,G1864,J$8:J1864)-SUMIF(G$8:G1864,G1864,K$8:K1864)+SUMIFS([1]内部转账!$G:$G,[1]内部转账!$C:$C,"&lt;="&amp;$D1864,[1]内部转账!$E:$E,$G1864)-SUMIFS([1]内部转账!$G:$G,[1]内部转账!$C:$C,"&lt;="&amp;$D1864,[1]内部转账!$F:$F,$G1864)),"")</f>
        <v/>
      </c>
      <c r="M1864" s="64"/>
      <c r="N1864" s="69"/>
      <c r="O1864" s="64"/>
      <c r="P1864" s="64"/>
      <c r="Q1864" s="69"/>
      <c r="R1864" s="69"/>
      <c r="S1864" s="69"/>
    </row>
    <row r="1865" s="2" customFormat="1" ht="24.95" customHeight="1" spans="1:19">
      <c r="A1865" s="15"/>
      <c r="B1865" s="55"/>
      <c r="C1865" s="56"/>
      <c r="D1865" s="68"/>
      <c r="E1865" s="69"/>
      <c r="F1865" s="69"/>
      <c r="G1865" s="65"/>
      <c r="H1865" s="65"/>
      <c r="I1865" s="70"/>
      <c r="J1865" s="71"/>
      <c r="K1865" s="71"/>
      <c r="L1865" s="72" t="str">
        <f>IFERROR(IF(G1865="","",VLOOKUP($G1865,[1]基础信息!$B:$C,2,FALSE)+SUMIF(G$8:G1865,G1865,J$8:J1865)-SUMIF(G$8:G1865,G1865,K$8:K1865)+SUMIFS([1]内部转账!$G:$G,[1]内部转账!$C:$C,"&lt;="&amp;$D1865,[1]内部转账!$E:$E,$G1865)-SUMIFS([1]内部转账!$G:$G,[1]内部转账!$C:$C,"&lt;="&amp;$D1865,[1]内部转账!$F:$F,$G1865)),"")</f>
        <v/>
      </c>
      <c r="M1865" s="64"/>
      <c r="N1865" s="69"/>
      <c r="O1865" s="64"/>
      <c r="P1865" s="64"/>
      <c r="Q1865" s="69"/>
      <c r="R1865" s="69"/>
      <c r="S1865" s="69"/>
    </row>
    <row r="1866" s="2" customFormat="1" ht="24.95" customHeight="1" spans="1:19">
      <c r="A1866" s="15"/>
      <c r="B1866" s="55"/>
      <c r="C1866" s="56"/>
      <c r="D1866" s="68"/>
      <c r="E1866" s="69"/>
      <c r="F1866" s="69"/>
      <c r="G1866" s="65"/>
      <c r="H1866" s="65"/>
      <c r="I1866" s="70"/>
      <c r="J1866" s="71"/>
      <c r="K1866" s="71"/>
      <c r="L1866" s="72" t="str">
        <f>IFERROR(IF(G1866="","",VLOOKUP($G1866,[1]基础信息!$B:$C,2,FALSE)+SUMIF(G$8:G1866,G1866,J$8:J1866)-SUMIF(G$8:G1866,G1866,K$8:K1866)+SUMIFS([1]内部转账!$G:$G,[1]内部转账!$C:$C,"&lt;="&amp;$D1866,[1]内部转账!$E:$E,$G1866)-SUMIFS([1]内部转账!$G:$G,[1]内部转账!$C:$C,"&lt;="&amp;$D1866,[1]内部转账!$F:$F,$G1866)),"")</f>
        <v/>
      </c>
      <c r="M1866" s="64"/>
      <c r="N1866" s="69"/>
      <c r="O1866" s="64"/>
      <c r="P1866" s="64"/>
      <c r="Q1866" s="69"/>
      <c r="R1866" s="69"/>
      <c r="S1866" s="69"/>
    </row>
    <row r="1867" s="2" customFormat="1" ht="24.95" customHeight="1" spans="1:19">
      <c r="A1867" s="15"/>
      <c r="B1867" s="55"/>
      <c r="C1867" s="56"/>
      <c r="D1867" s="68"/>
      <c r="E1867" s="69"/>
      <c r="F1867" s="69"/>
      <c r="G1867" s="65"/>
      <c r="H1867" s="65"/>
      <c r="I1867" s="70"/>
      <c r="J1867" s="71"/>
      <c r="K1867" s="71"/>
      <c r="L1867" s="72" t="str">
        <f>IFERROR(IF(G1867="","",VLOOKUP($G1867,[1]基础信息!$B:$C,2,FALSE)+SUMIF(G$8:G1867,G1867,J$8:J1867)-SUMIF(G$8:G1867,G1867,K$8:K1867)+SUMIFS([1]内部转账!$G:$G,[1]内部转账!$C:$C,"&lt;="&amp;$D1867,[1]内部转账!$E:$E,$G1867)-SUMIFS([1]内部转账!$G:$G,[1]内部转账!$C:$C,"&lt;="&amp;$D1867,[1]内部转账!$F:$F,$G1867)),"")</f>
        <v/>
      </c>
      <c r="M1867" s="64"/>
      <c r="N1867" s="69"/>
      <c r="O1867" s="64"/>
      <c r="P1867" s="64"/>
      <c r="Q1867" s="69"/>
      <c r="R1867" s="69"/>
      <c r="S1867" s="69"/>
    </row>
    <row r="1868" s="2" customFormat="1" ht="24.95" customHeight="1" spans="1:19">
      <c r="A1868" s="15"/>
      <c r="B1868" s="55"/>
      <c r="C1868" s="56"/>
      <c r="D1868" s="68"/>
      <c r="E1868" s="69"/>
      <c r="F1868" s="69"/>
      <c r="G1868" s="65"/>
      <c r="H1868" s="65"/>
      <c r="I1868" s="70"/>
      <c r="J1868" s="71"/>
      <c r="K1868" s="71"/>
      <c r="L1868" s="72" t="str">
        <f>IFERROR(IF(G1868="","",VLOOKUP($G1868,[1]基础信息!$B:$C,2,FALSE)+SUMIF(G$8:G1868,G1868,J$8:J1868)-SUMIF(G$8:G1868,G1868,K$8:K1868)+SUMIFS([1]内部转账!$G:$G,[1]内部转账!$C:$C,"&lt;="&amp;$D1868,[1]内部转账!$E:$E,$G1868)-SUMIFS([1]内部转账!$G:$G,[1]内部转账!$C:$C,"&lt;="&amp;$D1868,[1]内部转账!$F:$F,$G1868)),"")</f>
        <v/>
      </c>
      <c r="M1868" s="64"/>
      <c r="N1868" s="69"/>
      <c r="O1868" s="64"/>
      <c r="P1868" s="64"/>
      <c r="Q1868" s="69"/>
      <c r="R1868" s="69"/>
      <c r="S1868" s="69"/>
    </row>
    <row r="1869" s="2" customFormat="1" ht="24.95" customHeight="1" spans="1:19">
      <c r="A1869" s="15"/>
      <c r="B1869" s="55"/>
      <c r="C1869" s="56"/>
      <c r="D1869" s="68"/>
      <c r="E1869" s="69"/>
      <c r="F1869" s="69"/>
      <c r="G1869" s="65"/>
      <c r="H1869" s="65"/>
      <c r="I1869" s="70"/>
      <c r="J1869" s="71"/>
      <c r="K1869" s="71"/>
      <c r="L1869" s="72" t="str">
        <f>IFERROR(IF(G1869="","",VLOOKUP($G1869,[1]基础信息!$B:$C,2,FALSE)+SUMIF(G$8:G1869,G1869,J$8:J1869)-SUMIF(G$8:G1869,G1869,K$8:K1869)+SUMIFS([1]内部转账!$G:$G,[1]内部转账!$C:$C,"&lt;="&amp;$D1869,[1]内部转账!$E:$E,$G1869)-SUMIFS([1]内部转账!$G:$G,[1]内部转账!$C:$C,"&lt;="&amp;$D1869,[1]内部转账!$F:$F,$G1869)),"")</f>
        <v/>
      </c>
      <c r="M1869" s="64"/>
      <c r="N1869" s="69"/>
      <c r="O1869" s="64"/>
      <c r="P1869" s="64"/>
      <c r="Q1869" s="69"/>
      <c r="R1869" s="69"/>
      <c r="S1869" s="69"/>
    </row>
    <row r="1870" s="2" customFormat="1" ht="24.95" customHeight="1" spans="1:19">
      <c r="A1870" s="15"/>
      <c r="B1870" s="55"/>
      <c r="C1870" s="56"/>
      <c r="D1870" s="68"/>
      <c r="E1870" s="69"/>
      <c r="F1870" s="69"/>
      <c r="G1870" s="65"/>
      <c r="H1870" s="65"/>
      <c r="I1870" s="70"/>
      <c r="J1870" s="71"/>
      <c r="K1870" s="71"/>
      <c r="L1870" s="72" t="str">
        <f>IFERROR(IF(G1870="","",VLOOKUP($G1870,[1]基础信息!$B:$C,2,FALSE)+SUMIF(G$8:G1870,G1870,J$8:J1870)-SUMIF(G$8:G1870,G1870,K$8:K1870)+SUMIFS([1]内部转账!$G:$G,[1]内部转账!$C:$C,"&lt;="&amp;$D1870,[1]内部转账!$E:$E,$G1870)-SUMIFS([1]内部转账!$G:$G,[1]内部转账!$C:$C,"&lt;="&amp;$D1870,[1]内部转账!$F:$F,$G1870)),"")</f>
        <v/>
      </c>
      <c r="M1870" s="64"/>
      <c r="N1870" s="69"/>
      <c r="O1870" s="64"/>
      <c r="P1870" s="64"/>
      <c r="Q1870" s="69"/>
      <c r="R1870" s="69"/>
      <c r="S1870" s="69"/>
    </row>
    <row r="1871" s="2" customFormat="1" ht="24.95" customHeight="1" spans="1:19">
      <c r="A1871" s="15"/>
      <c r="B1871" s="55"/>
      <c r="C1871" s="56"/>
      <c r="D1871" s="68"/>
      <c r="E1871" s="69"/>
      <c r="F1871" s="69"/>
      <c r="G1871" s="65"/>
      <c r="H1871" s="65"/>
      <c r="I1871" s="70"/>
      <c r="J1871" s="71"/>
      <c r="K1871" s="71"/>
      <c r="L1871" s="72" t="str">
        <f>IFERROR(IF(G1871="","",VLOOKUP($G1871,[1]基础信息!$B:$C,2,FALSE)+SUMIF(G$8:G1871,G1871,J$8:J1871)-SUMIF(G$8:G1871,G1871,K$8:K1871)+SUMIFS([1]内部转账!$G:$G,[1]内部转账!$C:$C,"&lt;="&amp;$D1871,[1]内部转账!$E:$E,$G1871)-SUMIFS([1]内部转账!$G:$G,[1]内部转账!$C:$C,"&lt;="&amp;$D1871,[1]内部转账!$F:$F,$G1871)),"")</f>
        <v/>
      </c>
      <c r="M1871" s="64"/>
      <c r="N1871" s="69"/>
      <c r="O1871" s="64"/>
      <c r="P1871" s="64"/>
      <c r="Q1871" s="69"/>
      <c r="R1871" s="69"/>
      <c r="S1871" s="69"/>
    </row>
    <row r="1872" s="2" customFormat="1" ht="24.95" customHeight="1" spans="1:19">
      <c r="A1872" s="15"/>
      <c r="B1872" s="55"/>
      <c r="C1872" s="56"/>
      <c r="D1872" s="68"/>
      <c r="E1872" s="69"/>
      <c r="F1872" s="69"/>
      <c r="G1872" s="65"/>
      <c r="H1872" s="65"/>
      <c r="I1872" s="70"/>
      <c r="J1872" s="71"/>
      <c r="K1872" s="71"/>
      <c r="L1872" s="72" t="str">
        <f>IFERROR(IF(G1872="","",VLOOKUP($G1872,[1]基础信息!$B:$C,2,FALSE)+SUMIF(G$8:G1872,G1872,J$8:J1872)-SUMIF(G$8:G1872,G1872,K$8:K1872)+SUMIFS([1]内部转账!$G:$G,[1]内部转账!$C:$C,"&lt;="&amp;$D1872,[1]内部转账!$E:$E,$G1872)-SUMIFS([1]内部转账!$G:$G,[1]内部转账!$C:$C,"&lt;="&amp;$D1872,[1]内部转账!$F:$F,$G1872)),"")</f>
        <v/>
      </c>
      <c r="M1872" s="64"/>
      <c r="N1872" s="69"/>
      <c r="O1872" s="64"/>
      <c r="P1872" s="64"/>
      <c r="Q1872" s="69"/>
      <c r="R1872" s="69"/>
      <c r="S1872" s="69"/>
    </row>
    <row r="1873" s="2" customFormat="1" ht="24.95" customHeight="1" spans="1:19">
      <c r="A1873" s="15"/>
      <c r="B1873" s="55"/>
      <c r="C1873" s="56"/>
      <c r="D1873" s="68"/>
      <c r="E1873" s="69"/>
      <c r="F1873" s="69"/>
      <c r="G1873" s="65"/>
      <c r="H1873" s="65"/>
      <c r="I1873" s="70"/>
      <c r="J1873" s="71"/>
      <c r="K1873" s="71"/>
      <c r="L1873" s="72" t="str">
        <f>IFERROR(IF(G1873="","",VLOOKUP($G1873,[1]基础信息!$B:$C,2,FALSE)+SUMIF(G$8:G1873,G1873,J$8:J1873)-SUMIF(G$8:G1873,G1873,K$8:K1873)+SUMIFS([1]内部转账!$G:$G,[1]内部转账!$C:$C,"&lt;="&amp;$D1873,[1]内部转账!$E:$E,$G1873)-SUMIFS([1]内部转账!$G:$G,[1]内部转账!$C:$C,"&lt;="&amp;$D1873,[1]内部转账!$F:$F,$G1873)),"")</f>
        <v/>
      </c>
      <c r="M1873" s="64"/>
      <c r="N1873" s="69"/>
      <c r="O1873" s="64"/>
      <c r="P1873" s="64"/>
      <c r="Q1873" s="69"/>
      <c r="R1873" s="69"/>
      <c r="S1873" s="69"/>
    </row>
    <row r="1874" s="2" customFormat="1" ht="24.95" customHeight="1" spans="1:19">
      <c r="A1874" s="15"/>
      <c r="B1874" s="55"/>
      <c r="C1874" s="56"/>
      <c r="D1874" s="68"/>
      <c r="E1874" s="69"/>
      <c r="F1874" s="69"/>
      <c r="G1874" s="65"/>
      <c r="H1874" s="65"/>
      <c r="I1874" s="70"/>
      <c r="J1874" s="71"/>
      <c r="K1874" s="71"/>
      <c r="L1874" s="72" t="str">
        <f>IFERROR(IF(G1874="","",VLOOKUP($G1874,[1]基础信息!$B:$C,2,FALSE)+SUMIF(G$8:G1874,G1874,J$8:J1874)-SUMIF(G$8:G1874,G1874,K$8:K1874)+SUMIFS([1]内部转账!$G:$G,[1]内部转账!$C:$C,"&lt;="&amp;$D1874,[1]内部转账!$E:$E,$G1874)-SUMIFS([1]内部转账!$G:$G,[1]内部转账!$C:$C,"&lt;="&amp;$D1874,[1]内部转账!$F:$F,$G1874)),"")</f>
        <v/>
      </c>
      <c r="M1874" s="64"/>
      <c r="N1874" s="69"/>
      <c r="O1874" s="64"/>
      <c r="P1874" s="64"/>
      <c r="Q1874" s="69"/>
      <c r="R1874" s="69"/>
      <c r="S1874" s="69"/>
    </row>
    <row r="1875" s="2" customFormat="1" ht="24.95" customHeight="1" spans="1:19">
      <c r="A1875" s="15"/>
      <c r="B1875" s="55"/>
      <c r="C1875" s="56"/>
      <c r="D1875" s="68"/>
      <c r="E1875" s="69"/>
      <c r="F1875" s="69"/>
      <c r="G1875" s="65"/>
      <c r="H1875" s="65"/>
      <c r="I1875" s="70"/>
      <c r="J1875" s="71"/>
      <c r="K1875" s="71"/>
      <c r="L1875" s="72" t="str">
        <f>IFERROR(IF(G1875="","",VLOOKUP($G1875,[1]基础信息!$B:$C,2,FALSE)+SUMIF(G$8:G1875,G1875,J$8:J1875)-SUMIF(G$8:G1875,G1875,K$8:K1875)+SUMIFS([1]内部转账!$G:$G,[1]内部转账!$C:$C,"&lt;="&amp;$D1875,[1]内部转账!$E:$E,$G1875)-SUMIFS([1]内部转账!$G:$G,[1]内部转账!$C:$C,"&lt;="&amp;$D1875,[1]内部转账!$F:$F,$G1875)),"")</f>
        <v/>
      </c>
      <c r="M1875" s="64"/>
      <c r="N1875" s="69"/>
      <c r="O1875" s="64"/>
      <c r="P1875" s="64"/>
      <c r="Q1875" s="69"/>
      <c r="R1875" s="69"/>
      <c r="S1875" s="69"/>
    </row>
    <row r="1876" s="2" customFormat="1" ht="24.95" customHeight="1" spans="1:19">
      <c r="A1876" s="15"/>
      <c r="B1876" s="55"/>
      <c r="C1876" s="56"/>
      <c r="D1876" s="68"/>
      <c r="E1876" s="69"/>
      <c r="F1876" s="69"/>
      <c r="G1876" s="65"/>
      <c r="H1876" s="65"/>
      <c r="I1876" s="70"/>
      <c r="J1876" s="71"/>
      <c r="K1876" s="71"/>
      <c r="L1876" s="72" t="str">
        <f>IFERROR(IF(G1876="","",VLOOKUP($G1876,[1]基础信息!$B:$C,2,FALSE)+SUMIF(G$8:G1876,G1876,J$8:J1876)-SUMIF(G$8:G1876,G1876,K$8:K1876)+SUMIFS([1]内部转账!$G:$G,[1]内部转账!$C:$C,"&lt;="&amp;$D1876,[1]内部转账!$E:$E,$G1876)-SUMIFS([1]内部转账!$G:$G,[1]内部转账!$C:$C,"&lt;="&amp;$D1876,[1]内部转账!$F:$F,$G1876)),"")</f>
        <v/>
      </c>
      <c r="M1876" s="64"/>
      <c r="N1876" s="69"/>
      <c r="O1876" s="64"/>
      <c r="P1876" s="64"/>
      <c r="Q1876" s="69"/>
      <c r="R1876" s="69"/>
      <c r="S1876" s="69"/>
    </row>
    <row r="1877" s="2" customFormat="1" ht="24.95" customHeight="1" spans="1:19">
      <c r="A1877" s="15"/>
      <c r="B1877" s="55"/>
      <c r="C1877" s="56"/>
      <c r="D1877" s="68"/>
      <c r="E1877" s="69"/>
      <c r="F1877" s="69"/>
      <c r="G1877" s="65"/>
      <c r="H1877" s="65"/>
      <c r="I1877" s="70"/>
      <c r="J1877" s="71"/>
      <c r="K1877" s="71"/>
      <c r="L1877" s="72" t="str">
        <f>IFERROR(IF(G1877="","",VLOOKUP($G1877,[1]基础信息!$B:$C,2,FALSE)+SUMIF(G$8:G1877,G1877,J$8:J1877)-SUMIF(G$8:G1877,G1877,K$8:K1877)+SUMIFS([1]内部转账!$G:$G,[1]内部转账!$C:$C,"&lt;="&amp;$D1877,[1]内部转账!$E:$E,$G1877)-SUMIFS([1]内部转账!$G:$G,[1]内部转账!$C:$C,"&lt;="&amp;$D1877,[1]内部转账!$F:$F,$G1877)),"")</f>
        <v/>
      </c>
      <c r="M1877" s="64"/>
      <c r="N1877" s="69"/>
      <c r="O1877" s="64"/>
      <c r="P1877" s="64"/>
      <c r="Q1877" s="69"/>
      <c r="R1877" s="69"/>
      <c r="S1877" s="69"/>
    </row>
    <row r="1878" s="2" customFormat="1" ht="24.95" customHeight="1" spans="1:19">
      <c r="A1878" s="15"/>
      <c r="B1878" s="55"/>
      <c r="C1878" s="56"/>
      <c r="D1878" s="68"/>
      <c r="E1878" s="69"/>
      <c r="F1878" s="69"/>
      <c r="G1878" s="65"/>
      <c r="H1878" s="65"/>
      <c r="I1878" s="70"/>
      <c r="J1878" s="71"/>
      <c r="K1878" s="71"/>
      <c r="L1878" s="72" t="str">
        <f>IFERROR(IF(G1878="","",VLOOKUP($G1878,[1]基础信息!$B:$C,2,FALSE)+SUMIF(G$8:G1878,G1878,J$8:J1878)-SUMIF(G$8:G1878,G1878,K$8:K1878)+SUMIFS([1]内部转账!$G:$G,[1]内部转账!$C:$C,"&lt;="&amp;$D1878,[1]内部转账!$E:$E,$G1878)-SUMIFS([1]内部转账!$G:$G,[1]内部转账!$C:$C,"&lt;="&amp;$D1878,[1]内部转账!$F:$F,$G1878)),"")</f>
        <v/>
      </c>
      <c r="M1878" s="64"/>
      <c r="N1878" s="69"/>
      <c r="O1878" s="64"/>
      <c r="P1878" s="64"/>
      <c r="Q1878" s="69"/>
      <c r="R1878" s="69"/>
      <c r="S1878" s="69"/>
    </row>
    <row r="1879" s="2" customFormat="1" ht="24.95" customHeight="1" spans="1:19">
      <c r="A1879" s="15"/>
      <c r="B1879" s="55"/>
      <c r="C1879" s="56"/>
      <c r="D1879" s="68"/>
      <c r="E1879" s="69"/>
      <c r="F1879" s="69"/>
      <c r="G1879" s="65"/>
      <c r="H1879" s="65"/>
      <c r="I1879" s="70"/>
      <c r="J1879" s="71"/>
      <c r="K1879" s="71"/>
      <c r="L1879" s="72" t="str">
        <f>IFERROR(IF(G1879="","",VLOOKUP($G1879,[1]基础信息!$B:$C,2,FALSE)+SUMIF(G$8:G1879,G1879,J$8:J1879)-SUMIF(G$8:G1879,G1879,K$8:K1879)+SUMIFS([1]内部转账!$G:$G,[1]内部转账!$C:$C,"&lt;="&amp;$D1879,[1]内部转账!$E:$E,$G1879)-SUMIFS([1]内部转账!$G:$G,[1]内部转账!$C:$C,"&lt;="&amp;$D1879,[1]内部转账!$F:$F,$G1879)),"")</f>
        <v/>
      </c>
      <c r="M1879" s="64"/>
      <c r="N1879" s="69"/>
      <c r="O1879" s="64"/>
      <c r="P1879" s="64"/>
      <c r="Q1879" s="69"/>
      <c r="R1879" s="69"/>
      <c r="S1879" s="69"/>
    </row>
    <row r="1880" s="2" customFormat="1" ht="24.95" customHeight="1" spans="1:19">
      <c r="A1880" s="15"/>
      <c r="B1880" s="55"/>
      <c r="C1880" s="56"/>
      <c r="D1880" s="68"/>
      <c r="E1880" s="69"/>
      <c r="F1880" s="69"/>
      <c r="G1880" s="65"/>
      <c r="H1880" s="65"/>
      <c r="I1880" s="70"/>
      <c r="J1880" s="71"/>
      <c r="K1880" s="71"/>
      <c r="L1880" s="72" t="str">
        <f>IFERROR(IF(G1880="","",VLOOKUP($G1880,[1]基础信息!$B:$C,2,FALSE)+SUMIF(G$8:G1880,G1880,J$8:J1880)-SUMIF(G$8:G1880,G1880,K$8:K1880)+SUMIFS([1]内部转账!$G:$G,[1]内部转账!$C:$C,"&lt;="&amp;$D1880,[1]内部转账!$E:$E,$G1880)-SUMIFS([1]内部转账!$G:$G,[1]内部转账!$C:$C,"&lt;="&amp;$D1880,[1]内部转账!$F:$F,$G1880)),"")</f>
        <v/>
      </c>
      <c r="M1880" s="64"/>
      <c r="N1880" s="69"/>
      <c r="O1880" s="64"/>
      <c r="P1880" s="64"/>
      <c r="Q1880" s="69"/>
      <c r="R1880" s="69"/>
      <c r="S1880" s="69"/>
    </row>
    <row r="1881" s="2" customFormat="1" ht="24.95" customHeight="1" spans="1:19">
      <c r="A1881" s="15"/>
      <c r="B1881" s="55"/>
      <c r="C1881" s="56"/>
      <c r="D1881" s="68"/>
      <c r="E1881" s="69"/>
      <c r="F1881" s="69"/>
      <c r="G1881" s="65"/>
      <c r="H1881" s="65"/>
      <c r="I1881" s="70"/>
      <c r="J1881" s="71"/>
      <c r="K1881" s="71"/>
      <c r="L1881" s="72" t="str">
        <f>IFERROR(IF(G1881="","",VLOOKUP($G1881,[1]基础信息!$B:$C,2,FALSE)+SUMIF(G$8:G1881,G1881,J$8:J1881)-SUMIF(G$8:G1881,G1881,K$8:K1881)+SUMIFS([1]内部转账!$G:$G,[1]内部转账!$C:$C,"&lt;="&amp;$D1881,[1]内部转账!$E:$E,$G1881)-SUMIFS([1]内部转账!$G:$G,[1]内部转账!$C:$C,"&lt;="&amp;$D1881,[1]内部转账!$F:$F,$G1881)),"")</f>
        <v/>
      </c>
      <c r="M1881" s="64"/>
      <c r="N1881" s="69"/>
      <c r="O1881" s="64"/>
      <c r="P1881" s="64"/>
      <c r="Q1881" s="69"/>
      <c r="R1881" s="69"/>
      <c r="S1881" s="69"/>
    </row>
    <row r="1882" s="2" customFormat="1" ht="24.95" customHeight="1" spans="1:19">
      <c r="A1882" s="15"/>
      <c r="B1882" s="55"/>
      <c r="C1882" s="56"/>
      <c r="D1882" s="68"/>
      <c r="E1882" s="69"/>
      <c r="F1882" s="69"/>
      <c r="G1882" s="65"/>
      <c r="H1882" s="65"/>
      <c r="I1882" s="70"/>
      <c r="J1882" s="71"/>
      <c r="K1882" s="71"/>
      <c r="L1882" s="72" t="str">
        <f>IFERROR(IF(G1882="","",VLOOKUP($G1882,[1]基础信息!$B:$C,2,FALSE)+SUMIF(G$8:G1882,G1882,J$8:J1882)-SUMIF(G$8:G1882,G1882,K$8:K1882)+SUMIFS([1]内部转账!$G:$G,[1]内部转账!$C:$C,"&lt;="&amp;$D1882,[1]内部转账!$E:$E,$G1882)-SUMIFS([1]内部转账!$G:$G,[1]内部转账!$C:$C,"&lt;="&amp;$D1882,[1]内部转账!$F:$F,$G1882)),"")</f>
        <v/>
      </c>
      <c r="M1882" s="64"/>
      <c r="N1882" s="69"/>
      <c r="O1882" s="64"/>
      <c r="P1882" s="64"/>
      <c r="Q1882" s="69"/>
      <c r="R1882" s="69"/>
      <c r="S1882" s="69"/>
    </row>
    <row r="1883" s="2" customFormat="1" ht="24.95" customHeight="1" spans="1:19">
      <c r="A1883" s="15"/>
      <c r="B1883" s="55"/>
      <c r="C1883" s="56"/>
      <c r="D1883" s="68"/>
      <c r="E1883" s="69"/>
      <c r="F1883" s="69"/>
      <c r="G1883" s="65"/>
      <c r="H1883" s="65"/>
      <c r="I1883" s="70"/>
      <c r="J1883" s="71"/>
      <c r="K1883" s="71"/>
      <c r="L1883" s="72" t="str">
        <f>IFERROR(IF(G1883="","",VLOOKUP($G1883,[1]基础信息!$B:$C,2,FALSE)+SUMIF(G$8:G1883,G1883,J$8:J1883)-SUMIF(G$8:G1883,G1883,K$8:K1883)+SUMIFS([1]内部转账!$G:$G,[1]内部转账!$C:$C,"&lt;="&amp;$D1883,[1]内部转账!$E:$E,$G1883)-SUMIFS([1]内部转账!$G:$G,[1]内部转账!$C:$C,"&lt;="&amp;$D1883,[1]内部转账!$F:$F,$G1883)),"")</f>
        <v/>
      </c>
      <c r="M1883" s="64"/>
      <c r="N1883" s="69"/>
      <c r="O1883" s="64"/>
      <c r="P1883" s="64"/>
      <c r="Q1883" s="69"/>
      <c r="R1883" s="69"/>
      <c r="S1883" s="69"/>
    </row>
    <row r="1884" s="2" customFormat="1" ht="24.95" customHeight="1" spans="1:19">
      <c r="A1884" s="15"/>
      <c r="B1884" s="55"/>
      <c r="C1884" s="56"/>
      <c r="D1884" s="68"/>
      <c r="E1884" s="69"/>
      <c r="F1884" s="69"/>
      <c r="G1884" s="65"/>
      <c r="H1884" s="65"/>
      <c r="I1884" s="70"/>
      <c r="J1884" s="71"/>
      <c r="K1884" s="71"/>
      <c r="L1884" s="72" t="str">
        <f>IFERROR(IF(G1884="","",VLOOKUP($G1884,[1]基础信息!$B:$C,2,FALSE)+SUMIF(G$8:G1884,G1884,J$8:J1884)-SUMIF(G$8:G1884,G1884,K$8:K1884)+SUMIFS([1]内部转账!$G:$G,[1]内部转账!$C:$C,"&lt;="&amp;$D1884,[1]内部转账!$E:$E,$G1884)-SUMIFS([1]内部转账!$G:$G,[1]内部转账!$C:$C,"&lt;="&amp;$D1884,[1]内部转账!$F:$F,$G1884)),"")</f>
        <v/>
      </c>
      <c r="M1884" s="64"/>
      <c r="N1884" s="69"/>
      <c r="O1884" s="64"/>
      <c r="P1884" s="64"/>
      <c r="Q1884" s="69"/>
      <c r="R1884" s="69"/>
      <c r="S1884" s="69"/>
    </row>
    <row r="1885" s="2" customFormat="1" ht="24.95" customHeight="1" spans="1:19">
      <c r="A1885" s="15"/>
      <c r="B1885" s="55"/>
      <c r="C1885" s="56"/>
      <c r="D1885" s="68"/>
      <c r="E1885" s="69"/>
      <c r="F1885" s="69"/>
      <c r="G1885" s="65"/>
      <c r="H1885" s="65"/>
      <c r="I1885" s="70"/>
      <c r="J1885" s="71"/>
      <c r="K1885" s="71"/>
      <c r="L1885" s="72" t="str">
        <f>IFERROR(IF(G1885="","",VLOOKUP($G1885,[1]基础信息!$B:$C,2,FALSE)+SUMIF(G$8:G1885,G1885,J$8:J1885)-SUMIF(G$8:G1885,G1885,K$8:K1885)+SUMIFS([1]内部转账!$G:$G,[1]内部转账!$C:$C,"&lt;="&amp;$D1885,[1]内部转账!$E:$E,$G1885)-SUMIFS([1]内部转账!$G:$G,[1]内部转账!$C:$C,"&lt;="&amp;$D1885,[1]内部转账!$F:$F,$G1885)),"")</f>
        <v/>
      </c>
      <c r="M1885" s="64"/>
      <c r="N1885" s="69"/>
      <c r="O1885" s="64"/>
      <c r="P1885" s="64"/>
      <c r="Q1885" s="69"/>
      <c r="R1885" s="69"/>
      <c r="S1885" s="69"/>
    </row>
    <row r="1886" s="2" customFormat="1" ht="24.95" customHeight="1" spans="1:19">
      <c r="A1886" s="15"/>
      <c r="B1886" s="55"/>
      <c r="C1886" s="56"/>
      <c r="D1886" s="68"/>
      <c r="E1886" s="69"/>
      <c r="F1886" s="69"/>
      <c r="G1886" s="65"/>
      <c r="H1886" s="65"/>
      <c r="I1886" s="70"/>
      <c r="J1886" s="71"/>
      <c r="K1886" s="71"/>
      <c r="L1886" s="72" t="str">
        <f>IFERROR(IF(G1886="","",VLOOKUP($G1886,[1]基础信息!$B:$C,2,FALSE)+SUMIF(G$8:G1886,G1886,J$8:J1886)-SUMIF(G$8:G1886,G1886,K$8:K1886)+SUMIFS([1]内部转账!$G:$G,[1]内部转账!$C:$C,"&lt;="&amp;$D1886,[1]内部转账!$E:$E,$G1886)-SUMIFS([1]内部转账!$G:$G,[1]内部转账!$C:$C,"&lt;="&amp;$D1886,[1]内部转账!$F:$F,$G1886)),"")</f>
        <v/>
      </c>
      <c r="M1886" s="64"/>
      <c r="N1886" s="69"/>
      <c r="O1886" s="64"/>
      <c r="P1886" s="64"/>
      <c r="Q1886" s="69"/>
      <c r="R1886" s="69"/>
      <c r="S1886" s="69"/>
    </row>
    <row r="1887" s="2" customFormat="1" ht="24.95" customHeight="1" spans="1:19">
      <c r="A1887" s="15"/>
      <c r="B1887" s="55"/>
      <c r="C1887" s="56"/>
      <c r="D1887" s="68"/>
      <c r="E1887" s="69"/>
      <c r="F1887" s="69"/>
      <c r="G1887" s="65"/>
      <c r="H1887" s="65"/>
      <c r="I1887" s="70"/>
      <c r="J1887" s="71"/>
      <c r="K1887" s="71"/>
      <c r="L1887" s="72" t="str">
        <f>IFERROR(IF(G1887="","",VLOOKUP($G1887,[1]基础信息!$B:$C,2,FALSE)+SUMIF(G$8:G1887,G1887,J$8:J1887)-SUMIF(G$8:G1887,G1887,K$8:K1887)+SUMIFS([1]内部转账!$G:$G,[1]内部转账!$C:$C,"&lt;="&amp;$D1887,[1]内部转账!$E:$E,$G1887)-SUMIFS([1]内部转账!$G:$G,[1]内部转账!$C:$C,"&lt;="&amp;$D1887,[1]内部转账!$F:$F,$G1887)),"")</f>
        <v/>
      </c>
      <c r="M1887" s="64"/>
      <c r="N1887" s="69"/>
      <c r="O1887" s="64"/>
      <c r="P1887" s="64"/>
      <c r="Q1887" s="69"/>
      <c r="R1887" s="69"/>
      <c r="S1887" s="69"/>
    </row>
    <row r="1888" s="2" customFormat="1" ht="24.95" customHeight="1" spans="1:19">
      <c r="A1888" s="15"/>
      <c r="B1888" s="55"/>
      <c r="C1888" s="56"/>
      <c r="D1888" s="68"/>
      <c r="E1888" s="69"/>
      <c r="F1888" s="69"/>
      <c r="G1888" s="65"/>
      <c r="H1888" s="65"/>
      <c r="I1888" s="70"/>
      <c r="J1888" s="71"/>
      <c r="K1888" s="71"/>
      <c r="L1888" s="72" t="str">
        <f>IFERROR(IF(G1888="","",VLOOKUP($G1888,[1]基础信息!$B:$C,2,FALSE)+SUMIF(G$8:G1888,G1888,J$8:J1888)-SUMIF(G$8:G1888,G1888,K$8:K1888)+SUMIFS([1]内部转账!$G:$G,[1]内部转账!$C:$C,"&lt;="&amp;$D1888,[1]内部转账!$E:$E,$G1888)-SUMIFS([1]内部转账!$G:$G,[1]内部转账!$C:$C,"&lt;="&amp;$D1888,[1]内部转账!$F:$F,$G1888)),"")</f>
        <v/>
      </c>
      <c r="M1888" s="64"/>
      <c r="N1888" s="69"/>
      <c r="O1888" s="64"/>
      <c r="P1888" s="64"/>
      <c r="Q1888" s="69"/>
      <c r="R1888" s="69"/>
      <c r="S1888" s="69"/>
    </row>
    <row r="1889" s="2" customFormat="1" ht="24.95" customHeight="1" spans="1:19">
      <c r="A1889" s="15"/>
      <c r="B1889" s="55"/>
      <c r="C1889" s="56"/>
      <c r="D1889" s="68"/>
      <c r="E1889" s="69"/>
      <c r="F1889" s="69"/>
      <c r="G1889" s="65"/>
      <c r="H1889" s="65"/>
      <c r="I1889" s="70"/>
      <c r="J1889" s="71"/>
      <c r="K1889" s="71"/>
      <c r="L1889" s="72" t="str">
        <f>IFERROR(IF(G1889="","",VLOOKUP($G1889,[1]基础信息!$B:$C,2,FALSE)+SUMIF(G$8:G1889,G1889,J$8:J1889)-SUMIF(G$8:G1889,G1889,K$8:K1889)+SUMIFS([1]内部转账!$G:$G,[1]内部转账!$C:$C,"&lt;="&amp;$D1889,[1]内部转账!$E:$E,$G1889)-SUMIFS([1]内部转账!$G:$G,[1]内部转账!$C:$C,"&lt;="&amp;$D1889,[1]内部转账!$F:$F,$G1889)),"")</f>
        <v/>
      </c>
      <c r="M1889" s="64"/>
      <c r="N1889" s="69"/>
      <c r="O1889" s="64"/>
      <c r="P1889" s="64"/>
      <c r="Q1889" s="69"/>
      <c r="R1889" s="69"/>
      <c r="S1889" s="69"/>
    </row>
    <row r="1890" s="2" customFormat="1" ht="24.95" customHeight="1" spans="1:19">
      <c r="A1890" s="15"/>
      <c r="B1890" s="55"/>
      <c r="C1890" s="56"/>
      <c r="D1890" s="68"/>
      <c r="E1890" s="69"/>
      <c r="F1890" s="69"/>
      <c r="G1890" s="65"/>
      <c r="H1890" s="65"/>
      <c r="I1890" s="70"/>
      <c r="J1890" s="71"/>
      <c r="K1890" s="71"/>
      <c r="L1890" s="72" t="str">
        <f>IFERROR(IF(G1890="","",VLOOKUP($G1890,[1]基础信息!$B:$C,2,FALSE)+SUMIF(G$8:G1890,G1890,J$8:J1890)-SUMIF(G$8:G1890,G1890,K$8:K1890)+SUMIFS([1]内部转账!$G:$G,[1]内部转账!$C:$C,"&lt;="&amp;$D1890,[1]内部转账!$E:$E,$G1890)-SUMIFS([1]内部转账!$G:$G,[1]内部转账!$C:$C,"&lt;="&amp;$D1890,[1]内部转账!$F:$F,$G1890)),"")</f>
        <v/>
      </c>
      <c r="M1890" s="64"/>
      <c r="N1890" s="69"/>
      <c r="O1890" s="64"/>
      <c r="P1890" s="64"/>
      <c r="Q1890" s="69"/>
      <c r="R1890" s="69"/>
      <c r="S1890" s="69"/>
    </row>
    <row r="1891" s="2" customFormat="1" ht="24.95" customHeight="1" spans="1:19">
      <c r="A1891" s="15"/>
      <c r="B1891" s="55"/>
      <c r="C1891" s="56"/>
      <c r="D1891" s="68"/>
      <c r="E1891" s="69"/>
      <c r="F1891" s="69"/>
      <c r="G1891" s="65"/>
      <c r="H1891" s="65"/>
      <c r="I1891" s="70"/>
      <c r="J1891" s="71"/>
      <c r="K1891" s="71"/>
      <c r="L1891" s="72" t="str">
        <f>IFERROR(IF(G1891="","",VLOOKUP($G1891,[1]基础信息!$B:$C,2,FALSE)+SUMIF(G$8:G1891,G1891,J$8:J1891)-SUMIF(G$8:G1891,G1891,K$8:K1891)+SUMIFS([1]内部转账!$G:$G,[1]内部转账!$C:$C,"&lt;="&amp;$D1891,[1]内部转账!$E:$E,$G1891)-SUMIFS([1]内部转账!$G:$G,[1]内部转账!$C:$C,"&lt;="&amp;$D1891,[1]内部转账!$F:$F,$G1891)),"")</f>
        <v/>
      </c>
      <c r="M1891" s="64"/>
      <c r="N1891" s="69"/>
      <c r="O1891" s="64"/>
      <c r="P1891" s="64"/>
      <c r="Q1891" s="69"/>
      <c r="R1891" s="69"/>
      <c r="S1891" s="69"/>
    </row>
    <row r="1892" s="2" customFormat="1" ht="24.95" customHeight="1" spans="1:19">
      <c r="A1892" s="15"/>
      <c r="B1892" s="55"/>
      <c r="C1892" s="56"/>
      <c r="D1892" s="68"/>
      <c r="E1892" s="69"/>
      <c r="F1892" s="69"/>
      <c r="G1892" s="65"/>
      <c r="H1892" s="65"/>
      <c r="I1892" s="70"/>
      <c r="J1892" s="71"/>
      <c r="K1892" s="71"/>
      <c r="L1892" s="72" t="str">
        <f>IFERROR(IF(G1892="","",VLOOKUP($G1892,[1]基础信息!$B:$C,2,FALSE)+SUMIF(G$8:G1892,G1892,J$8:J1892)-SUMIF(G$8:G1892,G1892,K$8:K1892)+SUMIFS([1]内部转账!$G:$G,[1]内部转账!$C:$C,"&lt;="&amp;$D1892,[1]内部转账!$E:$E,$G1892)-SUMIFS([1]内部转账!$G:$G,[1]内部转账!$C:$C,"&lt;="&amp;$D1892,[1]内部转账!$F:$F,$G1892)),"")</f>
        <v/>
      </c>
      <c r="M1892" s="64"/>
      <c r="N1892" s="69"/>
      <c r="O1892" s="64"/>
      <c r="P1892" s="64"/>
      <c r="Q1892" s="69"/>
      <c r="R1892" s="69"/>
      <c r="S1892" s="69"/>
    </row>
    <row r="1893" s="2" customFormat="1" ht="24.95" customHeight="1" spans="1:19">
      <c r="A1893" s="15"/>
      <c r="B1893" s="55"/>
      <c r="C1893" s="56"/>
      <c r="D1893" s="68"/>
      <c r="E1893" s="69"/>
      <c r="F1893" s="69"/>
      <c r="G1893" s="65"/>
      <c r="H1893" s="65"/>
      <c r="I1893" s="70"/>
      <c r="J1893" s="71"/>
      <c r="K1893" s="71"/>
      <c r="L1893" s="72" t="str">
        <f>IFERROR(IF(G1893="","",VLOOKUP($G1893,[1]基础信息!$B:$C,2,FALSE)+SUMIF(G$8:G1893,G1893,J$8:J1893)-SUMIF(G$8:G1893,G1893,K$8:K1893)+SUMIFS([1]内部转账!$G:$G,[1]内部转账!$C:$C,"&lt;="&amp;$D1893,[1]内部转账!$E:$E,$G1893)-SUMIFS([1]内部转账!$G:$G,[1]内部转账!$C:$C,"&lt;="&amp;$D1893,[1]内部转账!$F:$F,$G1893)),"")</f>
        <v/>
      </c>
      <c r="M1893" s="64"/>
      <c r="N1893" s="69"/>
      <c r="O1893" s="64"/>
      <c r="P1893" s="64"/>
      <c r="Q1893" s="69"/>
      <c r="R1893" s="69"/>
      <c r="S1893" s="69"/>
    </row>
    <row r="1894" s="2" customFormat="1" ht="24.95" customHeight="1" spans="1:19">
      <c r="A1894" s="15"/>
      <c r="B1894" s="55"/>
      <c r="C1894" s="56"/>
      <c r="D1894" s="68"/>
      <c r="E1894" s="69"/>
      <c r="F1894" s="69"/>
      <c r="G1894" s="65"/>
      <c r="H1894" s="65"/>
      <c r="I1894" s="70"/>
      <c r="J1894" s="71"/>
      <c r="K1894" s="71"/>
      <c r="L1894" s="72" t="str">
        <f>IFERROR(IF(G1894="","",VLOOKUP($G1894,[1]基础信息!$B:$C,2,FALSE)+SUMIF(G$8:G1894,G1894,J$8:J1894)-SUMIF(G$8:G1894,G1894,K$8:K1894)+SUMIFS([1]内部转账!$G:$G,[1]内部转账!$C:$C,"&lt;="&amp;$D1894,[1]内部转账!$E:$E,$G1894)-SUMIFS([1]内部转账!$G:$G,[1]内部转账!$C:$C,"&lt;="&amp;$D1894,[1]内部转账!$F:$F,$G1894)),"")</f>
        <v/>
      </c>
      <c r="M1894" s="64"/>
      <c r="N1894" s="69"/>
      <c r="O1894" s="64"/>
      <c r="P1894" s="64"/>
      <c r="Q1894" s="69"/>
      <c r="R1894" s="69"/>
      <c r="S1894" s="69"/>
    </row>
    <row r="1895" s="2" customFormat="1" ht="24.95" customHeight="1" spans="1:19">
      <c r="A1895" s="15"/>
      <c r="B1895" s="55"/>
      <c r="C1895" s="56"/>
      <c r="D1895" s="68"/>
      <c r="E1895" s="69"/>
      <c r="F1895" s="69"/>
      <c r="G1895" s="65"/>
      <c r="H1895" s="65"/>
      <c r="I1895" s="70"/>
      <c r="J1895" s="71"/>
      <c r="K1895" s="71"/>
      <c r="L1895" s="72" t="str">
        <f>IFERROR(IF(G1895="","",VLOOKUP($G1895,[1]基础信息!$B:$C,2,FALSE)+SUMIF(G$8:G1895,G1895,J$8:J1895)-SUMIF(G$8:G1895,G1895,K$8:K1895)+SUMIFS([1]内部转账!$G:$G,[1]内部转账!$C:$C,"&lt;="&amp;$D1895,[1]内部转账!$E:$E,$G1895)-SUMIFS([1]内部转账!$G:$G,[1]内部转账!$C:$C,"&lt;="&amp;$D1895,[1]内部转账!$F:$F,$G1895)),"")</f>
        <v/>
      </c>
      <c r="M1895" s="64"/>
      <c r="N1895" s="69"/>
      <c r="O1895" s="64"/>
      <c r="P1895" s="64"/>
      <c r="Q1895" s="69"/>
      <c r="R1895" s="69"/>
      <c r="S1895" s="69"/>
    </row>
    <row r="1896" s="2" customFormat="1" ht="24.95" customHeight="1" spans="1:19">
      <c r="A1896" s="15"/>
      <c r="B1896" s="55"/>
      <c r="C1896" s="56"/>
      <c r="D1896" s="68"/>
      <c r="E1896" s="69"/>
      <c r="F1896" s="69"/>
      <c r="G1896" s="65"/>
      <c r="H1896" s="65"/>
      <c r="I1896" s="70"/>
      <c r="J1896" s="71"/>
      <c r="K1896" s="71"/>
      <c r="L1896" s="72" t="str">
        <f>IFERROR(IF(G1896="","",VLOOKUP($G1896,[1]基础信息!$B:$C,2,FALSE)+SUMIF(G$8:G1896,G1896,J$8:J1896)-SUMIF(G$8:G1896,G1896,K$8:K1896)+SUMIFS([1]内部转账!$G:$G,[1]内部转账!$C:$C,"&lt;="&amp;$D1896,[1]内部转账!$E:$E,$G1896)-SUMIFS([1]内部转账!$G:$G,[1]内部转账!$C:$C,"&lt;="&amp;$D1896,[1]内部转账!$F:$F,$G1896)),"")</f>
        <v/>
      </c>
      <c r="M1896" s="64"/>
      <c r="N1896" s="69"/>
      <c r="O1896" s="64"/>
      <c r="P1896" s="64"/>
      <c r="Q1896" s="69"/>
      <c r="R1896" s="69"/>
      <c r="S1896" s="69"/>
    </row>
    <row r="1897" s="2" customFormat="1" ht="24.95" customHeight="1" spans="1:19">
      <c r="A1897" s="15"/>
      <c r="B1897" s="55"/>
      <c r="C1897" s="56"/>
      <c r="D1897" s="68"/>
      <c r="E1897" s="69"/>
      <c r="F1897" s="69"/>
      <c r="G1897" s="65"/>
      <c r="H1897" s="65"/>
      <c r="I1897" s="70"/>
      <c r="J1897" s="71"/>
      <c r="K1897" s="71"/>
      <c r="L1897" s="72" t="str">
        <f>IFERROR(IF(G1897="","",VLOOKUP($G1897,[1]基础信息!$B:$C,2,FALSE)+SUMIF(G$8:G1897,G1897,J$8:J1897)-SUMIF(G$8:G1897,G1897,K$8:K1897)+SUMIFS([1]内部转账!$G:$G,[1]内部转账!$C:$C,"&lt;="&amp;$D1897,[1]内部转账!$E:$E,$G1897)-SUMIFS([1]内部转账!$G:$G,[1]内部转账!$C:$C,"&lt;="&amp;$D1897,[1]内部转账!$F:$F,$G1897)),"")</f>
        <v/>
      </c>
      <c r="M1897" s="64"/>
      <c r="N1897" s="69"/>
      <c r="O1897" s="64"/>
      <c r="P1897" s="64"/>
      <c r="Q1897" s="69"/>
      <c r="R1897" s="69"/>
      <c r="S1897" s="69"/>
    </row>
    <row r="1898" s="2" customFormat="1" ht="24.95" customHeight="1" spans="1:19">
      <c r="A1898" s="15"/>
      <c r="B1898" s="55"/>
      <c r="C1898" s="56"/>
      <c r="D1898" s="68"/>
      <c r="E1898" s="69"/>
      <c r="F1898" s="69"/>
      <c r="G1898" s="65"/>
      <c r="H1898" s="65"/>
      <c r="I1898" s="70"/>
      <c r="J1898" s="71"/>
      <c r="K1898" s="71"/>
      <c r="L1898" s="72" t="str">
        <f>IFERROR(IF(G1898="","",VLOOKUP($G1898,[1]基础信息!$B:$C,2,FALSE)+SUMIF(G$8:G1898,G1898,J$8:J1898)-SUMIF(G$8:G1898,G1898,K$8:K1898)+SUMIFS([1]内部转账!$G:$G,[1]内部转账!$C:$C,"&lt;="&amp;$D1898,[1]内部转账!$E:$E,$G1898)-SUMIFS([1]内部转账!$G:$G,[1]内部转账!$C:$C,"&lt;="&amp;$D1898,[1]内部转账!$F:$F,$G1898)),"")</f>
        <v/>
      </c>
      <c r="M1898" s="64"/>
      <c r="N1898" s="69"/>
      <c r="O1898" s="64"/>
      <c r="P1898" s="64"/>
      <c r="Q1898" s="69"/>
      <c r="R1898" s="69"/>
      <c r="S1898" s="69"/>
    </row>
    <row r="1899" s="2" customFormat="1" ht="24.95" customHeight="1" spans="1:19">
      <c r="A1899" s="15"/>
      <c r="B1899" s="55"/>
      <c r="C1899" s="56"/>
      <c r="D1899" s="68"/>
      <c r="E1899" s="69"/>
      <c r="F1899" s="69"/>
      <c r="G1899" s="65"/>
      <c r="H1899" s="65"/>
      <c r="I1899" s="70"/>
      <c r="J1899" s="71"/>
      <c r="K1899" s="71"/>
      <c r="L1899" s="72" t="str">
        <f>IFERROR(IF(G1899="","",VLOOKUP($G1899,[1]基础信息!$B:$C,2,FALSE)+SUMIF(G$8:G1899,G1899,J$8:J1899)-SUMIF(G$8:G1899,G1899,K$8:K1899)+SUMIFS([1]内部转账!$G:$G,[1]内部转账!$C:$C,"&lt;="&amp;$D1899,[1]内部转账!$E:$E,$G1899)-SUMIFS([1]内部转账!$G:$G,[1]内部转账!$C:$C,"&lt;="&amp;$D1899,[1]内部转账!$F:$F,$G1899)),"")</f>
        <v/>
      </c>
      <c r="M1899" s="64"/>
      <c r="N1899" s="69"/>
      <c r="O1899" s="64"/>
      <c r="P1899" s="64"/>
      <c r="Q1899" s="69"/>
      <c r="R1899" s="69"/>
      <c r="S1899" s="69"/>
    </row>
    <row r="1900" s="2" customFormat="1" ht="24.95" customHeight="1" spans="1:19">
      <c r="A1900" s="15"/>
      <c r="B1900" s="55"/>
      <c r="C1900" s="56"/>
      <c r="D1900" s="68"/>
      <c r="E1900" s="69"/>
      <c r="F1900" s="69"/>
      <c r="G1900" s="65"/>
      <c r="H1900" s="65"/>
      <c r="I1900" s="70"/>
      <c r="J1900" s="71"/>
      <c r="K1900" s="71"/>
      <c r="L1900" s="72" t="str">
        <f>IFERROR(IF(G1900="","",VLOOKUP($G1900,[1]基础信息!$B:$C,2,FALSE)+SUMIF(G$8:G1900,G1900,J$8:J1900)-SUMIF(G$8:G1900,G1900,K$8:K1900)+SUMIFS([1]内部转账!$G:$G,[1]内部转账!$C:$C,"&lt;="&amp;$D1900,[1]内部转账!$E:$E,$G1900)-SUMIFS([1]内部转账!$G:$G,[1]内部转账!$C:$C,"&lt;="&amp;$D1900,[1]内部转账!$F:$F,$G1900)),"")</f>
        <v/>
      </c>
      <c r="M1900" s="64"/>
      <c r="N1900" s="69"/>
      <c r="O1900" s="64"/>
      <c r="P1900" s="64"/>
      <c r="Q1900" s="69"/>
      <c r="R1900" s="69"/>
      <c r="S1900" s="69"/>
    </row>
    <row r="1901" s="2" customFormat="1" ht="24.95" customHeight="1" spans="1:19">
      <c r="A1901" s="15"/>
      <c r="B1901" s="55"/>
      <c r="C1901" s="56"/>
      <c r="D1901" s="68"/>
      <c r="E1901" s="69"/>
      <c r="F1901" s="69"/>
      <c r="G1901" s="65"/>
      <c r="H1901" s="65"/>
      <c r="I1901" s="70"/>
      <c r="J1901" s="71"/>
      <c r="K1901" s="71"/>
      <c r="L1901" s="72" t="str">
        <f>IFERROR(IF(G1901="","",VLOOKUP($G1901,[1]基础信息!$B:$C,2,FALSE)+SUMIF(G$8:G1901,G1901,J$8:J1901)-SUMIF(G$8:G1901,G1901,K$8:K1901)+SUMIFS([1]内部转账!$G:$G,[1]内部转账!$C:$C,"&lt;="&amp;$D1901,[1]内部转账!$E:$E,$G1901)-SUMIFS([1]内部转账!$G:$G,[1]内部转账!$C:$C,"&lt;="&amp;$D1901,[1]内部转账!$F:$F,$G1901)),"")</f>
        <v/>
      </c>
      <c r="M1901" s="64"/>
      <c r="N1901" s="69"/>
      <c r="O1901" s="64"/>
      <c r="P1901" s="64"/>
      <c r="Q1901" s="69"/>
      <c r="R1901" s="69"/>
      <c r="S1901" s="69"/>
    </row>
    <row r="1902" s="2" customFormat="1" ht="24.95" customHeight="1" spans="1:19">
      <c r="A1902" s="15"/>
      <c r="B1902" s="55"/>
      <c r="C1902" s="56"/>
      <c r="D1902" s="68"/>
      <c r="E1902" s="69"/>
      <c r="F1902" s="69"/>
      <c r="G1902" s="65"/>
      <c r="H1902" s="65"/>
      <c r="I1902" s="70"/>
      <c r="J1902" s="71"/>
      <c r="K1902" s="71"/>
      <c r="L1902" s="72" t="str">
        <f>IFERROR(IF(G1902="","",VLOOKUP($G1902,[1]基础信息!$B:$C,2,FALSE)+SUMIF(G$8:G1902,G1902,J$8:J1902)-SUMIF(G$8:G1902,G1902,K$8:K1902)+SUMIFS([1]内部转账!$G:$G,[1]内部转账!$C:$C,"&lt;="&amp;$D1902,[1]内部转账!$E:$E,$G1902)-SUMIFS([1]内部转账!$G:$G,[1]内部转账!$C:$C,"&lt;="&amp;$D1902,[1]内部转账!$F:$F,$G1902)),"")</f>
        <v/>
      </c>
      <c r="M1902" s="64"/>
      <c r="N1902" s="69"/>
      <c r="O1902" s="64"/>
      <c r="P1902" s="64"/>
      <c r="Q1902" s="69"/>
      <c r="R1902" s="69"/>
      <c r="S1902" s="69"/>
    </row>
    <row r="1903" s="2" customFormat="1" ht="24.95" customHeight="1" spans="1:19">
      <c r="A1903" s="15"/>
      <c r="B1903" s="55"/>
      <c r="C1903" s="56"/>
      <c r="D1903" s="68"/>
      <c r="E1903" s="69"/>
      <c r="F1903" s="69"/>
      <c r="G1903" s="65"/>
      <c r="H1903" s="65"/>
      <c r="I1903" s="70"/>
      <c r="J1903" s="71"/>
      <c r="K1903" s="71"/>
      <c r="L1903" s="72" t="str">
        <f>IFERROR(IF(G1903="","",VLOOKUP($G1903,[1]基础信息!$B:$C,2,FALSE)+SUMIF(G$8:G1903,G1903,J$8:J1903)-SUMIF(G$8:G1903,G1903,K$8:K1903)+SUMIFS([1]内部转账!$G:$G,[1]内部转账!$C:$C,"&lt;="&amp;$D1903,[1]内部转账!$E:$E,$G1903)-SUMIFS([1]内部转账!$G:$G,[1]内部转账!$C:$C,"&lt;="&amp;$D1903,[1]内部转账!$F:$F,$G1903)),"")</f>
        <v/>
      </c>
      <c r="M1903" s="64"/>
      <c r="N1903" s="69"/>
      <c r="O1903" s="64"/>
      <c r="P1903" s="64"/>
      <c r="Q1903" s="69"/>
      <c r="R1903" s="69"/>
      <c r="S1903" s="69"/>
    </row>
    <row r="1904" s="2" customFormat="1" ht="24.95" customHeight="1" spans="1:19">
      <c r="A1904" s="15"/>
      <c r="B1904" s="55"/>
      <c r="C1904" s="56"/>
      <c r="D1904" s="68"/>
      <c r="E1904" s="69"/>
      <c r="F1904" s="69"/>
      <c r="G1904" s="65"/>
      <c r="H1904" s="65"/>
      <c r="I1904" s="70"/>
      <c r="J1904" s="71"/>
      <c r="K1904" s="71"/>
      <c r="L1904" s="72" t="str">
        <f>IFERROR(IF(G1904="","",VLOOKUP($G1904,[1]基础信息!$B:$C,2,FALSE)+SUMIF(G$8:G1904,G1904,J$8:J1904)-SUMIF(G$8:G1904,G1904,K$8:K1904)+SUMIFS([1]内部转账!$G:$G,[1]内部转账!$C:$C,"&lt;="&amp;$D1904,[1]内部转账!$E:$E,$G1904)-SUMIFS([1]内部转账!$G:$G,[1]内部转账!$C:$C,"&lt;="&amp;$D1904,[1]内部转账!$F:$F,$G1904)),"")</f>
        <v/>
      </c>
      <c r="M1904" s="64"/>
      <c r="N1904" s="69"/>
      <c r="O1904" s="64"/>
      <c r="P1904" s="64"/>
      <c r="Q1904" s="69"/>
      <c r="R1904" s="69"/>
      <c r="S1904" s="69"/>
    </row>
    <row r="1905" s="2" customFormat="1" ht="24.95" customHeight="1" spans="1:19">
      <c r="A1905" s="15"/>
      <c r="B1905" s="55"/>
      <c r="C1905" s="56"/>
      <c r="D1905" s="68"/>
      <c r="E1905" s="69"/>
      <c r="F1905" s="69"/>
      <c r="G1905" s="65"/>
      <c r="H1905" s="65"/>
      <c r="I1905" s="70"/>
      <c r="J1905" s="71"/>
      <c r="K1905" s="71"/>
      <c r="L1905" s="72" t="str">
        <f>IFERROR(IF(G1905="","",VLOOKUP($G1905,[1]基础信息!$B:$C,2,FALSE)+SUMIF(G$8:G1905,G1905,J$8:J1905)-SUMIF(G$8:G1905,G1905,K$8:K1905)+SUMIFS([1]内部转账!$G:$G,[1]内部转账!$C:$C,"&lt;="&amp;$D1905,[1]内部转账!$E:$E,$G1905)-SUMIFS([1]内部转账!$G:$G,[1]内部转账!$C:$C,"&lt;="&amp;$D1905,[1]内部转账!$F:$F,$G1905)),"")</f>
        <v/>
      </c>
      <c r="M1905" s="64"/>
      <c r="N1905" s="69"/>
      <c r="O1905" s="64"/>
      <c r="P1905" s="64"/>
      <c r="Q1905" s="69"/>
      <c r="R1905" s="69"/>
      <c r="S1905" s="69"/>
    </row>
    <row r="1906" s="2" customFormat="1" ht="24.95" customHeight="1" spans="1:19">
      <c r="A1906" s="15"/>
      <c r="B1906" s="55"/>
      <c r="C1906" s="56"/>
      <c r="D1906" s="68"/>
      <c r="E1906" s="69"/>
      <c r="F1906" s="69"/>
      <c r="G1906" s="65"/>
      <c r="H1906" s="65"/>
      <c r="I1906" s="70"/>
      <c r="J1906" s="71"/>
      <c r="K1906" s="71"/>
      <c r="L1906" s="72" t="str">
        <f>IFERROR(IF(G1906="","",VLOOKUP($G1906,[1]基础信息!$B:$C,2,FALSE)+SUMIF(G$8:G1906,G1906,J$8:J1906)-SUMIF(G$8:G1906,G1906,K$8:K1906)+SUMIFS([1]内部转账!$G:$G,[1]内部转账!$C:$C,"&lt;="&amp;$D1906,[1]内部转账!$E:$E,$G1906)-SUMIFS([1]内部转账!$G:$G,[1]内部转账!$C:$C,"&lt;="&amp;$D1906,[1]内部转账!$F:$F,$G1906)),"")</f>
        <v/>
      </c>
      <c r="M1906" s="64"/>
      <c r="N1906" s="69"/>
      <c r="O1906" s="64"/>
      <c r="P1906" s="64"/>
      <c r="Q1906" s="69"/>
      <c r="R1906" s="69"/>
      <c r="S1906" s="69"/>
    </row>
    <row r="1907" s="2" customFormat="1" ht="24.95" customHeight="1" spans="1:19">
      <c r="A1907" s="15"/>
      <c r="B1907" s="55"/>
      <c r="C1907" s="56"/>
      <c r="D1907" s="68"/>
      <c r="E1907" s="69"/>
      <c r="F1907" s="69"/>
      <c r="G1907" s="65"/>
      <c r="H1907" s="65"/>
      <c r="I1907" s="70"/>
      <c r="J1907" s="71"/>
      <c r="K1907" s="71"/>
      <c r="L1907" s="72" t="str">
        <f>IFERROR(IF(G1907="","",VLOOKUP($G1907,[1]基础信息!$B:$C,2,FALSE)+SUMIF(G$8:G1907,G1907,J$8:J1907)-SUMIF(G$8:G1907,G1907,K$8:K1907)+SUMIFS([1]内部转账!$G:$G,[1]内部转账!$C:$C,"&lt;="&amp;$D1907,[1]内部转账!$E:$E,$G1907)-SUMIFS([1]内部转账!$G:$G,[1]内部转账!$C:$C,"&lt;="&amp;$D1907,[1]内部转账!$F:$F,$G1907)),"")</f>
        <v/>
      </c>
      <c r="M1907" s="64"/>
      <c r="N1907" s="69"/>
      <c r="O1907" s="64"/>
      <c r="P1907" s="64"/>
      <c r="Q1907" s="69"/>
      <c r="R1907" s="69"/>
      <c r="S1907" s="69"/>
    </row>
    <row r="1908" s="2" customFormat="1" ht="24.95" customHeight="1" spans="1:19">
      <c r="A1908" s="15"/>
      <c r="B1908" s="55"/>
      <c r="C1908" s="56"/>
      <c r="D1908" s="68"/>
      <c r="E1908" s="69"/>
      <c r="F1908" s="69"/>
      <c r="G1908" s="65"/>
      <c r="H1908" s="65"/>
      <c r="I1908" s="70"/>
      <c r="J1908" s="71"/>
      <c r="K1908" s="71"/>
      <c r="L1908" s="72" t="str">
        <f>IFERROR(IF(G1908="","",VLOOKUP($G1908,[1]基础信息!$B:$C,2,FALSE)+SUMIF(G$8:G1908,G1908,J$8:J1908)-SUMIF(G$8:G1908,G1908,K$8:K1908)+SUMIFS([1]内部转账!$G:$G,[1]内部转账!$C:$C,"&lt;="&amp;$D1908,[1]内部转账!$E:$E,$G1908)-SUMIFS([1]内部转账!$G:$G,[1]内部转账!$C:$C,"&lt;="&amp;$D1908,[1]内部转账!$F:$F,$G1908)),"")</f>
        <v/>
      </c>
      <c r="M1908" s="64"/>
      <c r="N1908" s="69"/>
      <c r="O1908" s="64"/>
      <c r="P1908" s="64"/>
      <c r="Q1908" s="69"/>
      <c r="R1908" s="69"/>
      <c r="S1908" s="69"/>
    </row>
    <row r="1909" s="2" customFormat="1" ht="24.95" customHeight="1" spans="1:19">
      <c r="A1909" s="15"/>
      <c r="B1909" s="55"/>
      <c r="C1909" s="56"/>
      <c r="D1909" s="68"/>
      <c r="E1909" s="69"/>
      <c r="F1909" s="69"/>
      <c r="G1909" s="65"/>
      <c r="H1909" s="65"/>
      <c r="I1909" s="70"/>
      <c r="J1909" s="71"/>
      <c r="K1909" s="71"/>
      <c r="L1909" s="72" t="str">
        <f>IFERROR(IF(G1909="","",VLOOKUP($G1909,[1]基础信息!$B:$C,2,FALSE)+SUMIF(G$8:G1909,G1909,J$8:J1909)-SUMIF(G$8:G1909,G1909,K$8:K1909)+SUMIFS([1]内部转账!$G:$G,[1]内部转账!$C:$C,"&lt;="&amp;$D1909,[1]内部转账!$E:$E,$G1909)-SUMIFS([1]内部转账!$G:$G,[1]内部转账!$C:$C,"&lt;="&amp;$D1909,[1]内部转账!$F:$F,$G1909)),"")</f>
        <v/>
      </c>
      <c r="M1909" s="64"/>
      <c r="N1909" s="69"/>
      <c r="O1909" s="64"/>
      <c r="P1909" s="64"/>
      <c r="Q1909" s="69"/>
      <c r="R1909" s="69"/>
      <c r="S1909" s="69"/>
    </row>
    <row r="1910" s="2" customFormat="1" ht="24.95" customHeight="1" spans="1:19">
      <c r="A1910" s="15"/>
      <c r="B1910" s="55"/>
      <c r="C1910" s="56"/>
      <c r="D1910" s="68"/>
      <c r="E1910" s="69"/>
      <c r="F1910" s="69"/>
      <c r="G1910" s="65"/>
      <c r="H1910" s="65"/>
      <c r="I1910" s="70"/>
      <c r="J1910" s="71"/>
      <c r="K1910" s="71"/>
      <c r="L1910" s="72" t="str">
        <f>IFERROR(IF(G1910="","",VLOOKUP($G1910,[1]基础信息!$B:$C,2,FALSE)+SUMIF(G$8:G1910,G1910,J$8:J1910)-SUMIF(G$8:G1910,G1910,K$8:K1910)+SUMIFS([1]内部转账!$G:$G,[1]内部转账!$C:$C,"&lt;="&amp;$D1910,[1]内部转账!$E:$E,$G1910)-SUMIFS([1]内部转账!$G:$G,[1]内部转账!$C:$C,"&lt;="&amp;$D1910,[1]内部转账!$F:$F,$G1910)),"")</f>
        <v/>
      </c>
      <c r="M1910" s="64"/>
      <c r="N1910" s="69"/>
      <c r="O1910" s="64"/>
      <c r="P1910" s="64"/>
      <c r="Q1910" s="69"/>
      <c r="R1910" s="69"/>
      <c r="S1910" s="69"/>
    </row>
    <row r="1911" s="2" customFormat="1" ht="24.95" customHeight="1" spans="1:19">
      <c r="A1911" s="15"/>
      <c r="B1911" s="55"/>
      <c r="C1911" s="56"/>
      <c r="D1911" s="68"/>
      <c r="E1911" s="69"/>
      <c r="F1911" s="69"/>
      <c r="G1911" s="65"/>
      <c r="H1911" s="65"/>
      <c r="I1911" s="70"/>
      <c r="J1911" s="71"/>
      <c r="K1911" s="71"/>
      <c r="L1911" s="72" t="str">
        <f>IFERROR(IF(G1911="","",VLOOKUP($G1911,[1]基础信息!$B:$C,2,FALSE)+SUMIF(G$8:G1911,G1911,J$8:J1911)-SUMIF(G$8:G1911,G1911,K$8:K1911)+SUMIFS([1]内部转账!$G:$G,[1]内部转账!$C:$C,"&lt;="&amp;$D1911,[1]内部转账!$E:$E,$G1911)-SUMIFS([1]内部转账!$G:$G,[1]内部转账!$C:$C,"&lt;="&amp;$D1911,[1]内部转账!$F:$F,$G1911)),"")</f>
        <v/>
      </c>
      <c r="M1911" s="64"/>
      <c r="N1911" s="69"/>
      <c r="O1911" s="64"/>
      <c r="P1911" s="64"/>
      <c r="Q1911" s="69"/>
      <c r="R1911" s="69"/>
      <c r="S1911" s="69"/>
    </row>
    <row r="1912" s="2" customFormat="1" ht="24.95" customHeight="1" spans="1:19">
      <c r="A1912" s="15"/>
      <c r="B1912" s="55"/>
      <c r="C1912" s="56"/>
      <c r="D1912" s="68"/>
      <c r="E1912" s="69"/>
      <c r="F1912" s="69"/>
      <c r="G1912" s="65"/>
      <c r="H1912" s="65"/>
      <c r="I1912" s="70"/>
      <c r="J1912" s="71"/>
      <c r="K1912" s="71"/>
      <c r="L1912" s="72" t="str">
        <f>IFERROR(IF(G1912="","",VLOOKUP($G1912,[1]基础信息!$B:$C,2,FALSE)+SUMIF(G$8:G1912,G1912,J$8:J1912)-SUMIF(G$8:G1912,G1912,K$8:K1912)+SUMIFS([1]内部转账!$G:$G,[1]内部转账!$C:$C,"&lt;="&amp;$D1912,[1]内部转账!$E:$E,$G1912)-SUMIFS([1]内部转账!$G:$G,[1]内部转账!$C:$C,"&lt;="&amp;$D1912,[1]内部转账!$F:$F,$G1912)),"")</f>
        <v/>
      </c>
      <c r="M1912" s="64"/>
      <c r="N1912" s="69"/>
      <c r="O1912" s="64"/>
      <c r="P1912" s="64"/>
      <c r="Q1912" s="69"/>
      <c r="R1912" s="69"/>
      <c r="S1912" s="69"/>
    </row>
    <row r="1913" s="2" customFormat="1" ht="24.95" customHeight="1" spans="1:19">
      <c r="A1913" s="15"/>
      <c r="B1913" s="55"/>
      <c r="C1913" s="56"/>
      <c r="D1913" s="68"/>
      <c r="E1913" s="69"/>
      <c r="F1913" s="69"/>
      <c r="G1913" s="65"/>
      <c r="H1913" s="65"/>
      <c r="I1913" s="70"/>
      <c r="J1913" s="71"/>
      <c r="K1913" s="71"/>
      <c r="L1913" s="72" t="str">
        <f>IFERROR(IF(G1913="","",VLOOKUP($G1913,[1]基础信息!$B:$C,2,FALSE)+SUMIF(G$8:G1913,G1913,J$8:J1913)-SUMIF(G$8:G1913,G1913,K$8:K1913)+SUMIFS([1]内部转账!$G:$G,[1]内部转账!$C:$C,"&lt;="&amp;$D1913,[1]内部转账!$E:$E,$G1913)-SUMIFS([1]内部转账!$G:$G,[1]内部转账!$C:$C,"&lt;="&amp;$D1913,[1]内部转账!$F:$F,$G1913)),"")</f>
        <v/>
      </c>
      <c r="M1913" s="64"/>
      <c r="N1913" s="69"/>
      <c r="O1913" s="64"/>
      <c r="P1913" s="64"/>
      <c r="Q1913" s="69"/>
      <c r="R1913" s="69"/>
      <c r="S1913" s="69"/>
    </row>
    <row r="1914" s="2" customFormat="1" ht="24.95" customHeight="1" spans="1:19">
      <c r="A1914" s="15"/>
      <c r="B1914" s="55"/>
      <c r="C1914" s="56"/>
      <c r="D1914" s="68"/>
      <c r="E1914" s="69"/>
      <c r="F1914" s="69"/>
      <c r="G1914" s="65"/>
      <c r="H1914" s="65"/>
      <c r="I1914" s="70"/>
      <c r="J1914" s="71"/>
      <c r="K1914" s="71"/>
      <c r="L1914" s="72" t="str">
        <f>IFERROR(IF(G1914="","",VLOOKUP($G1914,[1]基础信息!$B:$C,2,FALSE)+SUMIF(G$8:G1914,G1914,J$8:J1914)-SUMIF(G$8:G1914,G1914,K$8:K1914)+SUMIFS([1]内部转账!$G:$G,[1]内部转账!$C:$C,"&lt;="&amp;$D1914,[1]内部转账!$E:$E,$G1914)-SUMIFS([1]内部转账!$G:$G,[1]内部转账!$C:$C,"&lt;="&amp;$D1914,[1]内部转账!$F:$F,$G1914)),"")</f>
        <v/>
      </c>
      <c r="M1914" s="64"/>
      <c r="N1914" s="69"/>
      <c r="O1914" s="64"/>
      <c r="P1914" s="64"/>
      <c r="Q1914" s="69"/>
      <c r="R1914" s="69"/>
      <c r="S1914" s="69"/>
    </row>
    <row r="1915" s="2" customFormat="1" ht="24.95" customHeight="1" spans="1:19">
      <c r="A1915" s="15"/>
      <c r="B1915" s="55"/>
      <c r="C1915" s="56"/>
      <c r="D1915" s="68"/>
      <c r="E1915" s="69"/>
      <c r="F1915" s="69"/>
      <c r="G1915" s="65"/>
      <c r="H1915" s="65"/>
      <c r="I1915" s="70"/>
      <c r="J1915" s="71"/>
      <c r="K1915" s="71"/>
      <c r="L1915" s="72" t="str">
        <f>IFERROR(IF(G1915="","",VLOOKUP($G1915,[1]基础信息!$B:$C,2,FALSE)+SUMIF(G$8:G1915,G1915,J$8:J1915)-SUMIF(G$8:G1915,G1915,K$8:K1915)+SUMIFS([1]内部转账!$G:$G,[1]内部转账!$C:$C,"&lt;="&amp;$D1915,[1]内部转账!$E:$E,$G1915)-SUMIFS([1]内部转账!$G:$G,[1]内部转账!$C:$C,"&lt;="&amp;$D1915,[1]内部转账!$F:$F,$G1915)),"")</f>
        <v/>
      </c>
      <c r="M1915" s="64"/>
      <c r="N1915" s="69"/>
      <c r="O1915" s="64"/>
      <c r="P1915" s="64"/>
      <c r="Q1915" s="69"/>
      <c r="R1915" s="69"/>
      <c r="S1915" s="69"/>
    </row>
    <row r="1916" s="2" customFormat="1" ht="24.95" customHeight="1" spans="1:19">
      <c r="A1916" s="15"/>
      <c r="B1916" s="55"/>
      <c r="C1916" s="56"/>
      <c r="D1916" s="68"/>
      <c r="E1916" s="69"/>
      <c r="F1916" s="69"/>
      <c r="G1916" s="65"/>
      <c r="H1916" s="65"/>
      <c r="I1916" s="70"/>
      <c r="J1916" s="71"/>
      <c r="K1916" s="71"/>
      <c r="L1916" s="72" t="str">
        <f>IFERROR(IF(G1916="","",VLOOKUP($G1916,[1]基础信息!$B:$C,2,FALSE)+SUMIF(G$8:G1916,G1916,J$8:J1916)-SUMIF(G$8:G1916,G1916,K$8:K1916)+SUMIFS([1]内部转账!$G:$G,[1]内部转账!$C:$C,"&lt;="&amp;$D1916,[1]内部转账!$E:$E,$G1916)-SUMIFS([1]内部转账!$G:$G,[1]内部转账!$C:$C,"&lt;="&amp;$D1916,[1]内部转账!$F:$F,$G1916)),"")</f>
        <v/>
      </c>
      <c r="M1916" s="64"/>
      <c r="N1916" s="69"/>
      <c r="O1916" s="64"/>
      <c r="P1916" s="64"/>
      <c r="Q1916" s="69"/>
      <c r="R1916" s="69"/>
      <c r="S1916" s="69"/>
    </row>
    <row r="1917" s="2" customFormat="1" ht="24.95" customHeight="1" spans="1:19">
      <c r="A1917" s="15"/>
      <c r="B1917" s="55"/>
      <c r="C1917" s="56"/>
      <c r="D1917" s="68"/>
      <c r="E1917" s="69"/>
      <c r="F1917" s="69"/>
      <c r="G1917" s="65"/>
      <c r="H1917" s="65"/>
      <c r="I1917" s="70"/>
      <c r="J1917" s="71"/>
      <c r="K1917" s="71"/>
      <c r="L1917" s="72" t="str">
        <f>IFERROR(IF(G1917="","",VLOOKUP($G1917,[1]基础信息!$B:$C,2,FALSE)+SUMIF(G$8:G1917,G1917,J$8:J1917)-SUMIF(G$8:G1917,G1917,K$8:K1917)+SUMIFS([1]内部转账!$G:$G,[1]内部转账!$C:$C,"&lt;="&amp;$D1917,[1]内部转账!$E:$E,$G1917)-SUMIFS([1]内部转账!$G:$G,[1]内部转账!$C:$C,"&lt;="&amp;$D1917,[1]内部转账!$F:$F,$G1917)),"")</f>
        <v/>
      </c>
      <c r="M1917" s="64"/>
      <c r="N1917" s="69"/>
      <c r="O1917" s="64"/>
      <c r="P1917" s="64"/>
      <c r="Q1917" s="69"/>
      <c r="R1917" s="69"/>
      <c r="S1917" s="69"/>
    </row>
    <row r="1918" s="2" customFormat="1" ht="24.95" customHeight="1" spans="1:19">
      <c r="A1918" s="15"/>
      <c r="B1918" s="55"/>
      <c r="C1918" s="56"/>
      <c r="D1918" s="68"/>
      <c r="E1918" s="69"/>
      <c r="F1918" s="69"/>
      <c r="G1918" s="65"/>
      <c r="H1918" s="65"/>
      <c r="I1918" s="70"/>
      <c r="J1918" s="71"/>
      <c r="K1918" s="71"/>
      <c r="L1918" s="72" t="str">
        <f>IFERROR(IF(G1918="","",VLOOKUP($G1918,[1]基础信息!$B:$C,2,FALSE)+SUMIF(G$8:G1918,G1918,J$8:J1918)-SUMIF(G$8:G1918,G1918,K$8:K1918)+SUMIFS([1]内部转账!$G:$G,[1]内部转账!$C:$C,"&lt;="&amp;$D1918,[1]内部转账!$E:$E,$G1918)-SUMIFS([1]内部转账!$G:$G,[1]内部转账!$C:$C,"&lt;="&amp;$D1918,[1]内部转账!$F:$F,$G1918)),"")</f>
        <v/>
      </c>
      <c r="M1918" s="64"/>
      <c r="N1918" s="69"/>
      <c r="O1918" s="64"/>
      <c r="P1918" s="64"/>
      <c r="Q1918" s="69"/>
      <c r="R1918" s="69"/>
      <c r="S1918" s="69"/>
    </row>
    <row r="1919" s="2" customFormat="1" ht="24.95" customHeight="1" spans="1:19">
      <c r="A1919" s="15"/>
      <c r="B1919" s="55"/>
      <c r="C1919" s="56"/>
      <c r="D1919" s="68"/>
      <c r="E1919" s="69"/>
      <c r="F1919" s="69"/>
      <c r="G1919" s="65"/>
      <c r="H1919" s="65"/>
      <c r="I1919" s="70"/>
      <c r="J1919" s="71"/>
      <c r="K1919" s="71"/>
      <c r="L1919" s="72" t="str">
        <f>IFERROR(IF(G1919="","",VLOOKUP($G1919,[1]基础信息!$B:$C,2,FALSE)+SUMIF(G$8:G1919,G1919,J$8:J1919)-SUMIF(G$8:G1919,G1919,K$8:K1919)+SUMIFS([1]内部转账!$G:$G,[1]内部转账!$C:$C,"&lt;="&amp;$D1919,[1]内部转账!$E:$E,$G1919)-SUMIFS([1]内部转账!$G:$G,[1]内部转账!$C:$C,"&lt;="&amp;$D1919,[1]内部转账!$F:$F,$G1919)),"")</f>
        <v/>
      </c>
      <c r="M1919" s="64"/>
      <c r="N1919" s="69"/>
      <c r="O1919" s="64"/>
      <c r="P1919" s="64"/>
      <c r="Q1919" s="69"/>
      <c r="R1919" s="69"/>
      <c r="S1919" s="69"/>
    </row>
    <row r="1920" s="2" customFormat="1" ht="24.95" customHeight="1" spans="1:19">
      <c r="A1920" s="15"/>
      <c r="B1920" s="55"/>
      <c r="C1920" s="56"/>
      <c r="D1920" s="68"/>
      <c r="E1920" s="69"/>
      <c r="F1920" s="69"/>
      <c r="G1920" s="65"/>
      <c r="H1920" s="65"/>
      <c r="I1920" s="70"/>
      <c r="J1920" s="71"/>
      <c r="K1920" s="71"/>
      <c r="L1920" s="72" t="str">
        <f>IFERROR(IF(G1920="","",VLOOKUP($G1920,[1]基础信息!$B:$C,2,FALSE)+SUMIF(G$8:G1920,G1920,J$8:J1920)-SUMIF(G$8:G1920,G1920,K$8:K1920)+SUMIFS([1]内部转账!$G:$G,[1]内部转账!$C:$C,"&lt;="&amp;$D1920,[1]内部转账!$E:$E,$G1920)-SUMIFS([1]内部转账!$G:$G,[1]内部转账!$C:$C,"&lt;="&amp;$D1920,[1]内部转账!$F:$F,$G1920)),"")</f>
        <v/>
      </c>
      <c r="M1920" s="64"/>
      <c r="N1920" s="69"/>
      <c r="O1920" s="64"/>
      <c r="P1920" s="64"/>
      <c r="Q1920" s="69"/>
      <c r="R1920" s="69"/>
      <c r="S1920" s="69"/>
    </row>
    <row r="1921" s="2" customFormat="1" ht="24.95" customHeight="1" spans="1:19">
      <c r="A1921" s="15"/>
      <c r="B1921" s="55"/>
      <c r="C1921" s="56"/>
      <c r="D1921" s="68"/>
      <c r="E1921" s="69"/>
      <c r="F1921" s="69"/>
      <c r="G1921" s="65"/>
      <c r="H1921" s="65"/>
      <c r="I1921" s="70"/>
      <c r="J1921" s="71"/>
      <c r="K1921" s="71"/>
      <c r="L1921" s="72" t="str">
        <f>IFERROR(IF(G1921="","",VLOOKUP($G1921,[1]基础信息!$B:$C,2,FALSE)+SUMIF(G$8:G1921,G1921,J$8:J1921)-SUMIF(G$8:G1921,G1921,K$8:K1921)+SUMIFS([1]内部转账!$G:$G,[1]内部转账!$C:$C,"&lt;="&amp;$D1921,[1]内部转账!$E:$E,$G1921)-SUMIFS([1]内部转账!$G:$G,[1]内部转账!$C:$C,"&lt;="&amp;$D1921,[1]内部转账!$F:$F,$G1921)),"")</f>
        <v/>
      </c>
      <c r="M1921" s="64"/>
      <c r="N1921" s="69"/>
      <c r="O1921" s="64"/>
      <c r="P1921" s="64"/>
      <c r="Q1921" s="69"/>
      <c r="R1921" s="69"/>
      <c r="S1921" s="69"/>
    </row>
    <row r="1922" s="2" customFormat="1" ht="24.95" customHeight="1" spans="1:19">
      <c r="A1922" s="15"/>
      <c r="B1922" s="55"/>
      <c r="C1922" s="56"/>
      <c r="D1922" s="68"/>
      <c r="E1922" s="69"/>
      <c r="F1922" s="69"/>
      <c r="G1922" s="65"/>
      <c r="H1922" s="65"/>
      <c r="I1922" s="70"/>
      <c r="J1922" s="71"/>
      <c r="K1922" s="71"/>
      <c r="L1922" s="72" t="str">
        <f>IFERROR(IF(G1922="","",VLOOKUP($G1922,[1]基础信息!$B:$C,2,FALSE)+SUMIF(G$8:G1922,G1922,J$8:J1922)-SUMIF(G$8:G1922,G1922,K$8:K1922)+SUMIFS([1]内部转账!$G:$G,[1]内部转账!$C:$C,"&lt;="&amp;$D1922,[1]内部转账!$E:$E,$G1922)-SUMIFS([1]内部转账!$G:$G,[1]内部转账!$C:$C,"&lt;="&amp;$D1922,[1]内部转账!$F:$F,$G1922)),"")</f>
        <v/>
      </c>
      <c r="M1922" s="64"/>
      <c r="N1922" s="69"/>
      <c r="O1922" s="64"/>
      <c r="P1922" s="64"/>
      <c r="Q1922" s="69"/>
      <c r="R1922" s="69"/>
      <c r="S1922" s="69"/>
    </row>
    <row r="1923" s="2" customFormat="1" ht="24.95" customHeight="1" spans="1:19">
      <c r="A1923" s="15"/>
      <c r="B1923" s="55"/>
      <c r="C1923" s="56"/>
      <c r="D1923" s="68"/>
      <c r="E1923" s="69"/>
      <c r="F1923" s="69"/>
      <c r="G1923" s="65"/>
      <c r="H1923" s="65"/>
      <c r="I1923" s="70"/>
      <c r="J1923" s="71"/>
      <c r="K1923" s="71"/>
      <c r="L1923" s="72" t="str">
        <f>IFERROR(IF(G1923="","",VLOOKUP($G1923,[1]基础信息!$B:$C,2,FALSE)+SUMIF(G$8:G1923,G1923,J$8:J1923)-SUMIF(G$8:G1923,G1923,K$8:K1923)+SUMIFS([1]内部转账!$G:$G,[1]内部转账!$C:$C,"&lt;="&amp;$D1923,[1]内部转账!$E:$E,$G1923)-SUMIFS([1]内部转账!$G:$G,[1]内部转账!$C:$C,"&lt;="&amp;$D1923,[1]内部转账!$F:$F,$G1923)),"")</f>
        <v/>
      </c>
      <c r="M1923" s="64"/>
      <c r="N1923" s="69"/>
      <c r="O1923" s="64"/>
      <c r="P1923" s="64"/>
      <c r="Q1923" s="69"/>
      <c r="R1923" s="69"/>
      <c r="S1923" s="69"/>
    </row>
    <row r="1924" s="2" customFormat="1" ht="24.95" customHeight="1" spans="1:19">
      <c r="A1924" s="15"/>
      <c r="B1924" s="55"/>
      <c r="C1924" s="56"/>
      <c r="D1924" s="68"/>
      <c r="E1924" s="69"/>
      <c r="F1924" s="69"/>
      <c r="G1924" s="65"/>
      <c r="H1924" s="65"/>
      <c r="I1924" s="70"/>
      <c r="J1924" s="71"/>
      <c r="K1924" s="71"/>
      <c r="L1924" s="72" t="str">
        <f>IFERROR(IF(G1924="","",VLOOKUP($G1924,[1]基础信息!$B:$C,2,FALSE)+SUMIF(G$8:G1924,G1924,J$8:J1924)-SUMIF(G$8:G1924,G1924,K$8:K1924)+SUMIFS([1]内部转账!$G:$G,[1]内部转账!$C:$C,"&lt;="&amp;$D1924,[1]内部转账!$E:$E,$G1924)-SUMIFS([1]内部转账!$G:$G,[1]内部转账!$C:$C,"&lt;="&amp;$D1924,[1]内部转账!$F:$F,$G1924)),"")</f>
        <v/>
      </c>
      <c r="M1924" s="64"/>
      <c r="N1924" s="69"/>
      <c r="O1924" s="64"/>
      <c r="P1924" s="64"/>
      <c r="Q1924" s="69"/>
      <c r="R1924" s="69"/>
      <c r="S1924" s="69"/>
    </row>
    <row r="1925" s="2" customFormat="1" ht="24.95" customHeight="1" spans="1:19">
      <c r="A1925" s="15"/>
      <c r="B1925" s="55"/>
      <c r="C1925" s="56"/>
      <c r="D1925" s="68"/>
      <c r="E1925" s="69"/>
      <c r="F1925" s="69"/>
      <c r="G1925" s="65"/>
      <c r="H1925" s="65"/>
      <c r="I1925" s="70"/>
      <c r="J1925" s="71"/>
      <c r="K1925" s="71"/>
      <c r="L1925" s="72" t="str">
        <f>IFERROR(IF(G1925="","",VLOOKUP($G1925,[1]基础信息!$B:$C,2,FALSE)+SUMIF(G$8:G1925,G1925,J$8:J1925)-SUMIF(G$8:G1925,G1925,K$8:K1925)+SUMIFS([1]内部转账!$G:$G,[1]内部转账!$C:$C,"&lt;="&amp;$D1925,[1]内部转账!$E:$E,$G1925)-SUMIFS([1]内部转账!$G:$G,[1]内部转账!$C:$C,"&lt;="&amp;$D1925,[1]内部转账!$F:$F,$G1925)),"")</f>
        <v/>
      </c>
      <c r="M1925" s="64"/>
      <c r="N1925" s="69"/>
      <c r="O1925" s="64"/>
      <c r="P1925" s="64"/>
      <c r="Q1925" s="69"/>
      <c r="R1925" s="69"/>
      <c r="S1925" s="69"/>
    </row>
    <row r="1926" s="2" customFormat="1" ht="24.95" customHeight="1" spans="1:19">
      <c r="A1926" s="15"/>
      <c r="B1926" s="55"/>
      <c r="C1926" s="56"/>
      <c r="D1926" s="68"/>
      <c r="E1926" s="69"/>
      <c r="F1926" s="69"/>
      <c r="G1926" s="65"/>
      <c r="H1926" s="65"/>
      <c r="I1926" s="70"/>
      <c r="J1926" s="71"/>
      <c r="K1926" s="71"/>
      <c r="L1926" s="72" t="str">
        <f>IFERROR(IF(G1926="","",VLOOKUP($G1926,[1]基础信息!$B:$C,2,FALSE)+SUMIF(G$8:G1926,G1926,J$8:J1926)-SUMIF(G$8:G1926,G1926,K$8:K1926)+SUMIFS([1]内部转账!$G:$G,[1]内部转账!$C:$C,"&lt;="&amp;$D1926,[1]内部转账!$E:$E,$G1926)-SUMIFS([1]内部转账!$G:$G,[1]内部转账!$C:$C,"&lt;="&amp;$D1926,[1]内部转账!$F:$F,$G1926)),"")</f>
        <v/>
      </c>
      <c r="M1926" s="64"/>
      <c r="N1926" s="69"/>
      <c r="O1926" s="64"/>
      <c r="P1926" s="64"/>
      <c r="Q1926" s="69"/>
      <c r="R1926" s="69"/>
      <c r="S1926" s="69"/>
    </row>
    <row r="1927" s="2" customFormat="1" ht="24.95" customHeight="1" spans="1:19">
      <c r="A1927" s="15"/>
      <c r="B1927" s="55"/>
      <c r="C1927" s="56"/>
      <c r="D1927" s="68"/>
      <c r="E1927" s="69"/>
      <c r="F1927" s="69"/>
      <c r="G1927" s="65"/>
      <c r="H1927" s="65"/>
      <c r="I1927" s="70"/>
      <c r="J1927" s="71"/>
      <c r="K1927" s="71"/>
      <c r="L1927" s="72" t="str">
        <f>IFERROR(IF(G1927="","",VLOOKUP($G1927,[1]基础信息!$B:$C,2,FALSE)+SUMIF(G$8:G1927,G1927,J$8:J1927)-SUMIF(G$8:G1927,G1927,K$8:K1927)+SUMIFS([1]内部转账!$G:$G,[1]内部转账!$C:$C,"&lt;="&amp;$D1927,[1]内部转账!$E:$E,$G1927)-SUMIFS([1]内部转账!$G:$G,[1]内部转账!$C:$C,"&lt;="&amp;$D1927,[1]内部转账!$F:$F,$G1927)),"")</f>
        <v/>
      </c>
      <c r="M1927" s="64"/>
      <c r="N1927" s="69"/>
      <c r="O1927" s="64"/>
      <c r="P1927" s="64"/>
      <c r="Q1927" s="69"/>
      <c r="R1927" s="69"/>
      <c r="S1927" s="69"/>
    </row>
    <row r="1928" s="2" customFormat="1" ht="24.95" customHeight="1" spans="1:19">
      <c r="A1928" s="15"/>
      <c r="B1928" s="55"/>
      <c r="C1928" s="56"/>
      <c r="D1928" s="68"/>
      <c r="E1928" s="69"/>
      <c r="F1928" s="69"/>
      <c r="G1928" s="65"/>
      <c r="H1928" s="65"/>
      <c r="I1928" s="70"/>
      <c r="J1928" s="71"/>
      <c r="K1928" s="71"/>
      <c r="L1928" s="72" t="str">
        <f>IFERROR(IF(G1928="","",VLOOKUP($G1928,[1]基础信息!$B:$C,2,FALSE)+SUMIF(G$8:G1928,G1928,J$8:J1928)-SUMIF(G$8:G1928,G1928,K$8:K1928)+SUMIFS([1]内部转账!$G:$G,[1]内部转账!$C:$C,"&lt;="&amp;$D1928,[1]内部转账!$E:$E,$G1928)-SUMIFS([1]内部转账!$G:$G,[1]内部转账!$C:$C,"&lt;="&amp;$D1928,[1]内部转账!$F:$F,$G1928)),"")</f>
        <v/>
      </c>
      <c r="M1928" s="64"/>
      <c r="N1928" s="69"/>
      <c r="O1928" s="64"/>
      <c r="P1928" s="64"/>
      <c r="Q1928" s="69"/>
      <c r="R1928" s="69"/>
      <c r="S1928" s="69"/>
    </row>
    <row r="1929" s="2" customFormat="1" ht="24.95" customHeight="1" spans="1:19">
      <c r="A1929" s="15"/>
      <c r="B1929" s="55"/>
      <c r="C1929" s="56"/>
      <c r="D1929" s="68"/>
      <c r="E1929" s="69"/>
      <c r="F1929" s="69"/>
      <c r="G1929" s="65"/>
      <c r="H1929" s="65"/>
      <c r="I1929" s="70"/>
      <c r="J1929" s="71"/>
      <c r="K1929" s="71"/>
      <c r="L1929" s="72" t="str">
        <f>IFERROR(IF(G1929="","",VLOOKUP($G1929,[1]基础信息!$B:$C,2,FALSE)+SUMIF(G$8:G1929,G1929,J$8:J1929)-SUMIF(G$8:G1929,G1929,K$8:K1929)+SUMIFS([1]内部转账!$G:$G,[1]内部转账!$C:$C,"&lt;="&amp;$D1929,[1]内部转账!$E:$E,$G1929)-SUMIFS([1]内部转账!$G:$G,[1]内部转账!$C:$C,"&lt;="&amp;$D1929,[1]内部转账!$F:$F,$G1929)),"")</f>
        <v/>
      </c>
      <c r="M1929" s="64"/>
      <c r="N1929" s="69"/>
      <c r="O1929" s="64"/>
      <c r="P1929" s="64"/>
      <c r="Q1929" s="69"/>
      <c r="R1929" s="69"/>
      <c r="S1929" s="69"/>
    </row>
    <row r="1930" s="2" customFormat="1" ht="24.95" customHeight="1" spans="1:19">
      <c r="A1930" s="15"/>
      <c r="B1930" s="55"/>
      <c r="C1930" s="56"/>
      <c r="D1930" s="68"/>
      <c r="E1930" s="69"/>
      <c r="F1930" s="69"/>
      <c r="G1930" s="65"/>
      <c r="H1930" s="65"/>
      <c r="I1930" s="70"/>
      <c r="J1930" s="71"/>
      <c r="K1930" s="71"/>
      <c r="L1930" s="72" t="str">
        <f>IFERROR(IF(G1930="","",VLOOKUP($G1930,[1]基础信息!$B:$C,2,FALSE)+SUMIF(G$8:G1930,G1930,J$8:J1930)-SUMIF(G$8:G1930,G1930,K$8:K1930)+SUMIFS([1]内部转账!$G:$G,[1]内部转账!$C:$C,"&lt;="&amp;$D1930,[1]内部转账!$E:$E,$G1930)-SUMIFS([1]内部转账!$G:$G,[1]内部转账!$C:$C,"&lt;="&amp;$D1930,[1]内部转账!$F:$F,$G1930)),"")</f>
        <v/>
      </c>
      <c r="M1930" s="64"/>
      <c r="N1930" s="69"/>
      <c r="O1930" s="64"/>
      <c r="P1930" s="64"/>
      <c r="Q1930" s="69"/>
      <c r="R1930" s="69"/>
      <c r="S1930" s="69"/>
    </row>
    <row r="1931" s="2" customFormat="1" ht="24.95" customHeight="1" spans="1:19">
      <c r="A1931" s="15"/>
      <c r="B1931" s="55"/>
      <c r="C1931" s="56"/>
      <c r="D1931" s="68"/>
      <c r="E1931" s="69"/>
      <c r="F1931" s="69"/>
      <c r="G1931" s="65"/>
      <c r="H1931" s="65"/>
      <c r="I1931" s="70"/>
      <c r="J1931" s="71"/>
      <c r="K1931" s="71"/>
      <c r="L1931" s="72" t="str">
        <f>IFERROR(IF(G1931="","",VLOOKUP($G1931,[1]基础信息!$B:$C,2,FALSE)+SUMIF(G$8:G1931,G1931,J$8:J1931)-SUMIF(G$8:G1931,G1931,K$8:K1931)+SUMIFS([1]内部转账!$G:$G,[1]内部转账!$C:$C,"&lt;="&amp;$D1931,[1]内部转账!$E:$E,$G1931)-SUMIFS([1]内部转账!$G:$G,[1]内部转账!$C:$C,"&lt;="&amp;$D1931,[1]内部转账!$F:$F,$G1931)),"")</f>
        <v/>
      </c>
      <c r="M1931" s="64"/>
      <c r="N1931" s="69"/>
      <c r="O1931" s="64"/>
      <c r="P1931" s="64"/>
      <c r="Q1931" s="69"/>
      <c r="R1931" s="69"/>
      <c r="S1931" s="69"/>
    </row>
    <row r="1932" s="2" customFormat="1" ht="24.95" customHeight="1" spans="1:19">
      <c r="A1932" s="15"/>
      <c r="B1932" s="55"/>
      <c r="C1932" s="56"/>
      <c r="D1932" s="68"/>
      <c r="E1932" s="69"/>
      <c r="F1932" s="69"/>
      <c r="G1932" s="65"/>
      <c r="H1932" s="65"/>
      <c r="I1932" s="70"/>
      <c r="J1932" s="71"/>
      <c r="K1932" s="71"/>
      <c r="L1932" s="72" t="str">
        <f>IFERROR(IF(G1932="","",VLOOKUP($G1932,[1]基础信息!$B:$C,2,FALSE)+SUMIF(G$8:G1932,G1932,J$8:J1932)-SUMIF(G$8:G1932,G1932,K$8:K1932)+SUMIFS([1]内部转账!$G:$G,[1]内部转账!$C:$C,"&lt;="&amp;$D1932,[1]内部转账!$E:$E,$G1932)-SUMIFS([1]内部转账!$G:$G,[1]内部转账!$C:$C,"&lt;="&amp;$D1932,[1]内部转账!$F:$F,$G1932)),"")</f>
        <v/>
      </c>
      <c r="M1932" s="64"/>
      <c r="N1932" s="69"/>
      <c r="O1932" s="64"/>
      <c r="P1932" s="64"/>
      <c r="Q1932" s="69"/>
      <c r="R1932" s="69"/>
      <c r="S1932" s="69"/>
    </row>
    <row r="1933" s="2" customFormat="1" ht="24.95" customHeight="1" spans="1:19">
      <c r="A1933" s="15"/>
      <c r="B1933" s="55"/>
      <c r="C1933" s="56"/>
      <c r="D1933" s="68"/>
      <c r="E1933" s="69"/>
      <c r="F1933" s="69"/>
      <c r="G1933" s="65"/>
      <c r="H1933" s="65"/>
      <c r="I1933" s="70"/>
      <c r="J1933" s="71"/>
      <c r="K1933" s="71"/>
      <c r="L1933" s="72" t="str">
        <f>IFERROR(IF(G1933="","",VLOOKUP($G1933,[1]基础信息!$B:$C,2,FALSE)+SUMIF(G$8:G1933,G1933,J$8:J1933)-SUMIF(G$8:G1933,G1933,K$8:K1933)+SUMIFS([1]内部转账!$G:$G,[1]内部转账!$C:$C,"&lt;="&amp;$D1933,[1]内部转账!$E:$E,$G1933)-SUMIFS([1]内部转账!$G:$G,[1]内部转账!$C:$C,"&lt;="&amp;$D1933,[1]内部转账!$F:$F,$G1933)),"")</f>
        <v/>
      </c>
      <c r="M1933" s="64"/>
      <c r="N1933" s="69"/>
      <c r="O1933" s="64"/>
      <c r="P1933" s="64"/>
      <c r="Q1933" s="69"/>
      <c r="R1933" s="69"/>
      <c r="S1933" s="69"/>
    </row>
    <row r="1934" s="2" customFormat="1" ht="24.95" customHeight="1" spans="1:19">
      <c r="A1934" s="15"/>
      <c r="B1934" s="55"/>
      <c r="C1934" s="56"/>
      <c r="D1934" s="68"/>
      <c r="E1934" s="69"/>
      <c r="F1934" s="69"/>
      <c r="G1934" s="65"/>
      <c r="H1934" s="65"/>
      <c r="I1934" s="70"/>
      <c r="J1934" s="71"/>
      <c r="K1934" s="71"/>
      <c r="L1934" s="72" t="str">
        <f>IFERROR(IF(G1934="","",VLOOKUP($G1934,[1]基础信息!$B:$C,2,FALSE)+SUMIF(G$8:G1934,G1934,J$8:J1934)-SUMIF(G$8:G1934,G1934,K$8:K1934)+SUMIFS([1]内部转账!$G:$G,[1]内部转账!$C:$C,"&lt;="&amp;$D1934,[1]内部转账!$E:$E,$G1934)-SUMIFS([1]内部转账!$G:$G,[1]内部转账!$C:$C,"&lt;="&amp;$D1934,[1]内部转账!$F:$F,$G1934)),"")</f>
        <v/>
      </c>
      <c r="M1934" s="64"/>
      <c r="N1934" s="69"/>
      <c r="O1934" s="64"/>
      <c r="P1934" s="64"/>
      <c r="Q1934" s="69"/>
      <c r="R1934" s="69"/>
      <c r="S1934" s="69"/>
    </row>
    <row r="1935" s="2" customFormat="1" ht="24.95" customHeight="1" spans="1:19">
      <c r="A1935" s="15"/>
      <c r="B1935" s="55"/>
      <c r="C1935" s="56"/>
      <c r="D1935" s="68"/>
      <c r="E1935" s="69"/>
      <c r="F1935" s="69"/>
      <c r="G1935" s="65"/>
      <c r="H1935" s="65"/>
      <c r="I1935" s="70"/>
      <c r="J1935" s="71"/>
      <c r="K1935" s="71"/>
      <c r="L1935" s="72" t="str">
        <f>IFERROR(IF(G1935="","",VLOOKUP($G1935,[1]基础信息!$B:$C,2,FALSE)+SUMIF(G$8:G1935,G1935,J$8:J1935)-SUMIF(G$8:G1935,G1935,K$8:K1935)+SUMIFS([1]内部转账!$G:$G,[1]内部转账!$C:$C,"&lt;="&amp;$D1935,[1]内部转账!$E:$E,$G1935)-SUMIFS([1]内部转账!$G:$G,[1]内部转账!$C:$C,"&lt;="&amp;$D1935,[1]内部转账!$F:$F,$G1935)),"")</f>
        <v/>
      </c>
      <c r="M1935" s="64"/>
      <c r="N1935" s="69"/>
      <c r="O1935" s="64"/>
      <c r="P1935" s="64"/>
      <c r="Q1935" s="69"/>
      <c r="R1935" s="69"/>
      <c r="S1935" s="69"/>
    </row>
    <row r="1936" s="2" customFormat="1" ht="24.95" customHeight="1" spans="1:19">
      <c r="A1936" s="15"/>
      <c r="B1936" s="55"/>
      <c r="C1936" s="56"/>
      <c r="D1936" s="68"/>
      <c r="E1936" s="69"/>
      <c r="F1936" s="69"/>
      <c r="G1936" s="65"/>
      <c r="H1936" s="65"/>
      <c r="I1936" s="70"/>
      <c r="J1936" s="71"/>
      <c r="K1936" s="71"/>
      <c r="L1936" s="72" t="str">
        <f>IFERROR(IF(G1936="","",VLOOKUP($G1936,[1]基础信息!$B:$C,2,FALSE)+SUMIF(G$8:G1936,G1936,J$8:J1936)-SUMIF(G$8:G1936,G1936,K$8:K1936)+SUMIFS([1]内部转账!$G:$G,[1]内部转账!$C:$C,"&lt;="&amp;$D1936,[1]内部转账!$E:$E,$G1936)-SUMIFS([1]内部转账!$G:$G,[1]内部转账!$C:$C,"&lt;="&amp;$D1936,[1]内部转账!$F:$F,$G1936)),"")</f>
        <v/>
      </c>
      <c r="M1936" s="64"/>
      <c r="N1936" s="69"/>
      <c r="O1936" s="64"/>
      <c r="P1936" s="64"/>
      <c r="Q1936" s="69"/>
      <c r="R1936" s="69"/>
      <c r="S1936" s="69"/>
    </row>
    <row r="1937" s="2" customFormat="1" ht="24.95" customHeight="1" spans="1:19">
      <c r="A1937" s="15"/>
      <c r="B1937" s="55"/>
      <c r="C1937" s="56"/>
      <c r="D1937" s="68"/>
      <c r="E1937" s="69"/>
      <c r="F1937" s="69"/>
      <c r="G1937" s="65"/>
      <c r="H1937" s="65"/>
      <c r="I1937" s="70"/>
      <c r="J1937" s="71"/>
      <c r="K1937" s="71"/>
      <c r="L1937" s="72" t="str">
        <f>IFERROR(IF(G1937="","",VLOOKUP($G1937,[1]基础信息!$B:$C,2,FALSE)+SUMIF(G$8:G1937,G1937,J$8:J1937)-SUMIF(G$8:G1937,G1937,K$8:K1937)+SUMIFS([1]内部转账!$G:$G,[1]内部转账!$C:$C,"&lt;="&amp;$D1937,[1]内部转账!$E:$E,$G1937)-SUMIFS([1]内部转账!$G:$G,[1]内部转账!$C:$C,"&lt;="&amp;$D1937,[1]内部转账!$F:$F,$G1937)),"")</f>
        <v/>
      </c>
      <c r="M1937" s="64"/>
      <c r="N1937" s="69"/>
      <c r="O1937" s="64"/>
      <c r="P1937" s="64"/>
      <c r="Q1937" s="69"/>
      <c r="R1937" s="69"/>
      <c r="S1937" s="69"/>
    </row>
    <row r="1938" s="2" customFormat="1" ht="24.95" customHeight="1" spans="1:19">
      <c r="A1938" s="15"/>
      <c r="B1938" s="55"/>
      <c r="C1938" s="56"/>
      <c r="D1938" s="68"/>
      <c r="E1938" s="69"/>
      <c r="F1938" s="69"/>
      <c r="G1938" s="65"/>
      <c r="H1938" s="65"/>
      <c r="I1938" s="70"/>
      <c r="J1938" s="71"/>
      <c r="K1938" s="71"/>
      <c r="L1938" s="72" t="str">
        <f>IFERROR(IF(G1938="","",VLOOKUP($G1938,[1]基础信息!$B:$C,2,FALSE)+SUMIF(G$8:G1938,G1938,J$8:J1938)-SUMIF(G$8:G1938,G1938,K$8:K1938)+SUMIFS([1]内部转账!$G:$G,[1]内部转账!$C:$C,"&lt;="&amp;$D1938,[1]内部转账!$E:$E,$G1938)-SUMIFS([1]内部转账!$G:$G,[1]内部转账!$C:$C,"&lt;="&amp;$D1938,[1]内部转账!$F:$F,$G1938)),"")</f>
        <v/>
      </c>
      <c r="M1938" s="64"/>
      <c r="N1938" s="69"/>
      <c r="O1938" s="64"/>
      <c r="P1938" s="64"/>
      <c r="Q1938" s="69"/>
      <c r="R1938" s="69"/>
      <c r="S1938" s="69"/>
    </row>
    <row r="1939" s="2" customFormat="1" ht="24.95" customHeight="1" spans="1:19">
      <c r="A1939" s="15"/>
      <c r="B1939" s="55"/>
      <c r="C1939" s="56"/>
      <c r="D1939" s="68"/>
      <c r="E1939" s="69"/>
      <c r="F1939" s="69"/>
      <c r="G1939" s="65"/>
      <c r="H1939" s="65"/>
      <c r="I1939" s="70"/>
      <c r="J1939" s="71"/>
      <c r="K1939" s="71"/>
      <c r="L1939" s="72" t="str">
        <f>IFERROR(IF(G1939="","",VLOOKUP($G1939,[1]基础信息!$B:$C,2,FALSE)+SUMIF(G$8:G1939,G1939,J$8:J1939)-SUMIF(G$8:G1939,G1939,K$8:K1939)+SUMIFS([1]内部转账!$G:$G,[1]内部转账!$C:$C,"&lt;="&amp;$D1939,[1]内部转账!$E:$E,$G1939)-SUMIFS([1]内部转账!$G:$G,[1]内部转账!$C:$C,"&lt;="&amp;$D1939,[1]内部转账!$F:$F,$G1939)),"")</f>
        <v/>
      </c>
      <c r="M1939" s="64"/>
      <c r="N1939" s="69"/>
      <c r="O1939" s="64"/>
      <c r="P1939" s="64"/>
      <c r="Q1939" s="69"/>
      <c r="R1939" s="69"/>
      <c r="S1939" s="69"/>
    </row>
    <row r="1940" s="2" customFormat="1" ht="24.95" customHeight="1" spans="1:19">
      <c r="A1940" s="15"/>
      <c r="B1940" s="55"/>
      <c r="C1940" s="56"/>
      <c r="D1940" s="68"/>
      <c r="E1940" s="69"/>
      <c r="F1940" s="69"/>
      <c r="G1940" s="65"/>
      <c r="H1940" s="65"/>
      <c r="I1940" s="70"/>
      <c r="J1940" s="71"/>
      <c r="K1940" s="71"/>
      <c r="L1940" s="72" t="str">
        <f>IFERROR(IF(G1940="","",VLOOKUP($G1940,[1]基础信息!$B:$C,2,FALSE)+SUMIF(G$8:G1940,G1940,J$8:J1940)-SUMIF(G$8:G1940,G1940,K$8:K1940)+SUMIFS([1]内部转账!$G:$G,[1]内部转账!$C:$C,"&lt;="&amp;$D1940,[1]内部转账!$E:$E,$G1940)-SUMIFS([1]内部转账!$G:$G,[1]内部转账!$C:$C,"&lt;="&amp;$D1940,[1]内部转账!$F:$F,$G1940)),"")</f>
        <v/>
      </c>
      <c r="M1940" s="64"/>
      <c r="N1940" s="69"/>
      <c r="O1940" s="64"/>
      <c r="P1940" s="64"/>
      <c r="Q1940" s="69"/>
      <c r="R1940" s="69"/>
      <c r="S1940" s="69"/>
    </row>
    <row r="1941" s="2" customFormat="1" ht="24.95" customHeight="1" spans="1:19">
      <c r="A1941" s="15"/>
      <c r="B1941" s="55"/>
      <c r="C1941" s="56"/>
      <c r="D1941" s="68"/>
      <c r="E1941" s="69"/>
      <c r="F1941" s="69"/>
      <c r="G1941" s="65"/>
      <c r="H1941" s="65"/>
      <c r="I1941" s="70"/>
      <c r="J1941" s="71"/>
      <c r="K1941" s="71"/>
      <c r="L1941" s="72" t="str">
        <f>IFERROR(IF(G1941="","",VLOOKUP($G1941,[1]基础信息!$B:$C,2,FALSE)+SUMIF(G$8:G1941,G1941,J$8:J1941)-SUMIF(G$8:G1941,G1941,K$8:K1941)+SUMIFS([1]内部转账!$G:$G,[1]内部转账!$C:$C,"&lt;="&amp;$D1941,[1]内部转账!$E:$E,$G1941)-SUMIFS([1]内部转账!$G:$G,[1]内部转账!$C:$C,"&lt;="&amp;$D1941,[1]内部转账!$F:$F,$G1941)),"")</f>
        <v/>
      </c>
      <c r="M1941" s="64"/>
      <c r="N1941" s="69"/>
      <c r="O1941" s="64"/>
      <c r="P1941" s="64"/>
      <c r="Q1941" s="69"/>
      <c r="R1941" s="69"/>
      <c r="S1941" s="69"/>
    </row>
    <row r="1942" s="2" customFormat="1" ht="24.95" customHeight="1" spans="1:19">
      <c r="A1942" s="15"/>
      <c r="B1942" s="55"/>
      <c r="C1942" s="56"/>
      <c r="D1942" s="68"/>
      <c r="E1942" s="69"/>
      <c r="F1942" s="69"/>
      <c r="G1942" s="65"/>
      <c r="H1942" s="65"/>
      <c r="I1942" s="70"/>
      <c r="J1942" s="71"/>
      <c r="K1942" s="71"/>
      <c r="L1942" s="72" t="str">
        <f>IFERROR(IF(G1942="","",VLOOKUP($G1942,[1]基础信息!$B:$C,2,FALSE)+SUMIF(G$8:G1942,G1942,J$8:J1942)-SUMIF(G$8:G1942,G1942,K$8:K1942)+SUMIFS([1]内部转账!$G:$G,[1]内部转账!$C:$C,"&lt;="&amp;$D1942,[1]内部转账!$E:$E,$G1942)-SUMIFS([1]内部转账!$G:$G,[1]内部转账!$C:$C,"&lt;="&amp;$D1942,[1]内部转账!$F:$F,$G1942)),"")</f>
        <v/>
      </c>
      <c r="M1942" s="64"/>
      <c r="N1942" s="69"/>
      <c r="O1942" s="64"/>
      <c r="P1942" s="64"/>
      <c r="Q1942" s="69"/>
      <c r="R1942" s="69"/>
      <c r="S1942" s="69"/>
    </row>
    <row r="1943" s="2" customFormat="1" ht="24.95" customHeight="1" spans="1:19">
      <c r="A1943" s="15"/>
      <c r="B1943" s="55"/>
      <c r="C1943" s="56"/>
      <c r="D1943" s="68"/>
      <c r="E1943" s="69"/>
      <c r="F1943" s="69"/>
      <c r="G1943" s="65"/>
      <c r="H1943" s="65"/>
      <c r="I1943" s="70"/>
      <c r="J1943" s="71"/>
      <c r="K1943" s="71"/>
      <c r="L1943" s="72" t="str">
        <f>IFERROR(IF(G1943="","",VLOOKUP($G1943,[1]基础信息!$B:$C,2,FALSE)+SUMIF(G$8:G1943,G1943,J$8:J1943)-SUMIF(G$8:G1943,G1943,K$8:K1943)+SUMIFS([1]内部转账!$G:$G,[1]内部转账!$C:$C,"&lt;="&amp;$D1943,[1]内部转账!$E:$E,$G1943)-SUMIFS([1]内部转账!$G:$G,[1]内部转账!$C:$C,"&lt;="&amp;$D1943,[1]内部转账!$F:$F,$G1943)),"")</f>
        <v/>
      </c>
      <c r="M1943" s="64"/>
      <c r="N1943" s="69"/>
      <c r="O1943" s="64"/>
      <c r="P1943" s="64"/>
      <c r="Q1943" s="69"/>
      <c r="R1943" s="69"/>
      <c r="S1943" s="69"/>
    </row>
    <row r="1944" s="2" customFormat="1" ht="24.95" customHeight="1" spans="1:19">
      <c r="A1944" s="15"/>
      <c r="B1944" s="55"/>
      <c r="C1944" s="56"/>
      <c r="D1944" s="68"/>
      <c r="E1944" s="69"/>
      <c r="F1944" s="69"/>
      <c r="G1944" s="65"/>
      <c r="H1944" s="65"/>
      <c r="I1944" s="70"/>
      <c r="J1944" s="71"/>
      <c r="K1944" s="71"/>
      <c r="L1944" s="72" t="str">
        <f>IFERROR(IF(G1944="","",VLOOKUP($G1944,[1]基础信息!$B:$C,2,FALSE)+SUMIF(G$8:G1944,G1944,J$8:J1944)-SUMIF(G$8:G1944,G1944,K$8:K1944)+SUMIFS([1]内部转账!$G:$G,[1]内部转账!$C:$C,"&lt;="&amp;$D1944,[1]内部转账!$E:$E,$G1944)-SUMIFS([1]内部转账!$G:$G,[1]内部转账!$C:$C,"&lt;="&amp;$D1944,[1]内部转账!$F:$F,$G1944)),"")</f>
        <v/>
      </c>
      <c r="M1944" s="64"/>
      <c r="N1944" s="69"/>
      <c r="O1944" s="64"/>
      <c r="P1944" s="64"/>
      <c r="Q1944" s="69"/>
      <c r="R1944" s="69"/>
      <c r="S1944" s="69"/>
    </row>
    <row r="1945" s="2" customFormat="1" ht="24.95" customHeight="1" spans="1:19">
      <c r="A1945" s="15"/>
      <c r="B1945" s="55"/>
      <c r="C1945" s="56"/>
      <c r="D1945" s="68"/>
      <c r="E1945" s="69"/>
      <c r="F1945" s="69"/>
      <c r="G1945" s="65"/>
      <c r="H1945" s="65"/>
      <c r="I1945" s="70"/>
      <c r="J1945" s="71"/>
      <c r="K1945" s="71"/>
      <c r="L1945" s="72" t="str">
        <f>IFERROR(IF(G1945="","",VLOOKUP($G1945,[1]基础信息!$B:$C,2,FALSE)+SUMIF(G$8:G1945,G1945,J$8:J1945)-SUMIF(G$8:G1945,G1945,K$8:K1945)+SUMIFS([1]内部转账!$G:$G,[1]内部转账!$C:$C,"&lt;="&amp;$D1945,[1]内部转账!$E:$E,$G1945)-SUMIFS([1]内部转账!$G:$G,[1]内部转账!$C:$C,"&lt;="&amp;$D1945,[1]内部转账!$F:$F,$G1945)),"")</f>
        <v/>
      </c>
      <c r="M1945" s="64"/>
      <c r="N1945" s="69"/>
      <c r="O1945" s="64"/>
      <c r="P1945" s="64"/>
      <c r="Q1945" s="69"/>
      <c r="R1945" s="69"/>
      <c r="S1945" s="69"/>
    </row>
    <row r="1946" s="2" customFormat="1" ht="24.95" customHeight="1" spans="1:19">
      <c r="A1946" s="15"/>
      <c r="B1946" s="55"/>
      <c r="C1946" s="56"/>
      <c r="D1946" s="68"/>
      <c r="E1946" s="69"/>
      <c r="F1946" s="69"/>
      <c r="G1946" s="65"/>
      <c r="H1946" s="65"/>
      <c r="I1946" s="70"/>
      <c r="J1946" s="71"/>
      <c r="K1946" s="71"/>
      <c r="L1946" s="72" t="str">
        <f>IFERROR(IF(G1946="","",VLOOKUP($G1946,[1]基础信息!$B:$C,2,FALSE)+SUMIF(G$8:G1946,G1946,J$8:J1946)-SUMIF(G$8:G1946,G1946,K$8:K1946)+SUMIFS([1]内部转账!$G:$G,[1]内部转账!$C:$C,"&lt;="&amp;$D1946,[1]内部转账!$E:$E,$G1946)-SUMIFS([1]内部转账!$G:$G,[1]内部转账!$C:$C,"&lt;="&amp;$D1946,[1]内部转账!$F:$F,$G1946)),"")</f>
        <v/>
      </c>
      <c r="M1946" s="64"/>
      <c r="N1946" s="69"/>
      <c r="O1946" s="64"/>
      <c r="P1946" s="64"/>
      <c r="Q1946" s="69"/>
      <c r="R1946" s="69"/>
      <c r="S1946" s="69"/>
    </row>
    <row r="1947" s="2" customFormat="1" ht="24.95" customHeight="1" spans="1:19">
      <c r="A1947" s="15"/>
      <c r="B1947" s="55"/>
      <c r="C1947" s="56"/>
      <c r="D1947" s="68"/>
      <c r="E1947" s="69"/>
      <c r="F1947" s="69"/>
      <c r="G1947" s="65"/>
      <c r="H1947" s="65"/>
      <c r="I1947" s="70"/>
      <c r="J1947" s="71"/>
      <c r="K1947" s="71"/>
      <c r="L1947" s="72" t="str">
        <f>IFERROR(IF(G1947="","",VLOOKUP($G1947,[1]基础信息!$B:$C,2,FALSE)+SUMIF(G$8:G1947,G1947,J$8:J1947)-SUMIF(G$8:G1947,G1947,K$8:K1947)+SUMIFS([1]内部转账!$G:$G,[1]内部转账!$C:$C,"&lt;="&amp;$D1947,[1]内部转账!$E:$E,$G1947)-SUMIFS([1]内部转账!$G:$G,[1]内部转账!$C:$C,"&lt;="&amp;$D1947,[1]内部转账!$F:$F,$G1947)),"")</f>
        <v/>
      </c>
      <c r="M1947" s="64"/>
      <c r="N1947" s="69"/>
      <c r="O1947" s="64"/>
      <c r="P1947" s="64"/>
      <c r="Q1947" s="69"/>
      <c r="R1947" s="69"/>
      <c r="S1947" s="69"/>
    </row>
    <row r="1948" s="2" customFormat="1" ht="24.95" customHeight="1" spans="1:19">
      <c r="A1948" s="15"/>
      <c r="B1948" s="55"/>
      <c r="C1948" s="56"/>
      <c r="D1948" s="68"/>
      <c r="E1948" s="69"/>
      <c r="F1948" s="69"/>
      <c r="G1948" s="65"/>
      <c r="H1948" s="65"/>
      <c r="I1948" s="70"/>
      <c r="J1948" s="71"/>
      <c r="K1948" s="71"/>
      <c r="L1948" s="72" t="str">
        <f>IFERROR(IF(G1948="","",VLOOKUP($G1948,[1]基础信息!$B:$C,2,FALSE)+SUMIF(G$8:G1948,G1948,J$8:J1948)-SUMIF(G$8:G1948,G1948,K$8:K1948)+SUMIFS([1]内部转账!$G:$G,[1]内部转账!$C:$C,"&lt;="&amp;$D1948,[1]内部转账!$E:$E,$G1948)-SUMIFS([1]内部转账!$G:$G,[1]内部转账!$C:$C,"&lt;="&amp;$D1948,[1]内部转账!$F:$F,$G1948)),"")</f>
        <v/>
      </c>
      <c r="M1948" s="64"/>
      <c r="N1948" s="69"/>
      <c r="O1948" s="64"/>
      <c r="P1948" s="64"/>
      <c r="Q1948" s="69"/>
      <c r="R1948" s="69"/>
      <c r="S1948" s="69"/>
    </row>
    <row r="1949" s="2" customFormat="1" ht="24.95" customHeight="1" spans="1:19">
      <c r="A1949" s="15"/>
      <c r="B1949" s="55"/>
      <c r="C1949" s="56"/>
      <c r="D1949" s="68"/>
      <c r="E1949" s="69"/>
      <c r="F1949" s="69"/>
      <c r="G1949" s="65"/>
      <c r="H1949" s="65"/>
      <c r="I1949" s="70"/>
      <c r="J1949" s="71"/>
      <c r="K1949" s="71"/>
      <c r="L1949" s="72" t="str">
        <f>IFERROR(IF(G1949="","",VLOOKUP($G1949,[1]基础信息!$B:$C,2,FALSE)+SUMIF(G$8:G1949,G1949,J$8:J1949)-SUMIF(G$8:G1949,G1949,K$8:K1949)+SUMIFS([1]内部转账!$G:$G,[1]内部转账!$C:$C,"&lt;="&amp;$D1949,[1]内部转账!$E:$E,$G1949)-SUMIFS([1]内部转账!$G:$G,[1]内部转账!$C:$C,"&lt;="&amp;$D1949,[1]内部转账!$F:$F,$G1949)),"")</f>
        <v/>
      </c>
      <c r="M1949" s="64"/>
      <c r="N1949" s="69"/>
      <c r="O1949" s="64"/>
      <c r="P1949" s="64"/>
      <c r="Q1949" s="69"/>
      <c r="R1949" s="69"/>
      <c r="S1949" s="69"/>
    </row>
    <row r="1950" s="2" customFormat="1" ht="24.95" customHeight="1" spans="1:19">
      <c r="A1950" s="15"/>
      <c r="B1950" s="55"/>
      <c r="C1950" s="56"/>
      <c r="D1950" s="68"/>
      <c r="E1950" s="69"/>
      <c r="F1950" s="69"/>
      <c r="G1950" s="65"/>
      <c r="H1950" s="65"/>
      <c r="I1950" s="70"/>
      <c r="J1950" s="71"/>
      <c r="K1950" s="71"/>
      <c r="L1950" s="72" t="str">
        <f>IFERROR(IF(G1950="","",VLOOKUP($G1950,[1]基础信息!$B:$C,2,FALSE)+SUMIF(G$8:G1950,G1950,J$8:J1950)-SUMIF(G$8:G1950,G1950,K$8:K1950)+SUMIFS([1]内部转账!$G:$G,[1]内部转账!$C:$C,"&lt;="&amp;$D1950,[1]内部转账!$E:$E,$G1950)-SUMIFS([1]内部转账!$G:$G,[1]内部转账!$C:$C,"&lt;="&amp;$D1950,[1]内部转账!$F:$F,$G1950)),"")</f>
        <v/>
      </c>
      <c r="M1950" s="64"/>
      <c r="N1950" s="69"/>
      <c r="O1950" s="64"/>
      <c r="P1950" s="64"/>
      <c r="Q1950" s="69"/>
      <c r="R1950" s="69"/>
      <c r="S1950" s="69"/>
    </row>
    <row r="1951" s="2" customFormat="1" ht="24.95" customHeight="1" spans="1:19">
      <c r="A1951" s="15"/>
      <c r="B1951" s="55"/>
      <c r="C1951" s="56"/>
      <c r="D1951" s="68"/>
      <c r="E1951" s="69"/>
      <c r="F1951" s="69"/>
      <c r="G1951" s="65"/>
      <c r="H1951" s="65"/>
      <c r="I1951" s="70"/>
      <c r="J1951" s="71"/>
      <c r="K1951" s="71"/>
      <c r="L1951" s="72" t="str">
        <f>IFERROR(IF(G1951="","",VLOOKUP($G1951,[1]基础信息!$B:$C,2,FALSE)+SUMIF(G$8:G1951,G1951,J$8:J1951)-SUMIF(G$8:G1951,G1951,K$8:K1951)+SUMIFS([1]内部转账!$G:$G,[1]内部转账!$C:$C,"&lt;="&amp;$D1951,[1]内部转账!$E:$E,$G1951)-SUMIFS([1]内部转账!$G:$G,[1]内部转账!$C:$C,"&lt;="&amp;$D1951,[1]内部转账!$F:$F,$G1951)),"")</f>
        <v/>
      </c>
      <c r="M1951" s="64"/>
      <c r="N1951" s="69"/>
      <c r="O1951" s="64"/>
      <c r="P1951" s="64"/>
      <c r="Q1951" s="69"/>
      <c r="R1951" s="69"/>
      <c r="S1951" s="69"/>
    </row>
    <row r="1952" s="2" customFormat="1" ht="24.95" customHeight="1" spans="1:19">
      <c r="A1952" s="15"/>
      <c r="B1952" s="55"/>
      <c r="C1952" s="56"/>
      <c r="D1952" s="68"/>
      <c r="E1952" s="69"/>
      <c r="F1952" s="69"/>
      <c r="G1952" s="65"/>
      <c r="H1952" s="65"/>
      <c r="I1952" s="70"/>
      <c r="J1952" s="71"/>
      <c r="K1952" s="71"/>
      <c r="L1952" s="72" t="str">
        <f>IFERROR(IF(G1952="","",VLOOKUP($G1952,[1]基础信息!$B:$C,2,FALSE)+SUMIF(G$8:G1952,G1952,J$8:J1952)-SUMIF(G$8:G1952,G1952,K$8:K1952)+SUMIFS([1]内部转账!$G:$G,[1]内部转账!$C:$C,"&lt;="&amp;$D1952,[1]内部转账!$E:$E,$G1952)-SUMIFS([1]内部转账!$G:$G,[1]内部转账!$C:$C,"&lt;="&amp;$D1952,[1]内部转账!$F:$F,$G1952)),"")</f>
        <v/>
      </c>
      <c r="M1952" s="64"/>
      <c r="N1952" s="69"/>
      <c r="O1952" s="64"/>
      <c r="P1952" s="64"/>
      <c r="Q1952" s="69"/>
      <c r="R1952" s="69"/>
      <c r="S1952" s="69"/>
    </row>
    <row r="1953" s="2" customFormat="1" ht="24.95" customHeight="1" spans="1:19">
      <c r="A1953" s="15"/>
      <c r="B1953" s="55"/>
      <c r="C1953" s="56"/>
      <c r="D1953" s="68"/>
      <c r="E1953" s="69"/>
      <c r="F1953" s="69"/>
      <c r="G1953" s="65"/>
      <c r="H1953" s="65"/>
      <c r="I1953" s="70"/>
      <c r="J1953" s="71"/>
      <c r="K1953" s="71"/>
      <c r="L1953" s="72" t="str">
        <f>IFERROR(IF(G1953="","",VLOOKUP($G1953,[1]基础信息!$B:$C,2,FALSE)+SUMIF(G$8:G1953,G1953,J$8:J1953)-SUMIF(G$8:G1953,G1953,K$8:K1953)+SUMIFS([1]内部转账!$G:$G,[1]内部转账!$C:$C,"&lt;="&amp;$D1953,[1]内部转账!$E:$E,$G1953)-SUMIFS([1]内部转账!$G:$G,[1]内部转账!$C:$C,"&lt;="&amp;$D1953,[1]内部转账!$F:$F,$G1953)),"")</f>
        <v/>
      </c>
      <c r="M1953" s="64"/>
      <c r="N1953" s="69"/>
      <c r="O1953" s="64"/>
      <c r="P1953" s="64"/>
      <c r="Q1953" s="69"/>
      <c r="R1953" s="69"/>
      <c r="S1953" s="69"/>
    </row>
    <row r="1954" s="2" customFormat="1" ht="24.95" customHeight="1" spans="1:19">
      <c r="A1954" s="15"/>
      <c r="B1954" s="55"/>
      <c r="C1954" s="56"/>
      <c r="D1954" s="68"/>
      <c r="E1954" s="69"/>
      <c r="F1954" s="69"/>
      <c r="G1954" s="65"/>
      <c r="H1954" s="65"/>
      <c r="I1954" s="70"/>
      <c r="J1954" s="71"/>
      <c r="K1954" s="71"/>
      <c r="L1954" s="72" t="str">
        <f>IFERROR(IF(G1954="","",VLOOKUP($G1954,[1]基础信息!$B:$C,2,FALSE)+SUMIF(G$8:G1954,G1954,J$8:J1954)-SUMIF(G$8:G1954,G1954,K$8:K1954)+SUMIFS([1]内部转账!$G:$G,[1]内部转账!$C:$C,"&lt;="&amp;$D1954,[1]内部转账!$E:$E,$G1954)-SUMIFS([1]内部转账!$G:$G,[1]内部转账!$C:$C,"&lt;="&amp;$D1954,[1]内部转账!$F:$F,$G1954)),"")</f>
        <v/>
      </c>
      <c r="M1954" s="64"/>
      <c r="N1954" s="69"/>
      <c r="O1954" s="64"/>
      <c r="P1954" s="64"/>
      <c r="Q1954" s="69"/>
      <c r="R1954" s="69"/>
      <c r="S1954" s="69"/>
    </row>
    <row r="1955" s="2" customFormat="1" ht="24.95" customHeight="1" spans="1:19">
      <c r="A1955" s="15"/>
      <c r="B1955" s="55"/>
      <c r="C1955" s="56"/>
      <c r="D1955" s="68"/>
      <c r="E1955" s="69"/>
      <c r="F1955" s="69"/>
      <c r="G1955" s="65"/>
      <c r="H1955" s="65"/>
      <c r="I1955" s="70"/>
      <c r="J1955" s="71"/>
      <c r="K1955" s="71"/>
      <c r="L1955" s="72" t="str">
        <f>IFERROR(IF(G1955="","",VLOOKUP($G1955,[1]基础信息!$B:$C,2,FALSE)+SUMIF(G$8:G1955,G1955,J$8:J1955)-SUMIF(G$8:G1955,G1955,K$8:K1955)+SUMIFS([1]内部转账!$G:$G,[1]内部转账!$C:$C,"&lt;="&amp;$D1955,[1]内部转账!$E:$E,$G1955)-SUMIFS([1]内部转账!$G:$G,[1]内部转账!$C:$C,"&lt;="&amp;$D1955,[1]内部转账!$F:$F,$G1955)),"")</f>
        <v/>
      </c>
      <c r="M1955" s="64"/>
      <c r="N1955" s="69"/>
      <c r="O1955" s="64"/>
      <c r="P1955" s="64"/>
      <c r="Q1955" s="69"/>
      <c r="R1955" s="69"/>
      <c r="S1955" s="69"/>
    </row>
    <row r="1956" s="2" customFormat="1" ht="24.95" customHeight="1" spans="1:19">
      <c r="A1956" s="15"/>
      <c r="B1956" s="55"/>
      <c r="C1956" s="56"/>
      <c r="D1956" s="68"/>
      <c r="E1956" s="69"/>
      <c r="F1956" s="69"/>
      <c r="G1956" s="65"/>
      <c r="H1956" s="65"/>
      <c r="I1956" s="70"/>
      <c r="J1956" s="71"/>
      <c r="K1956" s="71"/>
      <c r="L1956" s="72" t="str">
        <f>IFERROR(IF(G1956="","",VLOOKUP($G1956,[1]基础信息!$B:$C,2,FALSE)+SUMIF(G$8:G1956,G1956,J$8:J1956)-SUMIF(G$8:G1956,G1956,K$8:K1956)+SUMIFS([1]内部转账!$G:$G,[1]内部转账!$C:$C,"&lt;="&amp;$D1956,[1]内部转账!$E:$E,$G1956)-SUMIFS([1]内部转账!$G:$G,[1]内部转账!$C:$C,"&lt;="&amp;$D1956,[1]内部转账!$F:$F,$G1956)),"")</f>
        <v/>
      </c>
      <c r="M1956" s="64"/>
      <c r="N1956" s="69"/>
      <c r="O1956" s="64"/>
      <c r="P1956" s="64"/>
      <c r="Q1956" s="69"/>
      <c r="R1956" s="69"/>
      <c r="S1956" s="69"/>
    </row>
    <row r="1957" s="2" customFormat="1" ht="24.95" customHeight="1" spans="1:19">
      <c r="A1957" s="15"/>
      <c r="B1957" s="55"/>
      <c r="C1957" s="56"/>
      <c r="D1957" s="68"/>
      <c r="E1957" s="69"/>
      <c r="F1957" s="69"/>
      <c r="G1957" s="65"/>
      <c r="H1957" s="65"/>
      <c r="I1957" s="70"/>
      <c r="J1957" s="71"/>
      <c r="K1957" s="71"/>
      <c r="L1957" s="72" t="str">
        <f>IFERROR(IF(G1957="","",VLOOKUP($G1957,[1]基础信息!$B:$C,2,FALSE)+SUMIF(G$8:G1957,G1957,J$8:J1957)-SUMIF(G$8:G1957,G1957,K$8:K1957)+SUMIFS([1]内部转账!$G:$G,[1]内部转账!$C:$C,"&lt;="&amp;$D1957,[1]内部转账!$E:$E,$G1957)-SUMIFS([1]内部转账!$G:$G,[1]内部转账!$C:$C,"&lt;="&amp;$D1957,[1]内部转账!$F:$F,$G1957)),"")</f>
        <v/>
      </c>
      <c r="M1957" s="64"/>
      <c r="N1957" s="69"/>
      <c r="O1957" s="64"/>
      <c r="P1957" s="64"/>
      <c r="Q1957" s="69"/>
      <c r="R1957" s="69"/>
      <c r="S1957" s="69"/>
    </row>
    <row r="1958" s="2" customFormat="1" ht="24.95" customHeight="1" spans="1:19">
      <c r="A1958" s="15"/>
      <c r="B1958" s="55"/>
      <c r="C1958" s="56"/>
      <c r="D1958" s="68"/>
      <c r="E1958" s="69"/>
      <c r="F1958" s="69"/>
      <c r="G1958" s="65"/>
      <c r="H1958" s="65"/>
      <c r="I1958" s="70"/>
      <c r="J1958" s="71"/>
      <c r="K1958" s="71"/>
      <c r="L1958" s="72" t="str">
        <f>IFERROR(IF(G1958="","",VLOOKUP($G1958,[1]基础信息!$B:$C,2,FALSE)+SUMIF(G$8:G1958,G1958,J$8:J1958)-SUMIF(G$8:G1958,G1958,K$8:K1958)+SUMIFS([1]内部转账!$G:$G,[1]内部转账!$C:$C,"&lt;="&amp;$D1958,[1]内部转账!$E:$E,$G1958)-SUMIFS([1]内部转账!$G:$G,[1]内部转账!$C:$C,"&lt;="&amp;$D1958,[1]内部转账!$F:$F,$G1958)),"")</f>
        <v/>
      </c>
      <c r="M1958" s="64"/>
      <c r="N1958" s="69"/>
      <c r="O1958" s="64"/>
      <c r="P1958" s="64"/>
      <c r="Q1958" s="69"/>
      <c r="R1958" s="69"/>
      <c r="S1958" s="69"/>
    </row>
    <row r="1959" s="2" customFormat="1" ht="24.95" customHeight="1" spans="1:19">
      <c r="A1959" s="15"/>
      <c r="B1959" s="55"/>
      <c r="C1959" s="56"/>
      <c r="D1959" s="68"/>
      <c r="E1959" s="69"/>
      <c r="F1959" s="69"/>
      <c r="G1959" s="65"/>
      <c r="H1959" s="65"/>
      <c r="I1959" s="70"/>
      <c r="J1959" s="71"/>
      <c r="K1959" s="71"/>
      <c r="L1959" s="72" t="str">
        <f>IFERROR(IF(G1959="","",VLOOKUP($G1959,[1]基础信息!$B:$C,2,FALSE)+SUMIF(G$8:G1959,G1959,J$8:J1959)-SUMIF(G$8:G1959,G1959,K$8:K1959)+SUMIFS([1]内部转账!$G:$G,[1]内部转账!$C:$C,"&lt;="&amp;$D1959,[1]内部转账!$E:$E,$G1959)-SUMIFS([1]内部转账!$G:$G,[1]内部转账!$C:$C,"&lt;="&amp;$D1959,[1]内部转账!$F:$F,$G1959)),"")</f>
        <v/>
      </c>
      <c r="M1959" s="64"/>
      <c r="N1959" s="69"/>
      <c r="O1959" s="64"/>
      <c r="P1959" s="64"/>
      <c r="Q1959" s="69"/>
      <c r="R1959" s="69"/>
      <c r="S1959" s="69"/>
    </row>
    <row r="1960" s="2" customFormat="1" ht="24.95" customHeight="1" spans="1:19">
      <c r="A1960" s="15"/>
      <c r="B1960" s="55"/>
      <c r="C1960" s="56"/>
      <c r="D1960" s="68"/>
      <c r="E1960" s="69"/>
      <c r="F1960" s="69"/>
      <c r="G1960" s="65"/>
      <c r="H1960" s="65"/>
      <c r="I1960" s="70"/>
      <c r="J1960" s="71"/>
      <c r="K1960" s="71"/>
      <c r="L1960" s="72" t="str">
        <f>IFERROR(IF(G1960="","",VLOOKUP($G1960,[1]基础信息!$B:$C,2,FALSE)+SUMIF(G$8:G1960,G1960,J$8:J1960)-SUMIF(G$8:G1960,G1960,K$8:K1960)+SUMIFS([1]内部转账!$G:$G,[1]内部转账!$C:$C,"&lt;="&amp;$D1960,[1]内部转账!$E:$E,$G1960)-SUMIFS([1]内部转账!$G:$G,[1]内部转账!$C:$C,"&lt;="&amp;$D1960,[1]内部转账!$F:$F,$G1960)),"")</f>
        <v/>
      </c>
      <c r="M1960" s="64"/>
      <c r="N1960" s="69"/>
      <c r="O1960" s="64"/>
      <c r="P1960" s="64"/>
      <c r="Q1960" s="69"/>
      <c r="R1960" s="69"/>
      <c r="S1960" s="69"/>
    </row>
    <row r="1961" s="2" customFormat="1" ht="24.95" customHeight="1" spans="1:19">
      <c r="A1961" s="15"/>
      <c r="B1961" s="55"/>
      <c r="C1961" s="56"/>
      <c r="D1961" s="68"/>
      <c r="E1961" s="69"/>
      <c r="F1961" s="69"/>
      <c r="G1961" s="65"/>
      <c r="H1961" s="65"/>
      <c r="I1961" s="70"/>
      <c r="J1961" s="71"/>
      <c r="K1961" s="71"/>
      <c r="L1961" s="72" t="str">
        <f>IFERROR(IF(G1961="","",VLOOKUP($G1961,[1]基础信息!$B:$C,2,FALSE)+SUMIF(G$8:G1961,G1961,J$8:J1961)-SUMIF(G$8:G1961,G1961,K$8:K1961)+SUMIFS([1]内部转账!$G:$G,[1]内部转账!$C:$C,"&lt;="&amp;$D1961,[1]内部转账!$E:$E,$G1961)-SUMIFS([1]内部转账!$G:$G,[1]内部转账!$C:$C,"&lt;="&amp;$D1961,[1]内部转账!$F:$F,$G1961)),"")</f>
        <v/>
      </c>
      <c r="M1961" s="64"/>
      <c r="N1961" s="69"/>
      <c r="O1961" s="64"/>
      <c r="P1961" s="64"/>
      <c r="Q1961" s="69"/>
      <c r="R1961" s="69"/>
      <c r="S1961" s="69"/>
    </row>
    <row r="1962" s="2" customFormat="1" ht="24.95" customHeight="1" spans="1:19">
      <c r="A1962" s="15"/>
      <c r="B1962" s="55"/>
      <c r="C1962" s="56"/>
      <c r="D1962" s="68"/>
      <c r="E1962" s="69"/>
      <c r="F1962" s="69"/>
      <c r="G1962" s="65"/>
      <c r="H1962" s="65"/>
      <c r="I1962" s="70"/>
      <c r="J1962" s="71"/>
      <c r="K1962" s="71"/>
      <c r="L1962" s="72" t="str">
        <f>IFERROR(IF(G1962="","",VLOOKUP($G1962,[1]基础信息!$B:$C,2,FALSE)+SUMIF(G$8:G1962,G1962,J$8:J1962)-SUMIF(G$8:G1962,G1962,K$8:K1962)+SUMIFS([1]内部转账!$G:$G,[1]内部转账!$C:$C,"&lt;="&amp;$D1962,[1]内部转账!$E:$E,$G1962)-SUMIFS([1]内部转账!$G:$G,[1]内部转账!$C:$C,"&lt;="&amp;$D1962,[1]内部转账!$F:$F,$G1962)),"")</f>
        <v/>
      </c>
      <c r="M1962" s="64"/>
      <c r="N1962" s="69"/>
      <c r="O1962" s="64"/>
      <c r="P1962" s="64"/>
      <c r="Q1962" s="69"/>
      <c r="R1962" s="69"/>
      <c r="S1962" s="69"/>
    </row>
    <row r="1963" s="2" customFormat="1" ht="24.95" customHeight="1" spans="1:19">
      <c r="A1963" s="15"/>
      <c r="B1963" s="55"/>
      <c r="C1963" s="56"/>
      <c r="D1963" s="68"/>
      <c r="E1963" s="69"/>
      <c r="F1963" s="69"/>
      <c r="G1963" s="65"/>
      <c r="H1963" s="65"/>
      <c r="I1963" s="70"/>
      <c r="J1963" s="71"/>
      <c r="K1963" s="71"/>
      <c r="L1963" s="72" t="str">
        <f>IFERROR(IF(G1963="","",VLOOKUP($G1963,[1]基础信息!$B:$C,2,FALSE)+SUMIF(G$8:G1963,G1963,J$8:J1963)-SUMIF(G$8:G1963,G1963,K$8:K1963)+SUMIFS([1]内部转账!$G:$G,[1]内部转账!$C:$C,"&lt;="&amp;$D1963,[1]内部转账!$E:$E,$G1963)-SUMIFS([1]内部转账!$G:$G,[1]内部转账!$C:$C,"&lt;="&amp;$D1963,[1]内部转账!$F:$F,$G1963)),"")</f>
        <v/>
      </c>
      <c r="M1963" s="64"/>
      <c r="N1963" s="69"/>
      <c r="O1963" s="64"/>
      <c r="P1963" s="64"/>
      <c r="Q1963" s="69"/>
      <c r="R1963" s="69"/>
      <c r="S1963" s="69"/>
    </row>
    <row r="1964" s="2" customFormat="1" ht="24.95" customHeight="1" spans="1:19">
      <c r="A1964" s="15"/>
      <c r="B1964" s="55"/>
      <c r="C1964" s="56"/>
      <c r="D1964" s="68"/>
      <c r="E1964" s="69"/>
      <c r="F1964" s="69"/>
      <c r="G1964" s="65"/>
      <c r="H1964" s="65"/>
      <c r="I1964" s="70"/>
      <c r="J1964" s="71"/>
      <c r="K1964" s="71"/>
      <c r="L1964" s="72" t="str">
        <f>IFERROR(IF(G1964="","",VLOOKUP($G1964,[1]基础信息!$B:$C,2,FALSE)+SUMIF(G$8:G1964,G1964,J$8:J1964)-SUMIF(G$8:G1964,G1964,K$8:K1964)+SUMIFS([1]内部转账!$G:$G,[1]内部转账!$C:$C,"&lt;="&amp;$D1964,[1]内部转账!$E:$E,$G1964)-SUMIFS([1]内部转账!$G:$G,[1]内部转账!$C:$C,"&lt;="&amp;$D1964,[1]内部转账!$F:$F,$G1964)),"")</f>
        <v/>
      </c>
      <c r="M1964" s="64"/>
      <c r="N1964" s="69"/>
      <c r="O1964" s="64"/>
      <c r="P1964" s="64"/>
      <c r="Q1964" s="69"/>
      <c r="R1964" s="69"/>
      <c r="S1964" s="69"/>
    </row>
    <row r="1965" s="2" customFormat="1" ht="24.95" customHeight="1" spans="1:19">
      <c r="A1965" s="15"/>
      <c r="B1965" s="55"/>
      <c r="C1965" s="56"/>
      <c r="D1965" s="68"/>
      <c r="E1965" s="69"/>
      <c r="F1965" s="69"/>
      <c r="G1965" s="65"/>
      <c r="H1965" s="65"/>
      <c r="I1965" s="70"/>
      <c r="J1965" s="71"/>
      <c r="K1965" s="71"/>
      <c r="L1965" s="72" t="str">
        <f>IFERROR(IF(G1965="","",VLOOKUP($G1965,[1]基础信息!$B:$C,2,FALSE)+SUMIF(G$8:G1965,G1965,J$8:J1965)-SUMIF(G$8:G1965,G1965,K$8:K1965)+SUMIFS([1]内部转账!$G:$G,[1]内部转账!$C:$C,"&lt;="&amp;$D1965,[1]内部转账!$E:$E,$G1965)-SUMIFS([1]内部转账!$G:$G,[1]内部转账!$C:$C,"&lt;="&amp;$D1965,[1]内部转账!$F:$F,$G1965)),"")</f>
        <v/>
      </c>
      <c r="M1965" s="64"/>
      <c r="N1965" s="69"/>
      <c r="O1965" s="64"/>
      <c r="P1965" s="64"/>
      <c r="Q1965" s="69"/>
      <c r="R1965" s="69"/>
      <c r="S1965" s="69"/>
    </row>
    <row r="1966" s="2" customFormat="1" ht="24.95" customHeight="1" spans="1:19">
      <c r="A1966" s="15"/>
      <c r="B1966" s="55"/>
      <c r="C1966" s="56"/>
      <c r="D1966" s="68"/>
      <c r="E1966" s="69"/>
      <c r="F1966" s="69"/>
      <c r="G1966" s="65"/>
      <c r="H1966" s="65"/>
      <c r="I1966" s="70"/>
      <c r="J1966" s="71"/>
      <c r="K1966" s="71"/>
      <c r="L1966" s="72" t="str">
        <f>IFERROR(IF(G1966="","",VLOOKUP($G1966,[1]基础信息!$B:$C,2,FALSE)+SUMIF(G$8:G1966,G1966,J$8:J1966)-SUMIF(G$8:G1966,G1966,K$8:K1966)+SUMIFS([1]内部转账!$G:$G,[1]内部转账!$C:$C,"&lt;="&amp;$D1966,[1]内部转账!$E:$E,$G1966)-SUMIFS([1]内部转账!$G:$G,[1]内部转账!$C:$C,"&lt;="&amp;$D1966,[1]内部转账!$F:$F,$G1966)),"")</f>
        <v/>
      </c>
      <c r="M1966" s="64"/>
      <c r="N1966" s="69"/>
      <c r="O1966" s="64"/>
      <c r="P1966" s="64"/>
      <c r="Q1966" s="69"/>
      <c r="R1966" s="69"/>
      <c r="S1966" s="69"/>
    </row>
    <row r="1967" s="2" customFormat="1" ht="24.95" customHeight="1" spans="1:19">
      <c r="A1967" s="15"/>
      <c r="B1967" s="55"/>
      <c r="C1967" s="56"/>
      <c r="D1967" s="68"/>
      <c r="E1967" s="69"/>
      <c r="F1967" s="69"/>
      <c r="G1967" s="65"/>
      <c r="H1967" s="65"/>
      <c r="I1967" s="70"/>
      <c r="J1967" s="71"/>
      <c r="K1967" s="71"/>
      <c r="L1967" s="72" t="str">
        <f>IFERROR(IF(G1967="","",VLOOKUP($G1967,[1]基础信息!$B:$C,2,FALSE)+SUMIF(G$8:G1967,G1967,J$8:J1967)-SUMIF(G$8:G1967,G1967,K$8:K1967)+SUMIFS([1]内部转账!$G:$G,[1]内部转账!$C:$C,"&lt;="&amp;$D1967,[1]内部转账!$E:$E,$G1967)-SUMIFS([1]内部转账!$G:$G,[1]内部转账!$C:$C,"&lt;="&amp;$D1967,[1]内部转账!$F:$F,$G1967)),"")</f>
        <v/>
      </c>
      <c r="M1967" s="64"/>
      <c r="N1967" s="69"/>
      <c r="O1967" s="64"/>
      <c r="P1967" s="64"/>
      <c r="Q1967" s="69"/>
      <c r="R1967" s="69"/>
      <c r="S1967" s="69"/>
    </row>
    <row r="1968" s="2" customFormat="1" ht="24.95" customHeight="1" spans="1:19">
      <c r="A1968" s="15"/>
      <c r="B1968" s="55"/>
      <c r="C1968" s="56"/>
      <c r="D1968" s="68"/>
      <c r="E1968" s="69"/>
      <c r="F1968" s="69"/>
      <c r="G1968" s="65"/>
      <c r="H1968" s="65"/>
      <c r="I1968" s="70"/>
      <c r="J1968" s="71"/>
      <c r="K1968" s="71"/>
      <c r="L1968" s="72" t="str">
        <f>IFERROR(IF(G1968="","",VLOOKUP($G1968,[1]基础信息!$B:$C,2,FALSE)+SUMIF(G$8:G1968,G1968,J$8:J1968)-SUMIF(G$8:G1968,G1968,K$8:K1968)+SUMIFS([1]内部转账!$G:$G,[1]内部转账!$C:$C,"&lt;="&amp;$D1968,[1]内部转账!$E:$E,$G1968)-SUMIFS([1]内部转账!$G:$G,[1]内部转账!$C:$C,"&lt;="&amp;$D1968,[1]内部转账!$F:$F,$G1968)),"")</f>
        <v/>
      </c>
      <c r="M1968" s="64"/>
      <c r="N1968" s="69"/>
      <c r="O1968" s="64"/>
      <c r="P1968" s="64"/>
      <c r="Q1968" s="69"/>
      <c r="R1968" s="69"/>
      <c r="S1968" s="69"/>
    </row>
    <row r="1969" s="2" customFormat="1" ht="24.95" customHeight="1" spans="1:19">
      <c r="A1969" s="15"/>
      <c r="B1969" s="55"/>
      <c r="C1969" s="56"/>
      <c r="D1969" s="68"/>
      <c r="E1969" s="69"/>
      <c r="F1969" s="69"/>
      <c r="G1969" s="65"/>
      <c r="H1969" s="65"/>
      <c r="I1969" s="70"/>
      <c r="J1969" s="71"/>
      <c r="K1969" s="71"/>
      <c r="L1969" s="72" t="str">
        <f>IFERROR(IF(G1969="","",VLOOKUP($G1969,[1]基础信息!$B:$C,2,FALSE)+SUMIF(G$8:G1969,G1969,J$8:J1969)-SUMIF(G$8:G1969,G1969,K$8:K1969)+SUMIFS([1]内部转账!$G:$G,[1]内部转账!$C:$C,"&lt;="&amp;$D1969,[1]内部转账!$E:$E,$G1969)-SUMIFS([1]内部转账!$G:$G,[1]内部转账!$C:$C,"&lt;="&amp;$D1969,[1]内部转账!$F:$F,$G1969)),"")</f>
        <v/>
      </c>
      <c r="M1969" s="64"/>
      <c r="N1969" s="69"/>
      <c r="O1969" s="64"/>
      <c r="P1969" s="64"/>
      <c r="Q1969" s="69"/>
      <c r="R1969" s="69"/>
      <c r="S1969" s="69"/>
    </row>
    <row r="1970" s="2" customFormat="1" ht="24.95" customHeight="1" spans="1:19">
      <c r="A1970" s="15"/>
      <c r="B1970" s="55"/>
      <c r="C1970" s="56"/>
      <c r="D1970" s="68"/>
      <c r="E1970" s="69"/>
      <c r="F1970" s="69"/>
      <c r="G1970" s="65"/>
      <c r="H1970" s="65"/>
      <c r="I1970" s="70"/>
      <c r="J1970" s="71"/>
      <c r="K1970" s="71"/>
      <c r="L1970" s="72" t="str">
        <f>IFERROR(IF(G1970="","",VLOOKUP($G1970,[1]基础信息!$B:$C,2,FALSE)+SUMIF(G$8:G1970,G1970,J$8:J1970)-SUMIF(G$8:G1970,G1970,K$8:K1970)+SUMIFS([1]内部转账!$G:$G,[1]内部转账!$C:$C,"&lt;="&amp;$D1970,[1]内部转账!$E:$E,$G1970)-SUMIFS([1]内部转账!$G:$G,[1]内部转账!$C:$C,"&lt;="&amp;$D1970,[1]内部转账!$F:$F,$G1970)),"")</f>
        <v/>
      </c>
      <c r="M1970" s="64"/>
      <c r="N1970" s="69"/>
      <c r="O1970" s="64"/>
      <c r="P1970" s="64"/>
      <c r="Q1970" s="69"/>
      <c r="R1970" s="69"/>
      <c r="S1970" s="69"/>
    </row>
    <row r="1971" s="2" customFormat="1" ht="24.95" customHeight="1" spans="1:19">
      <c r="A1971" s="15"/>
      <c r="B1971" s="55"/>
      <c r="C1971" s="56"/>
      <c r="D1971" s="68"/>
      <c r="E1971" s="69"/>
      <c r="F1971" s="69"/>
      <c r="G1971" s="65"/>
      <c r="H1971" s="65"/>
      <c r="I1971" s="70"/>
      <c r="J1971" s="71"/>
      <c r="K1971" s="71"/>
      <c r="L1971" s="72" t="str">
        <f>IFERROR(IF(G1971="","",VLOOKUP($G1971,[1]基础信息!$B:$C,2,FALSE)+SUMIF(G$8:G1971,G1971,J$8:J1971)-SUMIF(G$8:G1971,G1971,K$8:K1971)+SUMIFS([1]内部转账!$G:$G,[1]内部转账!$C:$C,"&lt;="&amp;$D1971,[1]内部转账!$E:$E,$G1971)-SUMIFS([1]内部转账!$G:$G,[1]内部转账!$C:$C,"&lt;="&amp;$D1971,[1]内部转账!$F:$F,$G1971)),"")</f>
        <v/>
      </c>
      <c r="M1971" s="64"/>
      <c r="N1971" s="69"/>
      <c r="O1971" s="64"/>
      <c r="P1971" s="64"/>
      <c r="Q1971" s="69"/>
      <c r="R1971" s="69"/>
      <c r="S1971" s="69"/>
    </row>
    <row r="1972" s="2" customFormat="1" ht="24.95" customHeight="1" spans="1:19">
      <c r="A1972" s="15"/>
      <c r="B1972" s="55"/>
      <c r="C1972" s="56"/>
      <c r="D1972" s="68"/>
      <c r="E1972" s="69"/>
      <c r="F1972" s="69"/>
      <c r="G1972" s="65"/>
      <c r="H1972" s="65"/>
      <c r="I1972" s="70"/>
      <c r="J1972" s="71"/>
      <c r="K1972" s="71"/>
      <c r="L1972" s="72" t="str">
        <f>IFERROR(IF(G1972="","",VLOOKUP($G1972,[1]基础信息!$B:$C,2,FALSE)+SUMIF(G$8:G1972,G1972,J$8:J1972)-SUMIF(G$8:G1972,G1972,K$8:K1972)+SUMIFS([1]内部转账!$G:$G,[1]内部转账!$C:$C,"&lt;="&amp;$D1972,[1]内部转账!$E:$E,$G1972)-SUMIFS([1]内部转账!$G:$G,[1]内部转账!$C:$C,"&lt;="&amp;$D1972,[1]内部转账!$F:$F,$G1972)),"")</f>
        <v/>
      </c>
      <c r="M1972" s="64"/>
      <c r="N1972" s="69"/>
      <c r="O1972" s="64"/>
      <c r="P1972" s="64"/>
      <c r="Q1972" s="69"/>
      <c r="R1972" s="69"/>
      <c r="S1972" s="69"/>
    </row>
    <row r="1973" s="2" customFormat="1" ht="24.95" customHeight="1" spans="1:19">
      <c r="A1973" s="15"/>
      <c r="B1973" s="55"/>
      <c r="C1973" s="56"/>
      <c r="D1973" s="68"/>
      <c r="E1973" s="69"/>
      <c r="F1973" s="69"/>
      <c r="G1973" s="65"/>
      <c r="H1973" s="65"/>
      <c r="I1973" s="70"/>
      <c r="J1973" s="71"/>
      <c r="K1973" s="71"/>
      <c r="L1973" s="72" t="str">
        <f>IFERROR(IF(G1973="","",VLOOKUP($G1973,[1]基础信息!$B:$C,2,FALSE)+SUMIF(G$8:G1973,G1973,J$8:J1973)-SUMIF(G$8:G1973,G1973,K$8:K1973)+SUMIFS([1]内部转账!$G:$G,[1]内部转账!$C:$C,"&lt;="&amp;$D1973,[1]内部转账!$E:$E,$G1973)-SUMIFS([1]内部转账!$G:$G,[1]内部转账!$C:$C,"&lt;="&amp;$D1973,[1]内部转账!$F:$F,$G1973)),"")</f>
        <v/>
      </c>
      <c r="M1973" s="64"/>
      <c r="N1973" s="69"/>
      <c r="O1973" s="64"/>
      <c r="P1973" s="64"/>
      <c r="Q1973" s="69"/>
      <c r="R1973" s="69"/>
      <c r="S1973" s="69"/>
    </row>
    <row r="1974" s="2" customFormat="1" ht="24.95" customHeight="1" spans="1:19">
      <c r="A1974" s="15"/>
      <c r="B1974" s="55"/>
      <c r="C1974" s="56"/>
      <c r="D1974" s="68"/>
      <c r="E1974" s="69"/>
      <c r="F1974" s="69"/>
      <c r="G1974" s="65"/>
      <c r="H1974" s="65"/>
      <c r="I1974" s="70"/>
      <c r="J1974" s="71"/>
      <c r="K1974" s="71"/>
      <c r="L1974" s="72" t="str">
        <f>IFERROR(IF(G1974="","",VLOOKUP($G1974,[1]基础信息!$B:$C,2,FALSE)+SUMIF(G$8:G1974,G1974,J$8:J1974)-SUMIF(G$8:G1974,G1974,K$8:K1974)+SUMIFS([1]内部转账!$G:$G,[1]内部转账!$C:$C,"&lt;="&amp;$D1974,[1]内部转账!$E:$E,$G1974)-SUMIFS([1]内部转账!$G:$G,[1]内部转账!$C:$C,"&lt;="&amp;$D1974,[1]内部转账!$F:$F,$G1974)),"")</f>
        <v/>
      </c>
      <c r="M1974" s="64"/>
      <c r="N1974" s="69"/>
      <c r="O1974" s="64"/>
      <c r="P1974" s="64"/>
      <c r="Q1974" s="69"/>
      <c r="R1974" s="69"/>
      <c r="S1974" s="69"/>
    </row>
    <row r="1975" s="2" customFormat="1" ht="24.95" customHeight="1" spans="1:19">
      <c r="A1975" s="15"/>
      <c r="B1975" s="55"/>
      <c r="C1975" s="56"/>
      <c r="D1975" s="68"/>
      <c r="E1975" s="69"/>
      <c r="F1975" s="69"/>
      <c r="G1975" s="65"/>
      <c r="H1975" s="65"/>
      <c r="I1975" s="70"/>
      <c r="J1975" s="71"/>
      <c r="K1975" s="71"/>
      <c r="L1975" s="72" t="str">
        <f>IFERROR(IF(G1975="","",VLOOKUP($G1975,[1]基础信息!$B:$C,2,FALSE)+SUMIF(G$8:G1975,G1975,J$8:J1975)-SUMIF(G$8:G1975,G1975,K$8:K1975)+SUMIFS([1]内部转账!$G:$G,[1]内部转账!$C:$C,"&lt;="&amp;$D1975,[1]内部转账!$E:$E,$G1975)-SUMIFS([1]内部转账!$G:$G,[1]内部转账!$C:$C,"&lt;="&amp;$D1975,[1]内部转账!$F:$F,$G1975)),"")</f>
        <v/>
      </c>
      <c r="M1975" s="64"/>
      <c r="N1975" s="69"/>
      <c r="O1975" s="64"/>
      <c r="P1975" s="64"/>
      <c r="Q1975" s="69"/>
      <c r="R1975" s="69"/>
      <c r="S1975" s="69"/>
    </row>
    <row r="1976" s="2" customFormat="1" ht="24.95" customHeight="1" spans="1:19">
      <c r="A1976" s="15"/>
      <c r="B1976" s="55"/>
      <c r="C1976" s="56"/>
      <c r="D1976" s="68"/>
      <c r="E1976" s="69"/>
      <c r="F1976" s="69"/>
      <c r="G1976" s="65"/>
      <c r="H1976" s="65"/>
      <c r="I1976" s="70"/>
      <c r="J1976" s="71"/>
      <c r="K1976" s="71"/>
      <c r="L1976" s="72" t="str">
        <f>IFERROR(IF(G1976="","",VLOOKUP($G1976,[1]基础信息!$B:$C,2,FALSE)+SUMIF(G$8:G1976,G1976,J$8:J1976)-SUMIF(G$8:G1976,G1976,K$8:K1976)+SUMIFS([1]内部转账!$G:$G,[1]内部转账!$C:$C,"&lt;="&amp;$D1976,[1]内部转账!$E:$E,$G1976)-SUMIFS([1]内部转账!$G:$G,[1]内部转账!$C:$C,"&lt;="&amp;$D1976,[1]内部转账!$F:$F,$G1976)),"")</f>
        <v/>
      </c>
      <c r="M1976" s="64"/>
      <c r="N1976" s="69"/>
      <c r="O1976" s="64"/>
      <c r="P1976" s="64"/>
      <c r="Q1976" s="69"/>
      <c r="R1976" s="69"/>
      <c r="S1976" s="69"/>
    </row>
    <row r="1977" s="2" customFormat="1" ht="24.95" customHeight="1" spans="1:19">
      <c r="A1977" s="15"/>
      <c r="B1977" s="55"/>
      <c r="C1977" s="56"/>
      <c r="D1977" s="68"/>
      <c r="E1977" s="69"/>
      <c r="F1977" s="69"/>
      <c r="G1977" s="65"/>
      <c r="H1977" s="65"/>
      <c r="I1977" s="70"/>
      <c r="J1977" s="71"/>
      <c r="K1977" s="71"/>
      <c r="L1977" s="72" t="str">
        <f>IFERROR(IF(G1977="","",VLOOKUP($G1977,[1]基础信息!$B:$C,2,FALSE)+SUMIF(G$8:G1977,G1977,J$8:J1977)-SUMIF(G$8:G1977,G1977,K$8:K1977)+SUMIFS([1]内部转账!$G:$G,[1]内部转账!$C:$C,"&lt;="&amp;$D1977,[1]内部转账!$E:$E,$G1977)-SUMIFS([1]内部转账!$G:$G,[1]内部转账!$C:$C,"&lt;="&amp;$D1977,[1]内部转账!$F:$F,$G1977)),"")</f>
        <v/>
      </c>
      <c r="M1977" s="64"/>
      <c r="N1977" s="69"/>
      <c r="O1977" s="64"/>
      <c r="P1977" s="64"/>
      <c r="Q1977" s="69"/>
      <c r="R1977" s="69"/>
      <c r="S1977" s="69"/>
    </row>
    <row r="1978" s="2" customFormat="1" ht="24.95" customHeight="1" spans="1:19">
      <c r="A1978" s="15"/>
      <c r="B1978" s="55"/>
      <c r="C1978" s="56"/>
      <c r="D1978" s="68"/>
      <c r="E1978" s="69"/>
      <c r="F1978" s="69"/>
      <c r="G1978" s="65"/>
      <c r="H1978" s="65"/>
      <c r="I1978" s="70"/>
      <c r="J1978" s="71"/>
      <c r="K1978" s="71"/>
      <c r="L1978" s="72" t="str">
        <f>IFERROR(IF(G1978="","",VLOOKUP($G1978,[1]基础信息!$B:$C,2,FALSE)+SUMIF(G$8:G1978,G1978,J$8:J1978)-SUMIF(G$8:G1978,G1978,K$8:K1978)+SUMIFS([1]内部转账!$G:$G,[1]内部转账!$C:$C,"&lt;="&amp;$D1978,[1]内部转账!$E:$E,$G1978)-SUMIFS([1]内部转账!$G:$G,[1]内部转账!$C:$C,"&lt;="&amp;$D1978,[1]内部转账!$F:$F,$G1978)),"")</f>
        <v/>
      </c>
      <c r="M1978" s="64"/>
      <c r="N1978" s="69"/>
      <c r="O1978" s="64"/>
      <c r="P1978" s="64"/>
      <c r="Q1978" s="69"/>
      <c r="R1978" s="69"/>
      <c r="S1978" s="69"/>
    </row>
    <row r="1979" s="2" customFormat="1" ht="24.95" customHeight="1" spans="1:19">
      <c r="A1979" s="15"/>
      <c r="B1979" s="55"/>
      <c r="C1979" s="56"/>
      <c r="D1979" s="68"/>
      <c r="E1979" s="69"/>
      <c r="F1979" s="69"/>
      <c r="G1979" s="65"/>
      <c r="H1979" s="65"/>
      <c r="I1979" s="70"/>
      <c r="J1979" s="71"/>
      <c r="K1979" s="71"/>
      <c r="L1979" s="72" t="str">
        <f>IFERROR(IF(G1979="","",VLOOKUP($G1979,[1]基础信息!$B:$C,2,FALSE)+SUMIF(G$8:G1979,G1979,J$8:J1979)-SUMIF(G$8:G1979,G1979,K$8:K1979)+SUMIFS([1]内部转账!$G:$G,[1]内部转账!$C:$C,"&lt;="&amp;$D1979,[1]内部转账!$E:$E,$G1979)-SUMIFS([1]内部转账!$G:$G,[1]内部转账!$C:$C,"&lt;="&amp;$D1979,[1]内部转账!$F:$F,$G1979)),"")</f>
        <v/>
      </c>
      <c r="M1979" s="64"/>
      <c r="N1979" s="69"/>
      <c r="O1979" s="64"/>
      <c r="P1979" s="64"/>
      <c r="Q1979" s="69"/>
      <c r="R1979" s="69"/>
      <c r="S1979" s="69"/>
    </row>
    <row r="1980" s="2" customFormat="1" ht="24.95" customHeight="1" spans="1:19">
      <c r="A1980" s="15"/>
      <c r="B1980" s="55"/>
      <c r="C1980" s="56"/>
      <c r="D1980" s="68"/>
      <c r="E1980" s="69"/>
      <c r="F1980" s="69"/>
      <c r="G1980" s="65"/>
      <c r="H1980" s="65"/>
      <c r="I1980" s="70"/>
      <c r="J1980" s="71"/>
      <c r="K1980" s="71"/>
      <c r="L1980" s="72" t="str">
        <f>IFERROR(IF(G1980="","",VLOOKUP($G1980,[1]基础信息!$B:$C,2,FALSE)+SUMIF(G$8:G1980,G1980,J$8:J1980)-SUMIF(G$8:G1980,G1980,K$8:K1980)+SUMIFS([1]内部转账!$G:$G,[1]内部转账!$C:$C,"&lt;="&amp;$D1980,[1]内部转账!$E:$E,$G1980)-SUMIFS([1]内部转账!$G:$G,[1]内部转账!$C:$C,"&lt;="&amp;$D1980,[1]内部转账!$F:$F,$G1980)),"")</f>
        <v/>
      </c>
      <c r="M1980" s="64"/>
      <c r="N1980" s="69"/>
      <c r="O1980" s="64"/>
      <c r="P1980" s="64"/>
      <c r="Q1980" s="69"/>
      <c r="R1980" s="69"/>
      <c r="S1980" s="69"/>
    </row>
    <row r="1981" s="2" customFormat="1" ht="24.95" customHeight="1" spans="1:19">
      <c r="A1981" s="15"/>
      <c r="B1981" s="55"/>
      <c r="C1981" s="56"/>
      <c r="D1981" s="68"/>
      <c r="E1981" s="69"/>
      <c r="F1981" s="69"/>
      <c r="G1981" s="65"/>
      <c r="H1981" s="65"/>
      <c r="I1981" s="70"/>
      <c r="J1981" s="71"/>
      <c r="K1981" s="71"/>
      <c r="L1981" s="72" t="str">
        <f>IFERROR(IF(G1981="","",VLOOKUP($G1981,[1]基础信息!$B:$C,2,FALSE)+SUMIF(G$8:G1981,G1981,J$8:J1981)-SUMIF(G$8:G1981,G1981,K$8:K1981)+SUMIFS([1]内部转账!$G:$G,[1]内部转账!$C:$C,"&lt;="&amp;$D1981,[1]内部转账!$E:$E,$G1981)-SUMIFS([1]内部转账!$G:$G,[1]内部转账!$C:$C,"&lt;="&amp;$D1981,[1]内部转账!$F:$F,$G1981)),"")</f>
        <v/>
      </c>
      <c r="M1981" s="64"/>
      <c r="N1981" s="69"/>
      <c r="O1981" s="64"/>
      <c r="P1981" s="64"/>
      <c r="Q1981" s="69"/>
      <c r="R1981" s="69"/>
      <c r="S1981" s="69"/>
    </row>
    <row r="1982" s="2" customFormat="1" ht="24.95" customHeight="1" spans="1:19">
      <c r="A1982" s="15"/>
      <c r="B1982" s="55"/>
      <c r="C1982" s="56"/>
      <c r="D1982" s="68"/>
      <c r="E1982" s="69"/>
      <c r="F1982" s="69"/>
      <c r="G1982" s="65"/>
      <c r="H1982" s="65"/>
      <c r="I1982" s="70"/>
      <c r="J1982" s="71"/>
      <c r="K1982" s="71"/>
      <c r="L1982" s="72" t="str">
        <f>IFERROR(IF(G1982="","",VLOOKUP($G1982,[1]基础信息!$B:$C,2,FALSE)+SUMIF(G$8:G1982,G1982,J$8:J1982)-SUMIF(G$8:G1982,G1982,K$8:K1982)+SUMIFS([1]内部转账!$G:$G,[1]内部转账!$C:$C,"&lt;="&amp;$D1982,[1]内部转账!$E:$E,$G1982)-SUMIFS([1]内部转账!$G:$G,[1]内部转账!$C:$C,"&lt;="&amp;$D1982,[1]内部转账!$F:$F,$G1982)),"")</f>
        <v/>
      </c>
      <c r="M1982" s="64"/>
      <c r="N1982" s="69"/>
      <c r="O1982" s="64"/>
      <c r="P1982" s="64"/>
      <c r="Q1982" s="69"/>
      <c r="R1982" s="69"/>
      <c r="S1982" s="69"/>
    </row>
    <row r="1983" s="2" customFormat="1" ht="24.95" customHeight="1" spans="1:19">
      <c r="A1983" s="15"/>
      <c r="B1983" s="55"/>
      <c r="C1983" s="56"/>
      <c r="D1983" s="68"/>
      <c r="E1983" s="69"/>
      <c r="F1983" s="69"/>
      <c r="G1983" s="65"/>
      <c r="H1983" s="65"/>
      <c r="I1983" s="70"/>
      <c r="J1983" s="71"/>
      <c r="K1983" s="71"/>
      <c r="L1983" s="72" t="str">
        <f>IFERROR(IF(G1983="","",VLOOKUP($G1983,[1]基础信息!$B:$C,2,FALSE)+SUMIF(G$8:G1983,G1983,J$8:J1983)-SUMIF(G$8:G1983,G1983,K$8:K1983)+SUMIFS([1]内部转账!$G:$G,[1]内部转账!$C:$C,"&lt;="&amp;$D1983,[1]内部转账!$E:$E,$G1983)-SUMIFS([1]内部转账!$G:$G,[1]内部转账!$C:$C,"&lt;="&amp;$D1983,[1]内部转账!$F:$F,$G1983)),"")</f>
        <v/>
      </c>
      <c r="M1983" s="64"/>
      <c r="N1983" s="69"/>
      <c r="O1983" s="64"/>
      <c r="P1983" s="64"/>
      <c r="Q1983" s="69"/>
      <c r="R1983" s="69"/>
      <c r="S1983" s="69"/>
    </row>
    <row r="1984" s="2" customFormat="1" ht="24.95" customHeight="1" spans="1:19">
      <c r="A1984" s="15"/>
      <c r="B1984" s="55"/>
      <c r="C1984" s="56"/>
      <c r="D1984" s="68"/>
      <c r="E1984" s="69"/>
      <c r="F1984" s="69"/>
      <c r="G1984" s="65"/>
      <c r="H1984" s="65"/>
      <c r="I1984" s="70"/>
      <c r="J1984" s="71"/>
      <c r="K1984" s="71"/>
      <c r="L1984" s="72" t="str">
        <f>IFERROR(IF(G1984="","",VLOOKUP($G1984,[1]基础信息!$B:$C,2,FALSE)+SUMIF(G$8:G1984,G1984,J$8:J1984)-SUMIF(G$8:G1984,G1984,K$8:K1984)+SUMIFS([1]内部转账!$G:$G,[1]内部转账!$C:$C,"&lt;="&amp;$D1984,[1]内部转账!$E:$E,$G1984)-SUMIFS([1]内部转账!$G:$G,[1]内部转账!$C:$C,"&lt;="&amp;$D1984,[1]内部转账!$F:$F,$G1984)),"")</f>
        <v/>
      </c>
      <c r="M1984" s="64"/>
      <c r="N1984" s="69"/>
      <c r="O1984" s="64"/>
      <c r="P1984" s="64"/>
      <c r="Q1984" s="69"/>
      <c r="R1984" s="69"/>
      <c r="S1984" s="69"/>
    </row>
    <row r="1985" s="2" customFormat="1" ht="24.95" customHeight="1" spans="1:19">
      <c r="A1985" s="15"/>
      <c r="B1985" s="55"/>
      <c r="C1985" s="56"/>
      <c r="D1985" s="68"/>
      <c r="E1985" s="69"/>
      <c r="F1985" s="69"/>
      <c r="G1985" s="65"/>
      <c r="H1985" s="65"/>
      <c r="I1985" s="70"/>
      <c r="J1985" s="71"/>
      <c r="K1985" s="71"/>
      <c r="L1985" s="72" t="str">
        <f>IFERROR(IF(G1985="","",VLOOKUP($G1985,[1]基础信息!$B:$C,2,FALSE)+SUMIF(G$8:G1985,G1985,J$8:J1985)-SUMIF(G$8:G1985,G1985,K$8:K1985)+SUMIFS([1]内部转账!$G:$G,[1]内部转账!$C:$C,"&lt;="&amp;$D1985,[1]内部转账!$E:$E,$G1985)-SUMIFS([1]内部转账!$G:$G,[1]内部转账!$C:$C,"&lt;="&amp;$D1985,[1]内部转账!$F:$F,$G1985)),"")</f>
        <v/>
      </c>
      <c r="M1985" s="64"/>
      <c r="N1985" s="69"/>
      <c r="O1985" s="64"/>
      <c r="P1985" s="64"/>
      <c r="Q1985" s="69"/>
      <c r="R1985" s="69"/>
      <c r="S1985" s="69"/>
    </row>
    <row r="1986" s="2" customFormat="1" ht="24.95" customHeight="1" spans="1:19">
      <c r="A1986" s="15"/>
      <c r="B1986" s="55"/>
      <c r="C1986" s="56"/>
      <c r="D1986" s="68"/>
      <c r="E1986" s="69"/>
      <c r="F1986" s="69"/>
      <c r="G1986" s="65"/>
      <c r="H1986" s="65"/>
      <c r="I1986" s="70"/>
      <c r="J1986" s="71"/>
      <c r="K1986" s="71"/>
      <c r="L1986" s="72" t="str">
        <f>IFERROR(IF(G1986="","",VLOOKUP($G1986,[1]基础信息!$B:$C,2,FALSE)+SUMIF(G$8:G1986,G1986,J$8:J1986)-SUMIF(G$8:G1986,G1986,K$8:K1986)+SUMIFS([1]内部转账!$G:$G,[1]内部转账!$C:$C,"&lt;="&amp;$D1986,[1]内部转账!$E:$E,$G1986)-SUMIFS([1]内部转账!$G:$G,[1]内部转账!$C:$C,"&lt;="&amp;$D1986,[1]内部转账!$F:$F,$G1986)),"")</f>
        <v/>
      </c>
      <c r="M1986" s="64"/>
      <c r="N1986" s="69"/>
      <c r="O1986" s="64"/>
      <c r="P1986" s="64"/>
      <c r="Q1986" s="69"/>
      <c r="R1986" s="69"/>
      <c r="S1986" s="69"/>
    </row>
    <row r="1987" s="2" customFormat="1" ht="24.95" customHeight="1" spans="1:19">
      <c r="A1987" s="15"/>
      <c r="B1987" s="55"/>
      <c r="C1987" s="56"/>
      <c r="D1987" s="68"/>
      <c r="E1987" s="69"/>
      <c r="F1987" s="69"/>
      <c r="G1987" s="65"/>
      <c r="H1987" s="65"/>
      <c r="I1987" s="70"/>
      <c r="J1987" s="71"/>
      <c r="K1987" s="71"/>
      <c r="L1987" s="72" t="str">
        <f>IFERROR(IF(G1987="","",VLOOKUP($G1987,[1]基础信息!$B:$C,2,FALSE)+SUMIF(G$8:G1987,G1987,J$8:J1987)-SUMIF(G$8:G1987,G1987,K$8:K1987)+SUMIFS([1]内部转账!$G:$G,[1]内部转账!$C:$C,"&lt;="&amp;$D1987,[1]内部转账!$E:$E,$G1987)-SUMIFS([1]内部转账!$G:$G,[1]内部转账!$C:$C,"&lt;="&amp;$D1987,[1]内部转账!$F:$F,$G1987)),"")</f>
        <v/>
      </c>
      <c r="M1987" s="64"/>
      <c r="N1987" s="69"/>
      <c r="O1987" s="64"/>
      <c r="P1987" s="64"/>
      <c r="Q1987" s="69"/>
      <c r="R1987" s="69"/>
      <c r="S1987" s="69"/>
    </row>
    <row r="1988" s="2" customFormat="1" ht="24.95" customHeight="1" spans="1:19">
      <c r="A1988" s="15"/>
      <c r="B1988" s="55"/>
      <c r="C1988" s="56"/>
      <c r="D1988" s="68"/>
      <c r="E1988" s="69"/>
      <c r="F1988" s="69"/>
      <c r="G1988" s="65"/>
      <c r="H1988" s="65"/>
      <c r="I1988" s="70"/>
      <c r="J1988" s="71"/>
      <c r="K1988" s="71"/>
      <c r="L1988" s="72" t="str">
        <f>IFERROR(IF(G1988="","",VLOOKUP($G1988,[1]基础信息!$B:$C,2,FALSE)+SUMIF(G$8:G1988,G1988,J$8:J1988)-SUMIF(G$8:G1988,G1988,K$8:K1988)+SUMIFS([1]内部转账!$G:$G,[1]内部转账!$C:$C,"&lt;="&amp;$D1988,[1]内部转账!$E:$E,$G1988)-SUMIFS([1]内部转账!$G:$G,[1]内部转账!$C:$C,"&lt;="&amp;$D1988,[1]内部转账!$F:$F,$G1988)),"")</f>
        <v/>
      </c>
      <c r="M1988" s="64"/>
      <c r="N1988" s="69"/>
      <c r="O1988" s="64"/>
      <c r="P1988" s="64"/>
      <c r="Q1988" s="69"/>
      <c r="R1988" s="69"/>
      <c r="S1988" s="69"/>
    </row>
    <row r="1989" s="2" customFormat="1" ht="24.95" customHeight="1" spans="1:19">
      <c r="A1989" s="15"/>
      <c r="B1989" s="55"/>
      <c r="C1989" s="56"/>
      <c r="D1989" s="68"/>
      <c r="E1989" s="69"/>
      <c r="F1989" s="69"/>
      <c r="G1989" s="65"/>
      <c r="H1989" s="65"/>
      <c r="I1989" s="70"/>
      <c r="J1989" s="71"/>
      <c r="K1989" s="71"/>
      <c r="L1989" s="72" t="str">
        <f>IFERROR(IF(G1989="","",VLOOKUP($G1989,[1]基础信息!$B:$C,2,FALSE)+SUMIF(G$8:G1989,G1989,J$8:J1989)-SUMIF(G$8:G1989,G1989,K$8:K1989)+SUMIFS([1]内部转账!$G:$G,[1]内部转账!$C:$C,"&lt;="&amp;$D1989,[1]内部转账!$E:$E,$G1989)-SUMIFS([1]内部转账!$G:$G,[1]内部转账!$C:$C,"&lt;="&amp;$D1989,[1]内部转账!$F:$F,$G1989)),"")</f>
        <v/>
      </c>
      <c r="M1989" s="64"/>
      <c r="N1989" s="69"/>
      <c r="O1989" s="64"/>
      <c r="P1989" s="64"/>
      <c r="Q1989" s="69"/>
      <c r="R1989" s="69"/>
      <c r="S1989" s="69"/>
    </row>
    <row r="1990" s="2" customFormat="1" ht="24.95" customHeight="1" spans="1:19">
      <c r="A1990" s="15"/>
      <c r="B1990" s="55"/>
      <c r="C1990" s="56"/>
      <c r="D1990" s="68"/>
      <c r="E1990" s="69"/>
      <c r="F1990" s="69"/>
      <c r="G1990" s="65"/>
      <c r="H1990" s="65"/>
      <c r="I1990" s="70"/>
      <c r="J1990" s="71"/>
      <c r="K1990" s="71"/>
      <c r="L1990" s="72" t="str">
        <f>IFERROR(IF(G1990="","",VLOOKUP($G1990,[1]基础信息!$B:$C,2,FALSE)+SUMIF(G$8:G1990,G1990,J$8:J1990)-SUMIF(G$8:G1990,G1990,K$8:K1990)+SUMIFS([1]内部转账!$G:$G,[1]内部转账!$C:$C,"&lt;="&amp;$D1990,[1]内部转账!$E:$E,$G1990)-SUMIFS([1]内部转账!$G:$G,[1]内部转账!$C:$C,"&lt;="&amp;$D1990,[1]内部转账!$F:$F,$G1990)),"")</f>
        <v/>
      </c>
      <c r="M1990" s="64"/>
      <c r="N1990" s="69"/>
      <c r="O1990" s="64"/>
      <c r="P1990" s="64"/>
      <c r="Q1990" s="69"/>
      <c r="R1990" s="69"/>
      <c r="S1990" s="69"/>
    </row>
    <row r="1991" s="2" customFormat="1" ht="24.95" customHeight="1" spans="1:19">
      <c r="A1991" s="15"/>
      <c r="B1991" s="55"/>
      <c r="C1991" s="56"/>
      <c r="D1991" s="68"/>
      <c r="E1991" s="69"/>
      <c r="F1991" s="69"/>
      <c r="G1991" s="65"/>
      <c r="H1991" s="65"/>
      <c r="I1991" s="70"/>
      <c r="J1991" s="71"/>
      <c r="K1991" s="71"/>
      <c r="L1991" s="72" t="str">
        <f>IFERROR(IF(G1991="","",VLOOKUP($G1991,[1]基础信息!$B:$C,2,FALSE)+SUMIF(G$8:G1991,G1991,J$8:J1991)-SUMIF(G$8:G1991,G1991,K$8:K1991)+SUMIFS([1]内部转账!$G:$G,[1]内部转账!$C:$C,"&lt;="&amp;$D1991,[1]内部转账!$E:$E,$G1991)-SUMIFS([1]内部转账!$G:$G,[1]内部转账!$C:$C,"&lt;="&amp;$D1991,[1]内部转账!$F:$F,$G1991)),"")</f>
        <v/>
      </c>
      <c r="M1991" s="64"/>
      <c r="N1991" s="69"/>
      <c r="O1991" s="64"/>
      <c r="P1991" s="64"/>
      <c r="Q1991" s="69"/>
      <c r="R1991" s="69"/>
      <c r="S1991" s="69"/>
    </row>
    <row r="1992" s="2" customFormat="1" ht="24.95" customHeight="1" spans="1:19">
      <c r="A1992" s="15"/>
      <c r="B1992" s="55"/>
      <c r="C1992" s="56"/>
      <c r="D1992" s="68"/>
      <c r="E1992" s="69"/>
      <c r="F1992" s="69"/>
      <c r="G1992" s="65"/>
      <c r="H1992" s="65"/>
      <c r="I1992" s="70"/>
      <c r="J1992" s="71"/>
      <c r="K1992" s="71"/>
      <c r="L1992" s="72" t="str">
        <f>IFERROR(IF(G1992="","",VLOOKUP($G1992,[1]基础信息!$B:$C,2,FALSE)+SUMIF(G$8:G1992,G1992,J$8:J1992)-SUMIF(G$8:G1992,G1992,K$8:K1992)+SUMIFS([1]内部转账!$G:$G,[1]内部转账!$C:$C,"&lt;="&amp;$D1992,[1]内部转账!$E:$E,$G1992)-SUMIFS([1]内部转账!$G:$G,[1]内部转账!$C:$C,"&lt;="&amp;$D1992,[1]内部转账!$F:$F,$G1992)),"")</f>
        <v/>
      </c>
      <c r="M1992" s="64"/>
      <c r="N1992" s="69"/>
      <c r="O1992" s="64"/>
      <c r="P1992" s="64"/>
      <c r="Q1992" s="69"/>
      <c r="R1992" s="69"/>
      <c r="S1992" s="69"/>
    </row>
    <row r="1993" s="2" customFormat="1" ht="24.95" customHeight="1" spans="1:19">
      <c r="A1993" s="15"/>
      <c r="B1993" s="55"/>
      <c r="C1993" s="56"/>
      <c r="D1993" s="68"/>
      <c r="E1993" s="69"/>
      <c r="F1993" s="69"/>
      <c r="G1993" s="65"/>
      <c r="H1993" s="65"/>
      <c r="I1993" s="70"/>
      <c r="J1993" s="71"/>
      <c r="K1993" s="71"/>
      <c r="L1993" s="72" t="str">
        <f>IFERROR(IF(G1993="","",VLOOKUP($G1993,[1]基础信息!$B:$C,2,FALSE)+SUMIF(G$8:G1993,G1993,J$8:J1993)-SUMIF(G$8:G1993,G1993,K$8:K1993)+SUMIFS([1]内部转账!$G:$G,[1]内部转账!$C:$C,"&lt;="&amp;$D1993,[1]内部转账!$E:$E,$G1993)-SUMIFS([1]内部转账!$G:$G,[1]内部转账!$C:$C,"&lt;="&amp;$D1993,[1]内部转账!$F:$F,$G1993)),"")</f>
        <v/>
      </c>
      <c r="M1993" s="64"/>
      <c r="N1993" s="69"/>
      <c r="O1993" s="64"/>
      <c r="P1993" s="64"/>
      <c r="Q1993" s="69"/>
      <c r="R1993" s="69"/>
      <c r="S1993" s="69"/>
    </row>
    <row r="1994" s="2" customFormat="1" ht="24.95" customHeight="1" spans="1:19">
      <c r="A1994" s="15"/>
      <c r="B1994" s="55"/>
      <c r="C1994" s="56"/>
      <c r="D1994" s="68"/>
      <c r="E1994" s="69"/>
      <c r="F1994" s="69"/>
      <c r="G1994" s="65"/>
      <c r="H1994" s="65"/>
      <c r="I1994" s="70"/>
      <c r="J1994" s="71"/>
      <c r="K1994" s="71"/>
      <c r="L1994" s="72" t="str">
        <f>IFERROR(IF(G1994="","",VLOOKUP($G1994,[1]基础信息!$B:$C,2,FALSE)+SUMIF(G$8:G1994,G1994,J$8:J1994)-SUMIF(G$8:G1994,G1994,K$8:K1994)+SUMIFS([1]内部转账!$G:$G,[1]内部转账!$C:$C,"&lt;="&amp;$D1994,[1]内部转账!$E:$E,$G1994)-SUMIFS([1]内部转账!$G:$G,[1]内部转账!$C:$C,"&lt;="&amp;$D1994,[1]内部转账!$F:$F,$G1994)),"")</f>
        <v/>
      </c>
      <c r="M1994" s="64"/>
      <c r="N1994" s="69"/>
      <c r="O1994" s="64"/>
      <c r="P1994" s="64"/>
      <c r="Q1994" s="69"/>
      <c r="R1994" s="69"/>
      <c r="S1994" s="69"/>
    </row>
    <row r="1995" s="2" customFormat="1" ht="24.95" customHeight="1" spans="1:19">
      <c r="A1995" s="15"/>
      <c r="B1995" s="55"/>
      <c r="C1995" s="56"/>
      <c r="D1995" s="68"/>
      <c r="E1995" s="69"/>
      <c r="F1995" s="69"/>
      <c r="G1995" s="65"/>
      <c r="H1995" s="65"/>
      <c r="I1995" s="70"/>
      <c r="J1995" s="71"/>
      <c r="K1995" s="71"/>
      <c r="L1995" s="72" t="str">
        <f>IFERROR(IF(G1995="","",VLOOKUP($G1995,[1]基础信息!$B:$C,2,FALSE)+SUMIF(G$8:G1995,G1995,J$8:J1995)-SUMIF(G$8:G1995,G1995,K$8:K1995)+SUMIFS([1]内部转账!$G:$G,[1]内部转账!$C:$C,"&lt;="&amp;$D1995,[1]内部转账!$E:$E,$G1995)-SUMIFS([1]内部转账!$G:$G,[1]内部转账!$C:$C,"&lt;="&amp;$D1995,[1]内部转账!$F:$F,$G1995)),"")</f>
        <v/>
      </c>
      <c r="M1995" s="64"/>
      <c r="N1995" s="69"/>
      <c r="O1995" s="64"/>
      <c r="P1995" s="64"/>
      <c r="Q1995" s="69"/>
      <c r="R1995" s="69"/>
      <c r="S1995" s="69"/>
    </row>
    <row r="1996" s="2" customFormat="1" ht="24.95" customHeight="1" spans="1:19">
      <c r="A1996" s="15"/>
      <c r="B1996" s="55"/>
      <c r="C1996" s="56"/>
      <c r="D1996" s="68"/>
      <c r="E1996" s="69"/>
      <c r="F1996" s="69"/>
      <c r="G1996" s="65"/>
      <c r="H1996" s="65"/>
      <c r="I1996" s="70"/>
      <c r="J1996" s="71"/>
      <c r="K1996" s="71"/>
      <c r="L1996" s="72" t="str">
        <f>IFERROR(IF(G1996="","",VLOOKUP($G1996,[1]基础信息!$B:$C,2,FALSE)+SUMIF(G$8:G1996,G1996,J$8:J1996)-SUMIF(G$8:G1996,G1996,K$8:K1996)+SUMIFS([1]内部转账!$G:$G,[1]内部转账!$C:$C,"&lt;="&amp;$D1996,[1]内部转账!$E:$E,$G1996)-SUMIFS([1]内部转账!$G:$G,[1]内部转账!$C:$C,"&lt;="&amp;$D1996,[1]内部转账!$F:$F,$G1996)),"")</f>
        <v/>
      </c>
      <c r="M1996" s="64"/>
      <c r="N1996" s="69"/>
      <c r="O1996" s="64"/>
      <c r="P1996" s="64"/>
      <c r="Q1996" s="69"/>
      <c r="R1996" s="69"/>
      <c r="S1996" s="69"/>
    </row>
    <row r="1997" s="2" customFormat="1" ht="24.95" customHeight="1" spans="1:19">
      <c r="A1997" s="15"/>
      <c r="B1997" s="55"/>
      <c r="C1997" s="56"/>
      <c r="D1997" s="68"/>
      <c r="E1997" s="69"/>
      <c r="F1997" s="69"/>
      <c r="G1997" s="65"/>
      <c r="H1997" s="65"/>
      <c r="I1997" s="70"/>
      <c r="J1997" s="71"/>
      <c r="K1997" s="71"/>
      <c r="L1997" s="72" t="str">
        <f>IFERROR(IF(G1997="","",VLOOKUP($G1997,[1]基础信息!$B:$C,2,FALSE)+SUMIF(G$8:G1997,G1997,J$8:J1997)-SUMIF(G$8:G1997,G1997,K$8:K1997)+SUMIFS([1]内部转账!$G:$G,[1]内部转账!$C:$C,"&lt;="&amp;$D1997,[1]内部转账!$E:$E,$G1997)-SUMIFS([1]内部转账!$G:$G,[1]内部转账!$C:$C,"&lt;="&amp;$D1997,[1]内部转账!$F:$F,$G1997)),"")</f>
        <v/>
      </c>
      <c r="M1997" s="64"/>
      <c r="N1997" s="69"/>
      <c r="O1997" s="64"/>
      <c r="P1997" s="64"/>
      <c r="Q1997" s="69"/>
      <c r="R1997" s="69"/>
      <c r="S1997" s="69"/>
    </row>
    <row r="1998" s="2" customFormat="1" ht="24.95" customHeight="1" spans="1:19">
      <c r="A1998" s="15"/>
      <c r="B1998" s="55"/>
      <c r="C1998" s="56"/>
      <c r="D1998" s="68"/>
      <c r="E1998" s="69"/>
      <c r="F1998" s="69"/>
      <c r="G1998" s="65"/>
      <c r="H1998" s="65"/>
      <c r="I1998" s="70"/>
      <c r="J1998" s="71"/>
      <c r="K1998" s="71"/>
      <c r="L1998" s="72" t="str">
        <f>IFERROR(IF(G1998="","",VLOOKUP($G1998,[1]基础信息!$B:$C,2,FALSE)+SUMIF(G$8:G1998,G1998,J$8:J1998)-SUMIF(G$8:G1998,G1998,K$8:K1998)+SUMIFS([1]内部转账!$G:$G,[1]内部转账!$C:$C,"&lt;="&amp;$D1998,[1]内部转账!$E:$E,$G1998)-SUMIFS([1]内部转账!$G:$G,[1]内部转账!$C:$C,"&lt;="&amp;$D1998,[1]内部转账!$F:$F,$G1998)),"")</f>
        <v/>
      </c>
      <c r="M1998" s="64"/>
      <c r="N1998" s="69"/>
      <c r="O1998" s="64"/>
      <c r="P1998" s="64"/>
      <c r="Q1998" s="69"/>
      <c r="R1998" s="69"/>
      <c r="S1998" s="69"/>
    </row>
    <row r="1999" s="2" customFormat="1" ht="24.95" customHeight="1" spans="1:19">
      <c r="A1999" s="15"/>
      <c r="B1999" s="55"/>
      <c r="C1999" s="56"/>
      <c r="D1999" s="68"/>
      <c r="E1999" s="69"/>
      <c r="F1999" s="69"/>
      <c r="G1999" s="65"/>
      <c r="H1999" s="65"/>
      <c r="I1999" s="70"/>
      <c r="J1999" s="71"/>
      <c r="K1999" s="71"/>
      <c r="L1999" s="72" t="str">
        <f>IFERROR(IF(G1999="","",VLOOKUP($G1999,[1]基础信息!$B:$C,2,FALSE)+SUMIF(G$8:G1999,G1999,J$8:J1999)-SUMIF(G$8:G1999,G1999,K$8:K1999)+SUMIFS([1]内部转账!$G:$G,[1]内部转账!$C:$C,"&lt;="&amp;$D1999,[1]内部转账!$E:$E,$G1999)-SUMIFS([1]内部转账!$G:$G,[1]内部转账!$C:$C,"&lt;="&amp;$D1999,[1]内部转账!$F:$F,$G1999)),"")</f>
        <v/>
      </c>
      <c r="M1999" s="64"/>
      <c r="N1999" s="69"/>
      <c r="O1999" s="64"/>
      <c r="P1999" s="64"/>
      <c r="Q1999" s="69"/>
      <c r="R1999" s="69"/>
      <c r="S1999" s="69"/>
    </row>
    <row r="2000" s="2" customFormat="1" ht="24.95" customHeight="1" spans="1:19">
      <c r="A2000" s="15"/>
      <c r="B2000" s="55"/>
      <c r="C2000" s="56"/>
      <c r="D2000" s="68"/>
      <c r="E2000" s="69"/>
      <c r="F2000" s="69"/>
      <c r="G2000" s="65"/>
      <c r="H2000" s="65"/>
      <c r="I2000" s="70"/>
      <c r="J2000" s="71"/>
      <c r="K2000" s="71"/>
      <c r="L2000" s="72" t="str">
        <f>IFERROR(IF(G2000="","",VLOOKUP($G2000,[1]基础信息!$B:$C,2,FALSE)+SUMIF(G$8:G2000,G2000,J$8:J2000)-SUMIF(G$8:G2000,G2000,K$8:K2000)+SUMIFS([1]内部转账!$G:$G,[1]内部转账!$C:$C,"&lt;="&amp;$D2000,[1]内部转账!$E:$E,$G2000)-SUMIFS([1]内部转账!$G:$G,[1]内部转账!$C:$C,"&lt;="&amp;$D2000,[1]内部转账!$F:$F,$G2000)),"")</f>
        <v/>
      </c>
      <c r="M2000" s="64"/>
      <c r="N2000" s="69"/>
      <c r="O2000" s="64"/>
      <c r="P2000" s="64"/>
      <c r="Q2000" s="69"/>
      <c r="R2000" s="69"/>
      <c r="S2000" s="69"/>
    </row>
    <row r="2001" s="2" customFormat="1" ht="24.95" customHeight="1" spans="1:19">
      <c r="A2001" s="15"/>
      <c r="B2001" s="55"/>
      <c r="C2001" s="56"/>
      <c r="D2001" s="68"/>
      <c r="E2001" s="69"/>
      <c r="F2001" s="69"/>
      <c r="G2001" s="65"/>
      <c r="H2001" s="65"/>
      <c r="I2001" s="70"/>
      <c r="J2001" s="71"/>
      <c r="K2001" s="71"/>
      <c r="L2001" s="72" t="str">
        <f>IFERROR(IF(G2001="","",VLOOKUP($G2001,[1]基础信息!$B:$C,2,FALSE)+SUMIF(G$8:G2001,G2001,J$8:J2001)-SUMIF(G$8:G2001,G2001,K$8:K2001)+SUMIFS([1]内部转账!$G:$G,[1]内部转账!$C:$C,"&lt;="&amp;$D2001,[1]内部转账!$E:$E,$G2001)-SUMIFS([1]内部转账!$G:$G,[1]内部转账!$C:$C,"&lt;="&amp;$D2001,[1]内部转账!$F:$F,$G2001)),"")</f>
        <v/>
      </c>
      <c r="M2001" s="64"/>
      <c r="N2001" s="69"/>
      <c r="O2001" s="64"/>
      <c r="P2001" s="64"/>
      <c r="Q2001" s="69"/>
      <c r="R2001" s="69"/>
      <c r="S2001" s="69"/>
    </row>
    <row r="2002" s="2" customFormat="1" ht="24.95" customHeight="1" spans="1:19">
      <c r="A2002" s="15"/>
      <c r="B2002" s="55"/>
      <c r="C2002" s="56"/>
      <c r="D2002" s="68"/>
      <c r="E2002" s="69"/>
      <c r="F2002" s="69"/>
      <c r="G2002" s="65"/>
      <c r="H2002" s="65"/>
      <c r="I2002" s="70"/>
      <c r="J2002" s="71"/>
      <c r="K2002" s="71"/>
      <c r="L2002" s="72" t="str">
        <f>IFERROR(IF(G2002="","",VLOOKUP($G2002,[1]基础信息!$B:$C,2,FALSE)+SUMIF(G$8:G2002,G2002,J$8:J2002)-SUMIF(G$8:G2002,G2002,K$8:K2002)+SUMIFS([1]内部转账!$G:$G,[1]内部转账!$C:$C,"&lt;="&amp;$D2002,[1]内部转账!$E:$E,$G2002)-SUMIFS([1]内部转账!$G:$G,[1]内部转账!$C:$C,"&lt;="&amp;$D2002,[1]内部转账!$F:$F,$G2002)),"")</f>
        <v/>
      </c>
      <c r="M2002" s="64"/>
      <c r="N2002" s="69"/>
      <c r="O2002" s="64"/>
      <c r="P2002" s="64"/>
      <c r="Q2002" s="69"/>
      <c r="R2002" s="69"/>
      <c r="S2002" s="69"/>
    </row>
    <row r="2003" s="2" customFormat="1" ht="24.95" customHeight="1" spans="1:19">
      <c r="A2003" s="15"/>
      <c r="B2003" s="55"/>
      <c r="C2003" s="56"/>
      <c r="D2003" s="68"/>
      <c r="E2003" s="69"/>
      <c r="F2003" s="69"/>
      <c r="G2003" s="65"/>
      <c r="H2003" s="65"/>
      <c r="I2003" s="70"/>
      <c r="J2003" s="71"/>
      <c r="K2003" s="71"/>
      <c r="L2003" s="72" t="str">
        <f>IFERROR(IF(G2003="","",VLOOKUP($G2003,[1]基础信息!$B:$C,2,FALSE)+SUMIF(G$8:G2003,G2003,J$8:J2003)-SUMIF(G$8:G2003,G2003,K$8:K2003)+SUMIFS([1]内部转账!$G:$G,[1]内部转账!$C:$C,"&lt;="&amp;$D2003,[1]内部转账!$E:$E,$G2003)-SUMIFS([1]内部转账!$G:$G,[1]内部转账!$C:$C,"&lt;="&amp;$D2003,[1]内部转账!$F:$F,$G2003)),"")</f>
        <v/>
      </c>
      <c r="M2003" s="64"/>
      <c r="N2003" s="69"/>
      <c r="O2003" s="64"/>
      <c r="P2003" s="64"/>
      <c r="Q2003" s="69"/>
      <c r="R2003" s="69"/>
      <c r="S2003" s="69"/>
    </row>
    <row r="2004" s="2" customFormat="1" ht="24.95" customHeight="1" spans="1:19">
      <c r="A2004" s="15"/>
      <c r="B2004" s="55"/>
      <c r="C2004" s="56"/>
      <c r="D2004" s="68"/>
      <c r="E2004" s="69"/>
      <c r="F2004" s="69"/>
      <c r="G2004" s="65"/>
      <c r="H2004" s="65"/>
      <c r="I2004" s="70"/>
      <c r="J2004" s="71"/>
      <c r="K2004" s="71"/>
      <c r="L2004" s="72" t="str">
        <f>IFERROR(IF(G2004="","",VLOOKUP($G2004,[1]基础信息!$B:$C,2,FALSE)+SUMIF(G$8:G2004,G2004,J$8:J2004)-SUMIF(G$8:G2004,G2004,K$8:K2004)+SUMIFS([1]内部转账!$G:$G,[1]内部转账!$C:$C,"&lt;="&amp;$D2004,[1]内部转账!$E:$E,$G2004)-SUMIFS([1]内部转账!$G:$G,[1]内部转账!$C:$C,"&lt;="&amp;$D2004,[1]内部转账!$F:$F,$G2004)),"")</f>
        <v/>
      </c>
      <c r="M2004" s="64"/>
      <c r="N2004" s="69"/>
      <c r="O2004" s="64"/>
      <c r="P2004" s="64"/>
      <c r="Q2004" s="69"/>
      <c r="R2004" s="69"/>
      <c r="S2004" s="69"/>
    </row>
    <row r="2005" s="2" customFormat="1" ht="24.95" customHeight="1" spans="1:19">
      <c r="A2005" s="15"/>
      <c r="B2005" s="55"/>
      <c r="C2005" s="56"/>
      <c r="D2005" s="68"/>
      <c r="E2005" s="69"/>
      <c r="F2005" s="69"/>
      <c r="G2005" s="65"/>
      <c r="H2005" s="65"/>
      <c r="I2005" s="70"/>
      <c r="J2005" s="71"/>
      <c r="K2005" s="71"/>
      <c r="L2005" s="72" t="str">
        <f>IFERROR(IF(G2005="","",VLOOKUP($G2005,[1]基础信息!$B:$C,2,FALSE)+SUMIF(G$8:G2005,G2005,J$8:J2005)-SUMIF(G$8:G2005,G2005,K$8:K2005)+SUMIFS([1]内部转账!$G:$G,[1]内部转账!$C:$C,"&lt;="&amp;$D2005,[1]内部转账!$E:$E,$G2005)-SUMIFS([1]内部转账!$G:$G,[1]内部转账!$C:$C,"&lt;="&amp;$D2005,[1]内部转账!$F:$F,$G2005)),"")</f>
        <v/>
      </c>
      <c r="M2005" s="64"/>
      <c r="N2005" s="69"/>
      <c r="O2005" s="64"/>
      <c r="P2005" s="64"/>
      <c r="Q2005" s="69"/>
      <c r="R2005" s="69"/>
      <c r="S2005" s="69"/>
    </row>
    <row r="2006" s="2" customFormat="1" ht="24.95" customHeight="1" spans="1:19">
      <c r="A2006" s="15"/>
      <c r="B2006" s="55"/>
      <c r="C2006" s="56"/>
      <c r="D2006" s="68"/>
      <c r="E2006" s="69"/>
      <c r="F2006" s="69"/>
      <c r="G2006" s="65"/>
      <c r="H2006" s="65"/>
      <c r="I2006" s="70"/>
      <c r="J2006" s="71"/>
      <c r="K2006" s="71"/>
      <c r="L2006" s="72" t="str">
        <f>IFERROR(IF(G2006="","",VLOOKUP($G2006,[1]基础信息!$B:$C,2,FALSE)+SUMIF(G$8:G2006,G2006,J$8:J2006)-SUMIF(G$8:G2006,G2006,K$8:K2006)+SUMIFS([1]内部转账!$G:$G,[1]内部转账!$C:$C,"&lt;="&amp;$D2006,[1]内部转账!$E:$E,$G2006)-SUMIFS([1]内部转账!$G:$G,[1]内部转账!$C:$C,"&lt;="&amp;$D2006,[1]内部转账!$F:$F,$G2006)),"")</f>
        <v/>
      </c>
      <c r="M2006" s="64"/>
      <c r="N2006" s="69"/>
      <c r="O2006" s="64"/>
      <c r="P2006" s="64"/>
      <c r="Q2006" s="69"/>
      <c r="R2006" s="69"/>
      <c r="S2006" s="69"/>
    </row>
    <row r="2007" s="2" customFormat="1" ht="24.95" customHeight="1" spans="1:19">
      <c r="A2007" s="15"/>
      <c r="B2007" s="55"/>
      <c r="C2007" s="56"/>
      <c r="D2007" s="68"/>
      <c r="E2007" s="69"/>
      <c r="F2007" s="69"/>
      <c r="G2007" s="65"/>
      <c r="H2007" s="65"/>
      <c r="I2007" s="70"/>
      <c r="J2007" s="71"/>
      <c r="K2007" s="71"/>
      <c r="L2007" s="72" t="str">
        <f>IFERROR(IF(G2007="","",VLOOKUP($G2007,[1]基础信息!$B:$C,2,FALSE)+SUMIF(G$8:G2007,G2007,J$8:J2007)-SUMIF(G$8:G2007,G2007,K$8:K2007)+SUMIFS([1]内部转账!$G:$G,[1]内部转账!$C:$C,"&lt;="&amp;$D2007,[1]内部转账!$E:$E,$G2007)-SUMIFS([1]内部转账!$G:$G,[1]内部转账!$C:$C,"&lt;="&amp;$D2007,[1]内部转账!$F:$F,$G2007)),"")</f>
        <v/>
      </c>
      <c r="M2007" s="64"/>
      <c r="N2007" s="69"/>
      <c r="O2007" s="64"/>
      <c r="P2007" s="64"/>
      <c r="Q2007" s="69"/>
      <c r="R2007" s="69"/>
      <c r="S2007" s="69"/>
    </row>
    <row r="2008" s="2" customFormat="1" ht="24.95" customHeight="1" spans="1:19">
      <c r="A2008" s="15"/>
      <c r="B2008" s="55"/>
      <c r="C2008" s="56"/>
      <c r="D2008" s="68"/>
      <c r="E2008" s="69"/>
      <c r="F2008" s="69"/>
      <c r="G2008" s="65"/>
      <c r="H2008" s="65"/>
      <c r="I2008" s="70"/>
      <c r="J2008" s="71"/>
      <c r="K2008" s="71"/>
      <c r="L2008" s="72" t="str">
        <f>IFERROR(IF(G2008="","",VLOOKUP($G2008,[1]基础信息!$B:$C,2,FALSE)+SUMIF(G$8:G2008,G2008,J$8:J2008)-SUMIF(G$8:G2008,G2008,K$8:K2008)+SUMIFS([1]内部转账!$G:$G,[1]内部转账!$C:$C,"&lt;="&amp;$D2008,[1]内部转账!$E:$E,$G2008)-SUMIFS([1]内部转账!$G:$G,[1]内部转账!$C:$C,"&lt;="&amp;$D2008,[1]内部转账!$F:$F,$G2008)),"")</f>
        <v/>
      </c>
      <c r="M2008" s="64"/>
      <c r="N2008" s="69"/>
      <c r="O2008" s="64"/>
      <c r="P2008" s="64"/>
      <c r="Q2008" s="69"/>
      <c r="R2008" s="69"/>
      <c r="S2008" s="69"/>
    </row>
    <row r="2009" s="2" customFormat="1" ht="24.95" customHeight="1" spans="1:19">
      <c r="A2009" s="15"/>
      <c r="B2009" s="55"/>
      <c r="C2009" s="56"/>
      <c r="D2009" s="68"/>
      <c r="E2009" s="69"/>
      <c r="F2009" s="69"/>
      <c r="G2009" s="65"/>
      <c r="H2009" s="65"/>
      <c r="I2009" s="70"/>
      <c r="J2009" s="71"/>
      <c r="K2009" s="71"/>
      <c r="L2009" s="72" t="str">
        <f>IFERROR(IF(G2009="","",VLOOKUP($G2009,[1]基础信息!$B:$C,2,FALSE)+SUMIF(G$8:G2009,G2009,J$8:J2009)-SUMIF(G$8:G2009,G2009,K$8:K2009)+SUMIFS([1]内部转账!$G:$G,[1]内部转账!$C:$C,"&lt;="&amp;$D2009,[1]内部转账!$E:$E,$G2009)-SUMIFS([1]内部转账!$G:$G,[1]内部转账!$C:$C,"&lt;="&amp;$D2009,[1]内部转账!$F:$F,$G2009)),"")</f>
        <v/>
      </c>
      <c r="M2009" s="64"/>
      <c r="N2009" s="69"/>
      <c r="O2009" s="64"/>
      <c r="P2009" s="64"/>
      <c r="Q2009" s="69"/>
      <c r="R2009" s="69"/>
      <c r="S2009" s="69"/>
    </row>
    <row r="2010" s="2" customFormat="1" ht="24.95" customHeight="1" spans="1:19">
      <c r="A2010" s="15"/>
      <c r="B2010" s="55"/>
      <c r="C2010" s="56"/>
      <c r="D2010" s="68"/>
      <c r="E2010" s="69"/>
      <c r="F2010" s="69"/>
      <c r="G2010" s="65"/>
      <c r="H2010" s="65"/>
      <c r="I2010" s="70"/>
      <c r="J2010" s="71"/>
      <c r="K2010" s="71"/>
      <c r="L2010" s="72" t="str">
        <f>IFERROR(IF(G2010="","",VLOOKUP($G2010,[1]基础信息!$B:$C,2,FALSE)+SUMIF(G$8:G2010,G2010,J$8:J2010)-SUMIF(G$8:G2010,G2010,K$8:K2010)+SUMIFS([1]内部转账!$G:$G,[1]内部转账!$C:$C,"&lt;="&amp;$D2010,[1]内部转账!$E:$E,$G2010)-SUMIFS([1]内部转账!$G:$G,[1]内部转账!$C:$C,"&lt;="&amp;$D2010,[1]内部转账!$F:$F,$G2010)),"")</f>
        <v/>
      </c>
      <c r="M2010" s="64"/>
      <c r="N2010" s="69"/>
      <c r="O2010" s="64"/>
      <c r="P2010" s="64"/>
      <c r="Q2010" s="69"/>
      <c r="R2010" s="69"/>
      <c r="S2010" s="69"/>
    </row>
    <row r="2011" s="2" customFormat="1" ht="24.95" customHeight="1" spans="1:19">
      <c r="A2011" s="15"/>
      <c r="B2011" s="55"/>
      <c r="C2011" s="56"/>
      <c r="D2011" s="68"/>
      <c r="E2011" s="69"/>
      <c r="F2011" s="69"/>
      <c r="G2011" s="65"/>
      <c r="H2011" s="65"/>
      <c r="I2011" s="70"/>
      <c r="J2011" s="71"/>
      <c r="K2011" s="71"/>
      <c r="L2011" s="72" t="str">
        <f>IFERROR(IF(G2011="","",VLOOKUP($G2011,[1]基础信息!$B:$C,2,FALSE)+SUMIF(G$8:G2011,G2011,J$8:J2011)-SUMIF(G$8:G2011,G2011,K$8:K2011)+SUMIFS([1]内部转账!$G:$G,[1]内部转账!$C:$C,"&lt;="&amp;$D2011,[1]内部转账!$E:$E,$G2011)-SUMIFS([1]内部转账!$G:$G,[1]内部转账!$C:$C,"&lt;="&amp;$D2011,[1]内部转账!$F:$F,$G2011)),"")</f>
        <v/>
      </c>
      <c r="M2011" s="64"/>
      <c r="N2011" s="69"/>
      <c r="O2011" s="64"/>
      <c r="P2011" s="64"/>
      <c r="Q2011" s="69"/>
      <c r="R2011" s="69"/>
      <c r="S2011" s="69"/>
    </row>
    <row r="2012" s="2" customFormat="1" ht="24.95" customHeight="1" spans="1:19">
      <c r="A2012" s="15"/>
      <c r="B2012" s="55"/>
      <c r="C2012" s="56"/>
      <c r="D2012" s="68"/>
      <c r="E2012" s="69"/>
      <c r="F2012" s="69"/>
      <c r="G2012" s="65"/>
      <c r="H2012" s="65"/>
      <c r="I2012" s="70"/>
      <c r="J2012" s="71"/>
      <c r="K2012" s="71"/>
      <c r="L2012" s="72" t="str">
        <f>IFERROR(IF(G2012="","",VLOOKUP($G2012,[1]基础信息!$B:$C,2,FALSE)+SUMIF(G$8:G2012,G2012,J$8:J2012)-SUMIF(G$8:G2012,G2012,K$8:K2012)+SUMIFS([1]内部转账!$G:$G,[1]内部转账!$C:$C,"&lt;="&amp;$D2012,[1]内部转账!$E:$E,$G2012)-SUMIFS([1]内部转账!$G:$G,[1]内部转账!$C:$C,"&lt;="&amp;$D2012,[1]内部转账!$F:$F,$G2012)),"")</f>
        <v/>
      </c>
      <c r="M2012" s="64"/>
      <c r="N2012" s="69"/>
      <c r="O2012" s="64"/>
      <c r="P2012" s="64"/>
      <c r="Q2012" s="69"/>
      <c r="R2012" s="69"/>
      <c r="S2012" s="69"/>
    </row>
    <row r="2013" s="2" customFormat="1" ht="24.95" customHeight="1" spans="1:19">
      <c r="A2013" s="15"/>
      <c r="B2013" s="55"/>
      <c r="C2013" s="56"/>
      <c r="D2013" s="68"/>
      <c r="E2013" s="69"/>
      <c r="F2013" s="69"/>
      <c r="G2013" s="65"/>
      <c r="H2013" s="65"/>
      <c r="I2013" s="70"/>
      <c r="J2013" s="71"/>
      <c r="K2013" s="71"/>
      <c r="L2013" s="72" t="str">
        <f>IFERROR(IF(G2013="","",VLOOKUP($G2013,[1]基础信息!$B:$C,2,FALSE)+SUMIF(G$8:G2013,G2013,J$8:J2013)-SUMIF(G$8:G2013,G2013,K$8:K2013)+SUMIFS([1]内部转账!$G:$G,[1]内部转账!$C:$C,"&lt;="&amp;$D2013,[1]内部转账!$E:$E,$G2013)-SUMIFS([1]内部转账!$G:$G,[1]内部转账!$C:$C,"&lt;="&amp;$D2013,[1]内部转账!$F:$F,$G2013)),"")</f>
        <v/>
      </c>
      <c r="M2013" s="64"/>
      <c r="N2013" s="69"/>
      <c r="O2013" s="64"/>
      <c r="P2013" s="64"/>
      <c r="Q2013" s="69"/>
      <c r="R2013" s="69"/>
      <c r="S2013" s="69"/>
    </row>
    <row r="2014" s="2" customFormat="1" ht="24.95" customHeight="1" spans="1:19">
      <c r="A2014" s="15"/>
      <c r="B2014" s="55"/>
      <c r="C2014" s="56"/>
      <c r="D2014" s="68"/>
      <c r="E2014" s="69"/>
      <c r="F2014" s="69"/>
      <c r="G2014" s="65"/>
      <c r="H2014" s="65"/>
      <c r="I2014" s="70"/>
      <c r="J2014" s="71"/>
      <c r="K2014" s="71"/>
      <c r="L2014" s="72" t="str">
        <f>IFERROR(IF(G2014="","",VLOOKUP($G2014,[1]基础信息!$B:$C,2,FALSE)+SUMIF(G$8:G2014,G2014,J$8:J2014)-SUMIF(G$8:G2014,G2014,K$8:K2014)+SUMIFS([1]内部转账!$G:$G,[1]内部转账!$C:$C,"&lt;="&amp;$D2014,[1]内部转账!$E:$E,$G2014)-SUMIFS([1]内部转账!$G:$G,[1]内部转账!$C:$C,"&lt;="&amp;$D2014,[1]内部转账!$F:$F,$G2014)),"")</f>
        <v/>
      </c>
      <c r="M2014" s="64"/>
      <c r="N2014" s="69"/>
      <c r="O2014" s="64"/>
      <c r="P2014" s="64"/>
      <c r="Q2014" s="69"/>
      <c r="R2014" s="69"/>
      <c r="S2014" s="69"/>
    </row>
    <row r="2015" s="2" customFormat="1" ht="24.95" customHeight="1" spans="1:19">
      <c r="A2015" s="15"/>
      <c r="B2015" s="55"/>
      <c r="C2015" s="56"/>
      <c r="D2015" s="68"/>
      <c r="E2015" s="69"/>
      <c r="F2015" s="69"/>
      <c r="G2015" s="65"/>
      <c r="H2015" s="65"/>
      <c r="I2015" s="70"/>
      <c r="J2015" s="71"/>
      <c r="K2015" s="71"/>
      <c r="L2015" s="72" t="str">
        <f>IFERROR(IF(G2015="","",VLOOKUP($G2015,[1]基础信息!$B:$C,2,FALSE)+SUMIF(G$8:G2015,G2015,J$8:J2015)-SUMIF(G$8:G2015,G2015,K$8:K2015)+SUMIFS([1]内部转账!$G:$G,[1]内部转账!$C:$C,"&lt;="&amp;$D2015,[1]内部转账!$E:$E,$G2015)-SUMIFS([1]内部转账!$G:$G,[1]内部转账!$C:$C,"&lt;="&amp;$D2015,[1]内部转账!$F:$F,$G2015)),"")</f>
        <v/>
      </c>
      <c r="M2015" s="64"/>
      <c r="N2015" s="69"/>
      <c r="O2015" s="64"/>
      <c r="P2015" s="64"/>
      <c r="Q2015" s="69"/>
      <c r="R2015" s="69"/>
      <c r="S2015" s="69"/>
    </row>
    <row r="2016" s="2" customFormat="1" ht="24.95" customHeight="1" spans="1:19">
      <c r="A2016" s="15"/>
      <c r="B2016" s="55"/>
      <c r="C2016" s="56"/>
      <c r="D2016" s="68"/>
      <c r="E2016" s="69"/>
      <c r="F2016" s="69"/>
      <c r="G2016" s="65"/>
      <c r="H2016" s="65"/>
      <c r="I2016" s="70"/>
      <c r="J2016" s="71"/>
      <c r="K2016" s="71"/>
      <c r="L2016" s="72" t="str">
        <f>IFERROR(IF(G2016="","",VLOOKUP($G2016,[1]基础信息!$B:$C,2,FALSE)+SUMIF(G$8:G2016,G2016,J$8:J2016)-SUMIF(G$8:G2016,G2016,K$8:K2016)+SUMIFS([1]内部转账!$G:$G,[1]内部转账!$C:$C,"&lt;="&amp;$D2016,[1]内部转账!$E:$E,$G2016)-SUMIFS([1]内部转账!$G:$G,[1]内部转账!$C:$C,"&lt;="&amp;$D2016,[1]内部转账!$F:$F,$G2016)),"")</f>
        <v/>
      </c>
      <c r="M2016" s="64"/>
      <c r="N2016" s="69"/>
      <c r="O2016" s="64"/>
      <c r="P2016" s="64"/>
      <c r="Q2016" s="69"/>
      <c r="R2016" s="69"/>
      <c r="S2016" s="69"/>
    </row>
    <row r="2017" s="2" customFormat="1" ht="24.95" customHeight="1" spans="1:19">
      <c r="A2017" s="15"/>
      <c r="B2017" s="55"/>
      <c r="C2017" s="56"/>
      <c r="D2017" s="68"/>
      <c r="E2017" s="69"/>
      <c r="F2017" s="69"/>
      <c r="G2017" s="65"/>
      <c r="H2017" s="65"/>
      <c r="I2017" s="70"/>
      <c r="J2017" s="71"/>
      <c r="K2017" s="71"/>
      <c r="L2017" s="72" t="str">
        <f>IFERROR(IF(G2017="","",VLOOKUP($G2017,[1]基础信息!$B:$C,2,FALSE)+SUMIF(G$8:G2017,G2017,J$8:J2017)-SUMIF(G$8:G2017,G2017,K$8:K2017)+SUMIFS([1]内部转账!$G:$G,[1]内部转账!$C:$C,"&lt;="&amp;$D2017,[1]内部转账!$E:$E,$G2017)-SUMIFS([1]内部转账!$G:$G,[1]内部转账!$C:$C,"&lt;="&amp;$D2017,[1]内部转账!$F:$F,$G2017)),"")</f>
        <v/>
      </c>
      <c r="M2017" s="64"/>
      <c r="N2017" s="69"/>
      <c r="O2017" s="64"/>
      <c r="P2017" s="64"/>
      <c r="Q2017" s="69"/>
      <c r="R2017" s="69"/>
      <c r="S2017" s="69"/>
    </row>
    <row r="2018" s="2" customFormat="1" ht="24.95" customHeight="1" spans="1:19">
      <c r="A2018" s="15"/>
      <c r="B2018" s="55"/>
      <c r="C2018" s="56"/>
      <c r="D2018" s="68"/>
      <c r="E2018" s="69"/>
      <c r="F2018" s="69"/>
      <c r="G2018" s="65"/>
      <c r="H2018" s="65"/>
      <c r="I2018" s="70"/>
      <c r="J2018" s="71"/>
      <c r="K2018" s="71"/>
      <c r="L2018" s="72" t="str">
        <f>IFERROR(IF(G2018="","",VLOOKUP($G2018,[1]基础信息!$B:$C,2,FALSE)+SUMIF(G$8:G2018,G2018,J$8:J2018)-SUMIF(G$8:G2018,G2018,K$8:K2018)+SUMIFS([1]内部转账!$G:$G,[1]内部转账!$C:$C,"&lt;="&amp;$D2018,[1]内部转账!$E:$E,$G2018)-SUMIFS([1]内部转账!$G:$G,[1]内部转账!$C:$C,"&lt;="&amp;$D2018,[1]内部转账!$F:$F,$G2018)),"")</f>
        <v/>
      </c>
      <c r="M2018" s="64"/>
      <c r="N2018" s="69"/>
      <c r="O2018" s="64"/>
      <c r="P2018" s="64"/>
      <c r="Q2018" s="69"/>
      <c r="R2018" s="69"/>
      <c r="S2018" s="69"/>
    </row>
    <row r="2019" s="2" customFormat="1" ht="24.95" customHeight="1" spans="1:19">
      <c r="A2019" s="15"/>
      <c r="B2019" s="55"/>
      <c r="C2019" s="56"/>
      <c r="D2019" s="68"/>
      <c r="E2019" s="69"/>
      <c r="F2019" s="69"/>
      <c r="G2019" s="65"/>
      <c r="H2019" s="65"/>
      <c r="I2019" s="70"/>
      <c r="J2019" s="71"/>
      <c r="K2019" s="71"/>
      <c r="L2019" s="72" t="str">
        <f>IFERROR(IF(G2019="","",VLOOKUP($G2019,[1]基础信息!$B:$C,2,FALSE)+SUMIF(G$8:G2019,G2019,J$8:J2019)-SUMIF(G$8:G2019,G2019,K$8:K2019)+SUMIFS([1]内部转账!$G:$G,[1]内部转账!$C:$C,"&lt;="&amp;$D2019,[1]内部转账!$E:$E,$G2019)-SUMIFS([1]内部转账!$G:$G,[1]内部转账!$C:$C,"&lt;="&amp;$D2019,[1]内部转账!$F:$F,$G2019)),"")</f>
        <v/>
      </c>
      <c r="M2019" s="64"/>
      <c r="N2019" s="69"/>
      <c r="O2019" s="64"/>
      <c r="P2019" s="64"/>
      <c r="Q2019" s="69"/>
      <c r="R2019" s="69"/>
      <c r="S2019" s="69"/>
    </row>
    <row r="2020" s="2" customFormat="1" ht="24.95" customHeight="1" spans="1:19">
      <c r="A2020" s="15"/>
      <c r="B2020" s="55"/>
      <c r="C2020" s="56"/>
      <c r="D2020" s="68"/>
      <c r="E2020" s="69"/>
      <c r="F2020" s="69"/>
      <c r="G2020" s="65"/>
      <c r="H2020" s="65"/>
      <c r="I2020" s="70"/>
      <c r="J2020" s="71"/>
      <c r="K2020" s="71"/>
      <c r="L2020" s="72" t="str">
        <f>IFERROR(IF(G2020="","",VLOOKUP($G2020,[1]基础信息!$B:$C,2,FALSE)+SUMIF(G$8:G2020,G2020,J$8:J2020)-SUMIF(G$8:G2020,G2020,K$8:K2020)+SUMIFS([1]内部转账!$G:$G,[1]内部转账!$C:$C,"&lt;="&amp;$D2020,[1]内部转账!$E:$E,$G2020)-SUMIFS([1]内部转账!$G:$G,[1]内部转账!$C:$C,"&lt;="&amp;$D2020,[1]内部转账!$F:$F,$G2020)),"")</f>
        <v/>
      </c>
      <c r="M2020" s="64"/>
      <c r="N2020" s="69"/>
      <c r="O2020" s="64"/>
      <c r="P2020" s="64"/>
      <c r="Q2020" s="69"/>
      <c r="R2020" s="69"/>
      <c r="S2020" s="69"/>
    </row>
    <row r="2021" s="2" customFormat="1" ht="24.95" customHeight="1" spans="1:19">
      <c r="A2021" s="15"/>
      <c r="B2021" s="55"/>
      <c r="C2021" s="56"/>
      <c r="D2021" s="68"/>
      <c r="E2021" s="69"/>
      <c r="F2021" s="69"/>
      <c r="G2021" s="65"/>
      <c r="H2021" s="65"/>
      <c r="I2021" s="70"/>
      <c r="J2021" s="71"/>
      <c r="K2021" s="71"/>
      <c r="L2021" s="72" t="str">
        <f>IFERROR(IF(G2021="","",VLOOKUP($G2021,[1]基础信息!$B:$C,2,FALSE)+SUMIF(G$8:G2021,G2021,J$8:J2021)-SUMIF(G$8:G2021,G2021,K$8:K2021)+SUMIFS([1]内部转账!$G:$G,[1]内部转账!$C:$C,"&lt;="&amp;$D2021,[1]内部转账!$E:$E,$G2021)-SUMIFS([1]内部转账!$G:$G,[1]内部转账!$C:$C,"&lt;="&amp;$D2021,[1]内部转账!$F:$F,$G2021)),"")</f>
        <v/>
      </c>
      <c r="M2021" s="64"/>
      <c r="N2021" s="69"/>
      <c r="O2021" s="64"/>
      <c r="P2021" s="64"/>
      <c r="Q2021" s="69"/>
      <c r="R2021" s="69"/>
      <c r="S2021" s="69"/>
    </row>
    <row r="2022" s="2" customFormat="1" ht="24.95" customHeight="1" spans="1:19">
      <c r="A2022" s="15"/>
      <c r="B2022" s="55"/>
      <c r="C2022" s="56"/>
      <c r="D2022" s="68"/>
      <c r="E2022" s="69"/>
      <c r="F2022" s="69"/>
      <c r="G2022" s="65"/>
      <c r="H2022" s="65"/>
      <c r="I2022" s="70"/>
      <c r="J2022" s="71"/>
      <c r="K2022" s="71"/>
      <c r="L2022" s="72" t="str">
        <f>IFERROR(IF(G2022="","",VLOOKUP($G2022,[1]基础信息!$B:$C,2,FALSE)+SUMIF(G$8:G2022,G2022,J$8:J2022)-SUMIF(G$8:G2022,G2022,K$8:K2022)+SUMIFS([1]内部转账!$G:$G,[1]内部转账!$C:$C,"&lt;="&amp;$D2022,[1]内部转账!$E:$E,$G2022)-SUMIFS([1]内部转账!$G:$G,[1]内部转账!$C:$C,"&lt;="&amp;$D2022,[1]内部转账!$F:$F,$G2022)),"")</f>
        <v/>
      </c>
      <c r="M2022" s="64"/>
      <c r="N2022" s="69"/>
      <c r="O2022" s="64"/>
      <c r="P2022" s="64"/>
      <c r="Q2022" s="69"/>
      <c r="R2022" s="69"/>
      <c r="S2022" s="69"/>
    </row>
    <row r="2023" s="2" customFormat="1" ht="24.95" customHeight="1" spans="1:19">
      <c r="A2023" s="15"/>
      <c r="B2023" s="55"/>
      <c r="C2023" s="56"/>
      <c r="D2023" s="68"/>
      <c r="E2023" s="69"/>
      <c r="F2023" s="69"/>
      <c r="G2023" s="65"/>
      <c r="H2023" s="65"/>
      <c r="I2023" s="70"/>
      <c r="J2023" s="71"/>
      <c r="K2023" s="71"/>
      <c r="L2023" s="72" t="str">
        <f>IFERROR(IF(G2023="","",VLOOKUP($G2023,[1]基础信息!$B:$C,2,FALSE)+SUMIF(G$8:G2023,G2023,J$8:J2023)-SUMIF(G$8:G2023,G2023,K$8:K2023)+SUMIFS([1]内部转账!$G:$G,[1]内部转账!$C:$C,"&lt;="&amp;$D2023,[1]内部转账!$E:$E,$G2023)-SUMIFS([1]内部转账!$G:$G,[1]内部转账!$C:$C,"&lt;="&amp;$D2023,[1]内部转账!$F:$F,$G2023)),"")</f>
        <v/>
      </c>
      <c r="M2023" s="64"/>
      <c r="N2023" s="69"/>
      <c r="O2023" s="64"/>
      <c r="P2023" s="64"/>
      <c r="Q2023" s="69"/>
      <c r="R2023" s="69"/>
      <c r="S2023" s="69"/>
    </row>
    <row r="2024" s="2" customFormat="1" ht="24.95" customHeight="1" spans="1:19">
      <c r="A2024" s="15"/>
      <c r="B2024" s="55"/>
      <c r="C2024" s="56"/>
      <c r="D2024" s="68"/>
      <c r="E2024" s="69"/>
      <c r="F2024" s="69"/>
      <c r="G2024" s="65"/>
      <c r="H2024" s="65"/>
      <c r="I2024" s="70"/>
      <c r="J2024" s="71"/>
      <c r="K2024" s="71"/>
      <c r="L2024" s="72" t="str">
        <f>IFERROR(IF(G2024="","",VLOOKUP($G2024,[1]基础信息!$B:$C,2,FALSE)+SUMIF(G$8:G2024,G2024,J$8:J2024)-SUMIF(G$8:G2024,G2024,K$8:K2024)+SUMIFS([1]内部转账!$G:$G,[1]内部转账!$C:$C,"&lt;="&amp;$D2024,[1]内部转账!$E:$E,$G2024)-SUMIFS([1]内部转账!$G:$G,[1]内部转账!$C:$C,"&lt;="&amp;$D2024,[1]内部转账!$F:$F,$G2024)),"")</f>
        <v/>
      </c>
      <c r="M2024" s="64"/>
      <c r="N2024" s="69"/>
      <c r="O2024" s="64"/>
      <c r="P2024" s="64"/>
      <c r="Q2024" s="69"/>
      <c r="R2024" s="69"/>
      <c r="S2024" s="69"/>
    </row>
    <row r="2025" s="2" customFormat="1" ht="24.95" customHeight="1" spans="1:19">
      <c r="A2025" s="15"/>
      <c r="B2025" s="55"/>
      <c r="C2025" s="56"/>
      <c r="D2025" s="68"/>
      <c r="E2025" s="69"/>
      <c r="F2025" s="69"/>
      <c r="G2025" s="65"/>
      <c r="H2025" s="65"/>
      <c r="I2025" s="70"/>
      <c r="J2025" s="71"/>
      <c r="K2025" s="71"/>
      <c r="L2025" s="72" t="str">
        <f>IFERROR(IF(G2025="","",VLOOKUP($G2025,[1]基础信息!$B:$C,2,FALSE)+SUMIF(G$8:G2025,G2025,J$8:J2025)-SUMIF(G$8:G2025,G2025,K$8:K2025)+SUMIFS([1]内部转账!$G:$G,[1]内部转账!$C:$C,"&lt;="&amp;$D2025,[1]内部转账!$E:$E,$G2025)-SUMIFS([1]内部转账!$G:$G,[1]内部转账!$C:$C,"&lt;="&amp;$D2025,[1]内部转账!$F:$F,$G2025)),"")</f>
        <v/>
      </c>
      <c r="M2025" s="64"/>
      <c r="N2025" s="69"/>
      <c r="O2025" s="64"/>
      <c r="P2025" s="64"/>
      <c r="Q2025" s="69"/>
      <c r="R2025" s="69"/>
      <c r="S2025" s="69"/>
    </row>
    <row r="2026" s="2" customFormat="1" ht="24.95" customHeight="1" spans="1:19">
      <c r="A2026" s="15"/>
      <c r="B2026" s="55"/>
      <c r="C2026" s="56"/>
      <c r="D2026" s="68"/>
      <c r="E2026" s="69"/>
      <c r="F2026" s="69"/>
      <c r="G2026" s="65"/>
      <c r="H2026" s="65"/>
      <c r="I2026" s="70"/>
      <c r="J2026" s="71"/>
      <c r="K2026" s="71"/>
      <c r="L2026" s="72" t="str">
        <f>IFERROR(IF(G2026="","",VLOOKUP($G2026,[1]基础信息!$B:$C,2,FALSE)+SUMIF(G$8:G2026,G2026,J$8:J2026)-SUMIF(G$8:G2026,G2026,K$8:K2026)+SUMIFS([1]内部转账!$G:$G,[1]内部转账!$C:$C,"&lt;="&amp;$D2026,[1]内部转账!$E:$E,$G2026)-SUMIFS([1]内部转账!$G:$G,[1]内部转账!$C:$C,"&lt;="&amp;$D2026,[1]内部转账!$F:$F,$G2026)),"")</f>
        <v/>
      </c>
      <c r="M2026" s="64"/>
      <c r="N2026" s="69"/>
      <c r="O2026" s="64"/>
      <c r="P2026" s="64"/>
      <c r="Q2026" s="69"/>
      <c r="R2026" s="69"/>
      <c r="S2026" s="69"/>
    </row>
    <row r="2027" s="2" customFormat="1" ht="24.95" customHeight="1" spans="1:19">
      <c r="A2027" s="15"/>
      <c r="B2027" s="55"/>
      <c r="C2027" s="56"/>
      <c r="D2027" s="68"/>
      <c r="E2027" s="69"/>
      <c r="F2027" s="69"/>
      <c r="G2027" s="65"/>
      <c r="H2027" s="65"/>
      <c r="I2027" s="70"/>
      <c r="J2027" s="71"/>
      <c r="K2027" s="71"/>
      <c r="L2027" s="72" t="str">
        <f>IFERROR(IF(G2027="","",VLOOKUP($G2027,[1]基础信息!$B:$C,2,FALSE)+SUMIF(G$8:G2027,G2027,J$8:J2027)-SUMIF(G$8:G2027,G2027,K$8:K2027)+SUMIFS([1]内部转账!$G:$G,[1]内部转账!$C:$C,"&lt;="&amp;$D2027,[1]内部转账!$E:$E,$G2027)-SUMIFS([1]内部转账!$G:$G,[1]内部转账!$C:$C,"&lt;="&amp;$D2027,[1]内部转账!$F:$F,$G2027)),"")</f>
        <v/>
      </c>
      <c r="M2027" s="64"/>
      <c r="N2027" s="69"/>
      <c r="O2027" s="64"/>
      <c r="P2027" s="64"/>
      <c r="Q2027" s="69"/>
      <c r="R2027" s="69"/>
      <c r="S2027" s="69"/>
    </row>
    <row r="2028" s="2" customFormat="1" ht="24.95" customHeight="1" spans="1:19">
      <c r="A2028" s="15"/>
      <c r="B2028" s="55"/>
      <c r="C2028" s="56"/>
      <c r="D2028" s="68"/>
      <c r="E2028" s="69"/>
      <c r="F2028" s="69"/>
      <c r="G2028" s="65"/>
      <c r="H2028" s="65"/>
      <c r="I2028" s="70"/>
      <c r="J2028" s="71"/>
      <c r="K2028" s="71"/>
      <c r="L2028" s="72" t="str">
        <f>IFERROR(IF(G2028="","",VLOOKUP($G2028,[1]基础信息!$B:$C,2,FALSE)+SUMIF(G$8:G2028,G2028,J$8:J2028)-SUMIF(G$8:G2028,G2028,K$8:K2028)+SUMIFS([1]内部转账!$G:$G,[1]内部转账!$C:$C,"&lt;="&amp;$D2028,[1]内部转账!$E:$E,$G2028)-SUMIFS([1]内部转账!$G:$G,[1]内部转账!$C:$C,"&lt;="&amp;$D2028,[1]内部转账!$F:$F,$G2028)),"")</f>
        <v/>
      </c>
      <c r="M2028" s="64"/>
      <c r="N2028" s="69"/>
      <c r="O2028" s="64"/>
      <c r="P2028" s="64"/>
      <c r="Q2028" s="69"/>
      <c r="R2028" s="69"/>
      <c r="S2028" s="69"/>
    </row>
    <row r="2029" s="2" customFormat="1" ht="24.95" customHeight="1" spans="1:19">
      <c r="A2029" s="15"/>
      <c r="B2029" s="55"/>
      <c r="C2029" s="56"/>
      <c r="D2029" s="68"/>
      <c r="E2029" s="69"/>
      <c r="F2029" s="69"/>
      <c r="G2029" s="65"/>
      <c r="H2029" s="65"/>
      <c r="I2029" s="70"/>
      <c r="J2029" s="71"/>
      <c r="K2029" s="71"/>
      <c r="L2029" s="72" t="str">
        <f>IFERROR(IF(G2029="","",VLOOKUP($G2029,[1]基础信息!$B:$C,2,FALSE)+SUMIF(G$8:G2029,G2029,J$8:J2029)-SUMIF(G$8:G2029,G2029,K$8:K2029)+SUMIFS([1]内部转账!$G:$G,[1]内部转账!$C:$C,"&lt;="&amp;$D2029,[1]内部转账!$E:$E,$G2029)-SUMIFS([1]内部转账!$G:$G,[1]内部转账!$C:$C,"&lt;="&amp;$D2029,[1]内部转账!$F:$F,$G2029)),"")</f>
        <v/>
      </c>
      <c r="M2029" s="64"/>
      <c r="N2029" s="69"/>
      <c r="O2029" s="64"/>
      <c r="P2029" s="64"/>
      <c r="Q2029" s="69"/>
      <c r="R2029" s="69"/>
      <c r="S2029" s="69"/>
    </row>
    <row r="2030" s="2" customFormat="1" ht="24.95" customHeight="1" spans="1:19">
      <c r="A2030" s="15"/>
      <c r="B2030" s="55"/>
      <c r="C2030" s="56"/>
      <c r="D2030" s="68"/>
      <c r="E2030" s="69"/>
      <c r="F2030" s="69"/>
      <c r="G2030" s="65"/>
      <c r="H2030" s="65"/>
      <c r="I2030" s="70"/>
      <c r="J2030" s="71"/>
      <c r="K2030" s="71"/>
      <c r="L2030" s="72" t="str">
        <f>IFERROR(IF(G2030="","",VLOOKUP($G2030,[1]基础信息!$B:$C,2,FALSE)+SUMIF(G$8:G2030,G2030,J$8:J2030)-SUMIF(G$8:G2030,G2030,K$8:K2030)+SUMIFS([1]内部转账!$G:$G,[1]内部转账!$C:$C,"&lt;="&amp;$D2030,[1]内部转账!$E:$E,$G2030)-SUMIFS([1]内部转账!$G:$G,[1]内部转账!$C:$C,"&lt;="&amp;$D2030,[1]内部转账!$F:$F,$G2030)),"")</f>
        <v/>
      </c>
      <c r="M2030" s="64"/>
      <c r="N2030" s="69"/>
      <c r="O2030" s="64"/>
      <c r="P2030" s="64"/>
      <c r="Q2030" s="69"/>
      <c r="R2030" s="69"/>
      <c r="S2030" s="69"/>
    </row>
    <row r="2031" s="2" customFormat="1" ht="24.95" customHeight="1" spans="1:19">
      <c r="A2031" s="15"/>
      <c r="B2031" s="55"/>
      <c r="C2031" s="56"/>
      <c r="D2031" s="68"/>
      <c r="E2031" s="69"/>
      <c r="F2031" s="69"/>
      <c r="G2031" s="65"/>
      <c r="H2031" s="65"/>
      <c r="I2031" s="70"/>
      <c r="J2031" s="71"/>
      <c r="K2031" s="71"/>
      <c r="L2031" s="72" t="str">
        <f>IFERROR(IF(G2031="","",VLOOKUP($G2031,[1]基础信息!$B:$C,2,FALSE)+SUMIF(G$8:G2031,G2031,J$8:J2031)-SUMIF(G$8:G2031,G2031,K$8:K2031)+SUMIFS([1]内部转账!$G:$G,[1]内部转账!$C:$C,"&lt;="&amp;$D2031,[1]内部转账!$E:$E,$G2031)-SUMIFS([1]内部转账!$G:$G,[1]内部转账!$C:$C,"&lt;="&amp;$D2031,[1]内部转账!$F:$F,$G2031)),"")</f>
        <v/>
      </c>
      <c r="M2031" s="64"/>
      <c r="N2031" s="69"/>
      <c r="O2031" s="64"/>
      <c r="P2031" s="64"/>
      <c r="Q2031" s="69"/>
      <c r="R2031" s="69"/>
      <c r="S2031" s="69"/>
    </row>
    <row r="2032" s="2" customFormat="1" ht="24.95" customHeight="1" spans="1:19">
      <c r="A2032" s="15"/>
      <c r="B2032" s="55"/>
      <c r="C2032" s="56"/>
      <c r="D2032" s="68"/>
      <c r="E2032" s="69"/>
      <c r="F2032" s="69"/>
      <c r="G2032" s="65"/>
      <c r="H2032" s="65"/>
      <c r="I2032" s="70"/>
      <c r="J2032" s="71"/>
      <c r="K2032" s="71"/>
      <c r="L2032" s="72" t="str">
        <f>IFERROR(IF(G2032="","",VLOOKUP($G2032,[1]基础信息!$B:$C,2,FALSE)+SUMIF(G$8:G2032,G2032,J$8:J2032)-SUMIF(G$8:G2032,G2032,K$8:K2032)+SUMIFS([1]内部转账!$G:$G,[1]内部转账!$C:$C,"&lt;="&amp;$D2032,[1]内部转账!$E:$E,$G2032)-SUMIFS([1]内部转账!$G:$G,[1]内部转账!$C:$C,"&lt;="&amp;$D2032,[1]内部转账!$F:$F,$G2032)),"")</f>
        <v/>
      </c>
      <c r="M2032" s="64"/>
      <c r="N2032" s="69"/>
      <c r="O2032" s="64"/>
      <c r="P2032" s="64"/>
      <c r="Q2032" s="69"/>
      <c r="R2032" s="69"/>
      <c r="S2032" s="69"/>
    </row>
    <row r="2033" s="2" customFormat="1" ht="24.95" customHeight="1" spans="1:19">
      <c r="A2033" s="15"/>
      <c r="B2033" s="55"/>
      <c r="C2033" s="56"/>
      <c r="D2033" s="68"/>
      <c r="E2033" s="69"/>
      <c r="F2033" s="69"/>
      <c r="G2033" s="65"/>
      <c r="H2033" s="65"/>
      <c r="I2033" s="70"/>
      <c r="J2033" s="71"/>
      <c r="K2033" s="71"/>
      <c r="L2033" s="72" t="str">
        <f>IFERROR(IF(G2033="","",VLOOKUP($G2033,[1]基础信息!$B:$C,2,FALSE)+SUMIF(G$8:G2033,G2033,J$8:J2033)-SUMIF(G$8:G2033,G2033,K$8:K2033)+SUMIFS([1]内部转账!$G:$G,[1]内部转账!$C:$C,"&lt;="&amp;$D2033,[1]内部转账!$E:$E,$G2033)-SUMIFS([1]内部转账!$G:$G,[1]内部转账!$C:$C,"&lt;="&amp;$D2033,[1]内部转账!$F:$F,$G2033)),"")</f>
        <v/>
      </c>
      <c r="M2033" s="64"/>
      <c r="N2033" s="69"/>
      <c r="O2033" s="64"/>
      <c r="P2033" s="64"/>
      <c r="Q2033" s="69"/>
      <c r="R2033" s="69"/>
      <c r="S2033" s="69"/>
    </row>
    <row r="2034" s="2" customFormat="1" ht="24.95" customHeight="1" spans="1:19">
      <c r="A2034" s="15"/>
      <c r="B2034" s="55"/>
      <c r="C2034" s="56"/>
      <c r="D2034" s="68"/>
      <c r="E2034" s="69"/>
      <c r="F2034" s="69"/>
      <c r="G2034" s="65"/>
      <c r="H2034" s="65"/>
      <c r="I2034" s="70"/>
      <c r="J2034" s="71"/>
      <c r="K2034" s="71"/>
      <c r="L2034" s="72" t="str">
        <f>IFERROR(IF(G2034="","",VLOOKUP($G2034,[1]基础信息!$B:$C,2,FALSE)+SUMIF(G$8:G2034,G2034,J$8:J2034)-SUMIF(G$8:G2034,G2034,K$8:K2034)+SUMIFS([1]内部转账!$G:$G,[1]内部转账!$C:$C,"&lt;="&amp;$D2034,[1]内部转账!$E:$E,$G2034)-SUMIFS([1]内部转账!$G:$G,[1]内部转账!$C:$C,"&lt;="&amp;$D2034,[1]内部转账!$F:$F,$G2034)),"")</f>
        <v/>
      </c>
      <c r="M2034" s="64"/>
      <c r="N2034" s="69"/>
      <c r="O2034" s="64"/>
      <c r="P2034" s="64"/>
      <c r="Q2034" s="69"/>
      <c r="R2034" s="69"/>
      <c r="S2034" s="69"/>
    </row>
    <row r="2035" s="2" customFormat="1" ht="24.95" customHeight="1" spans="1:19">
      <c r="A2035" s="15"/>
      <c r="B2035" s="55"/>
      <c r="C2035" s="56"/>
      <c r="D2035" s="68"/>
      <c r="E2035" s="69"/>
      <c r="F2035" s="69"/>
      <c r="G2035" s="65"/>
      <c r="H2035" s="65"/>
      <c r="I2035" s="70"/>
      <c r="J2035" s="71"/>
      <c r="K2035" s="71"/>
      <c r="L2035" s="72" t="str">
        <f>IFERROR(IF(G2035="","",VLOOKUP($G2035,[1]基础信息!$B:$C,2,FALSE)+SUMIF(G$8:G2035,G2035,J$8:J2035)-SUMIF(G$8:G2035,G2035,K$8:K2035)+SUMIFS([1]内部转账!$G:$G,[1]内部转账!$C:$C,"&lt;="&amp;$D2035,[1]内部转账!$E:$E,$G2035)-SUMIFS([1]内部转账!$G:$G,[1]内部转账!$C:$C,"&lt;="&amp;$D2035,[1]内部转账!$F:$F,$G2035)),"")</f>
        <v/>
      </c>
      <c r="M2035" s="64"/>
      <c r="N2035" s="69"/>
      <c r="O2035" s="64"/>
      <c r="P2035" s="64"/>
      <c r="Q2035" s="69"/>
      <c r="R2035" s="69"/>
      <c r="S2035" s="69"/>
    </row>
    <row r="2036" s="2" customFormat="1" ht="24.95" customHeight="1" spans="1:19">
      <c r="A2036" s="15"/>
      <c r="B2036" s="55"/>
      <c r="C2036" s="56"/>
      <c r="D2036" s="68"/>
      <c r="E2036" s="69"/>
      <c r="F2036" s="69"/>
      <c r="G2036" s="65"/>
      <c r="H2036" s="65"/>
      <c r="I2036" s="70"/>
      <c r="J2036" s="71"/>
      <c r="K2036" s="71"/>
      <c r="L2036" s="72" t="str">
        <f>IFERROR(IF(G2036="","",VLOOKUP($G2036,[1]基础信息!$B:$C,2,FALSE)+SUMIF(G$8:G2036,G2036,J$8:J2036)-SUMIF(G$8:G2036,G2036,K$8:K2036)+SUMIFS([1]内部转账!$G:$G,[1]内部转账!$C:$C,"&lt;="&amp;$D2036,[1]内部转账!$E:$E,$G2036)-SUMIFS([1]内部转账!$G:$G,[1]内部转账!$C:$C,"&lt;="&amp;$D2036,[1]内部转账!$F:$F,$G2036)),"")</f>
        <v/>
      </c>
      <c r="M2036" s="64"/>
      <c r="N2036" s="69"/>
      <c r="O2036" s="64"/>
      <c r="P2036" s="64"/>
      <c r="Q2036" s="69"/>
      <c r="R2036" s="69"/>
      <c r="S2036" s="69"/>
    </row>
    <row r="2037" s="2" customFormat="1" ht="24.95" customHeight="1" spans="1:19">
      <c r="A2037" s="15"/>
      <c r="B2037" s="55"/>
      <c r="C2037" s="56"/>
      <c r="D2037" s="68"/>
      <c r="E2037" s="69"/>
      <c r="F2037" s="69"/>
      <c r="G2037" s="65"/>
      <c r="H2037" s="65"/>
      <c r="I2037" s="70"/>
      <c r="J2037" s="71"/>
      <c r="K2037" s="71"/>
      <c r="L2037" s="72" t="str">
        <f>IFERROR(IF(G2037="","",VLOOKUP($G2037,[1]基础信息!$B:$C,2,FALSE)+SUMIF(G$8:G2037,G2037,J$8:J2037)-SUMIF(G$8:G2037,G2037,K$8:K2037)+SUMIFS([1]内部转账!$G:$G,[1]内部转账!$C:$C,"&lt;="&amp;$D2037,[1]内部转账!$E:$E,$G2037)-SUMIFS([1]内部转账!$G:$G,[1]内部转账!$C:$C,"&lt;="&amp;$D2037,[1]内部转账!$F:$F,$G2037)),"")</f>
        <v/>
      </c>
      <c r="M2037" s="64"/>
      <c r="N2037" s="69"/>
      <c r="O2037" s="64"/>
      <c r="P2037" s="64"/>
      <c r="Q2037" s="69"/>
      <c r="R2037" s="69"/>
      <c r="S2037" s="69"/>
    </row>
    <row r="2038" s="2" customFormat="1" ht="24.95" customHeight="1" spans="1:19">
      <c r="A2038" s="15"/>
      <c r="B2038" s="55"/>
      <c r="C2038" s="56"/>
      <c r="D2038" s="68"/>
      <c r="E2038" s="69"/>
      <c r="F2038" s="69"/>
      <c r="G2038" s="65"/>
      <c r="H2038" s="65"/>
      <c r="I2038" s="70"/>
      <c r="J2038" s="71"/>
      <c r="K2038" s="71"/>
      <c r="L2038" s="72" t="str">
        <f>IFERROR(IF(G2038="","",VLOOKUP($G2038,[1]基础信息!$B:$C,2,FALSE)+SUMIF(G$8:G2038,G2038,J$8:J2038)-SUMIF(G$8:G2038,G2038,K$8:K2038)+SUMIFS([1]内部转账!$G:$G,[1]内部转账!$C:$C,"&lt;="&amp;$D2038,[1]内部转账!$E:$E,$G2038)-SUMIFS([1]内部转账!$G:$G,[1]内部转账!$C:$C,"&lt;="&amp;$D2038,[1]内部转账!$F:$F,$G2038)),"")</f>
        <v/>
      </c>
      <c r="M2038" s="64"/>
      <c r="N2038" s="69"/>
      <c r="O2038" s="64"/>
      <c r="P2038" s="64"/>
      <c r="Q2038" s="69"/>
      <c r="R2038" s="69"/>
      <c r="S2038" s="69"/>
    </row>
    <row r="2039" s="2" customFormat="1" ht="24.95" customHeight="1" spans="1:19">
      <c r="A2039" s="15"/>
      <c r="B2039" s="55"/>
      <c r="C2039" s="56"/>
      <c r="D2039" s="68"/>
      <c r="E2039" s="69"/>
      <c r="F2039" s="69"/>
      <c r="G2039" s="65"/>
      <c r="H2039" s="65"/>
      <c r="I2039" s="70"/>
      <c r="J2039" s="71"/>
      <c r="K2039" s="71"/>
      <c r="L2039" s="72" t="str">
        <f>IFERROR(IF(G2039="","",VLOOKUP($G2039,[1]基础信息!$B:$C,2,FALSE)+SUMIF(G$8:G2039,G2039,J$8:J2039)-SUMIF(G$8:G2039,G2039,K$8:K2039)+SUMIFS([1]内部转账!$G:$G,[1]内部转账!$C:$C,"&lt;="&amp;$D2039,[1]内部转账!$E:$E,$G2039)-SUMIFS([1]内部转账!$G:$G,[1]内部转账!$C:$C,"&lt;="&amp;$D2039,[1]内部转账!$F:$F,$G2039)),"")</f>
        <v/>
      </c>
      <c r="M2039" s="64"/>
      <c r="N2039" s="69"/>
      <c r="O2039" s="64"/>
      <c r="P2039" s="64"/>
      <c r="Q2039" s="69"/>
      <c r="R2039" s="69"/>
      <c r="S2039" s="69"/>
    </row>
    <row r="2040" s="2" customFormat="1" ht="24.95" customHeight="1" spans="1:19">
      <c r="A2040" s="15"/>
      <c r="B2040" s="55"/>
      <c r="C2040" s="56"/>
      <c r="D2040" s="68"/>
      <c r="E2040" s="69"/>
      <c r="F2040" s="69"/>
      <c r="G2040" s="65"/>
      <c r="H2040" s="65"/>
      <c r="I2040" s="70"/>
      <c r="J2040" s="71"/>
      <c r="K2040" s="71"/>
      <c r="L2040" s="72" t="str">
        <f>IFERROR(IF(G2040="","",VLOOKUP($G2040,[1]基础信息!$B:$C,2,FALSE)+SUMIF(G$8:G2040,G2040,J$8:J2040)-SUMIF(G$8:G2040,G2040,K$8:K2040)+SUMIFS([1]内部转账!$G:$G,[1]内部转账!$C:$C,"&lt;="&amp;$D2040,[1]内部转账!$E:$E,$G2040)-SUMIFS([1]内部转账!$G:$G,[1]内部转账!$C:$C,"&lt;="&amp;$D2040,[1]内部转账!$F:$F,$G2040)),"")</f>
        <v/>
      </c>
      <c r="M2040" s="64"/>
      <c r="N2040" s="69"/>
      <c r="O2040" s="64"/>
      <c r="P2040" s="64"/>
      <c r="Q2040" s="69"/>
      <c r="R2040" s="69"/>
      <c r="S2040" s="69"/>
    </row>
    <row r="2041" s="2" customFormat="1" ht="24.95" customHeight="1" spans="1:19">
      <c r="A2041" s="15"/>
      <c r="B2041" s="55"/>
      <c r="C2041" s="56"/>
      <c r="D2041" s="68"/>
      <c r="E2041" s="69"/>
      <c r="F2041" s="69"/>
      <c r="G2041" s="65"/>
      <c r="H2041" s="65"/>
      <c r="I2041" s="70"/>
      <c r="J2041" s="71"/>
      <c r="K2041" s="71"/>
      <c r="L2041" s="72" t="str">
        <f>IFERROR(IF(G2041="","",VLOOKUP($G2041,[1]基础信息!$B:$C,2,FALSE)+SUMIF(G$8:G2041,G2041,J$8:J2041)-SUMIF(G$8:G2041,G2041,K$8:K2041)+SUMIFS([1]内部转账!$G:$G,[1]内部转账!$C:$C,"&lt;="&amp;$D2041,[1]内部转账!$E:$E,$G2041)-SUMIFS([1]内部转账!$G:$G,[1]内部转账!$C:$C,"&lt;="&amp;$D2041,[1]内部转账!$F:$F,$G2041)),"")</f>
        <v/>
      </c>
      <c r="M2041" s="64"/>
      <c r="N2041" s="69"/>
      <c r="O2041" s="64"/>
      <c r="P2041" s="64"/>
      <c r="Q2041" s="69"/>
      <c r="R2041" s="69"/>
      <c r="S2041" s="69"/>
    </row>
    <row r="2042" s="2" customFormat="1" ht="24.95" customHeight="1" spans="1:19">
      <c r="A2042" s="15"/>
      <c r="B2042" s="55"/>
      <c r="C2042" s="56"/>
      <c r="D2042" s="68"/>
      <c r="E2042" s="69"/>
      <c r="F2042" s="69"/>
      <c r="G2042" s="65"/>
      <c r="H2042" s="65"/>
      <c r="I2042" s="70"/>
      <c r="J2042" s="71"/>
      <c r="K2042" s="71"/>
      <c r="L2042" s="72" t="str">
        <f>IFERROR(IF(G2042="","",VLOOKUP($G2042,[1]基础信息!$B:$C,2,FALSE)+SUMIF(G$8:G2042,G2042,J$8:J2042)-SUMIF(G$8:G2042,G2042,K$8:K2042)+SUMIFS([1]内部转账!$G:$G,[1]内部转账!$C:$C,"&lt;="&amp;$D2042,[1]内部转账!$E:$E,$G2042)-SUMIFS([1]内部转账!$G:$G,[1]内部转账!$C:$C,"&lt;="&amp;$D2042,[1]内部转账!$F:$F,$G2042)),"")</f>
        <v/>
      </c>
      <c r="M2042" s="64"/>
      <c r="N2042" s="69"/>
      <c r="O2042" s="64"/>
      <c r="P2042" s="64"/>
      <c r="Q2042" s="69"/>
      <c r="R2042" s="69"/>
      <c r="S2042" s="69"/>
    </row>
    <row r="2043" s="2" customFormat="1" ht="24.95" customHeight="1" spans="1:19">
      <c r="A2043" s="15"/>
      <c r="B2043" s="55"/>
      <c r="C2043" s="56"/>
      <c r="D2043" s="68"/>
      <c r="E2043" s="69"/>
      <c r="F2043" s="69"/>
      <c r="G2043" s="65"/>
      <c r="H2043" s="65"/>
      <c r="I2043" s="70"/>
      <c r="J2043" s="71"/>
      <c r="K2043" s="71"/>
      <c r="L2043" s="72" t="str">
        <f>IFERROR(IF(G2043="","",VLOOKUP($G2043,[1]基础信息!$B:$C,2,FALSE)+SUMIF(G$8:G2043,G2043,J$8:J2043)-SUMIF(G$8:G2043,G2043,K$8:K2043)+SUMIFS([1]内部转账!$G:$G,[1]内部转账!$C:$C,"&lt;="&amp;$D2043,[1]内部转账!$E:$E,$G2043)-SUMIFS([1]内部转账!$G:$G,[1]内部转账!$C:$C,"&lt;="&amp;$D2043,[1]内部转账!$F:$F,$G2043)),"")</f>
        <v/>
      </c>
      <c r="M2043" s="64"/>
      <c r="N2043" s="69"/>
      <c r="O2043" s="64"/>
      <c r="P2043" s="64"/>
      <c r="Q2043" s="69"/>
      <c r="R2043" s="69"/>
      <c r="S2043" s="69"/>
    </row>
    <row r="2044" s="2" customFormat="1" ht="24.95" customHeight="1" spans="1:19">
      <c r="A2044" s="15"/>
      <c r="B2044" s="55"/>
      <c r="C2044" s="56"/>
      <c r="D2044" s="68"/>
      <c r="E2044" s="69"/>
      <c r="F2044" s="69"/>
      <c r="G2044" s="65"/>
      <c r="H2044" s="65"/>
      <c r="I2044" s="70"/>
      <c r="J2044" s="71"/>
      <c r="K2044" s="71"/>
      <c r="L2044" s="72" t="str">
        <f>IFERROR(IF(G2044="","",VLOOKUP($G2044,[1]基础信息!$B:$C,2,FALSE)+SUMIF(G$8:G2044,G2044,J$8:J2044)-SUMIF(G$8:G2044,G2044,K$8:K2044)+SUMIFS([1]内部转账!$G:$G,[1]内部转账!$C:$C,"&lt;="&amp;$D2044,[1]内部转账!$E:$E,$G2044)-SUMIFS([1]内部转账!$G:$G,[1]内部转账!$C:$C,"&lt;="&amp;$D2044,[1]内部转账!$F:$F,$G2044)),"")</f>
        <v/>
      </c>
      <c r="M2044" s="64"/>
      <c r="N2044" s="69"/>
      <c r="O2044" s="64"/>
      <c r="P2044" s="64"/>
      <c r="Q2044" s="69"/>
      <c r="R2044" s="69"/>
      <c r="S2044" s="69"/>
    </row>
    <row r="2045" s="2" customFormat="1" ht="24.95" customHeight="1" spans="1:19">
      <c r="A2045" s="15"/>
      <c r="B2045" s="55"/>
      <c r="C2045" s="56"/>
      <c r="D2045" s="68"/>
      <c r="E2045" s="69"/>
      <c r="F2045" s="69"/>
      <c r="G2045" s="65"/>
      <c r="H2045" s="65"/>
      <c r="I2045" s="70"/>
      <c r="J2045" s="71"/>
      <c r="K2045" s="71"/>
      <c r="L2045" s="72" t="str">
        <f>IFERROR(IF(G2045="","",VLOOKUP($G2045,[1]基础信息!$B:$C,2,FALSE)+SUMIF(G$8:G2045,G2045,J$8:J2045)-SUMIF(G$8:G2045,G2045,K$8:K2045)+SUMIFS([1]内部转账!$G:$G,[1]内部转账!$C:$C,"&lt;="&amp;$D2045,[1]内部转账!$E:$E,$G2045)-SUMIFS([1]内部转账!$G:$G,[1]内部转账!$C:$C,"&lt;="&amp;$D2045,[1]内部转账!$F:$F,$G2045)),"")</f>
        <v/>
      </c>
      <c r="M2045" s="64"/>
      <c r="N2045" s="69"/>
      <c r="O2045" s="64"/>
      <c r="P2045" s="64"/>
      <c r="Q2045" s="69"/>
      <c r="R2045" s="69"/>
      <c r="S2045" s="69"/>
    </row>
    <row r="2046" s="2" customFormat="1" ht="24.95" customHeight="1" spans="1:19">
      <c r="A2046" s="15"/>
      <c r="B2046" s="55"/>
      <c r="C2046" s="56"/>
      <c r="D2046" s="68"/>
      <c r="E2046" s="69"/>
      <c r="F2046" s="69"/>
      <c r="G2046" s="65"/>
      <c r="H2046" s="65"/>
      <c r="I2046" s="70"/>
      <c r="J2046" s="71"/>
      <c r="K2046" s="71"/>
      <c r="L2046" s="72" t="str">
        <f>IFERROR(IF(G2046="","",VLOOKUP($G2046,[1]基础信息!$B:$C,2,FALSE)+SUMIF(G$8:G2046,G2046,J$8:J2046)-SUMIF(G$8:G2046,G2046,K$8:K2046)+SUMIFS([1]内部转账!$G:$G,[1]内部转账!$C:$C,"&lt;="&amp;$D2046,[1]内部转账!$E:$E,$G2046)-SUMIFS([1]内部转账!$G:$G,[1]内部转账!$C:$C,"&lt;="&amp;$D2046,[1]内部转账!$F:$F,$G2046)),"")</f>
        <v/>
      </c>
      <c r="M2046" s="64"/>
      <c r="N2046" s="69"/>
      <c r="O2046" s="64"/>
      <c r="P2046" s="64"/>
      <c r="Q2046" s="69"/>
      <c r="R2046" s="69"/>
      <c r="S2046" s="69"/>
    </row>
    <row r="2047" s="2" customFormat="1" ht="24.95" customHeight="1" spans="1:19">
      <c r="A2047" s="15"/>
      <c r="B2047" s="55"/>
      <c r="C2047" s="56"/>
      <c r="D2047" s="68"/>
      <c r="E2047" s="69"/>
      <c r="F2047" s="69"/>
      <c r="G2047" s="65"/>
      <c r="H2047" s="65"/>
      <c r="I2047" s="70"/>
      <c r="J2047" s="71"/>
      <c r="K2047" s="71"/>
      <c r="L2047" s="72" t="str">
        <f>IFERROR(IF(G2047="","",VLOOKUP($G2047,[1]基础信息!$B:$C,2,FALSE)+SUMIF(G$8:G2047,G2047,J$8:J2047)-SUMIF(G$8:G2047,G2047,K$8:K2047)+SUMIFS([1]内部转账!$G:$G,[1]内部转账!$C:$C,"&lt;="&amp;$D2047,[1]内部转账!$E:$E,$G2047)-SUMIFS([1]内部转账!$G:$G,[1]内部转账!$C:$C,"&lt;="&amp;$D2047,[1]内部转账!$F:$F,$G2047)),"")</f>
        <v/>
      </c>
      <c r="M2047" s="64"/>
      <c r="N2047" s="69"/>
      <c r="O2047" s="64"/>
      <c r="P2047" s="64"/>
      <c r="Q2047" s="69"/>
      <c r="R2047" s="69"/>
      <c r="S2047" s="69"/>
    </row>
    <row r="2048" s="2" customFormat="1" ht="24.95" customHeight="1" spans="1:19">
      <c r="A2048" s="15"/>
      <c r="B2048" s="55"/>
      <c r="C2048" s="56"/>
      <c r="D2048" s="68"/>
      <c r="E2048" s="69"/>
      <c r="F2048" s="69"/>
      <c r="G2048" s="65"/>
      <c r="H2048" s="65"/>
      <c r="I2048" s="70"/>
      <c r="J2048" s="71"/>
      <c r="K2048" s="71"/>
      <c r="L2048" s="72" t="str">
        <f>IFERROR(IF(G2048="","",VLOOKUP($G2048,[1]基础信息!$B:$C,2,FALSE)+SUMIF(G$8:G2048,G2048,J$8:J2048)-SUMIF(G$8:G2048,G2048,K$8:K2048)+SUMIFS([1]内部转账!$G:$G,[1]内部转账!$C:$C,"&lt;="&amp;$D2048,[1]内部转账!$E:$E,$G2048)-SUMIFS([1]内部转账!$G:$G,[1]内部转账!$C:$C,"&lt;="&amp;$D2048,[1]内部转账!$F:$F,$G2048)),"")</f>
        <v/>
      </c>
      <c r="M2048" s="64"/>
      <c r="N2048" s="69"/>
      <c r="O2048" s="64"/>
      <c r="P2048" s="64"/>
      <c r="Q2048" s="69"/>
      <c r="R2048" s="69"/>
      <c r="S2048" s="69"/>
    </row>
    <row r="2049" s="2" customFormat="1" ht="24.95" customHeight="1" spans="1:19">
      <c r="A2049" s="15"/>
      <c r="B2049" s="55"/>
      <c r="C2049" s="56"/>
      <c r="D2049" s="68"/>
      <c r="E2049" s="69"/>
      <c r="F2049" s="69"/>
      <c r="G2049" s="65"/>
      <c r="H2049" s="65"/>
      <c r="I2049" s="70"/>
      <c r="J2049" s="71"/>
      <c r="K2049" s="71"/>
      <c r="L2049" s="72" t="str">
        <f>IFERROR(IF(G2049="","",VLOOKUP($G2049,[1]基础信息!$B:$C,2,FALSE)+SUMIF(G$8:G2049,G2049,J$8:J2049)-SUMIF(G$8:G2049,G2049,K$8:K2049)+SUMIFS([1]内部转账!$G:$G,[1]内部转账!$C:$C,"&lt;="&amp;$D2049,[1]内部转账!$E:$E,$G2049)-SUMIFS([1]内部转账!$G:$G,[1]内部转账!$C:$C,"&lt;="&amp;$D2049,[1]内部转账!$F:$F,$G2049)),"")</f>
        <v/>
      </c>
      <c r="M2049" s="64"/>
      <c r="N2049" s="69"/>
      <c r="O2049" s="64"/>
      <c r="P2049" s="64"/>
      <c r="Q2049" s="69"/>
      <c r="R2049" s="69"/>
      <c r="S2049" s="69"/>
    </row>
    <row r="2050" s="2" customFormat="1" ht="24.95" customHeight="1" spans="1:19">
      <c r="A2050" s="15"/>
      <c r="B2050" s="55"/>
      <c r="C2050" s="56"/>
      <c r="D2050" s="68"/>
      <c r="E2050" s="69"/>
      <c r="F2050" s="69"/>
      <c r="G2050" s="65"/>
      <c r="H2050" s="65"/>
      <c r="I2050" s="70"/>
      <c r="J2050" s="71"/>
      <c r="K2050" s="71"/>
      <c r="L2050" s="72" t="str">
        <f>IFERROR(IF(G2050="","",VLOOKUP($G2050,[1]基础信息!$B:$C,2,FALSE)+SUMIF(G$8:G2050,G2050,J$8:J2050)-SUMIF(G$8:G2050,G2050,K$8:K2050)+SUMIFS([1]内部转账!$G:$G,[1]内部转账!$C:$C,"&lt;="&amp;$D2050,[1]内部转账!$E:$E,$G2050)-SUMIFS([1]内部转账!$G:$G,[1]内部转账!$C:$C,"&lt;="&amp;$D2050,[1]内部转账!$F:$F,$G2050)),"")</f>
        <v/>
      </c>
      <c r="M2050" s="64"/>
      <c r="N2050" s="69"/>
      <c r="O2050" s="64"/>
      <c r="P2050" s="64"/>
      <c r="Q2050" s="69"/>
      <c r="R2050" s="69"/>
      <c r="S2050" s="69"/>
    </row>
    <row r="2051" s="2" customFormat="1" ht="24.95" customHeight="1" spans="1:19">
      <c r="A2051" s="15"/>
      <c r="B2051" s="55"/>
      <c r="C2051" s="56"/>
      <c r="D2051" s="68"/>
      <c r="E2051" s="69"/>
      <c r="F2051" s="69"/>
      <c r="G2051" s="65"/>
      <c r="H2051" s="65"/>
      <c r="I2051" s="70"/>
      <c r="J2051" s="71"/>
      <c r="K2051" s="71"/>
      <c r="L2051" s="72" t="str">
        <f>IFERROR(IF(G2051="","",VLOOKUP($G2051,[1]基础信息!$B:$C,2,FALSE)+SUMIF(G$8:G2051,G2051,J$8:J2051)-SUMIF(G$8:G2051,G2051,K$8:K2051)+SUMIFS([1]内部转账!$G:$G,[1]内部转账!$C:$C,"&lt;="&amp;$D2051,[1]内部转账!$E:$E,$G2051)-SUMIFS([1]内部转账!$G:$G,[1]内部转账!$C:$C,"&lt;="&amp;$D2051,[1]内部转账!$F:$F,$G2051)),"")</f>
        <v/>
      </c>
      <c r="M2051" s="64"/>
      <c r="N2051" s="69"/>
      <c r="O2051" s="64"/>
      <c r="P2051" s="64"/>
      <c r="Q2051" s="69"/>
      <c r="R2051" s="69"/>
      <c r="S2051" s="69"/>
    </row>
    <row r="2052" s="2" customFormat="1" ht="24.95" customHeight="1" spans="1:19">
      <c r="A2052" s="15"/>
      <c r="B2052" s="55"/>
      <c r="C2052" s="56"/>
      <c r="D2052" s="68"/>
      <c r="E2052" s="69"/>
      <c r="F2052" s="69"/>
      <c r="G2052" s="65"/>
      <c r="H2052" s="65"/>
      <c r="I2052" s="70"/>
      <c r="J2052" s="71"/>
      <c r="K2052" s="71"/>
      <c r="L2052" s="72" t="str">
        <f>IFERROR(IF(G2052="","",VLOOKUP($G2052,[1]基础信息!$B:$C,2,FALSE)+SUMIF(G$8:G2052,G2052,J$8:J2052)-SUMIF(G$8:G2052,G2052,K$8:K2052)+SUMIFS([1]内部转账!$G:$G,[1]内部转账!$C:$C,"&lt;="&amp;$D2052,[1]内部转账!$E:$E,$G2052)-SUMIFS([1]内部转账!$G:$G,[1]内部转账!$C:$C,"&lt;="&amp;$D2052,[1]内部转账!$F:$F,$G2052)),"")</f>
        <v/>
      </c>
      <c r="M2052" s="64"/>
      <c r="N2052" s="69"/>
      <c r="O2052" s="64"/>
      <c r="P2052" s="64"/>
      <c r="Q2052" s="69"/>
      <c r="R2052" s="69"/>
      <c r="S2052" s="69"/>
    </row>
    <row r="2053" s="2" customFormat="1" ht="24.95" customHeight="1" spans="1:19">
      <c r="A2053" s="15"/>
      <c r="B2053" s="55"/>
      <c r="C2053" s="56"/>
      <c r="D2053" s="68"/>
      <c r="E2053" s="69"/>
      <c r="F2053" s="69"/>
      <c r="G2053" s="65"/>
      <c r="H2053" s="65"/>
      <c r="I2053" s="70"/>
      <c r="J2053" s="71"/>
      <c r="K2053" s="71"/>
      <c r="L2053" s="72" t="str">
        <f>IFERROR(IF(G2053="","",VLOOKUP($G2053,[1]基础信息!$B:$C,2,FALSE)+SUMIF(G$8:G2053,G2053,J$8:J2053)-SUMIF(G$8:G2053,G2053,K$8:K2053)+SUMIFS([1]内部转账!$G:$G,[1]内部转账!$C:$C,"&lt;="&amp;$D2053,[1]内部转账!$E:$E,$G2053)-SUMIFS([1]内部转账!$G:$G,[1]内部转账!$C:$C,"&lt;="&amp;$D2053,[1]内部转账!$F:$F,$G2053)),"")</f>
        <v/>
      </c>
      <c r="M2053" s="64"/>
      <c r="N2053" s="69"/>
      <c r="O2053" s="64"/>
      <c r="P2053" s="64"/>
      <c r="Q2053" s="69"/>
      <c r="R2053" s="69"/>
      <c r="S2053" s="69"/>
    </row>
    <row r="2054" s="2" customFormat="1" ht="24.95" customHeight="1" spans="1:19">
      <c r="A2054" s="15"/>
      <c r="B2054" s="55"/>
      <c r="C2054" s="56"/>
      <c r="D2054" s="68"/>
      <c r="E2054" s="69"/>
      <c r="F2054" s="69"/>
      <c r="G2054" s="65"/>
      <c r="H2054" s="65"/>
      <c r="I2054" s="70"/>
      <c r="J2054" s="71"/>
      <c r="K2054" s="71"/>
      <c r="L2054" s="72" t="str">
        <f>IFERROR(IF(G2054="","",VLOOKUP($G2054,[1]基础信息!$B:$C,2,FALSE)+SUMIF(G$8:G2054,G2054,J$8:J2054)-SUMIF(G$8:G2054,G2054,K$8:K2054)+SUMIFS([1]内部转账!$G:$G,[1]内部转账!$C:$C,"&lt;="&amp;$D2054,[1]内部转账!$E:$E,$G2054)-SUMIFS([1]内部转账!$G:$G,[1]内部转账!$C:$C,"&lt;="&amp;$D2054,[1]内部转账!$F:$F,$G2054)),"")</f>
        <v/>
      </c>
      <c r="M2054" s="64"/>
      <c r="N2054" s="69"/>
      <c r="O2054" s="64"/>
      <c r="P2054" s="64"/>
      <c r="Q2054" s="69"/>
      <c r="R2054" s="69"/>
      <c r="S2054" s="69"/>
    </row>
    <row r="2055" s="2" customFormat="1" ht="24.95" customHeight="1" spans="1:19">
      <c r="A2055" s="15"/>
      <c r="B2055" s="55"/>
      <c r="C2055" s="56"/>
      <c r="D2055" s="68"/>
      <c r="E2055" s="69"/>
      <c r="F2055" s="69"/>
      <c r="G2055" s="65"/>
      <c r="H2055" s="65"/>
      <c r="I2055" s="70"/>
      <c r="J2055" s="71"/>
      <c r="K2055" s="71"/>
      <c r="L2055" s="72" t="str">
        <f>IFERROR(IF(G2055="","",VLOOKUP($G2055,[1]基础信息!$B:$C,2,FALSE)+SUMIF(G$8:G2055,G2055,J$8:J2055)-SUMIF(G$8:G2055,G2055,K$8:K2055)+SUMIFS([1]内部转账!$G:$G,[1]内部转账!$C:$C,"&lt;="&amp;$D2055,[1]内部转账!$E:$E,$G2055)-SUMIFS([1]内部转账!$G:$G,[1]内部转账!$C:$C,"&lt;="&amp;$D2055,[1]内部转账!$F:$F,$G2055)),"")</f>
        <v/>
      </c>
      <c r="M2055" s="64"/>
      <c r="N2055" s="69"/>
      <c r="O2055" s="64"/>
      <c r="P2055" s="64"/>
      <c r="Q2055" s="69"/>
      <c r="R2055" s="69"/>
      <c r="S2055" s="69"/>
    </row>
    <row r="2056" s="2" customFormat="1" ht="24.95" customHeight="1" spans="1:19">
      <c r="A2056" s="15"/>
      <c r="B2056" s="55"/>
      <c r="C2056" s="56"/>
      <c r="D2056" s="68"/>
      <c r="E2056" s="69"/>
      <c r="F2056" s="69"/>
      <c r="G2056" s="65"/>
      <c r="H2056" s="65"/>
      <c r="I2056" s="70"/>
      <c r="J2056" s="71"/>
      <c r="K2056" s="71"/>
      <c r="L2056" s="72" t="str">
        <f>IFERROR(IF(G2056="","",VLOOKUP($G2056,[1]基础信息!$B:$C,2,FALSE)+SUMIF(G$8:G2056,G2056,J$8:J2056)-SUMIF(G$8:G2056,G2056,K$8:K2056)+SUMIFS([1]内部转账!$G:$G,[1]内部转账!$C:$C,"&lt;="&amp;$D2056,[1]内部转账!$E:$E,$G2056)-SUMIFS([1]内部转账!$G:$G,[1]内部转账!$C:$C,"&lt;="&amp;$D2056,[1]内部转账!$F:$F,$G2056)),"")</f>
        <v/>
      </c>
      <c r="M2056" s="64"/>
      <c r="N2056" s="69"/>
      <c r="O2056" s="64"/>
      <c r="P2056" s="64"/>
      <c r="Q2056" s="69"/>
      <c r="R2056" s="69"/>
      <c r="S2056" s="69"/>
    </row>
    <row r="2057" s="2" customFormat="1" ht="24.95" customHeight="1" spans="1:19">
      <c r="A2057" s="15"/>
      <c r="B2057" s="55"/>
      <c r="C2057" s="56"/>
      <c r="D2057" s="68"/>
      <c r="E2057" s="69"/>
      <c r="F2057" s="69"/>
      <c r="G2057" s="65"/>
      <c r="H2057" s="65"/>
      <c r="I2057" s="70"/>
      <c r="J2057" s="71"/>
      <c r="K2057" s="71"/>
      <c r="L2057" s="72" t="str">
        <f>IFERROR(IF(G2057="","",VLOOKUP($G2057,[1]基础信息!$B:$C,2,FALSE)+SUMIF(G$8:G2057,G2057,J$8:J2057)-SUMIF(G$8:G2057,G2057,K$8:K2057)+SUMIFS([1]内部转账!$G:$G,[1]内部转账!$C:$C,"&lt;="&amp;$D2057,[1]内部转账!$E:$E,$G2057)-SUMIFS([1]内部转账!$G:$G,[1]内部转账!$C:$C,"&lt;="&amp;$D2057,[1]内部转账!$F:$F,$G2057)),"")</f>
        <v/>
      </c>
      <c r="M2057" s="64"/>
      <c r="N2057" s="69"/>
      <c r="O2057" s="64"/>
      <c r="P2057" s="64"/>
      <c r="Q2057" s="69"/>
      <c r="R2057" s="69"/>
      <c r="S2057" s="69"/>
    </row>
    <row r="2058" s="2" customFormat="1" ht="24.95" customHeight="1" spans="1:19">
      <c r="A2058" s="15"/>
      <c r="B2058" s="55"/>
      <c r="C2058" s="56"/>
      <c r="D2058" s="68"/>
      <c r="E2058" s="69"/>
      <c r="F2058" s="69"/>
      <c r="G2058" s="65"/>
      <c r="H2058" s="65"/>
      <c r="I2058" s="70"/>
      <c r="J2058" s="71"/>
      <c r="K2058" s="71"/>
      <c r="L2058" s="72" t="str">
        <f>IFERROR(IF(G2058="","",VLOOKUP($G2058,[1]基础信息!$B:$C,2,FALSE)+SUMIF(G$8:G2058,G2058,J$8:J2058)-SUMIF(G$8:G2058,G2058,K$8:K2058)+SUMIFS([1]内部转账!$G:$G,[1]内部转账!$C:$C,"&lt;="&amp;$D2058,[1]内部转账!$E:$E,$G2058)-SUMIFS([1]内部转账!$G:$G,[1]内部转账!$C:$C,"&lt;="&amp;$D2058,[1]内部转账!$F:$F,$G2058)),"")</f>
        <v/>
      </c>
      <c r="M2058" s="64"/>
      <c r="N2058" s="69"/>
      <c r="O2058" s="64"/>
      <c r="P2058" s="64"/>
      <c r="Q2058" s="69"/>
      <c r="R2058" s="69"/>
      <c r="S2058" s="69"/>
    </row>
    <row r="2059" s="2" customFormat="1" ht="24.95" customHeight="1" spans="1:19">
      <c r="A2059" s="15"/>
      <c r="B2059" s="55"/>
      <c r="C2059" s="56"/>
      <c r="D2059" s="68"/>
      <c r="E2059" s="69"/>
      <c r="F2059" s="69"/>
      <c r="G2059" s="65"/>
      <c r="H2059" s="65"/>
      <c r="I2059" s="70"/>
      <c r="J2059" s="71"/>
      <c r="K2059" s="71"/>
      <c r="L2059" s="72" t="str">
        <f>IFERROR(IF(G2059="","",VLOOKUP($G2059,[1]基础信息!$B:$C,2,FALSE)+SUMIF(G$8:G2059,G2059,J$8:J2059)-SUMIF(G$8:G2059,G2059,K$8:K2059)+SUMIFS([1]内部转账!$G:$G,[1]内部转账!$C:$C,"&lt;="&amp;$D2059,[1]内部转账!$E:$E,$G2059)-SUMIFS([1]内部转账!$G:$G,[1]内部转账!$C:$C,"&lt;="&amp;$D2059,[1]内部转账!$F:$F,$G2059)),"")</f>
        <v/>
      </c>
      <c r="M2059" s="64"/>
      <c r="N2059" s="69"/>
      <c r="O2059" s="64"/>
      <c r="P2059" s="64"/>
      <c r="Q2059" s="69"/>
      <c r="R2059" s="69"/>
      <c r="S2059" s="69"/>
    </row>
    <row r="2060" s="2" customFormat="1" ht="24.95" customHeight="1" spans="1:19">
      <c r="A2060" s="15"/>
      <c r="B2060" s="55"/>
      <c r="C2060" s="56"/>
      <c r="D2060" s="68"/>
      <c r="E2060" s="69"/>
      <c r="F2060" s="69"/>
      <c r="G2060" s="65"/>
      <c r="H2060" s="65"/>
      <c r="I2060" s="70"/>
      <c r="J2060" s="71"/>
      <c r="K2060" s="71"/>
      <c r="L2060" s="72" t="str">
        <f>IFERROR(IF(G2060="","",VLOOKUP($G2060,[1]基础信息!$B:$C,2,FALSE)+SUMIF(G$8:G2060,G2060,J$8:J2060)-SUMIF(G$8:G2060,G2060,K$8:K2060)+SUMIFS([1]内部转账!$G:$G,[1]内部转账!$C:$C,"&lt;="&amp;$D2060,[1]内部转账!$E:$E,$G2060)-SUMIFS([1]内部转账!$G:$G,[1]内部转账!$C:$C,"&lt;="&amp;$D2060,[1]内部转账!$F:$F,$G2060)),"")</f>
        <v/>
      </c>
      <c r="M2060" s="64"/>
      <c r="N2060" s="69"/>
      <c r="O2060" s="64"/>
      <c r="P2060" s="64"/>
      <c r="Q2060" s="69"/>
      <c r="R2060" s="69"/>
      <c r="S2060" s="69"/>
    </row>
    <row r="2061" s="2" customFormat="1" ht="24.95" customHeight="1" spans="1:19">
      <c r="A2061" s="15"/>
      <c r="B2061" s="55"/>
      <c r="C2061" s="56"/>
      <c r="D2061" s="68"/>
      <c r="E2061" s="69"/>
      <c r="F2061" s="69"/>
      <c r="G2061" s="65"/>
      <c r="H2061" s="65"/>
      <c r="I2061" s="70"/>
      <c r="J2061" s="71"/>
      <c r="K2061" s="71"/>
      <c r="L2061" s="72" t="str">
        <f>IFERROR(IF(G2061="","",VLOOKUP($G2061,[1]基础信息!$B:$C,2,FALSE)+SUMIF(G$8:G2061,G2061,J$8:J2061)-SUMIF(G$8:G2061,G2061,K$8:K2061)+SUMIFS([1]内部转账!$G:$G,[1]内部转账!$C:$C,"&lt;="&amp;$D2061,[1]内部转账!$E:$E,$G2061)-SUMIFS([1]内部转账!$G:$G,[1]内部转账!$C:$C,"&lt;="&amp;$D2061,[1]内部转账!$F:$F,$G2061)),"")</f>
        <v/>
      </c>
      <c r="M2061" s="64"/>
      <c r="N2061" s="69"/>
      <c r="O2061" s="64"/>
      <c r="P2061" s="64"/>
      <c r="Q2061" s="69"/>
      <c r="R2061" s="69"/>
      <c r="S2061" s="69"/>
    </row>
    <row r="2062" s="2" customFormat="1" ht="24.95" customHeight="1" spans="1:19">
      <c r="A2062" s="15"/>
      <c r="B2062" s="55"/>
      <c r="C2062" s="56"/>
      <c r="D2062" s="68"/>
      <c r="E2062" s="69"/>
      <c r="F2062" s="69"/>
      <c r="G2062" s="65"/>
      <c r="H2062" s="65"/>
      <c r="I2062" s="70"/>
      <c r="J2062" s="71"/>
      <c r="K2062" s="71"/>
      <c r="L2062" s="72" t="str">
        <f>IFERROR(IF(G2062="","",VLOOKUP($G2062,[1]基础信息!$B:$C,2,FALSE)+SUMIF(G$8:G2062,G2062,J$8:J2062)-SUMIF(G$8:G2062,G2062,K$8:K2062)+SUMIFS([1]内部转账!$G:$G,[1]内部转账!$C:$C,"&lt;="&amp;$D2062,[1]内部转账!$E:$E,$G2062)-SUMIFS([1]内部转账!$G:$G,[1]内部转账!$C:$C,"&lt;="&amp;$D2062,[1]内部转账!$F:$F,$G2062)),"")</f>
        <v/>
      </c>
      <c r="M2062" s="64"/>
      <c r="N2062" s="69"/>
      <c r="O2062" s="64"/>
      <c r="P2062" s="64"/>
      <c r="Q2062" s="69"/>
      <c r="R2062" s="69"/>
      <c r="S2062" s="69"/>
    </row>
    <row r="2063" s="2" customFormat="1" ht="24.95" customHeight="1" spans="1:19">
      <c r="A2063" s="15"/>
      <c r="B2063" s="55"/>
      <c r="C2063" s="56"/>
      <c r="D2063" s="68"/>
      <c r="E2063" s="69"/>
      <c r="F2063" s="69"/>
      <c r="G2063" s="65"/>
      <c r="H2063" s="65"/>
      <c r="I2063" s="70"/>
      <c r="J2063" s="71"/>
      <c r="K2063" s="71"/>
      <c r="L2063" s="72" t="str">
        <f>IFERROR(IF(G2063="","",VLOOKUP($G2063,[1]基础信息!$B:$C,2,FALSE)+SUMIF(G$8:G2063,G2063,J$8:J2063)-SUMIF(G$8:G2063,G2063,K$8:K2063)+SUMIFS([1]内部转账!$G:$G,[1]内部转账!$C:$C,"&lt;="&amp;$D2063,[1]内部转账!$E:$E,$G2063)-SUMIFS([1]内部转账!$G:$G,[1]内部转账!$C:$C,"&lt;="&amp;$D2063,[1]内部转账!$F:$F,$G2063)),"")</f>
        <v/>
      </c>
      <c r="M2063" s="64"/>
      <c r="N2063" s="69"/>
      <c r="O2063" s="64"/>
      <c r="P2063" s="64"/>
      <c r="Q2063" s="69"/>
      <c r="R2063" s="69"/>
      <c r="S2063" s="69"/>
    </row>
    <row r="2064" s="2" customFormat="1" ht="24.95" customHeight="1" spans="1:19">
      <c r="A2064" s="15"/>
      <c r="B2064" s="55"/>
      <c r="C2064" s="56"/>
      <c r="D2064" s="68"/>
      <c r="E2064" s="69"/>
      <c r="F2064" s="69"/>
      <c r="G2064" s="65"/>
      <c r="H2064" s="65"/>
      <c r="I2064" s="70"/>
      <c r="J2064" s="71"/>
      <c r="K2064" s="71"/>
      <c r="L2064" s="72" t="str">
        <f>IFERROR(IF(G2064="","",VLOOKUP($G2064,[1]基础信息!$B:$C,2,FALSE)+SUMIF(G$8:G2064,G2064,J$8:J2064)-SUMIF(G$8:G2064,G2064,K$8:K2064)+SUMIFS([1]内部转账!$G:$G,[1]内部转账!$C:$C,"&lt;="&amp;$D2064,[1]内部转账!$E:$E,$G2064)-SUMIFS([1]内部转账!$G:$G,[1]内部转账!$C:$C,"&lt;="&amp;$D2064,[1]内部转账!$F:$F,$G2064)),"")</f>
        <v/>
      </c>
      <c r="M2064" s="64"/>
      <c r="N2064" s="69"/>
      <c r="O2064" s="64"/>
      <c r="P2064" s="64"/>
      <c r="Q2064" s="69"/>
      <c r="R2064" s="69"/>
      <c r="S2064" s="69"/>
    </row>
    <row r="2065" s="2" customFormat="1" ht="24.95" customHeight="1" spans="1:19">
      <c r="A2065" s="15"/>
      <c r="B2065" s="55"/>
      <c r="C2065" s="56"/>
      <c r="D2065" s="68"/>
      <c r="E2065" s="69"/>
      <c r="F2065" s="69"/>
      <c r="G2065" s="65"/>
      <c r="H2065" s="65"/>
      <c r="I2065" s="70"/>
      <c r="J2065" s="71"/>
      <c r="K2065" s="71"/>
      <c r="L2065" s="72" t="str">
        <f>IFERROR(IF(G2065="","",VLOOKUP($G2065,[1]基础信息!$B:$C,2,FALSE)+SUMIF(G$8:G2065,G2065,J$8:J2065)-SUMIF(G$8:G2065,G2065,K$8:K2065)+SUMIFS([1]内部转账!$G:$G,[1]内部转账!$C:$C,"&lt;="&amp;$D2065,[1]内部转账!$E:$E,$G2065)-SUMIFS([1]内部转账!$G:$G,[1]内部转账!$C:$C,"&lt;="&amp;$D2065,[1]内部转账!$F:$F,$G2065)),"")</f>
        <v/>
      </c>
      <c r="M2065" s="64"/>
      <c r="N2065" s="69"/>
      <c r="O2065" s="64"/>
      <c r="P2065" s="64"/>
      <c r="Q2065" s="69"/>
      <c r="R2065" s="69"/>
      <c r="S2065" s="69"/>
    </row>
    <row r="2066" s="2" customFormat="1" ht="24.95" customHeight="1" spans="1:19">
      <c r="A2066" s="15"/>
      <c r="B2066" s="55"/>
      <c r="C2066" s="56"/>
      <c r="D2066" s="68"/>
      <c r="E2066" s="69"/>
      <c r="F2066" s="69"/>
      <c r="G2066" s="65"/>
      <c r="H2066" s="65"/>
      <c r="I2066" s="70"/>
      <c r="J2066" s="71"/>
      <c r="K2066" s="71"/>
      <c r="L2066" s="72" t="str">
        <f>IFERROR(IF(G2066="","",VLOOKUP($G2066,[1]基础信息!$B:$C,2,FALSE)+SUMIF(G$8:G2066,G2066,J$8:J2066)-SUMIF(G$8:G2066,G2066,K$8:K2066)+SUMIFS([1]内部转账!$G:$G,[1]内部转账!$C:$C,"&lt;="&amp;$D2066,[1]内部转账!$E:$E,$G2066)-SUMIFS([1]内部转账!$G:$G,[1]内部转账!$C:$C,"&lt;="&amp;$D2066,[1]内部转账!$F:$F,$G2066)),"")</f>
        <v/>
      </c>
      <c r="M2066" s="64"/>
      <c r="N2066" s="69"/>
      <c r="O2066" s="64"/>
      <c r="P2066" s="64"/>
      <c r="Q2066" s="69"/>
      <c r="R2066" s="69"/>
      <c r="S2066" s="69"/>
    </row>
    <row r="2067" s="2" customFormat="1" ht="24.95" customHeight="1" spans="1:19">
      <c r="A2067" s="15"/>
      <c r="B2067" s="55"/>
      <c r="C2067" s="56"/>
      <c r="D2067" s="68"/>
      <c r="E2067" s="69"/>
      <c r="F2067" s="69"/>
      <c r="G2067" s="65"/>
      <c r="H2067" s="65"/>
      <c r="I2067" s="70"/>
      <c r="J2067" s="71"/>
      <c r="K2067" s="71"/>
      <c r="L2067" s="72" t="str">
        <f>IFERROR(IF(G2067="","",VLOOKUP($G2067,[1]基础信息!$B:$C,2,FALSE)+SUMIF(G$8:G2067,G2067,J$8:J2067)-SUMIF(G$8:G2067,G2067,K$8:K2067)+SUMIFS([1]内部转账!$G:$G,[1]内部转账!$C:$C,"&lt;="&amp;$D2067,[1]内部转账!$E:$E,$G2067)-SUMIFS([1]内部转账!$G:$G,[1]内部转账!$C:$C,"&lt;="&amp;$D2067,[1]内部转账!$F:$F,$G2067)),"")</f>
        <v/>
      </c>
      <c r="M2067" s="64"/>
      <c r="N2067" s="69"/>
      <c r="O2067" s="64"/>
      <c r="P2067" s="64"/>
      <c r="Q2067" s="69"/>
      <c r="R2067" s="69"/>
      <c r="S2067" s="69"/>
    </row>
    <row r="2068" s="2" customFormat="1" ht="24.95" customHeight="1" spans="1:19">
      <c r="A2068" s="15"/>
      <c r="B2068" s="55"/>
      <c r="C2068" s="56"/>
      <c r="D2068" s="68"/>
      <c r="E2068" s="69"/>
      <c r="F2068" s="69"/>
      <c r="G2068" s="65"/>
      <c r="H2068" s="65"/>
      <c r="I2068" s="70"/>
      <c r="J2068" s="71"/>
      <c r="K2068" s="71"/>
      <c r="L2068" s="72" t="str">
        <f>IFERROR(IF(G2068="","",VLOOKUP($G2068,[1]基础信息!$B:$C,2,FALSE)+SUMIF(G$8:G2068,G2068,J$8:J2068)-SUMIF(G$8:G2068,G2068,K$8:K2068)+SUMIFS([1]内部转账!$G:$G,[1]内部转账!$C:$C,"&lt;="&amp;$D2068,[1]内部转账!$E:$E,$G2068)-SUMIFS([1]内部转账!$G:$G,[1]内部转账!$C:$C,"&lt;="&amp;$D2068,[1]内部转账!$F:$F,$G2068)),"")</f>
        <v/>
      </c>
      <c r="M2068" s="64"/>
      <c r="N2068" s="69"/>
      <c r="O2068" s="64"/>
      <c r="P2068" s="64"/>
      <c r="Q2068" s="69"/>
      <c r="R2068" s="69"/>
      <c r="S2068" s="69"/>
    </row>
    <row r="2069" s="2" customFormat="1" ht="24.95" customHeight="1" spans="1:19">
      <c r="A2069" s="15"/>
      <c r="B2069" s="55"/>
      <c r="C2069" s="56"/>
      <c r="D2069" s="68"/>
      <c r="E2069" s="69"/>
      <c r="F2069" s="69"/>
      <c r="G2069" s="65"/>
      <c r="H2069" s="65"/>
      <c r="I2069" s="70"/>
      <c r="J2069" s="71"/>
      <c r="K2069" s="71"/>
      <c r="L2069" s="72" t="str">
        <f>IFERROR(IF(G2069="","",VLOOKUP($G2069,[1]基础信息!$B:$C,2,FALSE)+SUMIF(G$8:G2069,G2069,J$8:J2069)-SUMIF(G$8:G2069,G2069,K$8:K2069)+SUMIFS([1]内部转账!$G:$G,[1]内部转账!$C:$C,"&lt;="&amp;$D2069,[1]内部转账!$E:$E,$G2069)-SUMIFS([1]内部转账!$G:$G,[1]内部转账!$C:$C,"&lt;="&amp;$D2069,[1]内部转账!$F:$F,$G2069)),"")</f>
        <v/>
      </c>
      <c r="M2069" s="64"/>
      <c r="N2069" s="69"/>
      <c r="O2069" s="64"/>
      <c r="P2069" s="64"/>
      <c r="Q2069" s="69"/>
      <c r="R2069" s="69"/>
      <c r="S2069" s="69"/>
    </row>
    <row r="2070" s="2" customFormat="1" ht="24.95" customHeight="1" spans="1:19">
      <c r="A2070" s="15"/>
      <c r="B2070" s="55"/>
      <c r="C2070" s="56"/>
      <c r="D2070" s="68"/>
      <c r="E2070" s="69"/>
      <c r="F2070" s="69"/>
      <c r="G2070" s="65"/>
      <c r="H2070" s="65"/>
      <c r="I2070" s="70"/>
      <c r="J2070" s="71"/>
      <c r="K2070" s="71"/>
      <c r="L2070" s="72" t="str">
        <f>IFERROR(IF(G2070="","",VLOOKUP($G2070,[1]基础信息!$B:$C,2,FALSE)+SUMIF(G$8:G2070,G2070,J$8:J2070)-SUMIF(G$8:G2070,G2070,K$8:K2070)+SUMIFS([1]内部转账!$G:$G,[1]内部转账!$C:$C,"&lt;="&amp;$D2070,[1]内部转账!$E:$E,$G2070)-SUMIFS([1]内部转账!$G:$G,[1]内部转账!$C:$C,"&lt;="&amp;$D2070,[1]内部转账!$F:$F,$G2070)),"")</f>
        <v/>
      </c>
      <c r="M2070" s="64"/>
      <c r="N2070" s="69"/>
      <c r="O2070" s="64"/>
      <c r="P2070" s="64"/>
      <c r="Q2070" s="69"/>
      <c r="R2070" s="69"/>
      <c r="S2070" s="69"/>
    </row>
    <row r="2071" s="2" customFormat="1" ht="24.95" customHeight="1" spans="1:19">
      <c r="A2071" s="15"/>
      <c r="B2071" s="55"/>
      <c r="C2071" s="56"/>
      <c r="D2071" s="68"/>
      <c r="E2071" s="69"/>
      <c r="F2071" s="69"/>
      <c r="G2071" s="65"/>
      <c r="H2071" s="65"/>
      <c r="I2071" s="70"/>
      <c r="J2071" s="71"/>
      <c r="K2071" s="71"/>
      <c r="L2071" s="72" t="str">
        <f>IFERROR(IF(G2071="","",VLOOKUP($G2071,[1]基础信息!$B:$C,2,FALSE)+SUMIF(G$8:G2071,G2071,J$8:J2071)-SUMIF(G$8:G2071,G2071,K$8:K2071)+SUMIFS([1]内部转账!$G:$G,[1]内部转账!$C:$C,"&lt;="&amp;$D2071,[1]内部转账!$E:$E,$G2071)-SUMIFS([1]内部转账!$G:$G,[1]内部转账!$C:$C,"&lt;="&amp;$D2071,[1]内部转账!$F:$F,$G2071)),"")</f>
        <v/>
      </c>
      <c r="M2071" s="64"/>
      <c r="N2071" s="69"/>
      <c r="O2071" s="64"/>
      <c r="P2071" s="64"/>
      <c r="Q2071" s="69"/>
      <c r="R2071" s="69"/>
      <c r="S2071" s="69"/>
    </row>
    <row r="2072" s="2" customFormat="1" ht="24.95" customHeight="1" spans="1:19">
      <c r="A2072" s="15"/>
      <c r="B2072" s="55"/>
      <c r="C2072" s="56"/>
      <c r="D2072" s="68"/>
      <c r="E2072" s="69"/>
      <c r="F2072" s="69"/>
      <c r="G2072" s="65"/>
      <c r="H2072" s="65"/>
      <c r="I2072" s="70"/>
      <c r="J2072" s="71"/>
      <c r="K2072" s="71"/>
      <c r="L2072" s="72" t="str">
        <f>IFERROR(IF(G2072="","",VLOOKUP($G2072,[1]基础信息!$B:$C,2,FALSE)+SUMIF(G$8:G2072,G2072,J$8:J2072)-SUMIF(G$8:G2072,G2072,K$8:K2072)+SUMIFS([1]内部转账!$G:$G,[1]内部转账!$C:$C,"&lt;="&amp;$D2072,[1]内部转账!$E:$E,$G2072)-SUMIFS([1]内部转账!$G:$G,[1]内部转账!$C:$C,"&lt;="&amp;$D2072,[1]内部转账!$F:$F,$G2072)),"")</f>
        <v/>
      </c>
      <c r="M2072" s="64"/>
      <c r="N2072" s="69"/>
      <c r="O2072" s="64"/>
      <c r="P2072" s="64"/>
      <c r="Q2072" s="69"/>
      <c r="R2072" s="69"/>
      <c r="S2072" s="69"/>
    </row>
    <row r="2073" s="2" customFormat="1" ht="24.95" customHeight="1" spans="1:19">
      <c r="A2073" s="15"/>
      <c r="B2073" s="55"/>
      <c r="C2073" s="56"/>
      <c r="D2073" s="68"/>
      <c r="E2073" s="69"/>
      <c r="F2073" s="69"/>
      <c r="G2073" s="65"/>
      <c r="H2073" s="65"/>
      <c r="I2073" s="70"/>
      <c r="J2073" s="71"/>
      <c r="K2073" s="71"/>
      <c r="L2073" s="72" t="str">
        <f>IFERROR(IF(G2073="","",VLOOKUP($G2073,[1]基础信息!$B:$C,2,FALSE)+SUMIF(G$8:G2073,G2073,J$8:J2073)-SUMIF(G$8:G2073,G2073,K$8:K2073)+SUMIFS([1]内部转账!$G:$G,[1]内部转账!$C:$C,"&lt;="&amp;$D2073,[1]内部转账!$E:$E,$G2073)-SUMIFS([1]内部转账!$G:$G,[1]内部转账!$C:$C,"&lt;="&amp;$D2073,[1]内部转账!$F:$F,$G2073)),"")</f>
        <v/>
      </c>
      <c r="M2073" s="64"/>
      <c r="N2073" s="69"/>
      <c r="O2073" s="64"/>
      <c r="P2073" s="64"/>
      <c r="Q2073" s="69"/>
      <c r="R2073" s="69"/>
      <c r="S2073" s="69"/>
    </row>
    <row r="2074" s="2" customFormat="1" ht="24.95" customHeight="1" spans="1:19">
      <c r="A2074" s="15"/>
      <c r="B2074" s="55"/>
      <c r="C2074" s="56"/>
      <c r="D2074" s="68"/>
      <c r="E2074" s="69"/>
      <c r="F2074" s="69"/>
      <c r="G2074" s="65"/>
      <c r="H2074" s="65"/>
      <c r="I2074" s="70"/>
      <c r="J2074" s="71"/>
      <c r="K2074" s="71"/>
      <c r="L2074" s="72" t="str">
        <f>IFERROR(IF(G2074="","",VLOOKUP($G2074,[1]基础信息!$B:$C,2,FALSE)+SUMIF(G$8:G2074,G2074,J$8:J2074)-SUMIF(G$8:G2074,G2074,K$8:K2074)+SUMIFS([1]内部转账!$G:$G,[1]内部转账!$C:$C,"&lt;="&amp;$D2074,[1]内部转账!$E:$E,$G2074)-SUMIFS([1]内部转账!$G:$G,[1]内部转账!$C:$C,"&lt;="&amp;$D2074,[1]内部转账!$F:$F,$G2074)),"")</f>
        <v/>
      </c>
      <c r="M2074" s="64"/>
      <c r="N2074" s="69"/>
      <c r="O2074" s="64"/>
      <c r="P2074" s="64"/>
      <c r="Q2074" s="69"/>
      <c r="R2074" s="69"/>
      <c r="S2074" s="69"/>
    </row>
    <row r="2075" s="2" customFormat="1" ht="24.95" customHeight="1" spans="1:19">
      <c r="A2075" s="15"/>
      <c r="B2075" s="55"/>
      <c r="C2075" s="56"/>
      <c r="D2075" s="68"/>
      <c r="E2075" s="69"/>
      <c r="F2075" s="69"/>
      <c r="G2075" s="65"/>
      <c r="H2075" s="65"/>
      <c r="I2075" s="70"/>
      <c r="J2075" s="71"/>
      <c r="K2075" s="71"/>
      <c r="L2075" s="72" t="str">
        <f>IFERROR(IF(G2075="","",VLOOKUP($G2075,[1]基础信息!$B:$C,2,FALSE)+SUMIF(G$8:G2075,G2075,J$8:J2075)-SUMIF(G$8:G2075,G2075,K$8:K2075)+SUMIFS([1]内部转账!$G:$G,[1]内部转账!$C:$C,"&lt;="&amp;$D2075,[1]内部转账!$E:$E,$G2075)-SUMIFS([1]内部转账!$G:$G,[1]内部转账!$C:$C,"&lt;="&amp;$D2075,[1]内部转账!$F:$F,$G2075)),"")</f>
        <v/>
      </c>
      <c r="M2075" s="64"/>
      <c r="N2075" s="69"/>
      <c r="O2075" s="64"/>
      <c r="P2075" s="64"/>
      <c r="Q2075" s="69"/>
      <c r="R2075" s="69"/>
      <c r="S2075" s="69"/>
    </row>
    <row r="2076" s="2" customFormat="1" ht="24.95" customHeight="1" spans="1:19">
      <c r="A2076" s="15"/>
      <c r="B2076" s="55"/>
      <c r="C2076" s="56"/>
      <c r="D2076" s="68"/>
      <c r="E2076" s="69"/>
      <c r="F2076" s="69"/>
      <c r="G2076" s="65"/>
      <c r="H2076" s="65"/>
      <c r="I2076" s="70"/>
      <c r="J2076" s="71"/>
      <c r="K2076" s="71"/>
      <c r="L2076" s="72" t="str">
        <f>IFERROR(IF(G2076="","",VLOOKUP($G2076,[1]基础信息!$B:$C,2,FALSE)+SUMIF(G$8:G2076,G2076,J$8:J2076)-SUMIF(G$8:G2076,G2076,K$8:K2076)+SUMIFS([1]内部转账!$G:$G,[1]内部转账!$C:$C,"&lt;="&amp;$D2076,[1]内部转账!$E:$E,$G2076)-SUMIFS([1]内部转账!$G:$G,[1]内部转账!$C:$C,"&lt;="&amp;$D2076,[1]内部转账!$F:$F,$G2076)),"")</f>
        <v/>
      </c>
      <c r="M2076" s="64"/>
      <c r="N2076" s="69"/>
      <c r="O2076" s="64"/>
      <c r="P2076" s="64"/>
      <c r="Q2076" s="69"/>
      <c r="R2076" s="69"/>
      <c r="S2076" s="69"/>
    </row>
    <row r="2077" s="2" customFormat="1" ht="24.95" customHeight="1" spans="1:19">
      <c r="A2077" s="15"/>
      <c r="B2077" s="55"/>
      <c r="C2077" s="56"/>
      <c r="D2077" s="68"/>
      <c r="E2077" s="69"/>
      <c r="F2077" s="69"/>
      <c r="G2077" s="65"/>
      <c r="H2077" s="65"/>
      <c r="I2077" s="70"/>
      <c r="J2077" s="71"/>
      <c r="K2077" s="71"/>
      <c r="L2077" s="72" t="str">
        <f>IFERROR(IF(G2077="","",VLOOKUP($G2077,[1]基础信息!$B:$C,2,FALSE)+SUMIF(G$8:G2077,G2077,J$8:J2077)-SUMIF(G$8:G2077,G2077,K$8:K2077)+SUMIFS([1]内部转账!$G:$G,[1]内部转账!$C:$C,"&lt;="&amp;$D2077,[1]内部转账!$E:$E,$G2077)-SUMIFS([1]内部转账!$G:$G,[1]内部转账!$C:$C,"&lt;="&amp;$D2077,[1]内部转账!$F:$F,$G2077)),"")</f>
        <v/>
      </c>
      <c r="M2077" s="64"/>
      <c r="N2077" s="69"/>
      <c r="O2077" s="64"/>
      <c r="P2077" s="64"/>
      <c r="Q2077" s="69"/>
      <c r="R2077" s="69"/>
      <c r="S2077" s="69"/>
    </row>
    <row r="2078" s="2" customFormat="1" ht="24.95" customHeight="1" spans="1:19">
      <c r="A2078" s="15"/>
      <c r="B2078" s="55"/>
      <c r="C2078" s="56"/>
      <c r="D2078" s="68"/>
      <c r="E2078" s="69"/>
      <c r="F2078" s="69"/>
      <c r="G2078" s="65"/>
      <c r="H2078" s="65"/>
      <c r="I2078" s="70"/>
      <c r="J2078" s="71"/>
      <c r="K2078" s="71"/>
      <c r="L2078" s="72" t="str">
        <f>IFERROR(IF(G2078="","",VLOOKUP($G2078,[1]基础信息!$B:$C,2,FALSE)+SUMIF(G$8:G2078,G2078,J$8:J2078)-SUMIF(G$8:G2078,G2078,K$8:K2078)+SUMIFS([1]内部转账!$G:$G,[1]内部转账!$C:$C,"&lt;="&amp;$D2078,[1]内部转账!$E:$E,$G2078)-SUMIFS([1]内部转账!$G:$G,[1]内部转账!$C:$C,"&lt;="&amp;$D2078,[1]内部转账!$F:$F,$G2078)),"")</f>
        <v/>
      </c>
      <c r="M2078" s="64"/>
      <c r="N2078" s="69"/>
      <c r="O2078" s="64"/>
      <c r="P2078" s="64"/>
      <c r="Q2078" s="69"/>
      <c r="R2078" s="69"/>
      <c r="S2078" s="69"/>
    </row>
    <row r="2079" s="2" customFormat="1" ht="24.95" customHeight="1" spans="1:19">
      <c r="A2079" s="15"/>
      <c r="B2079" s="55"/>
      <c r="C2079" s="56"/>
      <c r="D2079" s="68"/>
      <c r="E2079" s="69"/>
      <c r="F2079" s="69"/>
      <c r="G2079" s="65"/>
      <c r="H2079" s="65"/>
      <c r="I2079" s="70"/>
      <c r="J2079" s="71"/>
      <c r="K2079" s="71"/>
      <c r="L2079" s="72" t="str">
        <f>IFERROR(IF(G2079="","",VLOOKUP($G2079,[1]基础信息!$B:$C,2,FALSE)+SUMIF(G$8:G2079,G2079,J$8:J2079)-SUMIF(G$8:G2079,G2079,K$8:K2079)+SUMIFS([1]内部转账!$G:$G,[1]内部转账!$C:$C,"&lt;="&amp;$D2079,[1]内部转账!$E:$E,$G2079)-SUMIFS([1]内部转账!$G:$G,[1]内部转账!$C:$C,"&lt;="&amp;$D2079,[1]内部转账!$F:$F,$G2079)),"")</f>
        <v/>
      </c>
      <c r="M2079" s="64"/>
      <c r="N2079" s="69"/>
      <c r="O2079" s="64"/>
      <c r="P2079" s="64"/>
      <c r="Q2079" s="69"/>
      <c r="R2079" s="69"/>
      <c r="S2079" s="69"/>
    </row>
    <row r="2080" s="2" customFormat="1" ht="24.95" customHeight="1" spans="1:19">
      <c r="A2080" s="15"/>
      <c r="B2080" s="55"/>
      <c r="C2080" s="56"/>
      <c r="D2080" s="68"/>
      <c r="E2080" s="69"/>
      <c r="F2080" s="69"/>
      <c r="G2080" s="65"/>
      <c r="H2080" s="65"/>
      <c r="I2080" s="70"/>
      <c r="J2080" s="71"/>
      <c r="K2080" s="71"/>
      <c r="L2080" s="72" t="str">
        <f>IFERROR(IF(G2080="","",VLOOKUP($G2080,[1]基础信息!$B:$C,2,FALSE)+SUMIF(G$8:G2080,G2080,J$8:J2080)-SUMIF(G$8:G2080,G2080,K$8:K2080)+SUMIFS([1]内部转账!$G:$G,[1]内部转账!$C:$C,"&lt;="&amp;$D2080,[1]内部转账!$E:$E,$G2080)-SUMIFS([1]内部转账!$G:$G,[1]内部转账!$C:$C,"&lt;="&amp;$D2080,[1]内部转账!$F:$F,$G2080)),"")</f>
        <v/>
      </c>
      <c r="M2080" s="64"/>
      <c r="N2080" s="69"/>
      <c r="O2080" s="64"/>
      <c r="P2080" s="64"/>
      <c r="Q2080" s="69"/>
      <c r="R2080" s="69"/>
      <c r="S2080" s="69"/>
    </row>
    <row r="2081" s="2" customFormat="1" ht="24.95" customHeight="1" spans="1:19">
      <c r="A2081" s="15"/>
      <c r="B2081" s="55"/>
      <c r="C2081" s="56"/>
      <c r="D2081" s="68"/>
      <c r="E2081" s="69"/>
      <c r="F2081" s="69"/>
      <c r="G2081" s="65"/>
      <c r="H2081" s="65"/>
      <c r="I2081" s="70"/>
      <c r="J2081" s="71"/>
      <c r="K2081" s="71"/>
      <c r="L2081" s="72" t="str">
        <f>IFERROR(IF(G2081="","",VLOOKUP($G2081,[1]基础信息!$B:$C,2,FALSE)+SUMIF(G$8:G2081,G2081,J$8:J2081)-SUMIF(G$8:G2081,G2081,K$8:K2081)+SUMIFS([1]内部转账!$G:$G,[1]内部转账!$C:$C,"&lt;="&amp;$D2081,[1]内部转账!$E:$E,$G2081)-SUMIFS([1]内部转账!$G:$G,[1]内部转账!$C:$C,"&lt;="&amp;$D2081,[1]内部转账!$F:$F,$G2081)),"")</f>
        <v/>
      </c>
      <c r="M2081" s="64"/>
      <c r="N2081" s="69"/>
      <c r="O2081" s="64"/>
      <c r="P2081" s="64"/>
      <c r="Q2081" s="69"/>
      <c r="R2081" s="69"/>
      <c r="S2081" s="69"/>
    </row>
    <row r="2082" s="2" customFormat="1" ht="24.95" customHeight="1" spans="1:19">
      <c r="A2082" s="15"/>
      <c r="B2082" s="55"/>
      <c r="C2082" s="56"/>
      <c r="D2082" s="68"/>
      <c r="E2082" s="69"/>
      <c r="F2082" s="69"/>
      <c r="G2082" s="65"/>
      <c r="H2082" s="65"/>
      <c r="I2082" s="70"/>
      <c r="J2082" s="71"/>
      <c r="K2082" s="71"/>
      <c r="L2082" s="72" t="str">
        <f>IFERROR(IF(G2082="","",VLOOKUP($G2082,[1]基础信息!$B:$C,2,FALSE)+SUMIF(G$8:G2082,G2082,J$8:J2082)-SUMIF(G$8:G2082,G2082,K$8:K2082)+SUMIFS([1]内部转账!$G:$G,[1]内部转账!$C:$C,"&lt;="&amp;$D2082,[1]内部转账!$E:$E,$G2082)-SUMIFS([1]内部转账!$G:$G,[1]内部转账!$C:$C,"&lt;="&amp;$D2082,[1]内部转账!$F:$F,$G2082)),"")</f>
        <v/>
      </c>
      <c r="M2082" s="64"/>
      <c r="N2082" s="69"/>
      <c r="O2082" s="64"/>
      <c r="P2082" s="64"/>
      <c r="Q2082" s="69"/>
      <c r="R2082" s="69"/>
      <c r="S2082" s="69"/>
    </row>
    <row r="2083" s="2" customFormat="1" ht="24.95" customHeight="1" spans="1:19">
      <c r="A2083" s="15"/>
      <c r="B2083" s="55"/>
      <c r="C2083" s="56"/>
      <c r="D2083" s="68"/>
      <c r="E2083" s="69"/>
      <c r="F2083" s="69"/>
      <c r="G2083" s="65"/>
      <c r="H2083" s="65"/>
      <c r="I2083" s="70"/>
      <c r="J2083" s="71"/>
      <c r="K2083" s="71"/>
      <c r="L2083" s="72" t="str">
        <f>IFERROR(IF(G2083="","",VLOOKUP($G2083,[1]基础信息!$B:$C,2,FALSE)+SUMIF(G$8:G2083,G2083,J$8:J2083)-SUMIF(G$8:G2083,G2083,K$8:K2083)+SUMIFS([1]内部转账!$G:$G,[1]内部转账!$C:$C,"&lt;="&amp;$D2083,[1]内部转账!$E:$E,$G2083)-SUMIFS([1]内部转账!$G:$G,[1]内部转账!$C:$C,"&lt;="&amp;$D2083,[1]内部转账!$F:$F,$G2083)),"")</f>
        <v/>
      </c>
      <c r="M2083" s="64"/>
      <c r="N2083" s="69"/>
      <c r="O2083" s="64"/>
      <c r="P2083" s="64"/>
      <c r="Q2083" s="69"/>
      <c r="R2083" s="69"/>
      <c r="S2083" s="69"/>
    </row>
    <row r="2084" s="2" customFormat="1" ht="24.95" customHeight="1" spans="1:19">
      <c r="A2084" s="15"/>
      <c r="B2084" s="55"/>
      <c r="C2084" s="56"/>
      <c r="D2084" s="68"/>
      <c r="E2084" s="69"/>
      <c r="F2084" s="69"/>
      <c r="G2084" s="65"/>
      <c r="H2084" s="65"/>
      <c r="I2084" s="70"/>
      <c r="J2084" s="71"/>
      <c r="K2084" s="71"/>
      <c r="L2084" s="72" t="str">
        <f>IFERROR(IF(G2084="","",VLOOKUP($G2084,[1]基础信息!$B:$C,2,FALSE)+SUMIF(G$8:G2084,G2084,J$8:J2084)-SUMIF(G$8:G2084,G2084,K$8:K2084)+SUMIFS([1]内部转账!$G:$G,[1]内部转账!$C:$C,"&lt;="&amp;$D2084,[1]内部转账!$E:$E,$G2084)-SUMIFS([1]内部转账!$G:$G,[1]内部转账!$C:$C,"&lt;="&amp;$D2084,[1]内部转账!$F:$F,$G2084)),"")</f>
        <v/>
      </c>
      <c r="M2084" s="64"/>
      <c r="N2084" s="69"/>
      <c r="O2084" s="64"/>
      <c r="P2084" s="64"/>
      <c r="Q2084" s="69"/>
      <c r="R2084" s="69"/>
      <c r="S2084" s="69"/>
    </row>
    <row r="2085" s="2" customFormat="1" ht="24.95" customHeight="1" spans="1:19">
      <c r="A2085" s="15"/>
      <c r="B2085" s="55"/>
      <c r="C2085" s="56"/>
      <c r="D2085" s="68"/>
      <c r="E2085" s="69"/>
      <c r="F2085" s="69"/>
      <c r="G2085" s="65"/>
      <c r="H2085" s="65"/>
      <c r="I2085" s="70"/>
      <c r="J2085" s="71"/>
      <c r="K2085" s="71"/>
      <c r="L2085" s="72" t="str">
        <f>IFERROR(IF(G2085="","",VLOOKUP($G2085,[1]基础信息!$B:$C,2,FALSE)+SUMIF(G$8:G2085,G2085,J$8:J2085)-SUMIF(G$8:G2085,G2085,K$8:K2085)+SUMIFS([1]内部转账!$G:$G,[1]内部转账!$C:$C,"&lt;="&amp;$D2085,[1]内部转账!$E:$E,$G2085)-SUMIFS([1]内部转账!$G:$G,[1]内部转账!$C:$C,"&lt;="&amp;$D2085,[1]内部转账!$F:$F,$G2085)),"")</f>
        <v/>
      </c>
      <c r="M2085" s="64"/>
      <c r="N2085" s="69"/>
      <c r="O2085" s="64"/>
      <c r="P2085" s="64"/>
      <c r="Q2085" s="69"/>
      <c r="R2085" s="69"/>
      <c r="S2085" s="69"/>
    </row>
    <row r="2086" s="2" customFormat="1" ht="24.95" customHeight="1" spans="1:19">
      <c r="A2086" s="15"/>
      <c r="B2086" s="55"/>
      <c r="C2086" s="56"/>
      <c r="D2086" s="68"/>
      <c r="E2086" s="69"/>
      <c r="F2086" s="69"/>
      <c r="G2086" s="65"/>
      <c r="H2086" s="65"/>
      <c r="I2086" s="70"/>
      <c r="J2086" s="71"/>
      <c r="K2086" s="71"/>
      <c r="L2086" s="72" t="str">
        <f>IFERROR(IF(G2086="","",VLOOKUP($G2086,[1]基础信息!$B:$C,2,FALSE)+SUMIF(G$8:G2086,G2086,J$8:J2086)-SUMIF(G$8:G2086,G2086,K$8:K2086)+SUMIFS([1]内部转账!$G:$G,[1]内部转账!$C:$C,"&lt;="&amp;$D2086,[1]内部转账!$E:$E,$G2086)-SUMIFS([1]内部转账!$G:$G,[1]内部转账!$C:$C,"&lt;="&amp;$D2086,[1]内部转账!$F:$F,$G2086)),"")</f>
        <v/>
      </c>
      <c r="M2086" s="64"/>
      <c r="N2086" s="69"/>
      <c r="O2086" s="64"/>
      <c r="P2086" s="64"/>
      <c r="Q2086" s="69"/>
      <c r="R2086" s="69"/>
      <c r="S2086" s="69"/>
    </row>
    <row r="2087" s="2" customFormat="1" ht="24.95" customHeight="1" spans="1:19">
      <c r="A2087" s="15"/>
      <c r="B2087" s="55"/>
      <c r="C2087" s="56"/>
      <c r="D2087" s="68"/>
      <c r="E2087" s="69"/>
      <c r="F2087" s="69"/>
      <c r="G2087" s="65"/>
      <c r="H2087" s="65"/>
      <c r="I2087" s="70"/>
      <c r="J2087" s="71"/>
      <c r="K2087" s="71"/>
      <c r="L2087" s="72" t="str">
        <f>IFERROR(IF(G2087="","",VLOOKUP($G2087,[1]基础信息!$B:$C,2,FALSE)+SUMIF(G$8:G2087,G2087,J$8:J2087)-SUMIF(G$8:G2087,G2087,K$8:K2087)+SUMIFS([1]内部转账!$G:$G,[1]内部转账!$C:$C,"&lt;="&amp;$D2087,[1]内部转账!$E:$E,$G2087)-SUMIFS([1]内部转账!$G:$G,[1]内部转账!$C:$C,"&lt;="&amp;$D2087,[1]内部转账!$F:$F,$G2087)),"")</f>
        <v/>
      </c>
      <c r="M2087" s="64"/>
      <c r="N2087" s="69"/>
      <c r="O2087" s="64"/>
      <c r="P2087" s="64"/>
      <c r="Q2087" s="69"/>
      <c r="R2087" s="69"/>
      <c r="S2087" s="69"/>
    </row>
    <row r="2088" s="2" customFormat="1" ht="24.95" customHeight="1" spans="1:19">
      <c r="A2088" s="15"/>
      <c r="B2088" s="55"/>
      <c r="C2088" s="56"/>
      <c r="D2088" s="68"/>
      <c r="E2088" s="69"/>
      <c r="F2088" s="69"/>
      <c r="G2088" s="65"/>
      <c r="H2088" s="65"/>
      <c r="I2088" s="70"/>
      <c r="J2088" s="71"/>
      <c r="K2088" s="71"/>
      <c r="L2088" s="72" t="str">
        <f>IFERROR(IF(G2088="","",VLOOKUP($G2088,[1]基础信息!$B:$C,2,FALSE)+SUMIF(G$8:G2088,G2088,J$8:J2088)-SUMIF(G$8:G2088,G2088,K$8:K2088)+SUMIFS([1]内部转账!$G:$G,[1]内部转账!$C:$C,"&lt;="&amp;$D2088,[1]内部转账!$E:$E,$G2088)-SUMIFS([1]内部转账!$G:$G,[1]内部转账!$C:$C,"&lt;="&amp;$D2088,[1]内部转账!$F:$F,$G2088)),"")</f>
        <v/>
      </c>
      <c r="M2088" s="64"/>
      <c r="N2088" s="69"/>
      <c r="O2088" s="64"/>
      <c r="P2088" s="64"/>
      <c r="Q2088" s="69"/>
      <c r="R2088" s="69"/>
      <c r="S2088" s="69"/>
    </row>
    <row r="2089" s="2" customFormat="1" ht="24.95" customHeight="1" spans="1:19">
      <c r="A2089" s="15"/>
      <c r="B2089" s="55"/>
      <c r="C2089" s="56"/>
      <c r="D2089" s="68"/>
      <c r="E2089" s="69"/>
      <c r="F2089" s="69"/>
      <c r="G2089" s="65"/>
      <c r="H2089" s="65"/>
      <c r="I2089" s="70"/>
      <c r="J2089" s="71"/>
      <c r="K2089" s="71"/>
      <c r="L2089" s="72" t="str">
        <f>IFERROR(IF(G2089="","",VLOOKUP($G2089,[1]基础信息!$B:$C,2,FALSE)+SUMIF(G$8:G2089,G2089,J$8:J2089)-SUMIF(G$8:G2089,G2089,K$8:K2089)+SUMIFS([1]内部转账!$G:$G,[1]内部转账!$C:$C,"&lt;="&amp;$D2089,[1]内部转账!$E:$E,$G2089)-SUMIFS([1]内部转账!$G:$G,[1]内部转账!$C:$C,"&lt;="&amp;$D2089,[1]内部转账!$F:$F,$G2089)),"")</f>
        <v/>
      </c>
      <c r="M2089" s="64"/>
      <c r="N2089" s="69"/>
      <c r="O2089" s="64"/>
      <c r="P2089" s="64"/>
      <c r="Q2089" s="69"/>
      <c r="R2089" s="69"/>
      <c r="S2089" s="69"/>
    </row>
    <row r="2090" s="2" customFormat="1" ht="24.95" customHeight="1" spans="1:19">
      <c r="A2090" s="15"/>
      <c r="B2090" s="55"/>
      <c r="C2090" s="56"/>
      <c r="D2090" s="68"/>
      <c r="E2090" s="69"/>
      <c r="F2090" s="69"/>
      <c r="G2090" s="65"/>
      <c r="H2090" s="65"/>
      <c r="I2090" s="70"/>
      <c r="J2090" s="71"/>
      <c r="K2090" s="71"/>
      <c r="L2090" s="72" t="str">
        <f>IFERROR(IF(G2090="","",VLOOKUP($G2090,[1]基础信息!$B:$C,2,FALSE)+SUMIF(G$8:G2090,G2090,J$8:J2090)-SUMIF(G$8:G2090,G2090,K$8:K2090)+SUMIFS([1]内部转账!$G:$G,[1]内部转账!$C:$C,"&lt;="&amp;$D2090,[1]内部转账!$E:$E,$G2090)-SUMIFS([1]内部转账!$G:$G,[1]内部转账!$C:$C,"&lt;="&amp;$D2090,[1]内部转账!$F:$F,$G2090)),"")</f>
        <v/>
      </c>
      <c r="M2090" s="64"/>
      <c r="N2090" s="69"/>
      <c r="O2090" s="64"/>
      <c r="P2090" s="64"/>
      <c r="Q2090" s="69"/>
      <c r="R2090" s="69"/>
      <c r="S2090" s="69"/>
    </row>
    <row r="2091" s="2" customFormat="1" ht="24.95" customHeight="1" spans="1:19">
      <c r="A2091" s="15"/>
      <c r="B2091" s="55"/>
      <c r="C2091" s="56"/>
      <c r="D2091" s="68"/>
      <c r="E2091" s="69"/>
      <c r="F2091" s="69"/>
      <c r="G2091" s="65"/>
      <c r="H2091" s="65"/>
      <c r="I2091" s="70"/>
      <c r="J2091" s="71"/>
      <c r="K2091" s="71"/>
      <c r="L2091" s="72" t="str">
        <f>IFERROR(IF(G2091="","",VLOOKUP($G2091,[1]基础信息!$B:$C,2,FALSE)+SUMIF(G$8:G2091,G2091,J$8:J2091)-SUMIF(G$8:G2091,G2091,K$8:K2091)+SUMIFS([1]内部转账!$G:$G,[1]内部转账!$C:$C,"&lt;="&amp;$D2091,[1]内部转账!$E:$E,$G2091)-SUMIFS([1]内部转账!$G:$G,[1]内部转账!$C:$C,"&lt;="&amp;$D2091,[1]内部转账!$F:$F,$G2091)),"")</f>
        <v/>
      </c>
      <c r="M2091" s="64"/>
      <c r="N2091" s="69"/>
      <c r="O2091" s="64"/>
      <c r="P2091" s="64"/>
      <c r="Q2091" s="69"/>
      <c r="R2091" s="69"/>
      <c r="S2091" s="69"/>
    </row>
    <row r="2092" s="2" customFormat="1" ht="24.95" customHeight="1" spans="1:19">
      <c r="A2092" s="15"/>
      <c r="B2092" s="55"/>
      <c r="C2092" s="56"/>
      <c r="D2092" s="68"/>
      <c r="E2092" s="69"/>
      <c r="F2092" s="69"/>
      <c r="G2092" s="65"/>
      <c r="H2092" s="65"/>
      <c r="I2092" s="70"/>
      <c r="J2092" s="71"/>
      <c r="K2092" s="71"/>
      <c r="L2092" s="72" t="str">
        <f>IFERROR(IF(G2092="","",VLOOKUP($G2092,[1]基础信息!$B:$C,2,FALSE)+SUMIF(G$8:G2092,G2092,J$8:J2092)-SUMIF(G$8:G2092,G2092,K$8:K2092)+SUMIFS([1]内部转账!$G:$G,[1]内部转账!$C:$C,"&lt;="&amp;$D2092,[1]内部转账!$E:$E,$G2092)-SUMIFS([1]内部转账!$G:$G,[1]内部转账!$C:$C,"&lt;="&amp;$D2092,[1]内部转账!$F:$F,$G2092)),"")</f>
        <v/>
      </c>
      <c r="M2092" s="64"/>
      <c r="N2092" s="69"/>
      <c r="O2092" s="64"/>
      <c r="P2092" s="64"/>
      <c r="Q2092" s="69"/>
      <c r="R2092" s="69"/>
      <c r="S2092" s="69"/>
    </row>
    <row r="2093" s="2" customFormat="1" ht="24.95" customHeight="1" spans="1:19">
      <c r="A2093" s="15"/>
      <c r="B2093" s="55"/>
      <c r="C2093" s="56"/>
      <c r="D2093" s="68"/>
      <c r="E2093" s="69"/>
      <c r="F2093" s="69"/>
      <c r="G2093" s="65"/>
      <c r="H2093" s="65"/>
      <c r="I2093" s="70"/>
      <c r="J2093" s="71"/>
      <c r="K2093" s="71"/>
      <c r="L2093" s="72" t="str">
        <f>IFERROR(IF(G2093="","",VLOOKUP($G2093,[1]基础信息!$B:$C,2,FALSE)+SUMIF(G$8:G2093,G2093,J$8:J2093)-SUMIF(G$8:G2093,G2093,K$8:K2093)+SUMIFS([1]内部转账!$G:$G,[1]内部转账!$C:$C,"&lt;="&amp;$D2093,[1]内部转账!$E:$E,$G2093)-SUMIFS([1]内部转账!$G:$G,[1]内部转账!$C:$C,"&lt;="&amp;$D2093,[1]内部转账!$F:$F,$G2093)),"")</f>
        <v/>
      </c>
      <c r="M2093" s="64"/>
      <c r="N2093" s="69"/>
      <c r="O2093" s="64"/>
      <c r="P2093" s="64"/>
      <c r="Q2093" s="69"/>
      <c r="R2093" s="69"/>
      <c r="S2093" s="69"/>
    </row>
    <row r="2094" s="2" customFormat="1" ht="24.95" customHeight="1" spans="1:19">
      <c r="A2094" s="15"/>
      <c r="B2094" s="55"/>
      <c r="C2094" s="56"/>
      <c r="D2094" s="68"/>
      <c r="E2094" s="69"/>
      <c r="F2094" s="69"/>
      <c r="G2094" s="65"/>
      <c r="H2094" s="65"/>
      <c r="I2094" s="70"/>
      <c r="J2094" s="71"/>
      <c r="K2094" s="71"/>
      <c r="L2094" s="72" t="str">
        <f>IFERROR(IF(G2094="","",VLOOKUP($G2094,[1]基础信息!$B:$C,2,FALSE)+SUMIF(G$8:G2094,G2094,J$8:J2094)-SUMIF(G$8:G2094,G2094,K$8:K2094)+SUMIFS([1]内部转账!$G:$G,[1]内部转账!$C:$C,"&lt;="&amp;$D2094,[1]内部转账!$E:$E,$G2094)-SUMIFS([1]内部转账!$G:$G,[1]内部转账!$C:$C,"&lt;="&amp;$D2094,[1]内部转账!$F:$F,$G2094)),"")</f>
        <v/>
      </c>
      <c r="M2094" s="64"/>
      <c r="N2094" s="69"/>
      <c r="O2094" s="64"/>
      <c r="P2094" s="64"/>
      <c r="Q2094" s="69"/>
      <c r="R2094" s="69"/>
      <c r="S2094" s="69"/>
    </row>
    <row r="2095" s="2" customFormat="1" ht="24.95" customHeight="1" spans="1:19">
      <c r="A2095" s="15"/>
      <c r="B2095" s="55"/>
      <c r="C2095" s="56"/>
      <c r="D2095" s="68"/>
      <c r="E2095" s="69"/>
      <c r="F2095" s="69"/>
      <c r="G2095" s="65"/>
      <c r="H2095" s="65"/>
      <c r="I2095" s="70"/>
      <c r="J2095" s="71"/>
      <c r="K2095" s="71"/>
      <c r="L2095" s="72" t="str">
        <f>IFERROR(IF(G2095="","",VLOOKUP($G2095,[1]基础信息!$B:$C,2,FALSE)+SUMIF(G$8:G2095,G2095,J$8:J2095)-SUMIF(G$8:G2095,G2095,K$8:K2095)+SUMIFS([1]内部转账!$G:$G,[1]内部转账!$C:$C,"&lt;="&amp;$D2095,[1]内部转账!$E:$E,$G2095)-SUMIFS([1]内部转账!$G:$G,[1]内部转账!$C:$C,"&lt;="&amp;$D2095,[1]内部转账!$F:$F,$G2095)),"")</f>
        <v/>
      </c>
      <c r="M2095" s="64"/>
      <c r="N2095" s="69"/>
      <c r="O2095" s="64"/>
      <c r="P2095" s="64"/>
      <c r="Q2095" s="69"/>
      <c r="R2095" s="69"/>
      <c r="S2095" s="69"/>
    </row>
    <row r="2096" s="2" customFormat="1" ht="24.95" customHeight="1" spans="1:19">
      <c r="A2096" s="15"/>
      <c r="B2096" s="55"/>
      <c r="C2096" s="56"/>
      <c r="D2096" s="68"/>
      <c r="E2096" s="69"/>
      <c r="F2096" s="69"/>
      <c r="G2096" s="65"/>
      <c r="H2096" s="65"/>
      <c r="I2096" s="70"/>
      <c r="J2096" s="71"/>
      <c r="K2096" s="71"/>
      <c r="L2096" s="72" t="str">
        <f>IFERROR(IF(G2096="","",VLOOKUP($G2096,[1]基础信息!$B:$C,2,FALSE)+SUMIF(G$8:G2096,G2096,J$8:J2096)-SUMIF(G$8:G2096,G2096,K$8:K2096)+SUMIFS([1]内部转账!$G:$G,[1]内部转账!$C:$C,"&lt;="&amp;$D2096,[1]内部转账!$E:$E,$G2096)-SUMIFS([1]内部转账!$G:$G,[1]内部转账!$C:$C,"&lt;="&amp;$D2096,[1]内部转账!$F:$F,$G2096)),"")</f>
        <v/>
      </c>
      <c r="M2096" s="64"/>
      <c r="N2096" s="69"/>
      <c r="O2096" s="64"/>
      <c r="P2096" s="64"/>
      <c r="Q2096" s="69"/>
      <c r="R2096" s="69"/>
      <c r="S2096" s="69"/>
    </row>
    <row r="2097" s="2" customFormat="1" ht="24.95" customHeight="1" spans="1:19">
      <c r="A2097" s="15"/>
      <c r="B2097" s="55"/>
      <c r="C2097" s="56"/>
      <c r="D2097" s="68"/>
      <c r="E2097" s="69"/>
      <c r="F2097" s="69"/>
      <c r="G2097" s="65"/>
      <c r="H2097" s="65"/>
      <c r="I2097" s="70"/>
      <c r="J2097" s="71"/>
      <c r="K2097" s="71"/>
      <c r="L2097" s="72" t="str">
        <f>IFERROR(IF(G2097="","",VLOOKUP($G2097,[1]基础信息!$B:$C,2,FALSE)+SUMIF(G$8:G2097,G2097,J$8:J2097)-SUMIF(G$8:G2097,G2097,K$8:K2097)+SUMIFS([1]内部转账!$G:$G,[1]内部转账!$C:$C,"&lt;="&amp;$D2097,[1]内部转账!$E:$E,$G2097)-SUMIFS([1]内部转账!$G:$G,[1]内部转账!$C:$C,"&lt;="&amp;$D2097,[1]内部转账!$F:$F,$G2097)),"")</f>
        <v/>
      </c>
      <c r="M2097" s="64"/>
      <c r="N2097" s="69"/>
      <c r="O2097" s="64"/>
      <c r="P2097" s="64"/>
      <c r="Q2097" s="69"/>
      <c r="R2097" s="69"/>
      <c r="S2097" s="69"/>
    </row>
    <row r="2098" s="2" customFormat="1" ht="24.95" customHeight="1" spans="1:19">
      <c r="A2098" s="15"/>
      <c r="B2098" s="55"/>
      <c r="C2098" s="56"/>
      <c r="D2098" s="68"/>
      <c r="E2098" s="69"/>
      <c r="F2098" s="69"/>
      <c r="G2098" s="65"/>
      <c r="H2098" s="65"/>
      <c r="I2098" s="70"/>
      <c r="J2098" s="71"/>
      <c r="K2098" s="71"/>
      <c r="L2098" s="72" t="str">
        <f>IFERROR(IF(G2098="","",VLOOKUP($G2098,[1]基础信息!$B:$C,2,FALSE)+SUMIF(G$8:G2098,G2098,J$8:J2098)-SUMIF(G$8:G2098,G2098,K$8:K2098)+SUMIFS([1]内部转账!$G:$G,[1]内部转账!$C:$C,"&lt;="&amp;$D2098,[1]内部转账!$E:$E,$G2098)-SUMIFS([1]内部转账!$G:$G,[1]内部转账!$C:$C,"&lt;="&amp;$D2098,[1]内部转账!$F:$F,$G2098)),"")</f>
        <v/>
      </c>
      <c r="M2098" s="64"/>
      <c r="N2098" s="69"/>
      <c r="O2098" s="64"/>
      <c r="P2098" s="64"/>
      <c r="Q2098" s="69"/>
      <c r="R2098" s="69"/>
      <c r="S2098" s="69"/>
    </row>
    <row r="2099" s="2" customFormat="1" ht="24.95" customHeight="1" spans="1:19">
      <c r="A2099" s="15"/>
      <c r="B2099" s="55"/>
      <c r="C2099" s="56"/>
      <c r="D2099" s="68"/>
      <c r="E2099" s="69"/>
      <c r="F2099" s="69"/>
      <c r="G2099" s="65"/>
      <c r="H2099" s="65"/>
      <c r="I2099" s="70"/>
      <c r="J2099" s="71"/>
      <c r="K2099" s="71"/>
      <c r="L2099" s="72" t="str">
        <f>IFERROR(IF(G2099="","",VLOOKUP($G2099,[1]基础信息!$B:$C,2,FALSE)+SUMIF(G$8:G2099,G2099,J$8:J2099)-SUMIF(G$8:G2099,G2099,K$8:K2099)+SUMIFS([1]内部转账!$G:$G,[1]内部转账!$C:$C,"&lt;="&amp;$D2099,[1]内部转账!$E:$E,$G2099)-SUMIFS([1]内部转账!$G:$G,[1]内部转账!$C:$C,"&lt;="&amp;$D2099,[1]内部转账!$F:$F,$G2099)),"")</f>
        <v/>
      </c>
      <c r="M2099" s="64"/>
      <c r="N2099" s="69"/>
      <c r="O2099" s="64"/>
      <c r="P2099" s="64"/>
      <c r="Q2099" s="69"/>
      <c r="R2099" s="69"/>
      <c r="S2099" s="69"/>
    </row>
    <row r="2100" s="2" customFormat="1" ht="24.95" customHeight="1" spans="1:19">
      <c r="A2100" s="15"/>
      <c r="B2100" s="55"/>
      <c r="C2100" s="56"/>
      <c r="D2100" s="68"/>
      <c r="E2100" s="69"/>
      <c r="F2100" s="69"/>
      <c r="G2100" s="65"/>
      <c r="H2100" s="65"/>
      <c r="I2100" s="70"/>
      <c r="J2100" s="71"/>
      <c r="K2100" s="71"/>
      <c r="L2100" s="72" t="str">
        <f>IFERROR(IF(G2100="","",VLOOKUP($G2100,[1]基础信息!$B:$C,2,FALSE)+SUMIF(G$8:G2100,G2100,J$8:J2100)-SUMIF(G$8:G2100,G2100,K$8:K2100)+SUMIFS([1]内部转账!$G:$G,[1]内部转账!$C:$C,"&lt;="&amp;$D2100,[1]内部转账!$E:$E,$G2100)-SUMIFS([1]内部转账!$G:$G,[1]内部转账!$C:$C,"&lt;="&amp;$D2100,[1]内部转账!$F:$F,$G2100)),"")</f>
        <v/>
      </c>
      <c r="M2100" s="64"/>
      <c r="N2100" s="69"/>
      <c r="O2100" s="64"/>
      <c r="P2100" s="64"/>
      <c r="Q2100" s="69"/>
      <c r="R2100" s="69"/>
      <c r="S2100" s="69"/>
    </row>
    <row r="2101" s="2" customFormat="1" ht="24.95" customHeight="1" spans="1:19">
      <c r="A2101" s="15"/>
      <c r="B2101" s="55"/>
      <c r="C2101" s="56"/>
      <c r="D2101" s="68"/>
      <c r="E2101" s="69"/>
      <c r="F2101" s="69"/>
      <c r="G2101" s="65"/>
      <c r="H2101" s="65"/>
      <c r="I2101" s="70"/>
      <c r="J2101" s="71"/>
      <c r="K2101" s="71"/>
      <c r="L2101" s="72" t="str">
        <f>IFERROR(IF(G2101="","",VLOOKUP($G2101,[1]基础信息!$B:$C,2,FALSE)+SUMIF(G$8:G2101,G2101,J$8:J2101)-SUMIF(G$8:G2101,G2101,K$8:K2101)+SUMIFS([1]内部转账!$G:$G,[1]内部转账!$C:$C,"&lt;="&amp;$D2101,[1]内部转账!$E:$E,$G2101)-SUMIFS([1]内部转账!$G:$G,[1]内部转账!$C:$C,"&lt;="&amp;$D2101,[1]内部转账!$F:$F,$G2101)),"")</f>
        <v/>
      </c>
      <c r="M2101" s="64"/>
      <c r="N2101" s="69"/>
      <c r="O2101" s="64"/>
      <c r="P2101" s="64"/>
      <c r="Q2101" s="69"/>
      <c r="R2101" s="69"/>
      <c r="S2101" s="69"/>
    </row>
    <row r="2102" s="2" customFormat="1" ht="24.95" customHeight="1" spans="1:19">
      <c r="A2102" s="15"/>
      <c r="B2102" s="55"/>
      <c r="C2102" s="56"/>
      <c r="D2102" s="68"/>
      <c r="E2102" s="69"/>
      <c r="F2102" s="69"/>
      <c r="G2102" s="65"/>
      <c r="H2102" s="65"/>
      <c r="I2102" s="70"/>
      <c r="J2102" s="71"/>
      <c r="K2102" s="71"/>
      <c r="L2102" s="72" t="str">
        <f>IFERROR(IF(G2102="","",VLOOKUP($G2102,[1]基础信息!$B:$C,2,FALSE)+SUMIF(G$8:G2102,G2102,J$8:J2102)-SUMIF(G$8:G2102,G2102,K$8:K2102)+SUMIFS([1]内部转账!$G:$G,[1]内部转账!$C:$C,"&lt;="&amp;$D2102,[1]内部转账!$E:$E,$G2102)-SUMIFS([1]内部转账!$G:$G,[1]内部转账!$C:$C,"&lt;="&amp;$D2102,[1]内部转账!$F:$F,$G2102)),"")</f>
        <v/>
      </c>
      <c r="M2102" s="64"/>
      <c r="N2102" s="69"/>
      <c r="O2102" s="64"/>
      <c r="P2102" s="64"/>
      <c r="Q2102" s="69"/>
      <c r="R2102" s="69"/>
      <c r="S2102" s="69"/>
    </row>
    <row r="2103" s="2" customFormat="1" ht="24.95" customHeight="1" spans="1:19">
      <c r="A2103" s="15"/>
      <c r="B2103" s="55"/>
      <c r="C2103" s="56"/>
      <c r="D2103" s="68"/>
      <c r="E2103" s="69"/>
      <c r="F2103" s="69"/>
      <c r="G2103" s="65"/>
      <c r="H2103" s="65"/>
      <c r="I2103" s="70"/>
      <c r="J2103" s="71"/>
      <c r="K2103" s="71"/>
      <c r="L2103" s="72" t="str">
        <f>IFERROR(IF(G2103="","",VLOOKUP($G2103,[1]基础信息!$B:$C,2,FALSE)+SUMIF(G$8:G2103,G2103,J$8:J2103)-SUMIF(G$8:G2103,G2103,K$8:K2103)+SUMIFS([1]内部转账!$G:$G,[1]内部转账!$C:$C,"&lt;="&amp;$D2103,[1]内部转账!$E:$E,$G2103)-SUMIFS([1]内部转账!$G:$G,[1]内部转账!$C:$C,"&lt;="&amp;$D2103,[1]内部转账!$F:$F,$G2103)),"")</f>
        <v/>
      </c>
      <c r="M2103" s="64"/>
      <c r="N2103" s="69"/>
      <c r="O2103" s="64"/>
      <c r="P2103" s="64"/>
      <c r="Q2103" s="69"/>
      <c r="R2103" s="69"/>
      <c r="S2103" s="69"/>
    </row>
    <row r="2104" s="2" customFormat="1" ht="24.95" customHeight="1" spans="1:19">
      <c r="A2104" s="15"/>
      <c r="B2104" s="55"/>
      <c r="C2104" s="56"/>
      <c r="D2104" s="68"/>
      <c r="E2104" s="69"/>
      <c r="F2104" s="69"/>
      <c r="G2104" s="65"/>
      <c r="H2104" s="65"/>
      <c r="I2104" s="70"/>
      <c r="J2104" s="71"/>
      <c r="K2104" s="71"/>
      <c r="L2104" s="72" t="str">
        <f>IFERROR(IF(G2104="","",VLOOKUP($G2104,[1]基础信息!$B:$C,2,FALSE)+SUMIF(G$8:G2104,G2104,J$8:J2104)-SUMIF(G$8:G2104,G2104,K$8:K2104)+SUMIFS([1]内部转账!$G:$G,[1]内部转账!$C:$C,"&lt;="&amp;$D2104,[1]内部转账!$E:$E,$G2104)-SUMIFS([1]内部转账!$G:$G,[1]内部转账!$C:$C,"&lt;="&amp;$D2104,[1]内部转账!$F:$F,$G2104)),"")</f>
        <v/>
      </c>
      <c r="M2104" s="64"/>
      <c r="N2104" s="69"/>
      <c r="O2104" s="64"/>
      <c r="P2104" s="64"/>
      <c r="Q2104" s="69"/>
      <c r="R2104" s="69"/>
      <c r="S2104" s="69"/>
    </row>
    <row r="2105" s="2" customFormat="1" ht="24.95" customHeight="1" spans="1:19">
      <c r="A2105" s="15"/>
      <c r="B2105" s="55"/>
      <c r="C2105" s="56"/>
      <c r="D2105" s="68"/>
      <c r="E2105" s="69"/>
      <c r="F2105" s="69"/>
      <c r="G2105" s="65"/>
      <c r="H2105" s="65"/>
      <c r="I2105" s="70"/>
      <c r="J2105" s="71"/>
      <c r="K2105" s="71"/>
      <c r="L2105" s="72" t="str">
        <f>IFERROR(IF(G2105="","",VLOOKUP($G2105,[1]基础信息!$B:$C,2,FALSE)+SUMIF(G$8:G2105,G2105,J$8:J2105)-SUMIF(G$8:G2105,G2105,K$8:K2105)+SUMIFS([1]内部转账!$G:$G,[1]内部转账!$C:$C,"&lt;="&amp;$D2105,[1]内部转账!$E:$E,$G2105)-SUMIFS([1]内部转账!$G:$G,[1]内部转账!$C:$C,"&lt;="&amp;$D2105,[1]内部转账!$F:$F,$G2105)),"")</f>
        <v/>
      </c>
      <c r="M2105" s="64"/>
      <c r="N2105" s="69"/>
      <c r="O2105" s="64"/>
      <c r="P2105" s="64"/>
      <c r="Q2105" s="69"/>
      <c r="R2105" s="69"/>
      <c r="S2105" s="69"/>
    </row>
    <row r="2106" s="2" customFormat="1" ht="24.95" customHeight="1" spans="1:19">
      <c r="A2106" s="15"/>
      <c r="B2106" s="55"/>
      <c r="C2106" s="56"/>
      <c r="D2106" s="68"/>
      <c r="E2106" s="69"/>
      <c r="F2106" s="69"/>
      <c r="G2106" s="65"/>
      <c r="H2106" s="65"/>
      <c r="I2106" s="70"/>
      <c r="J2106" s="71"/>
      <c r="K2106" s="71"/>
      <c r="L2106" s="72" t="str">
        <f>IFERROR(IF(G2106="","",VLOOKUP($G2106,[1]基础信息!$B:$C,2,FALSE)+SUMIF(G$8:G2106,G2106,J$8:J2106)-SUMIF(G$8:G2106,G2106,K$8:K2106)+SUMIFS([1]内部转账!$G:$G,[1]内部转账!$C:$C,"&lt;="&amp;$D2106,[1]内部转账!$E:$E,$G2106)-SUMIFS([1]内部转账!$G:$G,[1]内部转账!$C:$C,"&lt;="&amp;$D2106,[1]内部转账!$F:$F,$G2106)),"")</f>
        <v/>
      </c>
      <c r="M2106" s="64"/>
      <c r="N2106" s="69"/>
      <c r="O2106" s="64"/>
      <c r="P2106" s="64"/>
      <c r="Q2106" s="69"/>
      <c r="R2106" s="69"/>
      <c r="S2106" s="69"/>
    </row>
    <row r="2107" s="2" customFormat="1" ht="24.95" customHeight="1" spans="1:19">
      <c r="A2107" s="15"/>
      <c r="B2107" s="55"/>
      <c r="C2107" s="56"/>
      <c r="D2107" s="68"/>
      <c r="E2107" s="69"/>
      <c r="F2107" s="69"/>
      <c r="G2107" s="65"/>
      <c r="H2107" s="65"/>
      <c r="I2107" s="70"/>
      <c r="J2107" s="71"/>
      <c r="K2107" s="71"/>
      <c r="L2107" s="72" t="str">
        <f>IFERROR(IF(G2107="","",VLOOKUP($G2107,[1]基础信息!$B:$C,2,FALSE)+SUMIF(G$8:G2107,G2107,J$8:J2107)-SUMIF(G$8:G2107,G2107,K$8:K2107)+SUMIFS([1]内部转账!$G:$G,[1]内部转账!$C:$C,"&lt;="&amp;$D2107,[1]内部转账!$E:$E,$G2107)-SUMIFS([1]内部转账!$G:$G,[1]内部转账!$C:$C,"&lt;="&amp;$D2107,[1]内部转账!$F:$F,$G2107)),"")</f>
        <v/>
      </c>
      <c r="M2107" s="64"/>
      <c r="N2107" s="69"/>
      <c r="O2107" s="64"/>
      <c r="P2107" s="64"/>
      <c r="Q2107" s="69"/>
      <c r="R2107" s="69"/>
      <c r="S2107" s="69"/>
    </row>
    <row r="2108" s="2" customFormat="1" ht="24.95" customHeight="1" spans="1:19">
      <c r="A2108" s="15"/>
      <c r="B2108" s="55"/>
      <c r="C2108" s="56"/>
      <c r="D2108" s="68"/>
      <c r="E2108" s="69"/>
      <c r="F2108" s="69"/>
      <c r="G2108" s="65"/>
      <c r="H2108" s="65"/>
      <c r="I2108" s="70"/>
      <c r="J2108" s="71"/>
      <c r="K2108" s="71"/>
      <c r="L2108" s="72" t="str">
        <f>IFERROR(IF(G2108="","",VLOOKUP($G2108,[1]基础信息!$B:$C,2,FALSE)+SUMIF(G$8:G2108,G2108,J$8:J2108)-SUMIF(G$8:G2108,G2108,K$8:K2108)+SUMIFS([1]内部转账!$G:$G,[1]内部转账!$C:$C,"&lt;="&amp;$D2108,[1]内部转账!$E:$E,$G2108)-SUMIFS([1]内部转账!$G:$G,[1]内部转账!$C:$C,"&lt;="&amp;$D2108,[1]内部转账!$F:$F,$G2108)),"")</f>
        <v/>
      </c>
      <c r="M2108" s="64"/>
      <c r="N2108" s="69"/>
      <c r="O2108" s="64"/>
      <c r="P2108" s="64"/>
      <c r="Q2108" s="69"/>
      <c r="R2108" s="69"/>
      <c r="S2108" s="69"/>
    </row>
    <row r="2109" s="2" customFormat="1" ht="24.95" customHeight="1" spans="1:19">
      <c r="A2109" s="15"/>
      <c r="B2109" s="55"/>
      <c r="C2109" s="56"/>
      <c r="D2109" s="68"/>
      <c r="E2109" s="69"/>
      <c r="F2109" s="69"/>
      <c r="G2109" s="65"/>
      <c r="H2109" s="65"/>
      <c r="I2109" s="70"/>
      <c r="J2109" s="71"/>
      <c r="K2109" s="71"/>
      <c r="L2109" s="72" t="str">
        <f>IFERROR(IF(G2109="","",VLOOKUP($G2109,[1]基础信息!$B:$C,2,FALSE)+SUMIF(G$8:G2109,G2109,J$8:J2109)-SUMIF(G$8:G2109,G2109,K$8:K2109)+SUMIFS([1]内部转账!$G:$G,[1]内部转账!$C:$C,"&lt;="&amp;$D2109,[1]内部转账!$E:$E,$G2109)-SUMIFS([1]内部转账!$G:$G,[1]内部转账!$C:$C,"&lt;="&amp;$D2109,[1]内部转账!$F:$F,$G2109)),"")</f>
        <v/>
      </c>
      <c r="M2109" s="64"/>
      <c r="N2109" s="69"/>
      <c r="O2109" s="64"/>
      <c r="P2109" s="64"/>
      <c r="Q2109" s="69"/>
      <c r="R2109" s="69"/>
      <c r="S2109" s="69"/>
    </row>
    <row r="2110" s="2" customFormat="1" ht="24.95" customHeight="1" spans="1:19">
      <c r="A2110" s="15"/>
      <c r="B2110" s="55"/>
      <c r="C2110" s="56"/>
      <c r="D2110" s="68"/>
      <c r="E2110" s="69"/>
      <c r="F2110" s="69"/>
      <c r="G2110" s="65"/>
      <c r="H2110" s="65"/>
      <c r="I2110" s="70"/>
      <c r="J2110" s="71"/>
      <c r="K2110" s="71"/>
      <c r="L2110" s="72" t="str">
        <f>IFERROR(IF(G2110="","",VLOOKUP($G2110,[1]基础信息!$B:$C,2,FALSE)+SUMIF(G$8:G2110,G2110,J$8:J2110)-SUMIF(G$8:G2110,G2110,K$8:K2110)+SUMIFS([1]内部转账!$G:$G,[1]内部转账!$C:$C,"&lt;="&amp;$D2110,[1]内部转账!$E:$E,$G2110)-SUMIFS([1]内部转账!$G:$G,[1]内部转账!$C:$C,"&lt;="&amp;$D2110,[1]内部转账!$F:$F,$G2110)),"")</f>
        <v/>
      </c>
      <c r="M2110" s="64"/>
      <c r="N2110" s="69"/>
      <c r="O2110" s="64"/>
      <c r="P2110" s="64"/>
      <c r="Q2110" s="69"/>
      <c r="R2110" s="69"/>
      <c r="S2110" s="69"/>
    </row>
    <row r="2111" s="2" customFormat="1" ht="24.95" customHeight="1" spans="1:19">
      <c r="A2111" s="15"/>
      <c r="B2111" s="55"/>
      <c r="C2111" s="56"/>
      <c r="D2111" s="68"/>
      <c r="E2111" s="69"/>
      <c r="F2111" s="69"/>
      <c r="G2111" s="65"/>
      <c r="H2111" s="65"/>
      <c r="I2111" s="70"/>
      <c r="J2111" s="71"/>
      <c r="K2111" s="71"/>
      <c r="L2111" s="72" t="str">
        <f>IFERROR(IF(G2111="","",VLOOKUP($G2111,[1]基础信息!$B:$C,2,FALSE)+SUMIF(G$8:G2111,G2111,J$8:J2111)-SUMIF(G$8:G2111,G2111,K$8:K2111)+SUMIFS([1]内部转账!$G:$G,[1]内部转账!$C:$C,"&lt;="&amp;$D2111,[1]内部转账!$E:$E,$G2111)-SUMIFS([1]内部转账!$G:$G,[1]内部转账!$C:$C,"&lt;="&amp;$D2111,[1]内部转账!$F:$F,$G2111)),"")</f>
        <v/>
      </c>
      <c r="M2111" s="64"/>
      <c r="N2111" s="69"/>
      <c r="O2111" s="64"/>
      <c r="P2111" s="64"/>
      <c r="Q2111" s="69"/>
      <c r="R2111" s="69"/>
      <c r="S2111" s="69"/>
    </row>
    <row r="2112" s="2" customFormat="1" ht="24.95" customHeight="1" spans="1:19">
      <c r="A2112" s="15"/>
      <c r="B2112" s="55"/>
      <c r="C2112" s="56"/>
      <c r="D2112" s="68"/>
      <c r="E2112" s="69"/>
      <c r="F2112" s="69"/>
      <c r="G2112" s="65"/>
      <c r="H2112" s="65"/>
      <c r="I2112" s="70"/>
      <c r="J2112" s="71"/>
      <c r="K2112" s="71"/>
      <c r="L2112" s="72" t="str">
        <f>IFERROR(IF(G2112="","",VLOOKUP($G2112,[1]基础信息!$B:$C,2,FALSE)+SUMIF(G$8:G2112,G2112,J$8:J2112)-SUMIF(G$8:G2112,G2112,K$8:K2112)+SUMIFS([1]内部转账!$G:$G,[1]内部转账!$C:$C,"&lt;="&amp;$D2112,[1]内部转账!$E:$E,$G2112)-SUMIFS([1]内部转账!$G:$G,[1]内部转账!$C:$C,"&lt;="&amp;$D2112,[1]内部转账!$F:$F,$G2112)),"")</f>
        <v/>
      </c>
      <c r="M2112" s="64"/>
      <c r="N2112" s="69"/>
      <c r="O2112" s="64"/>
      <c r="P2112" s="64"/>
      <c r="Q2112" s="69"/>
      <c r="R2112" s="69"/>
      <c r="S2112" s="69"/>
    </row>
    <row r="2113" s="2" customFormat="1" ht="24.95" customHeight="1" spans="1:19">
      <c r="A2113" s="15"/>
      <c r="B2113" s="55"/>
      <c r="C2113" s="56"/>
      <c r="D2113" s="68"/>
      <c r="E2113" s="69"/>
      <c r="F2113" s="69"/>
      <c r="G2113" s="65"/>
      <c r="H2113" s="65"/>
      <c r="I2113" s="70"/>
      <c r="J2113" s="71"/>
      <c r="K2113" s="71"/>
      <c r="L2113" s="72" t="str">
        <f>IFERROR(IF(G2113="","",VLOOKUP($G2113,[1]基础信息!$B:$C,2,FALSE)+SUMIF(G$8:G2113,G2113,J$8:J2113)-SUMIF(G$8:G2113,G2113,K$8:K2113)+SUMIFS([1]内部转账!$G:$G,[1]内部转账!$C:$C,"&lt;="&amp;$D2113,[1]内部转账!$E:$E,$G2113)-SUMIFS([1]内部转账!$G:$G,[1]内部转账!$C:$C,"&lt;="&amp;$D2113,[1]内部转账!$F:$F,$G2113)),"")</f>
        <v/>
      </c>
      <c r="M2113" s="64"/>
      <c r="N2113" s="69"/>
      <c r="O2113" s="64"/>
      <c r="P2113" s="64"/>
      <c r="Q2113" s="69"/>
      <c r="R2113" s="69"/>
      <c r="S2113" s="69"/>
    </row>
    <row r="2114" s="2" customFormat="1" ht="24.95" customHeight="1" spans="1:19">
      <c r="A2114" s="15"/>
      <c r="B2114" s="55"/>
      <c r="C2114" s="56"/>
      <c r="D2114" s="68"/>
      <c r="E2114" s="69"/>
      <c r="F2114" s="69"/>
      <c r="G2114" s="65"/>
      <c r="H2114" s="65"/>
      <c r="I2114" s="70"/>
      <c r="J2114" s="71"/>
      <c r="K2114" s="71"/>
      <c r="L2114" s="72" t="str">
        <f>IFERROR(IF(G2114="","",VLOOKUP($G2114,[1]基础信息!$B:$C,2,FALSE)+SUMIF(G$8:G2114,G2114,J$8:J2114)-SUMIF(G$8:G2114,G2114,K$8:K2114)+SUMIFS([1]内部转账!$G:$G,[1]内部转账!$C:$C,"&lt;="&amp;$D2114,[1]内部转账!$E:$E,$G2114)-SUMIFS([1]内部转账!$G:$G,[1]内部转账!$C:$C,"&lt;="&amp;$D2114,[1]内部转账!$F:$F,$G2114)),"")</f>
        <v/>
      </c>
      <c r="M2114" s="64"/>
      <c r="N2114" s="69"/>
      <c r="O2114" s="64"/>
      <c r="P2114" s="64"/>
      <c r="Q2114" s="69"/>
      <c r="R2114" s="69"/>
      <c r="S2114" s="69"/>
    </row>
    <row r="2115" s="2" customFormat="1" ht="24.95" customHeight="1" spans="1:19">
      <c r="A2115" s="15"/>
      <c r="B2115" s="55"/>
      <c r="C2115" s="56"/>
      <c r="D2115" s="68"/>
      <c r="E2115" s="69"/>
      <c r="F2115" s="69"/>
      <c r="G2115" s="65"/>
      <c r="H2115" s="65"/>
      <c r="I2115" s="70"/>
      <c r="J2115" s="71"/>
      <c r="K2115" s="71"/>
      <c r="L2115" s="72" t="str">
        <f>IFERROR(IF(G2115="","",VLOOKUP($G2115,[1]基础信息!$B:$C,2,FALSE)+SUMIF(G$8:G2115,G2115,J$8:J2115)-SUMIF(G$8:G2115,G2115,K$8:K2115)+SUMIFS([1]内部转账!$G:$G,[1]内部转账!$C:$C,"&lt;="&amp;$D2115,[1]内部转账!$E:$E,$G2115)-SUMIFS([1]内部转账!$G:$G,[1]内部转账!$C:$C,"&lt;="&amp;$D2115,[1]内部转账!$F:$F,$G2115)),"")</f>
        <v/>
      </c>
      <c r="M2115" s="64"/>
      <c r="N2115" s="69"/>
      <c r="O2115" s="64"/>
      <c r="P2115" s="64"/>
      <c r="Q2115" s="69"/>
      <c r="R2115" s="69"/>
      <c r="S2115" s="69"/>
    </row>
    <row r="2116" s="2" customFormat="1" ht="24.95" customHeight="1" spans="1:19">
      <c r="A2116" s="15"/>
      <c r="B2116" s="55"/>
      <c r="C2116" s="56"/>
      <c r="D2116" s="68"/>
      <c r="E2116" s="69"/>
      <c r="F2116" s="69"/>
      <c r="G2116" s="65"/>
      <c r="H2116" s="65"/>
      <c r="I2116" s="70"/>
      <c r="J2116" s="71"/>
      <c r="K2116" s="71"/>
      <c r="L2116" s="72" t="str">
        <f>IFERROR(IF(G2116="","",VLOOKUP($G2116,[1]基础信息!$B:$C,2,FALSE)+SUMIF(G$8:G2116,G2116,J$8:J2116)-SUMIF(G$8:G2116,G2116,K$8:K2116)+SUMIFS([1]内部转账!$G:$G,[1]内部转账!$C:$C,"&lt;="&amp;$D2116,[1]内部转账!$E:$E,$G2116)-SUMIFS([1]内部转账!$G:$G,[1]内部转账!$C:$C,"&lt;="&amp;$D2116,[1]内部转账!$F:$F,$G2116)),"")</f>
        <v/>
      </c>
      <c r="M2116" s="64"/>
      <c r="N2116" s="69"/>
      <c r="O2116" s="64"/>
      <c r="P2116" s="64"/>
      <c r="Q2116" s="69"/>
      <c r="R2116" s="69"/>
      <c r="S2116" s="69"/>
    </row>
    <row r="2117" s="2" customFormat="1" ht="24.95" customHeight="1" spans="1:19">
      <c r="A2117" s="15"/>
      <c r="B2117" s="55"/>
      <c r="C2117" s="56"/>
      <c r="D2117" s="68"/>
      <c r="E2117" s="69"/>
      <c r="F2117" s="69"/>
      <c r="G2117" s="65"/>
      <c r="H2117" s="65"/>
      <c r="I2117" s="70"/>
      <c r="J2117" s="71"/>
      <c r="K2117" s="71"/>
      <c r="L2117" s="72" t="str">
        <f>IFERROR(IF(G2117="","",VLOOKUP($G2117,[1]基础信息!$B:$C,2,FALSE)+SUMIF(G$8:G2117,G2117,J$8:J2117)-SUMIF(G$8:G2117,G2117,K$8:K2117)+SUMIFS([1]内部转账!$G:$G,[1]内部转账!$C:$C,"&lt;="&amp;$D2117,[1]内部转账!$E:$E,$G2117)-SUMIFS([1]内部转账!$G:$G,[1]内部转账!$C:$C,"&lt;="&amp;$D2117,[1]内部转账!$F:$F,$G2117)),"")</f>
        <v/>
      </c>
      <c r="M2117" s="64"/>
      <c r="N2117" s="69"/>
      <c r="O2117" s="64"/>
      <c r="P2117" s="64"/>
      <c r="Q2117" s="69"/>
      <c r="R2117" s="69"/>
      <c r="S2117" s="69"/>
    </row>
    <row r="2118" s="2" customFormat="1" ht="24.95" customHeight="1" spans="1:19">
      <c r="A2118" s="15"/>
      <c r="B2118" s="55"/>
      <c r="C2118" s="56"/>
      <c r="D2118" s="68"/>
      <c r="E2118" s="69"/>
      <c r="F2118" s="69"/>
      <c r="G2118" s="65"/>
      <c r="H2118" s="65"/>
      <c r="I2118" s="70"/>
      <c r="J2118" s="71"/>
      <c r="K2118" s="71"/>
      <c r="L2118" s="72" t="str">
        <f>IFERROR(IF(G2118="","",VLOOKUP($G2118,[1]基础信息!$B:$C,2,FALSE)+SUMIF(G$8:G2118,G2118,J$8:J2118)-SUMIF(G$8:G2118,G2118,K$8:K2118)+SUMIFS([1]内部转账!$G:$G,[1]内部转账!$C:$C,"&lt;="&amp;$D2118,[1]内部转账!$E:$E,$G2118)-SUMIFS([1]内部转账!$G:$G,[1]内部转账!$C:$C,"&lt;="&amp;$D2118,[1]内部转账!$F:$F,$G2118)),"")</f>
        <v/>
      </c>
      <c r="M2118" s="64"/>
      <c r="N2118" s="69"/>
      <c r="O2118" s="64"/>
      <c r="P2118" s="64"/>
      <c r="Q2118" s="69"/>
      <c r="R2118" s="69"/>
      <c r="S2118" s="69"/>
    </row>
    <row r="2119" s="2" customFormat="1" ht="24.95" customHeight="1" spans="1:19">
      <c r="A2119" s="15"/>
      <c r="B2119" s="55"/>
      <c r="C2119" s="56"/>
      <c r="D2119" s="68"/>
      <c r="E2119" s="69"/>
      <c r="F2119" s="69"/>
      <c r="G2119" s="65"/>
      <c r="H2119" s="65"/>
      <c r="I2119" s="70"/>
      <c r="J2119" s="71"/>
      <c r="K2119" s="71"/>
      <c r="L2119" s="72" t="str">
        <f>IFERROR(IF(G2119="","",VLOOKUP($G2119,[1]基础信息!$B:$C,2,FALSE)+SUMIF(G$8:G2119,G2119,J$8:J2119)-SUMIF(G$8:G2119,G2119,K$8:K2119)+SUMIFS([1]内部转账!$G:$G,[1]内部转账!$C:$C,"&lt;="&amp;$D2119,[1]内部转账!$E:$E,$G2119)-SUMIFS([1]内部转账!$G:$G,[1]内部转账!$C:$C,"&lt;="&amp;$D2119,[1]内部转账!$F:$F,$G2119)),"")</f>
        <v/>
      </c>
      <c r="M2119" s="64"/>
      <c r="N2119" s="69"/>
      <c r="O2119" s="64"/>
      <c r="P2119" s="64"/>
      <c r="Q2119" s="69"/>
      <c r="R2119" s="69"/>
      <c r="S2119" s="69"/>
    </row>
    <row r="2120" s="2" customFormat="1" ht="24.95" customHeight="1" spans="1:19">
      <c r="A2120" s="15"/>
      <c r="B2120" s="55"/>
      <c r="C2120" s="56"/>
      <c r="D2120" s="68"/>
      <c r="E2120" s="69"/>
      <c r="F2120" s="69"/>
      <c r="G2120" s="65"/>
      <c r="H2120" s="65"/>
      <c r="I2120" s="70"/>
      <c r="J2120" s="71"/>
      <c r="K2120" s="71"/>
      <c r="L2120" s="72" t="str">
        <f>IFERROR(IF(G2120="","",VLOOKUP($G2120,[1]基础信息!$B:$C,2,FALSE)+SUMIF(G$8:G2120,G2120,J$8:J2120)-SUMIF(G$8:G2120,G2120,K$8:K2120)+SUMIFS([1]内部转账!$G:$G,[1]内部转账!$C:$C,"&lt;="&amp;$D2120,[1]内部转账!$E:$E,$G2120)-SUMIFS([1]内部转账!$G:$G,[1]内部转账!$C:$C,"&lt;="&amp;$D2120,[1]内部转账!$F:$F,$G2120)),"")</f>
        <v/>
      </c>
      <c r="M2120" s="64"/>
      <c r="N2120" s="69"/>
      <c r="O2120" s="64"/>
      <c r="P2120" s="64"/>
      <c r="Q2120" s="69"/>
      <c r="R2120" s="69"/>
      <c r="S2120" s="69"/>
    </row>
    <row r="2121" s="2" customFormat="1" ht="24.95" customHeight="1" spans="1:19">
      <c r="A2121" s="15"/>
      <c r="B2121" s="55"/>
      <c r="C2121" s="56"/>
      <c r="D2121" s="68"/>
      <c r="E2121" s="69"/>
      <c r="F2121" s="69"/>
      <c r="G2121" s="65"/>
      <c r="H2121" s="65"/>
      <c r="I2121" s="70"/>
      <c r="J2121" s="71"/>
      <c r="K2121" s="71"/>
      <c r="L2121" s="72" t="str">
        <f>IFERROR(IF(G2121="","",VLOOKUP($G2121,[1]基础信息!$B:$C,2,FALSE)+SUMIF(G$8:G2121,G2121,J$8:J2121)-SUMIF(G$8:G2121,G2121,K$8:K2121)+SUMIFS([1]内部转账!$G:$G,[1]内部转账!$C:$C,"&lt;="&amp;$D2121,[1]内部转账!$E:$E,$G2121)-SUMIFS([1]内部转账!$G:$G,[1]内部转账!$C:$C,"&lt;="&amp;$D2121,[1]内部转账!$F:$F,$G2121)),"")</f>
        <v/>
      </c>
      <c r="M2121" s="64"/>
      <c r="N2121" s="69"/>
      <c r="O2121" s="64"/>
      <c r="P2121" s="64"/>
      <c r="Q2121" s="69"/>
      <c r="R2121" s="69"/>
      <c r="S2121" s="69"/>
    </row>
    <row r="2122" s="2" customFormat="1" ht="24.95" customHeight="1" spans="1:19">
      <c r="A2122" s="15"/>
      <c r="B2122" s="55"/>
      <c r="C2122" s="56"/>
      <c r="D2122" s="68"/>
      <c r="E2122" s="69"/>
      <c r="F2122" s="69"/>
      <c r="G2122" s="65"/>
      <c r="H2122" s="65"/>
      <c r="I2122" s="70"/>
      <c r="J2122" s="71"/>
      <c r="K2122" s="71"/>
      <c r="L2122" s="72" t="str">
        <f>IFERROR(IF(G2122="","",VLOOKUP($G2122,[1]基础信息!$B:$C,2,FALSE)+SUMIF(G$8:G2122,G2122,J$8:J2122)-SUMIF(G$8:G2122,G2122,K$8:K2122)+SUMIFS([1]内部转账!$G:$G,[1]内部转账!$C:$C,"&lt;="&amp;$D2122,[1]内部转账!$E:$E,$G2122)-SUMIFS([1]内部转账!$G:$G,[1]内部转账!$C:$C,"&lt;="&amp;$D2122,[1]内部转账!$F:$F,$G2122)),"")</f>
        <v/>
      </c>
      <c r="M2122" s="64"/>
      <c r="N2122" s="69"/>
      <c r="O2122" s="64"/>
      <c r="P2122" s="64"/>
      <c r="Q2122" s="69"/>
      <c r="R2122" s="69"/>
      <c r="S2122" s="69"/>
    </row>
    <row r="2123" s="2" customFormat="1" ht="24.95" customHeight="1" spans="1:19">
      <c r="A2123" s="15"/>
      <c r="B2123" s="55"/>
      <c r="C2123" s="56"/>
      <c r="D2123" s="68"/>
      <c r="E2123" s="69"/>
      <c r="F2123" s="69"/>
      <c r="G2123" s="65"/>
      <c r="H2123" s="65"/>
      <c r="I2123" s="70"/>
      <c r="J2123" s="71"/>
      <c r="K2123" s="71"/>
      <c r="L2123" s="72" t="str">
        <f>IFERROR(IF(G2123="","",VLOOKUP($G2123,[1]基础信息!$B:$C,2,FALSE)+SUMIF(G$8:G2123,G2123,J$8:J2123)-SUMIF(G$8:G2123,G2123,K$8:K2123)+SUMIFS([1]内部转账!$G:$G,[1]内部转账!$C:$C,"&lt;="&amp;$D2123,[1]内部转账!$E:$E,$G2123)-SUMIFS([1]内部转账!$G:$G,[1]内部转账!$C:$C,"&lt;="&amp;$D2123,[1]内部转账!$F:$F,$G2123)),"")</f>
        <v/>
      </c>
      <c r="M2123" s="64"/>
      <c r="N2123" s="69"/>
      <c r="O2123" s="64"/>
      <c r="P2123" s="64"/>
      <c r="Q2123" s="69"/>
      <c r="R2123" s="69"/>
      <c r="S2123" s="69"/>
    </row>
    <row r="2124" s="2" customFormat="1" ht="24.95" customHeight="1" spans="1:19">
      <c r="A2124" s="15"/>
      <c r="B2124" s="55"/>
      <c r="C2124" s="56"/>
      <c r="D2124" s="68"/>
      <c r="E2124" s="69"/>
      <c r="F2124" s="69"/>
      <c r="G2124" s="65"/>
      <c r="H2124" s="65"/>
      <c r="I2124" s="70"/>
      <c r="J2124" s="71"/>
      <c r="K2124" s="71"/>
      <c r="L2124" s="72" t="str">
        <f>IFERROR(IF(G2124="","",VLOOKUP($G2124,[1]基础信息!$B:$C,2,FALSE)+SUMIF(G$8:G2124,G2124,J$8:J2124)-SUMIF(G$8:G2124,G2124,K$8:K2124)+SUMIFS([1]内部转账!$G:$G,[1]内部转账!$C:$C,"&lt;="&amp;$D2124,[1]内部转账!$E:$E,$G2124)-SUMIFS([1]内部转账!$G:$G,[1]内部转账!$C:$C,"&lt;="&amp;$D2124,[1]内部转账!$F:$F,$G2124)),"")</f>
        <v/>
      </c>
      <c r="M2124" s="64"/>
      <c r="N2124" s="69"/>
      <c r="O2124" s="64"/>
      <c r="P2124" s="64"/>
      <c r="Q2124" s="69"/>
      <c r="R2124" s="69"/>
      <c r="S2124" s="69"/>
    </row>
    <row r="2125" s="2" customFormat="1" ht="24.95" customHeight="1" spans="1:19">
      <c r="A2125" s="15"/>
      <c r="B2125" s="55"/>
      <c r="C2125" s="56"/>
      <c r="D2125" s="68"/>
      <c r="E2125" s="69"/>
      <c r="F2125" s="69"/>
      <c r="G2125" s="65"/>
      <c r="H2125" s="65"/>
      <c r="I2125" s="70"/>
      <c r="J2125" s="71"/>
      <c r="K2125" s="71"/>
      <c r="L2125" s="72" t="str">
        <f>IFERROR(IF(G2125="","",VLOOKUP($G2125,[1]基础信息!$B:$C,2,FALSE)+SUMIF(G$8:G2125,G2125,J$8:J2125)-SUMIF(G$8:G2125,G2125,K$8:K2125)+SUMIFS([1]内部转账!$G:$G,[1]内部转账!$C:$C,"&lt;="&amp;$D2125,[1]内部转账!$E:$E,$G2125)-SUMIFS([1]内部转账!$G:$G,[1]内部转账!$C:$C,"&lt;="&amp;$D2125,[1]内部转账!$F:$F,$G2125)),"")</f>
        <v/>
      </c>
      <c r="M2125" s="64"/>
      <c r="N2125" s="69"/>
      <c r="O2125" s="64"/>
      <c r="P2125" s="64"/>
      <c r="Q2125" s="69"/>
      <c r="R2125" s="69"/>
      <c r="S2125" s="69"/>
    </row>
    <row r="2126" s="2" customFormat="1" ht="24.95" customHeight="1" spans="1:19">
      <c r="A2126" s="15"/>
      <c r="B2126" s="55"/>
      <c r="C2126" s="56"/>
      <c r="D2126" s="68"/>
      <c r="E2126" s="69"/>
      <c r="F2126" s="69"/>
      <c r="G2126" s="65"/>
      <c r="H2126" s="65"/>
      <c r="I2126" s="70"/>
      <c r="J2126" s="71"/>
      <c r="K2126" s="71"/>
      <c r="L2126" s="72" t="str">
        <f>IFERROR(IF(G2126="","",VLOOKUP($G2126,[1]基础信息!$B:$C,2,FALSE)+SUMIF(G$8:G2126,G2126,J$8:J2126)-SUMIF(G$8:G2126,G2126,K$8:K2126)+SUMIFS([1]内部转账!$G:$G,[1]内部转账!$C:$C,"&lt;="&amp;$D2126,[1]内部转账!$E:$E,$G2126)-SUMIFS([1]内部转账!$G:$G,[1]内部转账!$C:$C,"&lt;="&amp;$D2126,[1]内部转账!$F:$F,$G2126)),"")</f>
        <v/>
      </c>
      <c r="M2126" s="64"/>
      <c r="N2126" s="69"/>
      <c r="O2126" s="64"/>
      <c r="P2126" s="64"/>
      <c r="Q2126" s="69"/>
      <c r="R2126" s="69"/>
      <c r="S2126" s="69"/>
    </row>
    <row r="2127" s="2" customFormat="1" ht="24.95" customHeight="1" spans="1:19">
      <c r="A2127" s="15"/>
      <c r="B2127" s="55"/>
      <c r="C2127" s="56"/>
      <c r="D2127" s="68"/>
      <c r="E2127" s="69"/>
      <c r="F2127" s="69"/>
      <c r="G2127" s="65"/>
      <c r="H2127" s="65"/>
      <c r="I2127" s="70"/>
      <c r="J2127" s="71"/>
      <c r="K2127" s="71"/>
      <c r="L2127" s="72" t="str">
        <f>IFERROR(IF(G2127="","",VLOOKUP($G2127,[1]基础信息!$B:$C,2,FALSE)+SUMIF(G$8:G2127,G2127,J$8:J2127)-SUMIF(G$8:G2127,G2127,K$8:K2127)+SUMIFS([1]内部转账!$G:$G,[1]内部转账!$C:$C,"&lt;="&amp;$D2127,[1]内部转账!$E:$E,$G2127)-SUMIFS([1]内部转账!$G:$G,[1]内部转账!$C:$C,"&lt;="&amp;$D2127,[1]内部转账!$F:$F,$G2127)),"")</f>
        <v/>
      </c>
      <c r="M2127" s="64"/>
      <c r="N2127" s="69"/>
      <c r="O2127" s="64"/>
      <c r="P2127" s="64"/>
      <c r="Q2127" s="69"/>
      <c r="R2127" s="69"/>
      <c r="S2127" s="69"/>
    </row>
    <row r="2128" s="2" customFormat="1" ht="24.95" customHeight="1" spans="1:19">
      <c r="A2128" s="15"/>
      <c r="B2128" s="55"/>
      <c r="C2128" s="56"/>
      <c r="D2128" s="68"/>
      <c r="E2128" s="69"/>
      <c r="F2128" s="69"/>
      <c r="G2128" s="65"/>
      <c r="H2128" s="65"/>
      <c r="I2128" s="70"/>
      <c r="J2128" s="71"/>
      <c r="K2128" s="71"/>
      <c r="L2128" s="72" t="str">
        <f>IFERROR(IF(G2128="","",VLOOKUP($G2128,[1]基础信息!$B:$C,2,FALSE)+SUMIF(G$8:G2128,G2128,J$8:J2128)-SUMIF(G$8:G2128,G2128,K$8:K2128)+SUMIFS([1]内部转账!$G:$G,[1]内部转账!$C:$C,"&lt;="&amp;$D2128,[1]内部转账!$E:$E,$G2128)-SUMIFS([1]内部转账!$G:$G,[1]内部转账!$C:$C,"&lt;="&amp;$D2128,[1]内部转账!$F:$F,$G2128)),"")</f>
        <v/>
      </c>
      <c r="M2128" s="64"/>
      <c r="N2128" s="69"/>
      <c r="O2128" s="64"/>
      <c r="P2128" s="64"/>
      <c r="Q2128" s="69"/>
      <c r="R2128" s="69"/>
      <c r="S2128" s="69"/>
    </row>
    <row r="2129" s="2" customFormat="1" ht="24.95" customHeight="1" spans="1:19">
      <c r="A2129" s="15"/>
      <c r="B2129" s="55"/>
      <c r="C2129" s="56"/>
      <c r="D2129" s="68"/>
      <c r="E2129" s="69"/>
      <c r="F2129" s="69"/>
      <c r="G2129" s="65"/>
      <c r="H2129" s="65"/>
      <c r="I2129" s="70"/>
      <c r="J2129" s="71"/>
      <c r="K2129" s="71"/>
      <c r="L2129" s="72" t="str">
        <f>IFERROR(IF(G2129="","",VLOOKUP($G2129,[1]基础信息!$B:$C,2,FALSE)+SUMIF(G$8:G2129,G2129,J$8:J2129)-SUMIF(G$8:G2129,G2129,K$8:K2129)+SUMIFS([1]内部转账!$G:$G,[1]内部转账!$C:$C,"&lt;="&amp;$D2129,[1]内部转账!$E:$E,$G2129)-SUMIFS([1]内部转账!$G:$G,[1]内部转账!$C:$C,"&lt;="&amp;$D2129,[1]内部转账!$F:$F,$G2129)),"")</f>
        <v/>
      </c>
      <c r="M2129" s="64"/>
      <c r="N2129" s="69"/>
      <c r="O2129" s="64"/>
      <c r="P2129" s="64"/>
      <c r="Q2129" s="69"/>
      <c r="R2129" s="69"/>
      <c r="S2129" s="69"/>
    </row>
    <row r="2130" s="2" customFormat="1" ht="24.95" customHeight="1" spans="1:19">
      <c r="A2130" s="15"/>
      <c r="B2130" s="55"/>
      <c r="C2130" s="56"/>
      <c r="D2130" s="68"/>
      <c r="E2130" s="69"/>
      <c r="F2130" s="69"/>
      <c r="G2130" s="65"/>
      <c r="H2130" s="65"/>
      <c r="I2130" s="70"/>
      <c r="J2130" s="71"/>
      <c r="K2130" s="71"/>
      <c r="L2130" s="72" t="str">
        <f>IFERROR(IF(G2130="","",VLOOKUP($G2130,[1]基础信息!$B:$C,2,FALSE)+SUMIF(G$8:G2130,G2130,J$8:J2130)-SUMIF(G$8:G2130,G2130,K$8:K2130)+SUMIFS([1]内部转账!$G:$G,[1]内部转账!$C:$C,"&lt;="&amp;$D2130,[1]内部转账!$E:$E,$G2130)-SUMIFS([1]内部转账!$G:$G,[1]内部转账!$C:$C,"&lt;="&amp;$D2130,[1]内部转账!$F:$F,$G2130)),"")</f>
        <v/>
      </c>
      <c r="M2130" s="64"/>
      <c r="N2130" s="69"/>
      <c r="O2130" s="64"/>
      <c r="P2130" s="64"/>
      <c r="Q2130" s="69"/>
      <c r="R2130" s="69"/>
      <c r="S2130" s="69"/>
    </row>
    <row r="2131" s="2" customFormat="1" ht="24.95" customHeight="1" spans="1:19">
      <c r="A2131" s="15"/>
      <c r="B2131" s="55"/>
      <c r="C2131" s="56"/>
      <c r="D2131" s="68"/>
      <c r="E2131" s="69"/>
      <c r="F2131" s="69"/>
      <c r="G2131" s="65"/>
      <c r="H2131" s="65"/>
      <c r="I2131" s="70"/>
      <c r="J2131" s="71"/>
      <c r="K2131" s="71"/>
      <c r="L2131" s="72" t="str">
        <f>IFERROR(IF(G2131="","",VLOOKUP($G2131,[1]基础信息!$B:$C,2,FALSE)+SUMIF(G$8:G2131,G2131,J$8:J2131)-SUMIF(G$8:G2131,G2131,K$8:K2131)+SUMIFS([1]内部转账!$G:$G,[1]内部转账!$C:$C,"&lt;="&amp;$D2131,[1]内部转账!$E:$E,$G2131)-SUMIFS([1]内部转账!$G:$G,[1]内部转账!$C:$C,"&lt;="&amp;$D2131,[1]内部转账!$F:$F,$G2131)),"")</f>
        <v/>
      </c>
      <c r="M2131" s="64"/>
      <c r="N2131" s="69"/>
      <c r="O2131" s="64"/>
      <c r="P2131" s="64"/>
      <c r="Q2131" s="69"/>
      <c r="R2131" s="69"/>
      <c r="S2131" s="69"/>
    </row>
    <row r="2132" s="2" customFormat="1" ht="24.95" customHeight="1" spans="1:19">
      <c r="A2132" s="15"/>
      <c r="B2132" s="55"/>
      <c r="C2132" s="56"/>
      <c r="D2132" s="68"/>
      <c r="E2132" s="69"/>
      <c r="F2132" s="69"/>
      <c r="G2132" s="65"/>
      <c r="H2132" s="65"/>
      <c r="I2132" s="70"/>
      <c r="J2132" s="71"/>
      <c r="K2132" s="71"/>
      <c r="L2132" s="72" t="str">
        <f>IFERROR(IF(G2132="","",VLOOKUP($G2132,[1]基础信息!$B:$C,2,FALSE)+SUMIF(G$8:G2132,G2132,J$8:J2132)-SUMIF(G$8:G2132,G2132,K$8:K2132)+SUMIFS([1]内部转账!$G:$G,[1]内部转账!$C:$C,"&lt;="&amp;$D2132,[1]内部转账!$E:$E,$G2132)-SUMIFS([1]内部转账!$G:$G,[1]内部转账!$C:$C,"&lt;="&amp;$D2132,[1]内部转账!$F:$F,$G2132)),"")</f>
        <v/>
      </c>
      <c r="M2132" s="64"/>
      <c r="N2132" s="69"/>
      <c r="O2132" s="64"/>
      <c r="P2132" s="64"/>
      <c r="Q2132" s="69"/>
      <c r="R2132" s="69"/>
      <c r="S2132" s="69"/>
    </row>
    <row r="2133" s="2" customFormat="1" ht="24.95" customHeight="1" spans="1:19">
      <c r="A2133" s="15"/>
      <c r="B2133" s="55"/>
      <c r="C2133" s="56"/>
      <c r="D2133" s="68"/>
      <c r="E2133" s="69"/>
      <c r="F2133" s="69"/>
      <c r="G2133" s="65"/>
      <c r="H2133" s="65"/>
      <c r="I2133" s="70"/>
      <c r="J2133" s="71"/>
      <c r="K2133" s="71"/>
      <c r="L2133" s="72" t="str">
        <f>IFERROR(IF(G2133="","",VLOOKUP($G2133,[1]基础信息!$B:$C,2,FALSE)+SUMIF(G$8:G2133,G2133,J$8:J2133)-SUMIF(G$8:G2133,G2133,K$8:K2133)+SUMIFS([1]内部转账!$G:$G,[1]内部转账!$C:$C,"&lt;="&amp;$D2133,[1]内部转账!$E:$E,$G2133)-SUMIFS([1]内部转账!$G:$G,[1]内部转账!$C:$C,"&lt;="&amp;$D2133,[1]内部转账!$F:$F,$G2133)),"")</f>
        <v/>
      </c>
      <c r="M2133" s="64"/>
      <c r="N2133" s="69"/>
      <c r="O2133" s="64"/>
      <c r="P2133" s="64"/>
      <c r="Q2133" s="69"/>
      <c r="R2133" s="69"/>
      <c r="S2133" s="69"/>
    </row>
    <row r="2134" s="2" customFormat="1" ht="24.95" customHeight="1" spans="1:19">
      <c r="A2134" s="15"/>
      <c r="B2134" s="55"/>
      <c r="C2134" s="56"/>
      <c r="D2134" s="68"/>
      <c r="E2134" s="69"/>
      <c r="F2134" s="69"/>
      <c r="G2134" s="65"/>
      <c r="H2134" s="65"/>
      <c r="I2134" s="70"/>
      <c r="J2134" s="71"/>
      <c r="K2134" s="71"/>
      <c r="L2134" s="72" t="str">
        <f>IFERROR(IF(G2134="","",VLOOKUP($G2134,[1]基础信息!$B:$C,2,FALSE)+SUMIF(G$8:G2134,G2134,J$8:J2134)-SUMIF(G$8:G2134,G2134,K$8:K2134)+SUMIFS([1]内部转账!$G:$G,[1]内部转账!$C:$C,"&lt;="&amp;$D2134,[1]内部转账!$E:$E,$G2134)-SUMIFS([1]内部转账!$G:$G,[1]内部转账!$C:$C,"&lt;="&amp;$D2134,[1]内部转账!$F:$F,$G2134)),"")</f>
        <v/>
      </c>
      <c r="M2134" s="64"/>
      <c r="N2134" s="69"/>
      <c r="O2134" s="64"/>
      <c r="P2134" s="64"/>
      <c r="Q2134" s="69"/>
      <c r="R2134" s="69"/>
      <c r="S2134" s="69"/>
    </row>
    <row r="2135" s="2" customFormat="1" ht="24.95" customHeight="1" spans="1:19">
      <c r="A2135" s="15"/>
      <c r="B2135" s="55"/>
      <c r="C2135" s="56"/>
      <c r="D2135" s="68"/>
      <c r="E2135" s="69"/>
      <c r="F2135" s="69"/>
      <c r="G2135" s="65"/>
      <c r="H2135" s="65"/>
      <c r="I2135" s="70"/>
      <c r="J2135" s="71"/>
      <c r="K2135" s="71"/>
      <c r="L2135" s="72" t="str">
        <f>IFERROR(IF(G2135="","",VLOOKUP($G2135,[1]基础信息!$B:$C,2,FALSE)+SUMIF(G$8:G2135,G2135,J$8:J2135)-SUMIF(G$8:G2135,G2135,K$8:K2135)+SUMIFS([1]内部转账!$G:$G,[1]内部转账!$C:$C,"&lt;="&amp;$D2135,[1]内部转账!$E:$E,$G2135)-SUMIFS([1]内部转账!$G:$G,[1]内部转账!$C:$C,"&lt;="&amp;$D2135,[1]内部转账!$F:$F,$G2135)),"")</f>
        <v/>
      </c>
      <c r="M2135" s="64"/>
      <c r="N2135" s="69"/>
      <c r="O2135" s="64"/>
      <c r="P2135" s="64"/>
      <c r="Q2135" s="69"/>
      <c r="R2135" s="69"/>
      <c r="S2135" s="69"/>
    </row>
    <row r="2136" s="2" customFormat="1" ht="24.95" customHeight="1" spans="1:19">
      <c r="A2136" s="15"/>
      <c r="B2136" s="55"/>
      <c r="C2136" s="56"/>
      <c r="D2136" s="68"/>
      <c r="E2136" s="69"/>
      <c r="F2136" s="69"/>
      <c r="G2136" s="65"/>
      <c r="H2136" s="65"/>
      <c r="I2136" s="70"/>
      <c r="J2136" s="71"/>
      <c r="K2136" s="71"/>
      <c r="L2136" s="72" t="str">
        <f>IFERROR(IF(G2136="","",VLOOKUP($G2136,[1]基础信息!$B:$C,2,FALSE)+SUMIF(G$8:G2136,G2136,J$8:J2136)-SUMIF(G$8:G2136,G2136,K$8:K2136)+SUMIFS([1]内部转账!$G:$G,[1]内部转账!$C:$C,"&lt;="&amp;$D2136,[1]内部转账!$E:$E,$G2136)-SUMIFS([1]内部转账!$G:$G,[1]内部转账!$C:$C,"&lt;="&amp;$D2136,[1]内部转账!$F:$F,$G2136)),"")</f>
        <v/>
      </c>
      <c r="M2136" s="64"/>
      <c r="N2136" s="69"/>
      <c r="O2136" s="64"/>
      <c r="P2136" s="64"/>
      <c r="Q2136" s="69"/>
      <c r="R2136" s="69"/>
      <c r="S2136" s="69"/>
    </row>
    <row r="2137" s="2" customFormat="1" ht="24.95" customHeight="1" spans="1:19">
      <c r="A2137" s="15"/>
      <c r="B2137" s="55"/>
      <c r="C2137" s="56"/>
      <c r="D2137" s="68"/>
      <c r="E2137" s="69"/>
      <c r="F2137" s="69"/>
      <c r="G2137" s="65"/>
      <c r="H2137" s="65"/>
      <c r="I2137" s="70"/>
      <c r="J2137" s="71"/>
      <c r="K2137" s="71"/>
      <c r="L2137" s="72" t="str">
        <f>IFERROR(IF(G2137="","",VLOOKUP($G2137,[1]基础信息!$B:$C,2,FALSE)+SUMIF(G$8:G2137,G2137,J$8:J2137)-SUMIF(G$8:G2137,G2137,K$8:K2137)+SUMIFS([1]内部转账!$G:$G,[1]内部转账!$C:$C,"&lt;="&amp;$D2137,[1]内部转账!$E:$E,$G2137)-SUMIFS([1]内部转账!$G:$G,[1]内部转账!$C:$C,"&lt;="&amp;$D2137,[1]内部转账!$F:$F,$G2137)),"")</f>
        <v/>
      </c>
      <c r="M2137" s="64"/>
      <c r="N2137" s="69"/>
      <c r="O2137" s="64"/>
      <c r="P2137" s="64"/>
      <c r="Q2137" s="69"/>
      <c r="R2137" s="69"/>
      <c r="S2137" s="69"/>
    </row>
    <row r="2138" s="2" customFormat="1" ht="24.95" customHeight="1" spans="1:19">
      <c r="A2138" s="15"/>
      <c r="B2138" s="55"/>
      <c r="C2138" s="56"/>
      <c r="D2138" s="68"/>
      <c r="E2138" s="69"/>
      <c r="F2138" s="69"/>
      <c r="G2138" s="65"/>
      <c r="H2138" s="65"/>
      <c r="I2138" s="70"/>
      <c r="J2138" s="71"/>
      <c r="K2138" s="71"/>
      <c r="L2138" s="72" t="str">
        <f>IFERROR(IF(G2138="","",VLOOKUP($G2138,[1]基础信息!$B:$C,2,FALSE)+SUMIF(G$8:G2138,G2138,J$8:J2138)-SUMIF(G$8:G2138,G2138,K$8:K2138)+SUMIFS([1]内部转账!$G:$G,[1]内部转账!$C:$C,"&lt;="&amp;$D2138,[1]内部转账!$E:$E,$G2138)-SUMIFS([1]内部转账!$G:$G,[1]内部转账!$C:$C,"&lt;="&amp;$D2138,[1]内部转账!$F:$F,$G2138)),"")</f>
        <v/>
      </c>
      <c r="M2138" s="64"/>
      <c r="N2138" s="69"/>
      <c r="O2138" s="64"/>
      <c r="P2138" s="64"/>
      <c r="Q2138" s="69"/>
      <c r="R2138" s="69"/>
      <c r="S2138" s="69"/>
    </row>
    <row r="2139" s="2" customFormat="1" ht="24.95" customHeight="1" spans="1:19">
      <c r="A2139" s="15"/>
      <c r="B2139" s="55"/>
      <c r="C2139" s="56"/>
      <c r="D2139" s="68"/>
      <c r="E2139" s="69"/>
      <c r="F2139" s="69"/>
      <c r="G2139" s="65"/>
      <c r="H2139" s="65"/>
      <c r="I2139" s="70"/>
      <c r="J2139" s="71"/>
      <c r="K2139" s="71"/>
      <c r="L2139" s="72" t="str">
        <f>IFERROR(IF(G2139="","",VLOOKUP($G2139,[1]基础信息!$B:$C,2,FALSE)+SUMIF(G$8:G2139,G2139,J$8:J2139)-SUMIF(G$8:G2139,G2139,K$8:K2139)+SUMIFS([1]内部转账!$G:$G,[1]内部转账!$C:$C,"&lt;="&amp;$D2139,[1]内部转账!$E:$E,$G2139)-SUMIFS([1]内部转账!$G:$G,[1]内部转账!$C:$C,"&lt;="&amp;$D2139,[1]内部转账!$F:$F,$G2139)),"")</f>
        <v/>
      </c>
      <c r="M2139" s="64"/>
      <c r="N2139" s="69"/>
      <c r="O2139" s="64"/>
      <c r="P2139" s="64"/>
      <c r="Q2139" s="69"/>
      <c r="R2139" s="69"/>
      <c r="S2139" s="69"/>
    </row>
    <row r="2140" s="2" customFormat="1" ht="24.95" customHeight="1" spans="1:19">
      <c r="A2140" s="15"/>
      <c r="B2140" s="55"/>
      <c r="C2140" s="56"/>
      <c r="D2140" s="68"/>
      <c r="E2140" s="69"/>
      <c r="F2140" s="69"/>
      <c r="G2140" s="65"/>
      <c r="H2140" s="65"/>
      <c r="I2140" s="70"/>
      <c r="J2140" s="71"/>
      <c r="K2140" s="71"/>
      <c r="L2140" s="72" t="str">
        <f>IFERROR(IF(G2140="","",VLOOKUP($G2140,[1]基础信息!$B:$C,2,FALSE)+SUMIF(G$8:G2140,G2140,J$8:J2140)-SUMIF(G$8:G2140,G2140,K$8:K2140)+SUMIFS([1]内部转账!$G:$G,[1]内部转账!$C:$C,"&lt;="&amp;$D2140,[1]内部转账!$E:$E,$G2140)-SUMIFS([1]内部转账!$G:$G,[1]内部转账!$C:$C,"&lt;="&amp;$D2140,[1]内部转账!$F:$F,$G2140)),"")</f>
        <v/>
      </c>
      <c r="M2140" s="64"/>
      <c r="N2140" s="69"/>
      <c r="O2140" s="64"/>
      <c r="P2140" s="64"/>
      <c r="Q2140" s="69"/>
      <c r="R2140" s="69"/>
      <c r="S2140" s="69"/>
    </row>
    <row r="2141" s="2" customFormat="1" ht="24.95" customHeight="1" spans="1:19">
      <c r="A2141" s="15"/>
      <c r="B2141" s="55"/>
      <c r="C2141" s="56"/>
      <c r="D2141" s="68"/>
      <c r="E2141" s="69"/>
      <c r="F2141" s="69"/>
      <c r="G2141" s="65"/>
      <c r="H2141" s="65"/>
      <c r="I2141" s="70"/>
      <c r="J2141" s="71"/>
      <c r="K2141" s="71"/>
      <c r="L2141" s="72" t="str">
        <f>IFERROR(IF(G2141="","",VLOOKUP($G2141,[1]基础信息!$B:$C,2,FALSE)+SUMIF(G$8:G2141,G2141,J$8:J2141)-SUMIF(G$8:G2141,G2141,K$8:K2141)+SUMIFS([1]内部转账!$G:$G,[1]内部转账!$C:$C,"&lt;="&amp;$D2141,[1]内部转账!$E:$E,$G2141)-SUMIFS([1]内部转账!$G:$G,[1]内部转账!$C:$C,"&lt;="&amp;$D2141,[1]内部转账!$F:$F,$G2141)),"")</f>
        <v/>
      </c>
      <c r="M2141" s="64"/>
      <c r="N2141" s="69"/>
      <c r="O2141" s="64"/>
      <c r="P2141" s="64"/>
      <c r="Q2141" s="69"/>
      <c r="R2141" s="69"/>
      <c r="S2141" s="69"/>
    </row>
    <row r="2142" s="2" customFormat="1" ht="24.95" customHeight="1" spans="1:19">
      <c r="A2142" s="15"/>
      <c r="B2142" s="55"/>
      <c r="C2142" s="56"/>
      <c r="D2142" s="68"/>
      <c r="E2142" s="69"/>
      <c r="F2142" s="69"/>
      <c r="G2142" s="65"/>
      <c r="H2142" s="65"/>
      <c r="I2142" s="70"/>
      <c r="J2142" s="71"/>
      <c r="K2142" s="71"/>
      <c r="L2142" s="72" t="str">
        <f>IFERROR(IF(G2142="","",VLOOKUP($G2142,[1]基础信息!$B:$C,2,FALSE)+SUMIF(G$8:G2142,G2142,J$8:J2142)-SUMIF(G$8:G2142,G2142,K$8:K2142)+SUMIFS([1]内部转账!$G:$G,[1]内部转账!$C:$C,"&lt;="&amp;$D2142,[1]内部转账!$E:$E,$G2142)-SUMIFS([1]内部转账!$G:$G,[1]内部转账!$C:$C,"&lt;="&amp;$D2142,[1]内部转账!$F:$F,$G2142)),"")</f>
        <v/>
      </c>
      <c r="M2142" s="64"/>
      <c r="N2142" s="69"/>
      <c r="O2142" s="64"/>
      <c r="P2142" s="64"/>
      <c r="Q2142" s="69"/>
      <c r="R2142" s="69"/>
      <c r="S2142" s="69"/>
    </row>
    <row r="2143" s="2" customFormat="1" ht="24.95" customHeight="1" spans="1:19">
      <c r="A2143" s="15"/>
      <c r="B2143" s="55"/>
      <c r="C2143" s="56"/>
      <c r="D2143" s="68"/>
      <c r="E2143" s="69"/>
      <c r="F2143" s="69"/>
      <c r="G2143" s="65"/>
      <c r="H2143" s="65"/>
      <c r="I2143" s="70"/>
      <c r="J2143" s="71"/>
      <c r="K2143" s="71"/>
      <c r="L2143" s="72" t="str">
        <f>IFERROR(IF(G2143="","",VLOOKUP($G2143,[1]基础信息!$B:$C,2,FALSE)+SUMIF(G$8:G2143,G2143,J$8:J2143)-SUMIF(G$8:G2143,G2143,K$8:K2143)+SUMIFS([1]内部转账!$G:$G,[1]内部转账!$C:$C,"&lt;="&amp;$D2143,[1]内部转账!$E:$E,$G2143)-SUMIFS([1]内部转账!$G:$G,[1]内部转账!$C:$C,"&lt;="&amp;$D2143,[1]内部转账!$F:$F,$G2143)),"")</f>
        <v/>
      </c>
      <c r="M2143" s="64"/>
      <c r="N2143" s="69"/>
      <c r="O2143" s="64"/>
      <c r="P2143" s="64"/>
      <c r="Q2143" s="69"/>
      <c r="R2143" s="69"/>
      <c r="S2143" s="69"/>
    </row>
    <row r="2144" s="2" customFormat="1" ht="24.95" customHeight="1" spans="1:19">
      <c r="A2144" s="15"/>
      <c r="B2144" s="55"/>
      <c r="C2144" s="56"/>
      <c r="D2144" s="68"/>
      <c r="E2144" s="69"/>
      <c r="F2144" s="69"/>
      <c r="G2144" s="65"/>
      <c r="H2144" s="65"/>
      <c r="I2144" s="70"/>
      <c r="J2144" s="71"/>
      <c r="K2144" s="71"/>
      <c r="L2144" s="72" t="str">
        <f>IFERROR(IF(G2144="","",VLOOKUP($G2144,[1]基础信息!$B:$C,2,FALSE)+SUMIF(G$8:G2144,G2144,J$8:J2144)-SUMIF(G$8:G2144,G2144,K$8:K2144)+SUMIFS([1]内部转账!$G:$G,[1]内部转账!$C:$C,"&lt;="&amp;$D2144,[1]内部转账!$E:$E,$G2144)-SUMIFS([1]内部转账!$G:$G,[1]内部转账!$C:$C,"&lt;="&amp;$D2144,[1]内部转账!$F:$F,$G2144)),"")</f>
        <v/>
      </c>
      <c r="M2144" s="64"/>
      <c r="N2144" s="69"/>
      <c r="O2144" s="64"/>
      <c r="P2144" s="64"/>
      <c r="Q2144" s="69"/>
      <c r="R2144" s="69"/>
      <c r="S2144" s="69"/>
    </row>
    <row r="2145" s="2" customFormat="1" ht="24.95" customHeight="1" spans="1:19">
      <c r="A2145" s="15"/>
      <c r="B2145" s="55"/>
      <c r="C2145" s="56"/>
      <c r="D2145" s="68"/>
      <c r="E2145" s="69"/>
      <c r="F2145" s="69"/>
      <c r="G2145" s="65"/>
      <c r="H2145" s="65"/>
      <c r="I2145" s="70"/>
      <c r="J2145" s="71"/>
      <c r="K2145" s="71"/>
      <c r="L2145" s="72" t="str">
        <f>IFERROR(IF(G2145="","",VLOOKUP($G2145,[1]基础信息!$B:$C,2,FALSE)+SUMIF(G$8:G2145,G2145,J$8:J2145)-SUMIF(G$8:G2145,G2145,K$8:K2145)+SUMIFS([1]内部转账!$G:$G,[1]内部转账!$C:$C,"&lt;="&amp;$D2145,[1]内部转账!$E:$E,$G2145)-SUMIFS([1]内部转账!$G:$G,[1]内部转账!$C:$C,"&lt;="&amp;$D2145,[1]内部转账!$F:$F,$G2145)),"")</f>
        <v/>
      </c>
      <c r="M2145" s="64"/>
      <c r="N2145" s="69"/>
      <c r="O2145" s="64"/>
      <c r="P2145" s="64"/>
      <c r="Q2145" s="69"/>
      <c r="R2145" s="69"/>
      <c r="S2145" s="69"/>
    </row>
    <row r="2146" s="2" customFormat="1" ht="24.95" customHeight="1" spans="1:19">
      <c r="A2146" s="15"/>
      <c r="B2146" s="55"/>
      <c r="C2146" s="56"/>
      <c r="D2146" s="68"/>
      <c r="E2146" s="69"/>
      <c r="F2146" s="69"/>
      <c r="G2146" s="65"/>
      <c r="H2146" s="65"/>
      <c r="I2146" s="70"/>
      <c r="J2146" s="71"/>
      <c r="K2146" s="71"/>
      <c r="L2146" s="72" t="str">
        <f>IFERROR(IF(G2146="","",VLOOKUP($G2146,[1]基础信息!$B:$C,2,FALSE)+SUMIF(G$8:G2146,G2146,J$8:J2146)-SUMIF(G$8:G2146,G2146,K$8:K2146)+SUMIFS([1]内部转账!$G:$G,[1]内部转账!$C:$C,"&lt;="&amp;$D2146,[1]内部转账!$E:$E,$G2146)-SUMIFS([1]内部转账!$G:$G,[1]内部转账!$C:$C,"&lt;="&amp;$D2146,[1]内部转账!$F:$F,$G2146)),"")</f>
        <v/>
      </c>
      <c r="M2146" s="64"/>
      <c r="N2146" s="69"/>
      <c r="O2146" s="64"/>
      <c r="P2146" s="64"/>
      <c r="Q2146" s="69"/>
      <c r="R2146" s="69"/>
      <c r="S2146" s="69"/>
    </row>
    <row r="2147" s="2" customFormat="1" ht="24.95" customHeight="1" spans="1:19">
      <c r="A2147" s="15"/>
      <c r="B2147" s="55"/>
      <c r="C2147" s="56"/>
      <c r="D2147" s="68"/>
      <c r="E2147" s="69"/>
      <c r="F2147" s="69"/>
      <c r="G2147" s="65"/>
      <c r="H2147" s="65"/>
      <c r="I2147" s="70"/>
      <c r="J2147" s="71"/>
      <c r="K2147" s="71"/>
      <c r="L2147" s="72" t="str">
        <f>IFERROR(IF(G2147="","",VLOOKUP($G2147,[1]基础信息!$B:$C,2,FALSE)+SUMIF(G$8:G2147,G2147,J$8:J2147)-SUMIF(G$8:G2147,G2147,K$8:K2147)+SUMIFS([1]内部转账!$G:$G,[1]内部转账!$C:$C,"&lt;="&amp;$D2147,[1]内部转账!$E:$E,$G2147)-SUMIFS([1]内部转账!$G:$G,[1]内部转账!$C:$C,"&lt;="&amp;$D2147,[1]内部转账!$F:$F,$G2147)),"")</f>
        <v/>
      </c>
      <c r="M2147" s="64"/>
      <c r="N2147" s="69"/>
      <c r="O2147" s="64"/>
      <c r="P2147" s="64"/>
      <c r="Q2147" s="69"/>
      <c r="R2147" s="69"/>
      <c r="S2147" s="69"/>
    </row>
    <row r="2148" s="2" customFormat="1" ht="24.95" customHeight="1" spans="1:19">
      <c r="A2148" s="15"/>
      <c r="B2148" s="55"/>
      <c r="C2148" s="56"/>
      <c r="D2148" s="68"/>
      <c r="E2148" s="69"/>
      <c r="F2148" s="69"/>
      <c r="G2148" s="65"/>
      <c r="H2148" s="65"/>
      <c r="I2148" s="70"/>
      <c r="J2148" s="71"/>
      <c r="K2148" s="71"/>
      <c r="L2148" s="72" t="str">
        <f>IFERROR(IF(G2148="","",VLOOKUP($G2148,[1]基础信息!$B:$C,2,FALSE)+SUMIF(G$8:G2148,G2148,J$8:J2148)-SUMIF(G$8:G2148,G2148,K$8:K2148)+SUMIFS([1]内部转账!$G:$G,[1]内部转账!$C:$C,"&lt;="&amp;$D2148,[1]内部转账!$E:$E,$G2148)-SUMIFS([1]内部转账!$G:$G,[1]内部转账!$C:$C,"&lt;="&amp;$D2148,[1]内部转账!$F:$F,$G2148)),"")</f>
        <v/>
      </c>
      <c r="M2148" s="64"/>
      <c r="N2148" s="69"/>
      <c r="O2148" s="64"/>
      <c r="P2148" s="64"/>
      <c r="Q2148" s="69"/>
      <c r="R2148" s="69"/>
      <c r="S2148" s="69"/>
    </row>
    <row r="2149" s="2" customFormat="1" ht="24.95" customHeight="1" spans="1:19">
      <c r="A2149" s="15"/>
      <c r="B2149" s="55"/>
      <c r="C2149" s="56"/>
      <c r="D2149" s="68"/>
      <c r="E2149" s="69"/>
      <c r="F2149" s="69"/>
      <c r="G2149" s="65"/>
      <c r="H2149" s="65"/>
      <c r="I2149" s="70"/>
      <c r="J2149" s="71"/>
      <c r="K2149" s="71"/>
      <c r="L2149" s="72" t="str">
        <f>IFERROR(IF(G2149="","",VLOOKUP($G2149,[1]基础信息!$B:$C,2,FALSE)+SUMIF(G$8:G2149,G2149,J$8:J2149)-SUMIF(G$8:G2149,G2149,K$8:K2149)+SUMIFS([1]内部转账!$G:$G,[1]内部转账!$C:$C,"&lt;="&amp;$D2149,[1]内部转账!$E:$E,$G2149)-SUMIFS([1]内部转账!$G:$G,[1]内部转账!$C:$C,"&lt;="&amp;$D2149,[1]内部转账!$F:$F,$G2149)),"")</f>
        <v/>
      </c>
      <c r="M2149" s="64"/>
      <c r="N2149" s="69"/>
      <c r="O2149" s="64"/>
      <c r="P2149" s="64"/>
      <c r="Q2149" s="69"/>
      <c r="R2149" s="69"/>
      <c r="S2149" s="69"/>
    </row>
    <row r="2150" s="2" customFormat="1" ht="24.95" customHeight="1" spans="1:19">
      <c r="A2150" s="15"/>
      <c r="B2150" s="55"/>
      <c r="C2150" s="56"/>
      <c r="D2150" s="68"/>
      <c r="E2150" s="69"/>
      <c r="F2150" s="69"/>
      <c r="G2150" s="65"/>
      <c r="H2150" s="65"/>
      <c r="I2150" s="70"/>
      <c r="J2150" s="71"/>
      <c r="K2150" s="71"/>
      <c r="L2150" s="72" t="str">
        <f>IFERROR(IF(G2150="","",VLOOKUP($G2150,[1]基础信息!$B:$C,2,FALSE)+SUMIF(G$8:G2150,G2150,J$8:J2150)-SUMIF(G$8:G2150,G2150,K$8:K2150)+SUMIFS([1]内部转账!$G:$G,[1]内部转账!$C:$C,"&lt;="&amp;$D2150,[1]内部转账!$E:$E,$G2150)-SUMIFS([1]内部转账!$G:$G,[1]内部转账!$C:$C,"&lt;="&amp;$D2150,[1]内部转账!$F:$F,$G2150)),"")</f>
        <v/>
      </c>
      <c r="M2150" s="64"/>
      <c r="N2150" s="69"/>
      <c r="O2150" s="64"/>
      <c r="P2150" s="64"/>
      <c r="Q2150" s="69"/>
      <c r="R2150" s="69"/>
      <c r="S2150" s="69"/>
    </row>
    <row r="2151" s="2" customFormat="1" ht="24.95" customHeight="1" spans="1:19">
      <c r="A2151" s="15"/>
      <c r="B2151" s="55"/>
      <c r="C2151" s="56"/>
      <c r="D2151" s="68"/>
      <c r="E2151" s="69"/>
      <c r="F2151" s="69"/>
      <c r="G2151" s="65"/>
      <c r="H2151" s="65"/>
      <c r="I2151" s="70"/>
      <c r="J2151" s="71"/>
      <c r="K2151" s="71"/>
      <c r="L2151" s="72" t="str">
        <f>IFERROR(IF(G2151="","",VLOOKUP($G2151,[1]基础信息!$B:$C,2,FALSE)+SUMIF(G$8:G2151,G2151,J$8:J2151)-SUMIF(G$8:G2151,G2151,K$8:K2151)+SUMIFS([1]内部转账!$G:$G,[1]内部转账!$C:$C,"&lt;="&amp;$D2151,[1]内部转账!$E:$E,$G2151)-SUMIFS([1]内部转账!$G:$G,[1]内部转账!$C:$C,"&lt;="&amp;$D2151,[1]内部转账!$F:$F,$G2151)),"")</f>
        <v/>
      </c>
      <c r="M2151" s="64"/>
      <c r="N2151" s="69"/>
      <c r="O2151" s="64"/>
      <c r="P2151" s="64"/>
      <c r="Q2151" s="69"/>
      <c r="R2151" s="69"/>
      <c r="S2151" s="69"/>
    </row>
    <row r="2152" s="2" customFormat="1" ht="24.95" customHeight="1" spans="1:19">
      <c r="A2152" s="15"/>
      <c r="B2152" s="55"/>
      <c r="C2152" s="56"/>
      <c r="D2152" s="68"/>
      <c r="E2152" s="69"/>
      <c r="F2152" s="69"/>
      <c r="G2152" s="65"/>
      <c r="H2152" s="65"/>
      <c r="I2152" s="70"/>
      <c r="J2152" s="71"/>
      <c r="K2152" s="71"/>
      <c r="L2152" s="72" t="str">
        <f>IFERROR(IF(G2152="","",VLOOKUP($G2152,[1]基础信息!$B:$C,2,FALSE)+SUMIF(G$8:G2152,G2152,J$8:J2152)-SUMIF(G$8:G2152,G2152,K$8:K2152)+SUMIFS([1]内部转账!$G:$G,[1]内部转账!$C:$C,"&lt;="&amp;$D2152,[1]内部转账!$E:$E,$G2152)-SUMIFS([1]内部转账!$G:$G,[1]内部转账!$C:$C,"&lt;="&amp;$D2152,[1]内部转账!$F:$F,$G2152)),"")</f>
        <v/>
      </c>
      <c r="M2152" s="64"/>
      <c r="N2152" s="69"/>
      <c r="O2152" s="64"/>
      <c r="P2152" s="64"/>
      <c r="Q2152" s="69"/>
      <c r="R2152" s="69"/>
      <c r="S2152" s="69"/>
    </row>
    <row r="2153" s="2" customFormat="1" ht="24.95" customHeight="1" spans="1:19">
      <c r="A2153" s="15"/>
      <c r="B2153" s="55"/>
      <c r="C2153" s="56"/>
      <c r="D2153" s="68"/>
      <c r="E2153" s="69"/>
      <c r="F2153" s="69"/>
      <c r="G2153" s="65"/>
      <c r="H2153" s="65"/>
      <c r="I2153" s="70"/>
      <c r="J2153" s="71"/>
      <c r="K2153" s="71"/>
      <c r="L2153" s="72" t="str">
        <f>IFERROR(IF(G2153="","",VLOOKUP($G2153,[1]基础信息!$B:$C,2,FALSE)+SUMIF(G$8:G2153,G2153,J$8:J2153)-SUMIF(G$8:G2153,G2153,K$8:K2153)+SUMIFS([1]内部转账!$G:$G,[1]内部转账!$C:$C,"&lt;="&amp;$D2153,[1]内部转账!$E:$E,$G2153)-SUMIFS([1]内部转账!$G:$G,[1]内部转账!$C:$C,"&lt;="&amp;$D2153,[1]内部转账!$F:$F,$G2153)),"")</f>
        <v/>
      </c>
      <c r="M2153" s="64"/>
      <c r="N2153" s="69"/>
      <c r="O2153" s="64"/>
      <c r="P2153" s="64"/>
      <c r="Q2153" s="69"/>
      <c r="R2153" s="69"/>
      <c r="S2153" s="69"/>
    </row>
    <row r="2154" s="2" customFormat="1" ht="24.95" customHeight="1" spans="1:19">
      <c r="A2154" s="15"/>
      <c r="B2154" s="55"/>
      <c r="C2154" s="56"/>
      <c r="D2154" s="68"/>
      <c r="E2154" s="69"/>
      <c r="F2154" s="69"/>
      <c r="G2154" s="65"/>
      <c r="H2154" s="65"/>
      <c r="I2154" s="70"/>
      <c r="J2154" s="71"/>
      <c r="K2154" s="71"/>
      <c r="L2154" s="72" t="str">
        <f>IFERROR(IF(G2154="","",VLOOKUP($G2154,[1]基础信息!$B:$C,2,FALSE)+SUMIF(G$8:G2154,G2154,J$8:J2154)-SUMIF(G$8:G2154,G2154,K$8:K2154)+SUMIFS([1]内部转账!$G:$G,[1]内部转账!$C:$C,"&lt;="&amp;$D2154,[1]内部转账!$E:$E,$G2154)-SUMIFS([1]内部转账!$G:$G,[1]内部转账!$C:$C,"&lt;="&amp;$D2154,[1]内部转账!$F:$F,$G2154)),"")</f>
        <v/>
      </c>
      <c r="M2154" s="64"/>
      <c r="N2154" s="69"/>
      <c r="O2154" s="64"/>
      <c r="P2154" s="64"/>
      <c r="Q2154" s="69"/>
      <c r="R2154" s="69"/>
      <c r="S2154" s="69"/>
    </row>
    <row r="2155" s="2" customFormat="1" ht="24.95" customHeight="1" spans="1:19">
      <c r="A2155" s="15"/>
      <c r="B2155" s="55"/>
      <c r="C2155" s="56"/>
      <c r="D2155" s="68"/>
      <c r="E2155" s="69"/>
      <c r="F2155" s="69"/>
      <c r="G2155" s="65"/>
      <c r="H2155" s="65"/>
      <c r="I2155" s="70"/>
      <c r="J2155" s="71"/>
      <c r="K2155" s="71"/>
      <c r="L2155" s="72" t="str">
        <f>IFERROR(IF(G2155="","",VLOOKUP($G2155,[1]基础信息!$B:$C,2,FALSE)+SUMIF(G$8:G2155,G2155,J$8:J2155)-SUMIF(G$8:G2155,G2155,K$8:K2155)+SUMIFS([1]内部转账!$G:$G,[1]内部转账!$C:$C,"&lt;="&amp;$D2155,[1]内部转账!$E:$E,$G2155)-SUMIFS([1]内部转账!$G:$G,[1]内部转账!$C:$C,"&lt;="&amp;$D2155,[1]内部转账!$F:$F,$G2155)),"")</f>
        <v/>
      </c>
      <c r="M2155" s="64"/>
      <c r="N2155" s="69"/>
      <c r="O2155" s="64"/>
      <c r="P2155" s="64"/>
      <c r="Q2155" s="69"/>
      <c r="R2155" s="69"/>
      <c r="S2155" s="69"/>
    </row>
    <row r="2156" s="2" customFormat="1" ht="24.95" customHeight="1" spans="1:19">
      <c r="A2156" s="15"/>
      <c r="B2156" s="55"/>
      <c r="C2156" s="56"/>
      <c r="D2156" s="68"/>
      <c r="E2156" s="69"/>
      <c r="F2156" s="69"/>
      <c r="G2156" s="65"/>
      <c r="H2156" s="65"/>
      <c r="I2156" s="70"/>
      <c r="J2156" s="71"/>
      <c r="K2156" s="71"/>
      <c r="L2156" s="72" t="str">
        <f>IFERROR(IF(G2156="","",VLOOKUP($G2156,[1]基础信息!$B:$C,2,FALSE)+SUMIF(G$8:G2156,G2156,J$8:J2156)-SUMIF(G$8:G2156,G2156,K$8:K2156)+SUMIFS([1]内部转账!$G:$G,[1]内部转账!$C:$C,"&lt;="&amp;$D2156,[1]内部转账!$E:$E,$G2156)-SUMIFS([1]内部转账!$G:$G,[1]内部转账!$C:$C,"&lt;="&amp;$D2156,[1]内部转账!$F:$F,$G2156)),"")</f>
        <v/>
      </c>
      <c r="M2156" s="64"/>
      <c r="N2156" s="69"/>
      <c r="O2156" s="64"/>
      <c r="P2156" s="64"/>
      <c r="Q2156" s="69"/>
      <c r="R2156" s="69"/>
      <c r="S2156" s="69"/>
    </row>
    <row r="2157" s="2" customFormat="1" ht="24.95" customHeight="1" spans="1:19">
      <c r="A2157" s="15"/>
      <c r="B2157" s="55"/>
      <c r="C2157" s="56"/>
      <c r="D2157" s="68"/>
      <c r="E2157" s="69"/>
      <c r="F2157" s="69"/>
      <c r="G2157" s="65"/>
      <c r="H2157" s="65"/>
      <c r="I2157" s="70"/>
      <c r="J2157" s="71"/>
      <c r="K2157" s="71"/>
      <c r="L2157" s="72" t="str">
        <f>IFERROR(IF(G2157="","",VLOOKUP($G2157,[1]基础信息!$B:$C,2,FALSE)+SUMIF(G$8:G2157,G2157,J$8:J2157)-SUMIF(G$8:G2157,G2157,K$8:K2157)+SUMIFS([1]内部转账!$G:$G,[1]内部转账!$C:$C,"&lt;="&amp;$D2157,[1]内部转账!$E:$E,$G2157)-SUMIFS([1]内部转账!$G:$G,[1]内部转账!$C:$C,"&lt;="&amp;$D2157,[1]内部转账!$F:$F,$G2157)),"")</f>
        <v/>
      </c>
      <c r="M2157" s="64"/>
      <c r="N2157" s="69"/>
      <c r="O2157" s="64"/>
      <c r="P2157" s="64"/>
      <c r="Q2157" s="69"/>
      <c r="R2157" s="69"/>
      <c r="S2157" s="69"/>
    </row>
    <row r="2158" s="2" customFormat="1" ht="24.95" customHeight="1" spans="1:19">
      <c r="A2158" s="15"/>
      <c r="B2158" s="55"/>
      <c r="C2158" s="56"/>
      <c r="D2158" s="68"/>
      <c r="E2158" s="69"/>
      <c r="F2158" s="69"/>
      <c r="G2158" s="65"/>
      <c r="H2158" s="65"/>
      <c r="I2158" s="70"/>
      <c r="J2158" s="71"/>
      <c r="K2158" s="71"/>
      <c r="L2158" s="72" t="str">
        <f>IFERROR(IF(G2158="","",VLOOKUP($G2158,[1]基础信息!$B:$C,2,FALSE)+SUMIF(G$8:G2158,G2158,J$8:J2158)-SUMIF(G$8:G2158,G2158,K$8:K2158)+SUMIFS([1]内部转账!$G:$G,[1]内部转账!$C:$C,"&lt;="&amp;$D2158,[1]内部转账!$E:$E,$G2158)-SUMIFS([1]内部转账!$G:$G,[1]内部转账!$C:$C,"&lt;="&amp;$D2158,[1]内部转账!$F:$F,$G2158)),"")</f>
        <v/>
      </c>
      <c r="M2158" s="64"/>
      <c r="N2158" s="69"/>
      <c r="O2158" s="64"/>
      <c r="P2158" s="64"/>
      <c r="Q2158" s="69"/>
      <c r="R2158" s="69"/>
      <c r="S2158" s="69"/>
    </row>
    <row r="2159" s="2" customFormat="1" ht="24.95" customHeight="1" spans="1:19">
      <c r="A2159" s="15"/>
      <c r="B2159" s="55"/>
      <c r="C2159" s="56"/>
      <c r="D2159" s="68"/>
      <c r="E2159" s="69"/>
      <c r="F2159" s="69"/>
      <c r="G2159" s="65"/>
      <c r="H2159" s="65"/>
      <c r="I2159" s="70"/>
      <c r="J2159" s="71"/>
      <c r="K2159" s="71"/>
      <c r="L2159" s="72" t="str">
        <f>IFERROR(IF(G2159="","",VLOOKUP($G2159,[1]基础信息!$B:$C,2,FALSE)+SUMIF(G$8:G2159,G2159,J$8:J2159)-SUMIF(G$8:G2159,G2159,K$8:K2159)+SUMIFS([1]内部转账!$G:$G,[1]内部转账!$C:$C,"&lt;="&amp;$D2159,[1]内部转账!$E:$E,$G2159)-SUMIFS([1]内部转账!$G:$G,[1]内部转账!$C:$C,"&lt;="&amp;$D2159,[1]内部转账!$F:$F,$G2159)),"")</f>
        <v/>
      </c>
      <c r="M2159" s="64"/>
      <c r="N2159" s="69"/>
      <c r="O2159" s="64"/>
      <c r="P2159" s="64"/>
      <c r="Q2159" s="69"/>
      <c r="R2159" s="69"/>
      <c r="S2159" s="69"/>
    </row>
    <row r="2160" s="2" customFormat="1" ht="24.95" customHeight="1" spans="1:19">
      <c r="A2160" s="15"/>
      <c r="B2160" s="55"/>
      <c r="C2160" s="56"/>
      <c r="D2160" s="68"/>
      <c r="E2160" s="69"/>
      <c r="F2160" s="69"/>
      <c r="G2160" s="65"/>
      <c r="H2160" s="65"/>
      <c r="I2160" s="70"/>
      <c r="J2160" s="71"/>
      <c r="K2160" s="71"/>
      <c r="L2160" s="72" t="str">
        <f>IFERROR(IF(G2160="","",VLOOKUP($G2160,[1]基础信息!$B:$C,2,FALSE)+SUMIF(G$8:G2160,G2160,J$8:J2160)-SUMIF(G$8:G2160,G2160,K$8:K2160)+SUMIFS([1]内部转账!$G:$G,[1]内部转账!$C:$C,"&lt;="&amp;$D2160,[1]内部转账!$E:$E,$G2160)-SUMIFS([1]内部转账!$G:$G,[1]内部转账!$C:$C,"&lt;="&amp;$D2160,[1]内部转账!$F:$F,$G2160)),"")</f>
        <v/>
      </c>
      <c r="M2160" s="64"/>
      <c r="N2160" s="69"/>
      <c r="O2160" s="64"/>
      <c r="P2160" s="64"/>
      <c r="Q2160" s="69"/>
      <c r="R2160" s="69"/>
      <c r="S2160" s="69"/>
    </row>
    <row r="2161" s="2" customFormat="1" ht="24.95" customHeight="1" spans="1:19">
      <c r="A2161" s="15"/>
      <c r="B2161" s="55"/>
      <c r="C2161" s="56"/>
      <c r="D2161" s="68"/>
      <c r="E2161" s="69"/>
      <c r="F2161" s="69"/>
      <c r="G2161" s="65"/>
      <c r="H2161" s="65"/>
      <c r="I2161" s="70"/>
      <c r="J2161" s="71"/>
      <c r="K2161" s="71"/>
      <c r="L2161" s="72" t="str">
        <f>IFERROR(IF(G2161="","",VLOOKUP($G2161,[1]基础信息!$B:$C,2,FALSE)+SUMIF(G$8:G2161,G2161,J$8:J2161)-SUMIF(G$8:G2161,G2161,K$8:K2161)+SUMIFS([1]内部转账!$G:$G,[1]内部转账!$C:$C,"&lt;="&amp;$D2161,[1]内部转账!$E:$E,$G2161)-SUMIFS([1]内部转账!$G:$G,[1]内部转账!$C:$C,"&lt;="&amp;$D2161,[1]内部转账!$F:$F,$G2161)),"")</f>
        <v/>
      </c>
      <c r="M2161" s="64"/>
      <c r="N2161" s="69"/>
      <c r="O2161" s="64"/>
      <c r="P2161" s="64"/>
      <c r="Q2161" s="69"/>
      <c r="R2161" s="69"/>
      <c r="S2161" s="69"/>
    </row>
    <row r="2162" s="2" customFormat="1" ht="24.95" customHeight="1" spans="1:19">
      <c r="A2162" s="15"/>
      <c r="B2162" s="55"/>
      <c r="C2162" s="56"/>
      <c r="D2162" s="68"/>
      <c r="E2162" s="69"/>
      <c r="F2162" s="69"/>
      <c r="G2162" s="65"/>
      <c r="H2162" s="65"/>
      <c r="I2162" s="70"/>
      <c r="J2162" s="71"/>
      <c r="K2162" s="71"/>
      <c r="L2162" s="72" t="str">
        <f>IFERROR(IF(G2162="","",VLOOKUP($G2162,[1]基础信息!$B:$C,2,FALSE)+SUMIF(G$8:G2162,G2162,J$8:J2162)-SUMIF(G$8:G2162,G2162,K$8:K2162)+SUMIFS([1]内部转账!$G:$G,[1]内部转账!$C:$C,"&lt;="&amp;$D2162,[1]内部转账!$E:$E,$G2162)-SUMIFS([1]内部转账!$G:$G,[1]内部转账!$C:$C,"&lt;="&amp;$D2162,[1]内部转账!$F:$F,$G2162)),"")</f>
        <v/>
      </c>
      <c r="M2162" s="64"/>
      <c r="N2162" s="69"/>
      <c r="O2162" s="64"/>
      <c r="P2162" s="64"/>
      <c r="Q2162" s="69"/>
      <c r="R2162" s="69"/>
      <c r="S2162" s="69"/>
    </row>
    <row r="2163" s="2" customFormat="1" ht="24.95" customHeight="1" spans="1:19">
      <c r="A2163" s="15"/>
      <c r="B2163" s="55"/>
      <c r="C2163" s="56"/>
      <c r="D2163" s="68"/>
      <c r="E2163" s="69"/>
      <c r="F2163" s="69"/>
      <c r="G2163" s="65"/>
      <c r="H2163" s="65"/>
      <c r="I2163" s="70"/>
      <c r="J2163" s="71"/>
      <c r="K2163" s="71"/>
      <c r="L2163" s="72" t="str">
        <f>IFERROR(IF(G2163="","",VLOOKUP($G2163,[1]基础信息!$B:$C,2,FALSE)+SUMIF(G$8:G2163,G2163,J$8:J2163)-SUMIF(G$8:G2163,G2163,K$8:K2163)+SUMIFS([1]内部转账!$G:$G,[1]内部转账!$C:$C,"&lt;="&amp;$D2163,[1]内部转账!$E:$E,$G2163)-SUMIFS([1]内部转账!$G:$G,[1]内部转账!$C:$C,"&lt;="&amp;$D2163,[1]内部转账!$F:$F,$G2163)),"")</f>
        <v/>
      </c>
      <c r="M2163" s="64"/>
      <c r="N2163" s="69"/>
      <c r="O2163" s="64"/>
      <c r="P2163" s="64"/>
      <c r="Q2163" s="69"/>
      <c r="R2163" s="69"/>
      <c r="S2163" s="69"/>
    </row>
    <row r="2164" s="2" customFormat="1" ht="24.95" customHeight="1" spans="1:19">
      <c r="A2164" s="15"/>
      <c r="B2164" s="55"/>
      <c r="C2164" s="56"/>
      <c r="D2164" s="68"/>
      <c r="E2164" s="69"/>
      <c r="F2164" s="69"/>
      <c r="G2164" s="65"/>
      <c r="H2164" s="65"/>
      <c r="I2164" s="70"/>
      <c r="J2164" s="71"/>
      <c r="K2164" s="71"/>
      <c r="L2164" s="72" t="str">
        <f>IFERROR(IF(G2164="","",VLOOKUP($G2164,[1]基础信息!$B:$C,2,FALSE)+SUMIF(G$8:G2164,G2164,J$8:J2164)-SUMIF(G$8:G2164,G2164,K$8:K2164)+SUMIFS([1]内部转账!$G:$G,[1]内部转账!$C:$C,"&lt;="&amp;$D2164,[1]内部转账!$E:$E,$G2164)-SUMIFS([1]内部转账!$G:$G,[1]内部转账!$C:$C,"&lt;="&amp;$D2164,[1]内部转账!$F:$F,$G2164)),"")</f>
        <v/>
      </c>
      <c r="M2164" s="64"/>
      <c r="N2164" s="69"/>
      <c r="O2164" s="64"/>
      <c r="P2164" s="64"/>
      <c r="Q2164" s="69"/>
      <c r="R2164" s="69"/>
      <c r="S2164" s="69"/>
    </row>
    <row r="2165" s="2" customFormat="1" ht="24.95" customHeight="1" spans="1:19">
      <c r="A2165" s="15"/>
      <c r="B2165" s="55"/>
      <c r="C2165" s="56"/>
      <c r="D2165" s="68"/>
      <c r="E2165" s="69"/>
      <c r="F2165" s="69"/>
      <c r="G2165" s="65"/>
      <c r="H2165" s="65"/>
      <c r="I2165" s="70"/>
      <c r="J2165" s="71"/>
      <c r="K2165" s="71"/>
      <c r="L2165" s="72" t="str">
        <f>IFERROR(IF(G2165="","",VLOOKUP($G2165,[1]基础信息!$B:$C,2,FALSE)+SUMIF(G$8:G2165,G2165,J$8:J2165)-SUMIF(G$8:G2165,G2165,K$8:K2165)+SUMIFS([1]内部转账!$G:$G,[1]内部转账!$C:$C,"&lt;="&amp;$D2165,[1]内部转账!$E:$E,$G2165)-SUMIFS([1]内部转账!$G:$G,[1]内部转账!$C:$C,"&lt;="&amp;$D2165,[1]内部转账!$F:$F,$G2165)),"")</f>
        <v/>
      </c>
      <c r="M2165" s="64"/>
      <c r="N2165" s="69"/>
      <c r="O2165" s="64"/>
      <c r="P2165" s="64"/>
      <c r="Q2165" s="69"/>
      <c r="R2165" s="69"/>
      <c r="S2165" s="69"/>
    </row>
    <row r="2166" s="2" customFormat="1" ht="24.95" customHeight="1" spans="1:19">
      <c r="A2166" s="15"/>
      <c r="B2166" s="55"/>
      <c r="C2166" s="56"/>
      <c r="D2166" s="68"/>
      <c r="E2166" s="69"/>
      <c r="F2166" s="69"/>
      <c r="G2166" s="65"/>
      <c r="H2166" s="65"/>
      <c r="I2166" s="70"/>
      <c r="J2166" s="71"/>
      <c r="K2166" s="71"/>
      <c r="L2166" s="72" t="str">
        <f>IFERROR(IF(G2166="","",VLOOKUP($G2166,[1]基础信息!$B:$C,2,FALSE)+SUMIF(G$8:G2166,G2166,J$8:J2166)-SUMIF(G$8:G2166,G2166,K$8:K2166)+SUMIFS([1]内部转账!$G:$G,[1]内部转账!$C:$C,"&lt;="&amp;$D2166,[1]内部转账!$E:$E,$G2166)-SUMIFS([1]内部转账!$G:$G,[1]内部转账!$C:$C,"&lt;="&amp;$D2166,[1]内部转账!$F:$F,$G2166)),"")</f>
        <v/>
      </c>
      <c r="M2166" s="64"/>
      <c r="N2166" s="69"/>
      <c r="O2166" s="64"/>
      <c r="P2166" s="64"/>
      <c r="Q2166" s="69"/>
      <c r="R2166" s="69"/>
      <c r="S2166" s="69"/>
    </row>
    <row r="2167" s="2" customFormat="1" ht="24.95" customHeight="1" spans="1:19">
      <c r="A2167" s="15"/>
      <c r="B2167" s="55"/>
      <c r="C2167" s="56"/>
      <c r="D2167" s="68"/>
      <c r="E2167" s="69"/>
      <c r="F2167" s="69"/>
      <c r="G2167" s="65"/>
      <c r="H2167" s="65"/>
      <c r="I2167" s="70"/>
      <c r="J2167" s="71"/>
      <c r="K2167" s="71"/>
      <c r="L2167" s="72" t="str">
        <f>IFERROR(IF(G2167="","",VLOOKUP($G2167,[1]基础信息!$B:$C,2,FALSE)+SUMIF(G$8:G2167,G2167,J$8:J2167)-SUMIF(G$8:G2167,G2167,K$8:K2167)+SUMIFS([1]内部转账!$G:$G,[1]内部转账!$C:$C,"&lt;="&amp;$D2167,[1]内部转账!$E:$E,$G2167)-SUMIFS([1]内部转账!$G:$G,[1]内部转账!$C:$C,"&lt;="&amp;$D2167,[1]内部转账!$F:$F,$G2167)),"")</f>
        <v/>
      </c>
      <c r="M2167" s="64"/>
      <c r="N2167" s="69"/>
      <c r="O2167" s="64"/>
      <c r="P2167" s="64"/>
      <c r="Q2167" s="69"/>
      <c r="R2167" s="69"/>
      <c r="S2167" s="69"/>
    </row>
    <row r="2168" s="2" customFormat="1" ht="24.95" customHeight="1" spans="1:19">
      <c r="A2168" s="15"/>
      <c r="B2168" s="55"/>
      <c r="C2168" s="56"/>
      <c r="D2168" s="68"/>
      <c r="E2168" s="69"/>
      <c r="F2168" s="69"/>
      <c r="G2168" s="65"/>
      <c r="H2168" s="65"/>
      <c r="I2168" s="70"/>
      <c r="J2168" s="71"/>
      <c r="K2168" s="71"/>
      <c r="L2168" s="72" t="str">
        <f>IFERROR(IF(G2168="","",VLOOKUP($G2168,[1]基础信息!$B:$C,2,FALSE)+SUMIF(G$8:G2168,G2168,J$8:J2168)-SUMIF(G$8:G2168,G2168,K$8:K2168)+SUMIFS([1]内部转账!$G:$G,[1]内部转账!$C:$C,"&lt;="&amp;$D2168,[1]内部转账!$E:$E,$G2168)-SUMIFS([1]内部转账!$G:$G,[1]内部转账!$C:$C,"&lt;="&amp;$D2168,[1]内部转账!$F:$F,$G2168)),"")</f>
        <v/>
      </c>
      <c r="M2168" s="64"/>
      <c r="N2168" s="69"/>
      <c r="O2168" s="64"/>
      <c r="P2168" s="64"/>
      <c r="Q2168" s="69"/>
      <c r="R2168" s="69"/>
      <c r="S2168" s="69"/>
    </row>
    <row r="2169" s="2" customFormat="1" ht="24.95" customHeight="1" spans="1:19">
      <c r="A2169" s="15"/>
      <c r="B2169" s="55"/>
      <c r="C2169" s="56"/>
      <c r="D2169" s="68"/>
      <c r="E2169" s="69"/>
      <c r="F2169" s="69"/>
      <c r="G2169" s="65"/>
      <c r="H2169" s="65"/>
      <c r="I2169" s="70"/>
      <c r="J2169" s="71"/>
      <c r="K2169" s="71"/>
      <c r="L2169" s="72" t="str">
        <f>IFERROR(IF(G2169="","",VLOOKUP($G2169,[1]基础信息!$B:$C,2,FALSE)+SUMIF(G$8:G2169,G2169,J$8:J2169)-SUMIF(G$8:G2169,G2169,K$8:K2169)+SUMIFS([1]内部转账!$G:$G,[1]内部转账!$C:$C,"&lt;="&amp;$D2169,[1]内部转账!$E:$E,$G2169)-SUMIFS([1]内部转账!$G:$G,[1]内部转账!$C:$C,"&lt;="&amp;$D2169,[1]内部转账!$F:$F,$G2169)),"")</f>
        <v/>
      </c>
      <c r="M2169" s="64"/>
      <c r="N2169" s="69"/>
      <c r="O2169" s="64"/>
      <c r="P2169" s="64"/>
      <c r="Q2169" s="69"/>
      <c r="R2169" s="69"/>
      <c r="S2169" s="69"/>
    </row>
    <row r="2170" s="2" customFormat="1" ht="24.95" customHeight="1" spans="1:19">
      <c r="A2170" s="15"/>
      <c r="B2170" s="55"/>
      <c r="C2170" s="56"/>
      <c r="D2170" s="68"/>
      <c r="E2170" s="69"/>
      <c r="F2170" s="69"/>
      <c r="G2170" s="65"/>
      <c r="H2170" s="65"/>
      <c r="I2170" s="70"/>
      <c r="J2170" s="71"/>
      <c r="K2170" s="71"/>
      <c r="L2170" s="72" t="str">
        <f>IFERROR(IF(G2170="","",VLOOKUP($G2170,[1]基础信息!$B:$C,2,FALSE)+SUMIF(G$8:G2170,G2170,J$8:J2170)-SUMIF(G$8:G2170,G2170,K$8:K2170)+SUMIFS([1]内部转账!$G:$G,[1]内部转账!$C:$C,"&lt;="&amp;$D2170,[1]内部转账!$E:$E,$G2170)-SUMIFS([1]内部转账!$G:$G,[1]内部转账!$C:$C,"&lt;="&amp;$D2170,[1]内部转账!$F:$F,$G2170)),"")</f>
        <v/>
      </c>
      <c r="M2170" s="64"/>
      <c r="N2170" s="69"/>
      <c r="O2170" s="64"/>
      <c r="P2170" s="64"/>
      <c r="Q2170" s="69"/>
      <c r="R2170" s="69"/>
      <c r="S2170" s="69"/>
    </row>
    <row r="2171" s="2" customFormat="1" ht="24.95" customHeight="1" spans="1:19">
      <c r="A2171" s="15"/>
      <c r="B2171" s="55"/>
      <c r="C2171" s="56"/>
      <c r="D2171" s="68"/>
      <c r="E2171" s="69"/>
      <c r="F2171" s="69"/>
      <c r="G2171" s="65"/>
      <c r="H2171" s="65"/>
      <c r="I2171" s="70"/>
      <c r="J2171" s="71"/>
      <c r="K2171" s="71"/>
      <c r="L2171" s="72" t="str">
        <f>IFERROR(IF(G2171="","",VLOOKUP($G2171,[1]基础信息!$B:$C,2,FALSE)+SUMIF(G$8:G2171,G2171,J$8:J2171)-SUMIF(G$8:G2171,G2171,K$8:K2171)+SUMIFS([1]内部转账!$G:$G,[1]内部转账!$C:$C,"&lt;="&amp;$D2171,[1]内部转账!$E:$E,$G2171)-SUMIFS([1]内部转账!$G:$G,[1]内部转账!$C:$C,"&lt;="&amp;$D2171,[1]内部转账!$F:$F,$G2171)),"")</f>
        <v/>
      </c>
      <c r="M2171" s="64"/>
      <c r="N2171" s="69"/>
      <c r="O2171" s="64"/>
      <c r="P2171" s="64"/>
      <c r="Q2171" s="69"/>
      <c r="R2171" s="69"/>
      <c r="S2171" s="69"/>
    </row>
    <row r="2172" s="2" customFormat="1" ht="24.95" customHeight="1" spans="1:19">
      <c r="A2172" s="15"/>
      <c r="B2172" s="55"/>
      <c r="C2172" s="56"/>
      <c r="D2172" s="68"/>
      <c r="E2172" s="69"/>
      <c r="F2172" s="69"/>
      <c r="G2172" s="65"/>
      <c r="H2172" s="65"/>
      <c r="I2172" s="70"/>
      <c r="J2172" s="71"/>
      <c r="K2172" s="71"/>
      <c r="L2172" s="72" t="str">
        <f>IFERROR(IF(G2172="","",VLOOKUP($G2172,[1]基础信息!$B:$C,2,FALSE)+SUMIF(G$8:G2172,G2172,J$8:J2172)-SUMIF(G$8:G2172,G2172,K$8:K2172)+SUMIFS([1]内部转账!$G:$G,[1]内部转账!$C:$C,"&lt;="&amp;$D2172,[1]内部转账!$E:$E,$G2172)-SUMIFS([1]内部转账!$G:$G,[1]内部转账!$C:$C,"&lt;="&amp;$D2172,[1]内部转账!$F:$F,$G2172)),"")</f>
        <v/>
      </c>
      <c r="M2172" s="64"/>
      <c r="N2172" s="69"/>
      <c r="O2172" s="64"/>
      <c r="P2172" s="64"/>
      <c r="Q2172" s="69"/>
      <c r="R2172" s="69"/>
      <c r="S2172" s="69"/>
    </row>
    <row r="2173" s="2" customFormat="1" ht="24.95" customHeight="1" spans="1:19">
      <c r="A2173" s="15"/>
      <c r="B2173" s="55"/>
      <c r="C2173" s="56"/>
      <c r="D2173" s="68"/>
      <c r="E2173" s="69"/>
      <c r="F2173" s="69"/>
      <c r="G2173" s="65"/>
      <c r="H2173" s="65"/>
      <c r="I2173" s="70"/>
      <c r="J2173" s="71"/>
      <c r="K2173" s="71"/>
      <c r="L2173" s="72" t="str">
        <f>IFERROR(IF(G2173="","",VLOOKUP($G2173,[1]基础信息!$B:$C,2,FALSE)+SUMIF(G$8:G2173,G2173,J$8:J2173)-SUMIF(G$8:G2173,G2173,K$8:K2173)+SUMIFS([1]内部转账!$G:$G,[1]内部转账!$C:$C,"&lt;="&amp;$D2173,[1]内部转账!$E:$E,$G2173)-SUMIFS([1]内部转账!$G:$G,[1]内部转账!$C:$C,"&lt;="&amp;$D2173,[1]内部转账!$F:$F,$G2173)),"")</f>
        <v/>
      </c>
      <c r="M2173" s="64"/>
      <c r="N2173" s="69"/>
      <c r="O2173" s="64"/>
      <c r="P2173" s="64"/>
      <c r="Q2173" s="69"/>
      <c r="R2173" s="69"/>
      <c r="S2173" s="69"/>
    </row>
    <row r="2174" s="2" customFormat="1" ht="24.95" customHeight="1" spans="1:19">
      <c r="A2174" s="15"/>
      <c r="B2174" s="55"/>
      <c r="C2174" s="56"/>
      <c r="D2174" s="68"/>
      <c r="E2174" s="69"/>
      <c r="F2174" s="69"/>
      <c r="G2174" s="65"/>
      <c r="H2174" s="65"/>
      <c r="I2174" s="70"/>
      <c r="J2174" s="71"/>
      <c r="K2174" s="71"/>
      <c r="L2174" s="72" t="str">
        <f>IFERROR(IF(G2174="","",VLOOKUP($G2174,[1]基础信息!$B:$C,2,FALSE)+SUMIF(G$8:G2174,G2174,J$8:J2174)-SUMIF(G$8:G2174,G2174,K$8:K2174)+SUMIFS([1]内部转账!$G:$G,[1]内部转账!$C:$C,"&lt;="&amp;$D2174,[1]内部转账!$E:$E,$G2174)-SUMIFS([1]内部转账!$G:$G,[1]内部转账!$C:$C,"&lt;="&amp;$D2174,[1]内部转账!$F:$F,$G2174)),"")</f>
        <v/>
      </c>
      <c r="M2174" s="64"/>
      <c r="N2174" s="69"/>
      <c r="O2174" s="64"/>
      <c r="P2174" s="64"/>
      <c r="Q2174" s="69"/>
      <c r="R2174" s="69"/>
      <c r="S2174" s="69"/>
    </row>
    <row r="2175" s="2" customFormat="1" ht="24.95" customHeight="1" spans="1:19">
      <c r="A2175" s="15"/>
      <c r="B2175" s="55"/>
      <c r="C2175" s="56"/>
      <c r="D2175" s="68"/>
      <c r="E2175" s="69"/>
      <c r="F2175" s="69"/>
      <c r="G2175" s="65"/>
      <c r="H2175" s="65"/>
      <c r="I2175" s="70"/>
      <c r="J2175" s="71"/>
      <c r="K2175" s="71"/>
      <c r="L2175" s="72" t="str">
        <f>IFERROR(IF(G2175="","",VLOOKUP($G2175,[1]基础信息!$B:$C,2,FALSE)+SUMIF(G$8:G2175,G2175,J$8:J2175)-SUMIF(G$8:G2175,G2175,K$8:K2175)+SUMIFS([1]内部转账!$G:$G,[1]内部转账!$C:$C,"&lt;="&amp;$D2175,[1]内部转账!$E:$E,$G2175)-SUMIFS([1]内部转账!$G:$G,[1]内部转账!$C:$C,"&lt;="&amp;$D2175,[1]内部转账!$F:$F,$G2175)),"")</f>
        <v/>
      </c>
      <c r="M2175" s="64"/>
      <c r="N2175" s="69"/>
      <c r="O2175" s="64"/>
      <c r="P2175" s="64"/>
      <c r="Q2175" s="69"/>
      <c r="R2175" s="69"/>
      <c r="S2175" s="69"/>
    </row>
    <row r="2176" s="2" customFormat="1" ht="24.95" customHeight="1" spans="1:19">
      <c r="A2176" s="15"/>
      <c r="B2176" s="55"/>
      <c r="C2176" s="56"/>
      <c r="D2176" s="68"/>
      <c r="E2176" s="69"/>
      <c r="F2176" s="69"/>
      <c r="G2176" s="65"/>
      <c r="H2176" s="65"/>
      <c r="I2176" s="70"/>
      <c r="J2176" s="71"/>
      <c r="K2176" s="71"/>
      <c r="L2176" s="72" t="str">
        <f>IFERROR(IF(G2176="","",VLOOKUP($G2176,[1]基础信息!$B:$C,2,FALSE)+SUMIF(G$8:G2176,G2176,J$8:J2176)-SUMIF(G$8:G2176,G2176,K$8:K2176)+SUMIFS([1]内部转账!$G:$G,[1]内部转账!$C:$C,"&lt;="&amp;$D2176,[1]内部转账!$E:$E,$G2176)-SUMIFS([1]内部转账!$G:$G,[1]内部转账!$C:$C,"&lt;="&amp;$D2176,[1]内部转账!$F:$F,$G2176)),"")</f>
        <v/>
      </c>
      <c r="M2176" s="64"/>
      <c r="N2176" s="69"/>
      <c r="O2176" s="64"/>
      <c r="P2176" s="64"/>
      <c r="Q2176" s="69"/>
      <c r="R2176" s="69"/>
      <c r="S2176" s="69"/>
    </row>
    <row r="2177" s="2" customFormat="1" ht="24.95" customHeight="1" spans="1:19">
      <c r="A2177" s="15"/>
      <c r="B2177" s="55"/>
      <c r="C2177" s="56"/>
      <c r="D2177" s="68"/>
      <c r="E2177" s="69"/>
      <c r="F2177" s="69"/>
      <c r="G2177" s="65"/>
      <c r="H2177" s="65"/>
      <c r="I2177" s="70"/>
      <c r="J2177" s="71"/>
      <c r="K2177" s="71"/>
      <c r="L2177" s="72" t="str">
        <f>IFERROR(IF(G2177="","",VLOOKUP($G2177,[1]基础信息!$B:$C,2,FALSE)+SUMIF(G$8:G2177,G2177,J$8:J2177)-SUMIF(G$8:G2177,G2177,K$8:K2177)+SUMIFS([1]内部转账!$G:$G,[1]内部转账!$C:$C,"&lt;="&amp;$D2177,[1]内部转账!$E:$E,$G2177)-SUMIFS([1]内部转账!$G:$G,[1]内部转账!$C:$C,"&lt;="&amp;$D2177,[1]内部转账!$F:$F,$G2177)),"")</f>
        <v/>
      </c>
      <c r="M2177" s="64"/>
      <c r="N2177" s="69"/>
      <c r="O2177" s="64"/>
      <c r="P2177" s="64"/>
      <c r="Q2177" s="69"/>
      <c r="R2177" s="69"/>
      <c r="S2177" s="69"/>
    </row>
    <row r="2178" s="2" customFormat="1" ht="24.95" customHeight="1" spans="1:19">
      <c r="A2178" s="15"/>
      <c r="B2178" s="55"/>
      <c r="C2178" s="56"/>
      <c r="D2178" s="68"/>
      <c r="E2178" s="69"/>
      <c r="F2178" s="69"/>
      <c r="G2178" s="65"/>
      <c r="H2178" s="65"/>
      <c r="I2178" s="70"/>
      <c r="J2178" s="71"/>
      <c r="K2178" s="71"/>
      <c r="L2178" s="72" t="str">
        <f>IFERROR(IF(G2178="","",VLOOKUP($G2178,[1]基础信息!$B:$C,2,FALSE)+SUMIF(G$8:G2178,G2178,J$8:J2178)-SUMIF(G$8:G2178,G2178,K$8:K2178)+SUMIFS([1]内部转账!$G:$G,[1]内部转账!$C:$C,"&lt;="&amp;$D2178,[1]内部转账!$E:$E,$G2178)-SUMIFS([1]内部转账!$G:$G,[1]内部转账!$C:$C,"&lt;="&amp;$D2178,[1]内部转账!$F:$F,$G2178)),"")</f>
        <v/>
      </c>
      <c r="M2178" s="64"/>
      <c r="N2178" s="69"/>
      <c r="O2178" s="64"/>
      <c r="P2178" s="64"/>
      <c r="Q2178" s="69"/>
      <c r="R2178" s="69"/>
      <c r="S2178" s="69"/>
    </row>
    <row r="2179" s="2" customFormat="1" ht="24.95" customHeight="1" spans="1:19">
      <c r="A2179" s="15"/>
      <c r="B2179" s="55"/>
      <c r="C2179" s="56"/>
      <c r="D2179" s="68"/>
      <c r="E2179" s="69"/>
      <c r="F2179" s="69"/>
      <c r="G2179" s="65"/>
      <c r="H2179" s="65"/>
      <c r="I2179" s="70"/>
      <c r="J2179" s="71"/>
      <c r="K2179" s="71"/>
      <c r="L2179" s="72" t="str">
        <f>IFERROR(IF(G2179="","",VLOOKUP($G2179,[1]基础信息!$B:$C,2,FALSE)+SUMIF(G$8:G2179,G2179,J$8:J2179)-SUMIF(G$8:G2179,G2179,K$8:K2179)+SUMIFS([1]内部转账!$G:$G,[1]内部转账!$C:$C,"&lt;="&amp;$D2179,[1]内部转账!$E:$E,$G2179)-SUMIFS([1]内部转账!$G:$G,[1]内部转账!$C:$C,"&lt;="&amp;$D2179,[1]内部转账!$F:$F,$G2179)),"")</f>
        <v/>
      </c>
      <c r="M2179" s="64"/>
      <c r="N2179" s="69"/>
      <c r="O2179" s="64"/>
      <c r="P2179" s="64"/>
      <c r="Q2179" s="69"/>
      <c r="R2179" s="69"/>
      <c r="S2179" s="69"/>
    </row>
    <row r="2180" s="2" customFormat="1" ht="24.95" customHeight="1" spans="1:19">
      <c r="A2180" s="15"/>
      <c r="B2180" s="55"/>
      <c r="C2180" s="56"/>
      <c r="D2180" s="68"/>
      <c r="E2180" s="69"/>
      <c r="F2180" s="69"/>
      <c r="G2180" s="65"/>
      <c r="H2180" s="65"/>
      <c r="I2180" s="70"/>
      <c r="J2180" s="71"/>
      <c r="K2180" s="71"/>
      <c r="L2180" s="72" t="str">
        <f>IFERROR(IF(G2180="","",VLOOKUP($G2180,[1]基础信息!$B:$C,2,FALSE)+SUMIF(G$8:G2180,G2180,J$8:J2180)-SUMIF(G$8:G2180,G2180,K$8:K2180)+SUMIFS([1]内部转账!$G:$G,[1]内部转账!$C:$C,"&lt;="&amp;$D2180,[1]内部转账!$E:$E,$G2180)-SUMIFS([1]内部转账!$G:$G,[1]内部转账!$C:$C,"&lt;="&amp;$D2180,[1]内部转账!$F:$F,$G2180)),"")</f>
        <v/>
      </c>
      <c r="M2180" s="64"/>
      <c r="N2180" s="69"/>
      <c r="O2180" s="64"/>
      <c r="P2180" s="64"/>
      <c r="Q2180" s="69"/>
      <c r="R2180" s="69"/>
      <c r="S2180" s="69"/>
    </row>
    <row r="2181" s="2" customFormat="1" ht="24.95" customHeight="1" spans="1:19">
      <c r="A2181" s="15"/>
      <c r="B2181" s="55"/>
      <c r="C2181" s="56"/>
      <c r="D2181" s="68"/>
      <c r="E2181" s="69"/>
      <c r="F2181" s="69"/>
      <c r="G2181" s="65"/>
      <c r="H2181" s="65"/>
      <c r="I2181" s="70"/>
      <c r="J2181" s="71"/>
      <c r="K2181" s="71"/>
      <c r="L2181" s="72" t="str">
        <f>IFERROR(IF(G2181="","",VLOOKUP($G2181,[1]基础信息!$B:$C,2,FALSE)+SUMIF(G$8:G2181,G2181,J$8:J2181)-SUMIF(G$8:G2181,G2181,K$8:K2181)+SUMIFS([1]内部转账!$G:$G,[1]内部转账!$C:$C,"&lt;="&amp;$D2181,[1]内部转账!$E:$E,$G2181)-SUMIFS([1]内部转账!$G:$G,[1]内部转账!$C:$C,"&lt;="&amp;$D2181,[1]内部转账!$F:$F,$G2181)),"")</f>
        <v/>
      </c>
      <c r="M2181" s="64"/>
      <c r="N2181" s="69"/>
      <c r="O2181" s="64"/>
      <c r="P2181" s="64"/>
      <c r="Q2181" s="69"/>
      <c r="R2181" s="69"/>
      <c r="S2181" s="69"/>
    </row>
    <row r="2182" s="2" customFormat="1" ht="24.95" customHeight="1" spans="1:19">
      <c r="A2182" s="15"/>
      <c r="B2182" s="55"/>
      <c r="C2182" s="56"/>
      <c r="D2182" s="68"/>
      <c r="E2182" s="69"/>
      <c r="F2182" s="69"/>
      <c r="G2182" s="65"/>
      <c r="H2182" s="65"/>
      <c r="I2182" s="70"/>
      <c r="J2182" s="71"/>
      <c r="K2182" s="71"/>
      <c r="L2182" s="72" t="str">
        <f>IFERROR(IF(G2182="","",VLOOKUP($G2182,[1]基础信息!$B:$C,2,FALSE)+SUMIF(G$8:G2182,G2182,J$8:J2182)-SUMIF(G$8:G2182,G2182,K$8:K2182)+SUMIFS([1]内部转账!$G:$G,[1]内部转账!$C:$C,"&lt;="&amp;$D2182,[1]内部转账!$E:$E,$G2182)-SUMIFS([1]内部转账!$G:$G,[1]内部转账!$C:$C,"&lt;="&amp;$D2182,[1]内部转账!$F:$F,$G2182)),"")</f>
        <v/>
      </c>
      <c r="M2182" s="64"/>
      <c r="N2182" s="69"/>
      <c r="O2182" s="64"/>
      <c r="P2182" s="64"/>
      <c r="Q2182" s="69"/>
      <c r="R2182" s="69"/>
      <c r="S2182" s="69"/>
    </row>
    <row r="2183" s="2" customFormat="1" ht="24.95" customHeight="1" spans="1:19">
      <c r="A2183" s="15"/>
      <c r="B2183" s="55"/>
      <c r="C2183" s="56"/>
      <c r="D2183" s="68"/>
      <c r="E2183" s="69"/>
      <c r="F2183" s="69"/>
      <c r="G2183" s="65"/>
      <c r="H2183" s="65"/>
      <c r="I2183" s="70"/>
      <c r="J2183" s="71"/>
      <c r="K2183" s="71"/>
      <c r="L2183" s="72" t="str">
        <f>IFERROR(IF(G2184="","",VLOOKUP($G2184,[1]基础信息!$B:$C,2,FALSE)+SUMIF(G$8:G2184,G2184,J$8:J2184)-SUMIF(G$8:G2184,G2184,K$8:K2184)+SUMIFS([1]内部转账!$G:$G,[1]内部转账!$C:$C,"&lt;="&amp;$D2184,[1]内部转账!$E:$E,$G2184)-SUMIFS([1]内部转账!$G:$G,[1]内部转账!$C:$C,"&lt;="&amp;$D2184,[1]内部转账!$F:$F,$G2184)),"")</f>
        <v/>
      </c>
      <c r="M2183" s="64"/>
      <c r="N2183" s="69"/>
      <c r="O2183" s="64"/>
      <c r="P2183" s="64"/>
      <c r="Q2183" s="69"/>
      <c r="R2183" s="69"/>
      <c r="S2183" s="69"/>
    </row>
    <row r="2184" s="2" customFormat="1" ht="24.95" customHeight="1" spans="1:19">
      <c r="A2184" s="15"/>
      <c r="B2184" s="55"/>
      <c r="C2184" s="56"/>
      <c r="D2184" s="68"/>
      <c r="E2184" s="69"/>
      <c r="F2184" s="69"/>
      <c r="G2184" s="65"/>
      <c r="H2184" s="65"/>
      <c r="I2184" s="70"/>
      <c r="J2184" s="71"/>
      <c r="K2184" s="71"/>
      <c r="L2184" s="72" t="str">
        <f>IFERROR(IF(G2184="","",VLOOKUP($G2184,[1]基础信息!$B:$C,2,FALSE)+SUMIF(G$8:G2184,G2184,J$8:J2184)-SUMIF(G$8:G2184,G2184,K$8:K2184)+SUMIFS([1]内部转账!$G:$G,[1]内部转账!$C:$C,"&lt;="&amp;$D2184,[1]内部转账!$E:$E,$G2184)-SUMIFS([1]内部转账!$G:$G,[1]内部转账!$C:$C,"&lt;="&amp;$D2184,[1]内部转账!$F:$F,$G2184)),"")</f>
        <v/>
      </c>
      <c r="M2184" s="64"/>
      <c r="N2184" s="69"/>
      <c r="O2184" s="64"/>
      <c r="P2184" s="64"/>
      <c r="Q2184" s="69"/>
      <c r="R2184" s="69"/>
      <c r="S2184" s="69"/>
    </row>
    <row r="2185" s="2" customFormat="1" ht="24.95" customHeight="1" spans="1:19">
      <c r="A2185" s="15"/>
      <c r="B2185" s="55"/>
      <c r="C2185" s="56"/>
      <c r="D2185" s="68"/>
      <c r="E2185" s="69"/>
      <c r="F2185" s="69"/>
      <c r="G2185" s="65"/>
      <c r="H2185" s="65"/>
      <c r="I2185" s="70"/>
      <c r="J2185" s="71"/>
      <c r="K2185" s="71"/>
      <c r="L2185" s="72" t="str">
        <f>IFERROR(IF(G2185="","",VLOOKUP($G2185,[1]基础信息!$B:$C,2,FALSE)+SUMIF(G$8:G2185,G2185,J$8:J2185)-SUMIF(G$8:G2185,G2185,K$8:K2185)+SUMIFS([1]内部转账!$G:$G,[1]内部转账!$C:$C,"&lt;="&amp;$D2185,[1]内部转账!$E:$E,$G2185)-SUMIFS([1]内部转账!$G:$G,[1]内部转账!$C:$C,"&lt;="&amp;$D2185,[1]内部转账!$F:$F,$G2185)),"")</f>
        <v/>
      </c>
      <c r="M2185" s="64"/>
      <c r="N2185" s="69"/>
      <c r="O2185" s="64"/>
      <c r="P2185" s="64"/>
      <c r="Q2185" s="69"/>
      <c r="R2185" s="69"/>
      <c r="S2185" s="69"/>
    </row>
    <row r="2186" s="2" customFormat="1" ht="24.95" customHeight="1" spans="1:19">
      <c r="A2186" s="15"/>
      <c r="B2186" s="55"/>
      <c r="C2186" s="56"/>
      <c r="D2186" s="68"/>
      <c r="E2186" s="69"/>
      <c r="F2186" s="69"/>
      <c r="G2186" s="65"/>
      <c r="H2186" s="65"/>
      <c r="I2186" s="70"/>
      <c r="J2186" s="71"/>
      <c r="K2186" s="71"/>
      <c r="L2186" s="72" t="str">
        <f>IFERROR(IF(G2186="","",VLOOKUP($G2186,[1]基础信息!$B:$C,2,FALSE)+SUMIF(G$8:G2186,G2186,J$8:J2186)-SUMIF(G$8:G2186,G2186,K$8:K2186)+SUMIFS([1]内部转账!$G:$G,[1]内部转账!$C:$C,"&lt;="&amp;$D2186,[1]内部转账!$E:$E,$G2186)-SUMIFS([1]内部转账!$G:$G,[1]内部转账!$C:$C,"&lt;="&amp;$D2186,[1]内部转账!$F:$F,$G2186)),"")</f>
        <v/>
      </c>
      <c r="M2186" s="64"/>
      <c r="N2186" s="69"/>
      <c r="O2186" s="64"/>
      <c r="P2186" s="64"/>
      <c r="Q2186" s="69"/>
      <c r="R2186" s="69"/>
      <c r="S2186" s="69"/>
    </row>
    <row r="2187" s="2" customFormat="1" ht="24.95" customHeight="1" spans="1:19">
      <c r="A2187" s="15"/>
      <c r="B2187" s="55"/>
      <c r="C2187" s="56"/>
      <c r="D2187" s="68"/>
      <c r="E2187" s="69"/>
      <c r="F2187" s="69"/>
      <c r="G2187" s="65"/>
      <c r="H2187" s="65"/>
      <c r="I2187" s="70"/>
      <c r="J2187" s="71"/>
      <c r="K2187" s="71"/>
      <c r="L2187" s="72" t="str">
        <f>IFERROR(IF(G2187="","",VLOOKUP($G2187,[1]基础信息!$B:$C,2,FALSE)+SUMIF(G$8:G2187,G2187,J$8:J2187)-SUMIF(G$8:G2187,G2187,K$8:K2187)+SUMIFS([1]内部转账!$G:$G,[1]内部转账!$C:$C,"&lt;="&amp;$D2187,[1]内部转账!$E:$E,$G2187)-SUMIFS([1]内部转账!$G:$G,[1]内部转账!$C:$C,"&lt;="&amp;$D2187,[1]内部转账!$F:$F,$G2187)),"")</f>
        <v/>
      </c>
      <c r="M2187" s="64"/>
      <c r="N2187" s="69"/>
      <c r="O2187" s="64"/>
      <c r="P2187" s="64"/>
      <c r="Q2187" s="69"/>
      <c r="R2187" s="69"/>
      <c r="S2187" s="69"/>
    </row>
    <row r="2188" s="2" customFormat="1" ht="24.95" customHeight="1" spans="1:19">
      <c r="A2188" s="15"/>
      <c r="B2188" s="55"/>
      <c r="C2188" s="56"/>
      <c r="D2188" s="68"/>
      <c r="E2188" s="69"/>
      <c r="F2188" s="69"/>
      <c r="G2188" s="65"/>
      <c r="H2188" s="65"/>
      <c r="I2188" s="70"/>
      <c r="J2188" s="71"/>
      <c r="K2188" s="71"/>
      <c r="L2188" s="72" t="str">
        <f>IFERROR(IF(G2188="","",VLOOKUP($G2188,[1]基础信息!$B:$C,2,FALSE)+SUMIF(G$8:G2188,G2188,J$8:J2188)-SUMIF(G$8:G2188,G2188,K$8:K2188)+SUMIFS([1]内部转账!$G:$G,[1]内部转账!$C:$C,"&lt;="&amp;$D2188,[1]内部转账!$E:$E,$G2188)-SUMIFS([1]内部转账!$G:$G,[1]内部转账!$C:$C,"&lt;="&amp;$D2188,[1]内部转账!$F:$F,$G2188)),"")</f>
        <v/>
      </c>
      <c r="M2188" s="64"/>
      <c r="N2188" s="69"/>
      <c r="O2188" s="64"/>
      <c r="P2188" s="64"/>
      <c r="Q2188" s="69"/>
      <c r="R2188" s="69"/>
      <c r="S2188" s="69"/>
    </row>
    <row r="2189" s="2" customFormat="1" ht="24.95" customHeight="1" spans="1:19">
      <c r="A2189" s="15"/>
      <c r="B2189" s="55"/>
      <c r="C2189" s="56"/>
      <c r="D2189" s="68"/>
      <c r="E2189" s="69"/>
      <c r="F2189" s="69"/>
      <c r="G2189" s="65"/>
      <c r="H2189" s="65"/>
      <c r="I2189" s="70"/>
      <c r="J2189" s="71"/>
      <c r="K2189" s="71"/>
      <c r="L2189" s="72" t="str">
        <f>IFERROR(IF(G2189="","",VLOOKUP($G2189,[1]基础信息!$B:$C,2,FALSE)+SUMIF(G$8:G2189,G2189,J$8:J2189)-SUMIF(G$8:G2189,G2189,K$8:K2189)+SUMIFS([1]内部转账!$G:$G,[1]内部转账!$C:$C,"&lt;="&amp;$D2189,[1]内部转账!$E:$E,$G2189)-SUMIFS([1]内部转账!$G:$G,[1]内部转账!$C:$C,"&lt;="&amp;$D2189,[1]内部转账!$F:$F,$G2189)),"")</f>
        <v/>
      </c>
      <c r="M2189" s="64"/>
      <c r="N2189" s="69"/>
      <c r="O2189" s="64"/>
      <c r="P2189" s="64"/>
      <c r="Q2189" s="69"/>
      <c r="R2189" s="69"/>
      <c r="S2189" s="69"/>
    </row>
    <row r="2190" s="2" customFormat="1" ht="24.95" customHeight="1" spans="1:19">
      <c r="A2190" s="15"/>
      <c r="B2190" s="55"/>
      <c r="C2190" s="56"/>
      <c r="D2190" s="68"/>
      <c r="E2190" s="69"/>
      <c r="F2190" s="69"/>
      <c r="G2190" s="65"/>
      <c r="H2190" s="65"/>
      <c r="I2190" s="70"/>
      <c r="J2190" s="71"/>
      <c r="K2190" s="71"/>
      <c r="L2190" s="72" t="str">
        <f>IFERROR(IF(G2190="","",VLOOKUP($G2190,[1]基础信息!$B:$C,2,FALSE)+SUMIF(G$8:G2190,G2190,J$8:J2190)-SUMIF(G$8:G2190,G2190,K$8:K2190)+SUMIFS([1]内部转账!$G:$G,[1]内部转账!$C:$C,"&lt;="&amp;$D2190,[1]内部转账!$E:$E,$G2190)-SUMIFS([1]内部转账!$G:$G,[1]内部转账!$C:$C,"&lt;="&amp;$D2190,[1]内部转账!$F:$F,$G2190)),"")</f>
        <v/>
      </c>
      <c r="M2190" s="64"/>
      <c r="N2190" s="69"/>
      <c r="O2190" s="64"/>
      <c r="P2190" s="64"/>
      <c r="Q2190" s="69"/>
      <c r="R2190" s="69"/>
      <c r="S2190" s="69"/>
    </row>
    <row r="2191" s="2" customFormat="1" ht="24.95" customHeight="1" spans="1:19">
      <c r="A2191" s="15"/>
      <c r="B2191" s="55"/>
      <c r="C2191" s="56"/>
      <c r="D2191" s="68"/>
      <c r="E2191" s="69"/>
      <c r="F2191" s="69"/>
      <c r="G2191" s="65"/>
      <c r="H2191" s="65"/>
      <c r="I2191" s="70"/>
      <c r="J2191" s="71"/>
      <c r="K2191" s="71"/>
      <c r="L2191" s="72" t="str">
        <f>IFERROR(IF(G2191="","",VLOOKUP($G2191,[1]基础信息!$B:$C,2,FALSE)+SUMIF(G$8:G2191,G2191,J$8:J2191)-SUMIF(G$8:G2191,G2191,K$8:K2191)+SUMIFS([1]内部转账!$G:$G,[1]内部转账!$C:$C,"&lt;="&amp;$D2191,[1]内部转账!$E:$E,$G2191)-SUMIFS([1]内部转账!$G:$G,[1]内部转账!$C:$C,"&lt;="&amp;$D2191,[1]内部转账!$F:$F,$G2191)),"")</f>
        <v/>
      </c>
      <c r="M2191" s="64"/>
      <c r="N2191" s="69"/>
      <c r="O2191" s="64"/>
      <c r="P2191" s="64"/>
      <c r="Q2191" s="69"/>
      <c r="R2191" s="69"/>
      <c r="S2191" s="69"/>
    </row>
    <row r="2192" s="2" customFormat="1" ht="24.95" customHeight="1" spans="1:19">
      <c r="A2192" s="15"/>
      <c r="B2192" s="55"/>
      <c r="C2192" s="56"/>
      <c r="D2192" s="68"/>
      <c r="E2192" s="69"/>
      <c r="F2192" s="69"/>
      <c r="G2192" s="65"/>
      <c r="H2192" s="65"/>
      <c r="I2192" s="70"/>
      <c r="J2192" s="71"/>
      <c r="K2192" s="71"/>
      <c r="L2192" s="72" t="str">
        <f>IFERROR(IF(G2192="","",VLOOKUP($G2192,[1]基础信息!$B:$C,2,FALSE)+SUMIF(G$8:G2192,G2192,J$8:J2192)-SUMIF(G$8:G2192,G2192,K$8:K2192)+SUMIFS([1]内部转账!$G:$G,[1]内部转账!$C:$C,"&lt;="&amp;$D2192,[1]内部转账!$E:$E,$G2192)-SUMIFS([1]内部转账!$G:$G,[1]内部转账!$C:$C,"&lt;="&amp;$D2192,[1]内部转账!$F:$F,$G2192)),"")</f>
        <v/>
      </c>
      <c r="M2192" s="64"/>
      <c r="N2192" s="69"/>
      <c r="O2192" s="64"/>
      <c r="P2192" s="64"/>
      <c r="Q2192" s="69"/>
      <c r="R2192" s="69"/>
      <c r="S2192" s="69"/>
    </row>
    <row r="2193" s="2" customFormat="1" ht="24.95" customHeight="1" spans="1:19">
      <c r="A2193" s="15"/>
      <c r="B2193" s="55"/>
      <c r="C2193" s="56"/>
      <c r="D2193" s="68"/>
      <c r="E2193" s="69"/>
      <c r="F2193" s="69"/>
      <c r="G2193" s="65"/>
      <c r="H2193" s="65"/>
      <c r="I2193" s="70"/>
      <c r="J2193" s="71"/>
      <c r="K2193" s="71"/>
      <c r="L2193" s="72" t="str">
        <f>IFERROR(IF(G2193="","",VLOOKUP($G2193,[1]基础信息!$B:$C,2,FALSE)+SUMIF(G$8:G2193,G2193,J$8:J2193)-SUMIF(G$8:G2193,G2193,K$8:K2193)+SUMIFS([1]内部转账!$G:$G,[1]内部转账!$C:$C,"&lt;="&amp;$D2193,[1]内部转账!$E:$E,$G2193)-SUMIFS([1]内部转账!$G:$G,[1]内部转账!$C:$C,"&lt;="&amp;$D2193,[1]内部转账!$F:$F,$G2193)),"")</f>
        <v/>
      </c>
      <c r="M2193" s="64"/>
      <c r="N2193" s="69"/>
      <c r="O2193" s="64"/>
      <c r="P2193" s="64"/>
      <c r="Q2193" s="69"/>
      <c r="R2193" s="69"/>
      <c r="S2193" s="69"/>
    </row>
    <row r="2194" s="2" customFormat="1" ht="24.95" customHeight="1" spans="1:19">
      <c r="A2194" s="15"/>
      <c r="B2194" s="55"/>
      <c r="C2194" s="56"/>
      <c r="D2194" s="68"/>
      <c r="E2194" s="69"/>
      <c r="F2194" s="69"/>
      <c r="G2194" s="65"/>
      <c r="H2194" s="65"/>
      <c r="I2194" s="70"/>
      <c r="J2194" s="71"/>
      <c r="K2194" s="71"/>
      <c r="L2194" s="72" t="str">
        <f>IFERROR(IF(G2194="","",VLOOKUP($G2194,[1]基础信息!$B:$C,2,FALSE)+SUMIF(G$8:G2194,G2194,J$8:J2194)-SUMIF(G$8:G2194,G2194,K$8:K2194)+SUMIFS([1]内部转账!$G:$G,[1]内部转账!$C:$C,"&lt;="&amp;$D2194,[1]内部转账!$E:$E,$G2194)-SUMIFS([1]内部转账!$G:$G,[1]内部转账!$C:$C,"&lt;="&amp;$D2194,[1]内部转账!$F:$F,$G2194)),"")</f>
        <v/>
      </c>
      <c r="M2194" s="64"/>
      <c r="N2194" s="69"/>
      <c r="O2194" s="64"/>
      <c r="P2194" s="64"/>
      <c r="Q2194" s="69"/>
      <c r="R2194" s="69"/>
      <c r="S2194" s="69"/>
    </row>
    <row r="2195" s="2" customFormat="1" ht="24.95" customHeight="1" spans="1:19">
      <c r="A2195" s="15"/>
      <c r="B2195" s="55"/>
      <c r="C2195" s="56"/>
      <c r="D2195" s="68"/>
      <c r="E2195" s="69"/>
      <c r="F2195" s="69"/>
      <c r="G2195" s="65"/>
      <c r="H2195" s="65"/>
      <c r="I2195" s="70"/>
      <c r="J2195" s="71"/>
      <c r="K2195" s="71"/>
      <c r="L2195" s="72" t="str">
        <f>IFERROR(IF(G2195="","",VLOOKUP($G2195,[1]基础信息!$B:$C,2,FALSE)+SUMIF(G$8:G2195,G2195,J$8:J2195)-SUMIF(G$8:G2195,G2195,K$8:K2195)+SUMIFS([1]内部转账!$G:$G,[1]内部转账!$C:$C,"&lt;="&amp;$D2195,[1]内部转账!$E:$E,$G2195)-SUMIFS([1]内部转账!$G:$G,[1]内部转账!$C:$C,"&lt;="&amp;$D2195,[1]内部转账!$F:$F,$G2195)),"")</f>
        <v/>
      </c>
      <c r="M2195" s="64"/>
      <c r="N2195" s="69"/>
      <c r="O2195" s="64"/>
      <c r="P2195" s="64"/>
      <c r="Q2195" s="69"/>
      <c r="R2195" s="69"/>
      <c r="S2195" s="69"/>
    </row>
    <row r="2196" s="2" customFormat="1" ht="24.95" customHeight="1" spans="1:19">
      <c r="A2196" s="15"/>
      <c r="B2196" s="55"/>
      <c r="C2196" s="56"/>
      <c r="D2196" s="68"/>
      <c r="E2196" s="69"/>
      <c r="F2196" s="69"/>
      <c r="G2196" s="65"/>
      <c r="H2196" s="65"/>
      <c r="I2196" s="70"/>
      <c r="J2196" s="71"/>
      <c r="K2196" s="71"/>
      <c r="L2196" s="72" t="str">
        <f>IFERROR(IF(G2196="","",VLOOKUP($G2196,[1]基础信息!$B:$C,2,FALSE)+SUMIF(G$8:G2196,G2196,J$8:J2196)-SUMIF(G$8:G2196,G2196,K$8:K2196)+SUMIFS([1]内部转账!$G:$G,[1]内部转账!$C:$C,"&lt;="&amp;$D2196,[1]内部转账!$E:$E,$G2196)-SUMIFS([1]内部转账!$G:$G,[1]内部转账!$C:$C,"&lt;="&amp;$D2196,[1]内部转账!$F:$F,$G2196)),"")</f>
        <v/>
      </c>
      <c r="M2196" s="64"/>
      <c r="N2196" s="69"/>
      <c r="O2196" s="64"/>
      <c r="P2196" s="64"/>
      <c r="Q2196" s="69"/>
      <c r="R2196" s="69"/>
      <c r="S2196" s="69"/>
    </row>
    <row r="2197" s="2" customFormat="1" ht="24.95" customHeight="1" spans="1:19">
      <c r="A2197" s="15"/>
      <c r="B2197" s="55"/>
      <c r="C2197" s="56"/>
      <c r="D2197" s="68"/>
      <c r="E2197" s="69"/>
      <c r="F2197" s="69"/>
      <c r="G2197" s="65"/>
      <c r="H2197" s="65"/>
      <c r="I2197" s="70"/>
      <c r="J2197" s="71"/>
      <c r="K2197" s="71"/>
      <c r="L2197" s="72" t="str">
        <f>IFERROR(IF(G2197="","",VLOOKUP($G2197,[1]基础信息!$B:$C,2,FALSE)+SUMIF(G$8:G2197,G2197,J$8:J2197)-SUMIF(G$8:G2197,G2197,K$8:K2197)+SUMIFS([1]内部转账!$G:$G,[1]内部转账!$C:$C,"&lt;="&amp;$D2197,[1]内部转账!$E:$E,$G2197)-SUMIFS([1]内部转账!$G:$G,[1]内部转账!$C:$C,"&lt;="&amp;$D2197,[1]内部转账!$F:$F,$G2197)),"")</f>
        <v/>
      </c>
      <c r="M2197" s="64"/>
      <c r="N2197" s="69"/>
      <c r="O2197" s="64"/>
      <c r="P2197" s="64"/>
      <c r="Q2197" s="69"/>
      <c r="R2197" s="69"/>
      <c r="S2197" s="69"/>
    </row>
    <row r="2198" s="2" customFormat="1" ht="24.95" customHeight="1" spans="1:19">
      <c r="A2198" s="15"/>
      <c r="B2198" s="55"/>
      <c r="C2198" s="56"/>
      <c r="D2198" s="68"/>
      <c r="E2198" s="69"/>
      <c r="F2198" s="69"/>
      <c r="G2198" s="65"/>
      <c r="H2198" s="65"/>
      <c r="I2198" s="70"/>
      <c r="J2198" s="71"/>
      <c r="K2198" s="71"/>
      <c r="L2198" s="72" t="str">
        <f>IFERROR(IF(G2198="","",VLOOKUP($G2198,[1]基础信息!$B:$C,2,FALSE)+SUMIF(G$8:G2198,G2198,J$8:J2198)-SUMIF(G$8:G2198,G2198,K$8:K2198)+SUMIFS([1]内部转账!$G:$G,[1]内部转账!$C:$C,"&lt;="&amp;$D2198,[1]内部转账!$E:$E,$G2198)-SUMIFS([1]内部转账!$G:$G,[1]内部转账!$C:$C,"&lt;="&amp;$D2198,[1]内部转账!$F:$F,$G2198)),"")</f>
        <v/>
      </c>
      <c r="M2198" s="64"/>
      <c r="N2198" s="69"/>
      <c r="O2198" s="64"/>
      <c r="P2198" s="64"/>
      <c r="Q2198" s="69"/>
      <c r="R2198" s="69"/>
      <c r="S2198" s="69"/>
    </row>
    <row r="2199" s="2" customFormat="1" ht="24.95" customHeight="1" spans="1:19">
      <c r="A2199" s="15"/>
      <c r="B2199" s="55"/>
      <c r="C2199" s="56"/>
      <c r="D2199" s="68"/>
      <c r="E2199" s="69"/>
      <c r="F2199" s="69"/>
      <c r="G2199" s="65"/>
      <c r="H2199" s="65"/>
      <c r="I2199" s="70"/>
      <c r="J2199" s="71"/>
      <c r="K2199" s="71"/>
      <c r="L2199" s="72" t="str">
        <f>IFERROR(IF(G2199="","",VLOOKUP($G2199,[1]基础信息!$B:$C,2,FALSE)+SUMIF(G$8:G2199,G2199,J$8:J2199)-SUMIF(G$8:G2199,G2199,K$8:K2199)+SUMIFS([1]内部转账!$G:$G,[1]内部转账!$C:$C,"&lt;="&amp;$D2199,[1]内部转账!$E:$E,$G2199)-SUMIFS([1]内部转账!$G:$G,[1]内部转账!$C:$C,"&lt;="&amp;$D2199,[1]内部转账!$F:$F,$G2199)),"")</f>
        <v/>
      </c>
      <c r="M2199" s="64"/>
      <c r="N2199" s="69"/>
      <c r="O2199" s="64"/>
      <c r="P2199" s="64"/>
      <c r="Q2199" s="69"/>
      <c r="R2199" s="69"/>
      <c r="S2199" s="69"/>
    </row>
    <row r="2200" s="2" customFormat="1" ht="24.95" customHeight="1" spans="1:19">
      <c r="A2200" s="15"/>
      <c r="B2200" s="55"/>
      <c r="C2200" s="56"/>
      <c r="D2200" s="68"/>
      <c r="E2200" s="69"/>
      <c r="F2200" s="69"/>
      <c r="G2200" s="65"/>
      <c r="H2200" s="65"/>
      <c r="I2200" s="70"/>
      <c r="J2200" s="71"/>
      <c r="K2200" s="71"/>
      <c r="L2200" s="72" t="str">
        <f>IFERROR(IF(G2200="","",VLOOKUP($G2200,[1]基础信息!$B:$C,2,FALSE)+SUMIF(G$8:G2200,G2200,J$8:J2200)-SUMIF(G$8:G2200,G2200,K$8:K2200)+SUMIFS([1]内部转账!$G:$G,[1]内部转账!$C:$C,"&lt;="&amp;$D2200,[1]内部转账!$E:$E,$G2200)-SUMIFS([1]内部转账!$G:$G,[1]内部转账!$C:$C,"&lt;="&amp;$D2200,[1]内部转账!$F:$F,$G2200)),"")</f>
        <v/>
      </c>
      <c r="M2200" s="64"/>
      <c r="N2200" s="69"/>
      <c r="O2200" s="64"/>
      <c r="P2200" s="64"/>
      <c r="Q2200" s="69"/>
      <c r="R2200" s="69"/>
      <c r="S2200" s="69"/>
    </row>
    <row r="2201" s="2" customFormat="1" ht="24.95" customHeight="1" spans="1:19">
      <c r="A2201" s="15"/>
      <c r="B2201" s="55"/>
      <c r="C2201" s="56"/>
      <c r="D2201" s="68"/>
      <c r="E2201" s="69"/>
      <c r="F2201" s="69"/>
      <c r="G2201" s="65"/>
      <c r="H2201" s="65"/>
      <c r="I2201" s="70"/>
      <c r="J2201" s="71"/>
      <c r="K2201" s="71"/>
      <c r="L2201" s="72" t="str">
        <f>IFERROR(IF(G2201="","",VLOOKUP($G2201,[1]基础信息!$B:$C,2,FALSE)+SUMIF(G$8:G2201,G2201,J$8:J2201)-SUMIF(G$8:G2201,G2201,K$8:K2201)+SUMIFS([1]内部转账!$G:$G,[1]内部转账!$C:$C,"&lt;="&amp;$D2201,[1]内部转账!$E:$E,$G2201)-SUMIFS([1]内部转账!$G:$G,[1]内部转账!$C:$C,"&lt;="&amp;$D2201,[1]内部转账!$F:$F,$G2201)),"")</f>
        <v/>
      </c>
      <c r="M2201" s="64"/>
      <c r="N2201" s="69"/>
      <c r="O2201" s="64"/>
      <c r="P2201" s="64"/>
      <c r="Q2201" s="69"/>
      <c r="R2201" s="69"/>
      <c r="S2201" s="69"/>
    </row>
    <row r="2202" s="2" customFormat="1" ht="24.95" customHeight="1" spans="1:19">
      <c r="A2202" s="15"/>
      <c r="B2202" s="55"/>
      <c r="C2202" s="56"/>
      <c r="D2202" s="68"/>
      <c r="E2202" s="69"/>
      <c r="F2202" s="69"/>
      <c r="G2202" s="65"/>
      <c r="H2202" s="65"/>
      <c r="I2202" s="70"/>
      <c r="J2202" s="71"/>
      <c r="K2202" s="71"/>
      <c r="L2202" s="72" t="str">
        <f>IFERROR(IF(G2202="","",VLOOKUP($G2202,[1]基础信息!$B:$C,2,FALSE)+SUMIF(G$8:G2202,G2202,J$8:J2202)-SUMIF(G$8:G2202,G2202,K$8:K2202)+SUMIFS([1]内部转账!$G:$G,[1]内部转账!$C:$C,"&lt;="&amp;$D2202,[1]内部转账!$E:$E,$G2202)-SUMIFS([1]内部转账!$G:$G,[1]内部转账!$C:$C,"&lt;="&amp;$D2202,[1]内部转账!$F:$F,$G2202)),"")</f>
        <v/>
      </c>
      <c r="M2202" s="64"/>
      <c r="N2202" s="69"/>
      <c r="O2202" s="64"/>
      <c r="P2202" s="64"/>
      <c r="Q2202" s="69"/>
      <c r="R2202" s="69"/>
      <c r="S2202" s="69"/>
    </row>
    <row r="2203" s="2" customFormat="1" ht="24.95" customHeight="1" spans="1:19">
      <c r="A2203" s="15"/>
      <c r="B2203" s="55"/>
      <c r="C2203" s="56"/>
      <c r="D2203" s="68"/>
      <c r="E2203" s="69"/>
      <c r="F2203" s="69"/>
      <c r="G2203" s="65"/>
      <c r="H2203" s="65"/>
      <c r="I2203" s="70"/>
      <c r="J2203" s="71"/>
      <c r="K2203" s="71"/>
      <c r="L2203" s="72" t="str">
        <f>IFERROR(IF(G2203="","",VLOOKUP($G2203,[1]基础信息!$B:$C,2,FALSE)+SUMIF(G$8:G2203,G2203,J$8:J2203)-SUMIF(G$8:G2203,G2203,K$8:K2203)+SUMIFS([1]内部转账!$G:$G,[1]内部转账!$C:$C,"&lt;="&amp;$D2203,[1]内部转账!$E:$E,$G2203)-SUMIFS([1]内部转账!$G:$G,[1]内部转账!$C:$C,"&lt;="&amp;$D2203,[1]内部转账!$F:$F,$G2203)),"")</f>
        <v/>
      </c>
      <c r="M2203" s="64"/>
      <c r="N2203" s="69"/>
      <c r="O2203" s="64"/>
      <c r="P2203" s="64"/>
      <c r="Q2203" s="69"/>
      <c r="R2203" s="69"/>
      <c r="S2203" s="69"/>
    </row>
    <row r="2204" s="2" customFormat="1" ht="24.95" customHeight="1" spans="1:19">
      <c r="A2204" s="15"/>
      <c r="B2204" s="55"/>
      <c r="C2204" s="56"/>
      <c r="D2204" s="68"/>
      <c r="E2204" s="69"/>
      <c r="F2204" s="69"/>
      <c r="G2204" s="65"/>
      <c r="H2204" s="65"/>
      <c r="I2204" s="70"/>
      <c r="J2204" s="71"/>
      <c r="K2204" s="71"/>
      <c r="L2204" s="72" t="str">
        <f>IFERROR(IF(G2204="","",VLOOKUP($G2204,[1]基础信息!$B:$C,2,FALSE)+SUMIF(G$8:G2204,G2204,J$8:J2204)-SUMIF(G$8:G2204,G2204,K$8:K2204)+SUMIFS([1]内部转账!$G:$G,[1]内部转账!$C:$C,"&lt;="&amp;$D2204,[1]内部转账!$E:$E,$G2204)-SUMIFS([1]内部转账!$G:$G,[1]内部转账!$C:$C,"&lt;="&amp;$D2204,[1]内部转账!$F:$F,$G2204)),"")</f>
        <v/>
      </c>
      <c r="M2204" s="64"/>
      <c r="N2204" s="69"/>
      <c r="O2204" s="64"/>
      <c r="P2204" s="64"/>
      <c r="Q2204" s="69"/>
      <c r="R2204" s="69"/>
      <c r="S2204" s="69"/>
    </row>
    <row r="2205" s="2" customFormat="1" ht="24.95" customHeight="1" spans="1:19">
      <c r="A2205" s="15"/>
      <c r="B2205" s="55"/>
      <c r="C2205" s="56"/>
      <c r="D2205" s="68"/>
      <c r="E2205" s="69"/>
      <c r="F2205" s="69"/>
      <c r="G2205" s="65"/>
      <c r="H2205" s="65"/>
      <c r="I2205" s="70"/>
      <c r="J2205" s="71"/>
      <c r="K2205" s="71"/>
      <c r="L2205" s="72" t="str">
        <f>IFERROR(IF(G2205="","",VLOOKUP($G2205,[1]基础信息!$B:$C,2,FALSE)+SUMIF(G$8:G2205,G2205,J$8:J2205)-SUMIF(G$8:G2205,G2205,K$8:K2205)+SUMIFS([1]内部转账!$G:$G,[1]内部转账!$C:$C,"&lt;="&amp;$D2205,[1]内部转账!$E:$E,$G2205)-SUMIFS([1]内部转账!$G:$G,[1]内部转账!$C:$C,"&lt;="&amp;$D2205,[1]内部转账!$F:$F,$G2205)),"")</f>
        <v/>
      </c>
      <c r="M2205" s="64"/>
      <c r="N2205" s="69"/>
      <c r="O2205" s="64"/>
      <c r="P2205" s="64"/>
      <c r="Q2205" s="69"/>
      <c r="R2205" s="69"/>
      <c r="S2205" s="69"/>
    </row>
    <row r="2206" s="2" customFormat="1" ht="24.95" customHeight="1" spans="1:19">
      <c r="A2206" s="15"/>
      <c r="B2206" s="55"/>
      <c r="C2206" s="56"/>
      <c r="D2206" s="68"/>
      <c r="E2206" s="69"/>
      <c r="F2206" s="69"/>
      <c r="G2206" s="65"/>
      <c r="H2206" s="65"/>
      <c r="I2206" s="70"/>
      <c r="J2206" s="71"/>
      <c r="K2206" s="71"/>
      <c r="L2206" s="72" t="str">
        <f>IFERROR(IF(G2206="","",VLOOKUP($G2206,[1]基础信息!$B:$C,2,FALSE)+SUMIF(G$8:G2206,G2206,J$8:J2206)-SUMIF(G$8:G2206,G2206,K$8:K2206)+SUMIFS([1]内部转账!$G:$G,[1]内部转账!$C:$C,"&lt;="&amp;$D2206,[1]内部转账!$E:$E,$G2206)-SUMIFS([1]内部转账!$G:$G,[1]内部转账!$C:$C,"&lt;="&amp;$D2206,[1]内部转账!$F:$F,$G2206)),"")</f>
        <v/>
      </c>
      <c r="M2206" s="64"/>
      <c r="N2206" s="69"/>
      <c r="O2206" s="64"/>
      <c r="P2206" s="64"/>
      <c r="Q2206" s="69"/>
      <c r="R2206" s="69"/>
      <c r="S2206" s="69"/>
    </row>
    <row r="2207" s="2" customFormat="1" ht="24.95" customHeight="1" spans="1:19">
      <c r="A2207" s="15"/>
      <c r="B2207" s="55"/>
      <c r="C2207" s="56"/>
      <c r="D2207" s="68"/>
      <c r="E2207" s="69"/>
      <c r="F2207" s="69"/>
      <c r="G2207" s="65"/>
      <c r="H2207" s="65"/>
      <c r="I2207" s="70"/>
      <c r="J2207" s="71"/>
      <c r="K2207" s="71"/>
      <c r="L2207" s="72" t="str">
        <f>IFERROR(IF(G2207="","",VLOOKUP($G2207,[1]基础信息!$B:$C,2,FALSE)+SUMIF(G$8:G2207,G2207,J$8:J2207)-SUMIF(G$8:G2207,G2207,K$8:K2207)+SUMIFS([1]内部转账!$G:$G,[1]内部转账!$C:$C,"&lt;="&amp;$D2207,[1]内部转账!$E:$E,$G2207)-SUMIFS([1]内部转账!$G:$G,[1]内部转账!$C:$C,"&lt;="&amp;$D2207,[1]内部转账!$F:$F,$G2207)),"")</f>
        <v/>
      </c>
      <c r="M2207" s="64"/>
      <c r="N2207" s="69"/>
      <c r="O2207" s="64"/>
      <c r="P2207" s="64"/>
      <c r="Q2207" s="69"/>
      <c r="R2207" s="69"/>
      <c r="S2207" s="69"/>
    </row>
    <row r="2208" s="2" customFormat="1" ht="24.95" customHeight="1" spans="1:19">
      <c r="A2208" s="15"/>
      <c r="B2208" s="55"/>
      <c r="C2208" s="56"/>
      <c r="D2208" s="68"/>
      <c r="E2208" s="69"/>
      <c r="F2208" s="69"/>
      <c r="G2208" s="65"/>
      <c r="H2208" s="65"/>
      <c r="I2208" s="70"/>
      <c r="J2208" s="71"/>
      <c r="K2208" s="71"/>
      <c r="L2208" s="72" t="str">
        <f>IFERROR(IF(G2208="","",VLOOKUP($G2208,[1]基础信息!$B:$C,2,FALSE)+SUMIF(G$8:G2208,G2208,J$8:J2208)-SUMIF(G$8:G2208,G2208,K$8:K2208)+SUMIFS([1]内部转账!$G:$G,[1]内部转账!$C:$C,"&lt;="&amp;$D2208,[1]内部转账!$E:$E,$G2208)-SUMIFS([1]内部转账!$G:$G,[1]内部转账!$C:$C,"&lt;="&amp;$D2208,[1]内部转账!$F:$F,$G2208)),"")</f>
        <v/>
      </c>
      <c r="M2208" s="64"/>
      <c r="N2208" s="69"/>
      <c r="O2208" s="64"/>
      <c r="P2208" s="64"/>
      <c r="Q2208" s="69"/>
      <c r="R2208" s="69"/>
      <c r="S2208" s="69"/>
    </row>
    <row r="2209" s="2" customFormat="1" ht="24.95" customHeight="1" spans="1:19">
      <c r="A2209" s="15"/>
      <c r="B2209" s="55"/>
      <c r="C2209" s="56"/>
      <c r="D2209" s="68"/>
      <c r="E2209" s="69"/>
      <c r="F2209" s="69"/>
      <c r="G2209" s="65"/>
      <c r="H2209" s="65"/>
      <c r="I2209" s="70"/>
      <c r="J2209" s="71"/>
      <c r="K2209" s="71"/>
      <c r="L2209" s="72" t="str">
        <f>IFERROR(IF(G2209="","",VLOOKUP($G2209,[1]基础信息!$B:$C,2,FALSE)+SUMIF(G$8:G2209,G2209,J$8:J2209)-SUMIF(G$8:G2209,G2209,K$8:K2209)+SUMIFS([1]内部转账!$G:$G,[1]内部转账!$C:$C,"&lt;="&amp;$D2209,[1]内部转账!$E:$E,$G2209)-SUMIFS([1]内部转账!$G:$G,[1]内部转账!$C:$C,"&lt;="&amp;$D2209,[1]内部转账!$F:$F,$G2209)),"")</f>
        <v/>
      </c>
      <c r="M2209" s="64"/>
      <c r="N2209" s="69"/>
      <c r="O2209" s="64"/>
      <c r="P2209" s="64"/>
      <c r="Q2209" s="69"/>
      <c r="R2209" s="69"/>
      <c r="S2209" s="69"/>
    </row>
    <row r="2210" s="2" customFormat="1" ht="24.95" customHeight="1" spans="1:19">
      <c r="A2210" s="15"/>
      <c r="B2210" s="55"/>
      <c r="C2210" s="56"/>
      <c r="D2210" s="68"/>
      <c r="E2210" s="69"/>
      <c r="F2210" s="69"/>
      <c r="G2210" s="65"/>
      <c r="H2210" s="65"/>
      <c r="I2210" s="70"/>
      <c r="J2210" s="71"/>
      <c r="K2210" s="71"/>
      <c r="L2210" s="72" t="str">
        <f>IFERROR(IF(G2210="","",VLOOKUP($G2210,[1]基础信息!$B:$C,2,FALSE)+SUMIF(G$8:G2210,G2210,J$8:J2210)-SUMIF(G$8:G2210,G2210,K$8:K2210)+SUMIFS([1]内部转账!$G:$G,[1]内部转账!$C:$C,"&lt;="&amp;$D2210,[1]内部转账!$E:$E,$G2210)-SUMIFS([1]内部转账!$G:$G,[1]内部转账!$C:$C,"&lt;="&amp;$D2210,[1]内部转账!$F:$F,$G2210)),"")</f>
        <v/>
      </c>
      <c r="M2210" s="64"/>
      <c r="N2210" s="69"/>
      <c r="O2210" s="64"/>
      <c r="P2210" s="64"/>
      <c r="Q2210" s="69"/>
      <c r="R2210" s="69"/>
      <c r="S2210" s="69"/>
    </row>
    <row r="2211" s="2" customFormat="1" ht="24.95" customHeight="1" spans="1:19">
      <c r="A2211" s="15"/>
      <c r="B2211" s="55"/>
      <c r="C2211" s="56"/>
      <c r="D2211" s="68"/>
      <c r="E2211" s="69"/>
      <c r="F2211" s="69"/>
      <c r="G2211" s="65"/>
      <c r="H2211" s="65"/>
      <c r="I2211" s="70"/>
      <c r="J2211" s="71"/>
      <c r="K2211" s="71"/>
      <c r="L2211" s="72" t="str">
        <f>IFERROR(IF(G2211="","",VLOOKUP($G2211,[1]基础信息!$B:$C,2,FALSE)+SUMIF(G$8:G2211,G2211,J$8:J2211)-SUMIF(G$8:G2211,G2211,K$8:K2211)+SUMIFS([1]内部转账!$G:$G,[1]内部转账!$C:$C,"&lt;="&amp;$D2211,[1]内部转账!$E:$E,$G2211)-SUMIFS([1]内部转账!$G:$G,[1]内部转账!$C:$C,"&lt;="&amp;$D2211,[1]内部转账!$F:$F,$G2211)),"")</f>
        <v/>
      </c>
      <c r="M2211" s="64"/>
      <c r="N2211" s="69"/>
      <c r="O2211" s="64"/>
      <c r="P2211" s="64"/>
      <c r="Q2211" s="69"/>
      <c r="R2211" s="69"/>
      <c r="S2211" s="69"/>
    </row>
    <row r="2212" s="2" customFormat="1" ht="24.95" customHeight="1" spans="1:19">
      <c r="A2212" s="15"/>
      <c r="B2212" s="55"/>
      <c r="C2212" s="56"/>
      <c r="D2212" s="68"/>
      <c r="E2212" s="69"/>
      <c r="F2212" s="69"/>
      <c r="G2212" s="65"/>
      <c r="H2212" s="65"/>
      <c r="I2212" s="70"/>
      <c r="J2212" s="71"/>
      <c r="K2212" s="71"/>
      <c r="L2212" s="72" t="str">
        <f>IFERROR(IF(G2212="","",VLOOKUP($G2212,[1]基础信息!$B:$C,2,FALSE)+SUMIF(G$8:G2212,G2212,J$8:J2212)-SUMIF(G$8:G2212,G2212,K$8:K2212)+SUMIFS([1]内部转账!$G:$G,[1]内部转账!$C:$C,"&lt;="&amp;$D2212,[1]内部转账!$E:$E,$G2212)-SUMIFS([1]内部转账!$G:$G,[1]内部转账!$C:$C,"&lt;="&amp;$D2212,[1]内部转账!$F:$F,$G2212)),"")</f>
        <v/>
      </c>
      <c r="M2212" s="64"/>
      <c r="N2212" s="69"/>
      <c r="O2212" s="64"/>
      <c r="P2212" s="64"/>
      <c r="Q2212" s="69"/>
      <c r="R2212" s="69"/>
      <c r="S2212" s="69"/>
    </row>
    <row r="2213" s="2" customFormat="1" ht="24.95" customHeight="1" spans="1:19">
      <c r="A2213" s="15"/>
      <c r="B2213" s="55"/>
      <c r="C2213" s="56"/>
      <c r="D2213" s="68"/>
      <c r="E2213" s="69"/>
      <c r="F2213" s="69"/>
      <c r="G2213" s="65"/>
      <c r="H2213" s="65"/>
      <c r="I2213" s="70"/>
      <c r="J2213" s="71"/>
      <c r="K2213" s="71"/>
      <c r="L2213" s="72" t="str">
        <f>IFERROR(IF(G2213="","",VLOOKUP($G2213,[1]基础信息!$B:$C,2,FALSE)+SUMIF(G$8:G2213,G2213,J$8:J2213)-SUMIF(G$8:G2213,G2213,K$8:K2213)+SUMIFS([1]内部转账!$G:$G,[1]内部转账!$C:$C,"&lt;="&amp;$D2213,[1]内部转账!$E:$E,$G2213)-SUMIFS([1]内部转账!$G:$G,[1]内部转账!$C:$C,"&lt;="&amp;$D2213,[1]内部转账!$F:$F,$G2213)),"")</f>
        <v/>
      </c>
      <c r="M2213" s="64"/>
      <c r="N2213" s="69"/>
      <c r="O2213" s="64"/>
      <c r="P2213" s="64"/>
      <c r="Q2213" s="69"/>
      <c r="R2213" s="69"/>
      <c r="S2213" s="69"/>
    </row>
    <row r="2214" s="2" customFormat="1" ht="24.95" customHeight="1" spans="1:19">
      <c r="A2214" s="15"/>
      <c r="B2214" s="55"/>
      <c r="C2214" s="56"/>
      <c r="D2214" s="68"/>
      <c r="E2214" s="69"/>
      <c r="F2214" s="69"/>
      <c r="G2214" s="65"/>
      <c r="H2214" s="65"/>
      <c r="I2214" s="70"/>
      <c r="J2214" s="71"/>
      <c r="K2214" s="71"/>
      <c r="L2214" s="72" t="str">
        <f>IFERROR(IF(G2214="","",VLOOKUP($G2214,[1]基础信息!$B:$C,2,FALSE)+SUMIF(G$8:G2214,G2214,J$8:J2214)-SUMIF(G$8:G2214,G2214,K$8:K2214)+SUMIFS([1]内部转账!$G:$G,[1]内部转账!$C:$C,"&lt;="&amp;$D2214,[1]内部转账!$E:$E,$G2214)-SUMIFS([1]内部转账!$G:$G,[1]内部转账!$C:$C,"&lt;="&amp;$D2214,[1]内部转账!$F:$F,$G2214)),"")</f>
        <v/>
      </c>
      <c r="M2214" s="64"/>
      <c r="N2214" s="69"/>
      <c r="O2214" s="64"/>
      <c r="P2214" s="64"/>
      <c r="Q2214" s="69"/>
      <c r="R2214" s="69"/>
      <c r="S2214" s="69"/>
    </row>
    <row r="2215" s="2" customFormat="1" ht="24.95" customHeight="1" spans="1:19">
      <c r="A2215" s="15"/>
      <c r="B2215" s="55"/>
      <c r="C2215" s="56"/>
      <c r="D2215" s="68"/>
      <c r="E2215" s="69"/>
      <c r="F2215" s="69"/>
      <c r="G2215" s="65"/>
      <c r="H2215" s="65"/>
      <c r="I2215" s="70"/>
      <c r="J2215" s="71"/>
      <c r="K2215" s="71"/>
      <c r="L2215" s="72" t="str">
        <f>IFERROR(IF(G2215="","",VLOOKUP($G2215,[1]基础信息!$B:$C,2,FALSE)+SUMIF(G$8:G2215,G2215,J$8:J2215)-SUMIF(G$8:G2215,G2215,K$8:K2215)+SUMIFS([1]内部转账!$G:$G,[1]内部转账!$C:$C,"&lt;="&amp;$D2215,[1]内部转账!$E:$E,$G2215)-SUMIFS([1]内部转账!$G:$G,[1]内部转账!$C:$C,"&lt;="&amp;$D2215,[1]内部转账!$F:$F,$G2215)),"")</f>
        <v/>
      </c>
      <c r="M2215" s="64"/>
      <c r="N2215" s="69"/>
      <c r="O2215" s="64"/>
      <c r="P2215" s="64"/>
      <c r="Q2215" s="69"/>
      <c r="R2215" s="69"/>
      <c r="S2215" s="69"/>
    </row>
    <row r="2216" s="2" customFormat="1" ht="24.95" customHeight="1" spans="1:19">
      <c r="A2216" s="15"/>
      <c r="B2216" s="55"/>
      <c r="C2216" s="56"/>
      <c r="D2216" s="68"/>
      <c r="E2216" s="69"/>
      <c r="F2216" s="69"/>
      <c r="G2216" s="65"/>
      <c r="H2216" s="65"/>
      <c r="I2216" s="70"/>
      <c r="J2216" s="71"/>
      <c r="K2216" s="71"/>
      <c r="L2216" s="72" t="str">
        <f>IFERROR(IF(G2216="","",VLOOKUP($G2216,[1]基础信息!$B:$C,2,FALSE)+SUMIF(G$8:G2216,G2216,J$8:J2216)-SUMIF(G$8:G2216,G2216,K$8:K2216)+SUMIFS([1]内部转账!$G:$G,[1]内部转账!$C:$C,"&lt;="&amp;$D2216,[1]内部转账!$E:$E,$G2216)-SUMIFS([1]内部转账!$G:$G,[1]内部转账!$C:$C,"&lt;="&amp;$D2216,[1]内部转账!$F:$F,$G2216)),"")</f>
        <v/>
      </c>
      <c r="M2216" s="64"/>
      <c r="N2216" s="69"/>
      <c r="O2216" s="64"/>
      <c r="P2216" s="64"/>
      <c r="Q2216" s="69"/>
      <c r="R2216" s="69"/>
      <c r="S2216" s="69"/>
    </row>
    <row r="2217" s="2" customFormat="1" ht="24.95" customHeight="1" spans="1:19">
      <c r="A2217" s="15"/>
      <c r="B2217" s="55"/>
      <c r="C2217" s="56"/>
      <c r="D2217" s="68"/>
      <c r="E2217" s="69"/>
      <c r="F2217" s="69"/>
      <c r="G2217" s="65"/>
      <c r="H2217" s="65"/>
      <c r="I2217" s="70"/>
      <c r="J2217" s="71"/>
      <c r="K2217" s="71"/>
      <c r="L2217" s="72" t="str">
        <f>IFERROR(IF(G2217="","",VLOOKUP($G2217,[1]基础信息!$B:$C,2,FALSE)+SUMIF(G$8:G2217,G2217,J$8:J2217)-SUMIF(G$8:G2217,G2217,K$8:K2217)+SUMIFS([1]内部转账!$G:$G,[1]内部转账!$C:$C,"&lt;="&amp;$D2217,[1]内部转账!$E:$E,$G2217)-SUMIFS([1]内部转账!$G:$G,[1]内部转账!$C:$C,"&lt;="&amp;$D2217,[1]内部转账!$F:$F,$G2217)),"")</f>
        <v/>
      </c>
      <c r="M2217" s="64"/>
      <c r="N2217" s="69"/>
      <c r="O2217" s="64"/>
      <c r="P2217" s="64"/>
      <c r="Q2217" s="69"/>
      <c r="R2217" s="69"/>
      <c r="S2217" s="69"/>
    </row>
    <row r="2218" s="2" customFormat="1" ht="24.95" customHeight="1" spans="1:19">
      <c r="A2218" s="15"/>
      <c r="B2218" s="55"/>
      <c r="C2218" s="56"/>
      <c r="D2218" s="68"/>
      <c r="E2218" s="69"/>
      <c r="F2218" s="69"/>
      <c r="G2218" s="65"/>
      <c r="H2218" s="65"/>
      <c r="I2218" s="70"/>
      <c r="J2218" s="71"/>
      <c r="K2218" s="71"/>
      <c r="L2218" s="72" t="str">
        <f>IFERROR(IF(G2218="","",VLOOKUP($G2218,[1]基础信息!$B:$C,2,FALSE)+SUMIF(G$8:G2218,G2218,J$8:J2218)-SUMIF(G$8:G2218,G2218,K$8:K2218)+SUMIFS([1]内部转账!$G:$G,[1]内部转账!$C:$C,"&lt;="&amp;$D2218,[1]内部转账!$E:$E,$G2218)-SUMIFS([1]内部转账!$G:$G,[1]内部转账!$C:$C,"&lt;="&amp;$D2218,[1]内部转账!$F:$F,$G2218)),"")</f>
        <v/>
      </c>
      <c r="M2218" s="64"/>
      <c r="N2218" s="69"/>
      <c r="O2218" s="64"/>
      <c r="P2218" s="64"/>
      <c r="Q2218" s="69"/>
      <c r="R2218" s="69"/>
      <c r="S2218" s="69"/>
    </row>
    <row r="2219" s="2" customFormat="1" ht="24.95" customHeight="1" spans="1:19">
      <c r="A2219" s="15"/>
      <c r="B2219" s="55"/>
      <c r="C2219" s="56"/>
      <c r="D2219" s="68"/>
      <c r="E2219" s="69"/>
      <c r="F2219" s="69"/>
      <c r="G2219" s="65"/>
      <c r="H2219" s="65"/>
      <c r="I2219" s="70"/>
      <c r="J2219" s="71"/>
      <c r="K2219" s="71"/>
      <c r="L2219" s="72" t="str">
        <f>IFERROR(IF(G2219="","",VLOOKUP($G2219,[1]基础信息!$B:$C,2,FALSE)+SUMIF(G$8:G2219,G2219,J$8:J2219)-SUMIF(G$8:G2219,G2219,K$8:K2219)+SUMIFS([1]内部转账!$G:$G,[1]内部转账!$C:$C,"&lt;="&amp;$D2219,[1]内部转账!$E:$E,$G2219)-SUMIFS([1]内部转账!$G:$G,[1]内部转账!$C:$C,"&lt;="&amp;$D2219,[1]内部转账!$F:$F,$G2219)),"")</f>
        <v/>
      </c>
      <c r="M2219" s="64"/>
      <c r="N2219" s="69"/>
      <c r="O2219" s="64"/>
      <c r="P2219" s="64"/>
      <c r="Q2219" s="69"/>
      <c r="R2219" s="69"/>
      <c r="S2219" s="69"/>
    </row>
    <row r="2220" s="2" customFormat="1" ht="24.95" customHeight="1" spans="1:19">
      <c r="A2220" s="15"/>
      <c r="B2220" s="55"/>
      <c r="C2220" s="56"/>
      <c r="D2220" s="68"/>
      <c r="E2220" s="69"/>
      <c r="F2220" s="69"/>
      <c r="G2220" s="65"/>
      <c r="H2220" s="65"/>
      <c r="I2220" s="70"/>
      <c r="J2220" s="71"/>
      <c r="K2220" s="71"/>
      <c r="L2220" s="72" t="str">
        <f>IFERROR(IF(G2220="","",VLOOKUP($G2220,[1]基础信息!$B:$C,2,FALSE)+SUMIF(G$8:G2220,G2220,J$8:J2220)-SUMIF(G$8:G2220,G2220,K$8:K2220)+SUMIFS([1]内部转账!$G:$G,[1]内部转账!$C:$C,"&lt;="&amp;$D2220,[1]内部转账!$E:$E,$G2220)-SUMIFS([1]内部转账!$G:$G,[1]内部转账!$C:$C,"&lt;="&amp;$D2220,[1]内部转账!$F:$F,$G2220)),"")</f>
        <v/>
      </c>
      <c r="M2220" s="64"/>
      <c r="N2220" s="69"/>
      <c r="O2220" s="64"/>
      <c r="P2220" s="64"/>
      <c r="Q2220" s="69"/>
      <c r="R2220" s="69"/>
      <c r="S2220" s="69"/>
    </row>
    <row r="2221" s="2" customFormat="1" ht="24.95" customHeight="1" spans="1:19">
      <c r="A2221" s="15"/>
      <c r="B2221" s="55"/>
      <c r="C2221" s="56"/>
      <c r="D2221" s="68"/>
      <c r="E2221" s="69"/>
      <c r="F2221" s="69"/>
      <c r="G2221" s="65"/>
      <c r="H2221" s="65"/>
      <c r="I2221" s="70"/>
      <c r="J2221" s="71"/>
      <c r="K2221" s="71"/>
      <c r="L2221" s="72" t="str">
        <f>IFERROR(IF(G2221="","",VLOOKUP($G2221,[1]基础信息!$B:$C,2,FALSE)+SUMIF(G$8:G2221,G2221,J$8:J2221)-SUMIF(G$8:G2221,G2221,K$8:K2221)+SUMIFS([1]内部转账!$G:$G,[1]内部转账!$C:$C,"&lt;="&amp;$D2221,[1]内部转账!$E:$E,$G2221)-SUMIFS([1]内部转账!$G:$G,[1]内部转账!$C:$C,"&lt;="&amp;$D2221,[1]内部转账!$F:$F,$G2221)),"")</f>
        <v/>
      </c>
      <c r="M2221" s="64"/>
      <c r="N2221" s="69"/>
      <c r="O2221" s="64"/>
      <c r="P2221" s="64"/>
      <c r="Q2221" s="69"/>
      <c r="R2221" s="69"/>
      <c r="S2221" s="69"/>
    </row>
    <row r="2222" s="2" customFormat="1" ht="24.95" customHeight="1" spans="1:19">
      <c r="A2222" s="15"/>
      <c r="B2222" s="55"/>
      <c r="C2222" s="56"/>
      <c r="D2222" s="68"/>
      <c r="E2222" s="69"/>
      <c r="F2222" s="69"/>
      <c r="G2222" s="65"/>
      <c r="H2222" s="65"/>
      <c r="I2222" s="70"/>
      <c r="J2222" s="71"/>
      <c r="K2222" s="71"/>
      <c r="L2222" s="72" t="str">
        <f>IFERROR(IF(G2222="","",VLOOKUP($G2222,[1]基础信息!$B:$C,2,FALSE)+SUMIF(G$8:G2222,G2222,J$8:J2222)-SUMIF(G$8:G2222,G2222,K$8:K2222)+SUMIFS([1]内部转账!$G:$G,[1]内部转账!$C:$C,"&lt;="&amp;$D2222,[1]内部转账!$E:$E,$G2222)-SUMIFS([1]内部转账!$G:$G,[1]内部转账!$C:$C,"&lt;="&amp;$D2222,[1]内部转账!$F:$F,$G2222)),"")</f>
        <v/>
      </c>
      <c r="M2222" s="64"/>
      <c r="N2222" s="69"/>
      <c r="O2222" s="64"/>
      <c r="P2222" s="64"/>
      <c r="Q2222" s="69"/>
      <c r="R2222" s="69"/>
      <c r="S2222" s="69"/>
    </row>
    <row r="2223" s="2" customFormat="1" ht="24.95" customHeight="1" spans="1:19">
      <c r="A2223" s="15"/>
      <c r="B2223" s="55"/>
      <c r="C2223" s="56"/>
      <c r="D2223" s="68"/>
      <c r="E2223" s="69"/>
      <c r="F2223" s="69"/>
      <c r="G2223" s="65"/>
      <c r="H2223" s="65"/>
      <c r="I2223" s="70"/>
      <c r="J2223" s="71"/>
      <c r="K2223" s="71"/>
      <c r="L2223" s="72" t="str">
        <f>IFERROR(IF(G2223="","",VLOOKUP($G2223,[1]基础信息!$B:$C,2,FALSE)+SUMIF(G$8:G2223,G2223,J$8:J2223)-SUMIF(G$8:G2223,G2223,K$8:K2223)+SUMIFS([1]内部转账!$G:$G,[1]内部转账!$C:$C,"&lt;="&amp;$D2223,[1]内部转账!$E:$E,$G2223)-SUMIFS([1]内部转账!$G:$G,[1]内部转账!$C:$C,"&lt;="&amp;$D2223,[1]内部转账!$F:$F,$G2223)),"")</f>
        <v/>
      </c>
      <c r="M2223" s="64"/>
      <c r="N2223" s="69"/>
      <c r="O2223" s="64"/>
      <c r="P2223" s="64"/>
      <c r="Q2223" s="69"/>
      <c r="R2223" s="69"/>
      <c r="S2223" s="69"/>
    </row>
    <row r="2224" s="2" customFormat="1" ht="24.95" customHeight="1" spans="1:19">
      <c r="A2224" s="15"/>
      <c r="B2224" s="55"/>
      <c r="C2224" s="56"/>
      <c r="D2224" s="68"/>
      <c r="E2224" s="69"/>
      <c r="F2224" s="69"/>
      <c r="G2224" s="65"/>
      <c r="H2224" s="65"/>
      <c r="I2224" s="70"/>
      <c r="J2224" s="71"/>
      <c r="K2224" s="71"/>
      <c r="L2224" s="72" t="str">
        <f>IFERROR(IF(G2224="","",VLOOKUP($G2224,[1]基础信息!$B:$C,2,FALSE)+SUMIF(G$8:G2224,G2224,J$8:J2224)-SUMIF(G$8:G2224,G2224,K$8:K2224)+SUMIFS([1]内部转账!$G:$G,[1]内部转账!$C:$C,"&lt;="&amp;$D2224,[1]内部转账!$E:$E,$G2224)-SUMIFS([1]内部转账!$G:$G,[1]内部转账!$C:$C,"&lt;="&amp;$D2224,[1]内部转账!$F:$F,$G2224)),"")</f>
        <v/>
      </c>
      <c r="M2224" s="64"/>
      <c r="N2224" s="69"/>
      <c r="O2224" s="64"/>
      <c r="P2224" s="64"/>
      <c r="Q2224" s="69"/>
      <c r="R2224" s="69"/>
      <c r="S2224" s="69"/>
    </row>
    <row r="2225" s="2" customFormat="1" ht="24.95" customHeight="1" spans="1:19">
      <c r="A2225" s="15"/>
      <c r="B2225" s="55"/>
      <c r="C2225" s="56"/>
      <c r="D2225" s="68"/>
      <c r="E2225" s="69"/>
      <c r="F2225" s="69"/>
      <c r="G2225" s="65"/>
      <c r="H2225" s="65"/>
      <c r="I2225" s="70"/>
      <c r="J2225" s="71"/>
      <c r="K2225" s="71"/>
      <c r="L2225" s="72" t="str">
        <f>IFERROR(IF(G2225="","",VLOOKUP($G2225,[1]基础信息!$B:$C,2,FALSE)+SUMIF(G$8:G2225,G2225,J$8:J2225)-SUMIF(G$8:G2225,G2225,K$8:K2225)+SUMIFS([1]内部转账!$G:$G,[1]内部转账!$C:$C,"&lt;="&amp;$D2225,[1]内部转账!$E:$E,$G2225)-SUMIFS([1]内部转账!$G:$G,[1]内部转账!$C:$C,"&lt;="&amp;$D2225,[1]内部转账!$F:$F,$G2225)),"")</f>
        <v/>
      </c>
      <c r="M2225" s="64"/>
      <c r="N2225" s="69"/>
      <c r="O2225" s="64"/>
      <c r="P2225" s="64"/>
      <c r="Q2225" s="69"/>
      <c r="R2225" s="69"/>
      <c r="S2225" s="69"/>
    </row>
    <row r="2226" s="2" customFormat="1" ht="24.95" customHeight="1" spans="1:19">
      <c r="A2226" s="15"/>
      <c r="B2226" s="55"/>
      <c r="C2226" s="56"/>
      <c r="D2226" s="68"/>
      <c r="E2226" s="69"/>
      <c r="F2226" s="69"/>
      <c r="G2226" s="65"/>
      <c r="H2226" s="65"/>
      <c r="I2226" s="70"/>
      <c r="J2226" s="71"/>
      <c r="K2226" s="71"/>
      <c r="L2226" s="72" t="str">
        <f>IFERROR(IF(G2226="","",VLOOKUP($G2226,[1]基础信息!$B:$C,2,FALSE)+SUMIF(G$8:G2226,G2226,J$8:J2226)-SUMIF(G$8:G2226,G2226,K$8:K2226)+SUMIFS([1]内部转账!$G:$G,[1]内部转账!$C:$C,"&lt;="&amp;$D2226,[1]内部转账!$E:$E,$G2226)-SUMIFS([1]内部转账!$G:$G,[1]内部转账!$C:$C,"&lt;="&amp;$D2226,[1]内部转账!$F:$F,$G2226)),"")</f>
        <v/>
      </c>
      <c r="M2226" s="64"/>
      <c r="N2226" s="69"/>
      <c r="O2226" s="64"/>
      <c r="P2226" s="64"/>
      <c r="Q2226" s="69"/>
      <c r="R2226" s="69"/>
      <c r="S2226" s="69"/>
    </row>
    <row r="2227" s="2" customFormat="1" ht="24.95" customHeight="1" spans="1:19">
      <c r="A2227" s="15"/>
      <c r="B2227" s="55"/>
      <c r="C2227" s="56"/>
      <c r="D2227" s="68"/>
      <c r="E2227" s="69"/>
      <c r="F2227" s="69"/>
      <c r="G2227" s="65"/>
      <c r="H2227" s="65"/>
      <c r="I2227" s="70"/>
      <c r="J2227" s="71"/>
      <c r="K2227" s="71"/>
      <c r="L2227" s="72" t="str">
        <f>IFERROR(IF(G2227="","",VLOOKUP($G2227,[1]基础信息!$B:$C,2,FALSE)+SUMIF(G$8:G2227,G2227,J$8:J2227)-SUMIF(G$8:G2227,G2227,K$8:K2227)+SUMIFS([1]内部转账!$G:$G,[1]内部转账!$C:$C,"&lt;="&amp;$D2227,[1]内部转账!$E:$E,$G2227)-SUMIFS([1]内部转账!$G:$G,[1]内部转账!$C:$C,"&lt;="&amp;$D2227,[1]内部转账!$F:$F,$G2227)),"")</f>
        <v/>
      </c>
      <c r="M2227" s="64"/>
      <c r="N2227" s="69"/>
      <c r="O2227" s="64"/>
      <c r="P2227" s="64"/>
      <c r="Q2227" s="69"/>
      <c r="R2227" s="69"/>
      <c r="S2227" s="69"/>
    </row>
    <row r="2228" s="2" customFormat="1" ht="24.95" customHeight="1" spans="1:19">
      <c r="A2228" s="15"/>
      <c r="B2228" s="55"/>
      <c r="C2228" s="56"/>
      <c r="D2228" s="68"/>
      <c r="E2228" s="69"/>
      <c r="F2228" s="69"/>
      <c r="G2228" s="65"/>
      <c r="H2228" s="65"/>
      <c r="I2228" s="70"/>
      <c r="J2228" s="71"/>
      <c r="K2228" s="71"/>
      <c r="L2228" s="72" t="str">
        <f>IFERROR(IF(G2228="","",VLOOKUP($G2228,[1]基础信息!$B:$C,2,FALSE)+SUMIF(G$8:G2228,G2228,J$8:J2228)-SUMIF(G$8:G2228,G2228,K$8:K2228)+SUMIFS([1]内部转账!$G:$G,[1]内部转账!$C:$C,"&lt;="&amp;$D2228,[1]内部转账!$E:$E,$G2228)-SUMIFS([1]内部转账!$G:$G,[1]内部转账!$C:$C,"&lt;="&amp;$D2228,[1]内部转账!$F:$F,$G2228)),"")</f>
        <v/>
      </c>
      <c r="M2228" s="64"/>
      <c r="N2228" s="69"/>
      <c r="O2228" s="64"/>
      <c r="P2228" s="64"/>
      <c r="Q2228" s="69"/>
      <c r="R2228" s="69"/>
      <c r="S2228" s="69"/>
    </row>
    <row r="2229" s="2" customFormat="1" ht="24.95" customHeight="1" spans="1:19">
      <c r="A2229" s="15"/>
      <c r="B2229" s="55"/>
      <c r="C2229" s="56"/>
      <c r="D2229" s="68"/>
      <c r="E2229" s="69"/>
      <c r="F2229" s="69"/>
      <c r="G2229" s="65"/>
      <c r="H2229" s="65"/>
      <c r="I2229" s="70"/>
      <c r="J2229" s="71"/>
      <c r="K2229" s="71"/>
      <c r="L2229" s="72" t="str">
        <f>IFERROR(IF(G2229="","",VLOOKUP($G2229,[1]基础信息!$B:$C,2,FALSE)+SUMIF(G$8:G2229,G2229,J$8:J2229)-SUMIF(G$8:G2229,G2229,K$8:K2229)+SUMIFS([1]内部转账!$G:$G,[1]内部转账!$C:$C,"&lt;="&amp;$D2229,[1]内部转账!$E:$E,$G2229)-SUMIFS([1]内部转账!$G:$G,[1]内部转账!$C:$C,"&lt;="&amp;$D2229,[1]内部转账!$F:$F,$G2229)),"")</f>
        <v/>
      </c>
      <c r="M2229" s="64"/>
      <c r="N2229" s="69"/>
      <c r="O2229" s="64"/>
      <c r="P2229" s="64"/>
      <c r="Q2229" s="69"/>
      <c r="R2229" s="69"/>
      <c r="S2229" s="69"/>
    </row>
    <row r="2230" s="2" customFormat="1" ht="24.95" customHeight="1" spans="1:19">
      <c r="A2230" s="15"/>
      <c r="B2230" s="55"/>
      <c r="C2230" s="56"/>
      <c r="D2230" s="68"/>
      <c r="E2230" s="69"/>
      <c r="F2230" s="69"/>
      <c r="G2230" s="65"/>
      <c r="H2230" s="65"/>
      <c r="I2230" s="70"/>
      <c r="J2230" s="71"/>
      <c r="K2230" s="71"/>
      <c r="L2230" s="72" t="str">
        <f>IFERROR(IF(G2230="","",VLOOKUP($G2230,[1]基础信息!$B:$C,2,FALSE)+SUMIF(G$8:G2230,G2230,J$8:J2230)-SUMIF(G$8:G2230,G2230,K$8:K2230)+SUMIFS([1]内部转账!$G:$G,[1]内部转账!$C:$C,"&lt;="&amp;$D2230,[1]内部转账!$E:$E,$G2230)-SUMIFS([1]内部转账!$G:$G,[1]内部转账!$C:$C,"&lt;="&amp;$D2230,[1]内部转账!$F:$F,$G2230)),"")</f>
        <v/>
      </c>
      <c r="M2230" s="64"/>
      <c r="N2230" s="69"/>
      <c r="O2230" s="64"/>
      <c r="P2230" s="64"/>
      <c r="Q2230" s="69"/>
      <c r="R2230" s="69"/>
      <c r="S2230" s="69"/>
    </row>
    <row r="2231" s="2" customFormat="1" ht="24.95" customHeight="1" spans="1:19">
      <c r="A2231" s="15"/>
      <c r="B2231" s="55"/>
      <c r="C2231" s="56"/>
      <c r="D2231" s="68"/>
      <c r="E2231" s="69"/>
      <c r="F2231" s="69"/>
      <c r="G2231" s="65"/>
      <c r="H2231" s="65"/>
      <c r="I2231" s="70"/>
      <c r="J2231" s="71"/>
      <c r="K2231" s="71"/>
      <c r="L2231" s="72" t="str">
        <f>IFERROR(IF(G2231="","",VLOOKUP($G2231,[1]基础信息!$B:$C,2,FALSE)+SUMIF(G$8:G2231,G2231,J$8:J2231)-SUMIF(G$8:G2231,G2231,K$8:K2231)+SUMIFS([1]内部转账!$G:$G,[1]内部转账!$C:$C,"&lt;="&amp;$D2231,[1]内部转账!$E:$E,$G2231)-SUMIFS([1]内部转账!$G:$G,[1]内部转账!$C:$C,"&lt;="&amp;$D2231,[1]内部转账!$F:$F,$G2231)),"")</f>
        <v/>
      </c>
      <c r="M2231" s="64"/>
      <c r="N2231" s="69"/>
      <c r="O2231" s="64"/>
      <c r="P2231" s="64"/>
      <c r="Q2231" s="69"/>
      <c r="R2231" s="69"/>
      <c r="S2231" s="69"/>
    </row>
    <row r="2232" s="2" customFormat="1" ht="24.95" customHeight="1" spans="1:19">
      <c r="A2232" s="15"/>
      <c r="B2232" s="55"/>
      <c r="C2232" s="56"/>
      <c r="D2232" s="68"/>
      <c r="E2232" s="69"/>
      <c r="F2232" s="69"/>
      <c r="G2232" s="65"/>
      <c r="H2232" s="65"/>
      <c r="I2232" s="70"/>
      <c r="J2232" s="71"/>
      <c r="K2232" s="71"/>
      <c r="L2232" s="72" t="str">
        <f>IFERROR(IF(G2232="","",VLOOKUP($G2232,[1]基础信息!$B:$C,2,FALSE)+SUMIF(G$8:G2232,G2232,J$8:J2232)-SUMIF(G$8:G2232,G2232,K$8:K2232)+SUMIFS([1]内部转账!$G:$G,[1]内部转账!$C:$C,"&lt;="&amp;$D2232,[1]内部转账!$E:$E,$G2232)-SUMIFS([1]内部转账!$G:$G,[1]内部转账!$C:$C,"&lt;="&amp;$D2232,[1]内部转账!$F:$F,$G2232)),"")</f>
        <v/>
      </c>
      <c r="M2232" s="64"/>
      <c r="N2232" s="69"/>
      <c r="O2232" s="64"/>
      <c r="P2232" s="64"/>
      <c r="Q2232" s="69"/>
      <c r="R2232" s="69"/>
      <c r="S2232" s="69"/>
    </row>
    <row r="2233" s="2" customFormat="1" ht="24.95" customHeight="1" spans="1:19">
      <c r="A2233" s="15"/>
      <c r="B2233" s="55"/>
      <c r="C2233" s="56"/>
      <c r="D2233" s="68"/>
      <c r="E2233" s="69"/>
      <c r="F2233" s="69"/>
      <c r="G2233" s="65"/>
      <c r="H2233" s="65"/>
      <c r="I2233" s="70"/>
      <c r="J2233" s="71"/>
      <c r="K2233" s="71"/>
      <c r="L2233" s="72" t="str">
        <f>IFERROR(IF(G2233="","",VLOOKUP($G2233,[1]基础信息!$B:$C,2,FALSE)+SUMIF(G$8:G2233,G2233,J$8:J2233)-SUMIF(G$8:G2233,G2233,K$8:K2233)+SUMIFS([1]内部转账!$G:$G,[1]内部转账!$C:$C,"&lt;="&amp;$D2233,[1]内部转账!$E:$E,$G2233)-SUMIFS([1]内部转账!$G:$G,[1]内部转账!$C:$C,"&lt;="&amp;$D2233,[1]内部转账!$F:$F,$G2233)),"")</f>
        <v/>
      </c>
      <c r="M2233" s="64"/>
      <c r="N2233" s="69"/>
      <c r="O2233" s="64"/>
      <c r="P2233" s="64"/>
      <c r="Q2233" s="69"/>
      <c r="R2233" s="69"/>
      <c r="S2233" s="69"/>
    </row>
    <row r="2234" s="2" customFormat="1" ht="24.95" customHeight="1" spans="1:19">
      <c r="A2234" s="15"/>
      <c r="B2234" s="55"/>
      <c r="C2234" s="56"/>
      <c r="D2234" s="68"/>
      <c r="E2234" s="69"/>
      <c r="F2234" s="69"/>
      <c r="G2234" s="65"/>
      <c r="H2234" s="65"/>
      <c r="I2234" s="70"/>
      <c r="J2234" s="71"/>
      <c r="K2234" s="71"/>
      <c r="L2234" s="72" t="str">
        <f>IFERROR(IF(G2234="","",VLOOKUP($G2234,[1]基础信息!$B:$C,2,FALSE)+SUMIF(G$8:G2234,G2234,J$8:J2234)-SUMIF(G$8:G2234,G2234,K$8:K2234)+SUMIFS([1]内部转账!$G:$G,[1]内部转账!$C:$C,"&lt;="&amp;$D2234,[1]内部转账!$E:$E,$G2234)-SUMIFS([1]内部转账!$G:$G,[1]内部转账!$C:$C,"&lt;="&amp;$D2234,[1]内部转账!$F:$F,$G2234)),"")</f>
        <v/>
      </c>
      <c r="M2234" s="64"/>
      <c r="N2234" s="69"/>
      <c r="O2234" s="64"/>
      <c r="P2234" s="64"/>
      <c r="Q2234" s="69"/>
      <c r="R2234" s="69"/>
      <c r="S2234" s="69"/>
    </row>
    <row r="2235" s="2" customFormat="1" ht="24.95" customHeight="1" spans="1:19">
      <c r="A2235" s="15"/>
      <c r="B2235" s="55"/>
      <c r="C2235" s="56"/>
      <c r="D2235" s="68"/>
      <c r="E2235" s="69"/>
      <c r="F2235" s="69"/>
      <c r="G2235" s="65"/>
      <c r="H2235" s="65"/>
      <c r="I2235" s="70"/>
      <c r="J2235" s="71"/>
      <c r="K2235" s="71"/>
      <c r="L2235" s="72" t="str">
        <f>IFERROR(IF(G2235="","",VLOOKUP($G2235,[1]基础信息!$B:$C,2,FALSE)+SUMIF(G$8:G2235,G2235,J$8:J2235)-SUMIF(G$8:G2235,G2235,K$8:K2235)+SUMIFS([1]内部转账!$G:$G,[1]内部转账!$C:$C,"&lt;="&amp;$D2235,[1]内部转账!$E:$E,$G2235)-SUMIFS([1]内部转账!$G:$G,[1]内部转账!$C:$C,"&lt;="&amp;$D2235,[1]内部转账!$F:$F,$G2235)),"")</f>
        <v/>
      </c>
      <c r="M2235" s="64"/>
      <c r="N2235" s="69"/>
      <c r="O2235" s="64"/>
      <c r="P2235" s="64"/>
      <c r="Q2235" s="69"/>
      <c r="R2235" s="69"/>
      <c r="S2235" s="69"/>
    </row>
    <row r="2236" s="2" customFormat="1" ht="24.95" customHeight="1" spans="1:19">
      <c r="A2236" s="15"/>
      <c r="B2236" s="55"/>
      <c r="C2236" s="56"/>
      <c r="D2236" s="68"/>
      <c r="E2236" s="69"/>
      <c r="F2236" s="69"/>
      <c r="G2236" s="65"/>
      <c r="H2236" s="65"/>
      <c r="I2236" s="70"/>
      <c r="J2236" s="71"/>
      <c r="K2236" s="71"/>
      <c r="L2236" s="72" t="str">
        <f>IFERROR(IF(G2236="","",VLOOKUP($G2236,[1]基础信息!$B:$C,2,FALSE)+SUMIF(G$8:G2236,G2236,J$8:J2236)-SUMIF(G$8:G2236,G2236,K$8:K2236)+SUMIFS([1]内部转账!$G:$G,[1]内部转账!$C:$C,"&lt;="&amp;$D2236,[1]内部转账!$E:$E,$G2236)-SUMIFS([1]内部转账!$G:$G,[1]内部转账!$C:$C,"&lt;="&amp;$D2236,[1]内部转账!$F:$F,$G2236)),"")</f>
        <v/>
      </c>
      <c r="M2236" s="64"/>
      <c r="N2236" s="69"/>
      <c r="O2236" s="64"/>
      <c r="P2236" s="64"/>
      <c r="Q2236" s="69"/>
      <c r="R2236" s="69"/>
      <c r="S2236" s="69"/>
    </row>
    <row r="2237" s="2" customFormat="1" ht="24.95" customHeight="1" spans="1:19">
      <c r="A2237" s="15"/>
      <c r="B2237" s="55"/>
      <c r="C2237" s="56"/>
      <c r="D2237" s="68"/>
      <c r="E2237" s="69"/>
      <c r="F2237" s="69"/>
      <c r="G2237" s="65"/>
      <c r="H2237" s="65"/>
      <c r="I2237" s="70"/>
      <c r="J2237" s="71"/>
      <c r="K2237" s="71"/>
      <c r="L2237" s="72" t="str">
        <f>IFERROR(IF(G2237="","",VLOOKUP($G2237,[1]基础信息!$B:$C,2,FALSE)+SUMIF(G$8:G2237,G2237,J$8:J2237)-SUMIF(G$8:G2237,G2237,K$8:K2237)+SUMIFS([1]内部转账!$G:$G,[1]内部转账!$C:$C,"&lt;="&amp;$D2237,[1]内部转账!$E:$E,$G2237)-SUMIFS([1]内部转账!$G:$G,[1]内部转账!$C:$C,"&lt;="&amp;$D2237,[1]内部转账!$F:$F,$G2237)),"")</f>
        <v/>
      </c>
      <c r="M2237" s="64"/>
      <c r="N2237" s="69"/>
      <c r="O2237" s="64"/>
      <c r="P2237" s="64"/>
      <c r="Q2237" s="69"/>
      <c r="R2237" s="69"/>
      <c r="S2237" s="69"/>
    </row>
    <row r="2238" s="2" customFormat="1" ht="24.95" customHeight="1" spans="1:19">
      <c r="A2238" s="15"/>
      <c r="B2238" s="55"/>
      <c r="C2238" s="56"/>
      <c r="D2238" s="68"/>
      <c r="E2238" s="69"/>
      <c r="F2238" s="69"/>
      <c r="G2238" s="65"/>
      <c r="H2238" s="65"/>
      <c r="I2238" s="70"/>
      <c r="J2238" s="71"/>
      <c r="K2238" s="71"/>
      <c r="L2238" s="72" t="str">
        <f>IFERROR(IF(G2238="","",VLOOKUP($G2238,[1]基础信息!$B:$C,2,FALSE)+SUMIF(G$8:G2238,G2238,J$8:J2238)-SUMIF(G$8:G2238,G2238,K$8:K2238)+SUMIFS([1]内部转账!$G:$G,[1]内部转账!$C:$C,"&lt;="&amp;$D2238,[1]内部转账!$E:$E,$G2238)-SUMIFS([1]内部转账!$G:$G,[1]内部转账!$C:$C,"&lt;="&amp;$D2238,[1]内部转账!$F:$F,$G2238)),"")</f>
        <v/>
      </c>
      <c r="M2238" s="64"/>
      <c r="N2238" s="69"/>
      <c r="O2238" s="64"/>
      <c r="P2238" s="64"/>
      <c r="Q2238" s="69"/>
      <c r="R2238" s="69"/>
      <c r="S2238" s="69"/>
    </row>
    <row r="2239" s="2" customFormat="1" ht="24.95" customHeight="1" spans="1:19">
      <c r="A2239" s="15"/>
      <c r="B2239" s="55"/>
      <c r="C2239" s="56"/>
      <c r="D2239" s="68"/>
      <c r="E2239" s="69"/>
      <c r="F2239" s="69"/>
      <c r="G2239" s="65"/>
      <c r="H2239" s="65"/>
      <c r="I2239" s="70"/>
      <c r="J2239" s="71"/>
      <c r="K2239" s="71"/>
      <c r="L2239" s="72" t="str">
        <f>IFERROR(IF(G2239="","",VLOOKUP($G2239,[1]基础信息!$B:$C,2,FALSE)+SUMIF(G$8:G2239,G2239,J$8:J2239)-SUMIF(G$8:G2239,G2239,K$8:K2239)+SUMIFS([1]内部转账!$G:$G,[1]内部转账!$C:$C,"&lt;="&amp;$D2239,[1]内部转账!$E:$E,$G2239)-SUMIFS([1]内部转账!$G:$G,[1]内部转账!$C:$C,"&lt;="&amp;$D2239,[1]内部转账!$F:$F,$G2239)),"")</f>
        <v/>
      </c>
      <c r="M2239" s="64"/>
      <c r="N2239" s="69"/>
      <c r="O2239" s="64"/>
      <c r="P2239" s="64"/>
      <c r="Q2239" s="69"/>
      <c r="R2239" s="69"/>
      <c r="S2239" s="69"/>
    </row>
    <row r="2240" s="2" customFormat="1" ht="24.95" customHeight="1" spans="1:19">
      <c r="A2240" s="15"/>
      <c r="B2240" s="55"/>
      <c r="C2240" s="56"/>
      <c r="D2240" s="68"/>
      <c r="E2240" s="69"/>
      <c r="F2240" s="69"/>
      <c r="G2240" s="65"/>
      <c r="H2240" s="65"/>
      <c r="I2240" s="70"/>
      <c r="J2240" s="71"/>
      <c r="K2240" s="71"/>
      <c r="L2240" s="72" t="str">
        <f>IFERROR(IF(G2240="","",VLOOKUP($G2240,[1]基础信息!$B:$C,2,FALSE)+SUMIF(G$8:G2240,G2240,J$8:J2240)-SUMIF(G$8:G2240,G2240,K$8:K2240)+SUMIFS([1]内部转账!$G:$G,[1]内部转账!$C:$C,"&lt;="&amp;$D2240,[1]内部转账!$E:$E,$G2240)-SUMIFS([1]内部转账!$G:$G,[1]内部转账!$C:$C,"&lt;="&amp;$D2240,[1]内部转账!$F:$F,$G2240)),"")</f>
        <v/>
      </c>
      <c r="M2240" s="64"/>
      <c r="N2240" s="69"/>
      <c r="O2240" s="64"/>
      <c r="P2240" s="64"/>
      <c r="Q2240" s="69"/>
      <c r="R2240" s="69"/>
      <c r="S2240" s="69"/>
    </row>
    <row r="2241" s="2" customFormat="1" ht="24.95" customHeight="1" spans="1:19">
      <c r="A2241" s="15"/>
      <c r="B2241" s="55"/>
      <c r="C2241" s="56"/>
      <c r="D2241" s="68"/>
      <c r="E2241" s="69"/>
      <c r="F2241" s="69"/>
      <c r="G2241" s="65"/>
      <c r="H2241" s="65"/>
      <c r="I2241" s="70"/>
      <c r="J2241" s="71"/>
      <c r="K2241" s="71"/>
      <c r="L2241" s="72" t="str">
        <f>IFERROR(IF(G2241="","",VLOOKUP($G2241,[1]基础信息!$B:$C,2,FALSE)+SUMIF(G$8:G2241,G2241,J$8:J2241)-SUMIF(G$8:G2241,G2241,K$8:K2241)+SUMIFS([1]内部转账!$G:$G,[1]内部转账!$C:$C,"&lt;="&amp;$D2241,[1]内部转账!$E:$E,$G2241)-SUMIFS([1]内部转账!$G:$G,[1]内部转账!$C:$C,"&lt;="&amp;$D2241,[1]内部转账!$F:$F,$G2241)),"")</f>
        <v/>
      </c>
      <c r="M2241" s="64"/>
      <c r="N2241" s="69"/>
      <c r="O2241" s="64"/>
      <c r="P2241" s="64"/>
      <c r="Q2241" s="69"/>
      <c r="R2241" s="69"/>
      <c r="S2241" s="69"/>
    </row>
    <row r="2242" s="2" customFormat="1" ht="24.95" customHeight="1" spans="1:19">
      <c r="A2242" s="15"/>
      <c r="B2242" s="55"/>
      <c r="C2242" s="56"/>
      <c r="D2242" s="68"/>
      <c r="E2242" s="69"/>
      <c r="F2242" s="69"/>
      <c r="G2242" s="65"/>
      <c r="H2242" s="65"/>
      <c r="I2242" s="70"/>
      <c r="J2242" s="71"/>
      <c r="K2242" s="71"/>
      <c r="L2242" s="72" t="str">
        <f>IFERROR(IF(G2242="","",VLOOKUP($G2242,[1]基础信息!$B:$C,2,FALSE)+SUMIF(G$8:G2242,G2242,J$8:J2242)-SUMIF(G$8:G2242,G2242,K$8:K2242)+SUMIFS([1]内部转账!$G:$G,[1]内部转账!$C:$C,"&lt;="&amp;$D2242,[1]内部转账!$E:$E,$G2242)-SUMIFS([1]内部转账!$G:$G,[1]内部转账!$C:$C,"&lt;="&amp;$D2242,[1]内部转账!$F:$F,$G2242)),"")</f>
        <v/>
      </c>
      <c r="M2242" s="64"/>
      <c r="N2242" s="69"/>
      <c r="O2242" s="64"/>
      <c r="P2242" s="64"/>
      <c r="Q2242" s="69"/>
      <c r="R2242" s="69"/>
      <c r="S2242" s="69"/>
    </row>
    <row r="2243" s="2" customFormat="1" ht="24.95" customHeight="1" spans="1:19">
      <c r="A2243" s="15"/>
      <c r="B2243" s="55"/>
      <c r="C2243" s="56"/>
      <c r="D2243" s="68"/>
      <c r="E2243" s="69"/>
      <c r="F2243" s="69"/>
      <c r="G2243" s="65"/>
      <c r="H2243" s="65"/>
      <c r="I2243" s="70"/>
      <c r="J2243" s="71"/>
      <c r="K2243" s="71"/>
      <c r="L2243" s="72" t="str">
        <f>IFERROR(IF(G2243="","",VLOOKUP($G2243,[1]基础信息!$B:$C,2,FALSE)+SUMIF(G$8:G2243,G2243,J$8:J2243)-SUMIF(G$8:G2243,G2243,K$8:K2243)+SUMIFS([1]内部转账!$G:$G,[1]内部转账!$C:$C,"&lt;="&amp;$D2243,[1]内部转账!$E:$E,$G2243)-SUMIFS([1]内部转账!$G:$G,[1]内部转账!$C:$C,"&lt;="&amp;$D2243,[1]内部转账!$F:$F,$G2243)),"")</f>
        <v/>
      </c>
      <c r="M2243" s="64"/>
      <c r="N2243" s="69"/>
      <c r="O2243" s="64"/>
      <c r="P2243" s="64"/>
      <c r="Q2243" s="69"/>
      <c r="R2243" s="69"/>
      <c r="S2243" s="69"/>
    </row>
    <row r="2244" s="2" customFormat="1" ht="24.95" customHeight="1" spans="1:19">
      <c r="A2244" s="15"/>
      <c r="B2244" s="55"/>
      <c r="C2244" s="56"/>
      <c r="D2244" s="68"/>
      <c r="E2244" s="69"/>
      <c r="F2244" s="69"/>
      <c r="G2244" s="65"/>
      <c r="H2244" s="65"/>
      <c r="I2244" s="70"/>
      <c r="J2244" s="71"/>
      <c r="K2244" s="71"/>
      <c r="L2244" s="72" t="str">
        <f>IFERROR(IF(G2244="","",VLOOKUP($G2244,[1]基础信息!$B:$C,2,FALSE)+SUMIF(G$8:G2244,G2244,J$8:J2244)-SUMIF(G$8:G2244,G2244,K$8:K2244)+SUMIFS([1]内部转账!$G:$G,[1]内部转账!$C:$C,"&lt;="&amp;$D2244,[1]内部转账!$E:$E,$G2244)-SUMIFS([1]内部转账!$G:$G,[1]内部转账!$C:$C,"&lt;="&amp;$D2244,[1]内部转账!$F:$F,$G2244)),"")</f>
        <v/>
      </c>
      <c r="M2244" s="64"/>
      <c r="N2244" s="69"/>
      <c r="O2244" s="64"/>
      <c r="P2244" s="64"/>
      <c r="Q2244" s="69"/>
      <c r="R2244" s="69"/>
      <c r="S2244" s="69"/>
    </row>
    <row r="2245" s="2" customFormat="1" ht="24.95" customHeight="1" spans="1:19">
      <c r="A2245" s="15"/>
      <c r="B2245" s="55"/>
      <c r="C2245" s="56"/>
      <c r="D2245" s="68"/>
      <c r="E2245" s="69"/>
      <c r="F2245" s="69"/>
      <c r="G2245" s="65"/>
      <c r="H2245" s="65"/>
      <c r="I2245" s="70"/>
      <c r="J2245" s="71"/>
      <c r="K2245" s="71"/>
      <c r="L2245" s="72" t="str">
        <f>IFERROR(IF(G2245="","",VLOOKUP($G2245,[1]基础信息!$B:$C,2,FALSE)+SUMIF(G$8:G2245,G2245,J$8:J2245)-SUMIF(G$8:G2245,G2245,K$8:K2245)+SUMIFS([1]内部转账!$G:$G,[1]内部转账!$C:$C,"&lt;="&amp;$D2245,[1]内部转账!$E:$E,$G2245)-SUMIFS([1]内部转账!$G:$G,[1]内部转账!$C:$C,"&lt;="&amp;$D2245,[1]内部转账!$F:$F,$G2245)),"")</f>
        <v/>
      </c>
      <c r="M2245" s="64"/>
      <c r="N2245" s="69"/>
      <c r="O2245" s="64"/>
      <c r="P2245" s="64"/>
      <c r="Q2245" s="69"/>
      <c r="R2245" s="69"/>
      <c r="S2245" s="69"/>
    </row>
    <row r="2246" s="2" customFormat="1" ht="24.95" customHeight="1" spans="1:19">
      <c r="A2246" s="15"/>
      <c r="B2246" s="55"/>
      <c r="C2246" s="56"/>
      <c r="D2246" s="68"/>
      <c r="E2246" s="69"/>
      <c r="F2246" s="69"/>
      <c r="G2246" s="65"/>
      <c r="H2246" s="65"/>
      <c r="I2246" s="70"/>
      <c r="J2246" s="71"/>
      <c r="K2246" s="71"/>
      <c r="L2246" s="72" t="str">
        <f>IFERROR(IF(G2246="","",VLOOKUP($G2246,[1]基础信息!$B:$C,2,FALSE)+SUMIF(G$8:G2246,G2246,J$8:J2246)-SUMIF(G$8:G2246,G2246,K$8:K2246)+SUMIFS([1]内部转账!$G:$G,[1]内部转账!$C:$C,"&lt;="&amp;$D2246,[1]内部转账!$E:$E,$G2246)-SUMIFS([1]内部转账!$G:$G,[1]内部转账!$C:$C,"&lt;="&amp;$D2246,[1]内部转账!$F:$F,$G2246)),"")</f>
        <v/>
      </c>
      <c r="M2246" s="64"/>
      <c r="N2246" s="69"/>
      <c r="O2246" s="64"/>
      <c r="P2246" s="64"/>
      <c r="Q2246" s="69"/>
      <c r="R2246" s="69"/>
      <c r="S2246" s="69"/>
    </row>
    <row r="2247" s="2" customFormat="1" ht="24.95" customHeight="1" spans="1:19">
      <c r="A2247" s="15"/>
      <c r="B2247" s="55"/>
      <c r="C2247" s="56"/>
      <c r="D2247" s="68"/>
      <c r="E2247" s="69"/>
      <c r="F2247" s="69"/>
      <c r="G2247" s="65"/>
      <c r="H2247" s="65"/>
      <c r="I2247" s="70"/>
      <c r="J2247" s="71"/>
      <c r="K2247" s="71"/>
      <c r="L2247" s="72" t="str">
        <f>IFERROR(IF(G2247="","",VLOOKUP($G2247,[1]基础信息!$B:$C,2,FALSE)+SUMIF(G$8:G2247,G2247,J$8:J2247)-SUMIF(G$8:G2247,G2247,K$8:K2247)+SUMIFS([1]内部转账!$G:$G,[1]内部转账!$C:$C,"&lt;="&amp;$D2247,[1]内部转账!$E:$E,$G2247)-SUMIFS([1]内部转账!$G:$G,[1]内部转账!$C:$C,"&lt;="&amp;$D2247,[1]内部转账!$F:$F,$G2247)),"")</f>
        <v/>
      </c>
      <c r="M2247" s="64"/>
      <c r="N2247" s="69"/>
      <c r="O2247" s="64"/>
      <c r="P2247" s="64"/>
      <c r="Q2247" s="69"/>
      <c r="R2247" s="69"/>
      <c r="S2247" s="69"/>
    </row>
    <row r="2248" s="2" customFormat="1" ht="24.95" customHeight="1" spans="1:19">
      <c r="A2248" s="15"/>
      <c r="B2248" s="55"/>
      <c r="C2248" s="56"/>
      <c r="D2248" s="68"/>
      <c r="E2248" s="69"/>
      <c r="F2248" s="69"/>
      <c r="G2248" s="65"/>
      <c r="H2248" s="65"/>
      <c r="I2248" s="70"/>
      <c r="J2248" s="71"/>
      <c r="K2248" s="71"/>
      <c r="L2248" s="72" t="str">
        <f>IFERROR(IF(G2248="","",VLOOKUP($G2248,[1]基础信息!$B:$C,2,FALSE)+SUMIF(G$8:G2248,G2248,J$8:J2248)-SUMIF(G$8:G2248,G2248,K$8:K2248)+SUMIFS([1]内部转账!$G:$G,[1]内部转账!$C:$C,"&lt;="&amp;$D2248,[1]内部转账!$E:$E,$G2248)-SUMIFS([1]内部转账!$G:$G,[1]内部转账!$C:$C,"&lt;="&amp;$D2248,[1]内部转账!$F:$F,$G2248)),"")</f>
        <v/>
      </c>
      <c r="M2248" s="64"/>
      <c r="N2248" s="69"/>
      <c r="O2248" s="64"/>
      <c r="P2248" s="64"/>
      <c r="Q2248" s="69"/>
      <c r="R2248" s="69"/>
      <c r="S2248" s="69"/>
    </row>
    <row r="2249" s="2" customFormat="1" ht="24.95" customHeight="1" spans="1:19">
      <c r="A2249" s="15"/>
      <c r="B2249" s="55"/>
      <c r="C2249" s="56"/>
      <c r="D2249" s="68"/>
      <c r="E2249" s="69"/>
      <c r="F2249" s="69"/>
      <c r="G2249" s="65"/>
      <c r="H2249" s="65"/>
      <c r="I2249" s="70"/>
      <c r="J2249" s="71"/>
      <c r="K2249" s="71"/>
      <c r="L2249" s="72" t="str">
        <f>IFERROR(IF(G2249="","",VLOOKUP($G2249,[1]基础信息!$B:$C,2,FALSE)+SUMIF(G$8:G2249,G2249,J$8:J2249)-SUMIF(G$8:G2249,G2249,K$8:K2249)+SUMIFS([1]内部转账!$G:$G,[1]内部转账!$C:$C,"&lt;="&amp;$D2249,[1]内部转账!$E:$E,$G2249)-SUMIFS([1]内部转账!$G:$G,[1]内部转账!$C:$C,"&lt;="&amp;$D2249,[1]内部转账!$F:$F,$G2249)),"")</f>
        <v/>
      </c>
      <c r="M2249" s="64"/>
      <c r="N2249" s="69"/>
      <c r="O2249" s="64"/>
      <c r="P2249" s="64"/>
      <c r="Q2249" s="69"/>
      <c r="R2249" s="69"/>
      <c r="S2249" s="69"/>
    </row>
    <row r="2250" s="2" customFormat="1" ht="24.95" customHeight="1" spans="1:19">
      <c r="A2250" s="15"/>
      <c r="B2250" s="55"/>
      <c r="C2250" s="56"/>
      <c r="D2250" s="68"/>
      <c r="E2250" s="69"/>
      <c r="F2250" s="69"/>
      <c r="G2250" s="65"/>
      <c r="H2250" s="65"/>
      <c r="I2250" s="70"/>
      <c r="J2250" s="71"/>
      <c r="K2250" s="71"/>
      <c r="L2250" s="72" t="str">
        <f>IFERROR(IF(G2250="","",VLOOKUP($G2250,[1]基础信息!$B:$C,2,FALSE)+SUMIF(G$8:G2250,G2250,J$8:J2250)-SUMIF(G$8:G2250,G2250,K$8:K2250)+SUMIFS([1]内部转账!$G:$G,[1]内部转账!$C:$C,"&lt;="&amp;$D2250,[1]内部转账!$E:$E,$G2250)-SUMIFS([1]内部转账!$G:$G,[1]内部转账!$C:$C,"&lt;="&amp;$D2250,[1]内部转账!$F:$F,$G2250)),"")</f>
        <v/>
      </c>
      <c r="M2250" s="64"/>
      <c r="N2250" s="69"/>
      <c r="O2250" s="64"/>
      <c r="P2250" s="64"/>
      <c r="Q2250" s="69"/>
      <c r="R2250" s="69"/>
      <c r="S2250" s="69"/>
    </row>
    <row r="2251" s="2" customFormat="1" ht="24.95" customHeight="1" spans="1:19">
      <c r="A2251" s="15"/>
      <c r="B2251" s="55"/>
      <c r="C2251" s="56"/>
      <c r="D2251" s="68"/>
      <c r="E2251" s="69"/>
      <c r="F2251" s="69"/>
      <c r="G2251" s="65"/>
      <c r="H2251" s="65"/>
      <c r="I2251" s="70"/>
      <c r="J2251" s="71"/>
      <c r="K2251" s="71"/>
      <c r="L2251" s="72" t="str">
        <f>IFERROR(IF(G2251="","",VLOOKUP($G2251,[1]基础信息!$B:$C,2,FALSE)+SUMIF(G$8:G2251,G2251,J$8:J2251)-SUMIF(G$8:G2251,G2251,K$8:K2251)+SUMIFS([1]内部转账!$G:$G,[1]内部转账!$C:$C,"&lt;="&amp;$D2251,[1]内部转账!$E:$E,$G2251)-SUMIFS([1]内部转账!$G:$G,[1]内部转账!$C:$C,"&lt;="&amp;$D2251,[1]内部转账!$F:$F,$G2251)),"")</f>
        <v/>
      </c>
      <c r="M2251" s="64"/>
      <c r="N2251" s="69"/>
      <c r="O2251" s="64"/>
      <c r="P2251" s="64"/>
      <c r="Q2251" s="69"/>
      <c r="R2251" s="69"/>
      <c r="S2251" s="69"/>
    </row>
    <row r="2252" s="2" customFormat="1" ht="24.95" customHeight="1" spans="1:19">
      <c r="A2252" s="15"/>
      <c r="B2252" s="55"/>
      <c r="C2252" s="56"/>
      <c r="D2252" s="68"/>
      <c r="E2252" s="69"/>
      <c r="F2252" s="69"/>
      <c r="G2252" s="65"/>
      <c r="H2252" s="65"/>
      <c r="I2252" s="70"/>
      <c r="J2252" s="71"/>
      <c r="K2252" s="71"/>
      <c r="L2252" s="72" t="str">
        <f>IFERROR(IF(G2252="","",VLOOKUP($G2252,[1]基础信息!$B:$C,2,FALSE)+SUMIF(G$8:G2252,G2252,J$8:J2252)-SUMIF(G$8:G2252,G2252,K$8:K2252)+SUMIFS([1]内部转账!$G:$G,[1]内部转账!$C:$C,"&lt;="&amp;$D2252,[1]内部转账!$E:$E,$G2252)-SUMIFS([1]内部转账!$G:$G,[1]内部转账!$C:$C,"&lt;="&amp;$D2252,[1]内部转账!$F:$F,$G2252)),"")</f>
        <v/>
      </c>
      <c r="M2252" s="64"/>
      <c r="N2252" s="69"/>
      <c r="O2252" s="64"/>
      <c r="P2252" s="64"/>
      <c r="Q2252" s="69"/>
      <c r="R2252" s="69"/>
      <c r="S2252" s="69"/>
    </row>
    <row r="2253" s="2" customFormat="1" ht="24.95" customHeight="1" spans="1:19">
      <c r="A2253" s="15"/>
      <c r="B2253" s="55"/>
      <c r="C2253" s="56"/>
      <c r="D2253" s="68"/>
      <c r="E2253" s="69"/>
      <c r="F2253" s="69"/>
      <c r="G2253" s="65"/>
      <c r="H2253" s="65"/>
      <c r="I2253" s="70"/>
      <c r="J2253" s="71"/>
      <c r="K2253" s="71"/>
      <c r="L2253" s="72" t="str">
        <f>IFERROR(IF(G2253="","",VLOOKUP($G2253,[1]基础信息!$B:$C,2,FALSE)+SUMIF(G$8:G2253,G2253,J$8:J2253)-SUMIF(G$8:G2253,G2253,K$8:K2253)+SUMIFS([1]内部转账!$G:$G,[1]内部转账!$C:$C,"&lt;="&amp;$D2253,[1]内部转账!$E:$E,$G2253)-SUMIFS([1]内部转账!$G:$G,[1]内部转账!$C:$C,"&lt;="&amp;$D2253,[1]内部转账!$F:$F,$G2253)),"")</f>
        <v/>
      </c>
      <c r="M2253" s="64"/>
      <c r="N2253" s="69"/>
      <c r="O2253" s="64"/>
      <c r="P2253" s="64"/>
      <c r="Q2253" s="69"/>
      <c r="R2253" s="69"/>
      <c r="S2253" s="69"/>
    </row>
    <row r="2254" s="2" customFormat="1" ht="24.95" customHeight="1" spans="1:19">
      <c r="A2254" s="15"/>
      <c r="B2254" s="55"/>
      <c r="C2254" s="56"/>
      <c r="D2254" s="68"/>
      <c r="E2254" s="69"/>
      <c r="F2254" s="69"/>
      <c r="G2254" s="65"/>
      <c r="H2254" s="65"/>
      <c r="I2254" s="70"/>
      <c r="J2254" s="71"/>
      <c r="K2254" s="71"/>
      <c r="L2254" s="72" t="str">
        <f>IFERROR(IF(G2254="","",VLOOKUP($G2254,[1]基础信息!$B:$C,2,FALSE)+SUMIF(G$8:G2254,G2254,J$8:J2254)-SUMIF(G$8:G2254,G2254,K$8:K2254)+SUMIFS([1]内部转账!$G:$G,[1]内部转账!$C:$C,"&lt;="&amp;$D2254,[1]内部转账!$E:$E,$G2254)-SUMIFS([1]内部转账!$G:$G,[1]内部转账!$C:$C,"&lt;="&amp;$D2254,[1]内部转账!$F:$F,$G2254)),"")</f>
        <v/>
      </c>
      <c r="M2254" s="64"/>
      <c r="N2254" s="69"/>
      <c r="O2254" s="64"/>
      <c r="P2254" s="64"/>
      <c r="Q2254" s="69"/>
      <c r="R2254" s="69"/>
      <c r="S2254" s="69"/>
    </row>
    <row r="2255" s="2" customFormat="1" ht="24.95" customHeight="1" spans="1:19">
      <c r="A2255" s="15"/>
      <c r="B2255" s="55"/>
      <c r="C2255" s="56"/>
      <c r="D2255" s="68"/>
      <c r="E2255" s="69"/>
      <c r="F2255" s="69"/>
      <c r="G2255" s="65"/>
      <c r="H2255" s="65"/>
      <c r="I2255" s="70"/>
      <c r="J2255" s="71"/>
      <c r="K2255" s="71"/>
      <c r="L2255" s="72" t="str">
        <f>IFERROR(IF(G2255="","",VLOOKUP($G2255,[1]基础信息!$B:$C,2,FALSE)+SUMIF(G$8:G2255,G2255,J$8:J2255)-SUMIF(G$8:G2255,G2255,K$8:K2255)+SUMIFS([1]内部转账!$G:$G,[1]内部转账!$C:$C,"&lt;="&amp;$D2255,[1]内部转账!$E:$E,$G2255)-SUMIFS([1]内部转账!$G:$G,[1]内部转账!$C:$C,"&lt;="&amp;$D2255,[1]内部转账!$F:$F,$G2255)),"")</f>
        <v/>
      </c>
      <c r="M2255" s="64"/>
      <c r="N2255" s="69"/>
      <c r="O2255" s="64"/>
      <c r="P2255" s="64"/>
      <c r="Q2255" s="69"/>
      <c r="R2255" s="69"/>
      <c r="S2255" s="69"/>
    </row>
    <row r="2256" s="2" customFormat="1" ht="24.95" customHeight="1" spans="1:19">
      <c r="A2256" s="15"/>
      <c r="B2256" s="55"/>
      <c r="C2256" s="56"/>
      <c r="D2256" s="68"/>
      <c r="E2256" s="69"/>
      <c r="F2256" s="69"/>
      <c r="G2256" s="65"/>
      <c r="H2256" s="65"/>
      <c r="I2256" s="70"/>
      <c r="J2256" s="71"/>
      <c r="K2256" s="71"/>
      <c r="L2256" s="72" t="str">
        <f>IFERROR(IF(G2256="","",VLOOKUP($G2256,[1]基础信息!$B:$C,2,FALSE)+SUMIF(G$8:G2256,G2256,J$8:J2256)-SUMIF(G$8:G2256,G2256,K$8:K2256)+SUMIFS([1]内部转账!$G:$G,[1]内部转账!$C:$C,"&lt;="&amp;$D2256,[1]内部转账!$E:$E,$G2256)-SUMIFS([1]内部转账!$G:$G,[1]内部转账!$C:$C,"&lt;="&amp;$D2256,[1]内部转账!$F:$F,$G2256)),"")</f>
        <v/>
      </c>
      <c r="M2256" s="64"/>
      <c r="N2256" s="69"/>
      <c r="O2256" s="64"/>
      <c r="P2256" s="64"/>
      <c r="Q2256" s="69"/>
      <c r="R2256" s="69"/>
      <c r="S2256" s="69"/>
    </row>
    <row r="2257" s="2" customFormat="1" ht="24.95" customHeight="1" spans="1:19">
      <c r="A2257" s="15"/>
      <c r="B2257" s="55"/>
      <c r="C2257" s="56"/>
      <c r="D2257" s="68"/>
      <c r="E2257" s="69"/>
      <c r="F2257" s="69"/>
      <c r="G2257" s="65"/>
      <c r="H2257" s="65"/>
      <c r="I2257" s="70"/>
      <c r="J2257" s="71"/>
      <c r="K2257" s="71"/>
      <c r="L2257" s="72" t="str">
        <f>IFERROR(IF(G2257="","",VLOOKUP($G2257,[1]基础信息!$B:$C,2,FALSE)+SUMIF(G$8:G2257,G2257,J$8:J2257)-SUMIF(G$8:G2257,G2257,K$8:K2257)+SUMIFS([1]内部转账!$G:$G,[1]内部转账!$C:$C,"&lt;="&amp;$D2257,[1]内部转账!$E:$E,$G2257)-SUMIFS([1]内部转账!$G:$G,[1]内部转账!$C:$C,"&lt;="&amp;$D2257,[1]内部转账!$F:$F,$G2257)),"")</f>
        <v/>
      </c>
      <c r="M2257" s="64"/>
      <c r="N2257" s="69"/>
      <c r="O2257" s="64"/>
      <c r="P2257" s="64"/>
      <c r="Q2257" s="69"/>
      <c r="R2257" s="69"/>
      <c r="S2257" s="69"/>
    </row>
    <row r="2258" s="2" customFormat="1" ht="24.95" customHeight="1" spans="1:19">
      <c r="A2258" s="15"/>
      <c r="B2258" s="55"/>
      <c r="C2258" s="56"/>
      <c r="D2258" s="68"/>
      <c r="E2258" s="69"/>
      <c r="F2258" s="69"/>
      <c r="G2258" s="65"/>
      <c r="H2258" s="65"/>
      <c r="I2258" s="70"/>
      <c r="J2258" s="71"/>
      <c r="K2258" s="71"/>
      <c r="L2258" s="72" t="str">
        <f>IFERROR(IF(G2258="","",VLOOKUP($G2258,[1]基础信息!$B:$C,2,FALSE)+SUMIF(G$8:G2258,G2258,J$8:J2258)-SUMIF(G$8:G2258,G2258,K$8:K2258)+SUMIFS([1]内部转账!$G:$G,[1]内部转账!$C:$C,"&lt;="&amp;$D2258,[1]内部转账!$E:$E,$G2258)-SUMIFS([1]内部转账!$G:$G,[1]内部转账!$C:$C,"&lt;="&amp;$D2258,[1]内部转账!$F:$F,$G2258)),"")</f>
        <v/>
      </c>
      <c r="M2258" s="64"/>
      <c r="N2258" s="69"/>
      <c r="O2258" s="64"/>
      <c r="P2258" s="64"/>
      <c r="Q2258" s="69"/>
      <c r="R2258" s="69"/>
      <c r="S2258" s="69"/>
    </row>
    <row r="2259" s="2" customFormat="1" ht="24.95" customHeight="1" spans="1:19">
      <c r="A2259" s="15"/>
      <c r="B2259" s="55"/>
      <c r="C2259" s="56"/>
      <c r="D2259" s="68"/>
      <c r="E2259" s="69"/>
      <c r="F2259" s="69"/>
      <c r="G2259" s="65"/>
      <c r="H2259" s="65"/>
      <c r="I2259" s="70"/>
      <c r="J2259" s="71"/>
      <c r="K2259" s="71"/>
      <c r="L2259" s="72" t="str">
        <f>IFERROR(IF(G2259="","",VLOOKUP($G2259,[1]基础信息!$B:$C,2,FALSE)+SUMIF(G$8:G2259,G2259,J$8:J2259)-SUMIF(G$8:G2259,G2259,K$8:K2259)+SUMIFS([1]内部转账!$G:$G,[1]内部转账!$C:$C,"&lt;="&amp;$D2259,[1]内部转账!$E:$E,$G2259)-SUMIFS([1]内部转账!$G:$G,[1]内部转账!$C:$C,"&lt;="&amp;$D2259,[1]内部转账!$F:$F,$G2259)),"")</f>
        <v/>
      </c>
      <c r="M2259" s="64"/>
      <c r="N2259" s="69"/>
      <c r="O2259" s="64"/>
      <c r="P2259" s="64"/>
      <c r="Q2259" s="69"/>
      <c r="R2259" s="69"/>
      <c r="S2259" s="69"/>
    </row>
    <row r="2260" s="2" customFormat="1" ht="24.95" customHeight="1" spans="1:19">
      <c r="A2260" s="15"/>
      <c r="B2260" s="55"/>
      <c r="C2260" s="56"/>
      <c r="D2260" s="68"/>
      <c r="E2260" s="69"/>
      <c r="F2260" s="69"/>
      <c r="G2260" s="65"/>
      <c r="H2260" s="65"/>
      <c r="I2260" s="70"/>
      <c r="J2260" s="71"/>
      <c r="K2260" s="71"/>
      <c r="L2260" s="72" t="str">
        <f>IFERROR(IF(G2260="","",VLOOKUP($G2260,[1]基础信息!$B:$C,2,FALSE)+SUMIF(G$8:G2260,G2260,J$8:J2260)-SUMIF(G$8:G2260,G2260,K$8:K2260)+SUMIFS([1]内部转账!$G:$G,[1]内部转账!$C:$C,"&lt;="&amp;$D2260,[1]内部转账!$E:$E,$G2260)-SUMIFS([1]内部转账!$G:$G,[1]内部转账!$C:$C,"&lt;="&amp;$D2260,[1]内部转账!$F:$F,$G2260)),"")</f>
        <v/>
      </c>
      <c r="M2260" s="64"/>
      <c r="N2260" s="69"/>
      <c r="O2260" s="64"/>
      <c r="P2260" s="64"/>
      <c r="Q2260" s="69"/>
      <c r="R2260" s="69"/>
      <c r="S2260" s="69"/>
    </row>
    <row r="2261" s="2" customFormat="1" ht="24.95" customHeight="1" spans="1:19">
      <c r="A2261" s="15"/>
      <c r="B2261" s="55"/>
      <c r="C2261" s="56"/>
      <c r="D2261" s="68"/>
      <c r="E2261" s="69"/>
      <c r="F2261" s="69"/>
      <c r="G2261" s="65"/>
      <c r="H2261" s="65"/>
      <c r="I2261" s="70"/>
      <c r="J2261" s="71"/>
      <c r="K2261" s="71"/>
      <c r="L2261" s="72" t="str">
        <f>IFERROR(IF(G2261="","",VLOOKUP($G2261,[1]基础信息!$B:$C,2,FALSE)+SUMIF(G$8:G2261,G2261,J$8:J2261)-SUMIF(G$8:G2261,G2261,K$8:K2261)+SUMIFS([1]内部转账!$G:$G,[1]内部转账!$C:$C,"&lt;="&amp;$D2261,[1]内部转账!$E:$E,$G2261)-SUMIFS([1]内部转账!$G:$G,[1]内部转账!$C:$C,"&lt;="&amp;$D2261,[1]内部转账!$F:$F,$G2261)),"")</f>
        <v/>
      </c>
      <c r="M2261" s="64"/>
      <c r="N2261" s="69"/>
      <c r="O2261" s="64"/>
      <c r="P2261" s="64"/>
      <c r="Q2261" s="69"/>
      <c r="R2261" s="69"/>
      <c r="S2261" s="69"/>
    </row>
    <row r="2262" s="2" customFormat="1" ht="24.95" customHeight="1" spans="1:19">
      <c r="A2262" s="15"/>
      <c r="B2262" s="55"/>
      <c r="C2262" s="56"/>
      <c r="D2262" s="68"/>
      <c r="E2262" s="69"/>
      <c r="F2262" s="69"/>
      <c r="G2262" s="65"/>
      <c r="H2262" s="65"/>
      <c r="I2262" s="70"/>
      <c r="J2262" s="71"/>
      <c r="K2262" s="71"/>
      <c r="L2262" s="72" t="str">
        <f>IFERROR(IF(G2262="","",VLOOKUP($G2262,[1]基础信息!$B:$C,2,FALSE)+SUMIF(G$8:G2262,G2262,J$8:J2262)-SUMIF(G$8:G2262,G2262,K$8:K2262)+SUMIFS([1]内部转账!$G:$G,[1]内部转账!$C:$C,"&lt;="&amp;$D2262,[1]内部转账!$E:$E,$G2262)-SUMIFS([1]内部转账!$G:$G,[1]内部转账!$C:$C,"&lt;="&amp;$D2262,[1]内部转账!$F:$F,$G2262)),"")</f>
        <v/>
      </c>
      <c r="M2262" s="64"/>
      <c r="N2262" s="69"/>
      <c r="O2262" s="64"/>
      <c r="P2262" s="64"/>
      <c r="Q2262" s="69"/>
      <c r="R2262" s="69"/>
      <c r="S2262" s="69"/>
    </row>
    <row r="2263" s="2" customFormat="1" ht="24.95" customHeight="1" spans="1:19">
      <c r="A2263" s="15"/>
      <c r="B2263" s="55"/>
      <c r="C2263" s="56"/>
      <c r="D2263" s="68"/>
      <c r="E2263" s="69"/>
      <c r="F2263" s="69"/>
      <c r="G2263" s="65"/>
      <c r="H2263" s="65"/>
      <c r="I2263" s="70"/>
      <c r="J2263" s="71"/>
      <c r="K2263" s="71"/>
      <c r="L2263" s="72" t="str">
        <f>IFERROR(IF(G2263="","",VLOOKUP($G2263,[1]基础信息!$B:$C,2,FALSE)+SUMIF(G$8:G2263,G2263,J$8:J2263)-SUMIF(G$8:G2263,G2263,K$8:K2263)+SUMIFS([1]内部转账!$G:$G,[1]内部转账!$C:$C,"&lt;="&amp;$D2263,[1]内部转账!$E:$E,$G2263)-SUMIFS([1]内部转账!$G:$G,[1]内部转账!$C:$C,"&lt;="&amp;$D2263,[1]内部转账!$F:$F,$G2263)),"")</f>
        <v/>
      </c>
      <c r="M2263" s="64"/>
      <c r="N2263" s="69"/>
      <c r="O2263" s="64"/>
      <c r="P2263" s="64"/>
      <c r="Q2263" s="69"/>
      <c r="R2263" s="69"/>
      <c r="S2263" s="69"/>
    </row>
    <row r="2264" s="2" customFormat="1" ht="24.95" customHeight="1" spans="1:19">
      <c r="A2264" s="15"/>
      <c r="B2264" s="55"/>
      <c r="C2264" s="56"/>
      <c r="D2264" s="68"/>
      <c r="E2264" s="69"/>
      <c r="F2264" s="69"/>
      <c r="G2264" s="65"/>
      <c r="H2264" s="65"/>
      <c r="I2264" s="70"/>
      <c r="J2264" s="71"/>
      <c r="K2264" s="71"/>
      <c r="L2264" s="72" t="str">
        <f>IFERROR(IF(G2264="","",VLOOKUP($G2264,[1]基础信息!$B:$C,2,FALSE)+SUMIF(G$8:G2264,G2264,J$8:J2264)-SUMIF(G$8:G2264,G2264,K$8:K2264)+SUMIFS([1]内部转账!$G:$G,[1]内部转账!$C:$C,"&lt;="&amp;$D2264,[1]内部转账!$E:$E,$G2264)-SUMIFS([1]内部转账!$G:$G,[1]内部转账!$C:$C,"&lt;="&amp;$D2264,[1]内部转账!$F:$F,$G2264)),"")</f>
        <v/>
      </c>
      <c r="M2264" s="64"/>
      <c r="N2264" s="69"/>
      <c r="O2264" s="64"/>
      <c r="P2264" s="64"/>
      <c r="Q2264" s="69"/>
      <c r="R2264" s="69"/>
      <c r="S2264" s="69"/>
    </row>
    <row r="2265" s="2" customFormat="1" ht="24.95" customHeight="1" spans="1:19">
      <c r="A2265" s="15"/>
      <c r="B2265" s="55"/>
      <c r="C2265" s="56"/>
      <c r="D2265" s="68"/>
      <c r="E2265" s="69"/>
      <c r="F2265" s="69"/>
      <c r="G2265" s="65"/>
      <c r="H2265" s="65"/>
      <c r="I2265" s="70"/>
      <c r="J2265" s="71"/>
      <c r="K2265" s="71"/>
      <c r="L2265" s="72" t="str">
        <f>IFERROR(IF(G2265="","",VLOOKUP($G2265,[1]基础信息!$B:$C,2,FALSE)+SUMIF(G$8:G2265,G2265,J$8:J2265)-SUMIF(G$8:G2265,G2265,K$8:K2265)+SUMIFS([1]内部转账!$G:$G,[1]内部转账!$C:$C,"&lt;="&amp;$D2265,[1]内部转账!$E:$E,$G2265)-SUMIFS([1]内部转账!$G:$G,[1]内部转账!$C:$C,"&lt;="&amp;$D2265,[1]内部转账!$F:$F,$G2265)),"")</f>
        <v/>
      </c>
      <c r="M2265" s="64"/>
      <c r="N2265" s="69"/>
      <c r="O2265" s="64"/>
      <c r="P2265" s="64"/>
      <c r="Q2265" s="69"/>
      <c r="R2265" s="69"/>
      <c r="S2265" s="69"/>
    </row>
    <row r="2266" s="2" customFormat="1" ht="24.95" customHeight="1" spans="1:19">
      <c r="A2266" s="15"/>
      <c r="B2266" s="55"/>
      <c r="C2266" s="56"/>
      <c r="D2266" s="68"/>
      <c r="E2266" s="69"/>
      <c r="F2266" s="69"/>
      <c r="G2266" s="65"/>
      <c r="H2266" s="65"/>
      <c r="I2266" s="70"/>
      <c r="J2266" s="71"/>
      <c r="K2266" s="71"/>
      <c r="L2266" s="72" t="str">
        <f>IFERROR(IF(G2266="","",VLOOKUP($G2266,[1]基础信息!$B:$C,2,FALSE)+SUMIF(G$8:G2266,G2266,J$8:J2266)-SUMIF(G$8:G2266,G2266,K$8:K2266)+SUMIFS([1]内部转账!$G:$G,[1]内部转账!$C:$C,"&lt;="&amp;$D2266,[1]内部转账!$E:$E,$G2266)-SUMIFS([1]内部转账!$G:$G,[1]内部转账!$C:$C,"&lt;="&amp;$D2266,[1]内部转账!$F:$F,$G2266)),"")</f>
        <v/>
      </c>
      <c r="M2266" s="64"/>
      <c r="N2266" s="69"/>
      <c r="O2266" s="64"/>
      <c r="P2266" s="64"/>
      <c r="Q2266" s="69"/>
      <c r="R2266" s="69"/>
      <c r="S2266" s="69"/>
    </row>
    <row r="2267" s="2" customFormat="1" ht="24.95" customHeight="1" spans="1:19">
      <c r="A2267" s="15"/>
      <c r="B2267" s="55"/>
      <c r="C2267" s="56"/>
      <c r="D2267" s="68"/>
      <c r="E2267" s="69"/>
      <c r="F2267" s="69"/>
      <c r="G2267" s="65"/>
      <c r="H2267" s="65"/>
      <c r="I2267" s="70"/>
      <c r="J2267" s="71"/>
      <c r="K2267" s="71"/>
      <c r="L2267" s="72" t="str">
        <f>IFERROR(IF(G2267="","",VLOOKUP($G2267,[1]基础信息!$B:$C,2,FALSE)+SUMIF(G$8:G2267,G2267,J$8:J2267)-SUMIF(G$8:G2267,G2267,K$8:K2267)+SUMIFS([1]内部转账!$G:$G,[1]内部转账!$C:$C,"&lt;="&amp;$D2267,[1]内部转账!$E:$E,$G2267)-SUMIFS([1]内部转账!$G:$G,[1]内部转账!$C:$C,"&lt;="&amp;$D2267,[1]内部转账!$F:$F,$G2267)),"")</f>
        <v/>
      </c>
      <c r="M2267" s="64"/>
      <c r="N2267" s="69"/>
      <c r="O2267" s="64"/>
      <c r="P2267" s="64"/>
      <c r="Q2267" s="69"/>
      <c r="R2267" s="69"/>
      <c r="S2267" s="69"/>
    </row>
    <row r="2268" s="2" customFormat="1" ht="24.95" customHeight="1" spans="1:19">
      <c r="A2268" s="15"/>
      <c r="B2268" s="55"/>
      <c r="C2268" s="56"/>
      <c r="D2268" s="68"/>
      <c r="E2268" s="69"/>
      <c r="F2268" s="69"/>
      <c r="G2268" s="65"/>
      <c r="H2268" s="65"/>
      <c r="I2268" s="70"/>
      <c r="J2268" s="71"/>
      <c r="K2268" s="71"/>
      <c r="L2268" s="72" t="str">
        <f>IFERROR(IF(G2268="","",VLOOKUP($G2268,[1]基础信息!$B:$C,2,FALSE)+SUMIF(G$8:G2268,G2268,J$8:J2268)-SUMIF(G$8:G2268,G2268,K$8:K2268)+SUMIFS([1]内部转账!$G:$G,[1]内部转账!$C:$C,"&lt;="&amp;$D2268,[1]内部转账!$E:$E,$G2268)-SUMIFS([1]内部转账!$G:$G,[1]内部转账!$C:$C,"&lt;="&amp;$D2268,[1]内部转账!$F:$F,$G2268)),"")</f>
        <v/>
      </c>
      <c r="M2268" s="64"/>
      <c r="N2268" s="69"/>
      <c r="O2268" s="64"/>
      <c r="P2268" s="64"/>
      <c r="Q2268" s="69"/>
      <c r="R2268" s="69"/>
      <c r="S2268" s="69"/>
    </row>
    <row r="2269" s="2" customFormat="1" ht="24.95" customHeight="1" spans="1:19">
      <c r="A2269" s="15"/>
      <c r="B2269" s="55"/>
      <c r="C2269" s="56"/>
      <c r="D2269" s="68"/>
      <c r="E2269" s="69"/>
      <c r="F2269" s="69"/>
      <c r="G2269" s="65"/>
      <c r="H2269" s="65"/>
      <c r="I2269" s="70"/>
      <c r="J2269" s="71"/>
      <c r="K2269" s="71"/>
      <c r="L2269" s="72" t="str">
        <f>IFERROR(IF(G2269="","",VLOOKUP($G2269,[1]基础信息!$B:$C,2,FALSE)+SUMIF(G$8:G2269,G2269,J$8:J2269)-SUMIF(G$8:G2269,G2269,K$8:K2269)+SUMIFS([1]内部转账!$G:$G,[1]内部转账!$C:$C,"&lt;="&amp;$D2269,[1]内部转账!$E:$E,$G2269)-SUMIFS([1]内部转账!$G:$G,[1]内部转账!$C:$C,"&lt;="&amp;$D2269,[1]内部转账!$F:$F,$G2269)),"")</f>
        <v/>
      </c>
      <c r="M2269" s="64"/>
      <c r="N2269" s="69"/>
      <c r="O2269" s="64"/>
      <c r="P2269" s="64"/>
      <c r="Q2269" s="69"/>
      <c r="R2269" s="69"/>
      <c r="S2269" s="69"/>
    </row>
    <row r="2270" s="2" customFormat="1" ht="24.95" customHeight="1" spans="1:19">
      <c r="A2270" s="15"/>
      <c r="B2270" s="55"/>
      <c r="C2270" s="56"/>
      <c r="D2270" s="68"/>
      <c r="E2270" s="69"/>
      <c r="F2270" s="69"/>
      <c r="G2270" s="65"/>
      <c r="H2270" s="65"/>
      <c r="I2270" s="70"/>
      <c r="J2270" s="71"/>
      <c r="K2270" s="71"/>
      <c r="L2270" s="72" t="str">
        <f>IFERROR(IF(G2270="","",VLOOKUP($G2270,[1]基础信息!$B:$C,2,FALSE)+SUMIF(G$8:G2270,G2270,J$8:J2270)-SUMIF(G$8:G2270,G2270,K$8:K2270)+SUMIFS([1]内部转账!$G:$G,[1]内部转账!$C:$C,"&lt;="&amp;$D2270,[1]内部转账!$E:$E,$G2270)-SUMIFS([1]内部转账!$G:$G,[1]内部转账!$C:$C,"&lt;="&amp;$D2270,[1]内部转账!$F:$F,$G2270)),"")</f>
        <v/>
      </c>
      <c r="M2270" s="64"/>
      <c r="N2270" s="69"/>
      <c r="O2270" s="64"/>
      <c r="P2270" s="64"/>
      <c r="Q2270" s="69"/>
      <c r="R2270" s="69"/>
      <c r="S2270" s="69"/>
    </row>
    <row r="2271" s="2" customFormat="1" ht="24.95" customHeight="1" spans="1:19">
      <c r="A2271" s="15"/>
      <c r="B2271" s="55"/>
      <c r="C2271" s="56"/>
      <c r="D2271" s="68"/>
      <c r="E2271" s="69"/>
      <c r="F2271" s="69"/>
      <c r="G2271" s="65"/>
      <c r="H2271" s="65"/>
      <c r="I2271" s="70"/>
      <c r="J2271" s="71"/>
      <c r="K2271" s="71"/>
      <c r="L2271" s="72" t="str">
        <f>IFERROR(IF(G2271="","",VLOOKUP($G2271,[1]基础信息!$B:$C,2,FALSE)+SUMIF(G$8:G2271,G2271,J$8:J2271)-SUMIF(G$8:G2271,G2271,K$8:K2271)+SUMIFS([1]内部转账!$G:$G,[1]内部转账!$C:$C,"&lt;="&amp;$D2271,[1]内部转账!$E:$E,$G2271)-SUMIFS([1]内部转账!$G:$G,[1]内部转账!$C:$C,"&lt;="&amp;$D2271,[1]内部转账!$F:$F,$G2271)),"")</f>
        <v/>
      </c>
      <c r="M2271" s="64"/>
      <c r="N2271" s="69"/>
      <c r="O2271" s="64"/>
      <c r="P2271" s="64"/>
      <c r="Q2271" s="69"/>
      <c r="R2271" s="69"/>
      <c r="S2271" s="69"/>
    </row>
    <row r="2272" s="2" customFormat="1" ht="24.95" customHeight="1" spans="1:19">
      <c r="A2272" s="15"/>
      <c r="B2272" s="55"/>
      <c r="C2272" s="56"/>
      <c r="D2272" s="68"/>
      <c r="E2272" s="69"/>
      <c r="F2272" s="69"/>
      <c r="G2272" s="65"/>
      <c r="H2272" s="65"/>
      <c r="I2272" s="70"/>
      <c r="J2272" s="71"/>
      <c r="K2272" s="71"/>
      <c r="L2272" s="72" t="str">
        <f>IFERROR(IF(G2272="","",VLOOKUP($G2272,[1]基础信息!$B:$C,2,FALSE)+SUMIF(G$8:G2272,G2272,J$8:J2272)-SUMIF(G$8:G2272,G2272,K$8:K2272)+SUMIFS([1]内部转账!$G:$G,[1]内部转账!$C:$C,"&lt;="&amp;$D2272,[1]内部转账!$E:$E,$G2272)-SUMIFS([1]内部转账!$G:$G,[1]内部转账!$C:$C,"&lt;="&amp;$D2272,[1]内部转账!$F:$F,$G2272)),"")</f>
        <v/>
      </c>
      <c r="M2272" s="64"/>
      <c r="N2272" s="69"/>
      <c r="O2272" s="64"/>
      <c r="P2272" s="64"/>
      <c r="Q2272" s="69"/>
      <c r="R2272" s="69"/>
      <c r="S2272" s="69"/>
    </row>
    <row r="2273" s="2" customFormat="1" ht="24.95" customHeight="1" spans="1:19">
      <c r="A2273" s="15"/>
      <c r="B2273" s="55"/>
      <c r="C2273" s="56"/>
      <c r="D2273" s="68"/>
      <c r="E2273" s="69"/>
      <c r="F2273" s="69"/>
      <c r="G2273" s="65"/>
      <c r="H2273" s="65"/>
      <c r="I2273" s="70"/>
      <c r="J2273" s="71"/>
      <c r="K2273" s="71"/>
      <c r="L2273" s="72" t="str">
        <f>IFERROR(IF(G2273="","",VLOOKUP($G2273,[1]基础信息!$B:$C,2,FALSE)+SUMIF(G$8:G2273,G2273,J$8:J2273)-SUMIF(G$8:G2273,G2273,K$8:K2273)+SUMIFS([1]内部转账!$G:$G,[1]内部转账!$C:$C,"&lt;="&amp;$D2273,[1]内部转账!$E:$E,$G2273)-SUMIFS([1]内部转账!$G:$G,[1]内部转账!$C:$C,"&lt;="&amp;$D2273,[1]内部转账!$F:$F,$G2273)),"")</f>
        <v/>
      </c>
      <c r="M2273" s="64"/>
      <c r="N2273" s="69"/>
      <c r="O2273" s="64"/>
      <c r="P2273" s="64"/>
      <c r="Q2273" s="69"/>
      <c r="R2273" s="69"/>
      <c r="S2273" s="69"/>
    </row>
    <row r="2274" s="2" customFormat="1" ht="24.95" customHeight="1" spans="1:19">
      <c r="A2274" s="15"/>
      <c r="B2274" s="55"/>
      <c r="C2274" s="56"/>
      <c r="D2274" s="68"/>
      <c r="E2274" s="69"/>
      <c r="F2274" s="69"/>
      <c r="G2274" s="65"/>
      <c r="H2274" s="65"/>
      <c r="I2274" s="70"/>
      <c r="J2274" s="71"/>
      <c r="K2274" s="71"/>
      <c r="L2274" s="72" t="str">
        <f>IFERROR(IF(G2274="","",VLOOKUP($G2274,[1]基础信息!$B:$C,2,FALSE)+SUMIF(G$8:G2274,G2274,J$8:J2274)-SUMIF(G$8:G2274,G2274,K$8:K2274)+SUMIFS([1]内部转账!$G:$G,[1]内部转账!$C:$C,"&lt;="&amp;$D2274,[1]内部转账!$E:$E,$G2274)-SUMIFS([1]内部转账!$G:$G,[1]内部转账!$C:$C,"&lt;="&amp;$D2274,[1]内部转账!$F:$F,$G2274)),"")</f>
        <v/>
      </c>
      <c r="M2274" s="64"/>
      <c r="N2274" s="69"/>
      <c r="O2274" s="64"/>
      <c r="P2274" s="64"/>
      <c r="Q2274" s="69"/>
      <c r="R2274" s="69"/>
      <c r="S2274" s="69"/>
    </row>
    <row r="2275" s="2" customFormat="1" ht="24.95" customHeight="1" spans="1:19">
      <c r="A2275" s="15"/>
      <c r="B2275" s="55"/>
      <c r="C2275" s="56"/>
      <c r="D2275" s="68"/>
      <c r="E2275" s="69"/>
      <c r="F2275" s="69"/>
      <c r="G2275" s="65"/>
      <c r="H2275" s="65"/>
      <c r="I2275" s="70"/>
      <c r="J2275" s="71"/>
      <c r="K2275" s="71"/>
      <c r="L2275" s="72" t="str">
        <f>IFERROR(IF(G2275="","",VLOOKUP($G2275,[1]基础信息!$B:$C,2,FALSE)+SUMIF(G$8:G2275,G2275,J$8:J2275)-SUMIF(G$8:G2275,G2275,K$8:K2275)+SUMIFS([1]内部转账!$G:$G,[1]内部转账!$C:$C,"&lt;="&amp;$D2275,[1]内部转账!$E:$E,$G2275)-SUMIFS([1]内部转账!$G:$G,[1]内部转账!$C:$C,"&lt;="&amp;$D2275,[1]内部转账!$F:$F,$G2275)),"")</f>
        <v/>
      </c>
      <c r="M2275" s="64"/>
      <c r="N2275" s="69"/>
      <c r="O2275" s="64"/>
      <c r="P2275" s="64"/>
      <c r="Q2275" s="69"/>
      <c r="R2275" s="69"/>
      <c r="S2275" s="69"/>
    </row>
    <row r="2276" s="2" customFormat="1" ht="24.95" customHeight="1" spans="1:19">
      <c r="A2276" s="15"/>
      <c r="B2276" s="55"/>
      <c r="C2276" s="56"/>
      <c r="D2276" s="68"/>
      <c r="E2276" s="69"/>
      <c r="F2276" s="69"/>
      <c r="G2276" s="65"/>
      <c r="H2276" s="65"/>
      <c r="I2276" s="70"/>
      <c r="J2276" s="71"/>
      <c r="K2276" s="71"/>
      <c r="L2276" s="72" t="str">
        <f>IFERROR(IF(G2276="","",VLOOKUP($G2276,[1]基础信息!$B:$C,2,FALSE)+SUMIF(G$8:G2276,G2276,J$8:J2276)-SUMIF(G$8:G2276,G2276,K$8:K2276)+SUMIFS([1]内部转账!$G:$G,[1]内部转账!$C:$C,"&lt;="&amp;$D2276,[1]内部转账!$E:$E,$G2276)-SUMIFS([1]内部转账!$G:$G,[1]内部转账!$C:$C,"&lt;="&amp;$D2276,[1]内部转账!$F:$F,$G2276)),"")</f>
        <v/>
      </c>
      <c r="M2276" s="64"/>
      <c r="N2276" s="69"/>
      <c r="O2276" s="64"/>
      <c r="P2276" s="64"/>
      <c r="Q2276" s="69"/>
      <c r="R2276" s="69"/>
      <c r="S2276" s="69"/>
    </row>
    <row r="2277" s="2" customFormat="1" ht="24.95" customHeight="1" spans="1:19">
      <c r="A2277" s="15"/>
      <c r="B2277" s="55"/>
      <c r="C2277" s="56"/>
      <c r="D2277" s="68"/>
      <c r="E2277" s="69"/>
      <c r="F2277" s="69"/>
      <c r="G2277" s="65"/>
      <c r="H2277" s="65"/>
      <c r="I2277" s="70"/>
      <c r="J2277" s="71"/>
      <c r="K2277" s="71"/>
      <c r="L2277" s="72" t="str">
        <f>IFERROR(IF(G2277="","",VLOOKUP($G2277,[1]基础信息!$B:$C,2,FALSE)+SUMIF(G$8:G2277,G2277,J$8:J2277)-SUMIF(G$8:G2277,G2277,K$8:K2277)+SUMIFS([1]内部转账!$G:$G,[1]内部转账!$C:$C,"&lt;="&amp;$D2277,[1]内部转账!$E:$E,$G2277)-SUMIFS([1]内部转账!$G:$G,[1]内部转账!$C:$C,"&lt;="&amp;$D2277,[1]内部转账!$F:$F,$G2277)),"")</f>
        <v/>
      </c>
      <c r="M2277" s="64"/>
      <c r="N2277" s="69"/>
      <c r="O2277" s="64"/>
      <c r="P2277" s="64"/>
      <c r="Q2277" s="69"/>
      <c r="R2277" s="69"/>
      <c r="S2277" s="69"/>
    </row>
    <row r="2278" s="2" customFormat="1" ht="24.95" customHeight="1" spans="1:19">
      <c r="A2278" s="15"/>
      <c r="B2278" s="55"/>
      <c r="C2278" s="56"/>
      <c r="D2278" s="68"/>
      <c r="E2278" s="69"/>
      <c r="F2278" s="69"/>
      <c r="G2278" s="65"/>
      <c r="H2278" s="65"/>
      <c r="I2278" s="70"/>
      <c r="J2278" s="71"/>
      <c r="K2278" s="71"/>
      <c r="L2278" s="72" t="str">
        <f>IFERROR(IF(G2278="","",VLOOKUP($G2278,[1]基础信息!$B:$C,2,FALSE)+SUMIF(G$8:G2278,G2278,J$8:J2278)-SUMIF(G$8:G2278,G2278,K$8:K2278)+SUMIFS([1]内部转账!$G:$G,[1]内部转账!$C:$C,"&lt;="&amp;$D2278,[1]内部转账!$E:$E,$G2278)-SUMIFS([1]内部转账!$G:$G,[1]内部转账!$C:$C,"&lt;="&amp;$D2278,[1]内部转账!$F:$F,$G2278)),"")</f>
        <v/>
      </c>
      <c r="M2278" s="64"/>
      <c r="N2278" s="69"/>
      <c r="O2278" s="64"/>
      <c r="P2278" s="64"/>
      <c r="Q2278" s="69"/>
      <c r="R2278" s="69"/>
      <c r="S2278" s="69"/>
    </row>
    <row r="2279" s="2" customFormat="1" ht="24.95" customHeight="1" spans="1:19">
      <c r="A2279" s="15"/>
      <c r="B2279" s="55"/>
      <c r="C2279" s="56"/>
      <c r="D2279" s="68"/>
      <c r="E2279" s="69"/>
      <c r="F2279" s="69"/>
      <c r="G2279" s="65"/>
      <c r="H2279" s="65"/>
      <c r="I2279" s="70"/>
      <c r="J2279" s="71"/>
      <c r="K2279" s="71"/>
      <c r="L2279" s="72" t="str">
        <f>IFERROR(IF(G2279="","",VLOOKUP($G2279,[1]基础信息!$B:$C,2,FALSE)+SUMIF(G$8:G2279,G2279,J$8:J2279)-SUMIF(G$8:G2279,G2279,K$8:K2279)+SUMIFS([1]内部转账!$G:$G,[1]内部转账!$C:$C,"&lt;="&amp;$D2279,[1]内部转账!$E:$E,$G2279)-SUMIFS([1]内部转账!$G:$G,[1]内部转账!$C:$C,"&lt;="&amp;$D2279,[1]内部转账!$F:$F,$G2279)),"")</f>
        <v/>
      </c>
      <c r="M2279" s="64"/>
      <c r="N2279" s="69"/>
      <c r="O2279" s="64"/>
      <c r="P2279" s="64"/>
      <c r="Q2279" s="69"/>
      <c r="R2279" s="69"/>
      <c r="S2279" s="69"/>
    </row>
    <row r="2280" s="2" customFormat="1" ht="24.95" customHeight="1" spans="1:19">
      <c r="A2280" s="15"/>
      <c r="B2280" s="55"/>
      <c r="C2280" s="56"/>
      <c r="D2280" s="68"/>
      <c r="E2280" s="69"/>
      <c r="F2280" s="69"/>
      <c r="G2280" s="65"/>
      <c r="H2280" s="65"/>
      <c r="I2280" s="70"/>
      <c r="J2280" s="71"/>
      <c r="K2280" s="71"/>
      <c r="L2280" s="72" t="str">
        <f>IFERROR(IF(G2280="","",VLOOKUP($G2280,[1]基础信息!$B:$C,2,FALSE)+SUMIF(G$8:G2280,G2280,J$8:J2280)-SUMIF(G$8:G2280,G2280,K$8:K2280)+SUMIFS([1]内部转账!$G:$G,[1]内部转账!$C:$C,"&lt;="&amp;$D2280,[1]内部转账!$E:$E,$G2280)-SUMIFS([1]内部转账!$G:$G,[1]内部转账!$C:$C,"&lt;="&amp;$D2280,[1]内部转账!$F:$F,$G2280)),"")</f>
        <v/>
      </c>
      <c r="M2280" s="64"/>
      <c r="N2280" s="69"/>
      <c r="O2280" s="64"/>
      <c r="P2280" s="64"/>
      <c r="Q2280" s="69"/>
      <c r="R2280" s="69"/>
      <c r="S2280" s="69"/>
    </row>
    <row r="2281" s="2" customFormat="1" ht="24.95" customHeight="1" spans="1:19">
      <c r="A2281" s="15"/>
      <c r="B2281" s="55"/>
      <c r="C2281" s="56"/>
      <c r="D2281" s="68"/>
      <c r="E2281" s="69"/>
      <c r="F2281" s="69"/>
      <c r="G2281" s="65"/>
      <c r="H2281" s="65"/>
      <c r="I2281" s="70"/>
      <c r="J2281" s="71"/>
      <c r="K2281" s="71"/>
      <c r="L2281" s="72" t="str">
        <f>IFERROR(IF(G2281="","",VLOOKUP($G2281,[1]基础信息!$B:$C,2,FALSE)+SUMIF(G$8:G2281,G2281,J$8:J2281)-SUMIF(G$8:G2281,G2281,K$8:K2281)+SUMIFS([1]内部转账!$G:$G,[1]内部转账!$C:$C,"&lt;="&amp;$D2281,[1]内部转账!$E:$E,$G2281)-SUMIFS([1]内部转账!$G:$G,[1]内部转账!$C:$C,"&lt;="&amp;$D2281,[1]内部转账!$F:$F,$G2281)),"")</f>
        <v/>
      </c>
      <c r="M2281" s="64"/>
      <c r="N2281" s="69"/>
      <c r="O2281" s="64"/>
      <c r="P2281" s="64"/>
      <c r="Q2281" s="69"/>
      <c r="R2281" s="69"/>
      <c r="S2281" s="69"/>
    </row>
    <row r="2282" s="2" customFormat="1" ht="24.95" customHeight="1" spans="1:19">
      <c r="A2282" s="15"/>
      <c r="B2282" s="55"/>
      <c r="C2282" s="56"/>
      <c r="D2282" s="68"/>
      <c r="E2282" s="69"/>
      <c r="F2282" s="69"/>
      <c r="G2282" s="65"/>
      <c r="H2282" s="65"/>
      <c r="I2282" s="70"/>
      <c r="J2282" s="71"/>
      <c r="K2282" s="71"/>
      <c r="L2282" s="72" t="str">
        <f>IFERROR(IF(G2282="","",VLOOKUP($G2282,[1]基础信息!$B:$C,2,FALSE)+SUMIF(G$8:G2282,G2282,J$8:J2282)-SUMIF(G$8:G2282,G2282,K$8:K2282)+SUMIFS([1]内部转账!$G:$G,[1]内部转账!$C:$C,"&lt;="&amp;$D2282,[1]内部转账!$E:$E,$G2282)-SUMIFS([1]内部转账!$G:$G,[1]内部转账!$C:$C,"&lt;="&amp;$D2282,[1]内部转账!$F:$F,$G2282)),"")</f>
        <v/>
      </c>
      <c r="M2282" s="64"/>
      <c r="N2282" s="69"/>
      <c r="O2282" s="64"/>
      <c r="P2282" s="64"/>
      <c r="Q2282" s="69"/>
      <c r="R2282" s="69"/>
      <c r="S2282" s="69"/>
    </row>
    <row r="2283" s="2" customFormat="1" ht="24.95" customHeight="1" spans="1:19">
      <c r="A2283" s="15"/>
      <c r="B2283" s="55"/>
      <c r="C2283" s="56"/>
      <c r="D2283" s="68"/>
      <c r="E2283" s="69"/>
      <c r="F2283" s="69"/>
      <c r="G2283" s="65"/>
      <c r="H2283" s="65"/>
      <c r="I2283" s="70"/>
      <c r="J2283" s="71"/>
      <c r="K2283" s="71"/>
      <c r="L2283" s="72" t="str">
        <f>IFERROR(IF(G2283="","",VLOOKUP($G2283,[1]基础信息!$B:$C,2,FALSE)+SUMIF(G$8:G2283,G2283,J$8:J2283)-SUMIF(G$8:G2283,G2283,K$8:K2283)+SUMIFS([1]内部转账!$G:$G,[1]内部转账!$C:$C,"&lt;="&amp;$D2283,[1]内部转账!$E:$E,$G2283)-SUMIFS([1]内部转账!$G:$G,[1]内部转账!$C:$C,"&lt;="&amp;$D2283,[1]内部转账!$F:$F,$G2283)),"")</f>
        <v/>
      </c>
      <c r="M2283" s="64"/>
      <c r="N2283" s="69"/>
      <c r="O2283" s="64"/>
      <c r="P2283" s="64"/>
      <c r="Q2283" s="69"/>
      <c r="R2283" s="69"/>
      <c r="S2283" s="69"/>
    </row>
    <row r="2284" s="2" customFormat="1" ht="24.95" customHeight="1" spans="1:19">
      <c r="A2284" s="15"/>
      <c r="B2284" s="55"/>
      <c r="C2284" s="56"/>
      <c r="D2284" s="68"/>
      <c r="E2284" s="69"/>
      <c r="F2284" s="69"/>
      <c r="G2284" s="65"/>
      <c r="H2284" s="65"/>
      <c r="I2284" s="70"/>
      <c r="J2284" s="71"/>
      <c r="K2284" s="71"/>
      <c r="L2284" s="72" t="str">
        <f>IFERROR(IF(G2284="","",VLOOKUP($G2284,[1]基础信息!$B:$C,2,FALSE)+SUMIF(G$8:G2284,G2284,J$8:J2284)-SUMIF(G$8:G2284,G2284,K$8:K2284)+SUMIFS([1]内部转账!$G:$G,[1]内部转账!$C:$C,"&lt;="&amp;$D2284,[1]内部转账!$E:$E,$G2284)-SUMIFS([1]内部转账!$G:$G,[1]内部转账!$C:$C,"&lt;="&amp;$D2284,[1]内部转账!$F:$F,$G2284)),"")</f>
        <v/>
      </c>
      <c r="M2284" s="64"/>
      <c r="N2284" s="69"/>
      <c r="O2284" s="64"/>
      <c r="P2284" s="64"/>
      <c r="Q2284" s="69"/>
      <c r="R2284" s="69"/>
      <c r="S2284" s="69"/>
    </row>
    <row r="2285" s="2" customFormat="1" ht="24.95" customHeight="1" spans="1:19">
      <c r="A2285" s="15"/>
      <c r="B2285" s="55"/>
      <c r="C2285" s="56"/>
      <c r="D2285" s="68"/>
      <c r="E2285" s="69"/>
      <c r="F2285" s="69"/>
      <c r="G2285" s="65"/>
      <c r="H2285" s="65"/>
      <c r="I2285" s="70"/>
      <c r="J2285" s="71"/>
      <c r="K2285" s="71"/>
      <c r="L2285" s="72" t="str">
        <f>IFERROR(IF(G2285="","",VLOOKUP($G2285,[1]基础信息!$B:$C,2,FALSE)+SUMIF(G$8:G2285,G2285,J$8:J2285)-SUMIF(G$8:G2285,G2285,K$8:K2285)+SUMIFS([1]内部转账!$G:$G,[1]内部转账!$C:$C,"&lt;="&amp;$D2285,[1]内部转账!$E:$E,$G2285)-SUMIFS([1]内部转账!$G:$G,[1]内部转账!$C:$C,"&lt;="&amp;$D2285,[1]内部转账!$F:$F,$G2285)),"")</f>
        <v/>
      </c>
      <c r="M2285" s="64"/>
      <c r="N2285" s="69"/>
      <c r="O2285" s="64"/>
      <c r="P2285" s="64"/>
      <c r="Q2285" s="69"/>
      <c r="R2285" s="69"/>
      <c r="S2285" s="69"/>
    </row>
    <row r="2286" s="2" customFormat="1" ht="24.95" customHeight="1" spans="1:19">
      <c r="A2286" s="15"/>
      <c r="B2286" s="55"/>
      <c r="C2286" s="56"/>
      <c r="D2286" s="68"/>
      <c r="E2286" s="69"/>
      <c r="F2286" s="69"/>
      <c r="G2286" s="65"/>
      <c r="H2286" s="65"/>
      <c r="I2286" s="70"/>
      <c r="J2286" s="71"/>
      <c r="K2286" s="71"/>
      <c r="L2286" s="72" t="str">
        <f>IFERROR(IF(G2286="","",VLOOKUP($G2286,[1]基础信息!$B:$C,2,FALSE)+SUMIF(G$8:G2286,G2286,J$8:J2286)-SUMIF(G$8:G2286,G2286,K$8:K2286)+SUMIFS([1]内部转账!$G:$G,[1]内部转账!$C:$C,"&lt;="&amp;$D2286,[1]内部转账!$E:$E,$G2286)-SUMIFS([1]内部转账!$G:$G,[1]内部转账!$C:$C,"&lt;="&amp;$D2286,[1]内部转账!$F:$F,$G2286)),"")</f>
        <v/>
      </c>
      <c r="M2286" s="64"/>
      <c r="N2286" s="69"/>
      <c r="O2286" s="64"/>
      <c r="P2286" s="64"/>
      <c r="Q2286" s="69"/>
      <c r="R2286" s="69"/>
      <c r="S2286" s="69"/>
    </row>
    <row r="2287" s="2" customFormat="1" ht="24.95" customHeight="1" spans="1:19">
      <c r="A2287" s="15"/>
      <c r="B2287" s="55"/>
      <c r="C2287" s="56"/>
      <c r="D2287" s="68"/>
      <c r="E2287" s="69"/>
      <c r="F2287" s="69"/>
      <c r="G2287" s="65"/>
      <c r="H2287" s="65"/>
      <c r="I2287" s="70"/>
      <c r="J2287" s="71"/>
      <c r="K2287" s="71"/>
      <c r="L2287" s="72" t="str">
        <f>IFERROR(IF(G2287="","",VLOOKUP($G2287,[1]基础信息!$B:$C,2,FALSE)+SUMIF(G$8:G2287,G2287,J$8:J2287)-SUMIF(G$8:G2287,G2287,K$8:K2287)+SUMIFS([1]内部转账!$G:$G,[1]内部转账!$C:$C,"&lt;="&amp;$D2287,[1]内部转账!$E:$E,$G2287)-SUMIFS([1]内部转账!$G:$G,[1]内部转账!$C:$C,"&lt;="&amp;$D2287,[1]内部转账!$F:$F,$G2287)),"")</f>
        <v/>
      </c>
      <c r="M2287" s="64"/>
      <c r="N2287" s="69"/>
      <c r="O2287" s="64"/>
      <c r="P2287" s="64"/>
      <c r="Q2287" s="69"/>
      <c r="R2287" s="69"/>
      <c r="S2287" s="69"/>
    </row>
    <row r="2288" s="2" customFormat="1" ht="24.95" customHeight="1" spans="1:19">
      <c r="A2288" s="15"/>
      <c r="B2288" s="55"/>
      <c r="C2288" s="56"/>
      <c r="D2288" s="68"/>
      <c r="E2288" s="69"/>
      <c r="F2288" s="69"/>
      <c r="G2288" s="65"/>
      <c r="H2288" s="65"/>
      <c r="I2288" s="70"/>
      <c r="J2288" s="71"/>
      <c r="K2288" s="71"/>
      <c r="L2288" s="72" t="str">
        <f>IFERROR(IF(G2288="","",VLOOKUP($G2288,[1]基础信息!$B:$C,2,FALSE)+SUMIF(G$8:G2288,G2288,J$8:J2288)-SUMIF(G$8:G2288,G2288,K$8:K2288)+SUMIFS([1]内部转账!$G:$G,[1]内部转账!$C:$C,"&lt;="&amp;$D2288,[1]内部转账!$E:$E,$G2288)-SUMIFS([1]内部转账!$G:$G,[1]内部转账!$C:$C,"&lt;="&amp;$D2288,[1]内部转账!$F:$F,$G2288)),"")</f>
        <v/>
      </c>
      <c r="M2288" s="64"/>
      <c r="N2288" s="69"/>
      <c r="O2288" s="64"/>
      <c r="P2288" s="64"/>
      <c r="Q2288" s="69"/>
      <c r="R2288" s="69"/>
      <c r="S2288" s="69"/>
    </row>
    <row r="2289" s="2" customFormat="1" ht="24.95" customHeight="1" spans="1:19">
      <c r="A2289" s="15"/>
      <c r="B2289" s="55"/>
      <c r="C2289" s="56"/>
      <c r="D2289" s="68"/>
      <c r="E2289" s="69"/>
      <c r="F2289" s="69"/>
      <c r="G2289" s="65"/>
      <c r="H2289" s="65"/>
      <c r="I2289" s="70"/>
      <c r="J2289" s="71"/>
      <c r="K2289" s="71"/>
      <c r="L2289" s="72" t="str">
        <f>IFERROR(IF(G2289="","",VLOOKUP($G2289,[1]基础信息!$B:$C,2,FALSE)+SUMIF(G$8:G2289,G2289,J$8:J2289)-SUMIF(G$8:G2289,G2289,K$8:K2289)+SUMIFS([1]内部转账!$G:$G,[1]内部转账!$C:$C,"&lt;="&amp;$D2289,[1]内部转账!$E:$E,$G2289)-SUMIFS([1]内部转账!$G:$G,[1]内部转账!$C:$C,"&lt;="&amp;$D2289,[1]内部转账!$F:$F,$G2289)),"")</f>
        <v/>
      </c>
      <c r="M2289" s="64"/>
      <c r="N2289" s="69"/>
      <c r="O2289" s="64"/>
      <c r="P2289" s="64"/>
      <c r="Q2289" s="69"/>
      <c r="R2289" s="69"/>
      <c r="S2289" s="69"/>
    </row>
    <row r="2290" s="2" customFormat="1" ht="24.95" customHeight="1" spans="1:19">
      <c r="A2290" s="15"/>
      <c r="B2290" s="55"/>
      <c r="C2290" s="56"/>
      <c r="D2290" s="68"/>
      <c r="E2290" s="69"/>
      <c r="F2290" s="69"/>
      <c r="G2290" s="65"/>
      <c r="H2290" s="65"/>
      <c r="I2290" s="70"/>
      <c r="J2290" s="71"/>
      <c r="K2290" s="71"/>
      <c r="L2290" s="72" t="str">
        <f>IFERROR(IF(G2290="","",VLOOKUP($G2290,[1]基础信息!$B:$C,2,FALSE)+SUMIF(G$8:G2290,G2290,J$8:J2290)-SUMIF(G$8:G2290,G2290,K$8:K2290)+SUMIFS([1]内部转账!$G:$G,[1]内部转账!$C:$C,"&lt;="&amp;$D2290,[1]内部转账!$E:$E,$G2290)-SUMIFS([1]内部转账!$G:$G,[1]内部转账!$C:$C,"&lt;="&amp;$D2290,[1]内部转账!$F:$F,$G2290)),"")</f>
        <v/>
      </c>
      <c r="M2290" s="64"/>
      <c r="N2290" s="69"/>
      <c r="O2290" s="64"/>
      <c r="P2290" s="64"/>
      <c r="Q2290" s="69"/>
      <c r="R2290" s="69"/>
      <c r="S2290" s="69"/>
    </row>
    <row r="2291" s="2" customFormat="1" ht="24.95" customHeight="1" spans="1:19">
      <c r="A2291" s="15"/>
      <c r="B2291" s="55"/>
      <c r="C2291" s="56"/>
      <c r="D2291" s="68"/>
      <c r="E2291" s="69"/>
      <c r="F2291" s="69"/>
      <c r="G2291" s="65"/>
      <c r="H2291" s="65"/>
      <c r="I2291" s="70"/>
      <c r="J2291" s="71"/>
      <c r="K2291" s="71"/>
      <c r="L2291" s="72" t="str">
        <f>IFERROR(IF(G2291="","",VLOOKUP($G2291,[1]基础信息!$B:$C,2,FALSE)+SUMIF(G$8:G2291,G2291,J$8:J2291)-SUMIF(G$8:G2291,G2291,K$8:K2291)+SUMIFS([1]内部转账!$G:$G,[1]内部转账!$C:$C,"&lt;="&amp;$D2291,[1]内部转账!$E:$E,$G2291)-SUMIFS([1]内部转账!$G:$G,[1]内部转账!$C:$C,"&lt;="&amp;$D2291,[1]内部转账!$F:$F,$G2291)),"")</f>
        <v/>
      </c>
      <c r="M2291" s="64"/>
      <c r="N2291" s="69"/>
      <c r="O2291" s="64"/>
      <c r="P2291" s="64"/>
      <c r="Q2291" s="69"/>
      <c r="R2291" s="69"/>
      <c r="S2291" s="69"/>
    </row>
    <row r="2292" s="2" customFormat="1" ht="24.95" customHeight="1" spans="1:19">
      <c r="A2292" s="15"/>
      <c r="B2292" s="55"/>
      <c r="C2292" s="56"/>
      <c r="D2292" s="68"/>
      <c r="E2292" s="69"/>
      <c r="F2292" s="69"/>
      <c r="G2292" s="65"/>
      <c r="H2292" s="65"/>
      <c r="I2292" s="70"/>
      <c r="J2292" s="71"/>
      <c r="K2292" s="71"/>
      <c r="L2292" s="72" t="str">
        <f>IFERROR(IF(G2292="","",VLOOKUP($G2292,[1]基础信息!$B:$C,2,FALSE)+SUMIF(G$8:G2292,G2292,J$8:J2292)-SUMIF(G$8:G2292,G2292,K$8:K2292)+SUMIFS([1]内部转账!$G:$G,[1]内部转账!$C:$C,"&lt;="&amp;$D2292,[1]内部转账!$E:$E,$G2292)-SUMIFS([1]内部转账!$G:$G,[1]内部转账!$C:$C,"&lt;="&amp;$D2292,[1]内部转账!$F:$F,$G2292)),"")</f>
        <v/>
      </c>
      <c r="M2292" s="64"/>
      <c r="N2292" s="69"/>
      <c r="O2292" s="64"/>
      <c r="P2292" s="64"/>
      <c r="Q2292" s="69"/>
      <c r="R2292" s="69"/>
      <c r="S2292" s="69"/>
    </row>
    <row r="2293" s="2" customFormat="1" ht="24.95" customHeight="1" spans="1:19">
      <c r="A2293" s="15"/>
      <c r="B2293" s="55"/>
      <c r="C2293" s="56"/>
      <c r="D2293" s="68"/>
      <c r="E2293" s="69"/>
      <c r="F2293" s="69"/>
      <c r="G2293" s="65"/>
      <c r="H2293" s="65"/>
      <c r="I2293" s="70"/>
      <c r="J2293" s="71"/>
      <c r="K2293" s="71"/>
      <c r="L2293" s="72" t="str">
        <f>IFERROR(IF(G2293="","",VLOOKUP($G2293,[1]基础信息!$B:$C,2,FALSE)+SUMIF(G$8:G2293,G2293,J$8:J2293)-SUMIF(G$8:G2293,G2293,K$8:K2293)+SUMIFS([1]内部转账!$G:$G,[1]内部转账!$C:$C,"&lt;="&amp;$D2293,[1]内部转账!$E:$E,$G2293)-SUMIFS([1]内部转账!$G:$G,[1]内部转账!$C:$C,"&lt;="&amp;$D2293,[1]内部转账!$F:$F,$G2293)),"")</f>
        <v/>
      </c>
      <c r="M2293" s="64"/>
      <c r="N2293" s="69"/>
      <c r="O2293" s="64"/>
      <c r="P2293" s="64"/>
      <c r="Q2293" s="69"/>
      <c r="R2293" s="69"/>
      <c r="S2293" s="69"/>
    </row>
    <row r="2294" s="2" customFormat="1" ht="24.95" customHeight="1" spans="1:19">
      <c r="A2294" s="15"/>
      <c r="B2294" s="55"/>
      <c r="C2294" s="56"/>
      <c r="D2294" s="68"/>
      <c r="E2294" s="69"/>
      <c r="F2294" s="69"/>
      <c r="G2294" s="65"/>
      <c r="H2294" s="65"/>
      <c r="I2294" s="70"/>
      <c r="J2294" s="71"/>
      <c r="K2294" s="71"/>
      <c r="L2294" s="72" t="str">
        <f>IFERROR(IF(G2294="","",VLOOKUP($G2294,[1]基础信息!$B:$C,2,FALSE)+SUMIF(G$8:G2294,G2294,J$8:J2294)-SUMIF(G$8:G2294,G2294,K$8:K2294)+SUMIFS([1]内部转账!$G:$G,[1]内部转账!$C:$C,"&lt;="&amp;$D2294,[1]内部转账!$E:$E,$G2294)-SUMIFS([1]内部转账!$G:$G,[1]内部转账!$C:$C,"&lt;="&amp;$D2294,[1]内部转账!$F:$F,$G2294)),"")</f>
        <v/>
      </c>
      <c r="M2294" s="64"/>
      <c r="N2294" s="69"/>
      <c r="O2294" s="64"/>
      <c r="P2294" s="64"/>
      <c r="Q2294" s="69"/>
      <c r="R2294" s="69"/>
      <c r="S2294" s="69"/>
    </row>
    <row r="2295" s="2" customFormat="1" ht="24.95" customHeight="1" spans="1:19">
      <c r="A2295" s="15"/>
      <c r="B2295" s="55"/>
      <c r="C2295" s="56"/>
      <c r="D2295" s="68"/>
      <c r="E2295" s="69"/>
      <c r="F2295" s="69"/>
      <c r="G2295" s="65"/>
      <c r="H2295" s="65"/>
      <c r="I2295" s="70"/>
      <c r="J2295" s="71"/>
      <c r="K2295" s="71"/>
      <c r="L2295" s="72" t="str">
        <f>IFERROR(IF(G2295="","",VLOOKUP($G2295,[1]基础信息!$B:$C,2,FALSE)+SUMIF(G$8:G2295,G2295,J$8:J2295)-SUMIF(G$8:G2295,G2295,K$8:K2295)+SUMIFS([1]内部转账!$G:$G,[1]内部转账!$C:$C,"&lt;="&amp;$D2295,[1]内部转账!$E:$E,$G2295)-SUMIFS([1]内部转账!$G:$G,[1]内部转账!$C:$C,"&lt;="&amp;$D2295,[1]内部转账!$F:$F,$G2295)),"")</f>
        <v/>
      </c>
      <c r="M2295" s="64"/>
      <c r="N2295" s="69"/>
      <c r="O2295" s="64"/>
      <c r="P2295" s="64"/>
      <c r="Q2295" s="69"/>
      <c r="R2295" s="69"/>
      <c r="S2295" s="69"/>
    </row>
    <row r="2296" s="2" customFormat="1" ht="24.95" customHeight="1" spans="1:19">
      <c r="A2296" s="15"/>
      <c r="B2296" s="55"/>
      <c r="C2296" s="56"/>
      <c r="D2296" s="68"/>
      <c r="E2296" s="69"/>
      <c r="F2296" s="69"/>
      <c r="G2296" s="65"/>
      <c r="H2296" s="65"/>
      <c r="I2296" s="70"/>
      <c r="J2296" s="71"/>
      <c r="K2296" s="71"/>
      <c r="L2296" s="72" t="str">
        <f>IFERROR(IF(G2296="","",VLOOKUP($G2296,[1]基础信息!$B:$C,2,FALSE)+SUMIF(G$8:G2296,G2296,J$8:J2296)-SUMIF(G$8:G2296,G2296,K$8:K2296)+SUMIFS([1]内部转账!$G:$G,[1]内部转账!$C:$C,"&lt;="&amp;$D2296,[1]内部转账!$E:$E,$G2296)-SUMIFS([1]内部转账!$G:$G,[1]内部转账!$C:$C,"&lt;="&amp;$D2296,[1]内部转账!$F:$F,$G2296)),"")</f>
        <v/>
      </c>
      <c r="M2296" s="64"/>
      <c r="N2296" s="69"/>
      <c r="O2296" s="64"/>
      <c r="P2296" s="64"/>
      <c r="Q2296" s="69"/>
      <c r="R2296" s="69"/>
      <c r="S2296" s="69"/>
    </row>
    <row r="2297" s="2" customFormat="1" ht="24.95" customHeight="1" spans="1:19">
      <c r="A2297" s="15"/>
      <c r="B2297" s="55"/>
      <c r="C2297" s="56"/>
      <c r="D2297" s="68"/>
      <c r="E2297" s="69"/>
      <c r="F2297" s="69"/>
      <c r="G2297" s="65"/>
      <c r="H2297" s="65"/>
      <c r="I2297" s="70"/>
      <c r="J2297" s="71"/>
      <c r="K2297" s="71"/>
      <c r="L2297" s="72" t="str">
        <f>IFERROR(IF(G2297="","",VLOOKUP($G2297,[1]基础信息!$B:$C,2,FALSE)+SUMIF(G$8:G2297,G2297,J$8:J2297)-SUMIF(G$8:G2297,G2297,K$8:K2297)+SUMIFS([1]内部转账!$G:$G,[1]内部转账!$C:$C,"&lt;="&amp;$D2297,[1]内部转账!$E:$E,$G2297)-SUMIFS([1]内部转账!$G:$G,[1]内部转账!$C:$C,"&lt;="&amp;$D2297,[1]内部转账!$F:$F,$G2297)),"")</f>
        <v/>
      </c>
      <c r="M2297" s="64"/>
      <c r="N2297" s="69"/>
      <c r="O2297" s="64"/>
      <c r="P2297" s="64"/>
      <c r="Q2297" s="69"/>
      <c r="R2297" s="69"/>
      <c r="S2297" s="69"/>
    </row>
    <row r="2298" s="2" customFormat="1" ht="24.95" customHeight="1" spans="1:19">
      <c r="A2298" s="15"/>
      <c r="B2298" s="55"/>
      <c r="C2298" s="56"/>
      <c r="D2298" s="68"/>
      <c r="E2298" s="69"/>
      <c r="F2298" s="69"/>
      <c r="G2298" s="65"/>
      <c r="H2298" s="65"/>
      <c r="I2298" s="70"/>
      <c r="J2298" s="71"/>
      <c r="K2298" s="71"/>
      <c r="L2298" s="72" t="str">
        <f>IFERROR(IF(G2298="","",VLOOKUP($G2298,[1]基础信息!$B:$C,2,FALSE)+SUMIF(G$8:G2298,G2298,J$8:J2298)-SUMIF(G$8:G2298,G2298,K$8:K2298)+SUMIFS([1]内部转账!$G:$G,[1]内部转账!$C:$C,"&lt;="&amp;$D2298,[1]内部转账!$E:$E,$G2298)-SUMIFS([1]内部转账!$G:$G,[1]内部转账!$C:$C,"&lt;="&amp;$D2298,[1]内部转账!$F:$F,$G2298)),"")</f>
        <v/>
      </c>
      <c r="M2298" s="64"/>
      <c r="N2298" s="69"/>
      <c r="O2298" s="64"/>
      <c r="P2298" s="64"/>
      <c r="Q2298" s="69"/>
      <c r="R2298" s="69"/>
      <c r="S2298" s="69"/>
    </row>
    <row r="2299" s="2" customFormat="1" ht="24.95" customHeight="1" spans="1:19">
      <c r="A2299" s="15"/>
      <c r="B2299" s="55"/>
      <c r="C2299" s="56"/>
      <c r="D2299" s="68"/>
      <c r="E2299" s="69"/>
      <c r="F2299" s="69"/>
      <c r="G2299" s="65"/>
      <c r="H2299" s="65"/>
      <c r="I2299" s="70"/>
      <c r="J2299" s="71"/>
      <c r="K2299" s="71"/>
      <c r="L2299" s="72" t="str">
        <f>IFERROR(IF(G2299="","",VLOOKUP($G2299,[1]基础信息!$B:$C,2,FALSE)+SUMIF(G$8:G2299,G2299,J$8:J2299)-SUMIF(G$8:G2299,G2299,K$8:K2299)+SUMIFS([1]内部转账!$G:$G,[1]内部转账!$C:$C,"&lt;="&amp;$D2299,[1]内部转账!$E:$E,$G2299)-SUMIFS([1]内部转账!$G:$G,[1]内部转账!$C:$C,"&lt;="&amp;$D2299,[1]内部转账!$F:$F,$G2299)),"")</f>
        <v/>
      </c>
      <c r="M2299" s="64"/>
      <c r="N2299" s="69"/>
      <c r="O2299" s="64"/>
      <c r="P2299" s="64"/>
      <c r="Q2299" s="69"/>
      <c r="R2299" s="69"/>
      <c r="S2299" s="69"/>
    </row>
    <row r="2300" s="2" customFormat="1" ht="24.95" customHeight="1" spans="1:19">
      <c r="A2300" s="15"/>
      <c r="B2300" s="55"/>
      <c r="C2300" s="56"/>
      <c r="D2300" s="68"/>
      <c r="E2300" s="69"/>
      <c r="F2300" s="69"/>
      <c r="G2300" s="65"/>
      <c r="H2300" s="65"/>
      <c r="I2300" s="70"/>
      <c r="J2300" s="71"/>
      <c r="K2300" s="71"/>
      <c r="L2300" s="72" t="str">
        <f>IFERROR(IF(G2300="","",VLOOKUP($G2300,[1]基础信息!$B:$C,2,FALSE)+SUMIF(G$8:G2300,G2300,J$8:J2300)-SUMIF(G$8:G2300,G2300,K$8:K2300)+SUMIFS([1]内部转账!$G:$G,[1]内部转账!$C:$C,"&lt;="&amp;$D2300,[1]内部转账!$E:$E,$G2300)-SUMIFS([1]内部转账!$G:$G,[1]内部转账!$C:$C,"&lt;="&amp;$D2300,[1]内部转账!$F:$F,$G2300)),"")</f>
        <v/>
      </c>
      <c r="M2300" s="64"/>
      <c r="N2300" s="69"/>
      <c r="O2300" s="64"/>
      <c r="P2300" s="64"/>
      <c r="Q2300" s="69"/>
      <c r="R2300" s="69"/>
      <c r="S2300" s="69"/>
    </row>
    <row r="2301" s="2" customFormat="1" ht="24.95" customHeight="1" spans="1:19">
      <c r="A2301" s="15"/>
      <c r="B2301" s="55"/>
      <c r="C2301" s="56"/>
      <c r="D2301" s="68"/>
      <c r="E2301" s="69"/>
      <c r="F2301" s="69"/>
      <c r="G2301" s="65"/>
      <c r="H2301" s="65"/>
      <c r="I2301" s="70"/>
      <c r="J2301" s="71"/>
      <c r="K2301" s="71"/>
      <c r="L2301" s="72" t="str">
        <f>IFERROR(IF(G2301="","",VLOOKUP($G2301,[1]基础信息!$B:$C,2,FALSE)+SUMIF(G$8:G2301,G2301,J$8:J2301)-SUMIF(G$8:G2301,G2301,K$8:K2301)+SUMIFS([1]内部转账!$G:$G,[1]内部转账!$C:$C,"&lt;="&amp;$D2301,[1]内部转账!$E:$E,$G2301)-SUMIFS([1]内部转账!$G:$G,[1]内部转账!$C:$C,"&lt;="&amp;$D2301,[1]内部转账!$F:$F,$G2301)),"")</f>
        <v/>
      </c>
      <c r="M2301" s="64"/>
      <c r="N2301" s="69"/>
      <c r="O2301" s="64"/>
      <c r="P2301" s="64"/>
      <c r="Q2301" s="69"/>
      <c r="R2301" s="69"/>
      <c r="S2301" s="69"/>
    </row>
    <row r="2302" s="2" customFormat="1" ht="24.95" customHeight="1" spans="1:19">
      <c r="A2302" s="15"/>
      <c r="B2302" s="55"/>
      <c r="C2302" s="56"/>
      <c r="D2302" s="68"/>
      <c r="E2302" s="69"/>
      <c r="F2302" s="69"/>
      <c r="G2302" s="65"/>
      <c r="H2302" s="65"/>
      <c r="I2302" s="70"/>
      <c r="J2302" s="71"/>
      <c r="K2302" s="71"/>
      <c r="L2302" s="72" t="str">
        <f>IFERROR(IF(G2302="","",VLOOKUP($G2302,[1]基础信息!$B:$C,2,FALSE)+SUMIF(G$8:G2302,G2302,J$8:J2302)-SUMIF(G$8:G2302,G2302,K$8:K2302)+SUMIFS([1]内部转账!$G:$G,[1]内部转账!$C:$C,"&lt;="&amp;$D2302,[1]内部转账!$E:$E,$G2302)-SUMIFS([1]内部转账!$G:$G,[1]内部转账!$C:$C,"&lt;="&amp;$D2302,[1]内部转账!$F:$F,$G2302)),"")</f>
        <v/>
      </c>
      <c r="M2302" s="64"/>
      <c r="N2302" s="69"/>
      <c r="O2302" s="64"/>
      <c r="P2302" s="64"/>
      <c r="Q2302" s="69"/>
      <c r="R2302" s="69"/>
      <c r="S2302" s="69"/>
    </row>
    <row r="2303" s="2" customFormat="1" ht="24.95" customHeight="1" spans="1:19">
      <c r="A2303" s="15"/>
      <c r="B2303" s="55"/>
      <c r="C2303" s="56"/>
      <c r="D2303" s="68"/>
      <c r="E2303" s="69"/>
      <c r="F2303" s="69"/>
      <c r="G2303" s="65"/>
      <c r="H2303" s="65"/>
      <c r="I2303" s="70"/>
      <c r="J2303" s="71"/>
      <c r="K2303" s="71"/>
      <c r="L2303" s="72" t="str">
        <f>IFERROR(IF(G2303="","",VLOOKUP($G2303,[1]基础信息!$B:$C,2,FALSE)+SUMIF(G$8:G2303,G2303,J$8:J2303)-SUMIF(G$8:G2303,G2303,K$8:K2303)+SUMIFS([1]内部转账!$G:$G,[1]内部转账!$C:$C,"&lt;="&amp;$D2303,[1]内部转账!$E:$E,$G2303)-SUMIFS([1]内部转账!$G:$G,[1]内部转账!$C:$C,"&lt;="&amp;$D2303,[1]内部转账!$F:$F,$G2303)),"")</f>
        <v/>
      </c>
      <c r="M2303" s="64"/>
      <c r="N2303" s="69"/>
      <c r="O2303" s="64"/>
      <c r="P2303" s="64"/>
      <c r="Q2303" s="69"/>
      <c r="R2303" s="69"/>
      <c r="S2303" s="69"/>
    </row>
    <row r="2304" s="2" customFormat="1" ht="24.95" customHeight="1" spans="1:19">
      <c r="A2304" s="15"/>
      <c r="B2304" s="55"/>
      <c r="C2304" s="56"/>
      <c r="D2304" s="68"/>
      <c r="E2304" s="69"/>
      <c r="F2304" s="69"/>
      <c r="G2304" s="65"/>
      <c r="H2304" s="65"/>
      <c r="I2304" s="70"/>
      <c r="J2304" s="71"/>
      <c r="K2304" s="71"/>
      <c r="L2304" s="72" t="str">
        <f>IFERROR(IF(G2304="","",VLOOKUP($G2304,[1]基础信息!$B:$C,2,FALSE)+SUMIF(G$8:G2304,G2304,J$8:J2304)-SUMIF(G$8:G2304,G2304,K$8:K2304)+SUMIFS([1]内部转账!$G:$G,[1]内部转账!$C:$C,"&lt;="&amp;$D2304,[1]内部转账!$E:$E,$G2304)-SUMIFS([1]内部转账!$G:$G,[1]内部转账!$C:$C,"&lt;="&amp;$D2304,[1]内部转账!$F:$F,$G2304)),"")</f>
        <v/>
      </c>
      <c r="M2304" s="64"/>
      <c r="N2304" s="69"/>
      <c r="O2304" s="64"/>
      <c r="P2304" s="64"/>
      <c r="Q2304" s="69"/>
      <c r="R2304" s="69"/>
      <c r="S2304" s="69"/>
    </row>
    <row r="2305" s="2" customFormat="1" ht="24.95" customHeight="1" spans="1:19">
      <c r="A2305" s="15"/>
      <c r="B2305" s="55"/>
      <c r="C2305" s="56"/>
      <c r="D2305" s="68"/>
      <c r="E2305" s="69"/>
      <c r="F2305" s="69"/>
      <c r="G2305" s="65"/>
      <c r="H2305" s="65"/>
      <c r="I2305" s="70"/>
      <c r="J2305" s="71"/>
      <c r="K2305" s="71"/>
      <c r="L2305" s="72" t="str">
        <f>IFERROR(IF(G2305="","",VLOOKUP($G2305,[1]基础信息!$B:$C,2,FALSE)+SUMIF(G$8:G2305,G2305,J$8:J2305)-SUMIF(G$8:G2305,G2305,K$8:K2305)+SUMIFS([1]内部转账!$G:$G,[1]内部转账!$C:$C,"&lt;="&amp;$D2305,[1]内部转账!$E:$E,$G2305)-SUMIFS([1]内部转账!$G:$G,[1]内部转账!$C:$C,"&lt;="&amp;$D2305,[1]内部转账!$F:$F,$G2305)),"")</f>
        <v/>
      </c>
      <c r="M2305" s="64"/>
      <c r="N2305" s="69"/>
      <c r="O2305" s="64"/>
      <c r="P2305" s="64"/>
      <c r="Q2305" s="69"/>
      <c r="R2305" s="69"/>
      <c r="S2305" s="69"/>
    </row>
    <row r="2306" s="2" customFormat="1" ht="24.95" customHeight="1" spans="1:19">
      <c r="A2306" s="15"/>
      <c r="B2306" s="55"/>
      <c r="C2306" s="56"/>
      <c r="D2306" s="68"/>
      <c r="E2306" s="69"/>
      <c r="F2306" s="69"/>
      <c r="G2306" s="65"/>
      <c r="H2306" s="65"/>
      <c r="I2306" s="70"/>
      <c r="J2306" s="71"/>
      <c r="K2306" s="71"/>
      <c r="L2306" s="72" t="str">
        <f>IFERROR(IF(G2306="","",VLOOKUP($G2306,[1]基础信息!$B:$C,2,FALSE)+SUMIF(G$8:G2306,G2306,J$8:J2306)-SUMIF(G$8:G2306,G2306,K$8:K2306)+SUMIFS([1]内部转账!$G:$G,[1]内部转账!$C:$C,"&lt;="&amp;$D2306,[1]内部转账!$E:$E,$G2306)-SUMIFS([1]内部转账!$G:$G,[1]内部转账!$C:$C,"&lt;="&amp;$D2306,[1]内部转账!$F:$F,$G2306)),"")</f>
        <v/>
      </c>
      <c r="M2306" s="64"/>
      <c r="N2306" s="69"/>
      <c r="O2306" s="64"/>
      <c r="P2306" s="64"/>
      <c r="Q2306" s="69"/>
      <c r="R2306" s="69"/>
      <c r="S2306" s="69"/>
    </row>
    <row r="2307" s="2" customFormat="1" ht="24.95" customHeight="1" spans="1:19">
      <c r="A2307" s="15"/>
      <c r="B2307" s="55"/>
      <c r="C2307" s="56"/>
      <c r="D2307" s="68"/>
      <c r="E2307" s="69"/>
      <c r="F2307" s="69"/>
      <c r="G2307" s="65"/>
      <c r="H2307" s="65"/>
      <c r="I2307" s="70"/>
      <c r="J2307" s="71"/>
      <c r="K2307" s="71"/>
      <c r="L2307" s="72" t="str">
        <f>IFERROR(IF(G2307="","",VLOOKUP($G2307,[1]基础信息!$B:$C,2,FALSE)+SUMIF(G$8:G2307,G2307,J$8:J2307)-SUMIF(G$8:G2307,G2307,K$8:K2307)+SUMIFS([1]内部转账!$G:$G,[1]内部转账!$C:$C,"&lt;="&amp;$D2307,[1]内部转账!$E:$E,$G2307)-SUMIFS([1]内部转账!$G:$G,[1]内部转账!$C:$C,"&lt;="&amp;$D2307,[1]内部转账!$F:$F,$G2307)),"")</f>
        <v/>
      </c>
      <c r="M2307" s="64"/>
      <c r="N2307" s="69"/>
      <c r="O2307" s="64"/>
      <c r="P2307" s="64"/>
      <c r="Q2307" s="69"/>
      <c r="R2307" s="69"/>
      <c r="S2307" s="69"/>
    </row>
    <row r="2308" s="2" customFormat="1" ht="24.95" customHeight="1" spans="1:19">
      <c r="A2308" s="15"/>
      <c r="B2308" s="55"/>
      <c r="C2308" s="56"/>
      <c r="D2308" s="68"/>
      <c r="E2308" s="69"/>
      <c r="F2308" s="69"/>
      <c r="G2308" s="65"/>
      <c r="H2308" s="65"/>
      <c r="I2308" s="70"/>
      <c r="J2308" s="71"/>
      <c r="K2308" s="71"/>
      <c r="L2308" s="72" t="str">
        <f>IFERROR(IF(G2308="","",VLOOKUP($G2308,[1]基础信息!$B:$C,2,FALSE)+SUMIF(G$8:G2308,G2308,J$8:J2308)-SUMIF(G$8:G2308,G2308,K$8:K2308)+SUMIFS([1]内部转账!$G:$G,[1]内部转账!$C:$C,"&lt;="&amp;$D2308,[1]内部转账!$E:$E,$G2308)-SUMIFS([1]内部转账!$G:$G,[1]内部转账!$C:$C,"&lt;="&amp;$D2308,[1]内部转账!$F:$F,$G2308)),"")</f>
        <v/>
      </c>
      <c r="M2308" s="64"/>
      <c r="N2308" s="69"/>
      <c r="O2308" s="64"/>
      <c r="P2308" s="64"/>
      <c r="Q2308" s="69"/>
      <c r="R2308" s="69"/>
      <c r="S2308" s="69"/>
    </row>
    <row r="2309" s="2" customFormat="1" ht="24.95" customHeight="1" spans="1:19">
      <c r="A2309" s="15"/>
      <c r="B2309" s="55"/>
      <c r="C2309" s="56"/>
      <c r="D2309" s="68"/>
      <c r="E2309" s="69"/>
      <c r="F2309" s="69"/>
      <c r="G2309" s="65"/>
      <c r="H2309" s="65"/>
      <c r="I2309" s="70"/>
      <c r="J2309" s="71"/>
      <c r="K2309" s="71"/>
      <c r="L2309" s="72" t="str">
        <f>IFERROR(IF(G2309="","",VLOOKUP($G2309,[1]基础信息!$B:$C,2,FALSE)+SUMIF(G$8:G2309,G2309,J$8:J2309)-SUMIF(G$8:G2309,G2309,K$8:K2309)+SUMIFS([1]内部转账!$G:$G,[1]内部转账!$C:$C,"&lt;="&amp;$D2309,[1]内部转账!$E:$E,$G2309)-SUMIFS([1]内部转账!$G:$G,[1]内部转账!$C:$C,"&lt;="&amp;$D2309,[1]内部转账!$F:$F,$G2309)),"")</f>
        <v/>
      </c>
      <c r="M2309" s="64"/>
      <c r="N2309" s="69"/>
      <c r="O2309" s="64"/>
      <c r="P2309" s="64"/>
      <c r="Q2309" s="69"/>
      <c r="R2309" s="69"/>
      <c r="S2309" s="69"/>
    </row>
    <row r="2310" s="2" customFormat="1" ht="24.95" customHeight="1" spans="1:19">
      <c r="A2310" s="15"/>
      <c r="B2310" s="55"/>
      <c r="C2310" s="56"/>
      <c r="D2310" s="68"/>
      <c r="E2310" s="69"/>
      <c r="F2310" s="69"/>
      <c r="G2310" s="65"/>
      <c r="H2310" s="65"/>
      <c r="I2310" s="70"/>
      <c r="J2310" s="71"/>
      <c r="K2310" s="71"/>
      <c r="L2310" s="72" t="str">
        <f>IFERROR(IF(G2310="","",VLOOKUP($G2310,[1]基础信息!$B:$C,2,FALSE)+SUMIF(G$8:G2310,G2310,J$8:J2310)-SUMIF(G$8:G2310,G2310,K$8:K2310)+SUMIFS([1]内部转账!$G:$G,[1]内部转账!$C:$C,"&lt;="&amp;$D2310,[1]内部转账!$E:$E,$G2310)-SUMIFS([1]内部转账!$G:$G,[1]内部转账!$C:$C,"&lt;="&amp;$D2310,[1]内部转账!$F:$F,$G2310)),"")</f>
        <v/>
      </c>
      <c r="M2310" s="64"/>
      <c r="N2310" s="69"/>
      <c r="O2310" s="64"/>
      <c r="P2310" s="64"/>
      <c r="Q2310" s="69"/>
      <c r="R2310" s="69"/>
      <c r="S2310" s="69"/>
    </row>
    <row r="2311" s="2" customFormat="1" ht="24.95" customHeight="1" spans="1:19">
      <c r="A2311" s="15"/>
      <c r="B2311" s="55"/>
      <c r="C2311" s="56"/>
      <c r="D2311" s="68"/>
      <c r="E2311" s="69"/>
      <c r="F2311" s="69"/>
      <c r="G2311" s="65"/>
      <c r="H2311" s="65"/>
      <c r="I2311" s="70"/>
      <c r="J2311" s="71"/>
      <c r="K2311" s="71"/>
      <c r="L2311" s="72" t="str">
        <f>IFERROR(IF(G2311="","",VLOOKUP($G2311,[1]基础信息!$B:$C,2,FALSE)+SUMIF(G$8:G2311,G2311,J$8:J2311)-SUMIF(G$8:G2311,G2311,K$8:K2311)+SUMIFS([1]内部转账!$G:$G,[1]内部转账!$C:$C,"&lt;="&amp;$D2311,[1]内部转账!$E:$E,$G2311)-SUMIFS([1]内部转账!$G:$G,[1]内部转账!$C:$C,"&lt;="&amp;$D2311,[1]内部转账!$F:$F,$G2311)),"")</f>
        <v/>
      </c>
      <c r="M2311" s="64"/>
      <c r="N2311" s="69"/>
      <c r="O2311" s="64"/>
      <c r="P2311" s="64"/>
      <c r="Q2311" s="69"/>
      <c r="R2311" s="69"/>
      <c r="S2311" s="69"/>
    </row>
    <row r="2312" s="2" customFormat="1" ht="24.95" customHeight="1" spans="1:19">
      <c r="A2312" s="15"/>
      <c r="B2312" s="55"/>
      <c r="C2312" s="56"/>
      <c r="D2312" s="68"/>
      <c r="E2312" s="69"/>
      <c r="F2312" s="69"/>
      <c r="G2312" s="65"/>
      <c r="H2312" s="65"/>
      <c r="I2312" s="70"/>
      <c r="J2312" s="71"/>
      <c r="K2312" s="71"/>
      <c r="L2312" s="72" t="str">
        <f>IFERROR(IF(G2312="","",VLOOKUP($G2312,[1]基础信息!$B:$C,2,FALSE)+SUMIF(G$8:G2312,G2312,J$8:J2312)-SUMIF(G$8:G2312,G2312,K$8:K2312)+SUMIFS([1]内部转账!$G:$G,[1]内部转账!$C:$C,"&lt;="&amp;$D2312,[1]内部转账!$E:$E,$G2312)-SUMIFS([1]内部转账!$G:$G,[1]内部转账!$C:$C,"&lt;="&amp;$D2312,[1]内部转账!$F:$F,$G2312)),"")</f>
        <v/>
      </c>
      <c r="M2312" s="64"/>
      <c r="N2312" s="69"/>
      <c r="O2312" s="64"/>
      <c r="P2312" s="64"/>
      <c r="Q2312" s="69"/>
      <c r="R2312" s="69"/>
      <c r="S2312" s="69"/>
    </row>
    <row r="2313" s="2" customFormat="1" ht="24.95" customHeight="1" spans="1:19">
      <c r="A2313" s="15"/>
      <c r="B2313" s="55"/>
      <c r="C2313" s="56"/>
      <c r="D2313" s="68"/>
      <c r="E2313" s="69"/>
      <c r="F2313" s="69"/>
      <c r="G2313" s="65"/>
      <c r="H2313" s="65"/>
      <c r="I2313" s="70"/>
      <c r="J2313" s="71"/>
      <c r="K2313" s="71"/>
      <c r="L2313" s="72" t="str">
        <f>IFERROR(IF(G2313="","",VLOOKUP($G2313,[1]基础信息!$B:$C,2,FALSE)+SUMIF(G$8:G2313,G2313,J$8:J2313)-SUMIF(G$8:G2313,G2313,K$8:K2313)+SUMIFS([1]内部转账!$G:$G,[1]内部转账!$C:$C,"&lt;="&amp;$D2313,[1]内部转账!$E:$E,$G2313)-SUMIFS([1]内部转账!$G:$G,[1]内部转账!$C:$C,"&lt;="&amp;$D2313,[1]内部转账!$F:$F,$G2313)),"")</f>
        <v/>
      </c>
      <c r="M2313" s="64"/>
      <c r="N2313" s="69"/>
      <c r="O2313" s="64"/>
      <c r="P2313" s="64"/>
      <c r="Q2313" s="69"/>
      <c r="R2313" s="69"/>
      <c r="S2313" s="69"/>
    </row>
    <row r="2314" s="2" customFormat="1" ht="24.95" customHeight="1" spans="1:19">
      <c r="A2314" s="15"/>
      <c r="B2314" s="55"/>
      <c r="C2314" s="56"/>
      <c r="D2314" s="68"/>
      <c r="E2314" s="69"/>
      <c r="F2314" s="69"/>
      <c r="G2314" s="65"/>
      <c r="H2314" s="65"/>
      <c r="I2314" s="70"/>
      <c r="J2314" s="71"/>
      <c r="K2314" s="71"/>
      <c r="L2314" s="72" t="str">
        <f>IFERROR(IF(G2314="","",VLOOKUP($G2314,[1]基础信息!$B:$C,2,FALSE)+SUMIF(G$8:G2314,G2314,J$8:J2314)-SUMIF(G$8:G2314,G2314,K$8:K2314)+SUMIFS([1]内部转账!$G:$G,[1]内部转账!$C:$C,"&lt;="&amp;$D2314,[1]内部转账!$E:$E,$G2314)-SUMIFS([1]内部转账!$G:$G,[1]内部转账!$C:$C,"&lt;="&amp;$D2314,[1]内部转账!$F:$F,$G2314)),"")</f>
        <v/>
      </c>
      <c r="M2314" s="64"/>
      <c r="N2314" s="69"/>
      <c r="O2314" s="64"/>
      <c r="P2314" s="64"/>
      <c r="Q2314" s="69"/>
      <c r="R2314" s="69"/>
      <c r="S2314" s="69"/>
    </row>
    <row r="2315" s="2" customFormat="1" ht="24.95" customHeight="1" spans="1:19">
      <c r="A2315" s="15"/>
      <c r="B2315" s="55"/>
      <c r="C2315" s="56"/>
      <c r="D2315" s="68"/>
      <c r="E2315" s="69"/>
      <c r="F2315" s="69"/>
      <c r="G2315" s="65"/>
      <c r="H2315" s="65"/>
      <c r="I2315" s="70"/>
      <c r="J2315" s="71"/>
      <c r="K2315" s="71"/>
      <c r="L2315" s="72" t="str">
        <f>IFERROR(IF(G2315="","",VLOOKUP($G2315,[1]基础信息!$B:$C,2,FALSE)+SUMIF(G$8:G2315,G2315,J$8:J2315)-SUMIF(G$8:G2315,G2315,K$8:K2315)+SUMIFS([1]内部转账!$G:$G,[1]内部转账!$C:$C,"&lt;="&amp;$D2315,[1]内部转账!$E:$E,$G2315)-SUMIFS([1]内部转账!$G:$G,[1]内部转账!$C:$C,"&lt;="&amp;$D2315,[1]内部转账!$F:$F,$G2315)),"")</f>
        <v/>
      </c>
      <c r="M2315" s="64"/>
      <c r="N2315" s="69"/>
      <c r="O2315" s="64"/>
      <c r="P2315" s="64"/>
      <c r="Q2315" s="69"/>
      <c r="R2315" s="69"/>
      <c r="S2315" s="69"/>
    </row>
    <row r="2316" s="2" customFormat="1" ht="24.95" customHeight="1" spans="1:19">
      <c r="A2316" s="15"/>
      <c r="B2316" s="55"/>
      <c r="C2316" s="56"/>
      <c r="D2316" s="68"/>
      <c r="E2316" s="69"/>
      <c r="F2316" s="69"/>
      <c r="G2316" s="65"/>
      <c r="H2316" s="65"/>
      <c r="I2316" s="70"/>
      <c r="J2316" s="71"/>
      <c r="K2316" s="71"/>
      <c r="L2316" s="72" t="str">
        <f>IFERROR(IF(G2316="","",VLOOKUP($G2316,[1]基础信息!$B:$C,2,FALSE)+SUMIF(G$8:G2316,G2316,J$8:J2316)-SUMIF(G$8:G2316,G2316,K$8:K2316)+SUMIFS([1]内部转账!$G:$G,[1]内部转账!$C:$C,"&lt;="&amp;$D2316,[1]内部转账!$E:$E,$G2316)-SUMIFS([1]内部转账!$G:$G,[1]内部转账!$C:$C,"&lt;="&amp;$D2316,[1]内部转账!$F:$F,$G2316)),"")</f>
        <v/>
      </c>
      <c r="M2316" s="64"/>
      <c r="N2316" s="69"/>
      <c r="O2316" s="64"/>
      <c r="P2316" s="64"/>
      <c r="Q2316" s="69"/>
      <c r="R2316" s="69"/>
      <c r="S2316" s="69"/>
    </row>
    <row r="2317" s="2" customFormat="1" ht="24.95" customHeight="1" spans="1:19">
      <c r="A2317" s="15"/>
      <c r="B2317" s="55"/>
      <c r="C2317" s="56"/>
      <c r="D2317" s="68"/>
      <c r="E2317" s="69"/>
      <c r="F2317" s="69"/>
      <c r="G2317" s="65"/>
      <c r="H2317" s="65"/>
      <c r="I2317" s="70"/>
      <c r="J2317" s="71"/>
      <c r="K2317" s="71"/>
      <c r="L2317" s="72" t="str">
        <f>IFERROR(IF(G2317="","",VLOOKUP($G2317,[1]基础信息!$B:$C,2,FALSE)+SUMIF(G$8:G2317,G2317,J$8:J2317)-SUMIF(G$8:G2317,G2317,K$8:K2317)+SUMIFS([1]内部转账!$G:$G,[1]内部转账!$C:$C,"&lt;="&amp;$D2317,[1]内部转账!$E:$E,$G2317)-SUMIFS([1]内部转账!$G:$G,[1]内部转账!$C:$C,"&lt;="&amp;$D2317,[1]内部转账!$F:$F,$G2317)),"")</f>
        <v/>
      </c>
      <c r="M2317" s="64"/>
      <c r="N2317" s="69"/>
      <c r="O2317" s="64"/>
      <c r="P2317" s="64"/>
      <c r="Q2317" s="69"/>
      <c r="R2317" s="69"/>
      <c r="S2317" s="69"/>
    </row>
    <row r="2318" s="2" customFormat="1" ht="24.95" customHeight="1" spans="1:19">
      <c r="A2318" s="15"/>
      <c r="B2318" s="55"/>
      <c r="C2318" s="56"/>
      <c r="D2318" s="68"/>
      <c r="E2318" s="69"/>
      <c r="F2318" s="69"/>
      <c r="G2318" s="65"/>
      <c r="H2318" s="65"/>
      <c r="I2318" s="70"/>
      <c r="J2318" s="71"/>
      <c r="K2318" s="71"/>
      <c r="L2318" s="72" t="str">
        <f>IFERROR(IF(G2318="","",VLOOKUP($G2318,[1]基础信息!$B:$C,2,FALSE)+SUMIF(G$8:G2318,G2318,J$8:J2318)-SUMIF(G$8:G2318,G2318,K$8:K2318)+SUMIFS([1]内部转账!$G:$G,[1]内部转账!$C:$C,"&lt;="&amp;$D2318,[1]内部转账!$E:$E,$G2318)-SUMIFS([1]内部转账!$G:$G,[1]内部转账!$C:$C,"&lt;="&amp;$D2318,[1]内部转账!$F:$F,$G2318)),"")</f>
        <v/>
      </c>
      <c r="M2318" s="64"/>
      <c r="N2318" s="69"/>
      <c r="O2318" s="64"/>
      <c r="P2318" s="64"/>
      <c r="Q2318" s="69"/>
      <c r="R2318" s="69"/>
      <c r="S2318" s="69"/>
    </row>
    <row r="2319" s="2" customFormat="1" ht="24.95" customHeight="1" spans="1:19">
      <c r="A2319" s="15"/>
      <c r="B2319" s="55"/>
      <c r="C2319" s="56"/>
      <c r="D2319" s="68"/>
      <c r="E2319" s="69"/>
      <c r="F2319" s="69"/>
      <c r="G2319" s="65"/>
      <c r="H2319" s="65"/>
      <c r="I2319" s="70"/>
      <c r="J2319" s="71"/>
      <c r="K2319" s="71"/>
      <c r="L2319" s="72" t="str">
        <f>IFERROR(IF(G2319="","",VLOOKUP($G2319,[1]基础信息!$B:$C,2,FALSE)+SUMIF(G$8:G2319,G2319,J$8:J2319)-SUMIF(G$8:G2319,G2319,K$8:K2319)+SUMIFS([1]内部转账!$G:$G,[1]内部转账!$C:$C,"&lt;="&amp;$D2319,[1]内部转账!$E:$E,$G2319)-SUMIFS([1]内部转账!$G:$G,[1]内部转账!$C:$C,"&lt;="&amp;$D2319,[1]内部转账!$F:$F,$G2319)),"")</f>
        <v/>
      </c>
      <c r="M2319" s="64"/>
      <c r="N2319" s="69"/>
      <c r="O2319" s="64"/>
      <c r="P2319" s="64"/>
      <c r="Q2319" s="69"/>
      <c r="R2319" s="69"/>
      <c r="S2319" s="69"/>
    </row>
    <row r="2320" s="2" customFormat="1" ht="24.95" customHeight="1" spans="1:19">
      <c r="A2320" s="15"/>
      <c r="B2320" s="55"/>
      <c r="C2320" s="56"/>
      <c r="D2320" s="68"/>
      <c r="E2320" s="69"/>
      <c r="F2320" s="69"/>
      <c r="G2320" s="65"/>
      <c r="H2320" s="65"/>
      <c r="I2320" s="70"/>
      <c r="J2320" s="71"/>
      <c r="K2320" s="71"/>
      <c r="L2320" s="72" t="str">
        <f>IFERROR(IF(G2320="","",VLOOKUP($G2320,[1]基础信息!$B:$C,2,FALSE)+SUMIF(G$8:G2320,G2320,J$8:J2320)-SUMIF(G$8:G2320,G2320,K$8:K2320)+SUMIFS([1]内部转账!$G:$G,[1]内部转账!$C:$C,"&lt;="&amp;$D2320,[1]内部转账!$E:$E,$G2320)-SUMIFS([1]内部转账!$G:$G,[1]内部转账!$C:$C,"&lt;="&amp;$D2320,[1]内部转账!$F:$F,$G2320)),"")</f>
        <v/>
      </c>
      <c r="M2320" s="64"/>
      <c r="N2320" s="69"/>
      <c r="O2320" s="64"/>
      <c r="P2320" s="64"/>
      <c r="Q2320" s="69"/>
      <c r="R2320" s="69"/>
      <c r="S2320" s="69"/>
    </row>
    <row r="2321" s="2" customFormat="1" ht="24.95" customHeight="1" spans="1:19">
      <c r="A2321" s="15"/>
      <c r="B2321" s="55"/>
      <c r="C2321" s="56"/>
      <c r="D2321" s="68"/>
      <c r="E2321" s="69"/>
      <c r="F2321" s="69"/>
      <c r="G2321" s="65"/>
      <c r="H2321" s="65"/>
      <c r="I2321" s="70"/>
      <c r="J2321" s="71"/>
      <c r="K2321" s="71"/>
      <c r="L2321" s="72" t="str">
        <f>IFERROR(IF(G2321="","",VLOOKUP($G2321,[1]基础信息!$B:$C,2,FALSE)+SUMIF(G$8:G2321,G2321,J$8:J2321)-SUMIF(G$8:G2321,G2321,K$8:K2321)+SUMIFS([1]内部转账!$G:$G,[1]内部转账!$C:$C,"&lt;="&amp;$D2321,[1]内部转账!$E:$E,$G2321)-SUMIFS([1]内部转账!$G:$G,[1]内部转账!$C:$C,"&lt;="&amp;$D2321,[1]内部转账!$F:$F,$G2321)),"")</f>
        <v/>
      </c>
      <c r="M2321" s="64"/>
      <c r="N2321" s="69"/>
      <c r="O2321" s="64"/>
      <c r="P2321" s="64"/>
      <c r="Q2321" s="69"/>
      <c r="R2321" s="69"/>
      <c r="S2321" s="69"/>
    </row>
    <row r="2322" s="2" customFormat="1" ht="24.95" customHeight="1" spans="1:19">
      <c r="A2322" s="15"/>
      <c r="B2322" s="55"/>
      <c r="C2322" s="56"/>
      <c r="D2322" s="68"/>
      <c r="E2322" s="69"/>
      <c r="F2322" s="69"/>
      <c r="G2322" s="65"/>
      <c r="H2322" s="65"/>
      <c r="I2322" s="70"/>
      <c r="J2322" s="71"/>
      <c r="K2322" s="71"/>
      <c r="L2322" s="72" t="str">
        <f>IFERROR(IF(G2322="","",VLOOKUP($G2322,[1]基础信息!$B:$C,2,FALSE)+SUMIF(G$8:G2322,G2322,J$8:J2322)-SUMIF(G$8:G2322,G2322,K$8:K2322)+SUMIFS([1]内部转账!$G:$G,[1]内部转账!$C:$C,"&lt;="&amp;$D2322,[1]内部转账!$E:$E,$G2322)-SUMIFS([1]内部转账!$G:$G,[1]内部转账!$C:$C,"&lt;="&amp;$D2322,[1]内部转账!$F:$F,$G2322)),"")</f>
        <v/>
      </c>
      <c r="M2322" s="64"/>
      <c r="N2322" s="69"/>
      <c r="O2322" s="64"/>
      <c r="P2322" s="64"/>
      <c r="Q2322" s="69"/>
      <c r="R2322" s="69"/>
      <c r="S2322" s="69"/>
    </row>
    <row r="2323" s="2" customFormat="1" ht="24.95" customHeight="1" spans="1:19">
      <c r="A2323" s="15"/>
      <c r="B2323" s="55"/>
      <c r="C2323" s="56"/>
      <c r="D2323" s="68"/>
      <c r="E2323" s="69"/>
      <c r="F2323" s="69"/>
      <c r="G2323" s="65"/>
      <c r="H2323" s="65"/>
      <c r="I2323" s="70"/>
      <c r="J2323" s="71"/>
      <c r="K2323" s="71"/>
      <c r="L2323" s="72" t="str">
        <f>IFERROR(IF(G2323="","",VLOOKUP($G2323,[1]基础信息!$B:$C,2,FALSE)+SUMIF(G$8:G2323,G2323,J$8:J2323)-SUMIF(G$8:G2323,G2323,K$8:K2323)+SUMIFS([1]内部转账!$G:$G,[1]内部转账!$C:$C,"&lt;="&amp;$D2323,[1]内部转账!$E:$E,$G2323)-SUMIFS([1]内部转账!$G:$G,[1]内部转账!$C:$C,"&lt;="&amp;$D2323,[1]内部转账!$F:$F,$G2323)),"")</f>
        <v/>
      </c>
      <c r="M2323" s="64"/>
      <c r="N2323" s="69"/>
      <c r="O2323" s="64"/>
      <c r="P2323" s="64"/>
      <c r="Q2323" s="69"/>
      <c r="R2323" s="69"/>
      <c r="S2323" s="69"/>
    </row>
    <row r="2324" s="2" customFormat="1" ht="24.95" customHeight="1" spans="1:19">
      <c r="A2324" s="15"/>
      <c r="B2324" s="55"/>
      <c r="C2324" s="56"/>
      <c r="D2324" s="68"/>
      <c r="E2324" s="69"/>
      <c r="F2324" s="69"/>
      <c r="G2324" s="65"/>
      <c r="H2324" s="65"/>
      <c r="I2324" s="70"/>
      <c r="J2324" s="71"/>
      <c r="K2324" s="71"/>
      <c r="L2324" s="72" t="str">
        <f>IFERROR(IF(G2324="","",VLOOKUP($G2324,[1]基础信息!$B:$C,2,FALSE)+SUMIF(G$8:G2324,G2324,J$8:J2324)-SUMIF(G$8:G2324,G2324,K$8:K2324)+SUMIFS([1]内部转账!$G:$G,[1]内部转账!$C:$C,"&lt;="&amp;$D2324,[1]内部转账!$E:$E,$G2324)-SUMIFS([1]内部转账!$G:$G,[1]内部转账!$C:$C,"&lt;="&amp;$D2324,[1]内部转账!$F:$F,$G2324)),"")</f>
        <v/>
      </c>
      <c r="M2324" s="64"/>
      <c r="N2324" s="69"/>
      <c r="O2324" s="64"/>
      <c r="P2324" s="64"/>
      <c r="Q2324" s="69"/>
      <c r="R2324" s="69"/>
      <c r="S2324" s="69"/>
    </row>
    <row r="2325" s="2" customFormat="1" ht="24.95" customHeight="1" spans="1:19">
      <c r="A2325" s="15"/>
      <c r="B2325" s="55"/>
      <c r="C2325" s="56"/>
      <c r="D2325" s="68"/>
      <c r="E2325" s="69"/>
      <c r="F2325" s="69"/>
      <c r="G2325" s="65"/>
      <c r="H2325" s="65"/>
      <c r="I2325" s="70"/>
      <c r="J2325" s="71"/>
      <c r="K2325" s="71"/>
      <c r="L2325" s="72" t="str">
        <f>IFERROR(IF(G2325="","",VLOOKUP($G2325,[1]基础信息!$B:$C,2,FALSE)+SUMIF(G$8:G2325,G2325,J$8:J2325)-SUMIF(G$8:G2325,G2325,K$8:K2325)+SUMIFS([1]内部转账!$G:$G,[1]内部转账!$C:$C,"&lt;="&amp;$D2325,[1]内部转账!$E:$E,$G2325)-SUMIFS([1]内部转账!$G:$G,[1]内部转账!$C:$C,"&lt;="&amp;$D2325,[1]内部转账!$F:$F,$G2325)),"")</f>
        <v/>
      </c>
      <c r="M2325" s="64"/>
      <c r="N2325" s="69"/>
      <c r="O2325" s="64"/>
      <c r="P2325" s="64"/>
      <c r="Q2325" s="69"/>
      <c r="R2325" s="69"/>
      <c r="S2325" s="69"/>
    </row>
    <row r="2326" s="2" customFormat="1" ht="24.95" customHeight="1" spans="1:19">
      <c r="A2326" s="15"/>
      <c r="B2326" s="55"/>
      <c r="C2326" s="56"/>
      <c r="D2326" s="68"/>
      <c r="E2326" s="69"/>
      <c r="F2326" s="69"/>
      <c r="G2326" s="65"/>
      <c r="H2326" s="65"/>
      <c r="I2326" s="70"/>
      <c r="J2326" s="71"/>
      <c r="K2326" s="71"/>
      <c r="L2326" s="72" t="str">
        <f>IFERROR(IF(G2326="","",VLOOKUP($G2326,[1]基础信息!$B:$C,2,FALSE)+SUMIF(G$8:G2326,G2326,J$8:J2326)-SUMIF(G$8:G2326,G2326,K$8:K2326)+SUMIFS([1]内部转账!$G:$G,[1]内部转账!$C:$C,"&lt;="&amp;$D2326,[1]内部转账!$E:$E,$G2326)-SUMIFS([1]内部转账!$G:$G,[1]内部转账!$C:$C,"&lt;="&amp;$D2326,[1]内部转账!$F:$F,$G2326)),"")</f>
        <v/>
      </c>
      <c r="M2326" s="64"/>
      <c r="N2326" s="69"/>
      <c r="O2326" s="64"/>
      <c r="P2326" s="64"/>
      <c r="Q2326" s="69"/>
      <c r="R2326" s="69"/>
      <c r="S2326" s="69"/>
    </row>
    <row r="2327" s="2" customFormat="1" ht="24.95" customHeight="1" spans="1:19">
      <c r="A2327" s="15"/>
      <c r="B2327" s="55"/>
      <c r="C2327" s="56"/>
      <c r="D2327" s="68"/>
      <c r="E2327" s="69"/>
      <c r="F2327" s="69"/>
      <c r="G2327" s="65"/>
      <c r="H2327" s="65"/>
      <c r="I2327" s="70"/>
      <c r="J2327" s="71"/>
      <c r="K2327" s="71"/>
      <c r="L2327" s="72" t="str">
        <f>IFERROR(IF(G2327="","",VLOOKUP($G2327,[1]基础信息!$B:$C,2,FALSE)+SUMIF(G$8:G2327,G2327,J$8:J2327)-SUMIF(G$8:G2327,G2327,K$8:K2327)+SUMIFS([1]内部转账!$G:$G,[1]内部转账!$C:$C,"&lt;="&amp;$D2327,[1]内部转账!$E:$E,$G2327)-SUMIFS([1]内部转账!$G:$G,[1]内部转账!$C:$C,"&lt;="&amp;$D2327,[1]内部转账!$F:$F,$G2327)),"")</f>
        <v/>
      </c>
      <c r="M2327" s="64"/>
      <c r="N2327" s="69"/>
      <c r="O2327" s="64"/>
      <c r="P2327" s="64"/>
      <c r="Q2327" s="69"/>
      <c r="R2327" s="69"/>
      <c r="S2327" s="69"/>
    </row>
    <row r="2328" s="2" customFormat="1" ht="24.95" customHeight="1" spans="1:19">
      <c r="A2328" s="15"/>
      <c r="B2328" s="55"/>
      <c r="C2328" s="56"/>
      <c r="D2328" s="68"/>
      <c r="E2328" s="69"/>
      <c r="F2328" s="69"/>
      <c r="G2328" s="65"/>
      <c r="H2328" s="65"/>
      <c r="I2328" s="70"/>
      <c r="J2328" s="71"/>
      <c r="K2328" s="71"/>
      <c r="L2328" s="72" t="str">
        <f>IFERROR(IF(G2328="","",VLOOKUP($G2328,[1]基础信息!$B:$C,2,FALSE)+SUMIF(G$8:G2328,G2328,J$8:J2328)-SUMIF(G$8:G2328,G2328,K$8:K2328)+SUMIFS([1]内部转账!$G:$G,[1]内部转账!$C:$C,"&lt;="&amp;$D2328,[1]内部转账!$E:$E,$G2328)-SUMIFS([1]内部转账!$G:$G,[1]内部转账!$C:$C,"&lt;="&amp;$D2328,[1]内部转账!$F:$F,$G2328)),"")</f>
        <v/>
      </c>
      <c r="M2328" s="64"/>
      <c r="N2328" s="69"/>
      <c r="O2328" s="64"/>
      <c r="P2328" s="64"/>
      <c r="Q2328" s="69"/>
      <c r="R2328" s="69"/>
      <c r="S2328" s="69"/>
    </row>
    <row r="2329" s="2" customFormat="1" ht="24.95" customHeight="1" spans="1:19">
      <c r="A2329" s="15"/>
      <c r="B2329" s="55"/>
      <c r="C2329" s="56"/>
      <c r="D2329" s="68"/>
      <c r="E2329" s="69"/>
      <c r="F2329" s="69"/>
      <c r="G2329" s="65"/>
      <c r="H2329" s="65"/>
      <c r="I2329" s="70"/>
      <c r="J2329" s="71"/>
      <c r="K2329" s="71"/>
      <c r="L2329" s="72" t="str">
        <f>IFERROR(IF(G2329="","",VLOOKUP($G2329,[1]基础信息!$B:$C,2,FALSE)+SUMIF(G$8:G2329,G2329,J$8:J2329)-SUMIF(G$8:G2329,G2329,K$8:K2329)+SUMIFS([1]内部转账!$G:$G,[1]内部转账!$C:$C,"&lt;="&amp;$D2329,[1]内部转账!$E:$E,$G2329)-SUMIFS([1]内部转账!$G:$G,[1]内部转账!$C:$C,"&lt;="&amp;$D2329,[1]内部转账!$F:$F,$G2329)),"")</f>
        <v/>
      </c>
      <c r="M2329" s="64"/>
      <c r="N2329" s="69"/>
      <c r="O2329" s="64"/>
      <c r="P2329" s="64"/>
      <c r="Q2329" s="69"/>
      <c r="R2329" s="69"/>
      <c r="S2329" s="69"/>
    </row>
    <row r="2330" s="2" customFormat="1" ht="24.95" customHeight="1" spans="1:19">
      <c r="A2330" s="15"/>
      <c r="B2330" s="55"/>
      <c r="C2330" s="56"/>
      <c r="D2330" s="68"/>
      <c r="E2330" s="69"/>
      <c r="F2330" s="69"/>
      <c r="G2330" s="65"/>
      <c r="H2330" s="65"/>
      <c r="I2330" s="70"/>
      <c r="J2330" s="71"/>
      <c r="K2330" s="71"/>
      <c r="L2330" s="72" t="str">
        <f>IFERROR(IF(G2330="","",VLOOKUP($G2330,[1]基础信息!$B:$C,2,FALSE)+SUMIF(G$8:G2330,G2330,J$8:J2330)-SUMIF(G$8:G2330,G2330,K$8:K2330)+SUMIFS([1]内部转账!$G:$G,[1]内部转账!$C:$C,"&lt;="&amp;$D2330,[1]内部转账!$E:$E,$G2330)-SUMIFS([1]内部转账!$G:$G,[1]内部转账!$C:$C,"&lt;="&amp;$D2330,[1]内部转账!$F:$F,$G2330)),"")</f>
        <v/>
      </c>
      <c r="M2330" s="64"/>
      <c r="N2330" s="69"/>
      <c r="O2330" s="64"/>
      <c r="P2330" s="64"/>
      <c r="Q2330" s="69"/>
      <c r="R2330" s="69"/>
      <c r="S2330" s="69"/>
    </row>
    <row r="2331" s="2" customFormat="1" ht="24.95" customHeight="1" spans="1:19">
      <c r="A2331" s="15"/>
      <c r="B2331" s="55"/>
      <c r="C2331" s="56"/>
      <c r="D2331" s="68"/>
      <c r="E2331" s="69"/>
      <c r="F2331" s="69"/>
      <c r="G2331" s="65"/>
      <c r="H2331" s="65"/>
      <c r="I2331" s="70"/>
      <c r="J2331" s="71"/>
      <c r="K2331" s="71"/>
      <c r="L2331" s="72" t="str">
        <f>IFERROR(IF(G2331="","",VLOOKUP($G2331,[1]基础信息!$B:$C,2,FALSE)+SUMIF(G$8:G2331,G2331,J$8:J2331)-SUMIF(G$8:G2331,G2331,K$8:K2331)+SUMIFS([1]内部转账!$G:$G,[1]内部转账!$C:$C,"&lt;="&amp;$D2331,[1]内部转账!$E:$E,$G2331)-SUMIFS([1]内部转账!$G:$G,[1]内部转账!$C:$C,"&lt;="&amp;$D2331,[1]内部转账!$F:$F,$G2331)),"")</f>
        <v/>
      </c>
      <c r="M2331" s="64"/>
      <c r="N2331" s="69"/>
      <c r="O2331" s="64"/>
      <c r="P2331" s="64"/>
      <c r="Q2331" s="69"/>
      <c r="R2331" s="69"/>
      <c r="S2331" s="69"/>
    </row>
    <row r="2332" s="2" customFormat="1" ht="24.95" customHeight="1" spans="1:19">
      <c r="A2332" s="15"/>
      <c r="B2332" s="55"/>
      <c r="C2332" s="56"/>
      <c r="D2332" s="68"/>
      <c r="E2332" s="69"/>
      <c r="F2332" s="69"/>
      <c r="G2332" s="65"/>
      <c r="H2332" s="65"/>
      <c r="I2332" s="70"/>
      <c r="J2332" s="71"/>
      <c r="K2332" s="71"/>
      <c r="L2332" s="72" t="str">
        <f>IFERROR(IF(G2332="","",VLOOKUP($G2332,[1]基础信息!$B:$C,2,FALSE)+SUMIF(G$8:G2332,G2332,J$8:J2332)-SUMIF(G$8:G2332,G2332,K$8:K2332)+SUMIFS([1]内部转账!$G:$G,[1]内部转账!$C:$C,"&lt;="&amp;$D2332,[1]内部转账!$E:$E,$G2332)-SUMIFS([1]内部转账!$G:$G,[1]内部转账!$C:$C,"&lt;="&amp;$D2332,[1]内部转账!$F:$F,$G2332)),"")</f>
        <v/>
      </c>
      <c r="M2332" s="64"/>
      <c r="N2332" s="69"/>
      <c r="O2332" s="64"/>
      <c r="P2332" s="64"/>
      <c r="Q2332" s="69"/>
      <c r="R2332" s="69"/>
      <c r="S2332" s="69"/>
    </row>
    <row r="2333" s="2" customFormat="1" ht="24.95" customHeight="1" spans="1:19">
      <c r="A2333" s="15"/>
      <c r="B2333" s="55"/>
      <c r="C2333" s="56"/>
      <c r="D2333" s="68"/>
      <c r="E2333" s="69"/>
      <c r="F2333" s="69"/>
      <c r="G2333" s="65"/>
      <c r="H2333" s="65"/>
      <c r="I2333" s="70"/>
      <c r="J2333" s="71"/>
      <c r="K2333" s="71"/>
      <c r="L2333" s="72" t="str">
        <f>IFERROR(IF(G2333="","",VLOOKUP($G2333,[1]基础信息!$B:$C,2,FALSE)+SUMIF(G$8:G2333,G2333,J$8:J2333)-SUMIF(G$8:G2333,G2333,K$8:K2333)+SUMIFS([1]内部转账!$G:$G,[1]内部转账!$C:$C,"&lt;="&amp;$D2333,[1]内部转账!$E:$E,$G2333)-SUMIFS([1]内部转账!$G:$G,[1]内部转账!$C:$C,"&lt;="&amp;$D2333,[1]内部转账!$F:$F,$G2333)),"")</f>
        <v/>
      </c>
      <c r="M2333" s="64"/>
      <c r="N2333" s="69"/>
      <c r="O2333" s="64"/>
      <c r="P2333" s="64"/>
      <c r="Q2333" s="69"/>
      <c r="R2333" s="69"/>
      <c r="S2333" s="69"/>
    </row>
    <row r="2334" s="2" customFormat="1" ht="24.95" customHeight="1" spans="1:19">
      <c r="A2334" s="15"/>
      <c r="B2334" s="55"/>
      <c r="C2334" s="56"/>
      <c r="D2334" s="68"/>
      <c r="E2334" s="69"/>
      <c r="F2334" s="69"/>
      <c r="G2334" s="65"/>
      <c r="H2334" s="65"/>
      <c r="I2334" s="70"/>
      <c r="J2334" s="71"/>
      <c r="K2334" s="71"/>
      <c r="L2334" s="72" t="str">
        <f>IFERROR(IF(G2334="","",VLOOKUP($G2334,[1]基础信息!$B:$C,2,FALSE)+SUMIF(G$8:G2334,G2334,J$8:J2334)-SUMIF(G$8:G2334,G2334,K$8:K2334)+SUMIFS([1]内部转账!$G:$G,[1]内部转账!$C:$C,"&lt;="&amp;$D2334,[1]内部转账!$E:$E,$G2334)-SUMIFS([1]内部转账!$G:$G,[1]内部转账!$C:$C,"&lt;="&amp;$D2334,[1]内部转账!$F:$F,$G2334)),"")</f>
        <v/>
      </c>
      <c r="M2334" s="64"/>
      <c r="N2334" s="69"/>
      <c r="O2334" s="64"/>
      <c r="P2334" s="64"/>
      <c r="Q2334" s="69"/>
      <c r="R2334" s="69"/>
      <c r="S2334" s="69"/>
    </row>
    <row r="2335" s="2" customFormat="1" ht="24.95" customHeight="1" spans="1:19">
      <c r="A2335" s="15"/>
      <c r="B2335" s="55"/>
      <c r="C2335" s="56"/>
      <c r="D2335" s="68"/>
      <c r="E2335" s="69"/>
      <c r="F2335" s="69"/>
      <c r="G2335" s="65"/>
      <c r="H2335" s="65"/>
      <c r="I2335" s="70"/>
      <c r="J2335" s="71"/>
      <c r="K2335" s="71"/>
      <c r="L2335" s="72" t="str">
        <f>IFERROR(IF(G2335="","",VLOOKUP($G2335,[1]基础信息!$B:$C,2,FALSE)+SUMIF(G$8:G2335,G2335,J$8:J2335)-SUMIF(G$8:G2335,G2335,K$8:K2335)+SUMIFS([1]内部转账!$G:$G,[1]内部转账!$C:$C,"&lt;="&amp;$D2335,[1]内部转账!$E:$E,$G2335)-SUMIFS([1]内部转账!$G:$G,[1]内部转账!$C:$C,"&lt;="&amp;$D2335,[1]内部转账!$F:$F,$G2335)),"")</f>
        <v/>
      </c>
      <c r="M2335" s="64"/>
      <c r="N2335" s="69"/>
      <c r="O2335" s="64"/>
      <c r="P2335" s="64"/>
      <c r="Q2335" s="69"/>
      <c r="R2335" s="69"/>
      <c r="S2335" s="69"/>
    </row>
    <row r="2336" s="2" customFormat="1" ht="24.95" customHeight="1" spans="1:19">
      <c r="A2336" s="15"/>
      <c r="B2336" s="55"/>
      <c r="C2336" s="56"/>
      <c r="D2336" s="68"/>
      <c r="E2336" s="69"/>
      <c r="F2336" s="69"/>
      <c r="G2336" s="65"/>
      <c r="H2336" s="65"/>
      <c r="I2336" s="70"/>
      <c r="J2336" s="71"/>
      <c r="K2336" s="71"/>
      <c r="L2336" s="72" t="str">
        <f>IFERROR(IF(G2336="","",VLOOKUP($G2336,[1]基础信息!$B:$C,2,FALSE)+SUMIF(G$8:G2336,G2336,J$8:J2336)-SUMIF(G$8:G2336,G2336,K$8:K2336)+SUMIFS([1]内部转账!$G:$G,[1]内部转账!$C:$C,"&lt;="&amp;$D2336,[1]内部转账!$E:$E,$G2336)-SUMIFS([1]内部转账!$G:$G,[1]内部转账!$C:$C,"&lt;="&amp;$D2336,[1]内部转账!$F:$F,$G2336)),"")</f>
        <v/>
      </c>
      <c r="M2336" s="64"/>
      <c r="N2336" s="69"/>
      <c r="O2336" s="64"/>
      <c r="P2336" s="64"/>
      <c r="Q2336" s="69"/>
      <c r="R2336" s="69"/>
      <c r="S2336" s="69"/>
    </row>
    <row r="2337" s="2" customFormat="1" ht="24.95" customHeight="1" spans="1:19">
      <c r="A2337" s="15"/>
      <c r="B2337" s="55"/>
      <c r="C2337" s="56"/>
      <c r="D2337" s="68"/>
      <c r="E2337" s="69"/>
      <c r="F2337" s="69"/>
      <c r="G2337" s="65"/>
      <c r="H2337" s="65"/>
      <c r="I2337" s="70"/>
      <c r="J2337" s="71"/>
      <c r="K2337" s="71"/>
      <c r="L2337" s="72" t="str">
        <f>IFERROR(IF(G2337="","",VLOOKUP($G2337,[1]基础信息!$B:$C,2,FALSE)+SUMIF(G$8:G2337,G2337,J$8:J2337)-SUMIF(G$8:G2337,G2337,K$8:K2337)+SUMIFS([1]内部转账!$G:$G,[1]内部转账!$C:$C,"&lt;="&amp;$D2337,[1]内部转账!$E:$E,$G2337)-SUMIFS([1]内部转账!$G:$G,[1]内部转账!$C:$C,"&lt;="&amp;$D2337,[1]内部转账!$F:$F,$G2337)),"")</f>
        <v/>
      </c>
      <c r="M2337" s="64"/>
      <c r="N2337" s="69"/>
      <c r="O2337" s="64"/>
      <c r="P2337" s="64"/>
      <c r="Q2337" s="69"/>
      <c r="R2337" s="69"/>
      <c r="S2337" s="69"/>
    </row>
    <row r="2338" s="2" customFormat="1" ht="24.95" customHeight="1" spans="1:19">
      <c r="A2338" s="15"/>
      <c r="B2338" s="55"/>
      <c r="C2338" s="56"/>
      <c r="D2338" s="68"/>
      <c r="E2338" s="69"/>
      <c r="F2338" s="69"/>
      <c r="G2338" s="65"/>
      <c r="H2338" s="65"/>
      <c r="I2338" s="70"/>
      <c r="J2338" s="71"/>
      <c r="K2338" s="71"/>
      <c r="L2338" s="72" t="str">
        <f>IFERROR(IF(G2338="","",VLOOKUP($G2338,[1]基础信息!$B:$C,2,FALSE)+SUMIF(G$8:G2338,G2338,J$8:J2338)-SUMIF(G$8:G2338,G2338,K$8:K2338)+SUMIFS([1]内部转账!$G:$G,[1]内部转账!$C:$C,"&lt;="&amp;$D2338,[1]内部转账!$E:$E,$G2338)-SUMIFS([1]内部转账!$G:$G,[1]内部转账!$C:$C,"&lt;="&amp;$D2338,[1]内部转账!$F:$F,$G2338)),"")</f>
        <v/>
      </c>
      <c r="M2338" s="64"/>
      <c r="N2338" s="69"/>
      <c r="O2338" s="64"/>
      <c r="P2338" s="64"/>
      <c r="Q2338" s="69"/>
      <c r="R2338" s="69"/>
      <c r="S2338" s="69"/>
    </row>
    <row r="2339" s="2" customFormat="1" ht="24.95" customHeight="1" spans="1:19">
      <c r="A2339" s="15"/>
      <c r="B2339" s="55"/>
      <c r="C2339" s="56"/>
      <c r="D2339" s="68"/>
      <c r="E2339" s="69"/>
      <c r="F2339" s="69"/>
      <c r="G2339" s="65"/>
      <c r="H2339" s="65"/>
      <c r="I2339" s="70"/>
      <c r="J2339" s="71"/>
      <c r="K2339" s="71"/>
      <c r="L2339" s="72" t="str">
        <f>IFERROR(IF(G2339="","",VLOOKUP($G2339,[1]基础信息!$B:$C,2,FALSE)+SUMIF(G$8:G2339,G2339,J$8:J2339)-SUMIF(G$8:G2339,G2339,K$8:K2339)+SUMIFS([1]内部转账!$G:$G,[1]内部转账!$C:$C,"&lt;="&amp;$D2339,[1]内部转账!$E:$E,$G2339)-SUMIFS([1]内部转账!$G:$G,[1]内部转账!$C:$C,"&lt;="&amp;$D2339,[1]内部转账!$F:$F,$G2339)),"")</f>
        <v/>
      </c>
      <c r="M2339" s="64"/>
      <c r="N2339" s="69"/>
      <c r="O2339" s="64"/>
      <c r="P2339" s="64"/>
      <c r="Q2339" s="69"/>
      <c r="R2339" s="69"/>
      <c r="S2339" s="69"/>
    </row>
    <row r="2340" s="2" customFormat="1" ht="24.95" customHeight="1" spans="1:19">
      <c r="A2340" s="15"/>
      <c r="B2340" s="55"/>
      <c r="C2340" s="56"/>
      <c r="D2340" s="68"/>
      <c r="E2340" s="69"/>
      <c r="F2340" s="69"/>
      <c r="G2340" s="65"/>
      <c r="H2340" s="65"/>
      <c r="I2340" s="70"/>
      <c r="J2340" s="71"/>
      <c r="K2340" s="71"/>
      <c r="L2340" s="72" t="str">
        <f>IFERROR(IF(G2340="","",VLOOKUP($G2340,[1]基础信息!$B:$C,2,FALSE)+SUMIF(G$8:G2340,G2340,J$8:J2340)-SUMIF(G$8:G2340,G2340,K$8:K2340)+SUMIFS([1]内部转账!$G:$G,[1]内部转账!$C:$C,"&lt;="&amp;$D2340,[1]内部转账!$E:$E,$G2340)-SUMIFS([1]内部转账!$G:$G,[1]内部转账!$C:$C,"&lt;="&amp;$D2340,[1]内部转账!$F:$F,$G2340)),"")</f>
        <v/>
      </c>
      <c r="M2340" s="64"/>
      <c r="N2340" s="69"/>
      <c r="O2340" s="64"/>
      <c r="P2340" s="64"/>
      <c r="Q2340" s="69"/>
      <c r="R2340" s="69"/>
      <c r="S2340" s="69"/>
    </row>
    <row r="2341" s="2" customFormat="1" ht="24.95" customHeight="1" spans="1:19">
      <c r="A2341" s="15"/>
      <c r="B2341" s="55"/>
      <c r="C2341" s="56"/>
      <c r="D2341" s="68"/>
      <c r="E2341" s="69"/>
      <c r="F2341" s="69"/>
      <c r="G2341" s="65"/>
      <c r="H2341" s="65"/>
      <c r="I2341" s="70"/>
      <c r="J2341" s="71"/>
      <c r="K2341" s="71"/>
      <c r="L2341" s="72" t="str">
        <f>IFERROR(IF(G2341="","",VLOOKUP($G2341,[1]基础信息!$B:$C,2,FALSE)+SUMIF(G$8:G2341,G2341,J$8:J2341)-SUMIF(G$8:G2341,G2341,K$8:K2341)+SUMIFS([1]内部转账!$G:$G,[1]内部转账!$C:$C,"&lt;="&amp;$D2341,[1]内部转账!$E:$E,$G2341)-SUMIFS([1]内部转账!$G:$G,[1]内部转账!$C:$C,"&lt;="&amp;$D2341,[1]内部转账!$F:$F,$G2341)),"")</f>
        <v/>
      </c>
      <c r="M2341" s="64"/>
      <c r="N2341" s="69"/>
      <c r="O2341" s="64"/>
      <c r="P2341" s="64"/>
      <c r="Q2341" s="69"/>
      <c r="R2341" s="69"/>
      <c r="S2341" s="69"/>
    </row>
    <row r="2342" s="2" customFormat="1" ht="24.95" customHeight="1" spans="1:19">
      <c r="A2342" s="15"/>
      <c r="B2342" s="55"/>
      <c r="C2342" s="56"/>
      <c r="D2342" s="68"/>
      <c r="E2342" s="69"/>
      <c r="F2342" s="69"/>
      <c r="G2342" s="65"/>
      <c r="H2342" s="65"/>
      <c r="I2342" s="70"/>
      <c r="J2342" s="71"/>
      <c r="K2342" s="71"/>
      <c r="L2342" s="72" t="str">
        <f>IFERROR(IF(G2342="","",VLOOKUP($G2342,[1]基础信息!$B:$C,2,FALSE)+SUMIF(G$8:G2342,G2342,J$8:J2342)-SUMIF(G$8:G2342,G2342,K$8:K2342)+SUMIFS([1]内部转账!$G:$G,[1]内部转账!$C:$C,"&lt;="&amp;$D2342,[1]内部转账!$E:$E,$G2342)-SUMIFS([1]内部转账!$G:$G,[1]内部转账!$C:$C,"&lt;="&amp;$D2342,[1]内部转账!$F:$F,$G2342)),"")</f>
        <v/>
      </c>
      <c r="M2342" s="64"/>
      <c r="N2342" s="69"/>
      <c r="O2342" s="64"/>
      <c r="P2342" s="64"/>
      <c r="Q2342" s="69"/>
      <c r="R2342" s="69"/>
      <c r="S2342" s="69"/>
    </row>
    <row r="2343" s="2" customFormat="1" ht="24.95" customHeight="1" spans="1:19">
      <c r="A2343" s="15"/>
      <c r="B2343" s="55"/>
      <c r="C2343" s="56"/>
      <c r="D2343" s="68"/>
      <c r="E2343" s="69"/>
      <c r="F2343" s="69"/>
      <c r="G2343" s="65"/>
      <c r="H2343" s="65"/>
      <c r="I2343" s="70"/>
      <c r="J2343" s="71"/>
      <c r="K2343" s="71"/>
      <c r="L2343" s="72" t="str">
        <f>IFERROR(IF(G2343="","",VLOOKUP($G2343,[1]基础信息!$B:$C,2,FALSE)+SUMIF(G$8:G2343,G2343,J$8:J2343)-SUMIF(G$8:G2343,G2343,K$8:K2343)+SUMIFS([1]内部转账!$G:$G,[1]内部转账!$C:$C,"&lt;="&amp;$D2343,[1]内部转账!$E:$E,$G2343)-SUMIFS([1]内部转账!$G:$G,[1]内部转账!$C:$C,"&lt;="&amp;$D2343,[1]内部转账!$F:$F,$G2343)),"")</f>
        <v/>
      </c>
      <c r="M2343" s="64"/>
      <c r="N2343" s="69"/>
      <c r="O2343" s="64"/>
      <c r="P2343" s="64"/>
      <c r="Q2343" s="69"/>
      <c r="R2343" s="69"/>
      <c r="S2343" s="69"/>
    </row>
    <row r="2344" s="2" customFormat="1" ht="24.95" customHeight="1" spans="1:19">
      <c r="A2344" s="15"/>
      <c r="B2344" s="55"/>
      <c r="C2344" s="56"/>
      <c r="D2344" s="68"/>
      <c r="E2344" s="69"/>
      <c r="F2344" s="69"/>
      <c r="G2344" s="65"/>
      <c r="H2344" s="65"/>
      <c r="I2344" s="70"/>
      <c r="J2344" s="71"/>
      <c r="K2344" s="71"/>
      <c r="L2344" s="72" t="str">
        <f>IFERROR(IF(G2344="","",VLOOKUP($G2344,[1]基础信息!$B:$C,2,FALSE)+SUMIF(G$8:G2344,G2344,J$8:J2344)-SUMIF(G$8:G2344,G2344,K$8:K2344)+SUMIFS([1]内部转账!$G:$G,[1]内部转账!$C:$C,"&lt;="&amp;$D2344,[1]内部转账!$E:$E,$G2344)-SUMIFS([1]内部转账!$G:$G,[1]内部转账!$C:$C,"&lt;="&amp;$D2344,[1]内部转账!$F:$F,$G2344)),"")</f>
        <v/>
      </c>
      <c r="M2344" s="64"/>
      <c r="N2344" s="69"/>
      <c r="O2344" s="64"/>
      <c r="P2344" s="64"/>
      <c r="Q2344" s="69"/>
      <c r="R2344" s="69"/>
      <c r="S2344" s="69"/>
    </row>
    <row r="2345" s="2" customFormat="1" ht="24.95" customHeight="1" spans="1:19">
      <c r="A2345" s="15"/>
      <c r="B2345" s="55"/>
      <c r="C2345" s="56"/>
      <c r="D2345" s="68"/>
      <c r="E2345" s="69"/>
      <c r="F2345" s="69"/>
      <c r="G2345" s="65"/>
      <c r="H2345" s="65"/>
      <c r="I2345" s="70"/>
      <c r="J2345" s="71"/>
      <c r="K2345" s="71"/>
      <c r="L2345" s="72" t="str">
        <f>IFERROR(IF(G2345="","",VLOOKUP($G2345,[1]基础信息!$B:$C,2,FALSE)+SUMIF(G$8:G2345,G2345,J$8:J2345)-SUMIF(G$8:G2345,G2345,K$8:K2345)+SUMIFS([1]内部转账!$G:$G,[1]内部转账!$C:$C,"&lt;="&amp;$D2345,[1]内部转账!$E:$E,$G2345)-SUMIFS([1]内部转账!$G:$G,[1]内部转账!$C:$C,"&lt;="&amp;$D2345,[1]内部转账!$F:$F,$G2345)),"")</f>
        <v/>
      </c>
      <c r="M2345" s="64"/>
      <c r="N2345" s="69"/>
      <c r="O2345" s="64"/>
      <c r="P2345" s="64"/>
      <c r="Q2345" s="69"/>
      <c r="R2345" s="69"/>
      <c r="S2345" s="69"/>
    </row>
    <row r="2346" s="2" customFormat="1" ht="24.95" customHeight="1" spans="1:19">
      <c r="A2346" s="15"/>
      <c r="B2346" s="55"/>
      <c r="C2346" s="56"/>
      <c r="D2346" s="68"/>
      <c r="E2346" s="69"/>
      <c r="F2346" s="69"/>
      <c r="G2346" s="65"/>
      <c r="H2346" s="65"/>
      <c r="I2346" s="70"/>
      <c r="J2346" s="71"/>
      <c r="K2346" s="71"/>
      <c r="L2346" s="72" t="str">
        <f>IFERROR(IF(G2346="","",VLOOKUP($G2346,[1]基础信息!$B:$C,2,FALSE)+SUMIF(G$8:G2346,G2346,J$8:J2346)-SUMIF(G$8:G2346,G2346,K$8:K2346)+SUMIFS([1]内部转账!$G:$G,[1]内部转账!$C:$C,"&lt;="&amp;$D2346,[1]内部转账!$E:$E,$G2346)-SUMIFS([1]内部转账!$G:$G,[1]内部转账!$C:$C,"&lt;="&amp;$D2346,[1]内部转账!$F:$F,$G2346)),"")</f>
        <v/>
      </c>
      <c r="M2346" s="64"/>
      <c r="N2346" s="69"/>
      <c r="O2346" s="64"/>
      <c r="P2346" s="64"/>
      <c r="Q2346" s="69"/>
      <c r="R2346" s="69"/>
      <c r="S2346" s="69"/>
    </row>
    <row r="2347" s="2" customFormat="1" ht="24.95" customHeight="1" spans="1:19">
      <c r="A2347" s="15"/>
      <c r="B2347" s="55"/>
      <c r="C2347" s="56"/>
      <c r="D2347" s="68"/>
      <c r="E2347" s="69"/>
      <c r="F2347" s="69"/>
      <c r="G2347" s="65"/>
      <c r="H2347" s="65"/>
      <c r="I2347" s="70"/>
      <c r="J2347" s="71"/>
      <c r="K2347" s="71"/>
      <c r="L2347" s="72" t="str">
        <f>IFERROR(IF(G2347="","",VLOOKUP($G2347,[1]基础信息!$B:$C,2,FALSE)+SUMIF(G$8:G2347,G2347,J$8:J2347)-SUMIF(G$8:G2347,G2347,K$8:K2347)+SUMIFS([1]内部转账!$G:$G,[1]内部转账!$C:$C,"&lt;="&amp;$D2347,[1]内部转账!$E:$E,$G2347)-SUMIFS([1]内部转账!$G:$G,[1]内部转账!$C:$C,"&lt;="&amp;$D2347,[1]内部转账!$F:$F,$G2347)),"")</f>
        <v/>
      </c>
      <c r="M2347" s="64"/>
      <c r="N2347" s="69"/>
      <c r="O2347" s="64"/>
      <c r="P2347" s="64"/>
      <c r="Q2347" s="69"/>
      <c r="R2347" s="69"/>
      <c r="S2347" s="69"/>
    </row>
    <row r="2348" s="2" customFormat="1" ht="24.95" customHeight="1" spans="1:19">
      <c r="A2348" s="15"/>
      <c r="B2348" s="55"/>
      <c r="C2348" s="56"/>
      <c r="D2348" s="68"/>
      <c r="E2348" s="69"/>
      <c r="F2348" s="69"/>
      <c r="G2348" s="65"/>
      <c r="H2348" s="65"/>
      <c r="I2348" s="70"/>
      <c r="J2348" s="71"/>
      <c r="K2348" s="71"/>
      <c r="L2348" s="72" t="str">
        <f>IFERROR(IF(G2348="","",VLOOKUP($G2348,[1]基础信息!$B:$C,2,FALSE)+SUMIF(G$8:G2348,G2348,J$8:J2348)-SUMIF(G$8:G2348,G2348,K$8:K2348)+SUMIFS([1]内部转账!$G:$G,[1]内部转账!$C:$C,"&lt;="&amp;$D2348,[1]内部转账!$E:$E,$G2348)-SUMIFS([1]内部转账!$G:$G,[1]内部转账!$C:$C,"&lt;="&amp;$D2348,[1]内部转账!$F:$F,$G2348)),"")</f>
        <v/>
      </c>
      <c r="M2348" s="64"/>
      <c r="N2348" s="69"/>
      <c r="O2348" s="64"/>
      <c r="P2348" s="64"/>
      <c r="Q2348" s="69"/>
      <c r="R2348" s="69"/>
      <c r="S2348" s="69"/>
    </row>
    <row r="2349" s="2" customFormat="1" ht="24.95" customHeight="1" spans="1:19">
      <c r="A2349" s="15"/>
      <c r="B2349" s="55"/>
      <c r="C2349" s="56"/>
      <c r="D2349" s="68"/>
      <c r="E2349" s="69"/>
      <c r="F2349" s="69"/>
      <c r="G2349" s="65"/>
      <c r="H2349" s="65"/>
      <c r="I2349" s="70"/>
      <c r="J2349" s="71"/>
      <c r="K2349" s="71"/>
      <c r="L2349" s="72" t="str">
        <f>IFERROR(IF(G2349="","",VLOOKUP($G2349,[1]基础信息!$B:$C,2,FALSE)+SUMIF(G$8:G2349,G2349,J$8:J2349)-SUMIF(G$8:G2349,G2349,K$8:K2349)+SUMIFS([1]内部转账!$G:$G,[1]内部转账!$C:$C,"&lt;="&amp;$D2349,[1]内部转账!$E:$E,$G2349)-SUMIFS([1]内部转账!$G:$G,[1]内部转账!$C:$C,"&lt;="&amp;$D2349,[1]内部转账!$F:$F,$G2349)),"")</f>
        <v/>
      </c>
      <c r="M2349" s="64"/>
      <c r="N2349" s="69"/>
      <c r="O2349" s="64"/>
      <c r="P2349" s="64"/>
      <c r="Q2349" s="69"/>
      <c r="R2349" s="69"/>
      <c r="S2349" s="69"/>
    </row>
    <row r="2350" s="2" customFormat="1" ht="24.95" customHeight="1" spans="1:19">
      <c r="A2350" s="15"/>
      <c r="B2350" s="55"/>
      <c r="C2350" s="56"/>
      <c r="D2350" s="68"/>
      <c r="E2350" s="69"/>
      <c r="F2350" s="69"/>
      <c r="G2350" s="65"/>
      <c r="H2350" s="65"/>
      <c r="I2350" s="70"/>
      <c r="J2350" s="71"/>
      <c r="K2350" s="71"/>
      <c r="L2350" s="72" t="str">
        <f>IFERROR(IF(G2350="","",VLOOKUP($G2350,[1]基础信息!$B:$C,2,FALSE)+SUMIF(G$8:G2350,G2350,J$8:J2350)-SUMIF(G$8:G2350,G2350,K$8:K2350)+SUMIFS([1]内部转账!$G:$G,[1]内部转账!$C:$C,"&lt;="&amp;$D2350,[1]内部转账!$E:$E,$G2350)-SUMIFS([1]内部转账!$G:$G,[1]内部转账!$C:$C,"&lt;="&amp;$D2350,[1]内部转账!$F:$F,$G2350)),"")</f>
        <v/>
      </c>
      <c r="M2350" s="64"/>
      <c r="N2350" s="69"/>
      <c r="O2350" s="64"/>
      <c r="P2350" s="64"/>
      <c r="Q2350" s="69"/>
      <c r="R2350" s="69"/>
      <c r="S2350" s="69"/>
    </row>
    <row r="2351" s="2" customFormat="1" ht="24.95" customHeight="1" spans="1:19">
      <c r="A2351" s="15"/>
      <c r="B2351" s="55"/>
      <c r="C2351" s="56"/>
      <c r="D2351" s="68"/>
      <c r="E2351" s="69"/>
      <c r="F2351" s="69"/>
      <c r="G2351" s="65"/>
      <c r="H2351" s="65"/>
      <c r="I2351" s="70"/>
      <c r="J2351" s="71"/>
      <c r="K2351" s="71"/>
      <c r="L2351" s="72" t="str">
        <f>IFERROR(IF(G2351="","",VLOOKUP($G2351,[1]基础信息!$B:$C,2,FALSE)+SUMIF(G$8:G2351,G2351,J$8:J2351)-SUMIF(G$8:G2351,G2351,K$8:K2351)+SUMIFS([1]内部转账!$G:$G,[1]内部转账!$C:$C,"&lt;="&amp;$D2351,[1]内部转账!$E:$E,$G2351)-SUMIFS([1]内部转账!$G:$G,[1]内部转账!$C:$C,"&lt;="&amp;$D2351,[1]内部转账!$F:$F,$G2351)),"")</f>
        <v/>
      </c>
      <c r="M2351" s="64"/>
      <c r="N2351" s="69"/>
      <c r="O2351" s="64"/>
      <c r="P2351" s="64"/>
      <c r="Q2351" s="69"/>
      <c r="R2351" s="69"/>
      <c r="S2351" s="69"/>
    </row>
    <row r="2352" s="2" customFormat="1" ht="24.95" customHeight="1" spans="1:19">
      <c r="A2352" s="15"/>
      <c r="B2352" s="55"/>
      <c r="C2352" s="56"/>
      <c r="D2352" s="68"/>
      <c r="E2352" s="69"/>
      <c r="F2352" s="69"/>
      <c r="G2352" s="65"/>
      <c r="H2352" s="65"/>
      <c r="I2352" s="70"/>
      <c r="J2352" s="71"/>
      <c r="K2352" s="71"/>
      <c r="L2352" s="72" t="str">
        <f>IFERROR(IF(G2352="","",VLOOKUP($G2352,[1]基础信息!$B:$C,2,FALSE)+SUMIF(G$8:G2352,G2352,J$8:J2352)-SUMIF(G$8:G2352,G2352,K$8:K2352)+SUMIFS([1]内部转账!$G:$G,[1]内部转账!$C:$C,"&lt;="&amp;$D2352,[1]内部转账!$E:$E,$G2352)-SUMIFS([1]内部转账!$G:$G,[1]内部转账!$C:$C,"&lt;="&amp;$D2352,[1]内部转账!$F:$F,$G2352)),"")</f>
        <v/>
      </c>
      <c r="M2352" s="64"/>
      <c r="N2352" s="69"/>
      <c r="O2352" s="64"/>
      <c r="P2352" s="64"/>
      <c r="Q2352" s="69"/>
      <c r="R2352" s="69"/>
      <c r="S2352" s="69"/>
    </row>
    <row r="2353" s="2" customFormat="1" ht="24.95" customHeight="1" spans="1:19">
      <c r="A2353" s="15"/>
      <c r="B2353" s="55"/>
      <c r="C2353" s="56"/>
      <c r="D2353" s="68"/>
      <c r="E2353" s="69"/>
      <c r="F2353" s="69"/>
      <c r="G2353" s="65"/>
      <c r="H2353" s="65"/>
      <c r="I2353" s="70"/>
      <c r="J2353" s="71"/>
      <c r="K2353" s="71"/>
      <c r="L2353" s="72" t="str">
        <f>IFERROR(IF(G2353="","",VLOOKUP($G2353,[1]基础信息!$B:$C,2,FALSE)+SUMIF(G$8:G2353,G2353,J$8:J2353)-SUMIF(G$8:G2353,G2353,K$8:K2353)+SUMIFS([1]内部转账!$G:$G,[1]内部转账!$C:$C,"&lt;="&amp;$D2353,[1]内部转账!$E:$E,$G2353)-SUMIFS([1]内部转账!$G:$G,[1]内部转账!$C:$C,"&lt;="&amp;$D2353,[1]内部转账!$F:$F,$G2353)),"")</f>
        <v/>
      </c>
      <c r="M2353" s="64"/>
      <c r="N2353" s="69"/>
      <c r="O2353" s="64"/>
      <c r="P2353" s="64"/>
      <c r="Q2353" s="69"/>
      <c r="R2353" s="69"/>
      <c r="S2353" s="69"/>
    </row>
    <row r="2354" s="2" customFormat="1" ht="24.95" customHeight="1" spans="1:19">
      <c r="A2354" s="15"/>
      <c r="B2354" s="55"/>
      <c r="C2354" s="56"/>
      <c r="D2354" s="68"/>
      <c r="E2354" s="69"/>
      <c r="F2354" s="69"/>
      <c r="G2354" s="65"/>
      <c r="H2354" s="65"/>
      <c r="I2354" s="70"/>
      <c r="J2354" s="71"/>
      <c r="K2354" s="71"/>
      <c r="L2354" s="72" t="str">
        <f>IFERROR(IF(G2354="","",VLOOKUP($G2354,[1]基础信息!$B:$C,2,FALSE)+SUMIF(G$8:G2354,G2354,J$8:J2354)-SUMIF(G$8:G2354,G2354,K$8:K2354)+SUMIFS([1]内部转账!$G:$G,[1]内部转账!$C:$C,"&lt;="&amp;$D2354,[1]内部转账!$E:$E,$G2354)-SUMIFS([1]内部转账!$G:$G,[1]内部转账!$C:$C,"&lt;="&amp;$D2354,[1]内部转账!$F:$F,$G2354)),"")</f>
        <v/>
      </c>
      <c r="M2354" s="64"/>
      <c r="N2354" s="69"/>
      <c r="O2354" s="64"/>
      <c r="P2354" s="64"/>
      <c r="Q2354" s="69"/>
      <c r="R2354" s="69"/>
      <c r="S2354" s="69"/>
    </row>
    <row r="2355" s="2" customFormat="1" ht="24.95" customHeight="1" spans="1:19">
      <c r="A2355" s="15"/>
      <c r="B2355" s="55"/>
      <c r="C2355" s="56"/>
      <c r="D2355" s="68"/>
      <c r="E2355" s="69"/>
      <c r="F2355" s="69"/>
      <c r="G2355" s="65"/>
      <c r="H2355" s="65"/>
      <c r="I2355" s="70"/>
      <c r="J2355" s="71"/>
      <c r="K2355" s="71"/>
      <c r="L2355" s="72" t="str">
        <f>IFERROR(IF(G2355="","",VLOOKUP($G2355,[1]基础信息!$B:$C,2,FALSE)+SUMIF(G$8:G2355,G2355,J$8:J2355)-SUMIF(G$8:G2355,G2355,K$8:K2355)+SUMIFS([1]内部转账!$G:$G,[1]内部转账!$C:$C,"&lt;="&amp;$D2355,[1]内部转账!$E:$E,$G2355)-SUMIFS([1]内部转账!$G:$G,[1]内部转账!$C:$C,"&lt;="&amp;$D2355,[1]内部转账!$F:$F,$G2355)),"")</f>
        <v/>
      </c>
      <c r="M2355" s="64"/>
      <c r="N2355" s="69"/>
      <c r="O2355" s="64"/>
      <c r="P2355" s="64"/>
      <c r="Q2355" s="69"/>
      <c r="R2355" s="69"/>
      <c r="S2355" s="69"/>
    </row>
    <row r="2356" s="2" customFormat="1" ht="24.95" customHeight="1" spans="1:19">
      <c r="A2356" s="15"/>
      <c r="B2356" s="55"/>
      <c r="C2356" s="56"/>
      <c r="D2356" s="68"/>
      <c r="E2356" s="69"/>
      <c r="F2356" s="69"/>
      <c r="G2356" s="65"/>
      <c r="H2356" s="65"/>
      <c r="I2356" s="70"/>
      <c r="J2356" s="71"/>
      <c r="K2356" s="71"/>
      <c r="L2356" s="72" t="str">
        <f>IFERROR(IF(G2356="","",VLOOKUP($G2356,[1]基础信息!$B:$C,2,FALSE)+SUMIF(G$8:G2356,G2356,J$8:J2356)-SUMIF(G$8:G2356,G2356,K$8:K2356)+SUMIFS([1]内部转账!$G:$G,[1]内部转账!$C:$C,"&lt;="&amp;$D2356,[1]内部转账!$E:$E,$G2356)-SUMIFS([1]内部转账!$G:$G,[1]内部转账!$C:$C,"&lt;="&amp;$D2356,[1]内部转账!$F:$F,$G2356)),"")</f>
        <v/>
      </c>
      <c r="M2356" s="64"/>
      <c r="N2356" s="69"/>
      <c r="O2356" s="64"/>
      <c r="P2356" s="64"/>
      <c r="Q2356" s="69"/>
      <c r="R2356" s="69"/>
      <c r="S2356" s="69"/>
    </row>
    <row r="2357" s="2" customFormat="1" ht="24.95" customHeight="1" spans="1:19">
      <c r="A2357" s="15"/>
      <c r="B2357" s="55"/>
      <c r="C2357" s="56"/>
      <c r="D2357" s="68"/>
      <c r="E2357" s="69"/>
      <c r="F2357" s="69"/>
      <c r="G2357" s="65"/>
      <c r="H2357" s="65"/>
      <c r="I2357" s="70"/>
      <c r="J2357" s="71"/>
      <c r="K2357" s="71"/>
      <c r="L2357" s="72" t="str">
        <f>IFERROR(IF(G2357="","",VLOOKUP($G2357,[1]基础信息!$B:$C,2,FALSE)+SUMIF(G$8:G2357,G2357,J$8:J2357)-SUMIF(G$8:G2357,G2357,K$8:K2357)+SUMIFS([1]内部转账!$G:$G,[1]内部转账!$C:$C,"&lt;="&amp;$D2357,[1]内部转账!$E:$E,$G2357)-SUMIFS([1]内部转账!$G:$G,[1]内部转账!$C:$C,"&lt;="&amp;$D2357,[1]内部转账!$F:$F,$G2357)),"")</f>
        <v/>
      </c>
      <c r="M2357" s="64"/>
      <c r="N2357" s="69"/>
      <c r="O2357" s="64"/>
      <c r="P2357" s="64"/>
      <c r="Q2357" s="69"/>
      <c r="R2357" s="69"/>
      <c r="S2357" s="69"/>
    </row>
    <row r="2358" s="2" customFormat="1" ht="24.95" customHeight="1" spans="1:19">
      <c r="A2358" s="15"/>
      <c r="B2358" s="55"/>
      <c r="C2358" s="56"/>
      <c r="D2358" s="68"/>
      <c r="E2358" s="69"/>
      <c r="F2358" s="69"/>
      <c r="G2358" s="65"/>
      <c r="H2358" s="65"/>
      <c r="I2358" s="70"/>
      <c r="J2358" s="71"/>
      <c r="K2358" s="71"/>
      <c r="L2358" s="72" t="str">
        <f>IFERROR(IF(G2358="","",VLOOKUP($G2358,[1]基础信息!$B:$C,2,FALSE)+SUMIF(G$8:G2358,G2358,J$8:J2358)-SUMIF(G$8:G2358,G2358,K$8:K2358)+SUMIFS([1]内部转账!$G:$G,[1]内部转账!$C:$C,"&lt;="&amp;$D2358,[1]内部转账!$E:$E,$G2358)-SUMIFS([1]内部转账!$G:$G,[1]内部转账!$C:$C,"&lt;="&amp;$D2358,[1]内部转账!$F:$F,$G2358)),"")</f>
        <v/>
      </c>
      <c r="M2358" s="64"/>
      <c r="N2358" s="69"/>
      <c r="O2358" s="64"/>
      <c r="P2358" s="64"/>
      <c r="Q2358" s="69"/>
      <c r="R2358" s="69"/>
      <c r="S2358" s="69"/>
    </row>
    <row r="2359" s="2" customFormat="1" ht="24.95" customHeight="1" spans="1:19">
      <c r="A2359" s="15"/>
      <c r="B2359" s="55"/>
      <c r="C2359" s="56"/>
      <c r="D2359" s="68"/>
      <c r="E2359" s="69"/>
      <c r="F2359" s="69"/>
      <c r="G2359" s="65"/>
      <c r="H2359" s="65"/>
      <c r="I2359" s="70"/>
      <c r="J2359" s="71"/>
      <c r="K2359" s="71"/>
      <c r="L2359" s="72" t="str">
        <f>IFERROR(IF(G2359="","",VLOOKUP($G2359,[1]基础信息!$B:$C,2,FALSE)+SUMIF(G$8:G2359,G2359,J$8:J2359)-SUMIF(G$8:G2359,G2359,K$8:K2359)+SUMIFS([1]内部转账!$G:$G,[1]内部转账!$C:$C,"&lt;="&amp;$D2359,[1]内部转账!$E:$E,$G2359)-SUMIFS([1]内部转账!$G:$G,[1]内部转账!$C:$C,"&lt;="&amp;$D2359,[1]内部转账!$F:$F,$G2359)),"")</f>
        <v/>
      </c>
      <c r="M2359" s="64"/>
      <c r="N2359" s="69"/>
      <c r="O2359" s="64"/>
      <c r="P2359" s="64"/>
      <c r="Q2359" s="69"/>
      <c r="R2359" s="69"/>
      <c r="S2359" s="69"/>
    </row>
    <row r="2360" s="2" customFormat="1" ht="24.95" customHeight="1" spans="1:19">
      <c r="A2360" s="15"/>
      <c r="B2360" s="55"/>
      <c r="C2360" s="56"/>
      <c r="D2360" s="68"/>
      <c r="E2360" s="69"/>
      <c r="F2360" s="69"/>
      <c r="G2360" s="65"/>
      <c r="H2360" s="65"/>
      <c r="I2360" s="70"/>
      <c r="J2360" s="71"/>
      <c r="K2360" s="71"/>
      <c r="L2360" s="72" t="str">
        <f>IFERROR(IF(G2360="","",VLOOKUP($G2360,[1]基础信息!$B:$C,2,FALSE)+SUMIF(G$8:G2360,G2360,J$8:J2360)-SUMIF(G$8:G2360,G2360,K$8:K2360)+SUMIFS([1]内部转账!$G:$G,[1]内部转账!$C:$C,"&lt;="&amp;$D2360,[1]内部转账!$E:$E,$G2360)-SUMIFS([1]内部转账!$G:$G,[1]内部转账!$C:$C,"&lt;="&amp;$D2360,[1]内部转账!$F:$F,$G2360)),"")</f>
        <v/>
      </c>
      <c r="M2360" s="64"/>
      <c r="N2360" s="69"/>
      <c r="O2360" s="64"/>
      <c r="P2360" s="64"/>
      <c r="Q2360" s="69"/>
      <c r="R2360" s="69"/>
      <c r="S2360" s="69"/>
    </row>
    <row r="2361" s="2" customFormat="1" ht="24.95" customHeight="1" spans="1:19">
      <c r="A2361" s="15"/>
      <c r="B2361" s="55"/>
      <c r="C2361" s="56"/>
      <c r="D2361" s="68"/>
      <c r="E2361" s="69"/>
      <c r="F2361" s="69"/>
      <c r="G2361" s="65"/>
      <c r="H2361" s="65"/>
      <c r="I2361" s="70"/>
      <c r="J2361" s="71"/>
      <c r="K2361" s="71"/>
      <c r="L2361" s="72" t="str">
        <f>IFERROR(IF(G2361="","",VLOOKUP($G2361,[1]基础信息!$B:$C,2,FALSE)+SUMIF(G$8:G2361,G2361,J$8:J2361)-SUMIF(G$8:G2361,G2361,K$8:K2361)+SUMIFS([1]内部转账!$G:$G,[1]内部转账!$C:$C,"&lt;="&amp;$D2361,[1]内部转账!$E:$E,$G2361)-SUMIFS([1]内部转账!$G:$G,[1]内部转账!$C:$C,"&lt;="&amp;$D2361,[1]内部转账!$F:$F,$G2361)),"")</f>
        <v/>
      </c>
      <c r="M2361" s="64"/>
      <c r="N2361" s="69"/>
      <c r="O2361" s="64"/>
      <c r="P2361" s="64"/>
      <c r="Q2361" s="69"/>
      <c r="R2361" s="69"/>
      <c r="S2361" s="69"/>
    </row>
    <row r="2362" s="2" customFormat="1" ht="24.95" customHeight="1" spans="1:19">
      <c r="A2362" s="15"/>
      <c r="B2362" s="55"/>
      <c r="C2362" s="56"/>
      <c r="D2362" s="68"/>
      <c r="E2362" s="69"/>
      <c r="F2362" s="69"/>
      <c r="G2362" s="65"/>
      <c r="H2362" s="65"/>
      <c r="I2362" s="70"/>
      <c r="J2362" s="71"/>
      <c r="K2362" s="71"/>
      <c r="L2362" s="72" t="str">
        <f>IFERROR(IF(G2362="","",VLOOKUP($G2362,[1]基础信息!$B:$C,2,FALSE)+SUMIF(G$8:G2362,G2362,J$8:J2362)-SUMIF(G$8:G2362,G2362,K$8:K2362)+SUMIFS([1]内部转账!$G:$G,[1]内部转账!$C:$C,"&lt;="&amp;$D2362,[1]内部转账!$E:$E,$G2362)-SUMIFS([1]内部转账!$G:$G,[1]内部转账!$C:$C,"&lt;="&amp;$D2362,[1]内部转账!$F:$F,$G2362)),"")</f>
        <v/>
      </c>
      <c r="M2362" s="64"/>
      <c r="N2362" s="69"/>
      <c r="O2362" s="64"/>
      <c r="P2362" s="64"/>
      <c r="Q2362" s="69"/>
      <c r="R2362" s="69"/>
      <c r="S2362" s="69"/>
    </row>
    <row r="2363" s="2" customFormat="1" ht="24.95" customHeight="1" spans="1:19">
      <c r="A2363" s="15"/>
      <c r="B2363" s="55"/>
      <c r="C2363" s="56"/>
      <c r="D2363" s="68"/>
      <c r="E2363" s="69"/>
      <c r="F2363" s="69"/>
      <c r="G2363" s="65"/>
      <c r="H2363" s="65"/>
      <c r="I2363" s="70"/>
      <c r="J2363" s="71"/>
      <c r="K2363" s="71"/>
      <c r="L2363" s="72" t="str">
        <f>IFERROR(IF(G2363="","",VLOOKUP($G2363,[1]基础信息!$B:$C,2,FALSE)+SUMIF(G$8:G2363,G2363,J$8:J2363)-SUMIF(G$8:G2363,G2363,K$8:K2363)+SUMIFS([1]内部转账!$G:$G,[1]内部转账!$C:$C,"&lt;="&amp;$D2363,[1]内部转账!$E:$E,$G2363)-SUMIFS([1]内部转账!$G:$G,[1]内部转账!$C:$C,"&lt;="&amp;$D2363,[1]内部转账!$F:$F,$G2363)),"")</f>
        <v/>
      </c>
      <c r="M2363" s="64"/>
      <c r="N2363" s="69"/>
      <c r="O2363" s="64"/>
      <c r="P2363" s="64"/>
      <c r="Q2363" s="69"/>
      <c r="R2363" s="69"/>
      <c r="S2363" s="69"/>
    </row>
    <row r="2364" s="2" customFormat="1" ht="24.95" customHeight="1" spans="1:19">
      <c r="A2364" s="15"/>
      <c r="B2364" s="55"/>
      <c r="C2364" s="56"/>
      <c r="D2364" s="68"/>
      <c r="E2364" s="69"/>
      <c r="F2364" s="69"/>
      <c r="G2364" s="65"/>
      <c r="H2364" s="65"/>
      <c r="I2364" s="70"/>
      <c r="J2364" s="71"/>
      <c r="K2364" s="71"/>
      <c r="L2364" s="72" t="str">
        <f>IFERROR(IF(G2364="","",VLOOKUP($G2364,[1]基础信息!$B:$C,2,FALSE)+SUMIF(G$8:G2364,G2364,J$8:J2364)-SUMIF(G$8:G2364,G2364,K$8:K2364)+SUMIFS([1]内部转账!$G:$G,[1]内部转账!$C:$C,"&lt;="&amp;$D2364,[1]内部转账!$E:$E,$G2364)-SUMIFS([1]内部转账!$G:$G,[1]内部转账!$C:$C,"&lt;="&amp;$D2364,[1]内部转账!$F:$F,$G2364)),"")</f>
        <v/>
      </c>
      <c r="M2364" s="64"/>
      <c r="N2364" s="69"/>
      <c r="O2364" s="64"/>
      <c r="P2364" s="64"/>
      <c r="Q2364" s="69"/>
      <c r="R2364" s="69"/>
      <c r="S2364" s="69"/>
    </row>
    <row r="2365" s="2" customFormat="1" ht="24.95" customHeight="1" spans="1:19">
      <c r="A2365" s="15"/>
      <c r="B2365" s="55"/>
      <c r="C2365" s="56"/>
      <c r="D2365" s="68"/>
      <c r="E2365" s="69"/>
      <c r="F2365" s="69"/>
      <c r="G2365" s="65"/>
      <c r="H2365" s="65"/>
      <c r="I2365" s="70"/>
      <c r="J2365" s="71"/>
      <c r="K2365" s="71"/>
      <c r="L2365" s="72" t="str">
        <f>IFERROR(IF(G2365="","",VLOOKUP($G2365,[1]基础信息!$B:$C,2,FALSE)+SUMIF(G$8:G2365,G2365,J$8:J2365)-SUMIF(G$8:G2365,G2365,K$8:K2365)+SUMIFS([1]内部转账!$G:$G,[1]内部转账!$C:$C,"&lt;="&amp;$D2365,[1]内部转账!$E:$E,$G2365)-SUMIFS([1]内部转账!$G:$G,[1]内部转账!$C:$C,"&lt;="&amp;$D2365,[1]内部转账!$F:$F,$G2365)),"")</f>
        <v/>
      </c>
      <c r="M2365" s="64"/>
      <c r="N2365" s="69"/>
      <c r="O2365" s="64"/>
      <c r="P2365" s="64"/>
      <c r="Q2365" s="69"/>
      <c r="R2365" s="69"/>
      <c r="S2365" s="69"/>
    </row>
    <row r="2366" s="2" customFormat="1" ht="24.95" customHeight="1" spans="1:19">
      <c r="A2366" s="15"/>
      <c r="B2366" s="55"/>
      <c r="C2366" s="56"/>
      <c r="D2366" s="68"/>
      <c r="E2366" s="69"/>
      <c r="F2366" s="69"/>
      <c r="G2366" s="65"/>
      <c r="H2366" s="65"/>
      <c r="I2366" s="70"/>
      <c r="J2366" s="71"/>
      <c r="K2366" s="71"/>
      <c r="L2366" s="72" t="str">
        <f>IFERROR(IF(G2366="","",VLOOKUP($G2366,[1]基础信息!$B:$C,2,FALSE)+SUMIF(G$8:G2366,G2366,J$8:J2366)-SUMIF(G$8:G2366,G2366,K$8:K2366)+SUMIFS([1]内部转账!$G:$G,[1]内部转账!$C:$C,"&lt;="&amp;$D2366,[1]内部转账!$E:$E,$G2366)-SUMIFS([1]内部转账!$G:$G,[1]内部转账!$C:$C,"&lt;="&amp;$D2366,[1]内部转账!$F:$F,$G2366)),"")</f>
        <v/>
      </c>
      <c r="M2366" s="64"/>
      <c r="N2366" s="69"/>
      <c r="O2366" s="64"/>
      <c r="P2366" s="64"/>
      <c r="Q2366" s="69"/>
      <c r="R2366" s="69"/>
      <c r="S2366" s="69"/>
    </row>
    <row r="2367" s="2" customFormat="1" ht="24.95" customHeight="1" spans="1:19">
      <c r="A2367" s="15"/>
      <c r="B2367" s="55"/>
      <c r="C2367" s="56"/>
      <c r="D2367" s="68"/>
      <c r="E2367" s="69"/>
      <c r="F2367" s="69"/>
      <c r="G2367" s="65"/>
      <c r="H2367" s="65"/>
      <c r="I2367" s="70"/>
      <c r="J2367" s="71"/>
      <c r="K2367" s="71"/>
      <c r="L2367" s="72" t="str">
        <f>IFERROR(IF(G2367="","",VLOOKUP($G2367,[1]基础信息!$B:$C,2,FALSE)+SUMIF(G$8:G2367,G2367,J$8:J2367)-SUMIF(G$8:G2367,G2367,K$8:K2367)+SUMIFS([1]内部转账!$G:$G,[1]内部转账!$C:$C,"&lt;="&amp;$D2367,[1]内部转账!$E:$E,$G2367)-SUMIFS([1]内部转账!$G:$G,[1]内部转账!$C:$C,"&lt;="&amp;$D2367,[1]内部转账!$F:$F,$G2367)),"")</f>
        <v/>
      </c>
      <c r="M2367" s="64"/>
      <c r="N2367" s="69"/>
      <c r="O2367" s="64"/>
      <c r="P2367" s="64"/>
      <c r="Q2367" s="69"/>
      <c r="R2367" s="69"/>
      <c r="S2367" s="69"/>
    </row>
    <row r="2368" s="2" customFormat="1" ht="24.95" customHeight="1" spans="1:19">
      <c r="A2368" s="15"/>
      <c r="B2368" s="55"/>
      <c r="C2368" s="56"/>
      <c r="D2368" s="68"/>
      <c r="E2368" s="69"/>
      <c r="F2368" s="69"/>
      <c r="G2368" s="65"/>
      <c r="H2368" s="65"/>
      <c r="I2368" s="70"/>
      <c r="J2368" s="71"/>
      <c r="K2368" s="71"/>
      <c r="L2368" s="72" t="str">
        <f>IFERROR(IF(G2368="","",VLOOKUP($G2368,[1]基础信息!$B:$C,2,FALSE)+SUMIF(G$8:G2368,G2368,J$8:J2368)-SUMIF(G$8:G2368,G2368,K$8:K2368)+SUMIFS([1]内部转账!$G:$G,[1]内部转账!$C:$C,"&lt;="&amp;$D2368,[1]内部转账!$E:$E,$G2368)-SUMIFS([1]内部转账!$G:$G,[1]内部转账!$C:$C,"&lt;="&amp;$D2368,[1]内部转账!$F:$F,$G2368)),"")</f>
        <v/>
      </c>
      <c r="M2368" s="64"/>
      <c r="N2368" s="69"/>
      <c r="O2368" s="64"/>
      <c r="P2368" s="64"/>
      <c r="Q2368" s="69"/>
      <c r="R2368" s="69"/>
      <c r="S2368" s="69"/>
    </row>
    <row r="2369" s="2" customFormat="1" ht="24.95" customHeight="1" spans="1:19">
      <c r="A2369" s="15"/>
      <c r="B2369" s="55"/>
      <c r="C2369" s="56"/>
      <c r="D2369" s="68"/>
      <c r="E2369" s="69"/>
      <c r="F2369" s="69"/>
      <c r="G2369" s="65"/>
      <c r="H2369" s="65"/>
      <c r="I2369" s="70"/>
      <c r="J2369" s="71"/>
      <c r="K2369" s="71"/>
      <c r="L2369" s="72" t="str">
        <f>IFERROR(IF(G2369="","",VLOOKUP($G2369,[1]基础信息!$B:$C,2,FALSE)+SUMIF(G$8:G2369,G2369,J$8:J2369)-SUMIF(G$8:G2369,G2369,K$8:K2369)+SUMIFS([1]内部转账!$G:$G,[1]内部转账!$C:$C,"&lt;="&amp;$D2369,[1]内部转账!$E:$E,$G2369)-SUMIFS([1]内部转账!$G:$G,[1]内部转账!$C:$C,"&lt;="&amp;$D2369,[1]内部转账!$F:$F,$G2369)),"")</f>
        <v/>
      </c>
      <c r="M2369" s="64"/>
      <c r="N2369" s="69"/>
      <c r="O2369" s="64"/>
      <c r="P2369" s="64"/>
      <c r="Q2369" s="69"/>
      <c r="R2369" s="69"/>
      <c r="S2369" s="69"/>
    </row>
    <row r="2370" s="2" customFormat="1" ht="24.95" customHeight="1" spans="1:19">
      <c r="A2370" s="15"/>
      <c r="B2370" s="55"/>
      <c r="C2370" s="56"/>
      <c r="D2370" s="68"/>
      <c r="E2370" s="69"/>
      <c r="F2370" s="69"/>
      <c r="G2370" s="65"/>
      <c r="H2370" s="65"/>
      <c r="I2370" s="70"/>
      <c r="J2370" s="71"/>
      <c r="K2370" s="71"/>
      <c r="L2370" s="72" t="str">
        <f>IFERROR(IF(G2370="","",VLOOKUP($G2370,[1]基础信息!$B:$C,2,FALSE)+SUMIF(G$8:G2370,G2370,J$8:J2370)-SUMIF(G$8:G2370,G2370,K$8:K2370)+SUMIFS([1]内部转账!$G:$G,[1]内部转账!$C:$C,"&lt;="&amp;$D2370,[1]内部转账!$E:$E,$G2370)-SUMIFS([1]内部转账!$G:$G,[1]内部转账!$C:$C,"&lt;="&amp;$D2370,[1]内部转账!$F:$F,$G2370)),"")</f>
        <v/>
      </c>
      <c r="M2370" s="64"/>
      <c r="N2370" s="69"/>
      <c r="O2370" s="64"/>
      <c r="P2370" s="64"/>
      <c r="Q2370" s="69"/>
      <c r="R2370" s="69"/>
      <c r="S2370" s="69"/>
    </row>
    <row r="2371" s="2" customFormat="1" ht="24.95" customHeight="1" spans="1:19">
      <c r="A2371" s="15"/>
      <c r="B2371" s="55"/>
      <c r="C2371" s="56"/>
      <c r="D2371" s="68"/>
      <c r="E2371" s="69"/>
      <c r="F2371" s="69"/>
      <c r="G2371" s="65"/>
      <c r="H2371" s="65"/>
      <c r="I2371" s="70"/>
      <c r="J2371" s="71"/>
      <c r="K2371" s="71"/>
      <c r="L2371" s="72" t="str">
        <f>IFERROR(IF(G2371="","",VLOOKUP($G2371,[1]基础信息!$B:$C,2,FALSE)+SUMIF(G$8:G2371,G2371,J$8:J2371)-SUMIF(G$8:G2371,G2371,K$8:K2371)+SUMIFS([1]内部转账!$G:$G,[1]内部转账!$C:$C,"&lt;="&amp;$D2371,[1]内部转账!$E:$E,$G2371)-SUMIFS([1]内部转账!$G:$G,[1]内部转账!$C:$C,"&lt;="&amp;$D2371,[1]内部转账!$F:$F,$G2371)),"")</f>
        <v/>
      </c>
      <c r="M2371" s="64"/>
      <c r="N2371" s="69"/>
      <c r="O2371" s="64"/>
      <c r="P2371" s="64"/>
      <c r="Q2371" s="69"/>
      <c r="R2371" s="69"/>
      <c r="S2371" s="69"/>
    </row>
    <row r="2372" s="2" customFormat="1" ht="24.95" customHeight="1" spans="1:19">
      <c r="A2372" s="15"/>
      <c r="B2372" s="55"/>
      <c r="C2372" s="56"/>
      <c r="D2372" s="68"/>
      <c r="E2372" s="69"/>
      <c r="F2372" s="69"/>
      <c r="G2372" s="65"/>
      <c r="H2372" s="65"/>
      <c r="I2372" s="70"/>
      <c r="J2372" s="71"/>
      <c r="K2372" s="71"/>
      <c r="L2372" s="72" t="str">
        <f>IFERROR(IF(G2372="","",VLOOKUP($G2372,[1]基础信息!$B:$C,2,FALSE)+SUMIF(G$8:G2372,G2372,J$8:J2372)-SUMIF(G$8:G2372,G2372,K$8:K2372)+SUMIFS([1]内部转账!$G:$G,[1]内部转账!$C:$C,"&lt;="&amp;$D2372,[1]内部转账!$E:$E,$G2372)-SUMIFS([1]内部转账!$G:$G,[1]内部转账!$C:$C,"&lt;="&amp;$D2372,[1]内部转账!$F:$F,$G2372)),"")</f>
        <v/>
      </c>
      <c r="M2372" s="64"/>
      <c r="N2372" s="69"/>
      <c r="O2372" s="64"/>
      <c r="P2372" s="64"/>
      <c r="Q2372" s="69"/>
      <c r="R2372" s="69"/>
      <c r="S2372" s="69"/>
    </row>
    <row r="2373" s="2" customFormat="1" ht="24.95" customHeight="1" spans="1:19">
      <c r="A2373" s="15"/>
      <c r="B2373" s="55"/>
      <c r="C2373" s="56"/>
      <c r="D2373" s="68"/>
      <c r="E2373" s="69"/>
      <c r="F2373" s="69"/>
      <c r="G2373" s="65"/>
      <c r="H2373" s="65"/>
      <c r="I2373" s="70"/>
      <c r="J2373" s="71"/>
      <c r="K2373" s="71"/>
      <c r="L2373" s="72" t="str">
        <f>IFERROR(IF(G2373="","",VLOOKUP($G2373,[1]基础信息!$B:$C,2,FALSE)+SUMIF(G$8:G2373,G2373,J$8:J2373)-SUMIF(G$8:G2373,G2373,K$8:K2373)+SUMIFS([1]内部转账!$G:$G,[1]内部转账!$C:$C,"&lt;="&amp;$D2373,[1]内部转账!$E:$E,$G2373)-SUMIFS([1]内部转账!$G:$G,[1]内部转账!$C:$C,"&lt;="&amp;$D2373,[1]内部转账!$F:$F,$G2373)),"")</f>
        <v/>
      </c>
      <c r="M2373" s="64"/>
      <c r="N2373" s="69"/>
      <c r="O2373" s="64"/>
      <c r="P2373" s="64"/>
      <c r="Q2373" s="69"/>
      <c r="R2373" s="69"/>
      <c r="S2373" s="69"/>
    </row>
    <row r="2374" s="2" customFormat="1" ht="24.95" customHeight="1" spans="1:19">
      <c r="A2374" s="15"/>
      <c r="B2374" s="55"/>
      <c r="C2374" s="56"/>
      <c r="D2374" s="68"/>
      <c r="E2374" s="69"/>
      <c r="F2374" s="69"/>
      <c r="G2374" s="65"/>
      <c r="H2374" s="65"/>
      <c r="I2374" s="70"/>
      <c r="J2374" s="71"/>
      <c r="K2374" s="71"/>
      <c r="L2374" s="72" t="str">
        <f>IFERROR(IF(G2374="","",VLOOKUP($G2374,[1]基础信息!$B:$C,2,FALSE)+SUMIF(G$8:G2374,G2374,J$8:J2374)-SUMIF(G$8:G2374,G2374,K$8:K2374)+SUMIFS([1]内部转账!$G:$G,[1]内部转账!$C:$C,"&lt;="&amp;$D2374,[1]内部转账!$E:$E,$G2374)-SUMIFS([1]内部转账!$G:$G,[1]内部转账!$C:$C,"&lt;="&amp;$D2374,[1]内部转账!$F:$F,$G2374)),"")</f>
        <v/>
      </c>
      <c r="M2374" s="64"/>
      <c r="N2374" s="69"/>
      <c r="O2374" s="64"/>
      <c r="P2374" s="64"/>
      <c r="Q2374" s="69"/>
      <c r="R2374" s="69"/>
      <c r="S2374" s="69"/>
    </row>
    <row r="2375" s="2" customFormat="1" ht="24.95" customHeight="1" spans="1:19">
      <c r="A2375" s="15"/>
      <c r="B2375" s="55"/>
      <c r="C2375" s="56"/>
      <c r="D2375" s="68"/>
      <c r="E2375" s="69"/>
      <c r="F2375" s="69"/>
      <c r="G2375" s="65"/>
      <c r="H2375" s="65"/>
      <c r="I2375" s="70"/>
      <c r="J2375" s="71"/>
      <c r="K2375" s="71"/>
      <c r="L2375" s="72" t="str">
        <f>IFERROR(IF(G2375="","",VLOOKUP($G2375,[1]基础信息!$B:$C,2,FALSE)+SUMIF(G$8:G2375,G2375,J$8:J2375)-SUMIF(G$8:G2375,G2375,K$8:K2375)+SUMIFS([1]内部转账!$G:$G,[1]内部转账!$C:$C,"&lt;="&amp;$D2375,[1]内部转账!$E:$E,$G2375)-SUMIFS([1]内部转账!$G:$G,[1]内部转账!$C:$C,"&lt;="&amp;$D2375,[1]内部转账!$F:$F,$G2375)),"")</f>
        <v/>
      </c>
      <c r="M2375" s="64"/>
      <c r="N2375" s="69"/>
      <c r="O2375" s="64"/>
      <c r="P2375" s="64"/>
      <c r="Q2375" s="69"/>
      <c r="R2375" s="69"/>
      <c r="S2375" s="69"/>
    </row>
    <row r="2376" s="2" customFormat="1" ht="24.95" customHeight="1" spans="1:19">
      <c r="A2376" s="15"/>
      <c r="B2376" s="55"/>
      <c r="C2376" s="56"/>
      <c r="D2376" s="68"/>
      <c r="E2376" s="69"/>
      <c r="F2376" s="69"/>
      <c r="G2376" s="65"/>
      <c r="H2376" s="65"/>
      <c r="I2376" s="70"/>
      <c r="J2376" s="71"/>
      <c r="K2376" s="71"/>
      <c r="L2376" s="72" t="str">
        <f>IFERROR(IF(G2376="","",VLOOKUP($G2376,[1]基础信息!$B:$C,2,FALSE)+SUMIF(G$8:G2376,G2376,J$8:J2376)-SUMIF(G$8:G2376,G2376,K$8:K2376)+SUMIFS([1]内部转账!$G:$G,[1]内部转账!$C:$C,"&lt;="&amp;$D2376,[1]内部转账!$E:$E,$G2376)-SUMIFS([1]内部转账!$G:$G,[1]内部转账!$C:$C,"&lt;="&amp;$D2376,[1]内部转账!$F:$F,$G2376)),"")</f>
        <v/>
      </c>
      <c r="M2376" s="64"/>
      <c r="N2376" s="69"/>
      <c r="O2376" s="64"/>
      <c r="P2376" s="64"/>
      <c r="Q2376" s="69"/>
      <c r="R2376" s="69"/>
      <c r="S2376" s="69"/>
    </row>
    <row r="2377" s="2" customFormat="1" ht="24.95" customHeight="1" spans="1:19">
      <c r="A2377" s="15"/>
      <c r="B2377" s="55"/>
      <c r="C2377" s="56"/>
      <c r="D2377" s="68"/>
      <c r="E2377" s="69"/>
      <c r="F2377" s="69"/>
      <c r="G2377" s="65"/>
      <c r="H2377" s="65"/>
      <c r="I2377" s="70"/>
      <c r="J2377" s="71"/>
      <c r="K2377" s="71"/>
      <c r="L2377" s="72" t="str">
        <f>IFERROR(IF(G2377="","",VLOOKUP($G2377,[1]基础信息!$B:$C,2,FALSE)+SUMIF(G$8:G2377,G2377,J$8:J2377)-SUMIF(G$8:G2377,G2377,K$8:K2377)+SUMIFS([1]内部转账!$G:$G,[1]内部转账!$C:$C,"&lt;="&amp;$D2377,[1]内部转账!$E:$E,$G2377)-SUMIFS([1]内部转账!$G:$G,[1]内部转账!$C:$C,"&lt;="&amp;$D2377,[1]内部转账!$F:$F,$G2377)),"")</f>
        <v/>
      </c>
      <c r="M2377" s="64"/>
      <c r="N2377" s="69"/>
      <c r="O2377" s="64"/>
      <c r="P2377" s="64"/>
      <c r="Q2377" s="69"/>
      <c r="R2377" s="69"/>
      <c r="S2377" s="69"/>
    </row>
    <row r="2378" s="2" customFormat="1" ht="24.95" customHeight="1" spans="1:19">
      <c r="A2378" s="15"/>
      <c r="B2378" s="55"/>
      <c r="C2378" s="56"/>
      <c r="D2378" s="68"/>
      <c r="E2378" s="69"/>
      <c r="F2378" s="69"/>
      <c r="G2378" s="65"/>
      <c r="H2378" s="65"/>
      <c r="I2378" s="70"/>
      <c r="J2378" s="71"/>
      <c r="K2378" s="71"/>
      <c r="L2378" s="72" t="str">
        <f>IFERROR(IF(G2378="","",VLOOKUP($G2378,[1]基础信息!$B:$C,2,FALSE)+SUMIF(G$8:G2378,G2378,J$8:J2378)-SUMIF(G$8:G2378,G2378,K$8:K2378)+SUMIFS([1]内部转账!$G:$G,[1]内部转账!$C:$C,"&lt;="&amp;$D2378,[1]内部转账!$E:$E,$G2378)-SUMIFS([1]内部转账!$G:$G,[1]内部转账!$C:$C,"&lt;="&amp;$D2378,[1]内部转账!$F:$F,$G2378)),"")</f>
        <v/>
      </c>
      <c r="M2378" s="64"/>
      <c r="N2378" s="69"/>
      <c r="O2378" s="64"/>
      <c r="P2378" s="64"/>
      <c r="Q2378" s="69"/>
      <c r="R2378" s="69"/>
      <c r="S2378" s="69"/>
    </row>
    <row r="2379" s="2" customFormat="1" ht="24.95" customHeight="1" spans="1:19">
      <c r="A2379" s="15"/>
      <c r="B2379" s="55"/>
      <c r="C2379" s="56"/>
      <c r="D2379" s="68"/>
      <c r="E2379" s="69"/>
      <c r="F2379" s="69"/>
      <c r="G2379" s="65"/>
      <c r="H2379" s="65"/>
      <c r="I2379" s="70"/>
      <c r="J2379" s="71"/>
      <c r="K2379" s="71"/>
      <c r="L2379" s="72" t="str">
        <f>IFERROR(IF(G2379="","",VLOOKUP($G2379,[1]基础信息!$B:$C,2,FALSE)+SUMIF(G$8:G2379,G2379,J$8:J2379)-SUMIF(G$8:G2379,G2379,K$8:K2379)+SUMIFS([1]内部转账!$G:$G,[1]内部转账!$C:$C,"&lt;="&amp;$D2379,[1]内部转账!$E:$E,$G2379)-SUMIFS([1]内部转账!$G:$G,[1]内部转账!$C:$C,"&lt;="&amp;$D2379,[1]内部转账!$F:$F,$G2379)),"")</f>
        <v/>
      </c>
      <c r="M2379" s="64"/>
      <c r="N2379" s="69"/>
      <c r="O2379" s="64"/>
      <c r="P2379" s="64"/>
      <c r="Q2379" s="69"/>
      <c r="R2379" s="69"/>
      <c r="S2379" s="69"/>
    </row>
    <row r="2380" s="2" customFormat="1" ht="24.95" customHeight="1" spans="1:19">
      <c r="A2380" s="15"/>
      <c r="B2380" s="55"/>
      <c r="C2380" s="56"/>
      <c r="D2380" s="68"/>
      <c r="E2380" s="69"/>
      <c r="F2380" s="69"/>
      <c r="G2380" s="65"/>
      <c r="H2380" s="65"/>
      <c r="I2380" s="70"/>
      <c r="J2380" s="71"/>
      <c r="K2380" s="71"/>
      <c r="L2380" s="72" t="str">
        <f>IFERROR(IF(G2380="","",VLOOKUP($G2380,[1]基础信息!$B:$C,2,FALSE)+SUMIF(G$8:G2380,G2380,J$8:J2380)-SUMIF(G$8:G2380,G2380,K$8:K2380)+SUMIFS([1]内部转账!$G:$G,[1]内部转账!$C:$C,"&lt;="&amp;$D2380,[1]内部转账!$E:$E,$G2380)-SUMIFS([1]内部转账!$G:$G,[1]内部转账!$C:$C,"&lt;="&amp;$D2380,[1]内部转账!$F:$F,$G2380)),"")</f>
        <v/>
      </c>
      <c r="M2380" s="64"/>
      <c r="N2380" s="69"/>
      <c r="O2380" s="64"/>
      <c r="P2380" s="64"/>
      <c r="Q2380" s="69"/>
      <c r="R2380" s="69"/>
      <c r="S2380" s="69"/>
    </row>
    <row r="2381" s="2" customFormat="1" ht="24.95" customHeight="1" spans="1:19">
      <c r="A2381" s="15"/>
      <c r="B2381" s="55"/>
      <c r="C2381" s="56"/>
      <c r="D2381" s="68"/>
      <c r="E2381" s="69"/>
      <c r="F2381" s="69"/>
      <c r="G2381" s="65"/>
      <c r="H2381" s="65"/>
      <c r="I2381" s="70"/>
      <c r="J2381" s="71"/>
      <c r="K2381" s="71"/>
      <c r="L2381" s="72" t="str">
        <f>IFERROR(IF(G2381="","",VLOOKUP($G2381,[1]基础信息!$B:$C,2,FALSE)+SUMIF(G$8:G2381,G2381,J$8:J2381)-SUMIF(G$8:G2381,G2381,K$8:K2381)+SUMIFS([1]内部转账!$G:$G,[1]内部转账!$C:$C,"&lt;="&amp;$D2381,[1]内部转账!$E:$E,$G2381)-SUMIFS([1]内部转账!$G:$G,[1]内部转账!$C:$C,"&lt;="&amp;$D2381,[1]内部转账!$F:$F,$G2381)),"")</f>
        <v/>
      </c>
      <c r="M2381" s="64"/>
      <c r="N2381" s="69"/>
      <c r="O2381" s="64"/>
      <c r="P2381" s="64"/>
      <c r="Q2381" s="69"/>
      <c r="R2381" s="69"/>
      <c r="S2381" s="69"/>
    </row>
    <row r="2382" s="2" customFormat="1" ht="24.95" customHeight="1" spans="1:19">
      <c r="A2382" s="15"/>
      <c r="B2382" s="55"/>
      <c r="C2382" s="56"/>
      <c r="D2382" s="68"/>
      <c r="E2382" s="69"/>
      <c r="F2382" s="69"/>
      <c r="G2382" s="65"/>
      <c r="H2382" s="65"/>
      <c r="I2382" s="70"/>
      <c r="J2382" s="71"/>
      <c r="K2382" s="71"/>
      <c r="L2382" s="72" t="str">
        <f>IFERROR(IF(G2382="","",VLOOKUP($G2382,[1]基础信息!$B:$C,2,FALSE)+SUMIF(G$8:G2382,G2382,J$8:J2382)-SUMIF(G$8:G2382,G2382,K$8:K2382)+SUMIFS([1]内部转账!$G:$G,[1]内部转账!$C:$C,"&lt;="&amp;$D2382,[1]内部转账!$E:$E,$G2382)-SUMIFS([1]内部转账!$G:$G,[1]内部转账!$C:$C,"&lt;="&amp;$D2382,[1]内部转账!$F:$F,$G2382)),"")</f>
        <v/>
      </c>
      <c r="M2382" s="64"/>
      <c r="N2382" s="69"/>
      <c r="O2382" s="64"/>
      <c r="P2382" s="64"/>
      <c r="Q2382" s="69"/>
      <c r="R2382" s="69"/>
      <c r="S2382" s="69"/>
    </row>
    <row r="2383" s="2" customFormat="1" ht="24.95" customHeight="1" spans="1:19">
      <c r="A2383" s="15"/>
      <c r="B2383" s="55"/>
      <c r="C2383" s="56"/>
      <c r="D2383" s="68"/>
      <c r="E2383" s="69"/>
      <c r="F2383" s="69"/>
      <c r="G2383" s="65"/>
      <c r="H2383" s="65"/>
      <c r="I2383" s="70"/>
      <c r="J2383" s="71"/>
      <c r="K2383" s="71"/>
      <c r="L2383" s="72" t="str">
        <f>IFERROR(IF(G2383="","",VLOOKUP($G2383,[1]基础信息!$B:$C,2,FALSE)+SUMIF(G$8:G2383,G2383,J$8:J2383)-SUMIF(G$8:G2383,G2383,K$8:K2383)+SUMIFS([1]内部转账!$G:$G,[1]内部转账!$C:$C,"&lt;="&amp;$D2383,[1]内部转账!$E:$E,$G2383)-SUMIFS([1]内部转账!$G:$G,[1]内部转账!$C:$C,"&lt;="&amp;$D2383,[1]内部转账!$F:$F,$G2383)),"")</f>
        <v/>
      </c>
      <c r="M2383" s="64"/>
      <c r="N2383" s="69"/>
      <c r="O2383" s="64"/>
      <c r="P2383" s="64"/>
      <c r="Q2383" s="69"/>
      <c r="R2383" s="69"/>
      <c r="S2383" s="69"/>
    </row>
    <row r="2384" s="2" customFormat="1" ht="24.95" customHeight="1" spans="1:19">
      <c r="A2384" s="15"/>
      <c r="B2384" s="55"/>
      <c r="C2384" s="56"/>
      <c r="D2384" s="68"/>
      <c r="E2384" s="69"/>
      <c r="F2384" s="69"/>
      <c r="G2384" s="65"/>
      <c r="H2384" s="65"/>
      <c r="I2384" s="70"/>
      <c r="J2384" s="71"/>
      <c r="K2384" s="71"/>
      <c r="L2384" s="72" t="str">
        <f>IFERROR(IF(G2384="","",VLOOKUP($G2384,[1]基础信息!$B:$C,2,FALSE)+SUMIF(G$8:G2384,G2384,J$8:J2384)-SUMIF(G$8:G2384,G2384,K$8:K2384)+SUMIFS([1]内部转账!$G:$G,[1]内部转账!$C:$C,"&lt;="&amp;$D2384,[1]内部转账!$E:$E,$G2384)-SUMIFS([1]内部转账!$G:$G,[1]内部转账!$C:$C,"&lt;="&amp;$D2384,[1]内部转账!$F:$F,$G2384)),"")</f>
        <v/>
      </c>
      <c r="M2384" s="64"/>
      <c r="N2384" s="69"/>
      <c r="O2384" s="64"/>
      <c r="P2384" s="64"/>
      <c r="Q2384" s="69"/>
      <c r="R2384" s="69"/>
      <c r="S2384" s="69"/>
    </row>
    <row r="2385" s="2" customFormat="1" ht="24.95" customHeight="1" spans="1:19">
      <c r="A2385" s="15"/>
      <c r="B2385" s="55"/>
      <c r="C2385" s="56"/>
      <c r="D2385" s="68"/>
      <c r="E2385" s="69"/>
      <c r="F2385" s="69"/>
      <c r="G2385" s="65"/>
      <c r="H2385" s="65"/>
      <c r="I2385" s="70"/>
      <c r="J2385" s="71"/>
      <c r="K2385" s="71"/>
      <c r="L2385" s="72" t="str">
        <f>IFERROR(IF(G2385="","",VLOOKUP($G2385,[1]基础信息!$B:$C,2,FALSE)+SUMIF(G$8:G2385,G2385,J$8:J2385)-SUMIF(G$8:G2385,G2385,K$8:K2385)+SUMIFS([1]内部转账!$G:$G,[1]内部转账!$C:$C,"&lt;="&amp;$D2385,[1]内部转账!$E:$E,$G2385)-SUMIFS([1]内部转账!$G:$G,[1]内部转账!$C:$C,"&lt;="&amp;$D2385,[1]内部转账!$F:$F,$G2385)),"")</f>
        <v/>
      </c>
      <c r="M2385" s="64"/>
      <c r="N2385" s="69"/>
      <c r="O2385" s="64"/>
      <c r="P2385" s="64"/>
      <c r="Q2385" s="69"/>
      <c r="R2385" s="69"/>
      <c r="S2385" s="69"/>
    </row>
    <row r="2386" s="2" customFormat="1" ht="24.95" customHeight="1" spans="1:19">
      <c r="A2386" s="15"/>
      <c r="B2386" s="55"/>
      <c r="C2386" s="56"/>
      <c r="D2386" s="68"/>
      <c r="E2386" s="69"/>
      <c r="F2386" s="69"/>
      <c r="G2386" s="65"/>
      <c r="H2386" s="65"/>
      <c r="I2386" s="70"/>
      <c r="J2386" s="71"/>
      <c r="K2386" s="71"/>
      <c r="L2386" s="72" t="str">
        <f>IFERROR(IF(G2386="","",VLOOKUP($G2386,[1]基础信息!$B:$C,2,FALSE)+SUMIF(G$8:G2386,G2386,J$8:J2386)-SUMIF(G$8:G2386,G2386,K$8:K2386)+SUMIFS([1]内部转账!$G:$G,[1]内部转账!$C:$C,"&lt;="&amp;$D2386,[1]内部转账!$E:$E,$G2386)-SUMIFS([1]内部转账!$G:$G,[1]内部转账!$C:$C,"&lt;="&amp;$D2386,[1]内部转账!$F:$F,$G2386)),"")</f>
        <v/>
      </c>
      <c r="M2386" s="64"/>
      <c r="N2386" s="69"/>
      <c r="O2386" s="64"/>
      <c r="P2386" s="64"/>
      <c r="Q2386" s="69"/>
      <c r="R2386" s="69"/>
      <c r="S2386" s="69"/>
    </row>
    <row r="2387" s="2" customFormat="1" ht="24.95" customHeight="1" spans="1:19">
      <c r="A2387" s="15"/>
      <c r="B2387" s="55"/>
      <c r="C2387" s="56"/>
      <c r="D2387" s="68"/>
      <c r="E2387" s="69"/>
      <c r="F2387" s="69"/>
      <c r="G2387" s="65"/>
      <c r="H2387" s="65"/>
      <c r="I2387" s="70"/>
      <c r="J2387" s="71"/>
      <c r="K2387" s="71"/>
      <c r="L2387" s="72" t="str">
        <f>IFERROR(IF(G2387="","",VLOOKUP($G2387,[1]基础信息!$B:$C,2,FALSE)+SUMIF(G$8:G2387,G2387,J$8:J2387)-SUMIF(G$8:G2387,G2387,K$8:K2387)+SUMIFS([1]内部转账!$G:$G,[1]内部转账!$C:$C,"&lt;="&amp;$D2387,[1]内部转账!$E:$E,$G2387)-SUMIFS([1]内部转账!$G:$G,[1]内部转账!$C:$C,"&lt;="&amp;$D2387,[1]内部转账!$F:$F,$G2387)),"")</f>
        <v/>
      </c>
      <c r="M2387" s="64"/>
      <c r="N2387" s="69"/>
      <c r="O2387" s="64"/>
      <c r="P2387" s="64"/>
      <c r="Q2387" s="69"/>
      <c r="R2387" s="69"/>
      <c r="S2387" s="69"/>
    </row>
    <row r="2388" s="2" customFormat="1" ht="24.95" customHeight="1" spans="1:19">
      <c r="A2388" s="15"/>
      <c r="B2388" s="55"/>
      <c r="C2388" s="56"/>
      <c r="D2388" s="68"/>
      <c r="E2388" s="69"/>
      <c r="F2388" s="69"/>
      <c r="G2388" s="65"/>
      <c r="H2388" s="65"/>
      <c r="I2388" s="70"/>
      <c r="J2388" s="71"/>
      <c r="K2388" s="71"/>
      <c r="L2388" s="72" t="str">
        <f>IFERROR(IF(G2388="","",VLOOKUP($G2388,[1]基础信息!$B:$C,2,FALSE)+SUMIF(G$8:G2388,G2388,J$8:J2388)-SUMIF(G$8:G2388,G2388,K$8:K2388)+SUMIFS([1]内部转账!$G:$G,[1]内部转账!$C:$C,"&lt;="&amp;$D2388,[1]内部转账!$E:$E,$G2388)-SUMIFS([1]内部转账!$G:$G,[1]内部转账!$C:$C,"&lt;="&amp;$D2388,[1]内部转账!$F:$F,$G2388)),"")</f>
        <v/>
      </c>
      <c r="M2388" s="64"/>
      <c r="N2388" s="69"/>
      <c r="O2388" s="64"/>
      <c r="P2388" s="64"/>
      <c r="Q2388" s="69"/>
      <c r="R2388" s="69"/>
      <c r="S2388" s="69"/>
    </row>
    <row r="2389" s="2" customFormat="1" ht="24.95" customHeight="1" spans="1:19">
      <c r="A2389" s="15"/>
      <c r="B2389" s="55"/>
      <c r="C2389" s="56"/>
      <c r="D2389" s="68"/>
      <c r="E2389" s="69"/>
      <c r="F2389" s="69"/>
      <c r="G2389" s="65"/>
      <c r="H2389" s="65"/>
      <c r="I2389" s="70"/>
      <c r="J2389" s="71"/>
      <c r="K2389" s="71"/>
      <c r="L2389" s="72" t="str">
        <f>IFERROR(IF(G2389="","",VLOOKUP($G2389,[1]基础信息!$B:$C,2,FALSE)+SUMIF(G$8:G2389,G2389,J$8:J2389)-SUMIF(G$8:G2389,G2389,K$8:K2389)+SUMIFS([1]内部转账!$G:$G,[1]内部转账!$C:$C,"&lt;="&amp;$D2389,[1]内部转账!$E:$E,$G2389)-SUMIFS([1]内部转账!$G:$G,[1]内部转账!$C:$C,"&lt;="&amp;$D2389,[1]内部转账!$F:$F,$G2389)),"")</f>
        <v/>
      </c>
      <c r="M2389" s="64"/>
      <c r="N2389" s="69"/>
      <c r="O2389" s="64"/>
      <c r="P2389" s="64"/>
      <c r="Q2389" s="69"/>
      <c r="R2389" s="69"/>
      <c r="S2389" s="69"/>
    </row>
    <row r="2390" s="2" customFormat="1" ht="24.95" customHeight="1" spans="1:19">
      <c r="A2390" s="15"/>
      <c r="B2390" s="55"/>
      <c r="C2390" s="56"/>
      <c r="D2390" s="68"/>
      <c r="E2390" s="69"/>
      <c r="F2390" s="69"/>
      <c r="G2390" s="65"/>
      <c r="H2390" s="65"/>
      <c r="I2390" s="70"/>
      <c r="J2390" s="71"/>
      <c r="K2390" s="71"/>
      <c r="L2390" s="72" t="str">
        <f>IFERROR(IF(G2390="","",VLOOKUP($G2390,[1]基础信息!$B:$C,2,FALSE)+SUMIF(G$8:G2390,G2390,J$8:J2390)-SUMIF(G$8:G2390,G2390,K$8:K2390)+SUMIFS([1]内部转账!$G:$G,[1]内部转账!$C:$C,"&lt;="&amp;$D2390,[1]内部转账!$E:$E,$G2390)-SUMIFS([1]内部转账!$G:$G,[1]内部转账!$C:$C,"&lt;="&amp;$D2390,[1]内部转账!$F:$F,$G2390)),"")</f>
        <v/>
      </c>
      <c r="M2390" s="64"/>
      <c r="N2390" s="69"/>
      <c r="O2390" s="64"/>
      <c r="P2390" s="64"/>
      <c r="Q2390" s="69"/>
      <c r="R2390" s="69"/>
      <c r="S2390" s="69"/>
    </row>
    <row r="2391" s="2" customFormat="1" ht="24.95" customHeight="1" spans="1:19">
      <c r="A2391" s="15"/>
      <c r="B2391" s="55"/>
      <c r="C2391" s="56"/>
      <c r="D2391" s="68"/>
      <c r="E2391" s="69"/>
      <c r="F2391" s="69"/>
      <c r="G2391" s="65"/>
      <c r="H2391" s="65"/>
      <c r="I2391" s="70"/>
      <c r="J2391" s="71"/>
      <c r="K2391" s="71"/>
      <c r="L2391" s="72" t="str">
        <f>IFERROR(IF(G2391="","",VLOOKUP($G2391,[1]基础信息!$B:$C,2,FALSE)+SUMIF(G$8:G2391,G2391,J$8:J2391)-SUMIF(G$8:G2391,G2391,K$8:K2391)+SUMIFS([1]内部转账!$G:$G,[1]内部转账!$C:$C,"&lt;="&amp;$D2391,[1]内部转账!$E:$E,$G2391)-SUMIFS([1]内部转账!$G:$G,[1]内部转账!$C:$C,"&lt;="&amp;$D2391,[1]内部转账!$F:$F,$G2391)),"")</f>
        <v/>
      </c>
      <c r="M2391" s="64"/>
      <c r="N2391" s="69"/>
      <c r="O2391" s="64"/>
      <c r="P2391" s="64"/>
      <c r="Q2391" s="69"/>
      <c r="R2391" s="69"/>
      <c r="S2391" s="69"/>
    </row>
    <row r="2392" s="2" customFormat="1" ht="24.95" customHeight="1" spans="1:19">
      <c r="A2392" s="15"/>
      <c r="B2392" s="55"/>
      <c r="C2392" s="56"/>
      <c r="D2392" s="68"/>
      <c r="E2392" s="69"/>
      <c r="F2392" s="69"/>
      <c r="G2392" s="65"/>
      <c r="H2392" s="65"/>
      <c r="I2392" s="70"/>
      <c r="J2392" s="71"/>
      <c r="K2392" s="71"/>
      <c r="L2392" s="72" t="str">
        <f>IFERROR(IF(G2392="","",VLOOKUP($G2392,[1]基础信息!$B:$C,2,FALSE)+SUMIF(G$8:G2392,G2392,J$8:J2392)-SUMIF(G$8:G2392,G2392,K$8:K2392)+SUMIFS([1]内部转账!$G:$G,[1]内部转账!$C:$C,"&lt;="&amp;$D2392,[1]内部转账!$E:$E,$G2392)-SUMIFS([1]内部转账!$G:$G,[1]内部转账!$C:$C,"&lt;="&amp;$D2392,[1]内部转账!$F:$F,$G2392)),"")</f>
        <v/>
      </c>
      <c r="M2392" s="64"/>
      <c r="N2392" s="69"/>
      <c r="O2392" s="64"/>
      <c r="P2392" s="64"/>
      <c r="Q2392" s="69"/>
      <c r="R2392" s="69"/>
      <c r="S2392" s="69"/>
    </row>
    <row r="2393" s="2" customFormat="1" ht="24.95" customHeight="1" spans="1:19">
      <c r="A2393" s="15"/>
      <c r="B2393" s="55"/>
      <c r="C2393" s="56"/>
      <c r="D2393" s="68"/>
      <c r="E2393" s="69"/>
      <c r="F2393" s="69"/>
      <c r="G2393" s="65"/>
      <c r="H2393" s="65"/>
      <c r="I2393" s="70"/>
      <c r="J2393" s="71"/>
      <c r="K2393" s="71"/>
      <c r="L2393" s="72" t="str">
        <f>IFERROR(IF(G2393="","",VLOOKUP($G2393,[1]基础信息!$B:$C,2,FALSE)+SUMIF(G$8:G2393,G2393,J$8:J2393)-SUMIF(G$8:G2393,G2393,K$8:K2393)+SUMIFS([1]内部转账!$G:$G,[1]内部转账!$C:$C,"&lt;="&amp;$D2393,[1]内部转账!$E:$E,$G2393)-SUMIFS([1]内部转账!$G:$G,[1]内部转账!$C:$C,"&lt;="&amp;$D2393,[1]内部转账!$F:$F,$G2393)),"")</f>
        <v/>
      </c>
      <c r="M2393" s="64"/>
      <c r="N2393" s="69"/>
      <c r="O2393" s="64"/>
      <c r="P2393" s="64"/>
      <c r="Q2393" s="69"/>
      <c r="R2393" s="69"/>
      <c r="S2393" s="69"/>
    </row>
    <row r="2394" s="2" customFormat="1" ht="24.95" customHeight="1" spans="1:19">
      <c r="A2394" s="15"/>
      <c r="B2394" s="55"/>
      <c r="C2394" s="56"/>
      <c r="D2394" s="68"/>
      <c r="E2394" s="69"/>
      <c r="F2394" s="69"/>
      <c r="G2394" s="65"/>
      <c r="H2394" s="65"/>
      <c r="I2394" s="70"/>
      <c r="J2394" s="71"/>
      <c r="K2394" s="71"/>
      <c r="L2394" s="72" t="str">
        <f>IFERROR(IF(G2394="","",VLOOKUP($G2394,[1]基础信息!$B:$C,2,FALSE)+SUMIF(G$8:G2394,G2394,J$8:J2394)-SUMIF(G$8:G2394,G2394,K$8:K2394)+SUMIFS([1]内部转账!$G:$G,[1]内部转账!$C:$C,"&lt;="&amp;$D2394,[1]内部转账!$E:$E,$G2394)-SUMIFS([1]内部转账!$G:$G,[1]内部转账!$C:$C,"&lt;="&amp;$D2394,[1]内部转账!$F:$F,$G2394)),"")</f>
        <v/>
      </c>
      <c r="M2394" s="64"/>
      <c r="N2394" s="69"/>
      <c r="O2394" s="64"/>
      <c r="P2394" s="64"/>
      <c r="Q2394" s="69"/>
      <c r="R2394" s="69"/>
      <c r="S2394" s="69"/>
    </row>
    <row r="2395" s="2" customFormat="1" ht="24.95" customHeight="1" spans="1:19">
      <c r="A2395" s="15"/>
      <c r="B2395" s="55"/>
      <c r="C2395" s="56"/>
      <c r="D2395" s="68"/>
      <c r="E2395" s="69"/>
      <c r="F2395" s="69"/>
      <c r="G2395" s="65"/>
      <c r="H2395" s="65"/>
      <c r="I2395" s="70"/>
      <c r="J2395" s="71"/>
      <c r="K2395" s="71"/>
      <c r="L2395" s="72" t="str">
        <f>IFERROR(IF(G2395="","",VLOOKUP($G2395,[1]基础信息!$B:$C,2,FALSE)+SUMIF(G$8:G2395,G2395,J$8:J2395)-SUMIF(G$8:G2395,G2395,K$8:K2395)+SUMIFS([1]内部转账!$G:$G,[1]内部转账!$C:$C,"&lt;="&amp;$D2395,[1]内部转账!$E:$E,$G2395)-SUMIFS([1]内部转账!$G:$G,[1]内部转账!$C:$C,"&lt;="&amp;$D2395,[1]内部转账!$F:$F,$G2395)),"")</f>
        <v/>
      </c>
      <c r="M2395" s="64"/>
      <c r="N2395" s="69"/>
      <c r="O2395" s="64"/>
      <c r="P2395" s="64"/>
      <c r="Q2395" s="69"/>
      <c r="R2395" s="69"/>
      <c r="S2395" s="69"/>
    </row>
    <row r="2396" s="2" customFormat="1" ht="24.95" customHeight="1" spans="1:19">
      <c r="A2396" s="15"/>
      <c r="B2396" s="55"/>
      <c r="C2396" s="56"/>
      <c r="D2396" s="68"/>
      <c r="E2396" s="69"/>
      <c r="F2396" s="69"/>
      <c r="G2396" s="65"/>
      <c r="H2396" s="65"/>
      <c r="I2396" s="70"/>
      <c r="J2396" s="71"/>
      <c r="K2396" s="71"/>
      <c r="L2396" s="72" t="str">
        <f>IFERROR(IF(G2396="","",VLOOKUP($G2396,[1]基础信息!$B:$C,2,FALSE)+SUMIF(G$8:G2396,G2396,J$8:J2396)-SUMIF(G$8:G2396,G2396,K$8:K2396)+SUMIFS([1]内部转账!$G:$G,[1]内部转账!$C:$C,"&lt;="&amp;$D2396,[1]内部转账!$E:$E,$G2396)-SUMIFS([1]内部转账!$G:$G,[1]内部转账!$C:$C,"&lt;="&amp;$D2396,[1]内部转账!$F:$F,$G2396)),"")</f>
        <v/>
      </c>
      <c r="M2396" s="64"/>
      <c r="N2396" s="69"/>
      <c r="O2396" s="64"/>
      <c r="P2396" s="64"/>
      <c r="Q2396" s="69"/>
      <c r="R2396" s="69"/>
      <c r="S2396" s="69"/>
    </row>
    <row r="2397" s="2" customFormat="1" ht="24.95" customHeight="1" spans="1:19">
      <c r="A2397" s="15"/>
      <c r="B2397" s="55"/>
      <c r="C2397" s="56"/>
      <c r="D2397" s="68"/>
      <c r="E2397" s="69"/>
      <c r="F2397" s="69"/>
      <c r="G2397" s="65"/>
      <c r="H2397" s="65"/>
      <c r="I2397" s="70"/>
      <c r="J2397" s="71"/>
      <c r="K2397" s="71"/>
      <c r="L2397" s="72" t="str">
        <f>IFERROR(IF(G2397="","",VLOOKUP($G2397,[1]基础信息!$B:$C,2,FALSE)+SUMIF(G$8:G2397,G2397,J$8:J2397)-SUMIF(G$8:G2397,G2397,K$8:K2397)+SUMIFS([1]内部转账!$G:$G,[1]内部转账!$C:$C,"&lt;="&amp;$D2397,[1]内部转账!$E:$E,$G2397)-SUMIFS([1]内部转账!$G:$G,[1]内部转账!$C:$C,"&lt;="&amp;$D2397,[1]内部转账!$F:$F,$G2397)),"")</f>
        <v/>
      </c>
      <c r="M2397" s="64"/>
      <c r="N2397" s="69"/>
      <c r="O2397" s="64"/>
      <c r="P2397" s="64"/>
      <c r="Q2397" s="69"/>
      <c r="R2397" s="69"/>
      <c r="S2397" s="69"/>
    </row>
    <row r="2398" s="2" customFormat="1" ht="24.95" customHeight="1" spans="1:19">
      <c r="A2398" s="15"/>
      <c r="B2398" s="55"/>
      <c r="C2398" s="56"/>
      <c r="D2398" s="68"/>
      <c r="E2398" s="69"/>
      <c r="F2398" s="69"/>
      <c r="G2398" s="65"/>
      <c r="H2398" s="65"/>
      <c r="I2398" s="70"/>
      <c r="J2398" s="71"/>
      <c r="K2398" s="71"/>
      <c r="L2398" s="72" t="str">
        <f>IFERROR(IF(G2398="","",VLOOKUP($G2398,[1]基础信息!$B:$C,2,FALSE)+SUMIF(G$8:G2398,G2398,J$8:J2398)-SUMIF(G$8:G2398,G2398,K$8:K2398)+SUMIFS([1]内部转账!$G:$G,[1]内部转账!$C:$C,"&lt;="&amp;$D2398,[1]内部转账!$E:$E,$G2398)-SUMIFS([1]内部转账!$G:$G,[1]内部转账!$C:$C,"&lt;="&amp;$D2398,[1]内部转账!$F:$F,$G2398)),"")</f>
        <v/>
      </c>
      <c r="M2398" s="64"/>
      <c r="N2398" s="69"/>
      <c r="O2398" s="64"/>
      <c r="P2398" s="64"/>
      <c r="Q2398" s="69"/>
      <c r="R2398" s="69"/>
      <c r="S2398" s="69"/>
    </row>
    <row r="2399" s="2" customFormat="1" ht="24.95" customHeight="1" spans="1:19">
      <c r="A2399" s="15"/>
      <c r="B2399" s="55"/>
      <c r="C2399" s="56"/>
      <c r="D2399" s="68"/>
      <c r="E2399" s="69"/>
      <c r="F2399" s="69"/>
      <c r="G2399" s="65"/>
      <c r="H2399" s="65"/>
      <c r="I2399" s="70"/>
      <c r="J2399" s="71"/>
      <c r="K2399" s="71"/>
      <c r="L2399" s="72" t="str">
        <f>IFERROR(IF(G2399="","",VLOOKUP($G2399,[1]基础信息!$B:$C,2,FALSE)+SUMIF(G$8:G2399,G2399,J$8:J2399)-SUMIF(G$8:G2399,G2399,K$8:K2399)+SUMIFS([1]内部转账!$G:$G,[1]内部转账!$C:$C,"&lt;="&amp;$D2399,[1]内部转账!$E:$E,$G2399)-SUMIFS([1]内部转账!$G:$G,[1]内部转账!$C:$C,"&lt;="&amp;$D2399,[1]内部转账!$F:$F,$G2399)),"")</f>
        <v/>
      </c>
      <c r="M2399" s="64"/>
      <c r="N2399" s="69"/>
      <c r="O2399" s="64"/>
      <c r="P2399" s="64"/>
      <c r="Q2399" s="69"/>
      <c r="R2399" s="69"/>
      <c r="S2399" s="69"/>
    </row>
    <row r="2400" s="2" customFormat="1" ht="24.95" customHeight="1" spans="1:19">
      <c r="A2400" s="15"/>
      <c r="B2400" s="55"/>
      <c r="C2400" s="56"/>
      <c r="D2400" s="68"/>
      <c r="E2400" s="69"/>
      <c r="F2400" s="69"/>
      <c r="G2400" s="65"/>
      <c r="H2400" s="65"/>
      <c r="I2400" s="70"/>
      <c r="J2400" s="71"/>
      <c r="K2400" s="71"/>
      <c r="L2400" s="72" t="str">
        <f>IFERROR(IF(G2400="","",VLOOKUP($G2400,[1]基础信息!$B:$C,2,FALSE)+SUMIF(G$8:G2400,G2400,J$8:J2400)-SUMIF(G$8:G2400,G2400,K$8:K2400)+SUMIFS([1]内部转账!$G:$G,[1]内部转账!$C:$C,"&lt;="&amp;$D2400,[1]内部转账!$E:$E,$G2400)-SUMIFS([1]内部转账!$G:$G,[1]内部转账!$C:$C,"&lt;="&amp;$D2400,[1]内部转账!$F:$F,$G2400)),"")</f>
        <v/>
      </c>
      <c r="M2400" s="64"/>
      <c r="N2400" s="69"/>
      <c r="O2400" s="64"/>
      <c r="P2400" s="64"/>
      <c r="Q2400" s="69"/>
      <c r="R2400" s="69"/>
      <c r="S2400" s="69"/>
    </row>
    <row r="2401" s="2" customFormat="1" ht="24.95" customHeight="1" spans="1:19">
      <c r="A2401" s="15"/>
      <c r="B2401" s="55"/>
      <c r="C2401" s="56"/>
      <c r="D2401" s="68"/>
      <c r="E2401" s="69"/>
      <c r="F2401" s="69"/>
      <c r="G2401" s="65"/>
      <c r="H2401" s="65"/>
      <c r="I2401" s="70"/>
      <c r="J2401" s="71"/>
      <c r="K2401" s="71"/>
      <c r="L2401" s="72" t="str">
        <f>IFERROR(IF(G2401="","",VLOOKUP($G2401,[1]基础信息!$B:$C,2,FALSE)+SUMIF(G$8:G2401,G2401,J$8:J2401)-SUMIF(G$8:G2401,G2401,K$8:K2401)+SUMIFS([1]内部转账!$G:$G,[1]内部转账!$C:$C,"&lt;="&amp;$D2401,[1]内部转账!$E:$E,$G2401)-SUMIFS([1]内部转账!$G:$G,[1]内部转账!$C:$C,"&lt;="&amp;$D2401,[1]内部转账!$F:$F,$G2401)),"")</f>
        <v/>
      </c>
      <c r="M2401" s="64"/>
      <c r="N2401" s="69"/>
      <c r="O2401" s="64"/>
      <c r="P2401" s="64"/>
      <c r="Q2401" s="69"/>
      <c r="R2401" s="69"/>
      <c r="S2401" s="69"/>
    </row>
    <row r="2402" s="2" customFormat="1" ht="24.95" customHeight="1" spans="1:19">
      <c r="A2402" s="15"/>
      <c r="B2402" s="55"/>
      <c r="C2402" s="56"/>
      <c r="D2402" s="68"/>
      <c r="E2402" s="69"/>
      <c r="F2402" s="69"/>
      <c r="G2402" s="65"/>
      <c r="H2402" s="65"/>
      <c r="I2402" s="70"/>
      <c r="J2402" s="71"/>
      <c r="K2402" s="71"/>
      <c r="L2402" s="72" t="str">
        <f>IFERROR(IF(G2402="","",VLOOKUP($G2402,[1]基础信息!$B:$C,2,FALSE)+SUMIF(G$8:G2402,G2402,J$8:J2402)-SUMIF(G$8:G2402,G2402,K$8:K2402)+SUMIFS([1]内部转账!$G:$G,[1]内部转账!$C:$C,"&lt;="&amp;$D2402,[1]内部转账!$E:$E,$G2402)-SUMIFS([1]内部转账!$G:$G,[1]内部转账!$C:$C,"&lt;="&amp;$D2402,[1]内部转账!$F:$F,$G2402)),"")</f>
        <v/>
      </c>
      <c r="M2402" s="64"/>
      <c r="N2402" s="69"/>
      <c r="O2402" s="64"/>
      <c r="P2402" s="64"/>
      <c r="Q2402" s="69"/>
      <c r="R2402" s="69"/>
      <c r="S2402" s="69"/>
    </row>
    <row r="2403" s="2" customFormat="1" ht="24.95" customHeight="1" spans="1:19">
      <c r="A2403" s="15"/>
      <c r="B2403" s="55"/>
      <c r="C2403" s="56"/>
      <c r="D2403" s="68"/>
      <c r="E2403" s="69"/>
      <c r="F2403" s="69"/>
      <c r="G2403" s="65"/>
      <c r="H2403" s="65"/>
      <c r="I2403" s="70"/>
      <c r="J2403" s="71"/>
      <c r="K2403" s="71"/>
      <c r="L2403" s="72" t="str">
        <f>IFERROR(IF(G2403="","",VLOOKUP($G2403,[1]基础信息!$B:$C,2,FALSE)+SUMIF(G$8:G2403,G2403,J$8:J2403)-SUMIF(G$8:G2403,G2403,K$8:K2403)+SUMIFS([1]内部转账!$G:$G,[1]内部转账!$C:$C,"&lt;="&amp;$D2403,[1]内部转账!$E:$E,$G2403)-SUMIFS([1]内部转账!$G:$G,[1]内部转账!$C:$C,"&lt;="&amp;$D2403,[1]内部转账!$F:$F,$G2403)),"")</f>
        <v/>
      </c>
      <c r="M2403" s="64"/>
      <c r="N2403" s="69"/>
      <c r="O2403" s="64"/>
      <c r="P2403" s="64"/>
      <c r="Q2403" s="69"/>
      <c r="R2403" s="69"/>
      <c r="S2403" s="69"/>
    </row>
    <row r="2404" s="2" customFormat="1" ht="24.95" customHeight="1" spans="1:19">
      <c r="A2404" s="15"/>
      <c r="B2404" s="55"/>
      <c r="C2404" s="56"/>
      <c r="D2404" s="68"/>
      <c r="E2404" s="69"/>
      <c r="F2404" s="69"/>
      <c r="G2404" s="65"/>
      <c r="H2404" s="65"/>
      <c r="I2404" s="70"/>
      <c r="J2404" s="71"/>
      <c r="K2404" s="71"/>
      <c r="L2404" s="72" t="str">
        <f>IFERROR(IF(G2404="","",VLOOKUP($G2404,[1]基础信息!$B:$C,2,FALSE)+SUMIF(G$8:G2404,G2404,J$8:J2404)-SUMIF(G$8:G2404,G2404,K$8:K2404)+SUMIFS([1]内部转账!$G:$G,[1]内部转账!$C:$C,"&lt;="&amp;$D2404,[1]内部转账!$E:$E,$G2404)-SUMIFS([1]内部转账!$G:$G,[1]内部转账!$C:$C,"&lt;="&amp;$D2404,[1]内部转账!$F:$F,$G2404)),"")</f>
        <v/>
      </c>
      <c r="M2404" s="64"/>
      <c r="N2404" s="69"/>
      <c r="O2404" s="64"/>
      <c r="P2404" s="64"/>
      <c r="Q2404" s="69"/>
      <c r="R2404" s="69"/>
      <c r="S2404" s="69"/>
    </row>
    <row r="2405" s="2" customFormat="1" ht="24.95" customHeight="1" spans="1:19">
      <c r="A2405" s="15"/>
      <c r="B2405" s="55"/>
      <c r="C2405" s="56"/>
      <c r="D2405" s="68"/>
      <c r="E2405" s="69"/>
      <c r="F2405" s="69"/>
      <c r="G2405" s="65"/>
      <c r="H2405" s="65"/>
      <c r="I2405" s="70"/>
      <c r="J2405" s="71"/>
      <c r="K2405" s="71"/>
      <c r="L2405" s="72" t="str">
        <f>IFERROR(IF(G2405="","",VLOOKUP($G2405,[1]基础信息!$B:$C,2,FALSE)+SUMIF(G$8:G2405,G2405,J$8:J2405)-SUMIF(G$8:G2405,G2405,K$8:K2405)+SUMIFS([1]内部转账!$G:$G,[1]内部转账!$C:$C,"&lt;="&amp;$D2405,[1]内部转账!$E:$E,$G2405)-SUMIFS([1]内部转账!$G:$G,[1]内部转账!$C:$C,"&lt;="&amp;$D2405,[1]内部转账!$F:$F,$G2405)),"")</f>
        <v/>
      </c>
      <c r="M2405" s="64"/>
      <c r="N2405" s="69"/>
      <c r="O2405" s="64"/>
      <c r="P2405" s="64"/>
      <c r="Q2405" s="69"/>
      <c r="R2405" s="69"/>
      <c r="S2405" s="69"/>
    </row>
    <row r="2406" s="2" customFormat="1" ht="24.95" customHeight="1" spans="1:19">
      <c r="A2406" s="15"/>
      <c r="B2406" s="55"/>
      <c r="C2406" s="56"/>
      <c r="D2406" s="68"/>
      <c r="E2406" s="69"/>
      <c r="F2406" s="69"/>
      <c r="G2406" s="65"/>
      <c r="H2406" s="65"/>
      <c r="I2406" s="70"/>
      <c r="J2406" s="71"/>
      <c r="K2406" s="71"/>
      <c r="L2406" s="72" t="str">
        <f>IFERROR(IF(G2406="","",VLOOKUP($G2406,[1]基础信息!$B:$C,2,FALSE)+SUMIF(G$8:G2406,G2406,J$8:J2406)-SUMIF(G$8:G2406,G2406,K$8:K2406)+SUMIFS([1]内部转账!$G:$G,[1]内部转账!$C:$C,"&lt;="&amp;$D2406,[1]内部转账!$E:$E,$G2406)-SUMIFS([1]内部转账!$G:$G,[1]内部转账!$C:$C,"&lt;="&amp;$D2406,[1]内部转账!$F:$F,$G2406)),"")</f>
        <v/>
      </c>
      <c r="M2406" s="64"/>
      <c r="N2406" s="69"/>
      <c r="O2406" s="64"/>
      <c r="P2406" s="64"/>
      <c r="Q2406" s="69"/>
      <c r="R2406" s="69"/>
      <c r="S2406" s="69"/>
    </row>
    <row r="2407" s="2" customFormat="1" ht="24.95" customHeight="1" spans="1:19">
      <c r="A2407" s="15"/>
      <c r="B2407" s="55"/>
      <c r="C2407" s="56"/>
      <c r="D2407" s="68"/>
      <c r="E2407" s="69"/>
      <c r="F2407" s="69"/>
      <c r="G2407" s="65"/>
      <c r="H2407" s="65"/>
      <c r="I2407" s="70"/>
      <c r="J2407" s="71"/>
      <c r="K2407" s="71"/>
      <c r="L2407" s="72" t="str">
        <f>IFERROR(IF(G2407="","",VLOOKUP($G2407,[1]基础信息!$B:$C,2,FALSE)+SUMIF(G$8:G2407,G2407,J$8:J2407)-SUMIF(G$8:G2407,G2407,K$8:K2407)+SUMIFS([1]内部转账!$G:$G,[1]内部转账!$C:$C,"&lt;="&amp;$D2407,[1]内部转账!$E:$E,$G2407)-SUMIFS([1]内部转账!$G:$G,[1]内部转账!$C:$C,"&lt;="&amp;$D2407,[1]内部转账!$F:$F,$G2407)),"")</f>
        <v/>
      </c>
      <c r="M2407" s="64"/>
      <c r="N2407" s="69"/>
      <c r="O2407" s="64"/>
      <c r="P2407" s="64"/>
      <c r="Q2407" s="69"/>
      <c r="R2407" s="69"/>
      <c r="S2407" s="69"/>
    </row>
    <row r="2408" s="2" customFormat="1" ht="24.95" customHeight="1" spans="1:19">
      <c r="A2408" s="15"/>
      <c r="B2408" s="55"/>
      <c r="C2408" s="56"/>
      <c r="D2408" s="68"/>
      <c r="E2408" s="69"/>
      <c r="F2408" s="69"/>
      <c r="G2408" s="65"/>
      <c r="H2408" s="65"/>
      <c r="I2408" s="70"/>
      <c r="J2408" s="71"/>
      <c r="K2408" s="71"/>
      <c r="L2408" s="72" t="str">
        <f>IFERROR(IF(G2408="","",VLOOKUP($G2408,[1]基础信息!$B:$C,2,FALSE)+SUMIF(G$8:G2408,G2408,J$8:J2408)-SUMIF(G$8:G2408,G2408,K$8:K2408)+SUMIFS([1]内部转账!$G:$G,[1]内部转账!$C:$C,"&lt;="&amp;$D2408,[1]内部转账!$E:$E,$G2408)-SUMIFS([1]内部转账!$G:$G,[1]内部转账!$C:$C,"&lt;="&amp;$D2408,[1]内部转账!$F:$F,$G2408)),"")</f>
        <v/>
      </c>
      <c r="M2408" s="64"/>
      <c r="N2408" s="69"/>
      <c r="O2408" s="64"/>
      <c r="P2408" s="64"/>
      <c r="Q2408" s="69"/>
      <c r="R2408" s="69"/>
      <c r="S2408" s="69"/>
    </row>
    <row r="2409" s="2" customFormat="1" ht="24.95" customHeight="1" spans="1:19">
      <c r="A2409" s="15"/>
      <c r="B2409" s="55"/>
      <c r="C2409" s="56"/>
      <c r="D2409" s="68"/>
      <c r="E2409" s="69"/>
      <c r="F2409" s="69"/>
      <c r="G2409" s="65"/>
      <c r="H2409" s="65"/>
      <c r="I2409" s="70"/>
      <c r="J2409" s="71"/>
      <c r="K2409" s="71"/>
      <c r="L2409" s="72" t="str">
        <f>IFERROR(IF(G2409="","",VLOOKUP($G2409,[1]基础信息!$B:$C,2,FALSE)+SUMIF(G$8:G2409,G2409,J$8:J2409)-SUMIF(G$8:G2409,G2409,K$8:K2409)+SUMIFS([1]内部转账!$G:$G,[1]内部转账!$C:$C,"&lt;="&amp;$D2409,[1]内部转账!$E:$E,$G2409)-SUMIFS([1]内部转账!$G:$G,[1]内部转账!$C:$C,"&lt;="&amp;$D2409,[1]内部转账!$F:$F,$G2409)),"")</f>
        <v/>
      </c>
      <c r="M2409" s="64"/>
      <c r="N2409" s="69"/>
      <c r="O2409" s="64"/>
      <c r="P2409" s="64"/>
      <c r="Q2409" s="69"/>
      <c r="R2409" s="69"/>
      <c r="S2409" s="69"/>
    </row>
    <row r="2410" s="2" customFormat="1" ht="24.95" customHeight="1" spans="1:19">
      <c r="A2410" s="15"/>
      <c r="B2410" s="55"/>
      <c r="C2410" s="56"/>
      <c r="D2410" s="68"/>
      <c r="E2410" s="69"/>
      <c r="F2410" s="69"/>
      <c r="G2410" s="65"/>
      <c r="H2410" s="65"/>
      <c r="I2410" s="70"/>
      <c r="J2410" s="71"/>
      <c r="K2410" s="71"/>
      <c r="L2410" s="72" t="str">
        <f>IFERROR(IF(G2410="","",VLOOKUP($G2410,[1]基础信息!$B:$C,2,FALSE)+SUMIF(G$8:G2410,G2410,J$8:J2410)-SUMIF(G$8:G2410,G2410,K$8:K2410)+SUMIFS([1]内部转账!$G:$G,[1]内部转账!$C:$C,"&lt;="&amp;$D2410,[1]内部转账!$E:$E,$G2410)-SUMIFS([1]内部转账!$G:$G,[1]内部转账!$C:$C,"&lt;="&amp;$D2410,[1]内部转账!$F:$F,$G2410)),"")</f>
        <v/>
      </c>
      <c r="M2410" s="64"/>
      <c r="N2410" s="69"/>
      <c r="O2410" s="64"/>
      <c r="P2410" s="64"/>
      <c r="Q2410" s="69"/>
      <c r="R2410" s="69"/>
      <c r="S2410" s="69"/>
    </row>
    <row r="2411" s="2" customFormat="1" ht="24.95" customHeight="1" spans="1:19">
      <c r="A2411" s="15"/>
      <c r="B2411" s="55"/>
      <c r="C2411" s="56"/>
      <c r="D2411" s="68"/>
      <c r="E2411" s="69"/>
      <c r="F2411" s="69"/>
      <c r="G2411" s="65"/>
      <c r="H2411" s="65"/>
      <c r="I2411" s="70"/>
      <c r="J2411" s="71"/>
      <c r="K2411" s="71"/>
      <c r="L2411" s="72" t="str">
        <f>IFERROR(IF(G2411="","",VLOOKUP($G2411,[1]基础信息!$B:$C,2,FALSE)+SUMIF(G$8:G2411,G2411,J$8:J2411)-SUMIF(G$8:G2411,G2411,K$8:K2411)+SUMIFS([1]内部转账!$G:$G,[1]内部转账!$C:$C,"&lt;="&amp;$D2411,[1]内部转账!$E:$E,$G2411)-SUMIFS([1]内部转账!$G:$G,[1]内部转账!$C:$C,"&lt;="&amp;$D2411,[1]内部转账!$F:$F,$G2411)),"")</f>
        <v/>
      </c>
      <c r="M2411" s="64"/>
      <c r="N2411" s="69"/>
      <c r="O2411" s="64"/>
      <c r="P2411" s="64"/>
      <c r="Q2411" s="69"/>
      <c r="R2411" s="69"/>
      <c r="S2411" s="69"/>
    </row>
    <row r="2412" s="2" customFormat="1" ht="24.95" customHeight="1" spans="1:19">
      <c r="A2412" s="15"/>
      <c r="B2412" s="55"/>
      <c r="C2412" s="56"/>
      <c r="D2412" s="68"/>
      <c r="E2412" s="69"/>
      <c r="F2412" s="69"/>
      <c r="G2412" s="65"/>
      <c r="H2412" s="65"/>
      <c r="I2412" s="70"/>
      <c r="J2412" s="71"/>
      <c r="K2412" s="71"/>
      <c r="L2412" s="72" t="str">
        <f>IFERROR(IF(G2412="","",VLOOKUP($G2412,[1]基础信息!$B:$C,2,FALSE)+SUMIF(G$8:G2412,G2412,J$8:J2412)-SUMIF(G$8:G2412,G2412,K$8:K2412)+SUMIFS([1]内部转账!$G:$G,[1]内部转账!$C:$C,"&lt;="&amp;$D2412,[1]内部转账!$E:$E,$G2412)-SUMIFS([1]内部转账!$G:$G,[1]内部转账!$C:$C,"&lt;="&amp;$D2412,[1]内部转账!$F:$F,$G2412)),"")</f>
        <v/>
      </c>
      <c r="M2412" s="64"/>
      <c r="N2412" s="69"/>
      <c r="O2412" s="64"/>
      <c r="P2412" s="64"/>
      <c r="Q2412" s="69"/>
      <c r="R2412" s="69"/>
      <c r="S2412" s="69"/>
    </row>
    <row r="2413" s="2" customFormat="1" ht="24.95" customHeight="1" spans="1:19">
      <c r="A2413" s="15"/>
      <c r="B2413" s="55"/>
      <c r="C2413" s="56"/>
      <c r="D2413" s="68"/>
      <c r="E2413" s="69"/>
      <c r="F2413" s="69"/>
      <c r="G2413" s="65"/>
      <c r="H2413" s="65"/>
      <c r="I2413" s="70"/>
      <c r="J2413" s="71"/>
      <c r="K2413" s="71"/>
      <c r="L2413" s="72" t="str">
        <f>IFERROR(IF(G2413="","",VLOOKUP($G2413,[1]基础信息!$B:$C,2,FALSE)+SUMIF(G$8:G2413,G2413,J$8:J2413)-SUMIF(G$8:G2413,G2413,K$8:K2413)+SUMIFS([1]内部转账!$G:$G,[1]内部转账!$C:$C,"&lt;="&amp;$D2413,[1]内部转账!$E:$E,$G2413)-SUMIFS([1]内部转账!$G:$G,[1]内部转账!$C:$C,"&lt;="&amp;$D2413,[1]内部转账!$F:$F,$G2413)),"")</f>
        <v/>
      </c>
      <c r="M2413" s="64"/>
      <c r="N2413" s="69"/>
      <c r="O2413" s="64"/>
      <c r="P2413" s="64"/>
      <c r="Q2413" s="69"/>
      <c r="R2413" s="69"/>
      <c r="S2413" s="69"/>
    </row>
    <row r="2414" s="2" customFormat="1" ht="24.95" customHeight="1" spans="1:19">
      <c r="A2414" s="15"/>
      <c r="B2414" s="55"/>
      <c r="C2414" s="56"/>
      <c r="D2414" s="68"/>
      <c r="E2414" s="69"/>
      <c r="F2414" s="69"/>
      <c r="G2414" s="65"/>
      <c r="H2414" s="65"/>
      <c r="I2414" s="70"/>
      <c r="J2414" s="71"/>
      <c r="K2414" s="71"/>
      <c r="L2414" s="72" t="str">
        <f>IFERROR(IF(G2414="","",VLOOKUP($G2414,[1]基础信息!$B:$C,2,FALSE)+SUMIF(G$8:G2414,G2414,J$8:J2414)-SUMIF(G$8:G2414,G2414,K$8:K2414)+SUMIFS([1]内部转账!$G:$G,[1]内部转账!$C:$C,"&lt;="&amp;$D2414,[1]内部转账!$E:$E,$G2414)-SUMIFS([1]内部转账!$G:$G,[1]内部转账!$C:$C,"&lt;="&amp;$D2414,[1]内部转账!$F:$F,$G2414)),"")</f>
        <v/>
      </c>
      <c r="M2414" s="64"/>
      <c r="N2414" s="69"/>
      <c r="O2414" s="64"/>
      <c r="P2414" s="64"/>
      <c r="Q2414" s="69"/>
      <c r="R2414" s="69"/>
      <c r="S2414" s="69"/>
    </row>
    <row r="2415" s="2" customFormat="1" ht="24.95" customHeight="1" spans="1:19">
      <c r="A2415" s="15"/>
      <c r="B2415" s="55"/>
      <c r="C2415" s="56"/>
      <c r="D2415" s="68"/>
      <c r="E2415" s="69"/>
      <c r="F2415" s="69"/>
      <c r="G2415" s="65"/>
      <c r="H2415" s="65"/>
      <c r="I2415" s="70"/>
      <c r="J2415" s="71"/>
      <c r="K2415" s="71"/>
      <c r="L2415" s="72" t="str">
        <f>IFERROR(IF(G2415="","",VLOOKUP($G2415,[1]基础信息!$B:$C,2,FALSE)+SUMIF(G$8:G2415,G2415,J$8:J2415)-SUMIF(G$8:G2415,G2415,K$8:K2415)+SUMIFS([1]内部转账!$G:$G,[1]内部转账!$C:$C,"&lt;="&amp;$D2415,[1]内部转账!$E:$E,$G2415)-SUMIFS([1]内部转账!$G:$G,[1]内部转账!$C:$C,"&lt;="&amp;$D2415,[1]内部转账!$F:$F,$G2415)),"")</f>
        <v/>
      </c>
      <c r="M2415" s="64"/>
      <c r="N2415" s="69"/>
      <c r="O2415" s="64"/>
      <c r="P2415" s="64"/>
      <c r="Q2415" s="69"/>
      <c r="R2415" s="69"/>
      <c r="S2415" s="69"/>
    </row>
    <row r="2416" s="2" customFormat="1" ht="24.95" customHeight="1" spans="1:19">
      <c r="A2416" s="15"/>
      <c r="B2416" s="55"/>
      <c r="C2416" s="56"/>
      <c r="D2416" s="68"/>
      <c r="E2416" s="69"/>
      <c r="F2416" s="69"/>
      <c r="G2416" s="65"/>
      <c r="H2416" s="65"/>
      <c r="I2416" s="70"/>
      <c r="J2416" s="71"/>
      <c r="K2416" s="71"/>
      <c r="L2416" s="72" t="str">
        <f>IFERROR(IF(G2416="","",VLOOKUP($G2416,[1]基础信息!$B:$C,2,FALSE)+SUMIF(G$8:G2416,G2416,J$8:J2416)-SUMIF(G$8:G2416,G2416,K$8:K2416)+SUMIFS([1]内部转账!$G:$G,[1]内部转账!$C:$C,"&lt;="&amp;$D2416,[1]内部转账!$E:$E,$G2416)-SUMIFS([1]内部转账!$G:$G,[1]内部转账!$C:$C,"&lt;="&amp;$D2416,[1]内部转账!$F:$F,$G2416)),"")</f>
        <v/>
      </c>
      <c r="M2416" s="64"/>
      <c r="N2416" s="69"/>
      <c r="O2416" s="64"/>
      <c r="P2416" s="64"/>
      <c r="Q2416" s="69"/>
      <c r="R2416" s="69"/>
      <c r="S2416" s="69"/>
    </row>
    <row r="2417" s="2" customFormat="1" ht="24.95" customHeight="1" spans="1:19">
      <c r="A2417" s="15"/>
      <c r="B2417" s="55"/>
      <c r="C2417" s="56"/>
      <c r="D2417" s="68"/>
      <c r="E2417" s="69"/>
      <c r="F2417" s="69"/>
      <c r="G2417" s="65"/>
      <c r="H2417" s="65"/>
      <c r="I2417" s="70"/>
      <c r="J2417" s="71"/>
      <c r="K2417" s="71"/>
      <c r="L2417" s="72" t="str">
        <f>IFERROR(IF(G2417="","",VLOOKUP($G2417,[1]基础信息!$B:$C,2,FALSE)+SUMIF(G$8:G2417,G2417,J$8:J2417)-SUMIF(G$8:G2417,G2417,K$8:K2417)+SUMIFS([1]内部转账!$G:$G,[1]内部转账!$C:$C,"&lt;="&amp;$D2417,[1]内部转账!$E:$E,$G2417)-SUMIFS([1]内部转账!$G:$G,[1]内部转账!$C:$C,"&lt;="&amp;$D2417,[1]内部转账!$F:$F,$G2417)),"")</f>
        <v/>
      </c>
      <c r="M2417" s="64"/>
      <c r="N2417" s="69"/>
      <c r="O2417" s="64"/>
      <c r="P2417" s="64"/>
      <c r="Q2417" s="69"/>
      <c r="R2417" s="69"/>
      <c r="S2417" s="69"/>
    </row>
    <row r="2418" s="2" customFormat="1" ht="24.95" customHeight="1" spans="1:19">
      <c r="A2418" s="15"/>
      <c r="B2418" s="55"/>
      <c r="C2418" s="56"/>
      <c r="D2418" s="68"/>
      <c r="E2418" s="69"/>
      <c r="F2418" s="69"/>
      <c r="G2418" s="65"/>
      <c r="H2418" s="65"/>
      <c r="I2418" s="70"/>
      <c r="J2418" s="71"/>
      <c r="K2418" s="71"/>
      <c r="L2418" s="72" t="str">
        <f>IFERROR(IF(G2418="","",VLOOKUP($G2418,[1]基础信息!$B:$C,2,FALSE)+SUMIF(G$8:G2418,G2418,J$8:J2418)-SUMIF(G$8:G2418,G2418,K$8:K2418)+SUMIFS([1]内部转账!$G:$G,[1]内部转账!$C:$C,"&lt;="&amp;$D2418,[1]内部转账!$E:$E,$G2418)-SUMIFS([1]内部转账!$G:$G,[1]内部转账!$C:$C,"&lt;="&amp;$D2418,[1]内部转账!$F:$F,$G2418)),"")</f>
        <v/>
      </c>
      <c r="M2418" s="64"/>
      <c r="N2418" s="69"/>
      <c r="O2418" s="64"/>
      <c r="P2418" s="64"/>
      <c r="Q2418" s="69"/>
      <c r="R2418" s="69"/>
      <c r="S2418" s="69"/>
    </row>
    <row r="2419" s="2" customFormat="1" ht="24.95" customHeight="1" spans="1:19">
      <c r="A2419" s="15"/>
      <c r="B2419" s="55"/>
      <c r="C2419" s="56"/>
      <c r="D2419" s="68"/>
      <c r="E2419" s="69"/>
      <c r="F2419" s="69"/>
      <c r="G2419" s="65"/>
      <c r="H2419" s="65"/>
      <c r="I2419" s="70"/>
      <c r="J2419" s="71"/>
      <c r="K2419" s="71"/>
      <c r="L2419" s="72" t="str">
        <f>IFERROR(IF(G2419="","",VLOOKUP($G2419,[1]基础信息!$B:$C,2,FALSE)+SUMIF(G$8:G2419,G2419,J$8:J2419)-SUMIF(G$8:G2419,G2419,K$8:K2419)+SUMIFS([1]内部转账!$G:$G,[1]内部转账!$C:$C,"&lt;="&amp;$D2419,[1]内部转账!$E:$E,$G2419)-SUMIFS([1]内部转账!$G:$G,[1]内部转账!$C:$C,"&lt;="&amp;$D2419,[1]内部转账!$F:$F,$G2419)),"")</f>
        <v/>
      </c>
      <c r="M2419" s="64"/>
      <c r="N2419" s="69"/>
      <c r="O2419" s="64"/>
      <c r="P2419" s="64"/>
      <c r="Q2419" s="69"/>
      <c r="R2419" s="69"/>
      <c r="S2419" s="69"/>
    </row>
    <row r="2420" s="2" customFormat="1" ht="24.95" customHeight="1" spans="1:19">
      <c r="A2420" s="15"/>
      <c r="B2420" s="55"/>
      <c r="C2420" s="56"/>
      <c r="D2420" s="68"/>
      <c r="E2420" s="69"/>
      <c r="F2420" s="69"/>
      <c r="G2420" s="65"/>
      <c r="H2420" s="65"/>
      <c r="I2420" s="70"/>
      <c r="J2420" s="71"/>
      <c r="K2420" s="71"/>
      <c r="L2420" s="72" t="str">
        <f>IFERROR(IF(G2420="","",VLOOKUP($G2420,[1]基础信息!$B:$C,2,FALSE)+SUMIF(G$8:G2420,G2420,J$8:J2420)-SUMIF(G$8:G2420,G2420,K$8:K2420)+SUMIFS([1]内部转账!$G:$G,[1]内部转账!$C:$C,"&lt;="&amp;$D2420,[1]内部转账!$E:$E,$G2420)-SUMIFS([1]内部转账!$G:$G,[1]内部转账!$C:$C,"&lt;="&amp;$D2420,[1]内部转账!$F:$F,$G2420)),"")</f>
        <v/>
      </c>
      <c r="M2420" s="64"/>
      <c r="N2420" s="69"/>
      <c r="O2420" s="64"/>
      <c r="P2420" s="64"/>
      <c r="Q2420" s="69"/>
      <c r="R2420" s="69"/>
      <c r="S2420" s="69"/>
    </row>
    <row r="2421" s="2" customFormat="1" ht="24.95" customHeight="1" spans="1:19">
      <c r="A2421" s="15"/>
      <c r="B2421" s="55"/>
      <c r="C2421" s="56"/>
      <c r="D2421" s="68"/>
      <c r="E2421" s="69"/>
      <c r="F2421" s="69"/>
      <c r="G2421" s="65"/>
      <c r="H2421" s="65"/>
      <c r="I2421" s="70"/>
      <c r="J2421" s="71"/>
      <c r="K2421" s="71"/>
      <c r="L2421" s="72" t="str">
        <f>IFERROR(IF(G2421="","",VLOOKUP($G2421,[1]基础信息!$B:$C,2,FALSE)+SUMIF(G$8:G2421,G2421,J$8:J2421)-SUMIF(G$8:G2421,G2421,K$8:K2421)+SUMIFS([1]内部转账!$G:$G,[1]内部转账!$C:$C,"&lt;="&amp;$D2421,[1]内部转账!$E:$E,$G2421)-SUMIFS([1]内部转账!$G:$G,[1]内部转账!$C:$C,"&lt;="&amp;$D2421,[1]内部转账!$F:$F,$G2421)),"")</f>
        <v/>
      </c>
      <c r="M2421" s="64"/>
      <c r="N2421" s="69"/>
      <c r="O2421" s="64"/>
      <c r="P2421" s="64"/>
      <c r="Q2421" s="69"/>
      <c r="R2421" s="69"/>
      <c r="S2421" s="69"/>
    </row>
    <row r="2422" s="2" customFormat="1" ht="24.95" customHeight="1" spans="1:19">
      <c r="A2422" s="15"/>
      <c r="B2422" s="55"/>
      <c r="C2422" s="56"/>
      <c r="D2422" s="68"/>
      <c r="E2422" s="69"/>
      <c r="F2422" s="69"/>
      <c r="G2422" s="65"/>
      <c r="H2422" s="65"/>
      <c r="I2422" s="70"/>
      <c r="J2422" s="71"/>
      <c r="K2422" s="71"/>
      <c r="L2422" s="72" t="str">
        <f>IFERROR(IF(G2422="","",VLOOKUP($G2422,[1]基础信息!$B:$C,2,FALSE)+SUMIF(G$8:G2422,G2422,J$8:J2422)-SUMIF(G$8:G2422,G2422,K$8:K2422)+SUMIFS([1]内部转账!$G:$G,[1]内部转账!$C:$C,"&lt;="&amp;$D2422,[1]内部转账!$E:$E,$G2422)-SUMIFS([1]内部转账!$G:$G,[1]内部转账!$C:$C,"&lt;="&amp;$D2422,[1]内部转账!$F:$F,$G2422)),"")</f>
        <v/>
      </c>
      <c r="M2422" s="64"/>
      <c r="N2422" s="69"/>
      <c r="O2422" s="64"/>
      <c r="P2422" s="64"/>
      <c r="Q2422" s="69"/>
      <c r="R2422" s="69"/>
      <c r="S2422" s="69"/>
    </row>
    <row r="2423" s="2" customFormat="1" ht="24.95" customHeight="1" spans="1:19">
      <c r="A2423" s="15"/>
      <c r="B2423" s="55"/>
      <c r="C2423" s="56"/>
      <c r="D2423" s="68"/>
      <c r="E2423" s="69"/>
      <c r="F2423" s="69"/>
      <c r="G2423" s="65"/>
      <c r="H2423" s="65"/>
      <c r="I2423" s="70"/>
      <c r="J2423" s="71"/>
      <c r="K2423" s="71"/>
      <c r="L2423" s="72" t="str">
        <f>IFERROR(IF(G2423="","",VLOOKUP($G2423,[1]基础信息!$B:$C,2,FALSE)+SUMIF(G$8:G2423,G2423,J$8:J2423)-SUMIF(G$8:G2423,G2423,K$8:K2423)+SUMIFS([1]内部转账!$G:$G,[1]内部转账!$C:$C,"&lt;="&amp;$D2423,[1]内部转账!$E:$E,$G2423)-SUMIFS([1]内部转账!$G:$G,[1]内部转账!$C:$C,"&lt;="&amp;$D2423,[1]内部转账!$F:$F,$G2423)),"")</f>
        <v/>
      </c>
      <c r="M2423" s="64"/>
      <c r="N2423" s="69"/>
      <c r="O2423" s="64"/>
      <c r="P2423" s="64"/>
      <c r="Q2423" s="69"/>
      <c r="R2423" s="69"/>
      <c r="S2423" s="69"/>
    </row>
    <row r="2424" s="2" customFormat="1" ht="24.95" customHeight="1" spans="1:19">
      <c r="A2424" s="15"/>
      <c r="B2424" s="55"/>
      <c r="C2424" s="56"/>
      <c r="D2424" s="68"/>
      <c r="E2424" s="69"/>
      <c r="F2424" s="69"/>
      <c r="G2424" s="65"/>
      <c r="H2424" s="65"/>
      <c r="I2424" s="70"/>
      <c r="J2424" s="71"/>
      <c r="K2424" s="71"/>
      <c r="L2424" s="72" t="str">
        <f>IFERROR(IF(G2424="","",VLOOKUP($G2424,[1]基础信息!$B:$C,2,FALSE)+SUMIF(G$8:G2424,G2424,J$8:J2424)-SUMIF(G$8:G2424,G2424,K$8:K2424)+SUMIFS([1]内部转账!$G:$G,[1]内部转账!$C:$C,"&lt;="&amp;$D2424,[1]内部转账!$E:$E,$G2424)-SUMIFS([1]内部转账!$G:$G,[1]内部转账!$C:$C,"&lt;="&amp;$D2424,[1]内部转账!$F:$F,$G2424)),"")</f>
        <v/>
      </c>
      <c r="M2424" s="64"/>
      <c r="N2424" s="69"/>
      <c r="O2424" s="64"/>
      <c r="P2424" s="64"/>
      <c r="Q2424" s="69"/>
      <c r="R2424" s="69"/>
      <c r="S2424" s="69"/>
    </row>
    <row r="2425" s="2" customFormat="1" ht="24.95" customHeight="1" spans="1:19">
      <c r="A2425" s="15"/>
      <c r="B2425" s="55"/>
      <c r="C2425" s="56"/>
      <c r="D2425" s="68"/>
      <c r="E2425" s="69"/>
      <c r="F2425" s="69"/>
      <c r="G2425" s="65"/>
      <c r="H2425" s="65"/>
      <c r="I2425" s="70"/>
      <c r="J2425" s="71"/>
      <c r="K2425" s="71"/>
      <c r="L2425" s="72" t="str">
        <f>IFERROR(IF(G2425="","",VLOOKUP($G2425,[1]基础信息!$B:$C,2,FALSE)+SUMIF(G$8:G2425,G2425,J$8:J2425)-SUMIF(G$8:G2425,G2425,K$8:K2425)+SUMIFS([1]内部转账!$G:$G,[1]内部转账!$C:$C,"&lt;="&amp;$D2425,[1]内部转账!$E:$E,$G2425)-SUMIFS([1]内部转账!$G:$G,[1]内部转账!$C:$C,"&lt;="&amp;$D2425,[1]内部转账!$F:$F,$G2425)),"")</f>
        <v/>
      </c>
      <c r="M2425" s="64"/>
      <c r="N2425" s="69"/>
      <c r="O2425" s="64"/>
      <c r="P2425" s="64"/>
      <c r="Q2425" s="69"/>
      <c r="R2425" s="69"/>
      <c r="S2425" s="69"/>
    </row>
    <row r="2426" s="2" customFormat="1" ht="24.95" customHeight="1" spans="1:19">
      <c r="A2426" s="15"/>
      <c r="B2426" s="55"/>
      <c r="C2426" s="56"/>
      <c r="D2426" s="68"/>
      <c r="E2426" s="69"/>
      <c r="F2426" s="69"/>
      <c r="G2426" s="65"/>
      <c r="H2426" s="65"/>
      <c r="I2426" s="70"/>
      <c r="J2426" s="71"/>
      <c r="K2426" s="71"/>
      <c r="L2426" s="72" t="str">
        <f>IFERROR(IF(G2426="","",VLOOKUP($G2426,[1]基础信息!$B:$C,2,FALSE)+SUMIF(G$8:G2426,G2426,J$8:J2426)-SUMIF(G$8:G2426,G2426,K$8:K2426)+SUMIFS([1]内部转账!$G:$G,[1]内部转账!$C:$C,"&lt;="&amp;$D2426,[1]内部转账!$E:$E,$G2426)-SUMIFS([1]内部转账!$G:$G,[1]内部转账!$C:$C,"&lt;="&amp;$D2426,[1]内部转账!$F:$F,$G2426)),"")</f>
        <v/>
      </c>
      <c r="M2426" s="64"/>
      <c r="N2426" s="69"/>
      <c r="O2426" s="64"/>
      <c r="P2426" s="64"/>
      <c r="Q2426" s="69"/>
      <c r="R2426" s="69"/>
      <c r="S2426" s="69"/>
    </row>
    <row r="2427" s="2" customFormat="1" ht="24.95" customHeight="1" spans="1:19">
      <c r="A2427" s="15"/>
      <c r="B2427" s="55"/>
      <c r="C2427" s="56"/>
      <c r="D2427" s="68"/>
      <c r="E2427" s="69"/>
      <c r="F2427" s="69"/>
      <c r="G2427" s="65"/>
      <c r="H2427" s="65"/>
      <c r="I2427" s="70"/>
      <c r="J2427" s="71"/>
      <c r="K2427" s="71"/>
      <c r="L2427" s="72" t="str">
        <f>IFERROR(IF(G2427="","",VLOOKUP($G2427,[1]基础信息!$B:$C,2,FALSE)+SUMIF(G$8:G2427,G2427,J$8:J2427)-SUMIF(G$8:G2427,G2427,K$8:K2427)+SUMIFS([1]内部转账!$G:$G,[1]内部转账!$C:$C,"&lt;="&amp;$D2427,[1]内部转账!$E:$E,$G2427)-SUMIFS([1]内部转账!$G:$G,[1]内部转账!$C:$C,"&lt;="&amp;$D2427,[1]内部转账!$F:$F,$G2427)),"")</f>
        <v/>
      </c>
      <c r="M2427" s="64"/>
      <c r="N2427" s="69"/>
      <c r="O2427" s="64"/>
      <c r="P2427" s="64"/>
      <c r="Q2427" s="69"/>
      <c r="R2427" s="69"/>
      <c r="S2427" s="69"/>
    </row>
    <row r="2428" s="2" customFormat="1" ht="24.95" customHeight="1" spans="1:19">
      <c r="A2428" s="15"/>
      <c r="B2428" s="55"/>
      <c r="C2428" s="56"/>
      <c r="D2428" s="68"/>
      <c r="E2428" s="69"/>
      <c r="F2428" s="69"/>
      <c r="G2428" s="65"/>
      <c r="H2428" s="65"/>
      <c r="I2428" s="70"/>
      <c r="J2428" s="71"/>
      <c r="K2428" s="71"/>
      <c r="L2428" s="72" t="str">
        <f>IFERROR(IF(G2428="","",VLOOKUP($G2428,[1]基础信息!$B:$C,2,FALSE)+SUMIF(G$8:G2428,G2428,J$8:J2428)-SUMIF(G$8:G2428,G2428,K$8:K2428)+SUMIFS([1]内部转账!$G:$G,[1]内部转账!$C:$C,"&lt;="&amp;$D2428,[1]内部转账!$E:$E,$G2428)-SUMIFS([1]内部转账!$G:$G,[1]内部转账!$C:$C,"&lt;="&amp;$D2428,[1]内部转账!$F:$F,$G2428)),"")</f>
        <v/>
      </c>
      <c r="M2428" s="64"/>
      <c r="N2428" s="69"/>
      <c r="O2428" s="64"/>
      <c r="P2428" s="64"/>
      <c r="Q2428" s="69"/>
      <c r="R2428" s="69"/>
      <c r="S2428" s="69"/>
    </row>
    <row r="2429" s="2" customFormat="1" ht="24.95" customHeight="1" spans="1:19">
      <c r="A2429" s="15"/>
      <c r="B2429" s="55"/>
      <c r="C2429" s="56"/>
      <c r="D2429" s="68"/>
      <c r="E2429" s="69"/>
      <c r="F2429" s="69"/>
      <c r="G2429" s="65"/>
      <c r="H2429" s="65"/>
      <c r="I2429" s="70"/>
      <c r="J2429" s="71"/>
      <c r="K2429" s="71"/>
      <c r="L2429" s="72" t="str">
        <f>IFERROR(IF(G2429="","",VLOOKUP($G2429,[1]基础信息!$B:$C,2,FALSE)+SUMIF(G$8:G2429,G2429,J$8:J2429)-SUMIF(G$8:G2429,G2429,K$8:K2429)+SUMIFS([1]内部转账!$G:$G,[1]内部转账!$C:$C,"&lt;="&amp;$D2429,[1]内部转账!$E:$E,$G2429)-SUMIFS([1]内部转账!$G:$G,[1]内部转账!$C:$C,"&lt;="&amp;$D2429,[1]内部转账!$F:$F,$G2429)),"")</f>
        <v/>
      </c>
      <c r="M2429" s="64"/>
      <c r="N2429" s="69"/>
      <c r="O2429" s="64"/>
      <c r="P2429" s="64"/>
      <c r="Q2429" s="69"/>
      <c r="R2429" s="69"/>
      <c r="S2429" s="69"/>
    </row>
    <row r="2430" s="2" customFormat="1" ht="24.95" customHeight="1" spans="1:19">
      <c r="A2430" s="15"/>
      <c r="B2430" s="55"/>
      <c r="C2430" s="56"/>
      <c r="D2430" s="68"/>
      <c r="E2430" s="69"/>
      <c r="F2430" s="69"/>
      <c r="G2430" s="65"/>
      <c r="H2430" s="65"/>
      <c r="I2430" s="70"/>
      <c r="J2430" s="71"/>
      <c r="K2430" s="71"/>
      <c r="L2430" s="72" t="str">
        <f>IFERROR(IF(G2430="","",VLOOKUP($G2430,[1]基础信息!$B:$C,2,FALSE)+SUMIF(G$8:G2430,G2430,J$8:J2430)-SUMIF(G$8:G2430,G2430,K$8:K2430)+SUMIFS([1]内部转账!$G:$G,[1]内部转账!$C:$C,"&lt;="&amp;$D2430,[1]内部转账!$E:$E,$G2430)-SUMIFS([1]内部转账!$G:$G,[1]内部转账!$C:$C,"&lt;="&amp;$D2430,[1]内部转账!$F:$F,$G2430)),"")</f>
        <v/>
      </c>
      <c r="M2430" s="64"/>
      <c r="N2430" s="69"/>
      <c r="O2430" s="64"/>
      <c r="P2430" s="64"/>
      <c r="Q2430" s="69"/>
      <c r="R2430" s="69"/>
      <c r="S2430" s="69"/>
    </row>
    <row r="2431" s="2" customFormat="1" ht="24.95" customHeight="1" spans="1:19">
      <c r="A2431" s="15"/>
      <c r="B2431" s="55"/>
      <c r="C2431" s="56"/>
      <c r="D2431" s="68"/>
      <c r="E2431" s="69"/>
      <c r="F2431" s="69"/>
      <c r="G2431" s="65"/>
      <c r="H2431" s="65"/>
      <c r="I2431" s="70"/>
      <c r="J2431" s="71"/>
      <c r="K2431" s="71"/>
      <c r="L2431" s="72" t="str">
        <f>IFERROR(IF(G2431="","",VLOOKUP($G2431,[1]基础信息!$B:$C,2,FALSE)+SUMIF(G$8:G2431,G2431,J$8:J2431)-SUMIF(G$8:G2431,G2431,K$8:K2431)+SUMIFS([1]内部转账!$G:$G,[1]内部转账!$C:$C,"&lt;="&amp;$D2431,[1]内部转账!$E:$E,$G2431)-SUMIFS([1]内部转账!$G:$G,[1]内部转账!$C:$C,"&lt;="&amp;$D2431,[1]内部转账!$F:$F,$G2431)),"")</f>
        <v/>
      </c>
      <c r="M2431" s="64"/>
      <c r="N2431" s="69"/>
      <c r="O2431" s="64"/>
      <c r="P2431" s="64"/>
      <c r="Q2431" s="69"/>
      <c r="R2431" s="69"/>
      <c r="S2431" s="69"/>
    </row>
    <row r="2432" s="2" customFormat="1" ht="24.95" customHeight="1" spans="1:19">
      <c r="A2432" s="15"/>
      <c r="B2432" s="55"/>
      <c r="C2432" s="56"/>
      <c r="D2432" s="68"/>
      <c r="E2432" s="69"/>
      <c r="F2432" s="69"/>
      <c r="G2432" s="65"/>
      <c r="H2432" s="65"/>
      <c r="I2432" s="70"/>
      <c r="J2432" s="71"/>
      <c r="K2432" s="71"/>
      <c r="L2432" s="72" t="str">
        <f>IFERROR(IF(G2432="","",VLOOKUP($G2432,[1]基础信息!$B:$C,2,FALSE)+SUMIF(G$8:G2432,G2432,J$8:J2432)-SUMIF(G$8:G2432,G2432,K$8:K2432)+SUMIFS([1]内部转账!$G:$G,[1]内部转账!$C:$C,"&lt;="&amp;$D2432,[1]内部转账!$E:$E,$G2432)-SUMIFS([1]内部转账!$G:$G,[1]内部转账!$C:$C,"&lt;="&amp;$D2432,[1]内部转账!$F:$F,$G2432)),"")</f>
        <v/>
      </c>
      <c r="M2432" s="64"/>
      <c r="N2432" s="69"/>
      <c r="O2432" s="64"/>
      <c r="P2432" s="64"/>
      <c r="Q2432" s="69"/>
      <c r="R2432" s="69"/>
      <c r="S2432" s="69"/>
    </row>
    <row r="2433" s="2" customFormat="1" ht="24.95" customHeight="1" spans="1:19">
      <c r="A2433" s="15"/>
      <c r="B2433" s="55"/>
      <c r="C2433" s="56"/>
      <c r="D2433" s="68"/>
      <c r="E2433" s="69"/>
      <c r="F2433" s="69"/>
      <c r="G2433" s="65"/>
      <c r="H2433" s="65"/>
      <c r="I2433" s="70"/>
      <c r="J2433" s="71"/>
      <c r="K2433" s="71"/>
      <c r="L2433" s="72" t="str">
        <f>IFERROR(IF(G2433="","",VLOOKUP($G2433,[1]基础信息!$B:$C,2,FALSE)+SUMIF(G$8:G2433,G2433,J$8:J2433)-SUMIF(G$8:G2433,G2433,K$8:K2433)+SUMIFS([1]内部转账!$G:$G,[1]内部转账!$C:$C,"&lt;="&amp;$D2433,[1]内部转账!$E:$E,$G2433)-SUMIFS([1]内部转账!$G:$G,[1]内部转账!$C:$C,"&lt;="&amp;$D2433,[1]内部转账!$F:$F,$G2433)),"")</f>
        <v/>
      </c>
      <c r="M2433" s="64"/>
      <c r="N2433" s="69"/>
      <c r="O2433" s="64"/>
      <c r="P2433" s="64"/>
      <c r="Q2433" s="69"/>
      <c r="R2433" s="69"/>
      <c r="S2433" s="69"/>
    </row>
    <row r="2434" s="2" customFormat="1" ht="24.95" customHeight="1" spans="1:19">
      <c r="A2434" s="15"/>
      <c r="B2434" s="55"/>
      <c r="C2434" s="56"/>
      <c r="D2434" s="68"/>
      <c r="E2434" s="69"/>
      <c r="F2434" s="69"/>
      <c r="G2434" s="65"/>
      <c r="H2434" s="65"/>
      <c r="I2434" s="70"/>
      <c r="J2434" s="71"/>
      <c r="K2434" s="71"/>
      <c r="L2434" s="72" t="str">
        <f>IFERROR(IF(G2434="","",VLOOKUP($G2434,[1]基础信息!$B:$C,2,FALSE)+SUMIF(G$8:G2434,G2434,J$8:J2434)-SUMIF(G$8:G2434,G2434,K$8:K2434)+SUMIFS([1]内部转账!$G:$G,[1]内部转账!$C:$C,"&lt;="&amp;$D2434,[1]内部转账!$E:$E,$G2434)-SUMIFS([1]内部转账!$G:$G,[1]内部转账!$C:$C,"&lt;="&amp;$D2434,[1]内部转账!$F:$F,$G2434)),"")</f>
        <v/>
      </c>
      <c r="M2434" s="64"/>
      <c r="N2434" s="69"/>
      <c r="O2434" s="64"/>
      <c r="P2434" s="64"/>
      <c r="Q2434" s="69"/>
      <c r="R2434" s="69"/>
      <c r="S2434" s="69"/>
    </row>
    <row r="2435" s="2" customFormat="1" ht="24.95" customHeight="1" spans="1:19">
      <c r="A2435" s="15"/>
      <c r="B2435" s="55"/>
      <c r="C2435" s="56"/>
      <c r="D2435" s="68"/>
      <c r="E2435" s="69"/>
      <c r="F2435" s="69"/>
      <c r="G2435" s="65"/>
      <c r="H2435" s="65"/>
      <c r="I2435" s="70"/>
      <c r="J2435" s="71"/>
      <c r="K2435" s="71"/>
      <c r="L2435" s="72" t="str">
        <f>IFERROR(IF(G2435="","",VLOOKUP($G2435,[1]基础信息!$B:$C,2,FALSE)+SUMIF(G$8:G2435,G2435,J$8:J2435)-SUMIF(G$8:G2435,G2435,K$8:K2435)+SUMIFS([1]内部转账!$G:$G,[1]内部转账!$C:$C,"&lt;="&amp;$D2435,[1]内部转账!$E:$E,$G2435)-SUMIFS([1]内部转账!$G:$G,[1]内部转账!$C:$C,"&lt;="&amp;$D2435,[1]内部转账!$F:$F,$G2435)),"")</f>
        <v/>
      </c>
      <c r="M2435" s="64"/>
      <c r="N2435" s="69"/>
      <c r="O2435" s="64"/>
      <c r="P2435" s="64"/>
      <c r="Q2435" s="69"/>
      <c r="R2435" s="69"/>
      <c r="S2435" s="69"/>
    </row>
    <row r="2436" s="2" customFormat="1" ht="24.95" customHeight="1" spans="1:19">
      <c r="A2436" s="15"/>
      <c r="B2436" s="55"/>
      <c r="C2436" s="56"/>
      <c r="D2436" s="68"/>
      <c r="E2436" s="69"/>
      <c r="F2436" s="69"/>
      <c r="G2436" s="65"/>
      <c r="H2436" s="65"/>
      <c r="I2436" s="70"/>
      <c r="J2436" s="71"/>
      <c r="K2436" s="71"/>
      <c r="L2436" s="72" t="str">
        <f>IFERROR(IF(G2436="","",VLOOKUP($G2436,[1]基础信息!$B:$C,2,FALSE)+SUMIF(G$8:G2436,G2436,J$8:J2436)-SUMIF(G$8:G2436,G2436,K$8:K2436)+SUMIFS([1]内部转账!$G:$G,[1]内部转账!$C:$C,"&lt;="&amp;$D2436,[1]内部转账!$E:$E,$G2436)-SUMIFS([1]内部转账!$G:$G,[1]内部转账!$C:$C,"&lt;="&amp;$D2436,[1]内部转账!$F:$F,$G2436)),"")</f>
        <v/>
      </c>
      <c r="M2436" s="64"/>
      <c r="N2436" s="69"/>
      <c r="O2436" s="64"/>
      <c r="P2436" s="64"/>
      <c r="Q2436" s="69"/>
      <c r="R2436" s="69"/>
      <c r="S2436" s="69"/>
    </row>
    <row r="2437" s="2" customFormat="1" ht="24.95" customHeight="1" spans="1:19">
      <c r="A2437" s="15"/>
      <c r="B2437" s="55"/>
      <c r="C2437" s="56"/>
      <c r="D2437" s="68"/>
      <c r="E2437" s="69"/>
      <c r="F2437" s="69"/>
      <c r="G2437" s="65"/>
      <c r="H2437" s="65"/>
      <c r="I2437" s="70"/>
      <c r="J2437" s="71"/>
      <c r="K2437" s="71"/>
      <c r="L2437" s="72" t="str">
        <f>IFERROR(IF(G2437="","",VLOOKUP($G2437,[1]基础信息!$B:$C,2,FALSE)+SUMIF(G$8:G2437,G2437,J$8:J2437)-SUMIF(G$8:G2437,G2437,K$8:K2437)+SUMIFS([1]内部转账!$G:$G,[1]内部转账!$C:$C,"&lt;="&amp;$D2437,[1]内部转账!$E:$E,$G2437)-SUMIFS([1]内部转账!$G:$G,[1]内部转账!$C:$C,"&lt;="&amp;$D2437,[1]内部转账!$F:$F,$G2437)),"")</f>
        <v/>
      </c>
      <c r="M2437" s="64"/>
      <c r="N2437" s="69"/>
      <c r="O2437" s="64"/>
      <c r="P2437" s="64"/>
      <c r="Q2437" s="69"/>
      <c r="R2437" s="69"/>
      <c r="S2437" s="69"/>
    </row>
    <row r="2438" s="2" customFormat="1" ht="24.95" customHeight="1" spans="1:19">
      <c r="A2438" s="15"/>
      <c r="B2438" s="55"/>
      <c r="C2438" s="56"/>
      <c r="D2438" s="68"/>
      <c r="E2438" s="69"/>
      <c r="F2438" s="69"/>
      <c r="G2438" s="65"/>
      <c r="H2438" s="65"/>
      <c r="I2438" s="70"/>
      <c r="J2438" s="71"/>
      <c r="K2438" s="71"/>
      <c r="L2438" s="72" t="str">
        <f>IFERROR(IF(G2438="","",VLOOKUP($G2438,[1]基础信息!$B:$C,2,FALSE)+SUMIF(G$8:G2438,G2438,J$8:J2438)-SUMIF(G$8:G2438,G2438,K$8:K2438)+SUMIFS([1]内部转账!$G:$G,[1]内部转账!$C:$C,"&lt;="&amp;$D2438,[1]内部转账!$E:$E,$G2438)-SUMIFS([1]内部转账!$G:$G,[1]内部转账!$C:$C,"&lt;="&amp;$D2438,[1]内部转账!$F:$F,$G2438)),"")</f>
        <v/>
      </c>
      <c r="M2438" s="64"/>
      <c r="N2438" s="69"/>
      <c r="O2438" s="64"/>
      <c r="P2438" s="64"/>
      <c r="Q2438" s="69"/>
      <c r="R2438" s="69"/>
      <c r="S2438" s="69"/>
    </row>
    <row r="2439" s="2" customFormat="1" ht="24.95" customHeight="1" spans="1:19">
      <c r="A2439" s="15"/>
      <c r="B2439" s="55"/>
      <c r="C2439" s="56"/>
      <c r="D2439" s="68"/>
      <c r="E2439" s="69"/>
      <c r="F2439" s="69"/>
      <c r="G2439" s="65"/>
      <c r="H2439" s="65"/>
      <c r="I2439" s="70"/>
      <c r="J2439" s="71"/>
      <c r="K2439" s="71"/>
      <c r="L2439" s="72" t="str">
        <f>IFERROR(IF(G2439="","",VLOOKUP($G2439,[1]基础信息!$B:$C,2,FALSE)+SUMIF(G$8:G2439,G2439,J$8:J2439)-SUMIF(G$8:G2439,G2439,K$8:K2439)+SUMIFS([1]内部转账!$G:$G,[1]内部转账!$C:$C,"&lt;="&amp;$D2439,[1]内部转账!$E:$E,$G2439)-SUMIFS([1]内部转账!$G:$G,[1]内部转账!$C:$C,"&lt;="&amp;$D2439,[1]内部转账!$F:$F,$G2439)),"")</f>
        <v/>
      </c>
      <c r="M2439" s="64"/>
      <c r="N2439" s="69"/>
      <c r="O2439" s="64"/>
      <c r="P2439" s="64"/>
      <c r="Q2439" s="69"/>
      <c r="R2439" s="69"/>
      <c r="S2439" s="69"/>
    </row>
    <row r="2440" s="2" customFormat="1" ht="24.95" customHeight="1" spans="1:19">
      <c r="A2440" s="15"/>
      <c r="B2440" s="55"/>
      <c r="C2440" s="56"/>
      <c r="D2440" s="68"/>
      <c r="E2440" s="69"/>
      <c r="F2440" s="69"/>
      <c r="G2440" s="65"/>
      <c r="H2440" s="65"/>
      <c r="I2440" s="70"/>
      <c r="J2440" s="71"/>
      <c r="K2440" s="71"/>
      <c r="L2440" s="72" t="str">
        <f>IFERROR(IF(G2440="","",VLOOKUP($G2440,[1]基础信息!$B:$C,2,FALSE)+SUMIF(G$8:G2440,G2440,J$8:J2440)-SUMIF(G$8:G2440,G2440,K$8:K2440)+SUMIFS([1]内部转账!$G:$G,[1]内部转账!$C:$C,"&lt;="&amp;$D2440,[1]内部转账!$E:$E,$G2440)-SUMIFS([1]内部转账!$G:$G,[1]内部转账!$C:$C,"&lt;="&amp;$D2440,[1]内部转账!$F:$F,$G2440)),"")</f>
        <v/>
      </c>
      <c r="M2440" s="64"/>
      <c r="N2440" s="69"/>
      <c r="O2440" s="64"/>
      <c r="P2440" s="64"/>
      <c r="Q2440" s="69"/>
      <c r="R2440" s="69"/>
      <c r="S2440" s="69"/>
    </row>
    <row r="2441" s="2" customFormat="1" ht="24.95" customHeight="1" spans="1:19">
      <c r="A2441" s="15"/>
      <c r="B2441" s="55"/>
      <c r="C2441" s="56"/>
      <c r="D2441" s="68"/>
      <c r="E2441" s="69"/>
      <c r="F2441" s="69"/>
      <c r="G2441" s="65"/>
      <c r="H2441" s="65"/>
      <c r="I2441" s="70"/>
      <c r="J2441" s="71"/>
      <c r="K2441" s="71"/>
      <c r="L2441" s="72" t="str">
        <f>IFERROR(IF(G2441="","",VLOOKUP($G2441,[1]基础信息!$B:$C,2,FALSE)+SUMIF(G$8:G2441,G2441,J$8:J2441)-SUMIF(G$8:G2441,G2441,K$8:K2441)+SUMIFS([1]内部转账!$G:$G,[1]内部转账!$C:$C,"&lt;="&amp;$D2441,[1]内部转账!$E:$E,$G2441)-SUMIFS([1]内部转账!$G:$G,[1]内部转账!$C:$C,"&lt;="&amp;$D2441,[1]内部转账!$F:$F,$G2441)),"")</f>
        <v/>
      </c>
      <c r="M2441" s="64"/>
      <c r="N2441" s="69"/>
      <c r="O2441" s="64"/>
      <c r="P2441" s="64"/>
      <c r="Q2441" s="69"/>
      <c r="R2441" s="69"/>
      <c r="S2441" s="69"/>
    </row>
    <row r="2442" s="2" customFormat="1" ht="24.95" customHeight="1" spans="1:19">
      <c r="A2442" s="15"/>
      <c r="B2442" s="55"/>
      <c r="C2442" s="56"/>
      <c r="D2442" s="68"/>
      <c r="E2442" s="69"/>
      <c r="F2442" s="69"/>
      <c r="G2442" s="65"/>
      <c r="H2442" s="65"/>
      <c r="I2442" s="70"/>
      <c r="J2442" s="71"/>
      <c r="K2442" s="71"/>
      <c r="L2442" s="72" t="str">
        <f>IFERROR(IF(G2442="","",VLOOKUP($G2442,[1]基础信息!$B:$C,2,FALSE)+SUMIF(G$8:G2442,G2442,J$8:J2442)-SUMIF(G$8:G2442,G2442,K$8:K2442)+SUMIFS([1]内部转账!$G:$G,[1]内部转账!$C:$C,"&lt;="&amp;$D2442,[1]内部转账!$E:$E,$G2442)-SUMIFS([1]内部转账!$G:$G,[1]内部转账!$C:$C,"&lt;="&amp;$D2442,[1]内部转账!$F:$F,$G2442)),"")</f>
        <v/>
      </c>
      <c r="M2442" s="64"/>
      <c r="N2442" s="69"/>
      <c r="O2442" s="64"/>
      <c r="P2442" s="64"/>
      <c r="Q2442" s="69"/>
      <c r="R2442" s="69"/>
      <c r="S2442" s="69"/>
    </row>
    <row r="2443" s="2" customFormat="1" ht="24.95" customHeight="1" spans="1:19">
      <c r="A2443" s="15"/>
      <c r="B2443" s="55"/>
      <c r="C2443" s="56"/>
      <c r="D2443" s="68"/>
      <c r="E2443" s="69"/>
      <c r="F2443" s="69"/>
      <c r="G2443" s="65"/>
      <c r="H2443" s="65"/>
      <c r="I2443" s="70"/>
      <c r="J2443" s="71"/>
      <c r="K2443" s="71"/>
      <c r="L2443" s="72" t="str">
        <f>IFERROR(IF(G2443="","",VLOOKUP($G2443,[1]基础信息!$B:$C,2,FALSE)+SUMIF(G$8:G2443,G2443,J$8:J2443)-SUMIF(G$8:G2443,G2443,K$8:K2443)+SUMIFS([1]内部转账!$G:$G,[1]内部转账!$C:$C,"&lt;="&amp;$D2443,[1]内部转账!$E:$E,$G2443)-SUMIFS([1]内部转账!$G:$G,[1]内部转账!$C:$C,"&lt;="&amp;$D2443,[1]内部转账!$F:$F,$G2443)),"")</f>
        <v/>
      </c>
      <c r="M2443" s="64"/>
      <c r="N2443" s="69"/>
      <c r="O2443" s="64"/>
      <c r="P2443" s="64"/>
      <c r="Q2443" s="69"/>
      <c r="R2443" s="69"/>
      <c r="S2443" s="69"/>
    </row>
    <row r="2444" s="2" customFormat="1" ht="24.95" customHeight="1" spans="1:19">
      <c r="A2444" s="15"/>
      <c r="B2444" s="55"/>
      <c r="C2444" s="56"/>
      <c r="D2444" s="68"/>
      <c r="E2444" s="69"/>
      <c r="F2444" s="69"/>
      <c r="G2444" s="65"/>
      <c r="H2444" s="65"/>
      <c r="I2444" s="70"/>
      <c r="J2444" s="71"/>
      <c r="K2444" s="71"/>
      <c r="L2444" s="72" t="str">
        <f>IFERROR(IF(G2444="","",VLOOKUP($G2444,[1]基础信息!$B:$C,2,FALSE)+SUMIF(G$8:G2444,G2444,J$8:J2444)-SUMIF(G$8:G2444,G2444,K$8:K2444)+SUMIFS([1]内部转账!$G:$G,[1]内部转账!$C:$C,"&lt;="&amp;$D2444,[1]内部转账!$E:$E,$G2444)-SUMIFS([1]内部转账!$G:$G,[1]内部转账!$C:$C,"&lt;="&amp;$D2444,[1]内部转账!$F:$F,$G2444)),"")</f>
        <v/>
      </c>
      <c r="M2444" s="64"/>
      <c r="N2444" s="69"/>
      <c r="O2444" s="64"/>
      <c r="P2444" s="64"/>
      <c r="Q2444" s="69"/>
      <c r="R2444" s="69"/>
      <c r="S2444" s="69"/>
    </row>
    <row r="2445" s="2" customFormat="1" ht="24.95" customHeight="1" spans="1:19">
      <c r="A2445" s="15"/>
      <c r="B2445" s="55"/>
      <c r="C2445" s="56"/>
      <c r="D2445" s="68"/>
      <c r="E2445" s="69"/>
      <c r="F2445" s="69"/>
      <c r="G2445" s="65"/>
      <c r="H2445" s="65"/>
      <c r="I2445" s="70"/>
      <c r="J2445" s="71"/>
      <c r="K2445" s="71"/>
      <c r="L2445" s="72" t="str">
        <f>IFERROR(IF(G2445="","",VLOOKUP($G2445,[1]基础信息!$B:$C,2,FALSE)+SUMIF(G$8:G2445,G2445,J$8:J2445)-SUMIF(G$8:G2445,G2445,K$8:K2445)+SUMIFS([1]内部转账!$G:$G,[1]内部转账!$C:$C,"&lt;="&amp;$D2445,[1]内部转账!$E:$E,$G2445)-SUMIFS([1]内部转账!$G:$G,[1]内部转账!$C:$C,"&lt;="&amp;$D2445,[1]内部转账!$F:$F,$G2445)),"")</f>
        <v/>
      </c>
      <c r="M2445" s="64"/>
      <c r="N2445" s="69"/>
      <c r="O2445" s="64"/>
      <c r="P2445" s="64"/>
      <c r="Q2445" s="69"/>
      <c r="R2445" s="69"/>
      <c r="S2445" s="69"/>
    </row>
    <row r="2446" s="2" customFormat="1" ht="24.95" customHeight="1" spans="1:19">
      <c r="A2446" s="15"/>
      <c r="B2446" s="55"/>
      <c r="C2446" s="56"/>
      <c r="D2446" s="68"/>
      <c r="E2446" s="69"/>
      <c r="F2446" s="69"/>
      <c r="G2446" s="65"/>
      <c r="H2446" s="65"/>
      <c r="I2446" s="70"/>
      <c r="J2446" s="71"/>
      <c r="K2446" s="71"/>
      <c r="L2446" s="72" t="str">
        <f>IFERROR(IF(G2446="","",VLOOKUP($G2446,[1]基础信息!$B:$C,2,FALSE)+SUMIF(G$8:G2446,G2446,J$8:J2446)-SUMIF(G$8:G2446,G2446,K$8:K2446)+SUMIFS([1]内部转账!$G:$G,[1]内部转账!$C:$C,"&lt;="&amp;$D2446,[1]内部转账!$E:$E,$G2446)-SUMIFS([1]内部转账!$G:$G,[1]内部转账!$C:$C,"&lt;="&amp;$D2446,[1]内部转账!$F:$F,$G2446)),"")</f>
        <v/>
      </c>
      <c r="M2446" s="64"/>
      <c r="N2446" s="69"/>
      <c r="O2446" s="64"/>
      <c r="P2446" s="64"/>
      <c r="Q2446" s="69"/>
      <c r="R2446" s="69"/>
      <c r="S2446" s="69"/>
    </row>
    <row r="2447" s="2" customFormat="1" ht="24.95" customHeight="1" spans="1:19">
      <c r="A2447" s="15"/>
      <c r="B2447" s="55"/>
      <c r="C2447" s="56"/>
      <c r="D2447" s="68"/>
      <c r="E2447" s="69"/>
      <c r="F2447" s="69"/>
      <c r="G2447" s="65"/>
      <c r="H2447" s="65"/>
      <c r="I2447" s="70"/>
      <c r="J2447" s="71"/>
      <c r="K2447" s="71"/>
      <c r="L2447" s="72" t="str">
        <f>IFERROR(IF(G2447="","",VLOOKUP($G2447,[1]基础信息!$B:$C,2,FALSE)+SUMIF(G$8:G2447,G2447,J$8:J2447)-SUMIF(G$8:G2447,G2447,K$8:K2447)+SUMIFS([1]内部转账!$G:$G,[1]内部转账!$C:$C,"&lt;="&amp;$D2447,[1]内部转账!$E:$E,$G2447)-SUMIFS([1]内部转账!$G:$G,[1]内部转账!$C:$C,"&lt;="&amp;$D2447,[1]内部转账!$F:$F,$G2447)),"")</f>
        <v/>
      </c>
      <c r="M2447" s="64"/>
      <c r="N2447" s="69"/>
      <c r="O2447" s="64"/>
      <c r="P2447" s="64"/>
      <c r="Q2447" s="69"/>
      <c r="R2447" s="69"/>
      <c r="S2447" s="69"/>
    </row>
    <row r="2448" s="2" customFormat="1" ht="24.95" customHeight="1" spans="1:19">
      <c r="A2448" s="15"/>
      <c r="B2448" s="55"/>
      <c r="C2448" s="56"/>
      <c r="D2448" s="68"/>
      <c r="E2448" s="69"/>
      <c r="F2448" s="69"/>
      <c r="G2448" s="65"/>
      <c r="H2448" s="65"/>
      <c r="I2448" s="70"/>
      <c r="J2448" s="71"/>
      <c r="K2448" s="71"/>
      <c r="L2448" s="72" t="str">
        <f>IFERROR(IF(G2448="","",VLOOKUP($G2448,[1]基础信息!$B:$C,2,FALSE)+SUMIF(G$8:G2448,G2448,J$8:J2448)-SUMIF(G$8:G2448,G2448,K$8:K2448)+SUMIFS([1]内部转账!$G:$G,[1]内部转账!$C:$C,"&lt;="&amp;$D2448,[1]内部转账!$E:$E,$G2448)-SUMIFS([1]内部转账!$G:$G,[1]内部转账!$C:$C,"&lt;="&amp;$D2448,[1]内部转账!$F:$F,$G2448)),"")</f>
        <v/>
      </c>
      <c r="M2448" s="64"/>
      <c r="N2448" s="69"/>
      <c r="O2448" s="64"/>
      <c r="P2448" s="64"/>
      <c r="Q2448" s="69"/>
      <c r="R2448" s="69"/>
      <c r="S2448" s="69"/>
    </row>
    <row r="2449" s="2" customFormat="1" ht="24.95" customHeight="1" spans="1:19">
      <c r="A2449" s="15"/>
      <c r="B2449" s="55"/>
      <c r="C2449" s="56"/>
      <c r="D2449" s="68"/>
      <c r="E2449" s="69"/>
      <c r="F2449" s="69"/>
      <c r="G2449" s="65"/>
      <c r="H2449" s="65"/>
      <c r="I2449" s="70"/>
      <c r="J2449" s="71"/>
      <c r="K2449" s="71"/>
      <c r="L2449" s="72" t="str">
        <f>IFERROR(IF(G2449="","",VLOOKUP($G2449,[1]基础信息!$B:$C,2,FALSE)+SUMIF(G$8:G2449,G2449,J$8:J2449)-SUMIF(G$8:G2449,G2449,K$8:K2449)+SUMIFS([1]内部转账!$G:$G,[1]内部转账!$C:$C,"&lt;="&amp;$D2449,[1]内部转账!$E:$E,$G2449)-SUMIFS([1]内部转账!$G:$G,[1]内部转账!$C:$C,"&lt;="&amp;$D2449,[1]内部转账!$F:$F,$G2449)),"")</f>
        <v/>
      </c>
      <c r="M2449" s="64"/>
      <c r="N2449" s="69"/>
      <c r="O2449" s="64"/>
      <c r="P2449" s="64"/>
      <c r="Q2449" s="69"/>
      <c r="R2449" s="69"/>
      <c r="S2449" s="69"/>
    </row>
    <row r="2450" s="2" customFormat="1" ht="24.95" customHeight="1" spans="1:19">
      <c r="A2450" s="15"/>
      <c r="B2450" s="55"/>
      <c r="C2450" s="56"/>
      <c r="D2450" s="68"/>
      <c r="E2450" s="69"/>
      <c r="F2450" s="69"/>
      <c r="G2450" s="65"/>
      <c r="H2450" s="65"/>
      <c r="I2450" s="70"/>
      <c r="J2450" s="71"/>
      <c r="K2450" s="71"/>
      <c r="L2450" s="72" t="str">
        <f>IFERROR(IF(G2450="","",VLOOKUP($G2450,[1]基础信息!$B:$C,2,FALSE)+SUMIF(G$8:G2450,G2450,J$8:J2450)-SUMIF(G$8:G2450,G2450,K$8:K2450)+SUMIFS([1]内部转账!$G:$G,[1]内部转账!$C:$C,"&lt;="&amp;$D2450,[1]内部转账!$E:$E,$G2450)-SUMIFS([1]内部转账!$G:$G,[1]内部转账!$C:$C,"&lt;="&amp;$D2450,[1]内部转账!$F:$F,$G2450)),"")</f>
        <v/>
      </c>
      <c r="M2450" s="64"/>
      <c r="N2450" s="69"/>
      <c r="O2450" s="64"/>
      <c r="P2450" s="64"/>
      <c r="Q2450" s="69"/>
      <c r="R2450" s="69"/>
      <c r="S2450" s="69"/>
    </row>
    <row r="2451" s="2" customFormat="1" ht="24.95" customHeight="1" spans="1:19">
      <c r="A2451" s="15"/>
      <c r="B2451" s="55"/>
      <c r="C2451" s="56"/>
      <c r="D2451" s="68"/>
      <c r="E2451" s="69"/>
      <c r="F2451" s="69"/>
      <c r="G2451" s="65"/>
      <c r="H2451" s="65"/>
      <c r="I2451" s="70"/>
      <c r="J2451" s="71"/>
      <c r="K2451" s="71"/>
      <c r="L2451" s="72" t="str">
        <f>IFERROR(IF(G2451="","",VLOOKUP($G2451,[1]基础信息!$B:$C,2,FALSE)+SUMIF(G$8:G2451,G2451,J$8:J2451)-SUMIF(G$8:G2451,G2451,K$8:K2451)+SUMIFS([1]内部转账!$G:$G,[1]内部转账!$C:$C,"&lt;="&amp;$D2451,[1]内部转账!$E:$E,$G2451)-SUMIFS([1]内部转账!$G:$G,[1]内部转账!$C:$C,"&lt;="&amp;$D2451,[1]内部转账!$F:$F,$G2451)),"")</f>
        <v/>
      </c>
      <c r="M2451" s="64"/>
      <c r="N2451" s="69"/>
      <c r="O2451" s="64"/>
      <c r="P2451" s="64"/>
      <c r="Q2451" s="69"/>
      <c r="R2451" s="69"/>
      <c r="S2451" s="69"/>
    </row>
    <row r="2452" s="2" customFormat="1" ht="24.95" customHeight="1" spans="1:19">
      <c r="A2452" s="15"/>
      <c r="B2452" s="55"/>
      <c r="C2452" s="56"/>
      <c r="D2452" s="68"/>
      <c r="E2452" s="69"/>
      <c r="F2452" s="69"/>
      <c r="G2452" s="65"/>
      <c r="H2452" s="65"/>
      <c r="I2452" s="70"/>
      <c r="J2452" s="71"/>
      <c r="K2452" s="71"/>
      <c r="L2452" s="72" t="str">
        <f>IFERROR(IF(G2452="","",VLOOKUP($G2452,[1]基础信息!$B:$C,2,FALSE)+SUMIF(G$8:G2452,G2452,J$8:J2452)-SUMIF(G$8:G2452,G2452,K$8:K2452)+SUMIFS([1]内部转账!$G:$G,[1]内部转账!$C:$C,"&lt;="&amp;$D2452,[1]内部转账!$E:$E,$G2452)-SUMIFS([1]内部转账!$G:$G,[1]内部转账!$C:$C,"&lt;="&amp;$D2452,[1]内部转账!$F:$F,$G2452)),"")</f>
        <v/>
      </c>
      <c r="M2452" s="64"/>
      <c r="N2452" s="69"/>
      <c r="O2452" s="64"/>
      <c r="P2452" s="64"/>
      <c r="Q2452" s="69"/>
      <c r="R2452" s="69"/>
      <c r="S2452" s="69"/>
    </row>
    <row r="2453" s="2" customFormat="1" ht="24.95" customHeight="1" spans="1:19">
      <c r="A2453" s="15"/>
      <c r="B2453" s="55"/>
      <c r="C2453" s="56"/>
      <c r="D2453" s="68"/>
      <c r="E2453" s="69"/>
      <c r="F2453" s="69"/>
      <c r="G2453" s="65"/>
      <c r="H2453" s="65"/>
      <c r="I2453" s="70"/>
      <c r="J2453" s="71"/>
      <c r="K2453" s="71"/>
      <c r="L2453" s="72" t="str">
        <f>IFERROR(IF(G2453="","",VLOOKUP($G2453,[1]基础信息!$B:$C,2,FALSE)+SUMIF(G$8:G2453,G2453,J$8:J2453)-SUMIF(G$8:G2453,G2453,K$8:K2453)+SUMIFS([1]内部转账!$G:$G,[1]内部转账!$C:$C,"&lt;="&amp;$D2453,[1]内部转账!$E:$E,$G2453)-SUMIFS([1]内部转账!$G:$G,[1]内部转账!$C:$C,"&lt;="&amp;$D2453,[1]内部转账!$F:$F,$G2453)),"")</f>
        <v/>
      </c>
      <c r="M2453" s="64"/>
      <c r="N2453" s="69"/>
      <c r="O2453" s="64"/>
      <c r="P2453" s="64"/>
      <c r="Q2453" s="69"/>
      <c r="R2453" s="69"/>
      <c r="S2453" s="69"/>
    </row>
    <row r="2454" s="2" customFormat="1" ht="24.95" customHeight="1" spans="1:19">
      <c r="A2454" s="15"/>
      <c r="B2454" s="55"/>
      <c r="C2454" s="56"/>
      <c r="D2454" s="68"/>
      <c r="E2454" s="69"/>
      <c r="F2454" s="69"/>
      <c r="G2454" s="65"/>
      <c r="H2454" s="65"/>
      <c r="I2454" s="70"/>
      <c r="J2454" s="71"/>
      <c r="K2454" s="71"/>
      <c r="L2454" s="72" t="str">
        <f>IFERROR(IF(G2454="","",VLOOKUP($G2454,[1]基础信息!$B:$C,2,FALSE)+SUMIF(G$8:G2454,G2454,J$8:J2454)-SUMIF(G$8:G2454,G2454,K$8:K2454)+SUMIFS([1]内部转账!$G:$G,[1]内部转账!$C:$C,"&lt;="&amp;$D2454,[1]内部转账!$E:$E,$G2454)-SUMIFS([1]内部转账!$G:$G,[1]内部转账!$C:$C,"&lt;="&amp;$D2454,[1]内部转账!$F:$F,$G2454)),"")</f>
        <v/>
      </c>
      <c r="M2454" s="64"/>
      <c r="N2454" s="69"/>
      <c r="O2454" s="64"/>
      <c r="P2454" s="64"/>
      <c r="Q2454" s="69"/>
      <c r="R2454" s="69"/>
      <c r="S2454" s="69"/>
    </row>
    <row r="2455" s="2" customFormat="1" ht="24.95" customHeight="1" spans="1:19">
      <c r="A2455" s="15"/>
      <c r="B2455" s="55"/>
      <c r="C2455" s="56"/>
      <c r="D2455" s="68"/>
      <c r="E2455" s="69"/>
      <c r="F2455" s="69"/>
      <c r="G2455" s="65"/>
      <c r="H2455" s="65"/>
      <c r="I2455" s="70"/>
      <c r="J2455" s="71"/>
      <c r="K2455" s="71"/>
      <c r="L2455" s="72" t="str">
        <f>IFERROR(IF(G2455="","",VLOOKUP($G2455,[1]基础信息!$B:$C,2,FALSE)+SUMIF(G$8:G2455,G2455,J$8:J2455)-SUMIF(G$8:G2455,G2455,K$8:K2455)+SUMIFS([1]内部转账!$G:$G,[1]内部转账!$C:$C,"&lt;="&amp;$D2455,[1]内部转账!$E:$E,$G2455)-SUMIFS([1]内部转账!$G:$G,[1]内部转账!$C:$C,"&lt;="&amp;$D2455,[1]内部转账!$F:$F,$G2455)),"")</f>
        <v/>
      </c>
      <c r="M2455" s="64"/>
      <c r="N2455" s="69"/>
      <c r="O2455" s="64"/>
      <c r="P2455" s="64"/>
      <c r="Q2455" s="69"/>
      <c r="R2455" s="69"/>
      <c r="S2455" s="69"/>
    </row>
    <row r="2456" s="2" customFormat="1" ht="24.95" customHeight="1" spans="1:19">
      <c r="A2456" s="15"/>
      <c r="B2456" s="55"/>
      <c r="C2456" s="56"/>
      <c r="D2456" s="68"/>
      <c r="E2456" s="69"/>
      <c r="F2456" s="69"/>
      <c r="G2456" s="65"/>
      <c r="H2456" s="65"/>
      <c r="I2456" s="70"/>
      <c r="J2456" s="71"/>
      <c r="K2456" s="71"/>
      <c r="L2456" s="72" t="str">
        <f>IFERROR(IF(G2456="","",VLOOKUP($G2456,[1]基础信息!$B:$C,2,FALSE)+SUMIF(G$8:G2456,G2456,J$8:J2456)-SUMIF(G$8:G2456,G2456,K$8:K2456)+SUMIFS([1]内部转账!$G:$G,[1]内部转账!$C:$C,"&lt;="&amp;$D2456,[1]内部转账!$E:$E,$G2456)-SUMIFS([1]内部转账!$G:$G,[1]内部转账!$C:$C,"&lt;="&amp;$D2456,[1]内部转账!$F:$F,$G2456)),"")</f>
        <v/>
      </c>
      <c r="M2456" s="64"/>
      <c r="N2456" s="69"/>
      <c r="O2456" s="64"/>
      <c r="P2456" s="64"/>
      <c r="Q2456" s="69"/>
      <c r="R2456" s="69"/>
      <c r="S2456" s="69"/>
    </row>
    <row r="2457" s="2" customFormat="1" ht="24.95" customHeight="1" spans="1:19">
      <c r="A2457" s="15"/>
      <c r="B2457" s="55"/>
      <c r="C2457" s="56"/>
      <c r="D2457" s="68"/>
      <c r="E2457" s="69"/>
      <c r="F2457" s="69"/>
      <c r="G2457" s="65"/>
      <c r="H2457" s="65"/>
      <c r="I2457" s="70"/>
      <c r="J2457" s="71"/>
      <c r="K2457" s="71"/>
      <c r="L2457" s="72" t="str">
        <f>IFERROR(IF(G2457="","",VLOOKUP($G2457,[1]基础信息!$B:$C,2,FALSE)+SUMIF(G$8:G2457,G2457,J$8:J2457)-SUMIF(G$8:G2457,G2457,K$8:K2457)+SUMIFS([1]内部转账!$G:$G,[1]内部转账!$C:$C,"&lt;="&amp;$D2457,[1]内部转账!$E:$E,$G2457)-SUMIFS([1]内部转账!$G:$G,[1]内部转账!$C:$C,"&lt;="&amp;$D2457,[1]内部转账!$F:$F,$G2457)),"")</f>
        <v/>
      </c>
      <c r="M2457" s="64"/>
      <c r="N2457" s="69"/>
      <c r="O2457" s="64"/>
      <c r="P2457" s="64"/>
      <c r="Q2457" s="69"/>
      <c r="R2457" s="69"/>
      <c r="S2457" s="69"/>
    </row>
    <row r="2458" s="2" customFormat="1" ht="24.95" customHeight="1" spans="1:19">
      <c r="A2458" s="15"/>
      <c r="B2458" s="55"/>
      <c r="C2458" s="56"/>
      <c r="D2458" s="68"/>
      <c r="E2458" s="69"/>
      <c r="F2458" s="69"/>
      <c r="G2458" s="65"/>
      <c r="H2458" s="65"/>
      <c r="I2458" s="70"/>
      <c r="J2458" s="71"/>
      <c r="K2458" s="71"/>
      <c r="L2458" s="72" t="str">
        <f>IFERROR(IF(G2458="","",VLOOKUP($G2458,[1]基础信息!$B:$C,2,FALSE)+SUMIF(G$8:G2458,G2458,J$8:J2458)-SUMIF(G$8:G2458,G2458,K$8:K2458)+SUMIFS([1]内部转账!$G:$G,[1]内部转账!$C:$C,"&lt;="&amp;$D2458,[1]内部转账!$E:$E,$G2458)-SUMIFS([1]内部转账!$G:$G,[1]内部转账!$C:$C,"&lt;="&amp;$D2458,[1]内部转账!$F:$F,$G2458)),"")</f>
        <v/>
      </c>
      <c r="M2458" s="64"/>
      <c r="N2458" s="69"/>
      <c r="O2458" s="64"/>
      <c r="P2458" s="64"/>
      <c r="Q2458" s="69"/>
      <c r="R2458" s="69"/>
      <c r="S2458" s="69"/>
    </row>
    <row r="2459" s="2" customFormat="1" ht="24.95" customHeight="1" spans="1:19">
      <c r="A2459" s="15"/>
      <c r="B2459" s="55"/>
      <c r="C2459" s="56"/>
      <c r="D2459" s="68"/>
      <c r="E2459" s="69"/>
      <c r="F2459" s="69"/>
      <c r="G2459" s="65"/>
      <c r="H2459" s="65"/>
      <c r="I2459" s="70"/>
      <c r="J2459" s="71"/>
      <c r="K2459" s="71"/>
      <c r="L2459" s="72" t="str">
        <f>IFERROR(IF(G2459="","",VLOOKUP($G2459,[1]基础信息!$B:$C,2,FALSE)+SUMIF(G$8:G2459,G2459,J$8:J2459)-SUMIF(G$8:G2459,G2459,K$8:K2459)+SUMIFS([1]内部转账!$G:$G,[1]内部转账!$C:$C,"&lt;="&amp;$D2459,[1]内部转账!$E:$E,$G2459)-SUMIFS([1]内部转账!$G:$G,[1]内部转账!$C:$C,"&lt;="&amp;$D2459,[1]内部转账!$F:$F,$G2459)),"")</f>
        <v/>
      </c>
      <c r="M2459" s="64"/>
      <c r="N2459" s="69"/>
      <c r="O2459" s="64"/>
      <c r="P2459" s="64"/>
      <c r="Q2459" s="69"/>
      <c r="R2459" s="69"/>
      <c r="S2459" s="69"/>
    </row>
    <row r="2460" s="2" customFormat="1" ht="24.95" customHeight="1" spans="1:19">
      <c r="A2460" s="15"/>
      <c r="B2460" s="55"/>
      <c r="C2460" s="56"/>
      <c r="D2460" s="68"/>
      <c r="E2460" s="69"/>
      <c r="F2460" s="69"/>
      <c r="G2460" s="65"/>
      <c r="H2460" s="65"/>
      <c r="I2460" s="70"/>
      <c r="J2460" s="71"/>
      <c r="K2460" s="71"/>
      <c r="L2460" s="72" t="str">
        <f>IFERROR(IF(G2460="","",VLOOKUP($G2460,[1]基础信息!$B:$C,2,FALSE)+SUMIF(G$8:G2460,G2460,J$8:J2460)-SUMIF(G$8:G2460,G2460,K$8:K2460)+SUMIFS([1]内部转账!$G:$G,[1]内部转账!$C:$C,"&lt;="&amp;$D2460,[1]内部转账!$E:$E,$G2460)-SUMIFS([1]内部转账!$G:$G,[1]内部转账!$C:$C,"&lt;="&amp;$D2460,[1]内部转账!$F:$F,$G2460)),"")</f>
        <v/>
      </c>
      <c r="M2460" s="64"/>
      <c r="N2460" s="69"/>
      <c r="O2460" s="64"/>
      <c r="P2460" s="64"/>
      <c r="Q2460" s="69"/>
      <c r="R2460" s="69"/>
      <c r="S2460" s="69"/>
    </row>
    <row r="2461" s="2" customFormat="1" ht="24.95" customHeight="1" spans="1:19">
      <c r="A2461" s="15"/>
      <c r="B2461" s="55"/>
      <c r="C2461" s="56"/>
      <c r="D2461" s="68"/>
      <c r="E2461" s="69"/>
      <c r="F2461" s="69"/>
      <c r="G2461" s="65"/>
      <c r="H2461" s="65"/>
      <c r="I2461" s="70"/>
      <c r="J2461" s="71"/>
      <c r="K2461" s="71"/>
      <c r="L2461" s="72" t="str">
        <f>IFERROR(IF(G2461="","",VLOOKUP($G2461,[1]基础信息!$B:$C,2,FALSE)+SUMIF(G$8:G2461,G2461,J$8:J2461)-SUMIF(G$8:G2461,G2461,K$8:K2461)+SUMIFS([1]内部转账!$G:$G,[1]内部转账!$C:$C,"&lt;="&amp;$D2461,[1]内部转账!$E:$E,$G2461)-SUMIFS([1]内部转账!$G:$G,[1]内部转账!$C:$C,"&lt;="&amp;$D2461,[1]内部转账!$F:$F,$G2461)),"")</f>
        <v/>
      </c>
      <c r="M2461" s="64"/>
      <c r="N2461" s="69"/>
      <c r="O2461" s="64"/>
      <c r="P2461" s="64"/>
      <c r="Q2461" s="69"/>
      <c r="R2461" s="69"/>
      <c r="S2461" s="69"/>
    </row>
    <row r="2462" s="2" customFormat="1" ht="24.95" customHeight="1" spans="1:19">
      <c r="A2462" s="15"/>
      <c r="B2462" s="55"/>
      <c r="C2462" s="56"/>
      <c r="D2462" s="68"/>
      <c r="E2462" s="69"/>
      <c r="F2462" s="69"/>
      <c r="G2462" s="65"/>
      <c r="H2462" s="65"/>
      <c r="I2462" s="70"/>
      <c r="J2462" s="71"/>
      <c r="K2462" s="71"/>
      <c r="L2462" s="72" t="str">
        <f>IFERROR(IF(G2462="","",VLOOKUP($G2462,[1]基础信息!$B:$C,2,FALSE)+SUMIF(G$8:G2462,G2462,J$8:J2462)-SUMIF(G$8:G2462,G2462,K$8:K2462)+SUMIFS([1]内部转账!$G:$G,[1]内部转账!$C:$C,"&lt;="&amp;$D2462,[1]内部转账!$E:$E,$G2462)-SUMIFS([1]内部转账!$G:$G,[1]内部转账!$C:$C,"&lt;="&amp;$D2462,[1]内部转账!$F:$F,$G2462)),"")</f>
        <v/>
      </c>
      <c r="M2462" s="64"/>
      <c r="N2462" s="69"/>
      <c r="O2462" s="64"/>
      <c r="P2462" s="64"/>
      <c r="Q2462" s="69"/>
      <c r="R2462" s="69"/>
      <c r="S2462" s="69"/>
    </row>
    <row r="2463" s="2" customFormat="1" ht="24.95" customHeight="1" spans="1:19">
      <c r="A2463" s="15"/>
      <c r="B2463" s="55"/>
      <c r="C2463" s="56"/>
      <c r="D2463" s="68"/>
      <c r="E2463" s="69"/>
      <c r="F2463" s="69"/>
      <c r="G2463" s="65"/>
      <c r="H2463" s="65"/>
      <c r="I2463" s="70"/>
      <c r="J2463" s="71"/>
      <c r="K2463" s="71"/>
      <c r="L2463" s="72" t="str">
        <f>IFERROR(IF(G2463="","",VLOOKUP($G2463,[1]基础信息!$B:$C,2,FALSE)+SUMIF(G$8:G2463,G2463,J$8:J2463)-SUMIF(G$8:G2463,G2463,K$8:K2463)+SUMIFS([1]内部转账!$G:$G,[1]内部转账!$C:$C,"&lt;="&amp;$D2463,[1]内部转账!$E:$E,$G2463)-SUMIFS([1]内部转账!$G:$G,[1]内部转账!$C:$C,"&lt;="&amp;$D2463,[1]内部转账!$F:$F,$G2463)),"")</f>
        <v/>
      </c>
      <c r="M2463" s="64"/>
      <c r="N2463" s="69"/>
      <c r="O2463" s="64"/>
      <c r="P2463" s="64"/>
      <c r="Q2463" s="69"/>
      <c r="R2463" s="69"/>
      <c r="S2463" s="69"/>
    </row>
    <row r="2464" s="2" customFormat="1" ht="24.95" customHeight="1" spans="1:19">
      <c r="A2464" s="15"/>
      <c r="B2464" s="55"/>
      <c r="C2464" s="56"/>
      <c r="D2464" s="68"/>
      <c r="E2464" s="69"/>
      <c r="F2464" s="69"/>
      <c r="G2464" s="65"/>
      <c r="H2464" s="65"/>
      <c r="I2464" s="70"/>
      <c r="J2464" s="71"/>
      <c r="K2464" s="71"/>
      <c r="L2464" s="72" t="str">
        <f>IFERROR(IF(G2464="","",VLOOKUP($G2464,[1]基础信息!$B:$C,2,FALSE)+SUMIF(G$8:G2464,G2464,J$8:J2464)-SUMIF(G$8:G2464,G2464,K$8:K2464)+SUMIFS([1]内部转账!$G:$G,[1]内部转账!$C:$C,"&lt;="&amp;$D2464,[1]内部转账!$E:$E,$G2464)-SUMIFS([1]内部转账!$G:$G,[1]内部转账!$C:$C,"&lt;="&amp;$D2464,[1]内部转账!$F:$F,$G2464)),"")</f>
        <v/>
      </c>
      <c r="M2464" s="64"/>
      <c r="N2464" s="69"/>
      <c r="O2464" s="64"/>
      <c r="P2464" s="64"/>
      <c r="Q2464" s="69"/>
      <c r="R2464" s="69"/>
      <c r="S2464" s="69"/>
    </row>
    <row r="2465" s="2" customFormat="1" ht="24.95" customHeight="1" spans="1:19">
      <c r="A2465" s="15"/>
      <c r="B2465" s="55"/>
      <c r="C2465" s="56"/>
      <c r="D2465" s="68"/>
      <c r="E2465" s="69"/>
      <c r="F2465" s="69"/>
      <c r="G2465" s="65"/>
      <c r="H2465" s="65"/>
      <c r="I2465" s="70"/>
      <c r="J2465" s="71"/>
      <c r="K2465" s="71"/>
      <c r="L2465" s="72" t="str">
        <f>IFERROR(IF(G2465="","",VLOOKUP($G2465,[1]基础信息!$B:$C,2,FALSE)+SUMIF(G$8:G2465,G2465,J$8:J2465)-SUMIF(G$8:G2465,G2465,K$8:K2465)+SUMIFS([1]内部转账!$G:$G,[1]内部转账!$C:$C,"&lt;="&amp;$D2465,[1]内部转账!$E:$E,$G2465)-SUMIFS([1]内部转账!$G:$G,[1]内部转账!$C:$C,"&lt;="&amp;$D2465,[1]内部转账!$F:$F,$G2465)),"")</f>
        <v/>
      </c>
      <c r="M2465" s="64"/>
      <c r="N2465" s="69"/>
      <c r="O2465" s="64"/>
      <c r="P2465" s="64"/>
      <c r="Q2465" s="69"/>
      <c r="R2465" s="69"/>
      <c r="S2465" s="69"/>
    </row>
    <row r="2466" s="2" customFormat="1" ht="24.95" customHeight="1" spans="1:19">
      <c r="A2466" s="15"/>
      <c r="B2466" s="55"/>
      <c r="C2466" s="56"/>
      <c r="D2466" s="68"/>
      <c r="E2466" s="69"/>
      <c r="F2466" s="69"/>
      <c r="G2466" s="65"/>
      <c r="H2466" s="65"/>
      <c r="I2466" s="70"/>
      <c r="J2466" s="71"/>
      <c r="K2466" s="71"/>
      <c r="L2466" s="72" t="str">
        <f>IFERROR(IF(G2466="","",VLOOKUP($G2466,[1]基础信息!$B:$C,2,FALSE)+SUMIF(G$8:G2466,G2466,J$8:J2466)-SUMIF(G$8:G2466,G2466,K$8:K2466)+SUMIFS([1]内部转账!$G:$G,[1]内部转账!$C:$C,"&lt;="&amp;$D2466,[1]内部转账!$E:$E,$G2466)-SUMIFS([1]内部转账!$G:$G,[1]内部转账!$C:$C,"&lt;="&amp;$D2466,[1]内部转账!$F:$F,$G2466)),"")</f>
        <v/>
      </c>
      <c r="M2466" s="64"/>
      <c r="N2466" s="69"/>
      <c r="O2466" s="64"/>
      <c r="P2466" s="64"/>
      <c r="Q2466" s="69"/>
      <c r="R2466" s="69"/>
      <c r="S2466" s="69"/>
    </row>
    <row r="2467" s="2" customFormat="1" ht="24.95" customHeight="1" spans="1:19">
      <c r="A2467" s="15"/>
      <c r="B2467" s="55"/>
      <c r="C2467" s="56"/>
      <c r="D2467" s="68"/>
      <c r="E2467" s="69"/>
      <c r="F2467" s="69"/>
      <c r="G2467" s="65"/>
      <c r="H2467" s="65"/>
      <c r="I2467" s="70"/>
      <c r="J2467" s="71"/>
      <c r="K2467" s="71"/>
      <c r="L2467" s="72" t="str">
        <f>IFERROR(IF(G2467="","",VLOOKUP($G2467,[1]基础信息!$B:$C,2,FALSE)+SUMIF(G$8:G2467,G2467,J$8:J2467)-SUMIF(G$8:G2467,G2467,K$8:K2467)+SUMIFS([1]内部转账!$G:$G,[1]内部转账!$C:$C,"&lt;="&amp;$D2467,[1]内部转账!$E:$E,$G2467)-SUMIFS([1]内部转账!$G:$G,[1]内部转账!$C:$C,"&lt;="&amp;$D2467,[1]内部转账!$F:$F,$G2467)),"")</f>
        <v/>
      </c>
      <c r="M2467" s="64"/>
      <c r="N2467" s="69"/>
      <c r="O2467" s="64"/>
      <c r="P2467" s="64"/>
      <c r="Q2467" s="69"/>
      <c r="R2467" s="69"/>
      <c r="S2467" s="69"/>
    </row>
    <row r="2468" s="2" customFormat="1" ht="24.95" customHeight="1" spans="1:19">
      <c r="A2468" s="15"/>
      <c r="B2468" s="55"/>
      <c r="C2468" s="56"/>
      <c r="D2468" s="68"/>
      <c r="E2468" s="69"/>
      <c r="F2468" s="69"/>
      <c r="G2468" s="65"/>
      <c r="H2468" s="65"/>
      <c r="I2468" s="70"/>
      <c r="J2468" s="71"/>
      <c r="K2468" s="71"/>
      <c r="L2468" s="72" t="str">
        <f>IFERROR(IF(G2468="","",VLOOKUP($G2468,[1]基础信息!$B:$C,2,FALSE)+SUMIF(G$8:G2468,G2468,J$8:J2468)-SUMIF(G$8:G2468,G2468,K$8:K2468)+SUMIFS([1]内部转账!$G:$G,[1]内部转账!$C:$C,"&lt;="&amp;$D2468,[1]内部转账!$E:$E,$G2468)-SUMIFS([1]内部转账!$G:$G,[1]内部转账!$C:$C,"&lt;="&amp;$D2468,[1]内部转账!$F:$F,$G2468)),"")</f>
        <v/>
      </c>
      <c r="M2468" s="64"/>
      <c r="N2468" s="69"/>
      <c r="O2468" s="64"/>
      <c r="P2468" s="64"/>
      <c r="Q2468" s="69"/>
      <c r="R2468" s="69"/>
      <c r="S2468" s="69"/>
    </row>
    <row r="2469" s="2" customFormat="1" ht="24.95" customHeight="1" spans="1:19">
      <c r="A2469" s="15"/>
      <c r="B2469" s="55"/>
      <c r="C2469" s="56"/>
      <c r="D2469" s="68"/>
      <c r="E2469" s="69"/>
      <c r="F2469" s="69"/>
      <c r="G2469" s="65"/>
      <c r="H2469" s="65"/>
      <c r="I2469" s="70"/>
      <c r="J2469" s="71"/>
      <c r="K2469" s="71"/>
      <c r="L2469" s="72" t="str">
        <f>IFERROR(IF(G2469="","",VLOOKUP($G2469,[1]基础信息!$B:$C,2,FALSE)+SUMIF(G$8:G2469,G2469,J$8:J2469)-SUMIF(G$8:G2469,G2469,K$8:K2469)+SUMIFS([1]内部转账!$G:$G,[1]内部转账!$C:$C,"&lt;="&amp;$D2469,[1]内部转账!$E:$E,$G2469)-SUMIFS([1]内部转账!$G:$G,[1]内部转账!$C:$C,"&lt;="&amp;$D2469,[1]内部转账!$F:$F,$G2469)),"")</f>
        <v/>
      </c>
      <c r="M2469" s="64"/>
      <c r="N2469" s="69"/>
      <c r="O2469" s="64"/>
      <c r="P2469" s="64"/>
      <c r="Q2469" s="69"/>
      <c r="R2469" s="69"/>
      <c r="S2469" s="69"/>
    </row>
    <row r="2470" s="2" customFormat="1" ht="24.95" customHeight="1" spans="1:19">
      <c r="A2470" s="15"/>
      <c r="B2470" s="55"/>
      <c r="C2470" s="56"/>
      <c r="D2470" s="68"/>
      <c r="E2470" s="69"/>
      <c r="F2470" s="69"/>
      <c r="G2470" s="65"/>
      <c r="H2470" s="65"/>
      <c r="I2470" s="70"/>
      <c r="J2470" s="71"/>
      <c r="K2470" s="71"/>
      <c r="L2470" s="72" t="str">
        <f>IFERROR(IF(G2470="","",VLOOKUP($G2470,[1]基础信息!$B:$C,2,FALSE)+SUMIF(G$8:G2470,G2470,J$8:J2470)-SUMIF(G$8:G2470,G2470,K$8:K2470)+SUMIFS([1]内部转账!$G:$G,[1]内部转账!$C:$C,"&lt;="&amp;$D2470,[1]内部转账!$E:$E,$G2470)-SUMIFS([1]内部转账!$G:$G,[1]内部转账!$C:$C,"&lt;="&amp;$D2470,[1]内部转账!$F:$F,$G2470)),"")</f>
        <v/>
      </c>
      <c r="M2470" s="64"/>
      <c r="N2470" s="69"/>
      <c r="O2470" s="64"/>
      <c r="P2470" s="64"/>
      <c r="Q2470" s="69"/>
      <c r="R2470" s="69"/>
      <c r="S2470" s="69"/>
    </row>
    <row r="2471" s="2" customFormat="1" ht="24.95" customHeight="1" spans="1:19">
      <c r="A2471" s="15"/>
      <c r="B2471" s="55"/>
      <c r="C2471" s="56"/>
      <c r="D2471" s="68"/>
      <c r="E2471" s="69"/>
      <c r="F2471" s="69"/>
      <c r="G2471" s="65"/>
      <c r="H2471" s="65"/>
      <c r="I2471" s="70"/>
      <c r="J2471" s="71"/>
      <c r="K2471" s="71"/>
      <c r="L2471" s="72" t="str">
        <f>IFERROR(IF(G2471="","",VLOOKUP($G2471,[1]基础信息!$B:$C,2,FALSE)+SUMIF(G$8:G2471,G2471,J$8:J2471)-SUMIF(G$8:G2471,G2471,K$8:K2471)+SUMIFS([1]内部转账!$G:$G,[1]内部转账!$C:$C,"&lt;="&amp;$D2471,[1]内部转账!$E:$E,$G2471)-SUMIFS([1]内部转账!$G:$G,[1]内部转账!$C:$C,"&lt;="&amp;$D2471,[1]内部转账!$F:$F,$G2471)),"")</f>
        <v/>
      </c>
      <c r="M2471" s="64"/>
      <c r="N2471" s="69"/>
      <c r="O2471" s="64"/>
      <c r="P2471" s="64"/>
      <c r="Q2471" s="69"/>
      <c r="R2471" s="69"/>
      <c r="S2471" s="69"/>
    </row>
    <row r="2472" s="2" customFormat="1" ht="24.95" customHeight="1" spans="1:19">
      <c r="A2472" s="15"/>
      <c r="B2472" s="55"/>
      <c r="C2472" s="56"/>
      <c r="D2472" s="68"/>
      <c r="E2472" s="69"/>
      <c r="F2472" s="69"/>
      <c r="G2472" s="65"/>
      <c r="H2472" s="65"/>
      <c r="I2472" s="70"/>
      <c r="J2472" s="71"/>
      <c r="K2472" s="71"/>
      <c r="L2472" s="72" t="str">
        <f>IFERROR(IF(G2472="","",VLOOKUP($G2472,[1]基础信息!$B:$C,2,FALSE)+SUMIF(G$8:G2472,G2472,J$8:J2472)-SUMIF(G$8:G2472,G2472,K$8:K2472)+SUMIFS([1]内部转账!$G:$G,[1]内部转账!$C:$C,"&lt;="&amp;$D2472,[1]内部转账!$E:$E,$G2472)-SUMIFS([1]内部转账!$G:$G,[1]内部转账!$C:$C,"&lt;="&amp;$D2472,[1]内部转账!$F:$F,$G2472)),"")</f>
        <v/>
      </c>
      <c r="M2472" s="64"/>
      <c r="N2472" s="69"/>
      <c r="O2472" s="64"/>
      <c r="P2472" s="64"/>
      <c r="Q2472" s="69"/>
      <c r="R2472" s="69"/>
      <c r="S2472" s="69"/>
    </row>
    <row r="2473" s="2" customFormat="1" ht="24.95" customHeight="1" spans="1:19">
      <c r="A2473" s="15"/>
      <c r="B2473" s="55"/>
      <c r="C2473" s="56"/>
      <c r="D2473" s="68"/>
      <c r="E2473" s="69"/>
      <c r="F2473" s="69"/>
      <c r="G2473" s="65"/>
      <c r="H2473" s="65"/>
      <c r="I2473" s="70"/>
      <c r="J2473" s="71"/>
      <c r="K2473" s="71"/>
      <c r="L2473" s="72" t="str">
        <f>IFERROR(IF(G2473="","",VLOOKUP($G2473,[1]基础信息!$B:$C,2,FALSE)+SUMIF(G$8:G2473,G2473,J$8:J2473)-SUMIF(G$8:G2473,G2473,K$8:K2473)+SUMIFS([1]内部转账!$G:$G,[1]内部转账!$C:$C,"&lt;="&amp;$D2473,[1]内部转账!$E:$E,$G2473)-SUMIFS([1]内部转账!$G:$G,[1]内部转账!$C:$C,"&lt;="&amp;$D2473,[1]内部转账!$F:$F,$G2473)),"")</f>
        <v/>
      </c>
      <c r="M2473" s="64"/>
      <c r="N2473" s="69"/>
      <c r="O2473" s="64"/>
      <c r="P2473" s="64"/>
      <c r="Q2473" s="69"/>
      <c r="R2473" s="69"/>
      <c r="S2473" s="69"/>
    </row>
    <row r="2474" s="2" customFormat="1" ht="24.95" customHeight="1" spans="1:19">
      <c r="A2474" s="15"/>
      <c r="B2474" s="55"/>
      <c r="C2474" s="56"/>
      <c r="D2474" s="68"/>
      <c r="E2474" s="69"/>
      <c r="F2474" s="69"/>
      <c r="G2474" s="65"/>
      <c r="H2474" s="65"/>
      <c r="I2474" s="70"/>
      <c r="J2474" s="71"/>
      <c r="K2474" s="71"/>
      <c r="L2474" s="72" t="str">
        <f>IFERROR(IF(G2474="","",VLOOKUP($G2474,[1]基础信息!$B:$C,2,FALSE)+SUMIF(G$8:G2474,G2474,J$8:J2474)-SUMIF(G$8:G2474,G2474,K$8:K2474)+SUMIFS([1]内部转账!$G:$G,[1]内部转账!$C:$C,"&lt;="&amp;$D2474,[1]内部转账!$E:$E,$G2474)-SUMIFS([1]内部转账!$G:$G,[1]内部转账!$C:$C,"&lt;="&amp;$D2474,[1]内部转账!$F:$F,$G2474)),"")</f>
        <v/>
      </c>
      <c r="M2474" s="64"/>
      <c r="N2474" s="69"/>
      <c r="O2474" s="64"/>
      <c r="P2474" s="64"/>
      <c r="Q2474" s="69"/>
      <c r="R2474" s="69"/>
      <c r="S2474" s="69"/>
    </row>
    <row r="2475" s="2" customFormat="1" ht="24.95" customHeight="1" spans="1:19">
      <c r="A2475" s="15"/>
      <c r="B2475" s="55"/>
      <c r="C2475" s="56"/>
      <c r="D2475" s="68"/>
      <c r="E2475" s="69"/>
      <c r="F2475" s="69"/>
      <c r="G2475" s="65"/>
      <c r="H2475" s="65"/>
      <c r="I2475" s="70"/>
      <c r="J2475" s="71"/>
      <c r="K2475" s="71"/>
      <c r="L2475" s="72" t="str">
        <f>IFERROR(IF(G2475="","",VLOOKUP($G2475,[1]基础信息!$B:$C,2,FALSE)+SUMIF(G$8:G2475,G2475,J$8:J2475)-SUMIF(G$8:G2475,G2475,K$8:K2475)+SUMIFS([1]内部转账!$G:$G,[1]内部转账!$C:$C,"&lt;="&amp;$D2475,[1]内部转账!$E:$E,$G2475)-SUMIFS([1]内部转账!$G:$G,[1]内部转账!$C:$C,"&lt;="&amp;$D2475,[1]内部转账!$F:$F,$G2475)),"")</f>
        <v/>
      </c>
      <c r="M2475" s="64"/>
      <c r="N2475" s="69"/>
      <c r="O2475" s="64"/>
      <c r="P2475" s="64"/>
      <c r="Q2475" s="69"/>
      <c r="R2475" s="69"/>
      <c r="S2475" s="69"/>
    </row>
    <row r="2476" s="2" customFormat="1" ht="24.95" customHeight="1" spans="1:19">
      <c r="A2476" s="15"/>
      <c r="B2476" s="55"/>
      <c r="C2476" s="56"/>
      <c r="D2476" s="68"/>
      <c r="E2476" s="69"/>
      <c r="F2476" s="69"/>
      <c r="G2476" s="65"/>
      <c r="H2476" s="65"/>
      <c r="I2476" s="70"/>
      <c r="J2476" s="71"/>
      <c r="K2476" s="71"/>
      <c r="L2476" s="72" t="str">
        <f>IFERROR(IF(G2476="","",VLOOKUP($G2476,[1]基础信息!$B:$C,2,FALSE)+SUMIF(G$8:G2476,G2476,J$8:J2476)-SUMIF(G$8:G2476,G2476,K$8:K2476)+SUMIFS([1]内部转账!$G:$G,[1]内部转账!$C:$C,"&lt;="&amp;$D2476,[1]内部转账!$E:$E,$G2476)-SUMIFS([1]内部转账!$G:$G,[1]内部转账!$C:$C,"&lt;="&amp;$D2476,[1]内部转账!$F:$F,$G2476)),"")</f>
        <v/>
      </c>
      <c r="M2476" s="64"/>
      <c r="N2476" s="69"/>
      <c r="O2476" s="64"/>
      <c r="P2476" s="64"/>
      <c r="Q2476" s="69"/>
      <c r="R2476" s="69"/>
      <c r="S2476" s="69"/>
    </row>
    <row r="2477" s="2" customFormat="1" ht="24.95" customHeight="1" spans="1:19">
      <c r="A2477" s="15"/>
      <c r="B2477" s="55"/>
      <c r="C2477" s="56"/>
      <c r="D2477" s="68"/>
      <c r="E2477" s="69"/>
      <c r="F2477" s="69"/>
      <c r="G2477" s="65"/>
      <c r="H2477" s="65"/>
      <c r="I2477" s="70"/>
      <c r="J2477" s="71"/>
      <c r="K2477" s="71"/>
      <c r="L2477" s="72" t="str">
        <f>IFERROR(IF(G2477="","",VLOOKUP($G2477,[1]基础信息!$B:$C,2,FALSE)+SUMIF(G$8:G2477,G2477,J$8:J2477)-SUMIF(G$8:G2477,G2477,K$8:K2477)+SUMIFS([1]内部转账!$G:$G,[1]内部转账!$C:$C,"&lt;="&amp;$D2477,[1]内部转账!$E:$E,$G2477)-SUMIFS([1]内部转账!$G:$G,[1]内部转账!$C:$C,"&lt;="&amp;$D2477,[1]内部转账!$F:$F,$G2477)),"")</f>
        <v/>
      </c>
      <c r="M2477" s="64"/>
      <c r="N2477" s="69"/>
      <c r="O2477" s="64"/>
      <c r="P2477" s="64"/>
      <c r="Q2477" s="69"/>
      <c r="R2477" s="69"/>
      <c r="S2477" s="69"/>
    </row>
    <row r="2478" s="2" customFormat="1" ht="24.95" customHeight="1" spans="1:19">
      <c r="A2478" s="15"/>
      <c r="B2478" s="55"/>
      <c r="C2478" s="56"/>
      <c r="D2478" s="68"/>
      <c r="E2478" s="69"/>
      <c r="F2478" s="69"/>
      <c r="G2478" s="65"/>
      <c r="H2478" s="65"/>
      <c r="I2478" s="70"/>
      <c r="J2478" s="71"/>
      <c r="K2478" s="71"/>
      <c r="L2478" s="72" t="str">
        <f>IFERROR(IF(G2478="","",VLOOKUP($G2478,[1]基础信息!$B:$C,2,FALSE)+SUMIF(G$8:G2478,G2478,J$8:J2478)-SUMIF(G$8:G2478,G2478,K$8:K2478)+SUMIFS([1]内部转账!$G:$G,[1]内部转账!$C:$C,"&lt;="&amp;$D2478,[1]内部转账!$E:$E,$G2478)-SUMIFS([1]内部转账!$G:$G,[1]内部转账!$C:$C,"&lt;="&amp;$D2478,[1]内部转账!$F:$F,$G2478)),"")</f>
        <v/>
      </c>
      <c r="M2478" s="64"/>
      <c r="N2478" s="69"/>
      <c r="O2478" s="64"/>
      <c r="P2478" s="64"/>
      <c r="Q2478" s="69"/>
      <c r="R2478" s="69"/>
      <c r="S2478" s="69"/>
    </row>
    <row r="2479" s="2" customFormat="1" ht="24.95" customHeight="1" spans="1:19">
      <c r="A2479" s="15"/>
      <c r="B2479" s="55"/>
      <c r="C2479" s="56"/>
      <c r="D2479" s="68"/>
      <c r="E2479" s="69"/>
      <c r="F2479" s="69"/>
      <c r="G2479" s="65"/>
      <c r="H2479" s="65"/>
      <c r="I2479" s="70"/>
      <c r="J2479" s="71"/>
      <c r="K2479" s="71"/>
      <c r="L2479" s="72" t="str">
        <f>IFERROR(IF(G2479="","",VLOOKUP($G2479,[1]基础信息!$B:$C,2,FALSE)+SUMIF(G$8:G2479,G2479,J$8:J2479)-SUMIF(G$8:G2479,G2479,K$8:K2479)+SUMIFS([1]内部转账!$G:$G,[1]内部转账!$C:$C,"&lt;="&amp;$D2479,[1]内部转账!$E:$E,$G2479)-SUMIFS([1]内部转账!$G:$G,[1]内部转账!$C:$C,"&lt;="&amp;$D2479,[1]内部转账!$F:$F,$G2479)),"")</f>
        <v/>
      </c>
      <c r="M2479" s="64"/>
      <c r="N2479" s="69"/>
      <c r="O2479" s="64"/>
      <c r="P2479" s="64"/>
      <c r="Q2479" s="69"/>
      <c r="R2479" s="69"/>
      <c r="S2479" s="69"/>
    </row>
    <row r="2480" s="2" customFormat="1" ht="24.95" customHeight="1" spans="1:19">
      <c r="A2480" s="15"/>
      <c r="B2480" s="55"/>
      <c r="C2480" s="56"/>
      <c r="D2480" s="68"/>
      <c r="E2480" s="69"/>
      <c r="F2480" s="69"/>
      <c r="G2480" s="65"/>
      <c r="H2480" s="65"/>
      <c r="I2480" s="70"/>
      <c r="J2480" s="71"/>
      <c r="K2480" s="71"/>
      <c r="L2480" s="72" t="str">
        <f>IFERROR(IF(G2480="","",VLOOKUP($G2480,[1]基础信息!$B:$C,2,FALSE)+SUMIF(G$8:G2480,G2480,J$8:J2480)-SUMIF(G$8:G2480,G2480,K$8:K2480)+SUMIFS([1]内部转账!$G:$G,[1]内部转账!$C:$C,"&lt;="&amp;$D2480,[1]内部转账!$E:$E,$G2480)-SUMIFS([1]内部转账!$G:$G,[1]内部转账!$C:$C,"&lt;="&amp;$D2480,[1]内部转账!$F:$F,$G2480)),"")</f>
        <v/>
      </c>
      <c r="M2480" s="64"/>
      <c r="N2480" s="69"/>
      <c r="O2480" s="64"/>
      <c r="P2480" s="64"/>
      <c r="Q2480" s="69"/>
      <c r="R2480" s="69"/>
      <c r="S2480" s="69"/>
    </row>
    <row r="2481" s="2" customFormat="1" ht="24.95" customHeight="1" spans="1:19">
      <c r="A2481" s="15"/>
      <c r="B2481" s="55"/>
      <c r="C2481" s="56"/>
      <c r="D2481" s="68"/>
      <c r="E2481" s="69"/>
      <c r="F2481" s="69"/>
      <c r="G2481" s="65"/>
      <c r="H2481" s="65"/>
      <c r="I2481" s="70"/>
      <c r="J2481" s="71"/>
      <c r="K2481" s="71"/>
      <c r="L2481" s="72" t="str">
        <f>IFERROR(IF(G2481="","",VLOOKUP($G2481,[1]基础信息!$B:$C,2,FALSE)+SUMIF(G$8:G2481,G2481,J$8:J2481)-SUMIF(G$8:G2481,G2481,K$8:K2481)+SUMIFS([1]内部转账!$G:$G,[1]内部转账!$C:$C,"&lt;="&amp;$D2481,[1]内部转账!$E:$E,$G2481)-SUMIFS([1]内部转账!$G:$G,[1]内部转账!$C:$C,"&lt;="&amp;$D2481,[1]内部转账!$F:$F,$G2481)),"")</f>
        <v/>
      </c>
      <c r="M2481" s="64"/>
      <c r="N2481" s="69"/>
      <c r="O2481" s="64"/>
      <c r="P2481" s="64"/>
      <c r="Q2481" s="69"/>
      <c r="R2481" s="69"/>
      <c r="S2481" s="69"/>
    </row>
    <row r="2482" s="2" customFormat="1" ht="24.95" customHeight="1" spans="1:19">
      <c r="A2482" s="15"/>
      <c r="B2482" s="55"/>
      <c r="C2482" s="56"/>
      <c r="D2482" s="68"/>
      <c r="E2482" s="69"/>
      <c r="F2482" s="69"/>
      <c r="G2482" s="65"/>
      <c r="H2482" s="65"/>
      <c r="I2482" s="70"/>
      <c r="J2482" s="71"/>
      <c r="K2482" s="71"/>
      <c r="L2482" s="72" t="str">
        <f>IFERROR(IF(G2482="","",VLOOKUP($G2482,[1]基础信息!$B:$C,2,FALSE)+SUMIF(G$8:G2482,G2482,J$8:J2482)-SUMIF(G$8:G2482,G2482,K$8:K2482)+SUMIFS([1]内部转账!$G:$G,[1]内部转账!$C:$C,"&lt;="&amp;$D2482,[1]内部转账!$E:$E,$G2482)-SUMIFS([1]内部转账!$G:$G,[1]内部转账!$C:$C,"&lt;="&amp;$D2482,[1]内部转账!$F:$F,$G2482)),"")</f>
        <v/>
      </c>
      <c r="M2482" s="64"/>
      <c r="N2482" s="69"/>
      <c r="O2482" s="64"/>
      <c r="P2482" s="64"/>
      <c r="Q2482" s="69"/>
      <c r="R2482" s="69"/>
      <c r="S2482" s="69"/>
    </row>
    <row r="2483" s="2" customFormat="1" ht="24.95" customHeight="1" spans="1:19">
      <c r="A2483" s="15"/>
      <c r="B2483" s="55"/>
      <c r="C2483" s="56"/>
      <c r="D2483" s="68"/>
      <c r="E2483" s="69"/>
      <c r="F2483" s="69"/>
      <c r="G2483" s="65"/>
      <c r="H2483" s="65"/>
      <c r="I2483" s="70"/>
      <c r="J2483" s="71"/>
      <c r="K2483" s="71"/>
      <c r="L2483" s="72" t="str">
        <f>IFERROR(IF(G2483="","",VLOOKUP($G2483,[1]基础信息!$B:$C,2,FALSE)+SUMIF(G$8:G2483,G2483,J$8:J2483)-SUMIF(G$8:G2483,G2483,K$8:K2483)+SUMIFS([1]内部转账!$G:$G,[1]内部转账!$C:$C,"&lt;="&amp;$D2483,[1]内部转账!$E:$E,$G2483)-SUMIFS([1]内部转账!$G:$G,[1]内部转账!$C:$C,"&lt;="&amp;$D2483,[1]内部转账!$F:$F,$G2483)),"")</f>
        <v/>
      </c>
      <c r="M2483" s="64"/>
      <c r="N2483" s="69"/>
      <c r="O2483" s="64"/>
      <c r="P2483" s="64"/>
      <c r="Q2483" s="69"/>
      <c r="R2483" s="69"/>
      <c r="S2483" s="69"/>
    </row>
    <row r="2484" s="2" customFormat="1" ht="24.95" customHeight="1" spans="1:19">
      <c r="A2484" s="15"/>
      <c r="B2484" s="55"/>
      <c r="C2484" s="56"/>
      <c r="D2484" s="68"/>
      <c r="E2484" s="69"/>
      <c r="F2484" s="69"/>
      <c r="G2484" s="65"/>
      <c r="H2484" s="65"/>
      <c r="I2484" s="70"/>
      <c r="J2484" s="71"/>
      <c r="K2484" s="71"/>
      <c r="L2484" s="72" t="str">
        <f>IFERROR(IF(G2484="","",VLOOKUP($G2484,[1]基础信息!$B:$C,2,FALSE)+SUMIF(G$8:G2484,G2484,J$8:J2484)-SUMIF(G$8:G2484,G2484,K$8:K2484)+SUMIFS([1]内部转账!$G:$G,[1]内部转账!$C:$C,"&lt;="&amp;$D2484,[1]内部转账!$E:$E,$G2484)-SUMIFS([1]内部转账!$G:$G,[1]内部转账!$C:$C,"&lt;="&amp;$D2484,[1]内部转账!$F:$F,$G2484)),"")</f>
        <v/>
      </c>
      <c r="M2484" s="64"/>
      <c r="N2484" s="69"/>
      <c r="O2484" s="64"/>
      <c r="P2484" s="64"/>
      <c r="Q2484" s="69"/>
      <c r="R2484" s="69"/>
      <c r="S2484" s="69"/>
    </row>
    <row r="2485" s="2" customFormat="1" ht="24.95" customHeight="1" spans="1:19">
      <c r="A2485" s="15"/>
      <c r="B2485" s="55"/>
      <c r="C2485" s="56"/>
      <c r="D2485" s="68"/>
      <c r="E2485" s="69"/>
      <c r="F2485" s="69"/>
      <c r="G2485" s="65"/>
      <c r="H2485" s="65"/>
      <c r="I2485" s="70"/>
      <c r="J2485" s="71"/>
      <c r="K2485" s="71"/>
      <c r="L2485" s="72" t="str">
        <f>IFERROR(IF(G2485="","",VLOOKUP($G2485,[1]基础信息!$B:$C,2,FALSE)+SUMIF(G$8:G2485,G2485,J$8:J2485)-SUMIF(G$8:G2485,G2485,K$8:K2485)+SUMIFS([1]内部转账!$G:$G,[1]内部转账!$C:$C,"&lt;="&amp;$D2485,[1]内部转账!$E:$E,$G2485)-SUMIFS([1]内部转账!$G:$G,[1]内部转账!$C:$C,"&lt;="&amp;$D2485,[1]内部转账!$F:$F,$G2485)),"")</f>
        <v/>
      </c>
      <c r="M2485" s="64"/>
      <c r="N2485" s="69"/>
      <c r="O2485" s="64"/>
      <c r="P2485" s="64"/>
      <c r="Q2485" s="69"/>
      <c r="R2485" s="69"/>
      <c r="S2485" s="69"/>
    </row>
    <row r="2486" s="2" customFormat="1" ht="24.95" customHeight="1" spans="1:19">
      <c r="A2486" s="15"/>
      <c r="B2486" s="55"/>
      <c r="C2486" s="56"/>
      <c r="D2486" s="68"/>
      <c r="E2486" s="69"/>
      <c r="F2486" s="69"/>
      <c r="G2486" s="65"/>
      <c r="H2486" s="65"/>
      <c r="I2486" s="70"/>
      <c r="J2486" s="71"/>
      <c r="K2486" s="71"/>
      <c r="L2486" s="72" t="str">
        <f>IFERROR(IF(G2486="","",VLOOKUP($G2486,[1]基础信息!$B:$C,2,FALSE)+SUMIF(G$8:G2486,G2486,J$8:J2486)-SUMIF(G$8:G2486,G2486,K$8:K2486)+SUMIFS([1]内部转账!$G:$G,[1]内部转账!$C:$C,"&lt;="&amp;$D2486,[1]内部转账!$E:$E,$G2486)-SUMIFS([1]内部转账!$G:$G,[1]内部转账!$C:$C,"&lt;="&amp;$D2486,[1]内部转账!$F:$F,$G2486)),"")</f>
        <v/>
      </c>
      <c r="M2486" s="64"/>
      <c r="N2486" s="69"/>
      <c r="O2486" s="64"/>
      <c r="P2486" s="64"/>
      <c r="Q2486" s="69"/>
      <c r="R2486" s="69"/>
      <c r="S2486" s="69"/>
    </row>
    <row r="2487" s="2" customFormat="1" ht="24.95" customHeight="1" spans="1:19">
      <c r="A2487" s="15"/>
      <c r="B2487" s="55"/>
      <c r="C2487" s="56"/>
      <c r="D2487" s="68"/>
      <c r="E2487" s="69"/>
      <c r="F2487" s="69"/>
      <c r="G2487" s="65"/>
      <c r="H2487" s="65"/>
      <c r="I2487" s="70"/>
      <c r="J2487" s="71"/>
      <c r="K2487" s="71"/>
      <c r="L2487" s="72" t="str">
        <f>IFERROR(IF(G2487="","",VLOOKUP($G2487,[1]基础信息!$B:$C,2,FALSE)+SUMIF(G$8:G2487,G2487,J$8:J2487)-SUMIF(G$8:G2487,G2487,K$8:K2487)+SUMIFS([1]内部转账!$G:$G,[1]内部转账!$C:$C,"&lt;="&amp;$D2487,[1]内部转账!$E:$E,$G2487)-SUMIFS([1]内部转账!$G:$G,[1]内部转账!$C:$C,"&lt;="&amp;$D2487,[1]内部转账!$F:$F,$G2487)),"")</f>
        <v/>
      </c>
      <c r="M2487" s="64"/>
      <c r="N2487" s="69"/>
      <c r="O2487" s="64"/>
      <c r="P2487" s="64"/>
      <c r="Q2487" s="69"/>
      <c r="R2487" s="69"/>
      <c r="S2487" s="69"/>
    </row>
    <row r="2488" s="2" customFormat="1" ht="24.95" customHeight="1" spans="1:19">
      <c r="A2488" s="15"/>
      <c r="B2488" s="55"/>
      <c r="C2488" s="56"/>
      <c r="D2488" s="68"/>
      <c r="E2488" s="69"/>
      <c r="F2488" s="69"/>
      <c r="G2488" s="65"/>
      <c r="H2488" s="65"/>
      <c r="I2488" s="70"/>
      <c r="J2488" s="71"/>
      <c r="K2488" s="71"/>
      <c r="L2488" s="72" t="str">
        <f>IFERROR(IF(G2488="","",VLOOKUP($G2488,[1]基础信息!$B:$C,2,FALSE)+SUMIF(G$8:G2488,G2488,J$8:J2488)-SUMIF(G$8:G2488,G2488,K$8:K2488)+SUMIFS([1]内部转账!$G:$G,[1]内部转账!$C:$C,"&lt;="&amp;$D2488,[1]内部转账!$E:$E,$G2488)-SUMIFS([1]内部转账!$G:$G,[1]内部转账!$C:$C,"&lt;="&amp;$D2488,[1]内部转账!$F:$F,$G2488)),"")</f>
        <v/>
      </c>
      <c r="M2488" s="64"/>
      <c r="N2488" s="69"/>
      <c r="O2488" s="64"/>
      <c r="P2488" s="64"/>
      <c r="Q2488" s="69"/>
      <c r="R2488" s="69"/>
      <c r="S2488" s="69"/>
    </row>
    <row r="2489" s="2" customFormat="1" ht="24.95" customHeight="1" spans="1:19">
      <c r="A2489" s="15"/>
      <c r="B2489" s="55"/>
      <c r="C2489" s="56"/>
      <c r="D2489" s="68"/>
      <c r="E2489" s="69"/>
      <c r="F2489" s="69"/>
      <c r="G2489" s="65"/>
      <c r="H2489" s="65"/>
      <c r="I2489" s="70"/>
      <c r="J2489" s="71"/>
      <c r="K2489" s="71"/>
      <c r="L2489" s="72" t="str">
        <f>IFERROR(IF(G2489="","",VLOOKUP($G2489,[1]基础信息!$B:$C,2,FALSE)+SUMIF(G$8:G2489,G2489,J$8:J2489)-SUMIF(G$8:G2489,G2489,K$8:K2489)+SUMIFS([1]内部转账!$G:$G,[1]内部转账!$C:$C,"&lt;="&amp;$D2489,[1]内部转账!$E:$E,$G2489)-SUMIFS([1]内部转账!$G:$G,[1]内部转账!$C:$C,"&lt;="&amp;$D2489,[1]内部转账!$F:$F,$G2489)),"")</f>
        <v/>
      </c>
      <c r="M2489" s="64"/>
      <c r="N2489" s="69"/>
      <c r="O2489" s="64"/>
      <c r="P2489" s="64"/>
      <c r="Q2489" s="69"/>
      <c r="R2489" s="69"/>
      <c r="S2489" s="69"/>
    </row>
    <row r="2490" s="2" customFormat="1" ht="24.95" customHeight="1" spans="1:19">
      <c r="A2490" s="15"/>
      <c r="B2490" s="55"/>
      <c r="C2490" s="56"/>
      <c r="D2490" s="68"/>
      <c r="E2490" s="69"/>
      <c r="F2490" s="69"/>
      <c r="G2490" s="65"/>
      <c r="H2490" s="65"/>
      <c r="I2490" s="70"/>
      <c r="J2490" s="71"/>
      <c r="K2490" s="71"/>
      <c r="L2490" s="72" t="str">
        <f>IFERROR(IF(G2490="","",VLOOKUP($G2490,[1]基础信息!$B:$C,2,FALSE)+SUMIF(G$8:G2490,G2490,J$8:J2490)-SUMIF(G$8:G2490,G2490,K$8:K2490)+SUMIFS([1]内部转账!$G:$G,[1]内部转账!$C:$C,"&lt;="&amp;$D2490,[1]内部转账!$E:$E,$G2490)-SUMIFS([1]内部转账!$G:$G,[1]内部转账!$C:$C,"&lt;="&amp;$D2490,[1]内部转账!$F:$F,$G2490)),"")</f>
        <v/>
      </c>
      <c r="M2490" s="64"/>
      <c r="N2490" s="69"/>
      <c r="O2490" s="64"/>
      <c r="P2490" s="64"/>
      <c r="Q2490" s="69"/>
      <c r="R2490" s="69"/>
      <c r="S2490" s="69"/>
    </row>
    <row r="2491" s="2" customFormat="1" ht="24.95" customHeight="1" spans="1:19">
      <c r="A2491" s="15"/>
      <c r="B2491" s="55"/>
      <c r="C2491" s="56"/>
      <c r="D2491" s="68"/>
      <c r="E2491" s="69"/>
      <c r="F2491" s="69"/>
      <c r="G2491" s="65"/>
      <c r="H2491" s="65"/>
      <c r="I2491" s="70"/>
      <c r="J2491" s="71"/>
      <c r="K2491" s="71"/>
      <c r="L2491" s="72" t="str">
        <f>IFERROR(IF(G2491="","",VLOOKUP($G2491,[1]基础信息!$B:$C,2,FALSE)+SUMIF(G$8:G2491,G2491,J$8:J2491)-SUMIF(G$8:G2491,G2491,K$8:K2491)+SUMIFS([1]内部转账!$G:$G,[1]内部转账!$C:$C,"&lt;="&amp;$D2491,[1]内部转账!$E:$E,$G2491)-SUMIFS([1]内部转账!$G:$G,[1]内部转账!$C:$C,"&lt;="&amp;$D2491,[1]内部转账!$F:$F,$G2491)),"")</f>
        <v/>
      </c>
      <c r="M2491" s="64"/>
      <c r="N2491" s="69"/>
      <c r="O2491" s="64"/>
      <c r="P2491" s="64"/>
      <c r="Q2491" s="69"/>
      <c r="R2491" s="69"/>
      <c r="S2491" s="69"/>
    </row>
    <row r="2492" s="2" customFormat="1" ht="24.95" customHeight="1" spans="1:19">
      <c r="A2492" s="15"/>
      <c r="B2492" s="55"/>
      <c r="C2492" s="56"/>
      <c r="D2492" s="68"/>
      <c r="E2492" s="69"/>
      <c r="F2492" s="69"/>
      <c r="G2492" s="65"/>
      <c r="H2492" s="65"/>
      <c r="I2492" s="70"/>
      <c r="J2492" s="71"/>
      <c r="K2492" s="71"/>
      <c r="L2492" s="72" t="str">
        <f>IFERROR(IF(G2492="","",VLOOKUP($G2492,[1]基础信息!$B:$C,2,FALSE)+SUMIF(G$8:G2492,G2492,J$8:J2492)-SUMIF(G$8:G2492,G2492,K$8:K2492)+SUMIFS([1]内部转账!$G:$G,[1]内部转账!$C:$C,"&lt;="&amp;$D2492,[1]内部转账!$E:$E,$G2492)-SUMIFS([1]内部转账!$G:$G,[1]内部转账!$C:$C,"&lt;="&amp;$D2492,[1]内部转账!$F:$F,$G2492)),"")</f>
        <v/>
      </c>
      <c r="M2492" s="64"/>
      <c r="N2492" s="69"/>
      <c r="O2492" s="64"/>
      <c r="P2492" s="64"/>
      <c r="Q2492" s="69"/>
      <c r="R2492" s="69"/>
      <c r="S2492" s="69"/>
    </row>
    <row r="2493" s="2" customFormat="1" ht="24.95" customHeight="1" spans="1:19">
      <c r="A2493" s="15"/>
      <c r="B2493" s="55"/>
      <c r="C2493" s="56"/>
      <c r="D2493" s="68"/>
      <c r="E2493" s="69"/>
      <c r="F2493" s="69"/>
      <c r="G2493" s="65"/>
      <c r="H2493" s="65"/>
      <c r="I2493" s="70"/>
      <c r="J2493" s="71"/>
      <c r="K2493" s="71"/>
      <c r="L2493" s="72" t="str">
        <f>IFERROR(IF(G2493="","",VLOOKUP($G2493,[1]基础信息!$B:$C,2,FALSE)+SUMIF(G$8:G2493,G2493,J$8:J2493)-SUMIF(G$8:G2493,G2493,K$8:K2493)+SUMIFS([1]内部转账!$G:$G,[1]内部转账!$C:$C,"&lt;="&amp;$D2493,[1]内部转账!$E:$E,$G2493)-SUMIFS([1]内部转账!$G:$G,[1]内部转账!$C:$C,"&lt;="&amp;$D2493,[1]内部转账!$F:$F,$G2493)),"")</f>
        <v/>
      </c>
      <c r="M2493" s="64"/>
      <c r="N2493" s="69"/>
      <c r="O2493" s="64"/>
      <c r="P2493" s="64"/>
      <c r="Q2493" s="69"/>
      <c r="R2493" s="69"/>
      <c r="S2493" s="69"/>
    </row>
    <row r="2494" s="2" customFormat="1" ht="24.95" customHeight="1" spans="1:19">
      <c r="A2494" s="15"/>
      <c r="B2494" s="55"/>
      <c r="C2494" s="56"/>
      <c r="D2494" s="68"/>
      <c r="E2494" s="69"/>
      <c r="F2494" s="69"/>
      <c r="G2494" s="65"/>
      <c r="H2494" s="65"/>
      <c r="I2494" s="70"/>
      <c r="J2494" s="71"/>
      <c r="K2494" s="71"/>
      <c r="L2494" s="72" t="str">
        <f>IFERROR(IF(G2494="","",VLOOKUP($G2494,[1]基础信息!$B:$C,2,FALSE)+SUMIF(G$8:G2494,G2494,J$8:J2494)-SUMIF(G$8:G2494,G2494,K$8:K2494)+SUMIFS([1]内部转账!$G:$G,[1]内部转账!$C:$C,"&lt;="&amp;$D2494,[1]内部转账!$E:$E,$G2494)-SUMIFS([1]内部转账!$G:$G,[1]内部转账!$C:$C,"&lt;="&amp;$D2494,[1]内部转账!$F:$F,$G2494)),"")</f>
        <v/>
      </c>
      <c r="M2494" s="64"/>
      <c r="N2494" s="69"/>
      <c r="O2494" s="64"/>
      <c r="P2494" s="64"/>
      <c r="Q2494" s="69"/>
      <c r="R2494" s="69"/>
      <c r="S2494" s="69"/>
    </row>
    <row r="2495" s="2" customFormat="1" ht="24.95" customHeight="1" spans="1:19">
      <c r="A2495" s="15"/>
      <c r="B2495" s="55"/>
      <c r="C2495" s="56"/>
      <c r="D2495" s="68"/>
      <c r="E2495" s="69"/>
      <c r="F2495" s="69"/>
      <c r="G2495" s="65"/>
      <c r="H2495" s="65"/>
      <c r="I2495" s="70"/>
      <c r="J2495" s="71"/>
      <c r="K2495" s="71"/>
      <c r="L2495" s="72" t="str">
        <f>IFERROR(IF(G2495="","",VLOOKUP($G2495,[1]基础信息!$B:$C,2,FALSE)+SUMIF(G$8:G2495,G2495,J$8:J2495)-SUMIF(G$8:G2495,G2495,K$8:K2495)+SUMIFS([1]内部转账!$G:$G,[1]内部转账!$C:$C,"&lt;="&amp;$D2495,[1]内部转账!$E:$E,$G2495)-SUMIFS([1]内部转账!$G:$G,[1]内部转账!$C:$C,"&lt;="&amp;$D2495,[1]内部转账!$F:$F,$G2495)),"")</f>
        <v/>
      </c>
      <c r="M2495" s="64"/>
      <c r="N2495" s="69"/>
      <c r="O2495" s="64"/>
      <c r="P2495" s="64"/>
      <c r="Q2495" s="69"/>
      <c r="R2495" s="69"/>
      <c r="S2495" s="69"/>
    </row>
    <row r="2496" s="2" customFormat="1" ht="24.95" customHeight="1" spans="1:19">
      <c r="A2496" s="15"/>
      <c r="B2496" s="55"/>
      <c r="C2496" s="56"/>
      <c r="D2496" s="68"/>
      <c r="E2496" s="69"/>
      <c r="F2496" s="69"/>
      <c r="G2496" s="65"/>
      <c r="H2496" s="65"/>
      <c r="I2496" s="70"/>
      <c r="J2496" s="71"/>
      <c r="K2496" s="71"/>
      <c r="L2496" s="72" t="str">
        <f>IFERROR(IF(G2496="","",VLOOKUP($G2496,[1]基础信息!$B:$C,2,FALSE)+SUMIF(G$8:G2496,G2496,J$8:J2496)-SUMIF(G$8:G2496,G2496,K$8:K2496)+SUMIFS([1]内部转账!$G:$G,[1]内部转账!$C:$C,"&lt;="&amp;$D2496,[1]内部转账!$E:$E,$G2496)-SUMIFS([1]内部转账!$G:$G,[1]内部转账!$C:$C,"&lt;="&amp;$D2496,[1]内部转账!$F:$F,$G2496)),"")</f>
        <v/>
      </c>
      <c r="M2496" s="64"/>
      <c r="N2496" s="69"/>
      <c r="O2496" s="64"/>
      <c r="P2496" s="64"/>
      <c r="Q2496" s="69"/>
      <c r="R2496" s="69"/>
      <c r="S2496" s="69"/>
    </row>
    <row r="2497" s="2" customFormat="1" ht="24.95" customHeight="1" spans="1:19">
      <c r="A2497" s="15"/>
      <c r="B2497" s="55"/>
      <c r="C2497" s="56"/>
      <c r="D2497" s="68"/>
      <c r="E2497" s="69"/>
      <c r="F2497" s="69"/>
      <c r="G2497" s="65"/>
      <c r="H2497" s="65"/>
      <c r="I2497" s="70"/>
      <c r="J2497" s="71"/>
      <c r="K2497" s="71"/>
      <c r="L2497" s="72" t="str">
        <f>IFERROR(IF(G2497="","",VLOOKUP($G2497,[1]基础信息!$B:$C,2,FALSE)+SUMIF(G$8:G2497,G2497,J$8:J2497)-SUMIF(G$8:G2497,G2497,K$8:K2497)+SUMIFS([1]内部转账!$G:$G,[1]内部转账!$C:$C,"&lt;="&amp;$D2497,[1]内部转账!$E:$E,$G2497)-SUMIFS([1]内部转账!$G:$G,[1]内部转账!$C:$C,"&lt;="&amp;$D2497,[1]内部转账!$F:$F,$G2497)),"")</f>
        <v/>
      </c>
      <c r="M2497" s="64"/>
      <c r="N2497" s="69"/>
      <c r="O2497" s="64"/>
      <c r="P2497" s="64"/>
      <c r="Q2497" s="69"/>
      <c r="R2497" s="69"/>
      <c r="S2497" s="69"/>
    </row>
    <row r="2498" s="2" customFormat="1" ht="24.95" customHeight="1" spans="1:19">
      <c r="A2498" s="15"/>
      <c r="B2498" s="55"/>
      <c r="C2498" s="56"/>
      <c r="D2498" s="68"/>
      <c r="E2498" s="69"/>
      <c r="F2498" s="69"/>
      <c r="G2498" s="65"/>
      <c r="H2498" s="65"/>
      <c r="I2498" s="70"/>
      <c r="J2498" s="71"/>
      <c r="K2498" s="71"/>
      <c r="L2498" s="72" t="str">
        <f>IFERROR(IF(G2498="","",VLOOKUP($G2498,[1]基础信息!$B:$C,2,FALSE)+SUMIF(G$8:G2498,G2498,J$8:J2498)-SUMIF(G$8:G2498,G2498,K$8:K2498)+SUMIFS([1]内部转账!$G:$G,[1]内部转账!$C:$C,"&lt;="&amp;$D2498,[1]内部转账!$E:$E,$G2498)-SUMIFS([1]内部转账!$G:$G,[1]内部转账!$C:$C,"&lt;="&amp;$D2498,[1]内部转账!$F:$F,$G2498)),"")</f>
        <v/>
      </c>
      <c r="M2498" s="64"/>
      <c r="N2498" s="69"/>
      <c r="O2498" s="64"/>
      <c r="P2498" s="64"/>
      <c r="Q2498" s="69"/>
      <c r="R2498" s="69"/>
      <c r="S2498" s="69"/>
    </row>
    <row r="2499" s="2" customFormat="1" ht="24.95" customHeight="1" spans="1:19">
      <c r="A2499" s="15"/>
      <c r="B2499" s="55"/>
      <c r="C2499" s="56"/>
      <c r="D2499" s="68"/>
      <c r="E2499" s="69"/>
      <c r="F2499" s="69"/>
      <c r="G2499" s="65"/>
      <c r="H2499" s="65"/>
      <c r="I2499" s="70"/>
      <c r="J2499" s="71"/>
      <c r="K2499" s="71"/>
      <c r="L2499" s="72" t="str">
        <f>IFERROR(IF(G2499="","",VLOOKUP($G2499,[1]基础信息!$B:$C,2,FALSE)+SUMIF(G$8:G2499,G2499,J$8:J2499)-SUMIF(G$8:G2499,G2499,K$8:K2499)+SUMIFS([1]内部转账!$G:$G,[1]内部转账!$C:$C,"&lt;="&amp;$D2499,[1]内部转账!$E:$E,$G2499)-SUMIFS([1]内部转账!$G:$G,[1]内部转账!$C:$C,"&lt;="&amp;$D2499,[1]内部转账!$F:$F,$G2499)),"")</f>
        <v/>
      </c>
      <c r="M2499" s="64"/>
      <c r="N2499" s="69"/>
      <c r="O2499" s="64"/>
      <c r="P2499" s="64"/>
      <c r="Q2499" s="69"/>
      <c r="R2499" s="69"/>
      <c r="S2499" s="69"/>
    </row>
    <row r="2500" s="2" customFormat="1" ht="24.95" customHeight="1" spans="1:19">
      <c r="A2500" s="15"/>
      <c r="B2500" s="55"/>
      <c r="C2500" s="56"/>
      <c r="D2500" s="68"/>
      <c r="E2500" s="69"/>
      <c r="F2500" s="69"/>
      <c r="G2500" s="65"/>
      <c r="H2500" s="65"/>
      <c r="I2500" s="70"/>
      <c r="J2500" s="71"/>
      <c r="K2500" s="71"/>
      <c r="L2500" s="72" t="str">
        <f>IFERROR(IF(G2500="","",VLOOKUP($G2500,[1]基础信息!$B:$C,2,FALSE)+SUMIF(G$8:G2500,G2500,J$8:J2500)-SUMIF(G$8:G2500,G2500,K$8:K2500)+SUMIFS([1]内部转账!$G:$G,[1]内部转账!$C:$C,"&lt;="&amp;$D2500,[1]内部转账!$E:$E,$G2500)-SUMIFS([1]内部转账!$G:$G,[1]内部转账!$C:$C,"&lt;="&amp;$D2500,[1]内部转账!$F:$F,$G2500)),"")</f>
        <v/>
      </c>
      <c r="M2500" s="64"/>
      <c r="N2500" s="69"/>
      <c r="O2500" s="64"/>
      <c r="P2500" s="64"/>
      <c r="Q2500" s="69"/>
      <c r="R2500" s="69"/>
      <c r="S2500" s="69"/>
    </row>
    <row r="2501" s="2" customFormat="1" ht="24.95" customHeight="1" spans="1:19">
      <c r="A2501" s="15"/>
      <c r="B2501" s="55"/>
      <c r="C2501" s="56"/>
      <c r="D2501" s="68"/>
      <c r="E2501" s="69"/>
      <c r="F2501" s="69"/>
      <c r="G2501" s="65"/>
      <c r="H2501" s="65"/>
      <c r="I2501" s="70"/>
      <c r="J2501" s="71"/>
      <c r="K2501" s="71"/>
      <c r="L2501" s="72" t="str">
        <f>IFERROR(IF(G2501="","",VLOOKUP($G2501,[1]基础信息!$B:$C,2,FALSE)+SUMIF(G$8:G2501,G2501,J$8:J2501)-SUMIF(G$8:G2501,G2501,K$8:K2501)+SUMIFS([1]内部转账!$G:$G,[1]内部转账!$C:$C,"&lt;="&amp;$D2501,[1]内部转账!$E:$E,$G2501)-SUMIFS([1]内部转账!$G:$G,[1]内部转账!$C:$C,"&lt;="&amp;$D2501,[1]内部转账!$F:$F,$G2501)),"")</f>
        <v/>
      </c>
      <c r="M2501" s="64"/>
      <c r="N2501" s="69"/>
      <c r="O2501" s="64"/>
      <c r="P2501" s="64"/>
      <c r="Q2501" s="69"/>
      <c r="R2501" s="69"/>
      <c r="S2501" s="69"/>
    </row>
    <row r="2502" s="2" customFormat="1" ht="24.95" customHeight="1" spans="1:19">
      <c r="A2502" s="15"/>
      <c r="B2502" s="55"/>
      <c r="C2502" s="56"/>
      <c r="D2502" s="68"/>
      <c r="E2502" s="69"/>
      <c r="F2502" s="69"/>
      <c r="G2502" s="65"/>
      <c r="H2502" s="65"/>
      <c r="I2502" s="70"/>
      <c r="J2502" s="71"/>
      <c r="K2502" s="71"/>
      <c r="L2502" s="72" t="str">
        <f>IFERROR(IF(G2502="","",VLOOKUP($G2502,[1]基础信息!$B:$C,2,FALSE)+SUMIF(G$8:G2502,G2502,J$8:J2502)-SUMIF(G$8:G2502,G2502,K$8:K2502)+SUMIFS([1]内部转账!$G:$G,[1]内部转账!$C:$C,"&lt;="&amp;$D2502,[1]内部转账!$E:$E,$G2502)-SUMIFS([1]内部转账!$G:$G,[1]内部转账!$C:$C,"&lt;="&amp;$D2502,[1]内部转账!$F:$F,$G2502)),"")</f>
        <v/>
      </c>
      <c r="M2502" s="64"/>
      <c r="N2502" s="69"/>
      <c r="O2502" s="64"/>
      <c r="P2502" s="64"/>
      <c r="Q2502" s="69"/>
      <c r="R2502" s="69"/>
      <c r="S2502" s="69"/>
    </row>
    <row r="2503" s="2" customFormat="1" ht="24.95" customHeight="1" spans="1:19">
      <c r="A2503" s="15"/>
      <c r="B2503" s="55"/>
      <c r="C2503" s="56"/>
      <c r="D2503" s="68"/>
      <c r="E2503" s="69"/>
      <c r="F2503" s="69"/>
      <c r="G2503" s="65"/>
      <c r="H2503" s="65"/>
      <c r="I2503" s="70"/>
      <c r="J2503" s="71"/>
      <c r="K2503" s="71"/>
      <c r="L2503" s="72" t="str">
        <f>IFERROR(IF(G2503="","",VLOOKUP($G2503,[1]基础信息!$B:$C,2,FALSE)+SUMIF(G$8:G2503,G2503,J$8:J2503)-SUMIF(G$8:G2503,G2503,K$8:K2503)+SUMIFS([1]内部转账!$G:$G,[1]内部转账!$C:$C,"&lt;="&amp;$D2503,[1]内部转账!$E:$E,$G2503)-SUMIFS([1]内部转账!$G:$G,[1]内部转账!$C:$C,"&lt;="&amp;$D2503,[1]内部转账!$F:$F,$G2503)),"")</f>
        <v/>
      </c>
      <c r="M2503" s="64"/>
      <c r="N2503" s="69"/>
      <c r="O2503" s="64"/>
      <c r="P2503" s="64"/>
      <c r="Q2503" s="69"/>
      <c r="R2503" s="69"/>
      <c r="S2503" s="69"/>
    </row>
    <row r="2504" s="2" customFormat="1" ht="24.95" customHeight="1" spans="1:19">
      <c r="A2504" s="15"/>
      <c r="B2504" s="55"/>
      <c r="C2504" s="56"/>
      <c r="D2504" s="68"/>
      <c r="E2504" s="69"/>
      <c r="F2504" s="69"/>
      <c r="G2504" s="65"/>
      <c r="H2504" s="65"/>
      <c r="I2504" s="70"/>
      <c r="J2504" s="71"/>
      <c r="K2504" s="71"/>
      <c r="L2504" s="72" t="str">
        <f>IFERROR(IF(G2504="","",VLOOKUP($G2504,[1]基础信息!$B:$C,2,FALSE)+SUMIF(G$8:G2504,G2504,J$8:J2504)-SUMIF(G$8:G2504,G2504,K$8:K2504)+SUMIFS([1]内部转账!$G:$G,[1]内部转账!$C:$C,"&lt;="&amp;$D2504,[1]内部转账!$E:$E,$G2504)-SUMIFS([1]内部转账!$G:$G,[1]内部转账!$C:$C,"&lt;="&amp;$D2504,[1]内部转账!$F:$F,$G2504)),"")</f>
        <v/>
      </c>
      <c r="M2504" s="64"/>
      <c r="N2504" s="69"/>
      <c r="O2504" s="64"/>
      <c r="P2504" s="64"/>
      <c r="Q2504" s="69"/>
      <c r="R2504" s="69"/>
      <c r="S2504" s="69"/>
    </row>
    <row r="2505" s="2" customFormat="1" ht="24.95" customHeight="1" spans="1:19">
      <c r="A2505" s="15"/>
      <c r="B2505" s="55"/>
      <c r="C2505" s="56"/>
      <c r="D2505" s="68"/>
      <c r="E2505" s="69"/>
      <c r="F2505" s="69"/>
      <c r="G2505" s="65"/>
      <c r="H2505" s="65"/>
      <c r="I2505" s="70"/>
      <c r="J2505" s="71"/>
      <c r="K2505" s="71"/>
      <c r="L2505" s="72" t="str">
        <f>IFERROR(IF(G2505="","",VLOOKUP($G2505,[1]基础信息!$B:$C,2,FALSE)+SUMIF(G$8:G2505,G2505,J$8:J2505)-SUMIF(G$8:G2505,G2505,K$8:K2505)+SUMIFS([1]内部转账!$G:$G,[1]内部转账!$C:$C,"&lt;="&amp;$D2505,[1]内部转账!$E:$E,$G2505)-SUMIFS([1]内部转账!$G:$G,[1]内部转账!$C:$C,"&lt;="&amp;$D2505,[1]内部转账!$F:$F,$G2505)),"")</f>
        <v/>
      </c>
      <c r="M2505" s="64"/>
      <c r="N2505" s="69"/>
      <c r="O2505" s="64"/>
      <c r="P2505" s="64"/>
      <c r="Q2505" s="69"/>
      <c r="R2505" s="69"/>
      <c r="S2505" s="69"/>
    </row>
    <row r="2506" s="2" customFormat="1" ht="24.95" customHeight="1" spans="1:19">
      <c r="A2506" s="15"/>
      <c r="B2506" s="55"/>
      <c r="C2506" s="56"/>
      <c r="D2506" s="68"/>
      <c r="E2506" s="69"/>
      <c r="F2506" s="69"/>
      <c r="G2506" s="65"/>
      <c r="H2506" s="65"/>
      <c r="I2506" s="70"/>
      <c r="J2506" s="71"/>
      <c r="K2506" s="71"/>
      <c r="L2506" s="72" t="str">
        <f>IFERROR(IF(G2506="","",VLOOKUP($G2506,[1]基础信息!$B:$C,2,FALSE)+SUMIF(G$8:G2506,G2506,J$8:J2506)-SUMIF(G$8:G2506,G2506,K$8:K2506)+SUMIFS([1]内部转账!$G:$G,[1]内部转账!$C:$C,"&lt;="&amp;$D2506,[1]内部转账!$E:$E,$G2506)-SUMIFS([1]内部转账!$G:$G,[1]内部转账!$C:$C,"&lt;="&amp;$D2506,[1]内部转账!$F:$F,$G2506)),"")</f>
        <v/>
      </c>
      <c r="M2506" s="64"/>
      <c r="N2506" s="69"/>
      <c r="O2506" s="64"/>
      <c r="P2506" s="64"/>
      <c r="Q2506" s="69"/>
      <c r="R2506" s="69"/>
      <c r="S2506" s="69"/>
    </row>
    <row r="2507" s="2" customFormat="1" ht="24.95" customHeight="1" spans="1:19">
      <c r="A2507" s="15"/>
      <c r="B2507" s="55"/>
      <c r="C2507" s="56"/>
      <c r="D2507" s="68"/>
      <c r="E2507" s="69"/>
      <c r="F2507" s="69"/>
      <c r="G2507" s="65"/>
      <c r="H2507" s="65"/>
      <c r="I2507" s="70"/>
      <c r="J2507" s="71"/>
      <c r="K2507" s="71"/>
      <c r="L2507" s="72" t="str">
        <f>IFERROR(IF(G2507="","",VLOOKUP($G2507,[1]基础信息!$B:$C,2,FALSE)+SUMIF(G$8:G2507,G2507,J$8:J2507)-SUMIF(G$8:G2507,G2507,K$8:K2507)+SUMIFS([1]内部转账!$G:$G,[1]内部转账!$C:$C,"&lt;="&amp;$D2507,[1]内部转账!$E:$E,$G2507)-SUMIFS([1]内部转账!$G:$G,[1]内部转账!$C:$C,"&lt;="&amp;$D2507,[1]内部转账!$F:$F,$G2507)),"")</f>
        <v/>
      </c>
      <c r="M2507" s="64"/>
      <c r="N2507" s="69"/>
      <c r="O2507" s="64"/>
      <c r="P2507" s="64"/>
      <c r="Q2507" s="69"/>
      <c r="R2507" s="69"/>
      <c r="S2507" s="69"/>
    </row>
    <row r="2508" s="2" customFormat="1" ht="24.95" customHeight="1" spans="1:19">
      <c r="A2508" s="15"/>
      <c r="B2508" s="55"/>
      <c r="C2508" s="56"/>
      <c r="D2508" s="68"/>
      <c r="E2508" s="69"/>
      <c r="F2508" s="69"/>
      <c r="G2508" s="65"/>
      <c r="H2508" s="65"/>
      <c r="I2508" s="70"/>
      <c r="J2508" s="71"/>
      <c r="K2508" s="71"/>
      <c r="L2508" s="72" t="str">
        <f>IFERROR(IF(G2508="","",VLOOKUP($G2508,[1]基础信息!$B:$C,2,FALSE)+SUMIF(G$8:G2508,G2508,J$8:J2508)-SUMIF(G$8:G2508,G2508,K$8:K2508)+SUMIFS([1]内部转账!$G:$G,[1]内部转账!$C:$C,"&lt;="&amp;$D2508,[1]内部转账!$E:$E,$G2508)-SUMIFS([1]内部转账!$G:$G,[1]内部转账!$C:$C,"&lt;="&amp;$D2508,[1]内部转账!$F:$F,$G2508)),"")</f>
        <v/>
      </c>
      <c r="M2508" s="64"/>
      <c r="N2508" s="69"/>
      <c r="O2508" s="64"/>
      <c r="P2508" s="64"/>
      <c r="Q2508" s="69"/>
      <c r="R2508" s="69"/>
      <c r="S2508" s="69"/>
    </row>
    <row r="2509" s="2" customFormat="1" ht="24.95" customHeight="1" spans="1:19">
      <c r="A2509" s="15"/>
      <c r="B2509" s="55"/>
      <c r="C2509" s="56"/>
      <c r="D2509" s="68"/>
      <c r="E2509" s="69"/>
      <c r="F2509" s="69"/>
      <c r="G2509" s="65"/>
      <c r="H2509" s="65"/>
      <c r="I2509" s="70"/>
      <c r="J2509" s="71"/>
      <c r="K2509" s="71"/>
      <c r="L2509" s="72" t="str">
        <f>IFERROR(IF(G2509="","",VLOOKUP($G2509,[1]基础信息!$B:$C,2,FALSE)+SUMIF(G$8:G2509,G2509,J$8:J2509)-SUMIF(G$8:G2509,G2509,K$8:K2509)+SUMIFS([1]内部转账!$G:$G,[1]内部转账!$C:$C,"&lt;="&amp;$D2509,[1]内部转账!$E:$E,$G2509)-SUMIFS([1]内部转账!$G:$G,[1]内部转账!$C:$C,"&lt;="&amp;$D2509,[1]内部转账!$F:$F,$G2509)),"")</f>
        <v/>
      </c>
      <c r="M2509" s="64"/>
      <c r="N2509" s="69"/>
      <c r="O2509" s="64"/>
      <c r="P2509" s="64"/>
      <c r="Q2509" s="69"/>
      <c r="R2509" s="69"/>
      <c r="S2509" s="69"/>
    </row>
    <row r="2510" s="2" customFormat="1" ht="24.95" customHeight="1" spans="1:19">
      <c r="A2510" s="15"/>
      <c r="B2510" s="55"/>
      <c r="C2510" s="56"/>
      <c r="D2510" s="68"/>
      <c r="E2510" s="69"/>
      <c r="F2510" s="69"/>
      <c r="G2510" s="65"/>
      <c r="H2510" s="65"/>
      <c r="I2510" s="70"/>
      <c r="J2510" s="71"/>
      <c r="K2510" s="71"/>
      <c r="L2510" s="72" t="str">
        <f>IFERROR(IF(G2510="","",VLOOKUP($G2510,[1]基础信息!$B:$C,2,FALSE)+SUMIF(G$8:G2510,G2510,J$8:J2510)-SUMIF(G$8:G2510,G2510,K$8:K2510)+SUMIFS([1]内部转账!$G:$G,[1]内部转账!$C:$C,"&lt;="&amp;$D2510,[1]内部转账!$E:$E,$G2510)-SUMIFS([1]内部转账!$G:$G,[1]内部转账!$C:$C,"&lt;="&amp;$D2510,[1]内部转账!$F:$F,$G2510)),"")</f>
        <v/>
      </c>
      <c r="M2510" s="64"/>
      <c r="N2510" s="69"/>
      <c r="O2510" s="64"/>
      <c r="P2510" s="64"/>
      <c r="Q2510" s="69"/>
      <c r="R2510" s="69"/>
      <c r="S2510" s="69"/>
    </row>
    <row r="2511" s="2" customFormat="1" ht="24.95" customHeight="1" spans="1:19">
      <c r="A2511" s="15"/>
      <c r="B2511" s="55"/>
      <c r="C2511" s="56"/>
      <c r="D2511" s="68"/>
      <c r="E2511" s="69"/>
      <c r="F2511" s="69"/>
      <c r="G2511" s="65"/>
      <c r="H2511" s="65"/>
      <c r="I2511" s="70"/>
      <c r="J2511" s="71"/>
      <c r="K2511" s="71"/>
      <c r="L2511" s="72" t="str">
        <f>IFERROR(IF(G2511="","",VLOOKUP($G2511,[1]基础信息!$B:$C,2,FALSE)+SUMIF(G$8:G2511,G2511,J$8:J2511)-SUMIF(G$8:G2511,G2511,K$8:K2511)+SUMIFS([1]内部转账!$G:$G,[1]内部转账!$C:$C,"&lt;="&amp;$D2511,[1]内部转账!$E:$E,$G2511)-SUMIFS([1]内部转账!$G:$G,[1]内部转账!$C:$C,"&lt;="&amp;$D2511,[1]内部转账!$F:$F,$G2511)),"")</f>
        <v/>
      </c>
      <c r="M2511" s="64"/>
      <c r="N2511" s="69"/>
      <c r="O2511" s="64"/>
      <c r="P2511" s="64"/>
      <c r="Q2511" s="69"/>
      <c r="R2511" s="69"/>
      <c r="S2511" s="69"/>
    </row>
    <row r="2512" s="2" customFormat="1" ht="24.95" customHeight="1" spans="1:19">
      <c r="A2512" s="15"/>
      <c r="B2512" s="55"/>
      <c r="C2512" s="56"/>
      <c r="D2512" s="68"/>
      <c r="E2512" s="69"/>
      <c r="F2512" s="69"/>
      <c r="G2512" s="65"/>
      <c r="H2512" s="65"/>
      <c r="I2512" s="70"/>
      <c r="J2512" s="71"/>
      <c r="K2512" s="71"/>
      <c r="L2512" s="72" t="str">
        <f>IFERROR(IF(G2512="","",VLOOKUP($G2512,[1]基础信息!$B:$C,2,FALSE)+SUMIF(G$8:G2512,G2512,J$8:J2512)-SUMIF(G$8:G2512,G2512,K$8:K2512)+SUMIFS([1]内部转账!$G:$G,[1]内部转账!$C:$C,"&lt;="&amp;$D2512,[1]内部转账!$E:$E,$G2512)-SUMIFS([1]内部转账!$G:$G,[1]内部转账!$C:$C,"&lt;="&amp;$D2512,[1]内部转账!$F:$F,$G2512)),"")</f>
        <v/>
      </c>
      <c r="M2512" s="64"/>
      <c r="N2512" s="69"/>
      <c r="O2512" s="64"/>
      <c r="P2512" s="64"/>
      <c r="Q2512" s="69"/>
      <c r="R2512" s="69"/>
      <c r="S2512" s="69"/>
    </row>
    <row r="2513" s="2" customFormat="1" ht="24.95" customHeight="1" spans="1:19">
      <c r="A2513" s="15"/>
      <c r="B2513" s="55"/>
      <c r="C2513" s="56"/>
      <c r="D2513" s="68"/>
      <c r="E2513" s="69"/>
      <c r="F2513" s="69"/>
      <c r="G2513" s="65"/>
      <c r="H2513" s="65"/>
      <c r="I2513" s="70"/>
      <c r="J2513" s="71"/>
      <c r="K2513" s="71"/>
      <c r="L2513" s="72" t="str">
        <f>IFERROR(IF(G2513="","",VLOOKUP($G2513,[1]基础信息!$B:$C,2,FALSE)+SUMIF(G$8:G2513,G2513,J$8:J2513)-SUMIF(G$8:G2513,G2513,K$8:K2513)+SUMIFS([1]内部转账!$G:$G,[1]内部转账!$C:$C,"&lt;="&amp;$D2513,[1]内部转账!$E:$E,$G2513)-SUMIFS([1]内部转账!$G:$G,[1]内部转账!$C:$C,"&lt;="&amp;$D2513,[1]内部转账!$F:$F,$G2513)),"")</f>
        <v/>
      </c>
      <c r="M2513" s="64"/>
      <c r="N2513" s="69"/>
      <c r="O2513" s="64"/>
      <c r="P2513" s="64"/>
      <c r="Q2513" s="69"/>
      <c r="R2513" s="69"/>
      <c r="S2513" s="69"/>
    </row>
    <row r="2514" s="2" customFormat="1" ht="24.95" customHeight="1" spans="1:19">
      <c r="A2514" s="15"/>
      <c r="B2514" s="55"/>
      <c r="C2514" s="56"/>
      <c r="D2514" s="68"/>
      <c r="E2514" s="69"/>
      <c r="F2514" s="69"/>
      <c r="G2514" s="65"/>
      <c r="H2514" s="65"/>
      <c r="I2514" s="70"/>
      <c r="J2514" s="71"/>
      <c r="K2514" s="71"/>
      <c r="L2514" s="72" t="str">
        <f>IFERROR(IF(G2514="","",VLOOKUP($G2514,[1]基础信息!$B:$C,2,FALSE)+SUMIF(G$8:G2514,G2514,J$8:J2514)-SUMIF(G$8:G2514,G2514,K$8:K2514)+SUMIFS([1]内部转账!$G:$G,[1]内部转账!$C:$C,"&lt;="&amp;$D2514,[1]内部转账!$E:$E,$G2514)-SUMIFS([1]内部转账!$G:$G,[1]内部转账!$C:$C,"&lt;="&amp;$D2514,[1]内部转账!$F:$F,$G2514)),"")</f>
        <v/>
      </c>
      <c r="M2514" s="64"/>
      <c r="N2514" s="69"/>
      <c r="O2514" s="64"/>
      <c r="P2514" s="64"/>
      <c r="Q2514" s="69"/>
      <c r="R2514" s="69"/>
      <c r="S2514" s="69"/>
    </row>
    <row r="2515" s="2" customFormat="1" ht="24.95" customHeight="1" spans="1:19">
      <c r="A2515" s="15"/>
      <c r="B2515" s="55"/>
      <c r="C2515" s="56"/>
      <c r="D2515" s="68"/>
      <c r="E2515" s="69"/>
      <c r="F2515" s="69"/>
      <c r="G2515" s="65"/>
      <c r="H2515" s="65"/>
      <c r="I2515" s="70"/>
      <c r="J2515" s="71"/>
      <c r="K2515" s="71"/>
      <c r="L2515" s="72" t="str">
        <f>IFERROR(IF(G2515="","",VLOOKUP($G2515,[1]基础信息!$B:$C,2,FALSE)+SUMIF(G$8:G2515,G2515,J$8:J2515)-SUMIF(G$8:G2515,G2515,K$8:K2515)+SUMIFS([1]内部转账!$G:$G,[1]内部转账!$C:$C,"&lt;="&amp;$D2515,[1]内部转账!$E:$E,$G2515)-SUMIFS([1]内部转账!$G:$G,[1]内部转账!$C:$C,"&lt;="&amp;$D2515,[1]内部转账!$F:$F,$G2515)),"")</f>
        <v/>
      </c>
      <c r="M2515" s="64"/>
      <c r="N2515" s="69"/>
      <c r="O2515" s="64"/>
      <c r="P2515" s="64"/>
      <c r="Q2515" s="69"/>
      <c r="R2515" s="69"/>
      <c r="S2515" s="69"/>
    </row>
    <row r="2516" s="2" customFormat="1" ht="24.95" customHeight="1" spans="1:19">
      <c r="A2516" s="15"/>
      <c r="B2516" s="55"/>
      <c r="C2516" s="56"/>
      <c r="D2516" s="68"/>
      <c r="E2516" s="69"/>
      <c r="F2516" s="69"/>
      <c r="G2516" s="65"/>
      <c r="H2516" s="65"/>
      <c r="I2516" s="70"/>
      <c r="J2516" s="71"/>
      <c r="K2516" s="71"/>
      <c r="L2516" s="72" t="str">
        <f>IFERROR(IF(G2516="","",VLOOKUP($G2516,[1]基础信息!$B:$C,2,FALSE)+SUMIF(G$8:G2516,G2516,J$8:J2516)-SUMIF(G$8:G2516,G2516,K$8:K2516)+SUMIFS([1]内部转账!$G:$G,[1]内部转账!$C:$C,"&lt;="&amp;$D2516,[1]内部转账!$E:$E,$G2516)-SUMIFS([1]内部转账!$G:$G,[1]内部转账!$C:$C,"&lt;="&amp;$D2516,[1]内部转账!$F:$F,$G2516)),"")</f>
        <v/>
      </c>
      <c r="M2516" s="64"/>
      <c r="N2516" s="69"/>
      <c r="O2516" s="64"/>
      <c r="P2516" s="64"/>
      <c r="Q2516" s="69"/>
      <c r="R2516" s="69"/>
      <c r="S2516" s="69"/>
    </row>
    <row r="2517" s="2" customFormat="1" ht="24.95" customHeight="1" spans="1:19">
      <c r="A2517" s="15"/>
      <c r="B2517" s="55"/>
      <c r="C2517" s="56"/>
      <c r="D2517" s="68"/>
      <c r="E2517" s="69"/>
      <c r="F2517" s="69"/>
      <c r="G2517" s="65"/>
      <c r="H2517" s="65"/>
      <c r="I2517" s="70"/>
      <c r="J2517" s="71"/>
      <c r="K2517" s="71"/>
      <c r="L2517" s="72" t="str">
        <f>IFERROR(IF(G2517="","",VLOOKUP($G2517,[1]基础信息!$B:$C,2,FALSE)+SUMIF(G$8:G2517,G2517,J$8:J2517)-SUMIF(G$8:G2517,G2517,K$8:K2517)+SUMIFS([1]内部转账!$G:$G,[1]内部转账!$C:$C,"&lt;="&amp;$D2517,[1]内部转账!$E:$E,$G2517)-SUMIFS([1]内部转账!$G:$G,[1]内部转账!$C:$C,"&lt;="&amp;$D2517,[1]内部转账!$F:$F,$G2517)),"")</f>
        <v/>
      </c>
      <c r="M2517" s="64"/>
      <c r="N2517" s="69"/>
      <c r="O2517" s="64"/>
      <c r="P2517" s="64"/>
      <c r="Q2517" s="69"/>
      <c r="R2517" s="69"/>
      <c r="S2517" s="69"/>
    </row>
    <row r="2518" s="2" customFormat="1" ht="24.95" customHeight="1" spans="1:19">
      <c r="A2518" s="15"/>
      <c r="B2518" s="55"/>
      <c r="C2518" s="56"/>
      <c r="D2518" s="68"/>
      <c r="E2518" s="69"/>
      <c r="F2518" s="69"/>
      <c r="G2518" s="65"/>
      <c r="H2518" s="65"/>
      <c r="I2518" s="70"/>
      <c r="J2518" s="71"/>
      <c r="K2518" s="71"/>
      <c r="L2518" s="72" t="str">
        <f>IFERROR(IF(G2518="","",VLOOKUP($G2518,[1]基础信息!$B:$C,2,FALSE)+SUMIF(G$8:G2518,G2518,J$8:J2518)-SUMIF(G$8:G2518,G2518,K$8:K2518)+SUMIFS([1]内部转账!$G:$G,[1]内部转账!$C:$C,"&lt;="&amp;$D2518,[1]内部转账!$E:$E,$G2518)-SUMIFS([1]内部转账!$G:$G,[1]内部转账!$C:$C,"&lt;="&amp;$D2518,[1]内部转账!$F:$F,$G2518)),"")</f>
        <v/>
      </c>
      <c r="M2518" s="64"/>
      <c r="N2518" s="69"/>
      <c r="O2518" s="64"/>
      <c r="P2518" s="64"/>
      <c r="Q2518" s="69"/>
      <c r="R2518" s="69"/>
      <c r="S2518" s="69"/>
    </row>
    <row r="2519" s="2" customFormat="1" ht="24.95" customHeight="1" spans="1:19">
      <c r="A2519" s="15"/>
      <c r="B2519" s="55"/>
      <c r="C2519" s="56"/>
      <c r="D2519" s="68"/>
      <c r="E2519" s="69"/>
      <c r="F2519" s="69"/>
      <c r="G2519" s="65"/>
      <c r="H2519" s="65"/>
      <c r="I2519" s="70"/>
      <c r="J2519" s="71"/>
      <c r="K2519" s="71"/>
      <c r="L2519" s="72" t="str">
        <f>IFERROR(IF(G2519="","",VLOOKUP($G2519,[1]基础信息!$B:$C,2,FALSE)+SUMIF(G$8:G2519,G2519,J$8:J2519)-SUMIF(G$8:G2519,G2519,K$8:K2519)+SUMIFS([1]内部转账!$G:$G,[1]内部转账!$C:$C,"&lt;="&amp;$D2519,[1]内部转账!$E:$E,$G2519)-SUMIFS([1]内部转账!$G:$G,[1]内部转账!$C:$C,"&lt;="&amp;$D2519,[1]内部转账!$F:$F,$G2519)),"")</f>
        <v/>
      </c>
      <c r="M2519" s="64"/>
      <c r="N2519" s="69"/>
      <c r="O2519" s="64"/>
      <c r="P2519" s="64"/>
      <c r="Q2519" s="69"/>
      <c r="R2519" s="69"/>
      <c r="S2519" s="69"/>
    </row>
    <row r="2520" s="2" customFormat="1" ht="24.95" customHeight="1" spans="1:19">
      <c r="A2520" s="15"/>
      <c r="B2520" s="55"/>
      <c r="C2520" s="56"/>
      <c r="D2520" s="68"/>
      <c r="E2520" s="69"/>
      <c r="F2520" s="69"/>
      <c r="G2520" s="65"/>
      <c r="H2520" s="65"/>
      <c r="I2520" s="70"/>
      <c r="J2520" s="71"/>
      <c r="K2520" s="71"/>
      <c r="L2520" s="72" t="str">
        <f>IFERROR(IF(G2520="","",VLOOKUP($G2520,[1]基础信息!$B:$C,2,FALSE)+SUMIF(G$8:G2520,G2520,J$8:J2520)-SUMIF(G$8:G2520,G2520,K$8:K2520)+SUMIFS([1]内部转账!$G:$G,[1]内部转账!$C:$C,"&lt;="&amp;$D2520,[1]内部转账!$E:$E,$G2520)-SUMIFS([1]内部转账!$G:$G,[1]内部转账!$C:$C,"&lt;="&amp;$D2520,[1]内部转账!$F:$F,$G2520)),"")</f>
        <v/>
      </c>
      <c r="M2520" s="64"/>
      <c r="N2520" s="69"/>
      <c r="O2520" s="64"/>
      <c r="P2520" s="64"/>
      <c r="Q2520" s="69"/>
      <c r="R2520" s="69"/>
      <c r="S2520" s="69"/>
    </row>
    <row r="2521" s="2" customFormat="1" ht="24.95" customHeight="1" spans="1:19">
      <c r="A2521" s="15"/>
      <c r="B2521" s="55"/>
      <c r="C2521" s="56"/>
      <c r="D2521" s="68"/>
      <c r="E2521" s="69"/>
      <c r="F2521" s="69"/>
      <c r="G2521" s="65"/>
      <c r="H2521" s="65"/>
      <c r="I2521" s="70"/>
      <c r="J2521" s="71"/>
      <c r="K2521" s="71"/>
      <c r="L2521" s="72" t="str">
        <f>IFERROR(IF(G2521="","",VLOOKUP($G2521,[1]基础信息!$B:$C,2,FALSE)+SUMIF(G$8:G2521,G2521,J$8:J2521)-SUMIF(G$8:G2521,G2521,K$8:K2521)+SUMIFS([1]内部转账!$G:$G,[1]内部转账!$C:$C,"&lt;="&amp;$D2521,[1]内部转账!$E:$E,$G2521)-SUMIFS([1]内部转账!$G:$G,[1]内部转账!$C:$C,"&lt;="&amp;$D2521,[1]内部转账!$F:$F,$G2521)),"")</f>
        <v/>
      </c>
      <c r="M2521" s="64"/>
      <c r="N2521" s="69"/>
      <c r="O2521" s="64"/>
      <c r="P2521" s="64"/>
      <c r="Q2521" s="69"/>
      <c r="R2521" s="69"/>
      <c r="S2521" s="69"/>
    </row>
    <row r="2522" s="2" customFormat="1" ht="24.95" customHeight="1" spans="1:19">
      <c r="A2522" s="15"/>
      <c r="B2522" s="55"/>
      <c r="C2522" s="56"/>
      <c r="D2522" s="68"/>
      <c r="E2522" s="69"/>
      <c r="F2522" s="69"/>
      <c r="G2522" s="65"/>
      <c r="H2522" s="65"/>
      <c r="I2522" s="70"/>
      <c r="J2522" s="71"/>
      <c r="K2522" s="71"/>
      <c r="L2522" s="72" t="str">
        <f>IFERROR(IF(G2522="","",VLOOKUP($G2522,[1]基础信息!$B:$C,2,FALSE)+SUMIF(G$8:G2522,G2522,J$8:J2522)-SUMIF(G$8:G2522,G2522,K$8:K2522)+SUMIFS([1]内部转账!$G:$G,[1]内部转账!$C:$C,"&lt;="&amp;$D2522,[1]内部转账!$E:$E,$G2522)-SUMIFS([1]内部转账!$G:$G,[1]内部转账!$C:$C,"&lt;="&amp;$D2522,[1]内部转账!$F:$F,$G2522)),"")</f>
        <v/>
      </c>
      <c r="M2522" s="64"/>
      <c r="N2522" s="69"/>
      <c r="O2522" s="64"/>
      <c r="P2522" s="64"/>
      <c r="Q2522" s="69"/>
      <c r="R2522" s="69"/>
      <c r="S2522" s="69"/>
    </row>
    <row r="2523" s="2" customFormat="1" ht="24.95" customHeight="1" spans="1:19">
      <c r="A2523" s="15"/>
      <c r="B2523" s="55"/>
      <c r="C2523" s="56"/>
      <c r="D2523" s="68"/>
      <c r="E2523" s="69"/>
      <c r="F2523" s="69"/>
      <c r="G2523" s="65"/>
      <c r="H2523" s="65"/>
      <c r="I2523" s="70"/>
      <c r="J2523" s="71"/>
      <c r="K2523" s="71"/>
      <c r="L2523" s="72" t="str">
        <f>IFERROR(IF(G2523="","",VLOOKUP($G2523,[1]基础信息!$B:$C,2,FALSE)+SUMIF(G$8:G2523,G2523,J$8:J2523)-SUMIF(G$8:G2523,G2523,K$8:K2523)+SUMIFS([1]内部转账!$G:$G,[1]内部转账!$C:$C,"&lt;="&amp;$D2523,[1]内部转账!$E:$E,$G2523)-SUMIFS([1]内部转账!$G:$G,[1]内部转账!$C:$C,"&lt;="&amp;$D2523,[1]内部转账!$F:$F,$G2523)),"")</f>
        <v/>
      </c>
      <c r="M2523" s="64"/>
      <c r="N2523" s="69"/>
      <c r="O2523" s="64"/>
      <c r="P2523" s="64"/>
      <c r="Q2523" s="69"/>
      <c r="R2523" s="69"/>
      <c r="S2523" s="69"/>
    </row>
    <row r="2524" s="2" customFormat="1" ht="24.95" customHeight="1" spans="1:19">
      <c r="A2524" s="15"/>
      <c r="B2524" s="55"/>
      <c r="C2524" s="56"/>
      <c r="D2524" s="68"/>
      <c r="E2524" s="69"/>
      <c r="F2524" s="69"/>
      <c r="G2524" s="65"/>
      <c r="H2524" s="65"/>
      <c r="I2524" s="70"/>
      <c r="J2524" s="71"/>
      <c r="K2524" s="71"/>
      <c r="L2524" s="72" t="str">
        <f>IFERROR(IF(G2524="","",VLOOKUP($G2524,[1]基础信息!$B:$C,2,FALSE)+SUMIF(G$8:G2524,G2524,J$8:J2524)-SUMIF(G$8:G2524,G2524,K$8:K2524)+SUMIFS([1]内部转账!$G:$G,[1]内部转账!$C:$C,"&lt;="&amp;$D2524,[1]内部转账!$E:$E,$G2524)-SUMIFS([1]内部转账!$G:$G,[1]内部转账!$C:$C,"&lt;="&amp;$D2524,[1]内部转账!$F:$F,$G2524)),"")</f>
        <v/>
      </c>
      <c r="M2524" s="64"/>
      <c r="N2524" s="69"/>
      <c r="O2524" s="64"/>
      <c r="P2524" s="64"/>
      <c r="Q2524" s="69"/>
      <c r="R2524" s="69"/>
      <c r="S2524" s="69"/>
    </row>
    <row r="2525" s="2" customFormat="1" ht="24.95" customHeight="1" spans="1:19">
      <c r="A2525" s="15"/>
      <c r="B2525" s="55"/>
      <c r="C2525" s="56"/>
      <c r="D2525" s="68"/>
      <c r="E2525" s="69"/>
      <c r="F2525" s="69"/>
      <c r="G2525" s="65"/>
      <c r="H2525" s="65"/>
      <c r="I2525" s="70"/>
      <c r="J2525" s="71"/>
      <c r="K2525" s="71"/>
      <c r="L2525" s="72" t="str">
        <f>IFERROR(IF(G2525="","",VLOOKUP($G2525,[1]基础信息!$B:$C,2,FALSE)+SUMIF(G$8:G2525,G2525,J$8:J2525)-SUMIF(G$8:G2525,G2525,K$8:K2525)+SUMIFS([1]内部转账!$G:$G,[1]内部转账!$C:$C,"&lt;="&amp;$D2525,[1]内部转账!$E:$E,$G2525)-SUMIFS([1]内部转账!$G:$G,[1]内部转账!$C:$C,"&lt;="&amp;$D2525,[1]内部转账!$F:$F,$G2525)),"")</f>
        <v/>
      </c>
      <c r="M2525" s="64"/>
      <c r="N2525" s="69"/>
      <c r="O2525" s="64"/>
      <c r="P2525" s="64"/>
      <c r="Q2525" s="69"/>
      <c r="R2525" s="69"/>
      <c r="S2525" s="69"/>
    </row>
    <row r="2526" s="2" customFormat="1" ht="24.95" customHeight="1" spans="1:19">
      <c r="A2526" s="15"/>
      <c r="B2526" s="55"/>
      <c r="C2526" s="56"/>
      <c r="D2526" s="68"/>
      <c r="E2526" s="69"/>
      <c r="F2526" s="69"/>
      <c r="G2526" s="65"/>
      <c r="H2526" s="65"/>
      <c r="I2526" s="70"/>
      <c r="J2526" s="71"/>
      <c r="K2526" s="71"/>
      <c r="L2526" s="72" t="str">
        <f>IFERROR(IF(G2526="","",VLOOKUP($G2526,[1]基础信息!$B:$C,2,FALSE)+SUMIF(G$8:G2526,G2526,J$8:J2526)-SUMIF(G$8:G2526,G2526,K$8:K2526)+SUMIFS([1]内部转账!$G:$G,[1]内部转账!$C:$C,"&lt;="&amp;$D2526,[1]内部转账!$E:$E,$G2526)-SUMIFS([1]内部转账!$G:$G,[1]内部转账!$C:$C,"&lt;="&amp;$D2526,[1]内部转账!$F:$F,$G2526)),"")</f>
        <v/>
      </c>
      <c r="M2526" s="64"/>
      <c r="N2526" s="69"/>
      <c r="O2526" s="64"/>
      <c r="P2526" s="64"/>
      <c r="Q2526" s="69"/>
      <c r="R2526" s="69"/>
      <c r="S2526" s="69"/>
    </row>
    <row r="2527" s="2" customFormat="1" ht="24.95" customHeight="1" spans="1:19">
      <c r="A2527" s="15"/>
      <c r="B2527" s="55"/>
      <c r="C2527" s="56"/>
      <c r="D2527" s="68"/>
      <c r="E2527" s="69"/>
      <c r="F2527" s="69"/>
      <c r="G2527" s="65"/>
      <c r="H2527" s="65"/>
      <c r="I2527" s="70"/>
      <c r="J2527" s="71"/>
      <c r="K2527" s="71"/>
      <c r="L2527" s="72" t="str">
        <f>IFERROR(IF(G2527="","",VLOOKUP($G2527,[1]基础信息!$B:$C,2,FALSE)+SUMIF(G$8:G2527,G2527,J$8:J2527)-SUMIF(G$8:G2527,G2527,K$8:K2527)+SUMIFS([1]内部转账!$G:$G,[1]内部转账!$C:$C,"&lt;="&amp;$D2527,[1]内部转账!$E:$E,$G2527)-SUMIFS([1]内部转账!$G:$G,[1]内部转账!$C:$C,"&lt;="&amp;$D2527,[1]内部转账!$F:$F,$G2527)),"")</f>
        <v/>
      </c>
      <c r="M2527" s="64"/>
      <c r="N2527" s="69"/>
      <c r="O2527" s="64"/>
      <c r="P2527" s="64"/>
      <c r="Q2527" s="69"/>
      <c r="R2527" s="69"/>
      <c r="S2527" s="69"/>
    </row>
    <row r="2528" s="2" customFormat="1" ht="24.95" customHeight="1" spans="1:19">
      <c r="A2528" s="15"/>
      <c r="B2528" s="55"/>
      <c r="C2528" s="56"/>
      <c r="D2528" s="68"/>
      <c r="E2528" s="69"/>
      <c r="F2528" s="69"/>
      <c r="G2528" s="65"/>
      <c r="H2528" s="65"/>
      <c r="I2528" s="70"/>
      <c r="J2528" s="71"/>
      <c r="K2528" s="71"/>
      <c r="L2528" s="72" t="str">
        <f>IFERROR(IF(G2528="","",VLOOKUP($G2528,[1]基础信息!$B:$C,2,FALSE)+SUMIF(G$8:G2528,G2528,J$8:J2528)-SUMIF(G$8:G2528,G2528,K$8:K2528)+SUMIFS([1]内部转账!$G:$G,[1]内部转账!$C:$C,"&lt;="&amp;$D2528,[1]内部转账!$E:$E,$G2528)-SUMIFS([1]内部转账!$G:$G,[1]内部转账!$C:$C,"&lt;="&amp;$D2528,[1]内部转账!$F:$F,$G2528)),"")</f>
        <v/>
      </c>
      <c r="M2528" s="64"/>
      <c r="N2528" s="69"/>
      <c r="O2528" s="64"/>
      <c r="P2528" s="64"/>
      <c r="Q2528" s="69"/>
      <c r="R2528" s="69"/>
      <c r="S2528" s="69"/>
    </row>
    <row r="2529" s="2" customFormat="1" ht="24.95" customHeight="1" spans="1:19">
      <c r="A2529" s="15"/>
      <c r="B2529" s="55"/>
      <c r="C2529" s="56"/>
      <c r="D2529" s="68"/>
      <c r="E2529" s="69"/>
      <c r="F2529" s="69"/>
      <c r="G2529" s="65"/>
      <c r="H2529" s="65"/>
      <c r="I2529" s="70"/>
      <c r="J2529" s="71"/>
      <c r="K2529" s="71"/>
      <c r="L2529" s="72" t="str">
        <f>IFERROR(IF(G2529="","",VLOOKUP($G2529,[1]基础信息!$B:$C,2,FALSE)+SUMIF(G$8:G2529,G2529,J$8:J2529)-SUMIF(G$8:G2529,G2529,K$8:K2529)+SUMIFS([1]内部转账!$G:$G,[1]内部转账!$C:$C,"&lt;="&amp;$D2529,[1]内部转账!$E:$E,$G2529)-SUMIFS([1]内部转账!$G:$G,[1]内部转账!$C:$C,"&lt;="&amp;$D2529,[1]内部转账!$F:$F,$G2529)),"")</f>
        <v/>
      </c>
      <c r="M2529" s="64"/>
      <c r="N2529" s="69"/>
      <c r="O2529" s="64"/>
      <c r="P2529" s="64"/>
      <c r="Q2529" s="69"/>
      <c r="R2529" s="69"/>
      <c r="S2529" s="69"/>
    </row>
    <row r="2530" s="2" customFormat="1" ht="24.95" customHeight="1" spans="1:19">
      <c r="A2530" s="15"/>
      <c r="B2530" s="55"/>
      <c r="C2530" s="56"/>
      <c r="D2530" s="68"/>
      <c r="E2530" s="69"/>
      <c r="F2530" s="69"/>
      <c r="G2530" s="65"/>
      <c r="H2530" s="65"/>
      <c r="I2530" s="70"/>
      <c r="J2530" s="71"/>
      <c r="K2530" s="71"/>
      <c r="L2530" s="72" t="str">
        <f>IFERROR(IF(G2530="","",VLOOKUP($G2530,[1]基础信息!$B:$C,2,FALSE)+SUMIF(G$8:G2530,G2530,J$8:J2530)-SUMIF(G$8:G2530,G2530,K$8:K2530)+SUMIFS([1]内部转账!$G:$G,[1]内部转账!$C:$C,"&lt;="&amp;$D2530,[1]内部转账!$E:$E,$G2530)-SUMIFS([1]内部转账!$G:$G,[1]内部转账!$C:$C,"&lt;="&amp;$D2530,[1]内部转账!$F:$F,$G2530)),"")</f>
        <v/>
      </c>
      <c r="M2530" s="64"/>
      <c r="N2530" s="69"/>
      <c r="O2530" s="64"/>
      <c r="P2530" s="64"/>
      <c r="Q2530" s="69"/>
      <c r="R2530" s="69"/>
      <c r="S2530" s="69"/>
    </row>
    <row r="2531" s="2" customFormat="1" ht="24.95" customHeight="1" spans="1:19">
      <c r="A2531" s="15"/>
      <c r="B2531" s="55"/>
      <c r="C2531" s="56"/>
      <c r="D2531" s="68"/>
      <c r="E2531" s="69"/>
      <c r="F2531" s="69"/>
      <c r="G2531" s="65"/>
      <c r="H2531" s="65"/>
      <c r="I2531" s="70"/>
      <c r="J2531" s="71"/>
      <c r="K2531" s="71"/>
      <c r="L2531" s="72" t="str">
        <f>IFERROR(IF(G2531="","",VLOOKUP($G2531,[1]基础信息!$B:$C,2,FALSE)+SUMIF(G$8:G2531,G2531,J$8:J2531)-SUMIF(G$8:G2531,G2531,K$8:K2531)+SUMIFS([1]内部转账!$G:$G,[1]内部转账!$C:$C,"&lt;="&amp;$D2531,[1]内部转账!$E:$E,$G2531)-SUMIFS([1]内部转账!$G:$G,[1]内部转账!$C:$C,"&lt;="&amp;$D2531,[1]内部转账!$F:$F,$G2531)),"")</f>
        <v/>
      </c>
      <c r="M2531" s="64"/>
      <c r="N2531" s="69"/>
      <c r="O2531" s="64"/>
      <c r="P2531" s="64"/>
      <c r="Q2531" s="69"/>
      <c r="R2531" s="69"/>
      <c r="S2531" s="69"/>
    </row>
    <row r="2532" s="2" customFormat="1" ht="24.95" customHeight="1" spans="1:19">
      <c r="A2532" s="15"/>
      <c r="B2532" s="55"/>
      <c r="C2532" s="56"/>
      <c r="D2532" s="68"/>
      <c r="E2532" s="69"/>
      <c r="F2532" s="69"/>
      <c r="G2532" s="65"/>
      <c r="H2532" s="65"/>
      <c r="I2532" s="70"/>
      <c r="J2532" s="71"/>
      <c r="K2532" s="71"/>
      <c r="L2532" s="72" t="str">
        <f>IFERROR(IF(G2532="","",VLOOKUP($G2532,[1]基础信息!$B:$C,2,FALSE)+SUMIF(G$8:G2532,G2532,J$8:J2532)-SUMIF(G$8:G2532,G2532,K$8:K2532)+SUMIFS([1]内部转账!$G:$G,[1]内部转账!$C:$C,"&lt;="&amp;$D2532,[1]内部转账!$E:$E,$G2532)-SUMIFS([1]内部转账!$G:$G,[1]内部转账!$C:$C,"&lt;="&amp;$D2532,[1]内部转账!$F:$F,$G2532)),"")</f>
        <v/>
      </c>
      <c r="M2532" s="64"/>
      <c r="N2532" s="69"/>
      <c r="O2532" s="64"/>
      <c r="P2532" s="64"/>
      <c r="Q2532" s="69"/>
      <c r="R2532" s="69"/>
      <c r="S2532" s="69"/>
    </row>
    <row r="2533" s="2" customFormat="1" ht="24.95" customHeight="1" spans="1:19">
      <c r="A2533" s="15"/>
      <c r="B2533" s="55"/>
      <c r="C2533" s="56"/>
      <c r="D2533" s="68"/>
      <c r="E2533" s="69"/>
      <c r="F2533" s="69"/>
      <c r="G2533" s="65"/>
      <c r="H2533" s="65"/>
      <c r="I2533" s="70"/>
      <c r="J2533" s="71"/>
      <c r="K2533" s="71"/>
      <c r="L2533" s="72" t="str">
        <f>IFERROR(IF(G2533="","",VLOOKUP($G2533,[1]基础信息!$B:$C,2,FALSE)+SUMIF(G$8:G2533,G2533,J$8:J2533)-SUMIF(G$8:G2533,G2533,K$8:K2533)+SUMIFS([1]内部转账!$G:$G,[1]内部转账!$C:$C,"&lt;="&amp;$D2533,[1]内部转账!$E:$E,$G2533)-SUMIFS([1]内部转账!$G:$G,[1]内部转账!$C:$C,"&lt;="&amp;$D2533,[1]内部转账!$F:$F,$G2533)),"")</f>
        <v/>
      </c>
      <c r="M2533" s="64"/>
      <c r="N2533" s="69"/>
      <c r="O2533" s="64"/>
      <c r="P2533" s="64"/>
      <c r="Q2533" s="69"/>
      <c r="R2533" s="69"/>
      <c r="S2533" s="69"/>
    </row>
    <row r="2534" s="2" customFormat="1" ht="24.95" customHeight="1" spans="1:19">
      <c r="A2534" s="15"/>
      <c r="B2534" s="55"/>
      <c r="C2534" s="56"/>
      <c r="D2534" s="68"/>
      <c r="E2534" s="69"/>
      <c r="F2534" s="69"/>
      <c r="G2534" s="65"/>
      <c r="H2534" s="65"/>
      <c r="I2534" s="70"/>
      <c r="J2534" s="71"/>
      <c r="K2534" s="71"/>
      <c r="L2534" s="72" t="str">
        <f>IFERROR(IF(G2534="","",VLOOKUP($G2534,[1]基础信息!$B:$C,2,FALSE)+SUMIF(G$8:G2534,G2534,J$8:J2534)-SUMIF(G$8:G2534,G2534,K$8:K2534)+SUMIFS([1]内部转账!$G:$G,[1]内部转账!$C:$C,"&lt;="&amp;$D2534,[1]内部转账!$E:$E,$G2534)-SUMIFS([1]内部转账!$G:$G,[1]内部转账!$C:$C,"&lt;="&amp;$D2534,[1]内部转账!$F:$F,$G2534)),"")</f>
        <v/>
      </c>
      <c r="M2534" s="64"/>
      <c r="N2534" s="69"/>
      <c r="O2534" s="64"/>
      <c r="P2534" s="64"/>
      <c r="Q2534" s="69"/>
      <c r="R2534" s="69"/>
      <c r="S2534" s="69"/>
    </row>
    <row r="2535" s="2" customFormat="1" ht="24.95" customHeight="1" spans="1:19">
      <c r="A2535" s="15"/>
      <c r="B2535" s="55"/>
      <c r="C2535" s="56"/>
      <c r="D2535" s="68"/>
      <c r="E2535" s="69"/>
      <c r="F2535" s="69"/>
      <c r="G2535" s="65"/>
      <c r="H2535" s="65"/>
      <c r="I2535" s="70"/>
      <c r="J2535" s="71"/>
      <c r="K2535" s="71"/>
      <c r="L2535" s="72" t="str">
        <f>IFERROR(IF(G2535="","",VLOOKUP($G2535,[1]基础信息!$B:$C,2,FALSE)+SUMIF(G$8:G2535,G2535,J$8:J2535)-SUMIF(G$8:G2535,G2535,K$8:K2535)+SUMIFS([1]内部转账!$G:$G,[1]内部转账!$C:$C,"&lt;="&amp;$D2535,[1]内部转账!$E:$E,$G2535)-SUMIFS([1]内部转账!$G:$G,[1]内部转账!$C:$C,"&lt;="&amp;$D2535,[1]内部转账!$F:$F,$G2535)),"")</f>
        <v/>
      </c>
      <c r="M2535" s="64"/>
      <c r="N2535" s="69"/>
      <c r="O2535" s="64"/>
      <c r="P2535" s="64"/>
      <c r="Q2535" s="69"/>
      <c r="R2535" s="69"/>
      <c r="S2535" s="69"/>
    </row>
    <row r="2536" s="2" customFormat="1" ht="24.95" customHeight="1" spans="1:19">
      <c r="A2536" s="15"/>
      <c r="B2536" s="55"/>
      <c r="C2536" s="56"/>
      <c r="D2536" s="68"/>
      <c r="E2536" s="69"/>
      <c r="F2536" s="69"/>
      <c r="G2536" s="65"/>
      <c r="H2536" s="65"/>
      <c r="I2536" s="70"/>
      <c r="J2536" s="71"/>
      <c r="K2536" s="71"/>
      <c r="L2536" s="72" t="str">
        <f>IFERROR(IF(G2536="","",VLOOKUP($G2536,[1]基础信息!$B:$C,2,FALSE)+SUMIF(G$8:G2536,G2536,J$8:J2536)-SUMIF(G$8:G2536,G2536,K$8:K2536)+SUMIFS([1]内部转账!$G:$G,[1]内部转账!$C:$C,"&lt;="&amp;$D2536,[1]内部转账!$E:$E,$G2536)-SUMIFS([1]内部转账!$G:$G,[1]内部转账!$C:$C,"&lt;="&amp;$D2536,[1]内部转账!$F:$F,$G2536)),"")</f>
        <v/>
      </c>
      <c r="M2536" s="64"/>
      <c r="N2536" s="69"/>
      <c r="O2536" s="64"/>
      <c r="P2536" s="64"/>
      <c r="Q2536" s="69"/>
      <c r="R2536" s="69"/>
      <c r="S2536" s="69"/>
    </row>
    <row r="2537" s="2" customFormat="1" ht="24.95" customHeight="1" spans="1:19">
      <c r="A2537" s="15"/>
      <c r="B2537" s="55"/>
      <c r="C2537" s="56"/>
      <c r="D2537" s="68"/>
      <c r="E2537" s="69"/>
      <c r="F2537" s="69"/>
      <c r="G2537" s="65"/>
      <c r="H2537" s="65"/>
      <c r="I2537" s="70"/>
      <c r="J2537" s="71"/>
      <c r="K2537" s="71"/>
      <c r="L2537" s="72" t="str">
        <f>IFERROR(IF(G2537="","",VLOOKUP($G2537,[1]基础信息!$B:$C,2,FALSE)+SUMIF(G$8:G2537,G2537,J$8:J2537)-SUMIF(G$8:G2537,G2537,K$8:K2537)+SUMIFS([1]内部转账!$G:$G,[1]内部转账!$C:$C,"&lt;="&amp;$D2537,[1]内部转账!$E:$E,$G2537)-SUMIFS([1]内部转账!$G:$G,[1]内部转账!$C:$C,"&lt;="&amp;$D2537,[1]内部转账!$F:$F,$G2537)),"")</f>
        <v/>
      </c>
      <c r="M2537" s="64"/>
      <c r="N2537" s="69"/>
      <c r="O2537" s="64"/>
      <c r="P2537" s="64"/>
      <c r="Q2537" s="69"/>
      <c r="R2537" s="69"/>
      <c r="S2537" s="69"/>
    </row>
    <row r="2538" s="2" customFormat="1" ht="24.95" customHeight="1" spans="1:19">
      <c r="A2538" s="15"/>
      <c r="B2538" s="55"/>
      <c r="C2538" s="56"/>
      <c r="D2538" s="68"/>
      <c r="E2538" s="69"/>
      <c r="F2538" s="69"/>
      <c r="G2538" s="65"/>
      <c r="H2538" s="65"/>
      <c r="I2538" s="70"/>
      <c r="J2538" s="71"/>
      <c r="K2538" s="71"/>
      <c r="L2538" s="72" t="str">
        <f>IFERROR(IF(G2538="","",VLOOKUP($G2538,[1]基础信息!$B:$C,2,FALSE)+SUMIF(G$8:G2538,G2538,J$8:J2538)-SUMIF(G$8:G2538,G2538,K$8:K2538)+SUMIFS([1]内部转账!$G:$G,[1]内部转账!$C:$C,"&lt;="&amp;$D2538,[1]内部转账!$E:$E,$G2538)-SUMIFS([1]内部转账!$G:$G,[1]内部转账!$C:$C,"&lt;="&amp;$D2538,[1]内部转账!$F:$F,$G2538)),"")</f>
        <v/>
      </c>
      <c r="M2538" s="64"/>
      <c r="N2538" s="69"/>
      <c r="O2538" s="64"/>
      <c r="P2538" s="64"/>
      <c r="Q2538" s="69"/>
      <c r="R2538" s="69"/>
      <c r="S2538" s="69"/>
    </row>
    <row r="2539" s="2" customFormat="1" ht="24.95" customHeight="1" spans="1:19">
      <c r="A2539" s="15"/>
      <c r="B2539" s="55"/>
      <c r="C2539" s="56"/>
      <c r="D2539" s="68"/>
      <c r="E2539" s="69"/>
      <c r="F2539" s="69"/>
      <c r="G2539" s="65"/>
      <c r="H2539" s="65"/>
      <c r="I2539" s="70"/>
      <c r="J2539" s="71"/>
      <c r="K2539" s="71"/>
      <c r="L2539" s="72" t="str">
        <f>IFERROR(IF(G2539="","",VLOOKUP($G2539,[1]基础信息!$B:$C,2,FALSE)+SUMIF(G$8:G2539,G2539,J$8:J2539)-SUMIF(G$8:G2539,G2539,K$8:K2539)+SUMIFS([1]内部转账!$G:$G,[1]内部转账!$C:$C,"&lt;="&amp;$D2539,[1]内部转账!$E:$E,$G2539)-SUMIFS([1]内部转账!$G:$G,[1]内部转账!$C:$C,"&lt;="&amp;$D2539,[1]内部转账!$F:$F,$G2539)),"")</f>
        <v/>
      </c>
      <c r="M2539" s="64"/>
      <c r="N2539" s="69"/>
      <c r="O2539" s="64"/>
      <c r="P2539" s="64"/>
      <c r="Q2539" s="69"/>
      <c r="R2539" s="69"/>
      <c r="S2539" s="69"/>
    </row>
    <row r="2540" s="2" customFormat="1" ht="24.95" customHeight="1" spans="1:19">
      <c r="A2540" s="15"/>
      <c r="B2540" s="55"/>
      <c r="C2540" s="56"/>
      <c r="D2540" s="68"/>
      <c r="E2540" s="69"/>
      <c r="F2540" s="69"/>
      <c r="G2540" s="65"/>
      <c r="H2540" s="65"/>
      <c r="I2540" s="70"/>
      <c r="J2540" s="71"/>
      <c r="K2540" s="71"/>
      <c r="L2540" s="72" t="str">
        <f>IFERROR(IF(G2540="","",VLOOKUP($G2540,[1]基础信息!$B:$C,2,FALSE)+SUMIF(G$8:G2540,G2540,J$8:J2540)-SUMIF(G$8:G2540,G2540,K$8:K2540)+SUMIFS([1]内部转账!$G:$G,[1]内部转账!$C:$C,"&lt;="&amp;$D2540,[1]内部转账!$E:$E,$G2540)-SUMIFS([1]内部转账!$G:$G,[1]内部转账!$C:$C,"&lt;="&amp;$D2540,[1]内部转账!$F:$F,$G2540)),"")</f>
        <v/>
      </c>
      <c r="M2540" s="64"/>
      <c r="N2540" s="69"/>
      <c r="O2540" s="64"/>
      <c r="P2540" s="64"/>
      <c r="Q2540" s="69"/>
      <c r="R2540" s="69"/>
      <c r="S2540" s="69"/>
    </row>
    <row r="2541" s="2" customFormat="1" ht="24.95" customHeight="1" spans="1:19">
      <c r="A2541" s="15"/>
      <c r="B2541" s="55"/>
      <c r="C2541" s="56"/>
      <c r="D2541" s="68"/>
      <c r="E2541" s="69"/>
      <c r="F2541" s="69"/>
      <c r="G2541" s="65"/>
      <c r="H2541" s="65"/>
      <c r="I2541" s="70"/>
      <c r="J2541" s="71"/>
      <c r="K2541" s="71"/>
      <c r="L2541" s="72" t="str">
        <f>IFERROR(IF(G2541="","",VLOOKUP($G2541,[1]基础信息!$B:$C,2,FALSE)+SUMIF(G$8:G2541,G2541,J$8:J2541)-SUMIF(G$8:G2541,G2541,K$8:K2541)+SUMIFS([1]内部转账!$G:$G,[1]内部转账!$C:$C,"&lt;="&amp;$D2541,[1]内部转账!$E:$E,$G2541)-SUMIFS([1]内部转账!$G:$G,[1]内部转账!$C:$C,"&lt;="&amp;$D2541,[1]内部转账!$F:$F,$G2541)),"")</f>
        <v/>
      </c>
      <c r="M2541" s="64"/>
      <c r="N2541" s="69"/>
      <c r="O2541" s="64"/>
      <c r="P2541" s="64"/>
      <c r="Q2541" s="69"/>
      <c r="R2541" s="69"/>
      <c r="S2541" s="69"/>
    </row>
    <row r="2542" s="2" customFormat="1" ht="24.95" customHeight="1" spans="1:19">
      <c r="A2542" s="15"/>
      <c r="B2542" s="55"/>
      <c r="C2542" s="56"/>
      <c r="D2542" s="68"/>
      <c r="E2542" s="69"/>
      <c r="F2542" s="69"/>
      <c r="G2542" s="65"/>
      <c r="H2542" s="65"/>
      <c r="I2542" s="70"/>
      <c r="J2542" s="71"/>
      <c r="K2542" s="71"/>
      <c r="L2542" s="72" t="str">
        <f>IFERROR(IF(G2542="","",VLOOKUP($G2542,[1]基础信息!$B:$C,2,FALSE)+SUMIF(G$8:G2542,G2542,J$8:J2542)-SUMIF(G$8:G2542,G2542,K$8:K2542)+SUMIFS([1]内部转账!$G:$G,[1]内部转账!$C:$C,"&lt;="&amp;$D2542,[1]内部转账!$E:$E,$G2542)-SUMIFS([1]内部转账!$G:$G,[1]内部转账!$C:$C,"&lt;="&amp;$D2542,[1]内部转账!$F:$F,$G2542)),"")</f>
        <v/>
      </c>
      <c r="M2542" s="64"/>
      <c r="N2542" s="69"/>
      <c r="O2542" s="64"/>
      <c r="P2542" s="64"/>
      <c r="Q2542" s="69"/>
      <c r="R2542" s="69"/>
      <c r="S2542" s="69"/>
    </row>
    <row r="2543" s="2" customFormat="1" ht="24.95" customHeight="1" spans="1:19">
      <c r="A2543" s="15"/>
      <c r="B2543" s="55"/>
      <c r="C2543" s="56"/>
      <c r="D2543" s="68"/>
      <c r="E2543" s="69"/>
      <c r="F2543" s="69"/>
      <c r="G2543" s="65"/>
      <c r="H2543" s="65"/>
      <c r="I2543" s="70"/>
      <c r="J2543" s="71"/>
      <c r="K2543" s="71"/>
      <c r="L2543" s="72" t="str">
        <f>IFERROR(IF(G2543="","",VLOOKUP($G2543,[1]基础信息!$B:$C,2,FALSE)+SUMIF(G$8:G2543,G2543,J$8:J2543)-SUMIF(G$8:G2543,G2543,K$8:K2543)+SUMIFS([1]内部转账!$G:$G,[1]内部转账!$C:$C,"&lt;="&amp;$D2543,[1]内部转账!$E:$E,$G2543)-SUMIFS([1]内部转账!$G:$G,[1]内部转账!$C:$C,"&lt;="&amp;$D2543,[1]内部转账!$F:$F,$G2543)),"")</f>
        <v/>
      </c>
      <c r="M2543" s="64"/>
      <c r="N2543" s="69"/>
      <c r="O2543" s="64"/>
      <c r="P2543" s="64"/>
      <c r="Q2543" s="69"/>
      <c r="R2543" s="69"/>
      <c r="S2543" s="69"/>
    </row>
    <row r="2544" s="2" customFormat="1" ht="24.95" customHeight="1" spans="1:19">
      <c r="A2544" s="15"/>
      <c r="B2544" s="55"/>
      <c r="C2544" s="56"/>
      <c r="D2544" s="68"/>
      <c r="E2544" s="69"/>
      <c r="F2544" s="69"/>
      <c r="G2544" s="65"/>
      <c r="H2544" s="65"/>
      <c r="I2544" s="70"/>
      <c r="J2544" s="71"/>
      <c r="K2544" s="71"/>
      <c r="L2544" s="72" t="str">
        <f>IFERROR(IF(G2544="","",VLOOKUP($G2544,[1]基础信息!$B:$C,2,FALSE)+SUMIF(G$8:G2544,G2544,J$8:J2544)-SUMIF(G$8:G2544,G2544,K$8:K2544)+SUMIFS([1]内部转账!$G:$G,[1]内部转账!$C:$C,"&lt;="&amp;$D2544,[1]内部转账!$E:$E,$G2544)-SUMIFS([1]内部转账!$G:$G,[1]内部转账!$C:$C,"&lt;="&amp;$D2544,[1]内部转账!$F:$F,$G2544)),"")</f>
        <v/>
      </c>
      <c r="M2544" s="64"/>
      <c r="N2544" s="69"/>
      <c r="O2544" s="64"/>
      <c r="P2544" s="64"/>
      <c r="Q2544" s="69"/>
      <c r="R2544" s="69"/>
      <c r="S2544" s="69"/>
    </row>
    <row r="2545" s="2" customFormat="1" ht="24.95" customHeight="1" spans="1:19">
      <c r="A2545" s="15"/>
      <c r="B2545" s="55"/>
      <c r="C2545" s="56"/>
      <c r="D2545" s="68"/>
      <c r="E2545" s="69"/>
      <c r="F2545" s="69"/>
      <c r="G2545" s="65"/>
      <c r="H2545" s="65"/>
      <c r="I2545" s="70"/>
      <c r="J2545" s="71"/>
      <c r="K2545" s="71"/>
      <c r="L2545" s="72" t="str">
        <f>IFERROR(IF(G2545="","",VLOOKUP($G2545,[1]基础信息!$B:$C,2,FALSE)+SUMIF(G$8:G2545,G2545,J$8:J2545)-SUMIF(G$8:G2545,G2545,K$8:K2545)+SUMIFS([1]内部转账!$G:$G,[1]内部转账!$C:$C,"&lt;="&amp;$D2545,[1]内部转账!$E:$E,$G2545)-SUMIFS([1]内部转账!$G:$G,[1]内部转账!$C:$C,"&lt;="&amp;$D2545,[1]内部转账!$F:$F,$G2545)),"")</f>
        <v/>
      </c>
      <c r="M2545" s="64"/>
      <c r="N2545" s="69"/>
      <c r="O2545" s="64"/>
      <c r="P2545" s="64"/>
      <c r="Q2545" s="69"/>
      <c r="R2545" s="69"/>
      <c r="S2545" s="69"/>
    </row>
    <row r="2546" s="2" customFormat="1" ht="24.95" customHeight="1" spans="1:19">
      <c r="A2546" s="15"/>
      <c r="B2546" s="55"/>
      <c r="C2546" s="56"/>
      <c r="D2546" s="68"/>
      <c r="E2546" s="69"/>
      <c r="F2546" s="69"/>
      <c r="G2546" s="65"/>
      <c r="H2546" s="65"/>
      <c r="I2546" s="70"/>
      <c r="J2546" s="71"/>
      <c r="K2546" s="71"/>
      <c r="L2546" s="72" t="str">
        <f>IFERROR(IF(G2546="","",VLOOKUP($G2546,[1]基础信息!$B:$C,2,FALSE)+SUMIF(G$8:G2546,G2546,J$8:J2546)-SUMIF(G$8:G2546,G2546,K$8:K2546)+SUMIFS([1]内部转账!$G:$G,[1]内部转账!$C:$C,"&lt;="&amp;$D2546,[1]内部转账!$E:$E,$G2546)-SUMIFS([1]内部转账!$G:$G,[1]内部转账!$C:$C,"&lt;="&amp;$D2546,[1]内部转账!$F:$F,$G2546)),"")</f>
        <v/>
      </c>
      <c r="M2546" s="64"/>
      <c r="N2546" s="69"/>
      <c r="O2546" s="64"/>
      <c r="P2546" s="64"/>
      <c r="Q2546" s="69"/>
      <c r="R2546" s="69"/>
      <c r="S2546" s="69"/>
    </row>
    <row r="2547" s="2" customFormat="1" ht="24.95" customHeight="1" spans="1:19">
      <c r="A2547" s="15"/>
      <c r="B2547" s="55"/>
      <c r="C2547" s="56"/>
      <c r="D2547" s="68"/>
      <c r="E2547" s="69"/>
      <c r="F2547" s="69"/>
      <c r="G2547" s="65"/>
      <c r="H2547" s="65"/>
      <c r="I2547" s="70"/>
      <c r="J2547" s="71"/>
      <c r="K2547" s="71"/>
      <c r="L2547" s="72" t="str">
        <f>IFERROR(IF(G2547="","",VLOOKUP($G2547,[1]基础信息!$B:$C,2,FALSE)+SUMIF(G$8:G2547,G2547,J$8:J2547)-SUMIF(G$8:G2547,G2547,K$8:K2547)+SUMIFS([1]内部转账!$G:$G,[1]内部转账!$C:$C,"&lt;="&amp;$D2547,[1]内部转账!$E:$E,$G2547)-SUMIFS([1]内部转账!$G:$G,[1]内部转账!$C:$C,"&lt;="&amp;$D2547,[1]内部转账!$F:$F,$G2547)),"")</f>
        <v/>
      </c>
      <c r="M2547" s="64"/>
      <c r="N2547" s="69"/>
      <c r="O2547" s="64"/>
      <c r="P2547" s="64"/>
      <c r="Q2547" s="69"/>
      <c r="R2547" s="69"/>
      <c r="S2547" s="69"/>
    </row>
    <row r="2548" s="2" customFormat="1" ht="24.95" customHeight="1" spans="1:19">
      <c r="A2548" s="15"/>
      <c r="B2548" s="55"/>
      <c r="C2548" s="56"/>
      <c r="D2548" s="68"/>
      <c r="E2548" s="69"/>
      <c r="F2548" s="69"/>
      <c r="G2548" s="65"/>
      <c r="H2548" s="65"/>
      <c r="I2548" s="70"/>
      <c r="J2548" s="71"/>
      <c r="K2548" s="71"/>
      <c r="L2548" s="72" t="str">
        <f>IFERROR(IF(G2548="","",VLOOKUP($G2548,[1]基础信息!$B:$C,2,FALSE)+SUMIF(G$8:G2548,G2548,J$8:J2548)-SUMIF(G$8:G2548,G2548,K$8:K2548)+SUMIFS([1]内部转账!$G:$G,[1]内部转账!$C:$C,"&lt;="&amp;$D2548,[1]内部转账!$E:$E,$G2548)-SUMIFS([1]内部转账!$G:$G,[1]内部转账!$C:$C,"&lt;="&amp;$D2548,[1]内部转账!$F:$F,$G2548)),"")</f>
        <v/>
      </c>
      <c r="M2548" s="64"/>
      <c r="N2548" s="69"/>
      <c r="O2548" s="64"/>
      <c r="P2548" s="64"/>
      <c r="Q2548" s="69"/>
      <c r="R2548" s="69"/>
      <c r="S2548" s="69"/>
    </row>
    <row r="2549" s="2" customFormat="1" ht="24.95" customHeight="1" spans="1:19">
      <c r="A2549" s="15"/>
      <c r="B2549" s="55"/>
      <c r="C2549" s="56"/>
      <c r="D2549" s="68"/>
      <c r="E2549" s="69"/>
      <c r="F2549" s="69"/>
      <c r="G2549" s="65"/>
      <c r="H2549" s="65"/>
      <c r="I2549" s="70"/>
      <c r="J2549" s="71"/>
      <c r="K2549" s="71"/>
      <c r="L2549" s="72" t="str">
        <f>IFERROR(IF(G2549="","",VLOOKUP($G2549,[1]基础信息!$B:$C,2,FALSE)+SUMIF(G$8:G2549,G2549,J$8:J2549)-SUMIF(G$8:G2549,G2549,K$8:K2549)+SUMIFS([1]内部转账!$G:$G,[1]内部转账!$C:$C,"&lt;="&amp;$D2549,[1]内部转账!$E:$E,$G2549)-SUMIFS([1]内部转账!$G:$G,[1]内部转账!$C:$C,"&lt;="&amp;$D2549,[1]内部转账!$F:$F,$G2549)),"")</f>
        <v/>
      </c>
      <c r="M2549" s="64"/>
      <c r="N2549" s="69"/>
      <c r="O2549" s="64"/>
      <c r="P2549" s="64"/>
      <c r="Q2549" s="69"/>
      <c r="R2549" s="69"/>
      <c r="S2549" s="69"/>
    </row>
    <row r="2550" s="2" customFormat="1" ht="24.95" customHeight="1" spans="1:19">
      <c r="A2550" s="15"/>
      <c r="B2550" s="55"/>
      <c r="C2550" s="56"/>
      <c r="D2550" s="68"/>
      <c r="E2550" s="69"/>
      <c r="F2550" s="69"/>
      <c r="G2550" s="65"/>
      <c r="H2550" s="65"/>
      <c r="I2550" s="70"/>
      <c r="J2550" s="71"/>
      <c r="K2550" s="71"/>
      <c r="L2550" s="72" t="str">
        <f>IFERROR(IF(G2550="","",VLOOKUP($G2550,[1]基础信息!$B:$C,2,FALSE)+SUMIF(G$8:G2550,G2550,J$8:J2550)-SUMIF(G$8:G2550,G2550,K$8:K2550)+SUMIFS([1]内部转账!$G:$G,[1]内部转账!$C:$C,"&lt;="&amp;$D2550,[1]内部转账!$E:$E,$G2550)-SUMIFS([1]内部转账!$G:$G,[1]内部转账!$C:$C,"&lt;="&amp;$D2550,[1]内部转账!$F:$F,$G2550)),"")</f>
        <v/>
      </c>
      <c r="M2550" s="64"/>
      <c r="N2550" s="69"/>
      <c r="O2550" s="64"/>
      <c r="P2550" s="64"/>
      <c r="Q2550" s="69"/>
      <c r="R2550" s="69"/>
      <c r="S2550" s="69"/>
    </row>
    <row r="2551" s="2" customFormat="1" ht="24.95" customHeight="1" spans="1:19">
      <c r="A2551" s="15"/>
      <c r="B2551" s="55"/>
      <c r="C2551" s="56"/>
      <c r="D2551" s="68"/>
      <c r="E2551" s="69"/>
      <c r="F2551" s="69"/>
      <c r="G2551" s="65"/>
      <c r="H2551" s="65"/>
      <c r="I2551" s="70"/>
      <c r="J2551" s="71"/>
      <c r="K2551" s="71"/>
      <c r="L2551" s="72" t="str">
        <f>IFERROR(IF(G2551="","",VLOOKUP($G2551,[1]基础信息!$B:$C,2,FALSE)+SUMIF(G$8:G2551,G2551,J$8:J2551)-SUMIF(G$8:G2551,G2551,K$8:K2551)+SUMIFS([1]内部转账!$G:$G,[1]内部转账!$C:$C,"&lt;="&amp;$D2551,[1]内部转账!$E:$E,$G2551)-SUMIFS([1]内部转账!$G:$G,[1]内部转账!$C:$C,"&lt;="&amp;$D2551,[1]内部转账!$F:$F,$G2551)),"")</f>
        <v/>
      </c>
      <c r="M2551" s="64"/>
      <c r="N2551" s="69"/>
      <c r="O2551" s="64"/>
      <c r="P2551" s="64"/>
      <c r="Q2551" s="69"/>
      <c r="R2551" s="69"/>
      <c r="S2551" s="69"/>
    </row>
    <row r="2552" s="2" customFormat="1" ht="24.95" customHeight="1" spans="1:19">
      <c r="A2552" s="15"/>
      <c r="B2552" s="55"/>
      <c r="C2552" s="56"/>
      <c r="D2552" s="68"/>
      <c r="E2552" s="69"/>
      <c r="F2552" s="69"/>
      <c r="G2552" s="65"/>
      <c r="H2552" s="65"/>
      <c r="I2552" s="70"/>
      <c r="J2552" s="71"/>
      <c r="K2552" s="71"/>
      <c r="L2552" s="72" t="str">
        <f>IFERROR(IF(G2552="","",VLOOKUP($G2552,[1]基础信息!$B:$C,2,FALSE)+SUMIF(G$8:G2552,G2552,J$8:J2552)-SUMIF(G$8:G2552,G2552,K$8:K2552)+SUMIFS([1]内部转账!$G:$G,[1]内部转账!$C:$C,"&lt;="&amp;$D2552,[1]内部转账!$E:$E,$G2552)-SUMIFS([1]内部转账!$G:$G,[1]内部转账!$C:$C,"&lt;="&amp;$D2552,[1]内部转账!$F:$F,$G2552)),"")</f>
        <v/>
      </c>
      <c r="M2552" s="64"/>
      <c r="N2552" s="69"/>
      <c r="O2552" s="64"/>
      <c r="P2552" s="64"/>
      <c r="Q2552" s="69"/>
      <c r="R2552" s="69"/>
      <c r="S2552" s="69"/>
    </row>
    <row r="2553" s="2" customFormat="1" ht="24.95" customHeight="1" spans="1:19">
      <c r="A2553" s="15"/>
      <c r="B2553" s="55"/>
      <c r="C2553" s="56"/>
      <c r="D2553" s="68"/>
      <c r="E2553" s="69"/>
      <c r="F2553" s="69"/>
      <c r="G2553" s="65"/>
      <c r="H2553" s="65"/>
      <c r="I2553" s="70"/>
      <c r="J2553" s="71"/>
      <c r="K2553" s="71"/>
      <c r="L2553" s="72" t="str">
        <f>IFERROR(IF(G2553="","",VLOOKUP($G2553,[1]基础信息!$B:$C,2,FALSE)+SUMIF(G$8:G2553,G2553,J$8:J2553)-SUMIF(G$8:G2553,G2553,K$8:K2553)+SUMIFS([1]内部转账!$G:$G,[1]内部转账!$C:$C,"&lt;="&amp;$D2553,[1]内部转账!$E:$E,$G2553)-SUMIFS([1]内部转账!$G:$G,[1]内部转账!$C:$C,"&lt;="&amp;$D2553,[1]内部转账!$F:$F,$G2553)),"")</f>
        <v/>
      </c>
      <c r="M2553" s="64"/>
      <c r="N2553" s="69"/>
      <c r="O2553" s="64"/>
      <c r="P2553" s="64"/>
      <c r="Q2553" s="69"/>
      <c r="R2553" s="69"/>
      <c r="S2553" s="69"/>
    </row>
    <row r="2554" s="2" customFormat="1" ht="24.95" customHeight="1" spans="1:19">
      <c r="A2554" s="15"/>
      <c r="B2554" s="55"/>
      <c r="C2554" s="56"/>
      <c r="D2554" s="68"/>
      <c r="E2554" s="69"/>
      <c r="F2554" s="69"/>
      <c r="G2554" s="65"/>
      <c r="H2554" s="65"/>
      <c r="I2554" s="70"/>
      <c r="J2554" s="71"/>
      <c r="K2554" s="71"/>
      <c r="L2554" s="72" t="str">
        <f>IFERROR(IF(G2554="","",VLOOKUP($G2554,[1]基础信息!$B:$C,2,FALSE)+SUMIF(G$8:G2554,G2554,J$8:J2554)-SUMIF(G$8:G2554,G2554,K$8:K2554)+SUMIFS([1]内部转账!$G:$G,[1]内部转账!$C:$C,"&lt;="&amp;$D2554,[1]内部转账!$E:$E,$G2554)-SUMIFS([1]内部转账!$G:$G,[1]内部转账!$C:$C,"&lt;="&amp;$D2554,[1]内部转账!$F:$F,$G2554)),"")</f>
        <v/>
      </c>
      <c r="M2554" s="64"/>
      <c r="N2554" s="69"/>
      <c r="O2554" s="64"/>
      <c r="P2554" s="64"/>
      <c r="Q2554" s="69"/>
      <c r="R2554" s="69"/>
      <c r="S2554" s="69"/>
    </row>
    <row r="2555" s="2" customFormat="1" ht="24.95" customHeight="1" spans="1:19">
      <c r="A2555" s="15"/>
      <c r="B2555" s="55"/>
      <c r="C2555" s="56"/>
      <c r="D2555" s="68"/>
      <c r="E2555" s="69"/>
      <c r="F2555" s="69"/>
      <c r="G2555" s="65"/>
      <c r="H2555" s="65"/>
      <c r="I2555" s="70"/>
      <c r="J2555" s="71"/>
      <c r="K2555" s="71"/>
      <c r="L2555" s="72" t="str">
        <f>IFERROR(IF(G2555="","",VLOOKUP($G2555,[1]基础信息!$B:$C,2,FALSE)+SUMIF(G$8:G2555,G2555,J$8:J2555)-SUMIF(G$8:G2555,G2555,K$8:K2555)+SUMIFS([1]内部转账!$G:$G,[1]内部转账!$C:$C,"&lt;="&amp;$D2555,[1]内部转账!$E:$E,$G2555)-SUMIFS([1]内部转账!$G:$G,[1]内部转账!$C:$C,"&lt;="&amp;$D2555,[1]内部转账!$F:$F,$G2555)),"")</f>
        <v/>
      </c>
      <c r="M2555" s="64"/>
      <c r="N2555" s="69"/>
      <c r="O2555" s="64"/>
      <c r="P2555" s="64"/>
      <c r="Q2555" s="69"/>
      <c r="R2555" s="69"/>
      <c r="S2555" s="69"/>
    </row>
    <row r="2556" s="2" customFormat="1" ht="24.95" customHeight="1" spans="1:19">
      <c r="A2556" s="15"/>
      <c r="B2556" s="55"/>
      <c r="C2556" s="56"/>
      <c r="D2556" s="68"/>
      <c r="E2556" s="69"/>
      <c r="F2556" s="69"/>
      <c r="G2556" s="65"/>
      <c r="H2556" s="65"/>
      <c r="I2556" s="70"/>
      <c r="J2556" s="71"/>
      <c r="K2556" s="71"/>
      <c r="L2556" s="72" t="str">
        <f>IFERROR(IF(G2556="","",VLOOKUP($G2556,[1]基础信息!$B:$C,2,FALSE)+SUMIF(G$8:G2556,G2556,J$8:J2556)-SUMIF(G$8:G2556,G2556,K$8:K2556)+SUMIFS([1]内部转账!$G:$G,[1]内部转账!$C:$C,"&lt;="&amp;$D2556,[1]内部转账!$E:$E,$G2556)-SUMIFS([1]内部转账!$G:$G,[1]内部转账!$C:$C,"&lt;="&amp;$D2556,[1]内部转账!$F:$F,$G2556)),"")</f>
        <v/>
      </c>
      <c r="M2556" s="64"/>
      <c r="N2556" s="69"/>
      <c r="O2556" s="64"/>
      <c r="P2556" s="64"/>
      <c r="Q2556" s="69"/>
      <c r="R2556" s="69"/>
      <c r="S2556" s="69"/>
    </row>
    <row r="2557" s="2" customFormat="1" ht="24.95" customHeight="1" spans="1:19">
      <c r="A2557" s="15"/>
      <c r="B2557" s="55"/>
      <c r="C2557" s="56"/>
      <c r="D2557" s="68"/>
      <c r="E2557" s="69"/>
      <c r="F2557" s="69"/>
      <c r="G2557" s="65"/>
      <c r="H2557" s="65"/>
      <c r="I2557" s="70"/>
      <c r="J2557" s="71"/>
      <c r="K2557" s="71"/>
      <c r="L2557" s="72" t="str">
        <f>IFERROR(IF(G2557="","",VLOOKUP($G2557,[1]基础信息!$B:$C,2,FALSE)+SUMIF(G$8:G2557,G2557,J$8:J2557)-SUMIF(G$8:G2557,G2557,K$8:K2557)+SUMIFS([1]内部转账!$G:$G,[1]内部转账!$C:$C,"&lt;="&amp;$D2557,[1]内部转账!$E:$E,$G2557)-SUMIFS([1]内部转账!$G:$G,[1]内部转账!$C:$C,"&lt;="&amp;$D2557,[1]内部转账!$F:$F,$G2557)),"")</f>
        <v/>
      </c>
      <c r="M2557" s="64"/>
      <c r="N2557" s="69"/>
      <c r="O2557" s="64"/>
      <c r="P2557" s="64"/>
      <c r="Q2557" s="69"/>
      <c r="R2557" s="69"/>
      <c r="S2557" s="69"/>
    </row>
    <row r="2558" s="2" customFormat="1" ht="24.95" customHeight="1" spans="1:19">
      <c r="A2558" s="15"/>
      <c r="B2558" s="55"/>
      <c r="C2558" s="56"/>
      <c r="D2558" s="68"/>
      <c r="E2558" s="69"/>
      <c r="F2558" s="69"/>
      <c r="G2558" s="65"/>
      <c r="H2558" s="65"/>
      <c r="I2558" s="70"/>
      <c r="J2558" s="71"/>
      <c r="K2558" s="71"/>
      <c r="L2558" s="72" t="str">
        <f>IFERROR(IF(G2558="","",VLOOKUP($G2558,[1]基础信息!$B:$C,2,FALSE)+SUMIF(G$8:G2558,G2558,J$8:J2558)-SUMIF(G$8:G2558,G2558,K$8:K2558)+SUMIFS([1]内部转账!$G:$G,[1]内部转账!$C:$C,"&lt;="&amp;$D2558,[1]内部转账!$E:$E,$G2558)-SUMIFS([1]内部转账!$G:$G,[1]内部转账!$C:$C,"&lt;="&amp;$D2558,[1]内部转账!$F:$F,$G2558)),"")</f>
        <v/>
      </c>
      <c r="M2558" s="64"/>
      <c r="N2558" s="69"/>
      <c r="O2558" s="64"/>
      <c r="P2558" s="64"/>
      <c r="Q2558" s="69"/>
      <c r="R2558" s="69"/>
      <c r="S2558" s="69"/>
    </row>
    <row r="2559" s="2" customFormat="1" ht="24.95" customHeight="1" spans="1:19">
      <c r="A2559" s="15"/>
      <c r="B2559" s="55"/>
      <c r="C2559" s="56"/>
      <c r="D2559" s="68"/>
      <c r="E2559" s="69"/>
      <c r="F2559" s="69"/>
      <c r="G2559" s="65"/>
      <c r="H2559" s="65"/>
      <c r="I2559" s="70"/>
      <c r="J2559" s="71"/>
      <c r="K2559" s="71"/>
      <c r="L2559" s="72" t="str">
        <f>IFERROR(IF(G2559="","",VLOOKUP($G2559,[1]基础信息!$B:$C,2,FALSE)+SUMIF(G$8:G2559,G2559,J$8:J2559)-SUMIF(G$8:G2559,G2559,K$8:K2559)+SUMIFS([1]内部转账!$G:$G,[1]内部转账!$C:$C,"&lt;="&amp;$D2559,[1]内部转账!$E:$E,$G2559)-SUMIFS([1]内部转账!$G:$G,[1]内部转账!$C:$C,"&lt;="&amp;$D2559,[1]内部转账!$F:$F,$G2559)),"")</f>
        <v/>
      </c>
      <c r="M2559" s="64"/>
      <c r="N2559" s="69"/>
      <c r="O2559" s="64"/>
      <c r="P2559" s="64"/>
      <c r="Q2559" s="69"/>
      <c r="R2559" s="69"/>
      <c r="S2559" s="69"/>
    </row>
    <row r="2560" s="2" customFormat="1" ht="24.95" customHeight="1" spans="1:19">
      <c r="A2560" s="15"/>
      <c r="B2560" s="55"/>
      <c r="C2560" s="56"/>
      <c r="D2560" s="68"/>
      <c r="E2560" s="69"/>
      <c r="F2560" s="69"/>
      <c r="G2560" s="65"/>
      <c r="H2560" s="65"/>
      <c r="I2560" s="70"/>
      <c r="J2560" s="71"/>
      <c r="K2560" s="71"/>
      <c r="L2560" s="72" t="str">
        <f>IFERROR(IF(G2560="","",VLOOKUP($G2560,[1]基础信息!$B:$C,2,FALSE)+SUMIF(G$8:G2560,G2560,J$8:J2560)-SUMIF(G$8:G2560,G2560,K$8:K2560)+SUMIFS([1]内部转账!$G:$G,[1]内部转账!$C:$C,"&lt;="&amp;$D2560,[1]内部转账!$E:$E,$G2560)-SUMIFS([1]内部转账!$G:$G,[1]内部转账!$C:$C,"&lt;="&amp;$D2560,[1]内部转账!$F:$F,$G2560)),"")</f>
        <v/>
      </c>
      <c r="M2560" s="64"/>
      <c r="N2560" s="69"/>
      <c r="O2560" s="64"/>
      <c r="P2560" s="64"/>
      <c r="Q2560" s="69"/>
      <c r="R2560" s="69"/>
      <c r="S2560" s="69"/>
    </row>
    <row r="2561" s="2" customFormat="1" ht="24.95" customHeight="1" spans="1:19">
      <c r="A2561" s="15"/>
      <c r="B2561" s="55"/>
      <c r="C2561" s="56"/>
      <c r="D2561" s="68"/>
      <c r="E2561" s="69"/>
      <c r="F2561" s="69"/>
      <c r="G2561" s="65"/>
      <c r="H2561" s="65"/>
      <c r="I2561" s="70"/>
      <c r="J2561" s="71"/>
      <c r="K2561" s="71"/>
      <c r="L2561" s="72" t="str">
        <f>IFERROR(IF(G2561="","",VLOOKUP($G2561,[1]基础信息!$B:$C,2,FALSE)+SUMIF(G$8:G2561,G2561,J$8:J2561)-SUMIF(G$8:G2561,G2561,K$8:K2561)+SUMIFS([1]内部转账!$G:$G,[1]内部转账!$C:$C,"&lt;="&amp;$D2561,[1]内部转账!$E:$E,$G2561)-SUMIFS([1]内部转账!$G:$G,[1]内部转账!$C:$C,"&lt;="&amp;$D2561,[1]内部转账!$F:$F,$G2561)),"")</f>
        <v/>
      </c>
      <c r="M2561" s="64"/>
      <c r="N2561" s="69"/>
      <c r="O2561" s="64"/>
      <c r="P2561" s="64"/>
      <c r="Q2561" s="69"/>
      <c r="R2561" s="69"/>
      <c r="S2561" s="69"/>
    </row>
    <row r="2562" s="2" customFormat="1" ht="24.95" customHeight="1" spans="1:19">
      <c r="A2562" s="15"/>
      <c r="B2562" s="55"/>
      <c r="C2562" s="56"/>
      <c r="D2562" s="68"/>
      <c r="E2562" s="69"/>
      <c r="F2562" s="69"/>
      <c r="G2562" s="65"/>
      <c r="H2562" s="65"/>
      <c r="I2562" s="70"/>
      <c r="J2562" s="71"/>
      <c r="K2562" s="71"/>
      <c r="L2562" s="72" t="str">
        <f>IFERROR(IF(G2562="","",VLOOKUP($G2562,[1]基础信息!$B:$C,2,FALSE)+SUMIF(G$8:G2562,G2562,J$8:J2562)-SUMIF(G$8:G2562,G2562,K$8:K2562)+SUMIFS([1]内部转账!$G:$G,[1]内部转账!$C:$C,"&lt;="&amp;$D2562,[1]内部转账!$E:$E,$G2562)-SUMIFS([1]内部转账!$G:$G,[1]内部转账!$C:$C,"&lt;="&amp;$D2562,[1]内部转账!$F:$F,$G2562)),"")</f>
        <v/>
      </c>
      <c r="M2562" s="64"/>
      <c r="N2562" s="69"/>
      <c r="O2562" s="64"/>
      <c r="P2562" s="64"/>
      <c r="Q2562" s="69"/>
      <c r="R2562" s="69"/>
      <c r="S2562" s="69"/>
    </row>
    <row r="2563" s="2" customFormat="1" ht="24.95" customHeight="1" spans="1:19">
      <c r="A2563" s="15"/>
      <c r="B2563" s="55"/>
      <c r="C2563" s="56"/>
      <c r="D2563" s="68"/>
      <c r="E2563" s="69"/>
      <c r="F2563" s="69"/>
      <c r="G2563" s="65"/>
      <c r="H2563" s="65"/>
      <c r="I2563" s="70"/>
      <c r="J2563" s="71"/>
      <c r="K2563" s="71"/>
      <c r="L2563" s="72" t="str">
        <f>IFERROR(IF(G2563="","",VLOOKUP($G2563,[1]基础信息!$B:$C,2,FALSE)+SUMIF(G$8:G2563,G2563,J$8:J2563)-SUMIF(G$8:G2563,G2563,K$8:K2563)+SUMIFS([1]内部转账!$G:$G,[1]内部转账!$C:$C,"&lt;="&amp;$D2563,[1]内部转账!$E:$E,$G2563)-SUMIFS([1]内部转账!$G:$G,[1]内部转账!$C:$C,"&lt;="&amp;$D2563,[1]内部转账!$F:$F,$G2563)),"")</f>
        <v/>
      </c>
      <c r="M2563" s="64"/>
      <c r="N2563" s="69"/>
      <c r="O2563" s="64"/>
      <c r="P2563" s="64"/>
      <c r="Q2563" s="69"/>
      <c r="R2563" s="69"/>
      <c r="S2563" s="69"/>
    </row>
    <row r="2564" s="2" customFormat="1" ht="24.95" customHeight="1" spans="1:19">
      <c r="A2564" s="15"/>
      <c r="B2564" s="55"/>
      <c r="C2564" s="56"/>
      <c r="D2564" s="68"/>
      <c r="E2564" s="69"/>
      <c r="F2564" s="69"/>
      <c r="G2564" s="65"/>
      <c r="H2564" s="65"/>
      <c r="I2564" s="70"/>
      <c r="J2564" s="71"/>
      <c r="K2564" s="71"/>
      <c r="L2564" s="72" t="str">
        <f>IFERROR(IF(G2564="","",VLOOKUP($G2564,[1]基础信息!$B:$C,2,FALSE)+SUMIF(G$8:G2564,G2564,J$8:J2564)-SUMIF(G$8:G2564,G2564,K$8:K2564)+SUMIFS([1]内部转账!$G:$G,[1]内部转账!$C:$C,"&lt;="&amp;$D2564,[1]内部转账!$E:$E,$G2564)-SUMIFS([1]内部转账!$G:$G,[1]内部转账!$C:$C,"&lt;="&amp;$D2564,[1]内部转账!$F:$F,$G2564)),"")</f>
        <v/>
      </c>
      <c r="M2564" s="64"/>
      <c r="N2564" s="69"/>
      <c r="O2564" s="64"/>
      <c r="P2564" s="64"/>
      <c r="Q2564" s="69"/>
      <c r="R2564" s="69"/>
      <c r="S2564" s="69"/>
    </row>
    <row r="2565" s="2" customFormat="1" ht="24.95" customHeight="1" spans="1:19">
      <c r="A2565" s="15"/>
      <c r="B2565" s="55"/>
      <c r="C2565" s="56"/>
      <c r="D2565" s="68"/>
      <c r="E2565" s="69"/>
      <c r="F2565" s="69"/>
      <c r="G2565" s="65"/>
      <c r="H2565" s="65"/>
      <c r="I2565" s="70"/>
      <c r="J2565" s="71"/>
      <c r="K2565" s="71"/>
      <c r="L2565" s="72" t="str">
        <f>IFERROR(IF(G2565="","",VLOOKUP($G2565,[1]基础信息!$B:$C,2,FALSE)+SUMIF(G$8:G2565,G2565,J$8:J2565)-SUMIF(G$8:G2565,G2565,K$8:K2565)+SUMIFS([1]内部转账!$G:$G,[1]内部转账!$C:$C,"&lt;="&amp;$D2565,[1]内部转账!$E:$E,$G2565)-SUMIFS([1]内部转账!$G:$G,[1]内部转账!$C:$C,"&lt;="&amp;$D2565,[1]内部转账!$F:$F,$G2565)),"")</f>
        <v/>
      </c>
      <c r="M2565" s="64"/>
      <c r="N2565" s="69"/>
      <c r="O2565" s="64"/>
      <c r="P2565" s="64"/>
      <c r="Q2565" s="69"/>
      <c r="R2565" s="69"/>
      <c r="S2565" s="69"/>
    </row>
    <row r="2566" s="2" customFormat="1" ht="24.95" customHeight="1" spans="1:19">
      <c r="A2566" s="15"/>
      <c r="B2566" s="55"/>
      <c r="C2566" s="56"/>
      <c r="D2566" s="68"/>
      <c r="E2566" s="69"/>
      <c r="F2566" s="69"/>
      <c r="G2566" s="65"/>
      <c r="H2566" s="65"/>
      <c r="I2566" s="70"/>
      <c r="J2566" s="71"/>
      <c r="K2566" s="71"/>
      <c r="L2566" s="72" t="str">
        <f>IFERROR(IF(G2566="","",VLOOKUP($G2566,[1]基础信息!$B:$C,2,FALSE)+SUMIF(G$8:G2566,G2566,J$8:J2566)-SUMIF(G$8:G2566,G2566,K$8:K2566)+SUMIFS([1]内部转账!$G:$G,[1]内部转账!$C:$C,"&lt;="&amp;$D2566,[1]内部转账!$E:$E,$G2566)-SUMIFS([1]内部转账!$G:$G,[1]内部转账!$C:$C,"&lt;="&amp;$D2566,[1]内部转账!$F:$F,$G2566)),"")</f>
        <v/>
      </c>
      <c r="M2566" s="64"/>
      <c r="N2566" s="69"/>
      <c r="O2566" s="64"/>
      <c r="P2566" s="64"/>
      <c r="Q2566" s="69"/>
      <c r="R2566" s="69"/>
      <c r="S2566" s="69"/>
    </row>
    <row r="2567" s="2" customFormat="1" ht="24.95" customHeight="1" spans="1:19">
      <c r="A2567" s="15"/>
      <c r="B2567" s="55"/>
      <c r="C2567" s="56"/>
      <c r="D2567" s="68"/>
      <c r="E2567" s="69"/>
      <c r="F2567" s="69"/>
      <c r="G2567" s="65"/>
      <c r="H2567" s="65"/>
      <c r="I2567" s="70"/>
      <c r="J2567" s="71"/>
      <c r="K2567" s="71"/>
      <c r="L2567" s="72" t="str">
        <f>IFERROR(IF(G2567="","",VLOOKUP($G2567,[1]基础信息!$B:$C,2,FALSE)+SUMIF(G$8:G2567,G2567,J$8:J2567)-SUMIF(G$8:G2567,G2567,K$8:K2567)+SUMIFS([1]内部转账!$G:$G,[1]内部转账!$C:$C,"&lt;="&amp;$D2567,[1]内部转账!$E:$E,$G2567)-SUMIFS([1]内部转账!$G:$G,[1]内部转账!$C:$C,"&lt;="&amp;$D2567,[1]内部转账!$F:$F,$G2567)),"")</f>
        <v/>
      </c>
      <c r="M2567" s="64"/>
      <c r="N2567" s="69"/>
      <c r="O2567" s="64"/>
      <c r="P2567" s="64"/>
      <c r="Q2567" s="69"/>
      <c r="R2567" s="69"/>
      <c r="S2567" s="69"/>
    </row>
    <row r="2568" s="2" customFormat="1" ht="24.95" customHeight="1" spans="1:19">
      <c r="A2568" s="15"/>
      <c r="B2568" s="55"/>
      <c r="C2568" s="56"/>
      <c r="D2568" s="68"/>
      <c r="E2568" s="69"/>
      <c r="F2568" s="69"/>
      <c r="G2568" s="65"/>
      <c r="H2568" s="65"/>
      <c r="I2568" s="70"/>
      <c r="J2568" s="71"/>
      <c r="K2568" s="71"/>
      <c r="L2568" s="72" t="str">
        <f>IFERROR(IF(G2568="","",VLOOKUP($G2568,[1]基础信息!$B:$C,2,FALSE)+SUMIF(G$8:G2568,G2568,J$8:J2568)-SUMIF(G$8:G2568,G2568,K$8:K2568)+SUMIFS([1]内部转账!$G:$G,[1]内部转账!$C:$C,"&lt;="&amp;$D2568,[1]内部转账!$E:$E,$G2568)-SUMIFS([1]内部转账!$G:$G,[1]内部转账!$C:$C,"&lt;="&amp;$D2568,[1]内部转账!$F:$F,$G2568)),"")</f>
        <v/>
      </c>
      <c r="M2568" s="64"/>
      <c r="N2568" s="69"/>
      <c r="O2568" s="64"/>
      <c r="P2568" s="64"/>
      <c r="Q2568" s="69"/>
      <c r="R2568" s="69"/>
      <c r="S2568" s="69"/>
    </row>
    <row r="2569" s="2" customFormat="1" ht="24.95" customHeight="1" spans="1:19">
      <c r="A2569" s="15"/>
      <c r="B2569" s="55"/>
      <c r="C2569" s="56"/>
      <c r="D2569" s="68"/>
      <c r="E2569" s="69"/>
      <c r="F2569" s="69"/>
      <c r="G2569" s="65"/>
      <c r="H2569" s="65"/>
      <c r="I2569" s="70"/>
      <c r="J2569" s="71"/>
      <c r="K2569" s="71"/>
      <c r="L2569" s="72" t="str">
        <f>IFERROR(IF(G2569="","",VLOOKUP($G2569,[1]基础信息!$B:$C,2,FALSE)+SUMIF(G$8:G2569,G2569,J$8:J2569)-SUMIF(G$8:G2569,G2569,K$8:K2569)+SUMIFS([1]内部转账!$G:$G,[1]内部转账!$C:$C,"&lt;="&amp;$D2569,[1]内部转账!$E:$E,$G2569)-SUMIFS([1]内部转账!$G:$G,[1]内部转账!$C:$C,"&lt;="&amp;$D2569,[1]内部转账!$F:$F,$G2569)),"")</f>
        <v/>
      </c>
      <c r="M2569" s="64"/>
      <c r="N2569" s="69"/>
      <c r="O2569" s="64"/>
      <c r="P2569" s="64"/>
      <c r="Q2569" s="69"/>
      <c r="R2569" s="69"/>
      <c r="S2569" s="69"/>
    </row>
    <row r="2570" s="2" customFormat="1" ht="24.95" customHeight="1" spans="1:19">
      <c r="A2570" s="15"/>
      <c r="B2570" s="55"/>
      <c r="C2570" s="56"/>
      <c r="D2570" s="68"/>
      <c r="E2570" s="69"/>
      <c r="F2570" s="69"/>
      <c r="G2570" s="65"/>
      <c r="H2570" s="65"/>
      <c r="I2570" s="70"/>
      <c r="J2570" s="71"/>
      <c r="K2570" s="71"/>
      <c r="L2570" s="72" t="str">
        <f>IFERROR(IF(G2570="","",VLOOKUP($G2570,[1]基础信息!$B:$C,2,FALSE)+SUMIF(G$8:G2570,G2570,J$8:J2570)-SUMIF(G$8:G2570,G2570,K$8:K2570)+SUMIFS([1]内部转账!$G:$G,[1]内部转账!$C:$C,"&lt;="&amp;$D2570,[1]内部转账!$E:$E,$G2570)-SUMIFS([1]内部转账!$G:$G,[1]内部转账!$C:$C,"&lt;="&amp;$D2570,[1]内部转账!$F:$F,$G2570)),"")</f>
        <v/>
      </c>
      <c r="M2570" s="64"/>
      <c r="N2570" s="69"/>
      <c r="O2570" s="64"/>
      <c r="P2570" s="64"/>
      <c r="Q2570" s="69"/>
      <c r="R2570" s="69"/>
      <c r="S2570" s="69"/>
    </row>
    <row r="2571" s="2" customFormat="1" ht="24.95" customHeight="1" spans="1:19">
      <c r="A2571" s="15"/>
      <c r="B2571" s="55"/>
      <c r="C2571" s="56"/>
      <c r="D2571" s="68"/>
      <c r="E2571" s="69"/>
      <c r="F2571" s="69"/>
      <c r="G2571" s="65"/>
      <c r="H2571" s="65"/>
      <c r="I2571" s="70"/>
      <c r="J2571" s="71"/>
      <c r="K2571" s="71"/>
      <c r="L2571" s="72" t="str">
        <f>IFERROR(IF(G2571="","",VLOOKUP($G2571,[1]基础信息!$B:$C,2,FALSE)+SUMIF(G$8:G2571,G2571,J$8:J2571)-SUMIF(G$8:G2571,G2571,K$8:K2571)+SUMIFS([1]内部转账!$G:$G,[1]内部转账!$C:$C,"&lt;="&amp;$D2571,[1]内部转账!$E:$E,$G2571)-SUMIFS([1]内部转账!$G:$G,[1]内部转账!$C:$C,"&lt;="&amp;$D2571,[1]内部转账!$F:$F,$G2571)),"")</f>
        <v/>
      </c>
      <c r="M2571" s="64"/>
      <c r="N2571" s="69"/>
      <c r="O2571" s="64"/>
      <c r="P2571" s="64"/>
      <c r="Q2571" s="69"/>
      <c r="R2571" s="69"/>
      <c r="S2571" s="69"/>
    </row>
    <row r="2572" s="2" customFormat="1" ht="24.95" customHeight="1" spans="1:19">
      <c r="A2572" s="15"/>
      <c r="B2572" s="55"/>
      <c r="C2572" s="56"/>
      <c r="D2572" s="68"/>
      <c r="E2572" s="69"/>
      <c r="F2572" s="69"/>
      <c r="G2572" s="65"/>
      <c r="H2572" s="65"/>
      <c r="I2572" s="70"/>
      <c r="J2572" s="71"/>
      <c r="K2572" s="71"/>
      <c r="L2572" s="72" t="str">
        <f>IFERROR(IF(G2572="","",VLOOKUP($G2572,[1]基础信息!$B:$C,2,FALSE)+SUMIF(G$8:G2572,G2572,J$8:J2572)-SUMIF(G$8:G2572,G2572,K$8:K2572)+SUMIFS([1]内部转账!$G:$G,[1]内部转账!$C:$C,"&lt;="&amp;$D2572,[1]内部转账!$E:$E,$G2572)-SUMIFS([1]内部转账!$G:$G,[1]内部转账!$C:$C,"&lt;="&amp;$D2572,[1]内部转账!$F:$F,$G2572)),"")</f>
        <v/>
      </c>
      <c r="M2572" s="64"/>
      <c r="N2572" s="69"/>
      <c r="O2572" s="64"/>
      <c r="P2572" s="64"/>
      <c r="Q2572" s="69"/>
      <c r="R2572" s="69"/>
      <c r="S2572" s="69"/>
    </row>
    <row r="2573" s="2" customFormat="1" ht="24.95" customHeight="1" spans="1:19">
      <c r="A2573" s="15"/>
      <c r="B2573" s="55"/>
      <c r="C2573" s="56"/>
      <c r="D2573" s="68"/>
      <c r="E2573" s="69"/>
      <c r="F2573" s="69"/>
      <c r="G2573" s="65"/>
      <c r="H2573" s="65"/>
      <c r="I2573" s="70"/>
      <c r="J2573" s="71"/>
      <c r="K2573" s="71"/>
      <c r="L2573" s="72" t="str">
        <f>IFERROR(IF(G2573="","",VLOOKUP($G2573,[1]基础信息!$B:$C,2,FALSE)+SUMIF(G$8:G2573,G2573,J$8:J2573)-SUMIF(G$8:G2573,G2573,K$8:K2573)+SUMIFS([1]内部转账!$G:$G,[1]内部转账!$C:$C,"&lt;="&amp;$D2573,[1]内部转账!$E:$E,$G2573)-SUMIFS([1]内部转账!$G:$G,[1]内部转账!$C:$C,"&lt;="&amp;$D2573,[1]内部转账!$F:$F,$G2573)),"")</f>
        <v/>
      </c>
      <c r="M2573" s="64"/>
      <c r="N2573" s="69"/>
      <c r="O2573" s="64"/>
      <c r="P2573" s="64"/>
      <c r="Q2573" s="69"/>
      <c r="R2573" s="69"/>
      <c r="S2573" s="69"/>
    </row>
    <row r="2574" s="2" customFormat="1" ht="24.95" customHeight="1" spans="1:19">
      <c r="A2574" s="15"/>
      <c r="B2574" s="55"/>
      <c r="C2574" s="56"/>
      <c r="D2574" s="68"/>
      <c r="E2574" s="69"/>
      <c r="F2574" s="69"/>
      <c r="G2574" s="65"/>
      <c r="H2574" s="65"/>
      <c r="I2574" s="70"/>
      <c r="J2574" s="71"/>
      <c r="K2574" s="71"/>
      <c r="L2574" s="72" t="str">
        <f>IFERROR(IF(G2574="","",VLOOKUP($G2574,[1]基础信息!$B:$C,2,FALSE)+SUMIF(G$8:G2574,G2574,J$8:J2574)-SUMIF(G$8:G2574,G2574,K$8:K2574)+SUMIFS([1]内部转账!$G:$G,[1]内部转账!$C:$C,"&lt;="&amp;$D2574,[1]内部转账!$E:$E,$G2574)-SUMIFS([1]内部转账!$G:$G,[1]内部转账!$C:$C,"&lt;="&amp;$D2574,[1]内部转账!$F:$F,$G2574)),"")</f>
        <v/>
      </c>
      <c r="M2574" s="64"/>
      <c r="N2574" s="69"/>
      <c r="O2574" s="64"/>
      <c r="P2574" s="64"/>
      <c r="Q2574" s="69"/>
      <c r="R2574" s="69"/>
      <c r="S2574" s="69"/>
    </row>
    <row r="2575" s="2" customFormat="1" ht="24.95" customHeight="1" spans="1:19">
      <c r="A2575" s="15"/>
      <c r="B2575" s="55"/>
      <c r="C2575" s="56"/>
      <c r="D2575" s="68"/>
      <c r="E2575" s="69"/>
      <c r="F2575" s="69"/>
      <c r="G2575" s="65"/>
      <c r="H2575" s="65"/>
      <c r="I2575" s="70"/>
      <c r="J2575" s="71"/>
      <c r="K2575" s="71"/>
      <c r="L2575" s="72" t="str">
        <f>IFERROR(IF(G2575="","",VLOOKUP($G2575,[1]基础信息!$B:$C,2,FALSE)+SUMIF(G$8:G2575,G2575,J$8:J2575)-SUMIF(G$8:G2575,G2575,K$8:K2575)+SUMIFS([1]内部转账!$G:$G,[1]内部转账!$C:$C,"&lt;="&amp;$D2575,[1]内部转账!$E:$E,$G2575)-SUMIFS([1]内部转账!$G:$G,[1]内部转账!$C:$C,"&lt;="&amp;$D2575,[1]内部转账!$F:$F,$G2575)),"")</f>
        <v/>
      </c>
      <c r="M2575" s="64"/>
      <c r="N2575" s="69"/>
      <c r="O2575" s="64"/>
      <c r="P2575" s="64"/>
      <c r="Q2575" s="69"/>
      <c r="R2575" s="69"/>
      <c r="S2575" s="69"/>
    </row>
    <row r="2576" s="2" customFormat="1" ht="24.95" customHeight="1" spans="1:19">
      <c r="A2576" s="15"/>
      <c r="B2576" s="55"/>
      <c r="C2576" s="56"/>
      <c r="D2576" s="68"/>
      <c r="E2576" s="69"/>
      <c r="F2576" s="69"/>
      <c r="G2576" s="65"/>
      <c r="H2576" s="65"/>
      <c r="I2576" s="70"/>
      <c r="J2576" s="71"/>
      <c r="K2576" s="71"/>
      <c r="L2576" s="72" t="str">
        <f>IFERROR(IF(G2576="","",VLOOKUP($G2576,[1]基础信息!$B:$C,2,FALSE)+SUMIF(G$8:G2576,G2576,J$8:J2576)-SUMIF(G$8:G2576,G2576,K$8:K2576)+SUMIFS([1]内部转账!$G:$G,[1]内部转账!$C:$C,"&lt;="&amp;$D2576,[1]内部转账!$E:$E,$G2576)-SUMIFS([1]内部转账!$G:$G,[1]内部转账!$C:$C,"&lt;="&amp;$D2576,[1]内部转账!$F:$F,$G2576)),"")</f>
        <v/>
      </c>
      <c r="M2576" s="64"/>
      <c r="N2576" s="69"/>
      <c r="O2576" s="64"/>
      <c r="P2576" s="64"/>
      <c r="Q2576" s="69"/>
      <c r="R2576" s="69"/>
      <c r="S2576" s="69"/>
    </row>
    <row r="2577" s="2" customFormat="1" ht="24.95" customHeight="1" spans="1:19">
      <c r="A2577" s="15"/>
      <c r="B2577" s="55"/>
      <c r="C2577" s="56"/>
      <c r="D2577" s="68"/>
      <c r="E2577" s="69"/>
      <c r="F2577" s="69"/>
      <c r="G2577" s="65"/>
      <c r="H2577" s="65"/>
      <c r="I2577" s="70"/>
      <c r="J2577" s="71"/>
      <c r="K2577" s="71"/>
      <c r="L2577" s="72" t="str">
        <f>IFERROR(IF(G2577="","",VLOOKUP($G2577,[1]基础信息!$B:$C,2,FALSE)+SUMIF(G$8:G2577,G2577,J$8:J2577)-SUMIF(G$8:G2577,G2577,K$8:K2577)+SUMIFS([1]内部转账!$G:$G,[1]内部转账!$C:$C,"&lt;="&amp;$D2577,[1]内部转账!$E:$E,$G2577)-SUMIFS([1]内部转账!$G:$G,[1]内部转账!$C:$C,"&lt;="&amp;$D2577,[1]内部转账!$F:$F,$G2577)),"")</f>
        <v/>
      </c>
      <c r="M2577" s="64"/>
      <c r="N2577" s="69"/>
      <c r="O2577" s="64"/>
      <c r="P2577" s="64"/>
      <c r="Q2577" s="69"/>
      <c r="R2577" s="69"/>
      <c r="S2577" s="69"/>
    </row>
    <row r="2578" s="2" customFormat="1" ht="24.95" customHeight="1" spans="1:19">
      <c r="A2578" s="15"/>
      <c r="B2578" s="55"/>
      <c r="C2578" s="56"/>
      <c r="D2578" s="68"/>
      <c r="E2578" s="69"/>
      <c r="F2578" s="69"/>
      <c r="G2578" s="65"/>
      <c r="H2578" s="65"/>
      <c r="I2578" s="70"/>
      <c r="J2578" s="71"/>
      <c r="K2578" s="71"/>
      <c r="L2578" s="72" t="str">
        <f>IFERROR(IF(G2578="","",VLOOKUP($G2578,[1]基础信息!$B:$C,2,FALSE)+SUMIF(G$8:G2578,G2578,J$8:J2578)-SUMIF(G$8:G2578,G2578,K$8:K2578)+SUMIFS([1]内部转账!$G:$G,[1]内部转账!$C:$C,"&lt;="&amp;$D2578,[1]内部转账!$E:$E,$G2578)-SUMIFS([1]内部转账!$G:$G,[1]内部转账!$C:$C,"&lt;="&amp;$D2578,[1]内部转账!$F:$F,$G2578)),"")</f>
        <v/>
      </c>
      <c r="M2578" s="64"/>
      <c r="N2578" s="69"/>
      <c r="O2578" s="64"/>
      <c r="P2578" s="64"/>
      <c r="Q2578" s="69"/>
      <c r="R2578" s="69"/>
      <c r="S2578" s="69"/>
    </row>
    <row r="2579" s="2" customFormat="1" ht="24.95" customHeight="1" spans="1:19">
      <c r="A2579" s="15"/>
      <c r="B2579" s="55"/>
      <c r="C2579" s="56"/>
      <c r="D2579" s="68"/>
      <c r="E2579" s="69"/>
      <c r="F2579" s="69"/>
      <c r="G2579" s="65"/>
      <c r="H2579" s="65"/>
      <c r="I2579" s="70"/>
      <c r="J2579" s="71"/>
      <c r="K2579" s="71"/>
      <c r="L2579" s="72" t="str">
        <f>IFERROR(IF(G2579="","",VLOOKUP($G2579,[1]基础信息!$B:$C,2,FALSE)+SUMIF(G$8:G2579,G2579,J$8:J2579)-SUMIF(G$8:G2579,G2579,K$8:K2579)+SUMIFS([1]内部转账!$G:$G,[1]内部转账!$C:$C,"&lt;="&amp;$D2579,[1]内部转账!$E:$E,$G2579)-SUMIFS([1]内部转账!$G:$G,[1]内部转账!$C:$C,"&lt;="&amp;$D2579,[1]内部转账!$F:$F,$G2579)),"")</f>
        <v/>
      </c>
      <c r="M2579" s="64"/>
      <c r="N2579" s="69"/>
      <c r="O2579" s="64"/>
      <c r="P2579" s="64"/>
      <c r="Q2579" s="69"/>
      <c r="R2579" s="69"/>
      <c r="S2579" s="69"/>
    </row>
    <row r="2580" s="2" customFormat="1" ht="24.95" customHeight="1" spans="1:19">
      <c r="A2580" s="15"/>
      <c r="B2580" s="55"/>
      <c r="C2580" s="56"/>
      <c r="D2580" s="68"/>
      <c r="E2580" s="69"/>
      <c r="F2580" s="69"/>
      <c r="G2580" s="65"/>
      <c r="H2580" s="65"/>
      <c r="I2580" s="70"/>
      <c r="J2580" s="71"/>
      <c r="K2580" s="71"/>
      <c r="L2580" s="72" t="str">
        <f>IFERROR(IF(G2580="","",VLOOKUP($G2580,[1]基础信息!$B:$C,2,FALSE)+SUMIF(G$8:G2580,G2580,J$8:J2580)-SUMIF(G$8:G2580,G2580,K$8:K2580)+SUMIFS([1]内部转账!$G:$G,[1]内部转账!$C:$C,"&lt;="&amp;$D2580,[1]内部转账!$E:$E,$G2580)-SUMIFS([1]内部转账!$G:$G,[1]内部转账!$C:$C,"&lt;="&amp;$D2580,[1]内部转账!$F:$F,$G2580)),"")</f>
        <v/>
      </c>
      <c r="M2580" s="64"/>
      <c r="N2580" s="69"/>
      <c r="O2580" s="64"/>
      <c r="P2580" s="64"/>
      <c r="Q2580" s="69"/>
      <c r="R2580" s="69"/>
      <c r="S2580" s="69"/>
    </row>
    <row r="2581" s="2" customFormat="1" ht="24.95" customHeight="1" spans="1:19">
      <c r="A2581" s="15"/>
      <c r="B2581" s="55"/>
      <c r="C2581" s="56"/>
      <c r="D2581" s="68"/>
      <c r="E2581" s="69"/>
      <c r="F2581" s="69"/>
      <c r="G2581" s="65"/>
      <c r="H2581" s="65"/>
      <c r="I2581" s="70"/>
      <c r="J2581" s="71"/>
      <c r="K2581" s="71"/>
      <c r="L2581" s="72" t="str">
        <f>IFERROR(IF(G2581="","",VLOOKUP($G2581,[1]基础信息!$B:$C,2,FALSE)+SUMIF(G$8:G2581,G2581,J$8:J2581)-SUMIF(G$8:G2581,G2581,K$8:K2581)+SUMIFS([1]内部转账!$G:$G,[1]内部转账!$C:$C,"&lt;="&amp;$D2581,[1]内部转账!$E:$E,$G2581)-SUMIFS([1]内部转账!$G:$G,[1]内部转账!$C:$C,"&lt;="&amp;$D2581,[1]内部转账!$F:$F,$G2581)),"")</f>
        <v/>
      </c>
      <c r="M2581" s="64"/>
      <c r="N2581" s="69"/>
      <c r="O2581" s="64"/>
      <c r="P2581" s="64"/>
      <c r="Q2581" s="69"/>
      <c r="R2581" s="69"/>
      <c r="S2581" s="69"/>
    </row>
    <row r="2582" s="2" customFormat="1" ht="24.95" customHeight="1" spans="1:19">
      <c r="A2582" s="15"/>
      <c r="B2582" s="55"/>
      <c r="C2582" s="56"/>
      <c r="D2582" s="68"/>
      <c r="E2582" s="69"/>
      <c r="F2582" s="69"/>
      <c r="G2582" s="65"/>
      <c r="H2582" s="65"/>
      <c r="I2582" s="70"/>
      <c r="J2582" s="71"/>
      <c r="K2582" s="71"/>
      <c r="L2582" s="72" t="str">
        <f>IFERROR(IF(G2582="","",VLOOKUP($G2582,[1]基础信息!$B:$C,2,FALSE)+SUMIF(G$8:G2582,G2582,J$8:J2582)-SUMIF(G$8:G2582,G2582,K$8:K2582)+SUMIFS([1]内部转账!$G:$G,[1]内部转账!$C:$C,"&lt;="&amp;$D2582,[1]内部转账!$E:$E,$G2582)-SUMIFS([1]内部转账!$G:$G,[1]内部转账!$C:$C,"&lt;="&amp;$D2582,[1]内部转账!$F:$F,$G2582)),"")</f>
        <v/>
      </c>
      <c r="M2582" s="64"/>
      <c r="N2582" s="69"/>
      <c r="O2582" s="64"/>
      <c r="P2582" s="64"/>
      <c r="Q2582" s="69"/>
      <c r="R2582" s="69"/>
      <c r="S2582" s="69"/>
    </row>
    <row r="2583" s="2" customFormat="1" ht="24.95" customHeight="1" spans="1:19">
      <c r="A2583" s="15"/>
      <c r="B2583" s="55"/>
      <c r="C2583" s="56"/>
      <c r="D2583" s="68"/>
      <c r="E2583" s="69"/>
      <c r="F2583" s="69"/>
      <c r="G2583" s="65"/>
      <c r="H2583" s="65"/>
      <c r="I2583" s="70"/>
      <c r="J2583" s="71"/>
      <c r="K2583" s="71"/>
      <c r="L2583" s="72" t="str">
        <f>IFERROR(IF(G2583="","",VLOOKUP($G2583,[1]基础信息!$B:$C,2,FALSE)+SUMIF(G$8:G2583,G2583,J$8:J2583)-SUMIF(G$8:G2583,G2583,K$8:K2583)+SUMIFS([1]内部转账!$G:$G,[1]内部转账!$C:$C,"&lt;="&amp;$D2583,[1]内部转账!$E:$E,$G2583)-SUMIFS([1]内部转账!$G:$G,[1]内部转账!$C:$C,"&lt;="&amp;$D2583,[1]内部转账!$F:$F,$G2583)),"")</f>
        <v/>
      </c>
      <c r="M2583" s="64"/>
      <c r="N2583" s="69"/>
      <c r="O2583" s="64"/>
      <c r="P2583" s="64"/>
      <c r="Q2583" s="69"/>
      <c r="R2583" s="69"/>
      <c r="S2583" s="69"/>
    </row>
    <row r="2584" s="2" customFormat="1" ht="24.95" customHeight="1" spans="1:19">
      <c r="A2584" s="15"/>
      <c r="B2584" s="55"/>
      <c r="C2584" s="56"/>
      <c r="D2584" s="68"/>
      <c r="E2584" s="69"/>
      <c r="F2584" s="69"/>
      <c r="G2584" s="65"/>
      <c r="H2584" s="65"/>
      <c r="I2584" s="70"/>
      <c r="J2584" s="71"/>
      <c r="K2584" s="71"/>
      <c r="L2584" s="72" t="str">
        <f>IFERROR(IF(G2584="","",VLOOKUP($G2584,[1]基础信息!$B:$C,2,FALSE)+SUMIF(G$8:G2584,G2584,J$8:J2584)-SUMIF(G$8:G2584,G2584,K$8:K2584)+SUMIFS([1]内部转账!$G:$G,[1]内部转账!$C:$C,"&lt;="&amp;$D2584,[1]内部转账!$E:$E,$G2584)-SUMIFS([1]内部转账!$G:$G,[1]内部转账!$C:$C,"&lt;="&amp;$D2584,[1]内部转账!$F:$F,$G2584)),"")</f>
        <v/>
      </c>
      <c r="M2584" s="64"/>
      <c r="N2584" s="69"/>
      <c r="O2584" s="64"/>
      <c r="P2584" s="64"/>
      <c r="Q2584" s="69"/>
      <c r="R2584" s="69"/>
      <c r="S2584" s="69"/>
    </row>
    <row r="2585" s="2" customFormat="1" ht="24.95" customHeight="1" spans="1:19">
      <c r="A2585" s="15"/>
      <c r="B2585" s="55"/>
      <c r="C2585" s="56"/>
      <c r="D2585" s="68"/>
      <c r="E2585" s="69"/>
      <c r="F2585" s="69"/>
      <c r="G2585" s="65"/>
      <c r="H2585" s="65"/>
      <c r="I2585" s="70"/>
      <c r="J2585" s="71"/>
      <c r="K2585" s="71"/>
      <c r="L2585" s="72" t="str">
        <f>IFERROR(IF(G2585="","",VLOOKUP($G2585,[1]基础信息!$B:$C,2,FALSE)+SUMIF(G$8:G2585,G2585,J$8:J2585)-SUMIF(G$8:G2585,G2585,K$8:K2585)+SUMIFS([1]内部转账!$G:$G,[1]内部转账!$C:$C,"&lt;="&amp;$D2585,[1]内部转账!$E:$E,$G2585)-SUMIFS([1]内部转账!$G:$G,[1]内部转账!$C:$C,"&lt;="&amp;$D2585,[1]内部转账!$F:$F,$G2585)),"")</f>
        <v/>
      </c>
      <c r="M2585" s="64"/>
      <c r="N2585" s="69"/>
      <c r="O2585" s="64"/>
      <c r="P2585" s="64"/>
      <c r="Q2585" s="69"/>
      <c r="R2585" s="69"/>
      <c r="S2585" s="69"/>
    </row>
    <row r="2586" s="2" customFormat="1" ht="24.95" customHeight="1" spans="1:19">
      <c r="A2586" s="15"/>
      <c r="B2586" s="55"/>
      <c r="C2586" s="56"/>
      <c r="D2586" s="68"/>
      <c r="E2586" s="69"/>
      <c r="F2586" s="69"/>
      <c r="G2586" s="65"/>
      <c r="H2586" s="65"/>
      <c r="I2586" s="70"/>
      <c r="J2586" s="71"/>
      <c r="K2586" s="71"/>
      <c r="L2586" s="72" t="str">
        <f>IFERROR(IF(G2586="","",VLOOKUP($G2586,[1]基础信息!$B:$C,2,FALSE)+SUMIF(G$8:G2586,G2586,J$8:J2586)-SUMIF(G$8:G2586,G2586,K$8:K2586)+SUMIFS([1]内部转账!$G:$G,[1]内部转账!$C:$C,"&lt;="&amp;$D2586,[1]内部转账!$E:$E,$G2586)-SUMIFS([1]内部转账!$G:$G,[1]内部转账!$C:$C,"&lt;="&amp;$D2586,[1]内部转账!$F:$F,$G2586)),"")</f>
        <v/>
      </c>
      <c r="M2586" s="64"/>
      <c r="N2586" s="69"/>
      <c r="O2586" s="64"/>
      <c r="P2586" s="64"/>
      <c r="Q2586" s="69"/>
      <c r="R2586" s="69"/>
      <c r="S2586" s="69"/>
    </row>
    <row r="2587" s="2" customFormat="1" ht="24.95" customHeight="1" spans="1:19">
      <c r="A2587" s="15"/>
      <c r="B2587" s="55"/>
      <c r="C2587" s="56"/>
      <c r="D2587" s="68"/>
      <c r="E2587" s="69"/>
      <c r="F2587" s="69"/>
      <c r="G2587" s="65"/>
      <c r="H2587" s="65"/>
      <c r="I2587" s="70"/>
      <c r="J2587" s="71"/>
      <c r="K2587" s="71"/>
      <c r="L2587" s="72" t="str">
        <f>IFERROR(IF(G2587="","",VLOOKUP($G2587,[1]基础信息!$B:$C,2,FALSE)+SUMIF(G$8:G2587,G2587,J$8:J2587)-SUMIF(G$8:G2587,G2587,K$8:K2587)+SUMIFS([1]内部转账!$G:$G,[1]内部转账!$C:$C,"&lt;="&amp;$D2587,[1]内部转账!$E:$E,$G2587)-SUMIFS([1]内部转账!$G:$G,[1]内部转账!$C:$C,"&lt;="&amp;$D2587,[1]内部转账!$F:$F,$G2587)),"")</f>
        <v/>
      </c>
      <c r="M2587" s="64"/>
      <c r="N2587" s="69"/>
      <c r="O2587" s="64"/>
      <c r="P2587" s="64"/>
      <c r="Q2587" s="69"/>
      <c r="R2587" s="69"/>
      <c r="S2587" s="69"/>
    </row>
    <row r="2588" s="2" customFormat="1" ht="24.95" customHeight="1" spans="1:19">
      <c r="A2588" s="15"/>
      <c r="B2588" s="55"/>
      <c r="C2588" s="56"/>
      <c r="D2588" s="68"/>
      <c r="E2588" s="69"/>
      <c r="F2588" s="69"/>
      <c r="G2588" s="65"/>
      <c r="H2588" s="65"/>
      <c r="I2588" s="70"/>
      <c r="J2588" s="71"/>
      <c r="K2588" s="71"/>
      <c r="L2588" s="72" t="str">
        <f>IFERROR(IF(G2588="","",VLOOKUP($G2588,[1]基础信息!$B:$C,2,FALSE)+SUMIF(G$8:G2588,G2588,J$8:J2588)-SUMIF(G$8:G2588,G2588,K$8:K2588)+SUMIFS([1]内部转账!$G:$G,[1]内部转账!$C:$C,"&lt;="&amp;$D2588,[1]内部转账!$E:$E,$G2588)-SUMIFS([1]内部转账!$G:$G,[1]内部转账!$C:$C,"&lt;="&amp;$D2588,[1]内部转账!$F:$F,$G2588)),"")</f>
        <v/>
      </c>
      <c r="M2588" s="64"/>
      <c r="N2588" s="69"/>
      <c r="O2588" s="64"/>
      <c r="P2588" s="64"/>
      <c r="Q2588" s="69"/>
      <c r="R2588" s="69"/>
      <c r="S2588" s="69"/>
    </row>
    <row r="2589" s="2" customFormat="1" ht="24.95" customHeight="1" spans="1:19">
      <c r="A2589" s="15"/>
      <c r="B2589" s="55"/>
      <c r="C2589" s="56"/>
      <c r="D2589" s="68"/>
      <c r="E2589" s="69"/>
      <c r="F2589" s="69"/>
      <c r="G2589" s="65"/>
      <c r="H2589" s="65"/>
      <c r="I2589" s="70"/>
      <c r="J2589" s="71"/>
      <c r="K2589" s="71"/>
      <c r="L2589" s="72" t="str">
        <f>IFERROR(IF(G2589="","",VLOOKUP($G2589,[1]基础信息!$B:$C,2,FALSE)+SUMIF(G$8:G2589,G2589,J$8:J2589)-SUMIF(G$8:G2589,G2589,K$8:K2589)+SUMIFS([1]内部转账!$G:$G,[1]内部转账!$C:$C,"&lt;="&amp;$D2589,[1]内部转账!$E:$E,$G2589)-SUMIFS([1]内部转账!$G:$G,[1]内部转账!$C:$C,"&lt;="&amp;$D2589,[1]内部转账!$F:$F,$G2589)),"")</f>
        <v/>
      </c>
      <c r="M2589" s="64"/>
      <c r="N2589" s="69"/>
      <c r="O2589" s="64"/>
      <c r="P2589" s="64"/>
      <c r="Q2589" s="69"/>
      <c r="R2589" s="69"/>
      <c r="S2589" s="69"/>
    </row>
    <row r="2590" s="2" customFormat="1" ht="24.95" customHeight="1" spans="1:19">
      <c r="A2590" s="15"/>
      <c r="B2590" s="55"/>
      <c r="C2590" s="56"/>
      <c r="D2590" s="68"/>
      <c r="E2590" s="69"/>
      <c r="F2590" s="69"/>
      <c r="G2590" s="65"/>
      <c r="H2590" s="65"/>
      <c r="I2590" s="70"/>
      <c r="J2590" s="71"/>
      <c r="K2590" s="71"/>
      <c r="L2590" s="72" t="str">
        <f>IFERROR(IF(G2590="","",VLOOKUP($G2590,[1]基础信息!$B:$C,2,FALSE)+SUMIF(G$8:G2590,G2590,J$8:J2590)-SUMIF(G$8:G2590,G2590,K$8:K2590)+SUMIFS([1]内部转账!$G:$G,[1]内部转账!$C:$C,"&lt;="&amp;$D2590,[1]内部转账!$E:$E,$G2590)-SUMIFS([1]内部转账!$G:$G,[1]内部转账!$C:$C,"&lt;="&amp;$D2590,[1]内部转账!$F:$F,$G2590)),"")</f>
        <v/>
      </c>
      <c r="M2590" s="64"/>
      <c r="N2590" s="69"/>
      <c r="O2590" s="64"/>
      <c r="P2590" s="64"/>
      <c r="Q2590" s="69"/>
      <c r="R2590" s="69"/>
      <c r="S2590" s="69"/>
    </row>
    <row r="2591" s="2" customFormat="1" ht="24.95" customHeight="1" spans="1:19">
      <c r="A2591" s="15"/>
      <c r="B2591" s="55"/>
      <c r="C2591" s="56"/>
      <c r="D2591" s="68"/>
      <c r="E2591" s="69"/>
      <c r="F2591" s="69"/>
      <c r="G2591" s="65"/>
      <c r="H2591" s="65"/>
      <c r="I2591" s="70"/>
      <c r="J2591" s="71"/>
      <c r="K2591" s="71"/>
      <c r="L2591" s="72" t="str">
        <f>IFERROR(IF(G2591="","",VLOOKUP($G2591,[1]基础信息!$B:$C,2,FALSE)+SUMIF(G$8:G2591,G2591,J$8:J2591)-SUMIF(G$8:G2591,G2591,K$8:K2591)+SUMIFS([1]内部转账!$G:$G,[1]内部转账!$C:$C,"&lt;="&amp;$D2591,[1]内部转账!$E:$E,$G2591)-SUMIFS([1]内部转账!$G:$G,[1]内部转账!$C:$C,"&lt;="&amp;$D2591,[1]内部转账!$F:$F,$G2591)),"")</f>
        <v/>
      </c>
      <c r="M2591" s="64"/>
      <c r="N2591" s="69"/>
      <c r="O2591" s="64"/>
      <c r="P2591" s="64"/>
      <c r="Q2591" s="69"/>
      <c r="R2591" s="69"/>
      <c r="S2591" s="69"/>
    </row>
    <row r="2592" s="2" customFormat="1" ht="24.95" customHeight="1" spans="1:19">
      <c r="A2592" s="15"/>
      <c r="B2592" s="55"/>
      <c r="C2592" s="56"/>
      <c r="D2592" s="68"/>
      <c r="E2592" s="69"/>
      <c r="F2592" s="69"/>
      <c r="G2592" s="65"/>
      <c r="H2592" s="65"/>
      <c r="I2592" s="70"/>
      <c r="J2592" s="71"/>
      <c r="K2592" s="71"/>
      <c r="L2592" s="72" t="str">
        <f>IFERROR(IF(G2592="","",VLOOKUP($G2592,[1]基础信息!$B:$C,2,FALSE)+SUMIF(G$8:G2592,G2592,J$8:J2592)-SUMIF(G$8:G2592,G2592,K$8:K2592)+SUMIFS([1]内部转账!$G:$G,[1]内部转账!$C:$C,"&lt;="&amp;$D2592,[1]内部转账!$E:$E,$G2592)-SUMIFS([1]内部转账!$G:$G,[1]内部转账!$C:$C,"&lt;="&amp;$D2592,[1]内部转账!$F:$F,$G2592)),"")</f>
        <v/>
      </c>
      <c r="M2592" s="64"/>
      <c r="N2592" s="69"/>
      <c r="O2592" s="64"/>
      <c r="P2592" s="64"/>
      <c r="Q2592" s="69"/>
      <c r="R2592" s="69"/>
      <c r="S2592" s="69"/>
    </row>
    <row r="2593" s="2" customFormat="1" ht="24.95" customHeight="1" spans="1:19">
      <c r="A2593" s="15"/>
      <c r="B2593" s="55"/>
      <c r="C2593" s="56"/>
      <c r="D2593" s="68"/>
      <c r="E2593" s="69"/>
      <c r="F2593" s="69"/>
      <c r="G2593" s="65"/>
      <c r="H2593" s="65"/>
      <c r="I2593" s="70"/>
      <c r="J2593" s="71"/>
      <c r="K2593" s="71"/>
      <c r="L2593" s="72" t="str">
        <f>IFERROR(IF(G2593="","",VLOOKUP($G2593,[1]基础信息!$B:$C,2,FALSE)+SUMIF(G$8:G2593,G2593,J$8:J2593)-SUMIF(G$8:G2593,G2593,K$8:K2593)+SUMIFS([1]内部转账!$G:$G,[1]内部转账!$C:$C,"&lt;="&amp;$D2593,[1]内部转账!$E:$E,$G2593)-SUMIFS([1]内部转账!$G:$G,[1]内部转账!$C:$C,"&lt;="&amp;$D2593,[1]内部转账!$F:$F,$G2593)),"")</f>
        <v/>
      </c>
      <c r="M2593" s="64"/>
      <c r="N2593" s="69"/>
      <c r="O2593" s="64"/>
      <c r="P2593" s="64"/>
      <c r="Q2593" s="69"/>
      <c r="R2593" s="69"/>
      <c r="S2593" s="69"/>
    </row>
    <row r="2594" s="2" customFormat="1" ht="24.95" customHeight="1" spans="1:19">
      <c r="A2594" s="15"/>
      <c r="B2594" s="55"/>
      <c r="C2594" s="56"/>
      <c r="D2594" s="68"/>
      <c r="E2594" s="69"/>
      <c r="F2594" s="69"/>
      <c r="G2594" s="65"/>
      <c r="H2594" s="65"/>
      <c r="I2594" s="70"/>
      <c r="J2594" s="71"/>
      <c r="K2594" s="71"/>
      <c r="L2594" s="72" t="str">
        <f>IFERROR(IF(G2594="","",VLOOKUP($G2594,[1]基础信息!$B:$C,2,FALSE)+SUMIF(G$8:G2594,G2594,J$8:J2594)-SUMIF(G$8:G2594,G2594,K$8:K2594)+SUMIFS([1]内部转账!$G:$G,[1]内部转账!$C:$C,"&lt;="&amp;$D2594,[1]内部转账!$E:$E,$G2594)-SUMIFS([1]内部转账!$G:$G,[1]内部转账!$C:$C,"&lt;="&amp;$D2594,[1]内部转账!$F:$F,$G2594)),"")</f>
        <v/>
      </c>
      <c r="M2594" s="64"/>
      <c r="N2594" s="69"/>
      <c r="O2594" s="64"/>
      <c r="P2594" s="64"/>
      <c r="Q2594" s="69"/>
      <c r="R2594" s="69"/>
      <c r="S2594" s="69"/>
    </row>
    <row r="2595" s="2" customFormat="1" ht="24.95" customHeight="1" spans="1:19">
      <c r="A2595" s="15"/>
      <c r="B2595" s="55"/>
      <c r="C2595" s="56"/>
      <c r="D2595" s="68"/>
      <c r="E2595" s="69"/>
      <c r="F2595" s="69"/>
      <c r="G2595" s="65"/>
      <c r="H2595" s="65"/>
      <c r="I2595" s="70"/>
      <c r="J2595" s="71"/>
      <c r="K2595" s="71"/>
      <c r="L2595" s="72" t="str">
        <f>IFERROR(IF(G2595="","",VLOOKUP($G2595,[1]基础信息!$B:$C,2,FALSE)+SUMIF(G$8:G2595,G2595,J$8:J2595)-SUMIF(G$8:G2595,G2595,K$8:K2595)+SUMIFS([1]内部转账!$G:$G,[1]内部转账!$C:$C,"&lt;="&amp;$D2595,[1]内部转账!$E:$E,$G2595)-SUMIFS([1]内部转账!$G:$G,[1]内部转账!$C:$C,"&lt;="&amp;$D2595,[1]内部转账!$F:$F,$G2595)),"")</f>
        <v/>
      </c>
      <c r="M2595" s="64"/>
      <c r="N2595" s="69"/>
      <c r="O2595" s="64"/>
      <c r="P2595" s="64"/>
      <c r="Q2595" s="69"/>
      <c r="R2595" s="69"/>
      <c r="S2595" s="69"/>
    </row>
    <row r="2596" s="2" customFormat="1" ht="24.95" customHeight="1" spans="1:19">
      <c r="A2596" s="15"/>
      <c r="B2596" s="55"/>
      <c r="C2596" s="56"/>
      <c r="D2596" s="68"/>
      <c r="E2596" s="69"/>
      <c r="F2596" s="69"/>
      <c r="G2596" s="65"/>
      <c r="H2596" s="65"/>
      <c r="I2596" s="70"/>
      <c r="J2596" s="71"/>
      <c r="K2596" s="71"/>
      <c r="L2596" s="72" t="str">
        <f>IFERROR(IF(G2596="","",VLOOKUP($G2596,[1]基础信息!$B:$C,2,FALSE)+SUMIF(G$8:G2596,G2596,J$8:J2596)-SUMIF(G$8:G2596,G2596,K$8:K2596)+SUMIFS([1]内部转账!$G:$G,[1]内部转账!$C:$C,"&lt;="&amp;$D2596,[1]内部转账!$E:$E,$G2596)-SUMIFS([1]内部转账!$G:$G,[1]内部转账!$C:$C,"&lt;="&amp;$D2596,[1]内部转账!$F:$F,$G2596)),"")</f>
        <v/>
      </c>
      <c r="M2596" s="64"/>
      <c r="N2596" s="69"/>
      <c r="O2596" s="64"/>
      <c r="P2596" s="64"/>
      <c r="Q2596" s="69"/>
      <c r="R2596" s="69"/>
      <c r="S2596" s="69"/>
    </row>
    <row r="2597" s="2" customFormat="1" ht="24.95" customHeight="1" spans="1:19">
      <c r="A2597" s="15"/>
      <c r="B2597" s="55"/>
      <c r="C2597" s="56"/>
      <c r="D2597" s="68"/>
      <c r="E2597" s="69"/>
      <c r="F2597" s="69"/>
      <c r="G2597" s="65"/>
      <c r="H2597" s="65"/>
      <c r="I2597" s="70"/>
      <c r="J2597" s="71"/>
      <c r="K2597" s="71"/>
      <c r="L2597" s="72" t="str">
        <f>IFERROR(IF(G2597="","",VLOOKUP($G2597,[1]基础信息!$B:$C,2,FALSE)+SUMIF(G$8:G2597,G2597,J$8:J2597)-SUMIF(G$8:G2597,G2597,K$8:K2597)+SUMIFS([1]内部转账!$G:$G,[1]内部转账!$C:$C,"&lt;="&amp;$D2597,[1]内部转账!$E:$E,$G2597)-SUMIFS([1]内部转账!$G:$G,[1]内部转账!$C:$C,"&lt;="&amp;$D2597,[1]内部转账!$F:$F,$G2597)),"")</f>
        <v/>
      </c>
      <c r="M2597" s="64"/>
      <c r="N2597" s="69"/>
      <c r="O2597" s="64"/>
      <c r="P2597" s="64"/>
      <c r="Q2597" s="69"/>
      <c r="R2597" s="69"/>
      <c r="S2597" s="69"/>
    </row>
    <row r="2598" s="2" customFormat="1" ht="24.95" customHeight="1" spans="1:19">
      <c r="A2598" s="15"/>
      <c r="B2598" s="55"/>
      <c r="C2598" s="56"/>
      <c r="D2598" s="68"/>
      <c r="E2598" s="69"/>
      <c r="F2598" s="69"/>
      <c r="G2598" s="65"/>
      <c r="H2598" s="65"/>
      <c r="I2598" s="70"/>
      <c r="J2598" s="71"/>
      <c r="K2598" s="71"/>
      <c r="L2598" s="72" t="str">
        <f>IFERROR(IF(G2598="","",VLOOKUP($G2598,[1]基础信息!$B:$C,2,FALSE)+SUMIF(G$8:G2598,G2598,J$8:J2598)-SUMIF(G$8:G2598,G2598,K$8:K2598)+SUMIFS([1]内部转账!$G:$G,[1]内部转账!$C:$C,"&lt;="&amp;$D2598,[1]内部转账!$E:$E,$G2598)-SUMIFS([1]内部转账!$G:$G,[1]内部转账!$C:$C,"&lt;="&amp;$D2598,[1]内部转账!$F:$F,$G2598)),"")</f>
        <v/>
      </c>
      <c r="M2598" s="64"/>
      <c r="N2598" s="69"/>
      <c r="O2598" s="64"/>
      <c r="P2598" s="64"/>
      <c r="Q2598" s="69"/>
      <c r="R2598" s="69"/>
      <c r="S2598" s="69"/>
    </row>
    <row r="2599" s="2" customFormat="1" ht="24.95" customHeight="1" spans="1:19">
      <c r="A2599" s="15"/>
      <c r="B2599" s="55"/>
      <c r="C2599" s="56"/>
      <c r="D2599" s="68"/>
      <c r="E2599" s="69"/>
      <c r="F2599" s="69"/>
      <c r="G2599" s="65"/>
      <c r="H2599" s="65"/>
      <c r="I2599" s="70"/>
      <c r="J2599" s="71"/>
      <c r="K2599" s="71"/>
      <c r="L2599" s="72" t="str">
        <f>IFERROR(IF(G2599="","",VLOOKUP($G2599,[1]基础信息!$B:$C,2,FALSE)+SUMIF(G$8:G2599,G2599,J$8:J2599)-SUMIF(G$8:G2599,G2599,K$8:K2599)+SUMIFS([1]内部转账!$G:$G,[1]内部转账!$C:$C,"&lt;="&amp;$D2599,[1]内部转账!$E:$E,$G2599)-SUMIFS([1]内部转账!$G:$G,[1]内部转账!$C:$C,"&lt;="&amp;$D2599,[1]内部转账!$F:$F,$G2599)),"")</f>
        <v/>
      </c>
      <c r="M2599" s="64"/>
      <c r="N2599" s="69"/>
      <c r="O2599" s="64"/>
      <c r="P2599" s="64"/>
      <c r="Q2599" s="69"/>
      <c r="R2599" s="69"/>
      <c r="S2599" s="69"/>
    </row>
    <row r="2600" s="2" customFormat="1" ht="24.95" customHeight="1" spans="1:19">
      <c r="A2600" s="15"/>
      <c r="B2600" s="55"/>
      <c r="C2600" s="56"/>
      <c r="D2600" s="68"/>
      <c r="E2600" s="69"/>
      <c r="F2600" s="69"/>
      <c r="G2600" s="65"/>
      <c r="H2600" s="65"/>
      <c r="I2600" s="70"/>
      <c r="J2600" s="71"/>
      <c r="K2600" s="71"/>
      <c r="L2600" s="72" t="str">
        <f>IFERROR(IF(G2600="","",VLOOKUP($G2600,[1]基础信息!$B:$C,2,FALSE)+SUMIF(G$8:G2600,G2600,J$8:J2600)-SUMIF(G$8:G2600,G2600,K$8:K2600)+SUMIFS([1]内部转账!$G:$G,[1]内部转账!$C:$C,"&lt;="&amp;$D2600,[1]内部转账!$E:$E,$G2600)-SUMIFS([1]内部转账!$G:$G,[1]内部转账!$C:$C,"&lt;="&amp;$D2600,[1]内部转账!$F:$F,$G2600)),"")</f>
        <v/>
      </c>
      <c r="M2600" s="64"/>
      <c r="N2600" s="69"/>
      <c r="O2600" s="64"/>
      <c r="P2600" s="64"/>
      <c r="Q2600" s="69"/>
      <c r="R2600" s="69"/>
      <c r="S2600" s="69"/>
    </row>
    <row r="2601" s="2" customFormat="1" ht="24.95" customHeight="1" spans="1:19">
      <c r="A2601" s="15"/>
      <c r="B2601" s="55"/>
      <c r="C2601" s="56"/>
      <c r="D2601" s="68"/>
      <c r="E2601" s="69"/>
      <c r="F2601" s="69"/>
      <c r="G2601" s="65"/>
      <c r="H2601" s="65"/>
      <c r="I2601" s="70"/>
      <c r="J2601" s="71"/>
      <c r="K2601" s="71"/>
      <c r="L2601" s="72" t="str">
        <f>IFERROR(IF(G2601="","",VLOOKUP($G2601,[1]基础信息!$B:$C,2,FALSE)+SUMIF(G$8:G2601,G2601,J$8:J2601)-SUMIF(G$8:G2601,G2601,K$8:K2601)+SUMIFS([1]内部转账!$G:$G,[1]内部转账!$C:$C,"&lt;="&amp;$D2601,[1]内部转账!$E:$E,$G2601)-SUMIFS([1]内部转账!$G:$G,[1]内部转账!$C:$C,"&lt;="&amp;$D2601,[1]内部转账!$F:$F,$G2601)),"")</f>
        <v/>
      </c>
      <c r="M2601" s="64"/>
      <c r="N2601" s="69"/>
      <c r="O2601" s="64"/>
      <c r="P2601" s="64"/>
      <c r="Q2601" s="69"/>
      <c r="R2601" s="69"/>
      <c r="S2601" s="69"/>
    </row>
    <row r="2602" s="2" customFormat="1" ht="24.95" customHeight="1" spans="1:19">
      <c r="A2602" s="15"/>
      <c r="B2602" s="55"/>
      <c r="C2602" s="56"/>
      <c r="D2602" s="68"/>
      <c r="E2602" s="69"/>
      <c r="F2602" s="69"/>
      <c r="G2602" s="65"/>
      <c r="H2602" s="65"/>
      <c r="I2602" s="70"/>
      <c r="J2602" s="71"/>
      <c r="K2602" s="71"/>
      <c r="L2602" s="72" t="str">
        <f>IFERROR(IF(G2602="","",VLOOKUP($G2602,[1]基础信息!$B:$C,2,FALSE)+SUMIF(G$8:G2602,G2602,J$8:J2602)-SUMIF(G$8:G2602,G2602,K$8:K2602)+SUMIFS([1]内部转账!$G:$G,[1]内部转账!$C:$C,"&lt;="&amp;$D2602,[1]内部转账!$E:$E,$G2602)-SUMIFS([1]内部转账!$G:$G,[1]内部转账!$C:$C,"&lt;="&amp;$D2602,[1]内部转账!$F:$F,$G2602)),"")</f>
        <v/>
      </c>
      <c r="M2602" s="64"/>
      <c r="N2602" s="69"/>
      <c r="O2602" s="64"/>
      <c r="P2602" s="64"/>
      <c r="Q2602" s="69"/>
      <c r="R2602" s="69"/>
      <c r="S2602" s="69"/>
    </row>
    <row r="2603" s="2" customFormat="1" ht="24.95" customHeight="1" spans="1:19">
      <c r="A2603" s="15"/>
      <c r="B2603" s="55"/>
      <c r="C2603" s="56"/>
      <c r="D2603" s="68"/>
      <c r="E2603" s="69"/>
      <c r="F2603" s="69"/>
      <c r="G2603" s="65"/>
      <c r="H2603" s="65"/>
      <c r="I2603" s="70"/>
      <c r="J2603" s="71"/>
      <c r="K2603" s="71"/>
      <c r="L2603" s="72" t="str">
        <f>IFERROR(IF(G2603="","",VLOOKUP($G2603,[1]基础信息!$B:$C,2,FALSE)+SUMIF(G$8:G2603,G2603,J$8:J2603)-SUMIF(G$8:G2603,G2603,K$8:K2603)+SUMIFS([1]内部转账!$G:$G,[1]内部转账!$C:$C,"&lt;="&amp;$D2603,[1]内部转账!$E:$E,$G2603)-SUMIFS([1]内部转账!$G:$G,[1]内部转账!$C:$C,"&lt;="&amp;$D2603,[1]内部转账!$F:$F,$G2603)),"")</f>
        <v/>
      </c>
      <c r="M2603" s="64"/>
      <c r="N2603" s="69"/>
      <c r="O2603" s="64"/>
      <c r="P2603" s="64"/>
      <c r="Q2603" s="69"/>
      <c r="R2603" s="69"/>
      <c r="S2603" s="69"/>
    </row>
    <row r="2604" s="2" customFormat="1" ht="24.95" customHeight="1" spans="1:19">
      <c r="A2604" s="15"/>
      <c r="B2604" s="55"/>
      <c r="C2604" s="56"/>
      <c r="D2604" s="68"/>
      <c r="E2604" s="69"/>
      <c r="F2604" s="69"/>
      <c r="G2604" s="65"/>
      <c r="H2604" s="65"/>
      <c r="I2604" s="70"/>
      <c r="J2604" s="71"/>
      <c r="K2604" s="71"/>
      <c r="L2604" s="72" t="str">
        <f>IFERROR(IF(G2604="","",VLOOKUP($G2604,[1]基础信息!$B:$C,2,FALSE)+SUMIF(G$8:G2604,G2604,J$8:J2604)-SUMIF(G$8:G2604,G2604,K$8:K2604)+SUMIFS([1]内部转账!$G:$G,[1]内部转账!$C:$C,"&lt;="&amp;$D2604,[1]内部转账!$E:$E,$G2604)-SUMIFS([1]内部转账!$G:$G,[1]内部转账!$C:$C,"&lt;="&amp;$D2604,[1]内部转账!$F:$F,$G2604)),"")</f>
        <v/>
      </c>
      <c r="M2604" s="64"/>
      <c r="N2604" s="69"/>
      <c r="O2604" s="64"/>
      <c r="P2604" s="64"/>
      <c r="Q2604" s="69"/>
      <c r="R2604" s="69"/>
      <c r="S2604" s="69"/>
    </row>
    <row r="2605" s="2" customFormat="1" ht="24.95" customHeight="1" spans="1:19">
      <c r="A2605" s="15"/>
      <c r="B2605" s="55"/>
      <c r="C2605" s="56"/>
      <c r="D2605" s="68"/>
      <c r="E2605" s="69"/>
      <c r="F2605" s="69"/>
      <c r="G2605" s="65"/>
      <c r="H2605" s="65"/>
      <c r="I2605" s="70"/>
      <c r="J2605" s="71"/>
      <c r="K2605" s="71"/>
      <c r="L2605" s="72" t="str">
        <f>IFERROR(IF(G2605="","",VLOOKUP($G2605,[1]基础信息!$B:$C,2,FALSE)+SUMIF(G$8:G2605,G2605,J$8:J2605)-SUMIF(G$8:G2605,G2605,K$8:K2605)+SUMIFS([1]内部转账!$G:$G,[1]内部转账!$C:$C,"&lt;="&amp;$D2605,[1]内部转账!$E:$E,$G2605)-SUMIFS([1]内部转账!$G:$G,[1]内部转账!$C:$C,"&lt;="&amp;$D2605,[1]内部转账!$F:$F,$G2605)),"")</f>
        <v/>
      </c>
      <c r="M2605" s="64"/>
      <c r="N2605" s="69"/>
      <c r="O2605" s="64"/>
      <c r="P2605" s="64"/>
      <c r="Q2605" s="69"/>
      <c r="R2605" s="69"/>
      <c r="S2605" s="69"/>
    </row>
    <row r="2606" s="2" customFormat="1" ht="24.95" customHeight="1" spans="1:19">
      <c r="A2606" s="15"/>
      <c r="B2606" s="55"/>
      <c r="C2606" s="56"/>
      <c r="D2606" s="68"/>
      <c r="E2606" s="69"/>
      <c r="F2606" s="69"/>
      <c r="G2606" s="65"/>
      <c r="H2606" s="65"/>
      <c r="I2606" s="70"/>
      <c r="J2606" s="71"/>
      <c r="K2606" s="71"/>
      <c r="L2606" s="72" t="str">
        <f>IFERROR(IF(G2606="","",VLOOKUP($G2606,[1]基础信息!$B:$C,2,FALSE)+SUMIF(G$8:G2606,G2606,J$8:J2606)-SUMIF(G$8:G2606,G2606,K$8:K2606)+SUMIFS([1]内部转账!$G:$G,[1]内部转账!$C:$C,"&lt;="&amp;$D2606,[1]内部转账!$E:$E,$G2606)-SUMIFS([1]内部转账!$G:$G,[1]内部转账!$C:$C,"&lt;="&amp;$D2606,[1]内部转账!$F:$F,$G2606)),"")</f>
        <v/>
      </c>
      <c r="M2606" s="64"/>
      <c r="N2606" s="69"/>
      <c r="O2606" s="64"/>
      <c r="P2606" s="64"/>
      <c r="Q2606" s="69"/>
      <c r="R2606" s="69"/>
      <c r="S2606" s="69"/>
    </row>
    <row r="2607" s="2" customFormat="1" ht="24.95" customHeight="1" spans="1:19">
      <c r="A2607" s="15"/>
      <c r="B2607" s="55"/>
      <c r="C2607" s="56"/>
      <c r="D2607" s="68"/>
      <c r="E2607" s="69"/>
      <c r="F2607" s="69"/>
      <c r="G2607" s="65"/>
      <c r="H2607" s="65"/>
      <c r="I2607" s="70"/>
      <c r="J2607" s="71"/>
      <c r="K2607" s="71"/>
      <c r="L2607" s="72" t="str">
        <f>IFERROR(IF(G2607="","",VLOOKUP($G2607,[1]基础信息!$B:$C,2,FALSE)+SUMIF(G$8:G2607,G2607,J$8:J2607)-SUMIF(G$8:G2607,G2607,K$8:K2607)+SUMIFS([1]内部转账!$G:$G,[1]内部转账!$C:$C,"&lt;="&amp;$D2607,[1]内部转账!$E:$E,$G2607)-SUMIFS([1]内部转账!$G:$G,[1]内部转账!$C:$C,"&lt;="&amp;$D2607,[1]内部转账!$F:$F,$G2607)),"")</f>
        <v/>
      </c>
      <c r="M2607" s="64"/>
      <c r="N2607" s="69"/>
      <c r="O2607" s="64"/>
      <c r="P2607" s="64"/>
      <c r="Q2607" s="69"/>
      <c r="R2607" s="69"/>
      <c r="S2607" s="69"/>
    </row>
    <row r="2608" s="2" customFormat="1" ht="24.95" customHeight="1" spans="1:19">
      <c r="A2608" s="15"/>
      <c r="B2608" s="55"/>
      <c r="C2608" s="56"/>
      <c r="D2608" s="68"/>
      <c r="E2608" s="69"/>
      <c r="F2608" s="69"/>
      <c r="G2608" s="65"/>
      <c r="H2608" s="65"/>
      <c r="I2608" s="70"/>
      <c r="J2608" s="71"/>
      <c r="K2608" s="71"/>
      <c r="L2608" s="72" t="str">
        <f>IFERROR(IF(G2608="","",VLOOKUP($G2608,[1]基础信息!$B:$C,2,FALSE)+SUMIF(G$8:G2608,G2608,J$8:J2608)-SUMIF(G$8:G2608,G2608,K$8:K2608)+SUMIFS([1]内部转账!$G:$G,[1]内部转账!$C:$C,"&lt;="&amp;$D2608,[1]内部转账!$E:$E,$G2608)-SUMIFS([1]内部转账!$G:$G,[1]内部转账!$C:$C,"&lt;="&amp;$D2608,[1]内部转账!$F:$F,$G2608)),"")</f>
        <v/>
      </c>
      <c r="M2608" s="64"/>
      <c r="N2608" s="69"/>
      <c r="O2608" s="64"/>
      <c r="P2608" s="64"/>
      <c r="Q2608" s="69"/>
      <c r="R2608" s="69"/>
      <c r="S2608" s="69"/>
    </row>
    <row r="2609" s="2" customFormat="1" ht="24.95" customHeight="1" spans="1:19">
      <c r="A2609" s="15"/>
      <c r="B2609" s="55"/>
      <c r="C2609" s="56"/>
      <c r="D2609" s="68"/>
      <c r="E2609" s="69"/>
      <c r="F2609" s="69"/>
      <c r="G2609" s="65"/>
      <c r="H2609" s="65"/>
      <c r="I2609" s="70"/>
      <c r="J2609" s="71"/>
      <c r="K2609" s="71"/>
      <c r="L2609" s="72" t="str">
        <f>IFERROR(IF(G2609="","",VLOOKUP($G2609,[1]基础信息!$B:$C,2,FALSE)+SUMIF(G$8:G2609,G2609,J$8:J2609)-SUMIF(G$8:G2609,G2609,K$8:K2609)+SUMIFS([1]内部转账!$G:$G,[1]内部转账!$C:$C,"&lt;="&amp;$D2609,[1]内部转账!$E:$E,$G2609)-SUMIFS([1]内部转账!$G:$G,[1]内部转账!$C:$C,"&lt;="&amp;$D2609,[1]内部转账!$F:$F,$G2609)),"")</f>
        <v/>
      </c>
      <c r="M2609" s="64"/>
      <c r="N2609" s="69"/>
      <c r="O2609" s="64"/>
      <c r="P2609" s="64"/>
      <c r="Q2609" s="69"/>
      <c r="R2609" s="69"/>
      <c r="S2609" s="69"/>
    </row>
    <row r="2610" s="2" customFormat="1" ht="24.95" customHeight="1" spans="1:19">
      <c r="A2610" s="15"/>
      <c r="B2610" s="55"/>
      <c r="C2610" s="56"/>
      <c r="D2610" s="68"/>
      <c r="E2610" s="69"/>
      <c r="F2610" s="69"/>
      <c r="G2610" s="65"/>
      <c r="H2610" s="65"/>
      <c r="I2610" s="70"/>
      <c r="J2610" s="71"/>
      <c r="K2610" s="71"/>
      <c r="L2610" s="72" t="str">
        <f>IFERROR(IF(G2610="","",VLOOKUP($G2610,[1]基础信息!$B:$C,2,FALSE)+SUMIF(G$8:G2610,G2610,J$8:J2610)-SUMIF(G$8:G2610,G2610,K$8:K2610)+SUMIFS([1]内部转账!$G:$G,[1]内部转账!$C:$C,"&lt;="&amp;$D2610,[1]内部转账!$E:$E,$G2610)-SUMIFS([1]内部转账!$G:$G,[1]内部转账!$C:$C,"&lt;="&amp;$D2610,[1]内部转账!$F:$F,$G2610)),"")</f>
        <v/>
      </c>
      <c r="M2610" s="64"/>
      <c r="N2610" s="69"/>
      <c r="O2610" s="64"/>
      <c r="P2610" s="64"/>
      <c r="Q2610" s="69"/>
      <c r="R2610" s="69"/>
      <c r="S2610" s="69"/>
    </row>
    <row r="2611" s="2" customFormat="1" ht="24.95" customHeight="1" spans="1:19">
      <c r="A2611" s="15"/>
      <c r="B2611" s="55"/>
      <c r="C2611" s="56"/>
      <c r="D2611" s="68"/>
      <c r="E2611" s="69"/>
      <c r="F2611" s="69"/>
      <c r="G2611" s="65"/>
      <c r="H2611" s="65"/>
      <c r="I2611" s="70"/>
      <c r="J2611" s="71"/>
      <c r="K2611" s="71"/>
      <c r="L2611" s="72" t="str">
        <f>IFERROR(IF(G2611="","",VLOOKUP($G2611,[1]基础信息!$B:$C,2,FALSE)+SUMIF(G$8:G2611,G2611,J$8:J2611)-SUMIF(G$8:G2611,G2611,K$8:K2611)+SUMIFS([1]内部转账!$G:$G,[1]内部转账!$C:$C,"&lt;="&amp;$D2611,[1]内部转账!$E:$E,$G2611)-SUMIFS([1]内部转账!$G:$G,[1]内部转账!$C:$C,"&lt;="&amp;$D2611,[1]内部转账!$F:$F,$G2611)),"")</f>
        <v/>
      </c>
      <c r="M2611" s="64"/>
      <c r="N2611" s="69"/>
      <c r="O2611" s="64"/>
      <c r="P2611" s="64"/>
      <c r="Q2611" s="69"/>
      <c r="R2611" s="69"/>
      <c r="S2611" s="69"/>
    </row>
    <row r="2612" s="2" customFormat="1" ht="24.95" customHeight="1" spans="1:19">
      <c r="A2612" s="15"/>
      <c r="B2612" s="55"/>
      <c r="C2612" s="56"/>
      <c r="D2612" s="68"/>
      <c r="E2612" s="69"/>
      <c r="F2612" s="69"/>
      <c r="G2612" s="65"/>
      <c r="H2612" s="65"/>
      <c r="I2612" s="70"/>
      <c r="J2612" s="71"/>
      <c r="K2612" s="71"/>
      <c r="L2612" s="72" t="str">
        <f>IFERROR(IF(G2612="","",VLOOKUP($G2612,[1]基础信息!$B:$C,2,FALSE)+SUMIF(G$8:G2612,G2612,J$8:J2612)-SUMIF(G$8:G2612,G2612,K$8:K2612)+SUMIFS([1]内部转账!$G:$G,[1]内部转账!$C:$C,"&lt;="&amp;$D2612,[1]内部转账!$E:$E,$G2612)-SUMIFS([1]内部转账!$G:$G,[1]内部转账!$C:$C,"&lt;="&amp;$D2612,[1]内部转账!$F:$F,$G2612)),"")</f>
        <v/>
      </c>
      <c r="M2612" s="64"/>
      <c r="N2612" s="69"/>
      <c r="O2612" s="64"/>
      <c r="P2612" s="64"/>
      <c r="Q2612" s="69"/>
      <c r="R2612" s="69"/>
      <c r="S2612" s="69"/>
    </row>
    <row r="2613" s="2" customFormat="1" ht="24.95" customHeight="1" spans="1:19">
      <c r="A2613" s="15"/>
      <c r="B2613" s="55"/>
      <c r="C2613" s="56"/>
      <c r="D2613" s="68"/>
      <c r="E2613" s="69"/>
      <c r="F2613" s="69"/>
      <c r="G2613" s="65"/>
      <c r="H2613" s="65"/>
      <c r="I2613" s="70"/>
      <c r="J2613" s="71"/>
      <c r="K2613" s="71"/>
      <c r="L2613" s="72" t="str">
        <f>IFERROR(IF(G2613="","",VLOOKUP($G2613,[1]基础信息!$B:$C,2,FALSE)+SUMIF(G$8:G2613,G2613,J$8:J2613)-SUMIF(G$8:G2613,G2613,K$8:K2613)+SUMIFS([1]内部转账!$G:$G,[1]内部转账!$C:$C,"&lt;="&amp;$D2613,[1]内部转账!$E:$E,$G2613)-SUMIFS([1]内部转账!$G:$G,[1]内部转账!$C:$C,"&lt;="&amp;$D2613,[1]内部转账!$F:$F,$G2613)),"")</f>
        <v/>
      </c>
      <c r="M2613" s="64"/>
      <c r="N2613" s="69"/>
      <c r="O2613" s="64"/>
      <c r="P2613" s="64"/>
      <c r="Q2613" s="69"/>
      <c r="R2613" s="69"/>
      <c r="S2613" s="69"/>
    </row>
    <row r="2614" s="2" customFormat="1" ht="24.95" customHeight="1" spans="1:19">
      <c r="A2614" s="15"/>
      <c r="B2614" s="55"/>
      <c r="C2614" s="56"/>
      <c r="D2614" s="68"/>
      <c r="E2614" s="69"/>
      <c r="F2614" s="69"/>
      <c r="G2614" s="65"/>
      <c r="H2614" s="65"/>
      <c r="I2614" s="70"/>
      <c r="J2614" s="71"/>
      <c r="K2614" s="71"/>
      <c r="L2614" s="72" t="str">
        <f>IFERROR(IF(G2614="","",VLOOKUP($G2614,[1]基础信息!$B:$C,2,FALSE)+SUMIF(G$8:G2614,G2614,J$8:J2614)-SUMIF(G$8:G2614,G2614,K$8:K2614)+SUMIFS([1]内部转账!$G:$G,[1]内部转账!$C:$C,"&lt;="&amp;$D2614,[1]内部转账!$E:$E,$G2614)-SUMIFS([1]内部转账!$G:$G,[1]内部转账!$C:$C,"&lt;="&amp;$D2614,[1]内部转账!$F:$F,$G2614)),"")</f>
        <v/>
      </c>
      <c r="M2614" s="64"/>
      <c r="N2614" s="69"/>
      <c r="O2614" s="64"/>
      <c r="P2614" s="64"/>
      <c r="Q2614" s="69"/>
      <c r="R2614" s="69"/>
      <c r="S2614" s="69"/>
    </row>
    <row r="2615" s="2" customFormat="1" ht="24.95" customHeight="1" spans="1:19">
      <c r="A2615" s="15"/>
      <c r="B2615" s="55"/>
      <c r="C2615" s="56"/>
      <c r="D2615" s="68"/>
      <c r="E2615" s="69"/>
      <c r="F2615" s="69"/>
      <c r="G2615" s="65"/>
      <c r="H2615" s="65"/>
      <c r="I2615" s="70"/>
      <c r="J2615" s="71"/>
      <c r="K2615" s="71"/>
      <c r="L2615" s="72" t="str">
        <f>IFERROR(IF(G2615="","",VLOOKUP($G2615,[1]基础信息!$B:$C,2,FALSE)+SUMIF(G$8:G2615,G2615,J$8:J2615)-SUMIF(G$8:G2615,G2615,K$8:K2615)+SUMIFS([1]内部转账!$G:$G,[1]内部转账!$C:$C,"&lt;="&amp;$D2615,[1]内部转账!$E:$E,$G2615)-SUMIFS([1]内部转账!$G:$G,[1]内部转账!$C:$C,"&lt;="&amp;$D2615,[1]内部转账!$F:$F,$G2615)),"")</f>
        <v/>
      </c>
      <c r="M2615" s="64"/>
      <c r="N2615" s="69"/>
      <c r="O2615" s="64"/>
      <c r="P2615" s="64"/>
      <c r="Q2615" s="69"/>
      <c r="R2615" s="69"/>
      <c r="S2615" s="69"/>
    </row>
    <row r="2616" s="2" customFormat="1" ht="24.95" customHeight="1" spans="1:19">
      <c r="A2616" s="15"/>
      <c r="B2616" s="55"/>
      <c r="C2616" s="56"/>
      <c r="D2616" s="68"/>
      <c r="E2616" s="69"/>
      <c r="F2616" s="69"/>
      <c r="G2616" s="65"/>
      <c r="H2616" s="65"/>
      <c r="I2616" s="70"/>
      <c r="J2616" s="71"/>
      <c r="K2616" s="71"/>
      <c r="L2616" s="72" t="str">
        <f>IFERROR(IF(G2616="","",VLOOKUP($G2616,[1]基础信息!$B:$C,2,FALSE)+SUMIF(G$8:G2616,G2616,J$8:J2616)-SUMIF(G$8:G2616,G2616,K$8:K2616)+SUMIFS([1]内部转账!$G:$G,[1]内部转账!$C:$C,"&lt;="&amp;$D2616,[1]内部转账!$E:$E,$G2616)-SUMIFS([1]内部转账!$G:$G,[1]内部转账!$C:$C,"&lt;="&amp;$D2616,[1]内部转账!$F:$F,$G2616)),"")</f>
        <v/>
      </c>
      <c r="M2616" s="64"/>
      <c r="N2616" s="69"/>
      <c r="O2616" s="64"/>
      <c r="P2616" s="64"/>
      <c r="Q2616" s="69"/>
      <c r="R2616" s="69"/>
      <c r="S2616" s="69"/>
    </row>
    <row r="2617" s="2" customFormat="1" ht="24.95" customHeight="1" spans="1:19">
      <c r="A2617" s="15"/>
      <c r="B2617" s="55"/>
      <c r="C2617" s="56"/>
      <c r="D2617" s="68"/>
      <c r="E2617" s="69"/>
      <c r="F2617" s="69"/>
      <c r="G2617" s="65"/>
      <c r="H2617" s="65"/>
      <c r="I2617" s="70"/>
      <c r="J2617" s="71"/>
      <c r="K2617" s="71"/>
      <c r="L2617" s="72" t="str">
        <f>IFERROR(IF(G2617="","",VLOOKUP($G2617,[1]基础信息!$B:$C,2,FALSE)+SUMIF(G$8:G2617,G2617,J$8:J2617)-SUMIF(G$8:G2617,G2617,K$8:K2617)+SUMIFS([1]内部转账!$G:$G,[1]内部转账!$C:$C,"&lt;="&amp;$D2617,[1]内部转账!$E:$E,$G2617)-SUMIFS([1]内部转账!$G:$G,[1]内部转账!$C:$C,"&lt;="&amp;$D2617,[1]内部转账!$F:$F,$G2617)),"")</f>
        <v/>
      </c>
      <c r="M2617" s="64"/>
      <c r="N2617" s="69"/>
      <c r="O2617" s="64"/>
      <c r="P2617" s="64"/>
      <c r="Q2617" s="69"/>
      <c r="R2617" s="69"/>
      <c r="S2617" s="69"/>
    </row>
    <row r="2618" s="2" customFormat="1" ht="24.95" customHeight="1" spans="1:19">
      <c r="A2618" s="15"/>
      <c r="B2618" s="55"/>
      <c r="C2618" s="56"/>
      <c r="D2618" s="68"/>
      <c r="E2618" s="69"/>
      <c r="F2618" s="69"/>
      <c r="G2618" s="65"/>
      <c r="H2618" s="65"/>
      <c r="I2618" s="70"/>
      <c r="J2618" s="71"/>
      <c r="K2618" s="71"/>
      <c r="L2618" s="72" t="str">
        <f>IFERROR(IF(G2618="","",VLOOKUP($G2618,[1]基础信息!$B:$C,2,FALSE)+SUMIF(G$8:G2618,G2618,J$8:J2618)-SUMIF(G$8:G2618,G2618,K$8:K2618)+SUMIFS([1]内部转账!$G:$G,[1]内部转账!$C:$C,"&lt;="&amp;$D2618,[1]内部转账!$E:$E,$G2618)-SUMIFS([1]内部转账!$G:$G,[1]内部转账!$C:$C,"&lt;="&amp;$D2618,[1]内部转账!$F:$F,$G2618)),"")</f>
        <v/>
      </c>
      <c r="M2618" s="64"/>
      <c r="N2618" s="69"/>
      <c r="O2618" s="64"/>
      <c r="P2618" s="64"/>
      <c r="Q2618" s="69"/>
      <c r="R2618" s="69"/>
      <c r="S2618" s="69"/>
    </row>
    <row r="2619" s="2" customFormat="1" ht="24.95" customHeight="1" spans="1:19">
      <c r="A2619" s="15"/>
      <c r="B2619" s="55"/>
      <c r="C2619" s="56"/>
      <c r="D2619" s="68"/>
      <c r="E2619" s="69"/>
      <c r="F2619" s="69"/>
      <c r="G2619" s="65"/>
      <c r="H2619" s="65"/>
      <c r="I2619" s="70"/>
      <c r="J2619" s="71"/>
      <c r="K2619" s="71"/>
      <c r="L2619" s="72" t="str">
        <f>IFERROR(IF(G2619="","",VLOOKUP($G2619,[1]基础信息!$B:$C,2,FALSE)+SUMIF(G$8:G2619,G2619,J$8:J2619)-SUMIF(G$8:G2619,G2619,K$8:K2619)+SUMIFS([1]内部转账!$G:$G,[1]内部转账!$C:$C,"&lt;="&amp;$D2619,[1]内部转账!$E:$E,$G2619)-SUMIFS([1]内部转账!$G:$G,[1]内部转账!$C:$C,"&lt;="&amp;$D2619,[1]内部转账!$F:$F,$G2619)),"")</f>
        <v/>
      </c>
      <c r="M2619" s="64"/>
      <c r="N2619" s="69"/>
      <c r="O2619" s="64"/>
      <c r="P2619" s="64"/>
      <c r="Q2619" s="69"/>
      <c r="R2619" s="69"/>
      <c r="S2619" s="69"/>
    </row>
    <row r="2620" s="2" customFormat="1" ht="24.95" customHeight="1" spans="1:19">
      <c r="A2620" s="15"/>
      <c r="B2620" s="55"/>
      <c r="C2620" s="56"/>
      <c r="D2620" s="68"/>
      <c r="E2620" s="69"/>
      <c r="F2620" s="69"/>
      <c r="G2620" s="65"/>
      <c r="H2620" s="65"/>
      <c r="I2620" s="70"/>
      <c r="J2620" s="71"/>
      <c r="K2620" s="71"/>
      <c r="L2620" s="72" t="str">
        <f>IFERROR(IF(G2620="","",VLOOKUP($G2620,[1]基础信息!$B:$C,2,FALSE)+SUMIF(G$8:G2620,G2620,J$8:J2620)-SUMIF(G$8:G2620,G2620,K$8:K2620)+SUMIFS([1]内部转账!$G:$G,[1]内部转账!$C:$C,"&lt;="&amp;$D2620,[1]内部转账!$E:$E,$G2620)-SUMIFS([1]内部转账!$G:$G,[1]内部转账!$C:$C,"&lt;="&amp;$D2620,[1]内部转账!$F:$F,$G2620)),"")</f>
        <v/>
      </c>
      <c r="M2620" s="64"/>
      <c r="N2620" s="69"/>
      <c r="O2620" s="64"/>
      <c r="P2620" s="64"/>
      <c r="Q2620" s="69"/>
      <c r="R2620" s="69"/>
      <c r="S2620" s="69"/>
    </row>
    <row r="2621" s="2" customFormat="1" ht="24.95" customHeight="1" spans="1:19">
      <c r="A2621" s="15"/>
      <c r="B2621" s="55"/>
      <c r="C2621" s="56"/>
      <c r="D2621" s="68"/>
      <c r="E2621" s="69"/>
      <c r="F2621" s="69"/>
      <c r="G2621" s="65"/>
      <c r="H2621" s="65"/>
      <c r="I2621" s="70"/>
      <c r="J2621" s="71"/>
      <c r="K2621" s="71"/>
      <c r="L2621" s="72" t="str">
        <f>IFERROR(IF(G2621="","",VLOOKUP($G2621,[1]基础信息!$B:$C,2,FALSE)+SUMIF(G$8:G2621,G2621,J$8:J2621)-SUMIF(G$8:G2621,G2621,K$8:K2621)+SUMIFS([1]内部转账!$G:$G,[1]内部转账!$C:$C,"&lt;="&amp;$D2621,[1]内部转账!$E:$E,$G2621)-SUMIFS([1]内部转账!$G:$G,[1]内部转账!$C:$C,"&lt;="&amp;$D2621,[1]内部转账!$F:$F,$G2621)),"")</f>
        <v/>
      </c>
      <c r="M2621" s="64"/>
      <c r="N2621" s="69"/>
      <c r="O2621" s="64"/>
      <c r="P2621" s="64"/>
      <c r="Q2621" s="69"/>
      <c r="R2621" s="69"/>
      <c r="S2621" s="69"/>
    </row>
    <row r="2622" s="2" customFormat="1" ht="24.95" customHeight="1" spans="1:19">
      <c r="A2622" s="15"/>
      <c r="B2622" s="55"/>
      <c r="C2622" s="56"/>
      <c r="D2622" s="68"/>
      <c r="E2622" s="69"/>
      <c r="F2622" s="69"/>
      <c r="G2622" s="65"/>
      <c r="H2622" s="65"/>
      <c r="I2622" s="70"/>
      <c r="J2622" s="71"/>
      <c r="K2622" s="71"/>
      <c r="L2622" s="72" t="str">
        <f>IFERROR(IF(G2622="","",VLOOKUP($G2622,[1]基础信息!$B:$C,2,FALSE)+SUMIF(G$8:G2622,G2622,J$8:J2622)-SUMIF(G$8:G2622,G2622,K$8:K2622)+SUMIFS([1]内部转账!$G:$G,[1]内部转账!$C:$C,"&lt;="&amp;$D2622,[1]内部转账!$E:$E,$G2622)-SUMIFS([1]内部转账!$G:$G,[1]内部转账!$C:$C,"&lt;="&amp;$D2622,[1]内部转账!$F:$F,$G2622)),"")</f>
        <v/>
      </c>
      <c r="M2622" s="64"/>
      <c r="N2622" s="69"/>
      <c r="O2622" s="64"/>
      <c r="P2622" s="64"/>
      <c r="Q2622" s="69"/>
      <c r="R2622" s="69"/>
      <c r="S2622" s="69"/>
    </row>
    <row r="2623" s="2" customFormat="1" ht="24.95" customHeight="1" spans="1:19">
      <c r="A2623" s="15"/>
      <c r="B2623" s="55"/>
      <c r="C2623" s="56"/>
      <c r="D2623" s="68"/>
      <c r="E2623" s="69"/>
      <c r="F2623" s="69"/>
      <c r="G2623" s="65"/>
      <c r="H2623" s="65"/>
      <c r="I2623" s="70"/>
      <c r="J2623" s="71"/>
      <c r="K2623" s="71"/>
      <c r="L2623" s="72" t="str">
        <f>IFERROR(IF(G2623="","",VLOOKUP($G2623,[1]基础信息!$B:$C,2,FALSE)+SUMIF(G$8:G2623,G2623,J$8:J2623)-SUMIF(G$8:G2623,G2623,K$8:K2623)+SUMIFS([1]内部转账!$G:$G,[1]内部转账!$C:$C,"&lt;="&amp;$D2623,[1]内部转账!$E:$E,$G2623)-SUMIFS([1]内部转账!$G:$G,[1]内部转账!$C:$C,"&lt;="&amp;$D2623,[1]内部转账!$F:$F,$G2623)),"")</f>
        <v/>
      </c>
      <c r="M2623" s="64"/>
      <c r="N2623" s="69"/>
      <c r="O2623" s="64"/>
      <c r="P2623" s="64"/>
      <c r="Q2623" s="69"/>
      <c r="R2623" s="69"/>
      <c r="S2623" s="69"/>
    </row>
    <row r="2624" s="2" customFormat="1" ht="24.95" customHeight="1" spans="1:19">
      <c r="A2624" s="15"/>
      <c r="B2624" s="55"/>
      <c r="C2624" s="56"/>
      <c r="D2624" s="68"/>
      <c r="E2624" s="69"/>
      <c r="F2624" s="69"/>
      <c r="G2624" s="65"/>
      <c r="H2624" s="65"/>
      <c r="I2624" s="70"/>
      <c r="J2624" s="71"/>
      <c r="K2624" s="71"/>
      <c r="L2624" s="72" t="str">
        <f>IFERROR(IF(G2624="","",VLOOKUP($G2624,[1]基础信息!$B:$C,2,FALSE)+SUMIF(G$8:G2624,G2624,J$8:J2624)-SUMIF(G$8:G2624,G2624,K$8:K2624)+SUMIFS([1]内部转账!$G:$G,[1]内部转账!$C:$C,"&lt;="&amp;$D2624,[1]内部转账!$E:$E,$G2624)-SUMIFS([1]内部转账!$G:$G,[1]内部转账!$C:$C,"&lt;="&amp;$D2624,[1]内部转账!$F:$F,$G2624)),"")</f>
        <v/>
      </c>
      <c r="M2624" s="64"/>
      <c r="N2624" s="69"/>
      <c r="O2624" s="64"/>
      <c r="P2624" s="64"/>
      <c r="Q2624" s="69"/>
      <c r="R2624" s="69"/>
      <c r="S2624" s="69"/>
    </row>
    <row r="2625" s="2" customFormat="1" ht="24.95" customHeight="1" spans="1:19">
      <c r="A2625" s="15"/>
      <c r="B2625" s="55"/>
      <c r="C2625" s="56"/>
      <c r="D2625" s="68"/>
      <c r="E2625" s="69"/>
      <c r="F2625" s="69"/>
      <c r="G2625" s="65"/>
      <c r="H2625" s="65"/>
      <c r="I2625" s="70"/>
      <c r="J2625" s="71"/>
      <c r="K2625" s="71"/>
      <c r="L2625" s="72" t="str">
        <f>IFERROR(IF(G2625="","",VLOOKUP($G2625,[1]基础信息!$B:$C,2,FALSE)+SUMIF(G$8:G2625,G2625,J$8:J2625)-SUMIF(G$8:G2625,G2625,K$8:K2625)+SUMIFS([1]内部转账!$G:$G,[1]内部转账!$C:$C,"&lt;="&amp;$D2625,[1]内部转账!$E:$E,$G2625)-SUMIFS([1]内部转账!$G:$G,[1]内部转账!$C:$C,"&lt;="&amp;$D2625,[1]内部转账!$F:$F,$G2625)),"")</f>
        <v/>
      </c>
      <c r="M2625" s="64"/>
      <c r="N2625" s="69"/>
      <c r="O2625" s="64"/>
      <c r="P2625" s="64"/>
      <c r="Q2625" s="69"/>
      <c r="R2625" s="69"/>
      <c r="S2625" s="69"/>
    </row>
    <row r="2626" s="2" customFormat="1" ht="24.95" customHeight="1" spans="1:19">
      <c r="A2626" s="15"/>
      <c r="B2626" s="55"/>
      <c r="C2626" s="56"/>
      <c r="D2626" s="68"/>
      <c r="E2626" s="69"/>
      <c r="F2626" s="69"/>
      <c r="G2626" s="65"/>
      <c r="H2626" s="65"/>
      <c r="I2626" s="70"/>
      <c r="J2626" s="71"/>
      <c r="K2626" s="71"/>
      <c r="L2626" s="72" t="str">
        <f>IFERROR(IF(G2626="","",VLOOKUP($G2626,[1]基础信息!$B:$C,2,FALSE)+SUMIF(G$8:G2626,G2626,J$8:J2626)-SUMIF(G$8:G2626,G2626,K$8:K2626)+SUMIFS([1]内部转账!$G:$G,[1]内部转账!$C:$C,"&lt;="&amp;$D2626,[1]内部转账!$E:$E,$G2626)-SUMIFS([1]内部转账!$G:$G,[1]内部转账!$C:$C,"&lt;="&amp;$D2626,[1]内部转账!$F:$F,$G2626)),"")</f>
        <v/>
      </c>
      <c r="M2626" s="64"/>
      <c r="N2626" s="69"/>
      <c r="O2626" s="64"/>
      <c r="P2626" s="64"/>
      <c r="Q2626" s="69"/>
      <c r="R2626" s="69"/>
      <c r="S2626" s="69"/>
    </row>
    <row r="2627" s="2" customFormat="1" ht="24.95" customHeight="1" spans="1:19">
      <c r="A2627" s="15"/>
      <c r="B2627" s="55"/>
      <c r="C2627" s="56"/>
      <c r="D2627" s="68"/>
      <c r="E2627" s="69"/>
      <c r="F2627" s="69"/>
      <c r="G2627" s="65"/>
      <c r="H2627" s="65"/>
      <c r="I2627" s="70"/>
      <c r="J2627" s="71"/>
      <c r="K2627" s="71"/>
      <c r="L2627" s="72" t="str">
        <f>IFERROR(IF(G2627="","",VLOOKUP($G2627,[1]基础信息!$B:$C,2,FALSE)+SUMIF(G$8:G2627,G2627,J$8:J2627)-SUMIF(G$8:G2627,G2627,K$8:K2627)+SUMIFS([1]内部转账!$G:$G,[1]内部转账!$C:$C,"&lt;="&amp;$D2627,[1]内部转账!$E:$E,$G2627)-SUMIFS([1]内部转账!$G:$G,[1]内部转账!$C:$C,"&lt;="&amp;$D2627,[1]内部转账!$F:$F,$G2627)),"")</f>
        <v/>
      </c>
      <c r="M2627" s="64"/>
      <c r="N2627" s="69"/>
      <c r="O2627" s="64"/>
      <c r="P2627" s="64"/>
      <c r="Q2627" s="69"/>
      <c r="R2627" s="69"/>
      <c r="S2627" s="69"/>
    </row>
    <row r="2628" s="2" customFormat="1" ht="24.95" customHeight="1" spans="1:19">
      <c r="A2628" s="15"/>
      <c r="B2628" s="55"/>
      <c r="C2628" s="56"/>
      <c r="D2628" s="68"/>
      <c r="E2628" s="69"/>
      <c r="F2628" s="69"/>
      <c r="G2628" s="65"/>
      <c r="H2628" s="65"/>
      <c r="I2628" s="70"/>
      <c r="J2628" s="71"/>
      <c r="K2628" s="71"/>
      <c r="L2628" s="72" t="str">
        <f>IFERROR(IF(G2628="","",VLOOKUP($G2628,[1]基础信息!$B:$C,2,FALSE)+SUMIF(G$8:G2628,G2628,J$8:J2628)-SUMIF(G$8:G2628,G2628,K$8:K2628)+SUMIFS([1]内部转账!$G:$G,[1]内部转账!$C:$C,"&lt;="&amp;$D2628,[1]内部转账!$E:$E,$G2628)-SUMIFS([1]内部转账!$G:$G,[1]内部转账!$C:$C,"&lt;="&amp;$D2628,[1]内部转账!$F:$F,$G2628)),"")</f>
        <v/>
      </c>
      <c r="M2628" s="64"/>
      <c r="N2628" s="69"/>
      <c r="O2628" s="64"/>
      <c r="P2628" s="64"/>
      <c r="Q2628" s="69"/>
      <c r="R2628" s="69"/>
      <c r="S2628" s="69"/>
    </row>
    <row r="2629" s="2" customFormat="1" ht="24.95" customHeight="1" spans="1:19">
      <c r="A2629" s="15"/>
      <c r="B2629" s="55"/>
      <c r="C2629" s="56"/>
      <c r="D2629" s="68"/>
      <c r="E2629" s="69"/>
      <c r="F2629" s="69"/>
      <c r="G2629" s="65"/>
      <c r="H2629" s="65"/>
      <c r="I2629" s="70"/>
      <c r="J2629" s="71"/>
      <c r="K2629" s="71"/>
      <c r="L2629" s="72" t="str">
        <f>IFERROR(IF(G2629="","",VLOOKUP($G2629,[1]基础信息!$B:$C,2,FALSE)+SUMIF(G$8:G2629,G2629,J$8:J2629)-SUMIF(G$8:G2629,G2629,K$8:K2629)+SUMIFS([1]内部转账!$G:$G,[1]内部转账!$C:$C,"&lt;="&amp;$D2629,[1]内部转账!$E:$E,$G2629)-SUMIFS([1]内部转账!$G:$G,[1]内部转账!$C:$C,"&lt;="&amp;$D2629,[1]内部转账!$F:$F,$G2629)),"")</f>
        <v/>
      </c>
      <c r="M2629" s="64"/>
      <c r="N2629" s="69"/>
      <c r="O2629" s="64"/>
      <c r="P2629" s="64"/>
      <c r="Q2629" s="69"/>
      <c r="R2629" s="69"/>
      <c r="S2629" s="69"/>
    </row>
    <row r="2630" s="2" customFormat="1" ht="24.95" customHeight="1" spans="1:19">
      <c r="A2630" s="15"/>
      <c r="B2630" s="55"/>
      <c r="C2630" s="56"/>
      <c r="D2630" s="68"/>
      <c r="E2630" s="69"/>
      <c r="F2630" s="69"/>
      <c r="G2630" s="65"/>
      <c r="H2630" s="65"/>
      <c r="I2630" s="70"/>
      <c r="J2630" s="71"/>
      <c r="K2630" s="71"/>
      <c r="L2630" s="72" t="str">
        <f>IFERROR(IF(G2630="","",VLOOKUP($G2630,[1]基础信息!$B:$C,2,FALSE)+SUMIF(G$8:G2630,G2630,J$8:J2630)-SUMIF(G$8:G2630,G2630,K$8:K2630)+SUMIFS([1]内部转账!$G:$G,[1]内部转账!$C:$C,"&lt;="&amp;$D2630,[1]内部转账!$E:$E,$G2630)-SUMIFS([1]内部转账!$G:$G,[1]内部转账!$C:$C,"&lt;="&amp;$D2630,[1]内部转账!$F:$F,$G2630)),"")</f>
        <v/>
      </c>
      <c r="M2630" s="64"/>
      <c r="N2630" s="69"/>
      <c r="O2630" s="64"/>
      <c r="P2630" s="64"/>
      <c r="Q2630" s="69"/>
      <c r="R2630" s="69"/>
      <c r="S2630" s="69"/>
    </row>
    <row r="2631" s="2" customFormat="1" ht="24.95" customHeight="1" spans="1:19">
      <c r="A2631" s="15"/>
      <c r="B2631" s="55"/>
      <c r="C2631" s="56"/>
      <c r="D2631" s="68"/>
      <c r="E2631" s="69"/>
      <c r="F2631" s="69"/>
      <c r="G2631" s="65"/>
      <c r="H2631" s="65"/>
      <c r="I2631" s="70"/>
      <c r="J2631" s="71"/>
      <c r="K2631" s="71"/>
      <c r="L2631" s="72" t="str">
        <f>IFERROR(IF(G2631="","",VLOOKUP($G2631,[1]基础信息!$B:$C,2,FALSE)+SUMIF(G$8:G2631,G2631,J$8:J2631)-SUMIF(G$8:G2631,G2631,K$8:K2631)+SUMIFS([1]内部转账!$G:$G,[1]内部转账!$C:$C,"&lt;="&amp;$D2631,[1]内部转账!$E:$E,$G2631)-SUMIFS([1]内部转账!$G:$G,[1]内部转账!$C:$C,"&lt;="&amp;$D2631,[1]内部转账!$F:$F,$G2631)),"")</f>
        <v/>
      </c>
      <c r="M2631" s="64"/>
      <c r="N2631" s="69"/>
      <c r="O2631" s="64"/>
      <c r="P2631" s="64"/>
      <c r="Q2631" s="69"/>
      <c r="R2631" s="69"/>
      <c r="S2631" s="69"/>
    </row>
    <row r="2632" s="2" customFormat="1" ht="24.95" customHeight="1" spans="1:19">
      <c r="A2632" s="15"/>
      <c r="B2632" s="55"/>
      <c r="C2632" s="56"/>
      <c r="D2632" s="68"/>
      <c r="E2632" s="69"/>
      <c r="F2632" s="69"/>
      <c r="G2632" s="65"/>
      <c r="H2632" s="65"/>
      <c r="I2632" s="70"/>
      <c r="J2632" s="71"/>
      <c r="K2632" s="71"/>
      <c r="L2632" s="72" t="str">
        <f>IFERROR(IF(G2632="","",VLOOKUP($G2632,[1]基础信息!$B:$C,2,FALSE)+SUMIF(G$8:G2632,G2632,J$8:J2632)-SUMIF(G$8:G2632,G2632,K$8:K2632)+SUMIFS([1]内部转账!$G:$G,[1]内部转账!$C:$C,"&lt;="&amp;$D2632,[1]内部转账!$E:$E,$G2632)-SUMIFS([1]内部转账!$G:$G,[1]内部转账!$C:$C,"&lt;="&amp;$D2632,[1]内部转账!$F:$F,$G2632)),"")</f>
        <v/>
      </c>
      <c r="M2632" s="64"/>
      <c r="N2632" s="69"/>
      <c r="O2632" s="64"/>
      <c r="P2632" s="64"/>
      <c r="Q2632" s="69"/>
      <c r="R2632" s="69"/>
      <c r="S2632" s="69"/>
    </row>
    <row r="2633" s="2" customFormat="1" ht="24.95" customHeight="1" spans="1:19">
      <c r="A2633" s="15"/>
      <c r="B2633" s="55"/>
      <c r="C2633" s="56"/>
      <c r="D2633" s="68"/>
      <c r="E2633" s="69"/>
      <c r="F2633" s="69"/>
      <c r="G2633" s="65"/>
      <c r="H2633" s="65"/>
      <c r="I2633" s="70"/>
      <c r="J2633" s="71"/>
      <c r="K2633" s="71"/>
      <c r="L2633" s="72" t="str">
        <f>IFERROR(IF(G2633="","",VLOOKUP($G2633,[1]基础信息!$B:$C,2,FALSE)+SUMIF(G$8:G2633,G2633,J$8:J2633)-SUMIF(G$8:G2633,G2633,K$8:K2633)+SUMIFS([1]内部转账!$G:$G,[1]内部转账!$C:$C,"&lt;="&amp;$D2633,[1]内部转账!$E:$E,$G2633)-SUMIFS([1]内部转账!$G:$G,[1]内部转账!$C:$C,"&lt;="&amp;$D2633,[1]内部转账!$F:$F,$G2633)),"")</f>
        <v/>
      </c>
      <c r="M2633" s="64"/>
      <c r="N2633" s="69"/>
      <c r="O2633" s="64"/>
      <c r="P2633" s="64"/>
      <c r="Q2633" s="69"/>
      <c r="R2633" s="69"/>
      <c r="S2633" s="69"/>
    </row>
    <row r="2634" s="2" customFormat="1" ht="24.95" customHeight="1" spans="1:19">
      <c r="A2634" s="15"/>
      <c r="B2634" s="55"/>
      <c r="C2634" s="56"/>
      <c r="D2634" s="68"/>
      <c r="E2634" s="69"/>
      <c r="F2634" s="69"/>
      <c r="G2634" s="65"/>
      <c r="H2634" s="65"/>
      <c r="I2634" s="70"/>
      <c r="J2634" s="71"/>
      <c r="K2634" s="71"/>
      <c r="L2634" s="72" t="str">
        <f>IFERROR(IF(G2634="","",VLOOKUP($G2634,[1]基础信息!$B:$C,2,FALSE)+SUMIF(G$8:G2634,G2634,J$8:J2634)-SUMIF(G$8:G2634,G2634,K$8:K2634)+SUMIFS([1]内部转账!$G:$G,[1]内部转账!$C:$C,"&lt;="&amp;$D2634,[1]内部转账!$E:$E,$G2634)-SUMIFS([1]内部转账!$G:$G,[1]内部转账!$C:$C,"&lt;="&amp;$D2634,[1]内部转账!$F:$F,$G2634)),"")</f>
        <v/>
      </c>
      <c r="M2634" s="64"/>
      <c r="N2634" s="69"/>
      <c r="O2634" s="64"/>
      <c r="P2634" s="64"/>
      <c r="Q2634" s="69"/>
      <c r="R2634" s="69"/>
      <c r="S2634" s="69"/>
    </row>
    <row r="2635" s="2" customFormat="1" ht="24.95" customHeight="1" spans="1:19">
      <c r="A2635" s="15"/>
      <c r="B2635" s="55"/>
      <c r="C2635" s="56"/>
      <c r="D2635" s="68"/>
      <c r="E2635" s="69"/>
      <c r="F2635" s="69"/>
      <c r="G2635" s="65"/>
      <c r="H2635" s="65"/>
      <c r="I2635" s="70"/>
      <c r="J2635" s="71"/>
      <c r="K2635" s="71"/>
      <c r="L2635" s="72" t="str">
        <f>IFERROR(IF(G2635="","",VLOOKUP($G2635,[1]基础信息!$B:$C,2,FALSE)+SUMIF(G$8:G2635,G2635,J$8:J2635)-SUMIF(G$8:G2635,G2635,K$8:K2635)+SUMIFS([1]内部转账!$G:$G,[1]内部转账!$C:$C,"&lt;="&amp;$D2635,[1]内部转账!$E:$E,$G2635)-SUMIFS([1]内部转账!$G:$G,[1]内部转账!$C:$C,"&lt;="&amp;$D2635,[1]内部转账!$F:$F,$G2635)),"")</f>
        <v/>
      </c>
      <c r="M2635" s="64"/>
      <c r="N2635" s="69"/>
      <c r="O2635" s="64"/>
      <c r="P2635" s="64"/>
      <c r="Q2635" s="69"/>
      <c r="R2635" s="69"/>
      <c r="S2635" s="69"/>
    </row>
    <row r="2636" s="2" customFormat="1" ht="24.95" customHeight="1" spans="1:19">
      <c r="A2636" s="15"/>
      <c r="B2636" s="55"/>
      <c r="C2636" s="56"/>
      <c r="D2636" s="68"/>
      <c r="E2636" s="69"/>
      <c r="F2636" s="69"/>
      <c r="G2636" s="65"/>
      <c r="H2636" s="65"/>
      <c r="I2636" s="70"/>
      <c r="J2636" s="71"/>
      <c r="K2636" s="71"/>
      <c r="L2636" s="72" t="str">
        <f>IFERROR(IF(G2636="","",VLOOKUP($G2636,[1]基础信息!$B:$C,2,FALSE)+SUMIF(G$8:G2636,G2636,J$8:J2636)-SUMIF(G$8:G2636,G2636,K$8:K2636)+SUMIFS([1]内部转账!$G:$G,[1]内部转账!$C:$C,"&lt;="&amp;$D2636,[1]内部转账!$E:$E,$G2636)-SUMIFS([1]内部转账!$G:$G,[1]内部转账!$C:$C,"&lt;="&amp;$D2636,[1]内部转账!$F:$F,$G2636)),"")</f>
        <v/>
      </c>
      <c r="M2636" s="64"/>
      <c r="N2636" s="69"/>
      <c r="O2636" s="64"/>
      <c r="P2636" s="64"/>
      <c r="Q2636" s="69"/>
      <c r="R2636" s="69"/>
      <c r="S2636" s="69"/>
    </row>
    <row r="2637" s="2" customFormat="1" ht="24.95" customHeight="1" spans="1:19">
      <c r="A2637" s="15"/>
      <c r="B2637" s="55"/>
      <c r="C2637" s="56"/>
      <c r="D2637" s="68"/>
      <c r="E2637" s="69"/>
      <c r="F2637" s="69"/>
      <c r="G2637" s="65"/>
      <c r="H2637" s="65"/>
      <c r="I2637" s="70"/>
      <c r="J2637" s="71"/>
      <c r="K2637" s="71"/>
      <c r="L2637" s="72" t="str">
        <f>IFERROR(IF(G2637="","",VLOOKUP($G2637,[1]基础信息!$B:$C,2,FALSE)+SUMIF(G$8:G2637,G2637,J$8:J2637)-SUMIF(G$8:G2637,G2637,K$8:K2637)+SUMIFS([1]内部转账!$G:$G,[1]内部转账!$C:$C,"&lt;="&amp;$D2637,[1]内部转账!$E:$E,$G2637)-SUMIFS([1]内部转账!$G:$G,[1]内部转账!$C:$C,"&lt;="&amp;$D2637,[1]内部转账!$F:$F,$G2637)),"")</f>
        <v/>
      </c>
      <c r="M2637" s="64"/>
      <c r="N2637" s="69"/>
      <c r="O2637" s="64"/>
      <c r="P2637" s="64"/>
      <c r="Q2637" s="69"/>
      <c r="R2637" s="69"/>
      <c r="S2637" s="69"/>
    </row>
    <row r="2638" s="2" customFormat="1" ht="24.95" customHeight="1" spans="1:19">
      <c r="A2638" s="15"/>
      <c r="B2638" s="55"/>
      <c r="C2638" s="56"/>
      <c r="D2638" s="68"/>
      <c r="E2638" s="69"/>
      <c r="F2638" s="69"/>
      <c r="G2638" s="65"/>
      <c r="H2638" s="65"/>
      <c r="I2638" s="70"/>
      <c r="J2638" s="71"/>
      <c r="K2638" s="71"/>
      <c r="L2638" s="72" t="str">
        <f>IFERROR(IF(G2638="","",VLOOKUP($G2638,[1]基础信息!$B:$C,2,FALSE)+SUMIF(G$8:G2638,G2638,J$8:J2638)-SUMIF(G$8:G2638,G2638,K$8:K2638)+SUMIFS([1]内部转账!$G:$G,[1]内部转账!$C:$C,"&lt;="&amp;$D2638,[1]内部转账!$E:$E,$G2638)-SUMIFS([1]内部转账!$G:$G,[1]内部转账!$C:$C,"&lt;="&amp;$D2638,[1]内部转账!$F:$F,$G2638)),"")</f>
        <v/>
      </c>
      <c r="M2638" s="64"/>
      <c r="N2638" s="69"/>
      <c r="O2638" s="64"/>
      <c r="P2638" s="64"/>
      <c r="Q2638" s="69"/>
      <c r="R2638" s="69"/>
      <c r="S2638" s="69"/>
    </row>
    <row r="2639" s="2" customFormat="1" ht="24.95" customHeight="1" spans="1:19">
      <c r="A2639" s="15"/>
      <c r="B2639" s="55"/>
      <c r="C2639" s="56"/>
      <c r="D2639" s="68"/>
      <c r="E2639" s="69"/>
      <c r="F2639" s="69"/>
      <c r="G2639" s="65"/>
      <c r="H2639" s="65"/>
      <c r="I2639" s="70"/>
      <c r="J2639" s="71"/>
      <c r="K2639" s="71"/>
      <c r="L2639" s="72" t="str">
        <f>IFERROR(IF(G2639="","",VLOOKUP($G2639,[1]基础信息!$B:$C,2,FALSE)+SUMIF(G$8:G2639,G2639,J$8:J2639)-SUMIF(G$8:G2639,G2639,K$8:K2639)+SUMIFS([1]内部转账!$G:$G,[1]内部转账!$C:$C,"&lt;="&amp;$D2639,[1]内部转账!$E:$E,$G2639)-SUMIFS([1]内部转账!$G:$G,[1]内部转账!$C:$C,"&lt;="&amp;$D2639,[1]内部转账!$F:$F,$G2639)),"")</f>
        <v/>
      </c>
      <c r="M2639" s="64"/>
      <c r="N2639" s="69"/>
      <c r="O2639" s="64"/>
      <c r="P2639" s="64"/>
      <c r="Q2639" s="69"/>
      <c r="R2639" s="69"/>
      <c r="S2639" s="69"/>
    </row>
    <row r="2640" s="2" customFormat="1" ht="24.95" customHeight="1" spans="1:19">
      <c r="A2640" s="15"/>
      <c r="B2640" s="55"/>
      <c r="C2640" s="56"/>
      <c r="D2640" s="68"/>
      <c r="E2640" s="69"/>
      <c r="F2640" s="69"/>
      <c r="G2640" s="65"/>
      <c r="H2640" s="65"/>
      <c r="I2640" s="70"/>
      <c r="J2640" s="71"/>
      <c r="K2640" s="71"/>
      <c r="L2640" s="72" t="str">
        <f>IFERROR(IF(G2640="","",VLOOKUP($G2640,[1]基础信息!$B:$C,2,FALSE)+SUMIF(G$8:G2640,G2640,J$8:J2640)-SUMIF(G$8:G2640,G2640,K$8:K2640)+SUMIFS([1]内部转账!$G:$G,[1]内部转账!$C:$C,"&lt;="&amp;$D2640,[1]内部转账!$E:$E,$G2640)-SUMIFS([1]内部转账!$G:$G,[1]内部转账!$C:$C,"&lt;="&amp;$D2640,[1]内部转账!$F:$F,$G2640)),"")</f>
        <v/>
      </c>
      <c r="M2640" s="64"/>
      <c r="N2640" s="69"/>
      <c r="O2640" s="64"/>
      <c r="P2640" s="64"/>
      <c r="Q2640" s="69"/>
      <c r="R2640" s="69"/>
      <c r="S2640" s="69"/>
    </row>
    <row r="2641" s="2" customFormat="1" ht="24.95" customHeight="1" spans="1:19">
      <c r="A2641" s="15"/>
      <c r="B2641" s="55"/>
      <c r="C2641" s="56"/>
      <c r="D2641" s="68"/>
      <c r="E2641" s="69"/>
      <c r="F2641" s="69"/>
      <c r="G2641" s="65"/>
      <c r="H2641" s="65"/>
      <c r="I2641" s="70"/>
      <c r="J2641" s="71"/>
      <c r="K2641" s="71"/>
      <c r="L2641" s="72" t="str">
        <f>IFERROR(IF(G2641="","",VLOOKUP($G2641,[1]基础信息!$B:$C,2,FALSE)+SUMIF(G$8:G2641,G2641,J$8:J2641)-SUMIF(G$8:G2641,G2641,K$8:K2641)+SUMIFS([1]内部转账!$G:$G,[1]内部转账!$C:$C,"&lt;="&amp;$D2641,[1]内部转账!$E:$E,$G2641)-SUMIFS([1]内部转账!$G:$G,[1]内部转账!$C:$C,"&lt;="&amp;$D2641,[1]内部转账!$F:$F,$G2641)),"")</f>
        <v/>
      </c>
      <c r="M2641" s="64"/>
      <c r="N2641" s="69"/>
      <c r="O2641" s="64"/>
      <c r="P2641" s="64"/>
      <c r="Q2641" s="69"/>
      <c r="R2641" s="69"/>
      <c r="S2641" s="69"/>
    </row>
    <row r="2642" s="2" customFormat="1" ht="24.95" customHeight="1" spans="1:19">
      <c r="A2642" s="15"/>
      <c r="B2642" s="55"/>
      <c r="C2642" s="56"/>
      <c r="D2642" s="68"/>
      <c r="E2642" s="69"/>
      <c r="F2642" s="69"/>
      <c r="G2642" s="65"/>
      <c r="H2642" s="65"/>
      <c r="I2642" s="70"/>
      <c r="J2642" s="71"/>
      <c r="K2642" s="71"/>
      <c r="L2642" s="72" t="str">
        <f>IFERROR(IF(G2642="","",VLOOKUP($G2642,[1]基础信息!$B:$C,2,FALSE)+SUMIF(G$8:G2642,G2642,J$8:J2642)-SUMIF(G$8:G2642,G2642,K$8:K2642)+SUMIFS([1]内部转账!$G:$G,[1]内部转账!$C:$C,"&lt;="&amp;$D2642,[1]内部转账!$E:$E,$G2642)-SUMIFS([1]内部转账!$G:$G,[1]内部转账!$C:$C,"&lt;="&amp;$D2642,[1]内部转账!$F:$F,$G2642)),"")</f>
        <v/>
      </c>
      <c r="M2642" s="64"/>
      <c r="N2642" s="69"/>
      <c r="O2642" s="64"/>
      <c r="P2642" s="64"/>
      <c r="Q2642" s="69"/>
      <c r="R2642" s="69"/>
      <c r="S2642" s="69"/>
    </row>
    <row r="2643" s="2" customFormat="1" ht="24.95" customHeight="1" spans="1:19">
      <c r="A2643" s="15"/>
      <c r="B2643" s="55"/>
      <c r="C2643" s="56"/>
      <c r="D2643" s="68"/>
      <c r="E2643" s="69"/>
      <c r="F2643" s="69"/>
      <c r="G2643" s="65"/>
      <c r="H2643" s="65"/>
      <c r="I2643" s="70"/>
      <c r="J2643" s="71"/>
      <c r="K2643" s="71"/>
      <c r="L2643" s="72" t="str">
        <f>IFERROR(IF(G2643="","",VLOOKUP($G2643,[1]基础信息!$B:$C,2,FALSE)+SUMIF(G$8:G2643,G2643,J$8:J2643)-SUMIF(G$8:G2643,G2643,K$8:K2643)+SUMIFS([1]内部转账!$G:$G,[1]内部转账!$C:$C,"&lt;="&amp;$D2643,[1]内部转账!$E:$E,$G2643)-SUMIFS([1]内部转账!$G:$G,[1]内部转账!$C:$C,"&lt;="&amp;$D2643,[1]内部转账!$F:$F,$G2643)),"")</f>
        <v/>
      </c>
      <c r="M2643" s="64"/>
      <c r="N2643" s="69"/>
      <c r="O2643" s="64"/>
      <c r="P2643" s="64"/>
      <c r="Q2643" s="69"/>
      <c r="R2643" s="69"/>
      <c r="S2643" s="69"/>
    </row>
    <row r="2644" s="2" customFormat="1" ht="24.95" customHeight="1" spans="1:19">
      <c r="A2644" s="15"/>
      <c r="B2644" s="55"/>
      <c r="C2644" s="56"/>
      <c r="D2644" s="68"/>
      <c r="E2644" s="69"/>
      <c r="F2644" s="69"/>
      <c r="G2644" s="65"/>
      <c r="H2644" s="65"/>
      <c r="I2644" s="70"/>
      <c r="J2644" s="71"/>
      <c r="K2644" s="71"/>
      <c r="L2644" s="72" t="str">
        <f>IFERROR(IF(G2644="","",VLOOKUP($G2644,[1]基础信息!$B:$C,2,FALSE)+SUMIF(G$8:G2644,G2644,J$8:J2644)-SUMIF(G$8:G2644,G2644,K$8:K2644)+SUMIFS([1]内部转账!$G:$G,[1]内部转账!$C:$C,"&lt;="&amp;$D2644,[1]内部转账!$E:$E,$G2644)-SUMIFS([1]内部转账!$G:$G,[1]内部转账!$C:$C,"&lt;="&amp;$D2644,[1]内部转账!$F:$F,$G2644)),"")</f>
        <v/>
      </c>
      <c r="M2644" s="64"/>
      <c r="N2644" s="69"/>
      <c r="O2644" s="64"/>
      <c r="P2644" s="64"/>
      <c r="Q2644" s="69"/>
      <c r="R2644" s="69"/>
      <c r="S2644" s="69"/>
    </row>
    <row r="2645" s="2" customFormat="1" ht="24.95" customHeight="1" spans="1:19">
      <c r="A2645" s="15"/>
      <c r="B2645" s="55"/>
      <c r="C2645" s="56"/>
      <c r="D2645" s="68"/>
      <c r="E2645" s="69"/>
      <c r="F2645" s="69"/>
      <c r="G2645" s="65"/>
      <c r="H2645" s="65"/>
      <c r="I2645" s="70"/>
      <c r="J2645" s="71"/>
      <c r="K2645" s="71"/>
      <c r="L2645" s="72" t="str">
        <f>IFERROR(IF(G2645="","",VLOOKUP($G2645,[1]基础信息!$B:$C,2,FALSE)+SUMIF(G$8:G2645,G2645,J$8:J2645)-SUMIF(G$8:G2645,G2645,K$8:K2645)+SUMIFS([1]内部转账!$G:$G,[1]内部转账!$C:$C,"&lt;="&amp;$D2645,[1]内部转账!$E:$E,$G2645)-SUMIFS([1]内部转账!$G:$G,[1]内部转账!$C:$C,"&lt;="&amp;$D2645,[1]内部转账!$F:$F,$G2645)),"")</f>
        <v/>
      </c>
      <c r="M2645" s="64"/>
      <c r="N2645" s="69"/>
      <c r="O2645" s="64"/>
      <c r="P2645" s="64"/>
      <c r="Q2645" s="69"/>
      <c r="R2645" s="69"/>
      <c r="S2645" s="69"/>
    </row>
    <row r="2646" s="2" customFormat="1" ht="24.95" customHeight="1" spans="1:19">
      <c r="A2646" s="15"/>
      <c r="B2646" s="55"/>
      <c r="C2646" s="56"/>
      <c r="D2646" s="68"/>
      <c r="E2646" s="69"/>
      <c r="F2646" s="69"/>
      <c r="G2646" s="65"/>
      <c r="H2646" s="65"/>
      <c r="I2646" s="70"/>
      <c r="J2646" s="71"/>
      <c r="K2646" s="71"/>
      <c r="L2646" s="72" t="str">
        <f>IFERROR(IF(G2646="","",VLOOKUP($G2646,[1]基础信息!$B:$C,2,FALSE)+SUMIF(G$8:G2646,G2646,J$8:J2646)-SUMIF(G$8:G2646,G2646,K$8:K2646)+SUMIFS([1]内部转账!$G:$G,[1]内部转账!$C:$C,"&lt;="&amp;$D2646,[1]内部转账!$E:$E,$G2646)-SUMIFS([1]内部转账!$G:$G,[1]内部转账!$C:$C,"&lt;="&amp;$D2646,[1]内部转账!$F:$F,$G2646)),"")</f>
        <v/>
      </c>
      <c r="M2646" s="64"/>
      <c r="N2646" s="69"/>
      <c r="O2646" s="64"/>
      <c r="P2646" s="64"/>
      <c r="Q2646" s="69"/>
      <c r="R2646" s="69"/>
      <c r="S2646" s="69"/>
    </row>
    <row r="2647" s="2" customFormat="1" ht="24.95" customHeight="1" spans="1:19">
      <c r="A2647" s="15"/>
      <c r="B2647" s="55"/>
      <c r="C2647" s="56"/>
      <c r="D2647" s="68"/>
      <c r="E2647" s="69"/>
      <c r="F2647" s="69"/>
      <c r="G2647" s="65"/>
      <c r="H2647" s="65"/>
      <c r="I2647" s="70"/>
      <c r="J2647" s="71"/>
      <c r="K2647" s="71"/>
      <c r="L2647" s="72" t="str">
        <f>IFERROR(IF(G2647="","",VLOOKUP($G2647,[1]基础信息!$B:$C,2,FALSE)+SUMIF(G$8:G2647,G2647,J$8:J2647)-SUMIF(G$8:G2647,G2647,K$8:K2647)+SUMIFS([1]内部转账!$G:$G,[1]内部转账!$C:$C,"&lt;="&amp;$D2647,[1]内部转账!$E:$E,$G2647)-SUMIFS([1]内部转账!$G:$G,[1]内部转账!$C:$C,"&lt;="&amp;$D2647,[1]内部转账!$F:$F,$G2647)),"")</f>
        <v/>
      </c>
      <c r="M2647" s="64"/>
      <c r="N2647" s="69"/>
      <c r="O2647" s="64"/>
      <c r="P2647" s="64"/>
      <c r="Q2647" s="69"/>
      <c r="R2647" s="69"/>
      <c r="S2647" s="69"/>
    </row>
    <row r="2648" s="2" customFormat="1" ht="24.95" customHeight="1" spans="1:19">
      <c r="A2648" s="15"/>
      <c r="B2648" s="55"/>
      <c r="C2648" s="56"/>
      <c r="D2648" s="68"/>
      <c r="E2648" s="69"/>
      <c r="F2648" s="69"/>
      <c r="G2648" s="65"/>
      <c r="H2648" s="65"/>
      <c r="I2648" s="70"/>
      <c r="J2648" s="71"/>
      <c r="K2648" s="71"/>
      <c r="L2648" s="72" t="str">
        <f>IFERROR(IF(G2648="","",VLOOKUP($G2648,[1]基础信息!$B:$C,2,FALSE)+SUMIF(G$8:G2648,G2648,J$8:J2648)-SUMIF(G$8:G2648,G2648,K$8:K2648)+SUMIFS([1]内部转账!$G:$G,[1]内部转账!$C:$C,"&lt;="&amp;$D2648,[1]内部转账!$E:$E,$G2648)-SUMIFS([1]内部转账!$G:$G,[1]内部转账!$C:$C,"&lt;="&amp;$D2648,[1]内部转账!$F:$F,$G2648)),"")</f>
        <v/>
      </c>
      <c r="M2648" s="64"/>
      <c r="N2648" s="69"/>
      <c r="O2648" s="64"/>
      <c r="P2648" s="64"/>
      <c r="Q2648" s="69"/>
      <c r="R2648" s="69"/>
      <c r="S2648" s="69"/>
    </row>
    <row r="2649" s="2" customFormat="1" ht="24.95" customHeight="1" spans="1:19">
      <c r="A2649" s="15"/>
      <c r="B2649" s="55"/>
      <c r="C2649" s="56"/>
      <c r="D2649" s="68"/>
      <c r="E2649" s="69"/>
      <c r="F2649" s="69"/>
      <c r="G2649" s="65"/>
      <c r="H2649" s="65"/>
      <c r="I2649" s="70"/>
      <c r="J2649" s="71"/>
      <c r="K2649" s="71"/>
      <c r="L2649" s="72" t="str">
        <f>IFERROR(IF(G2649="","",VLOOKUP($G2649,[1]基础信息!$B:$C,2,FALSE)+SUMIF(G$8:G2649,G2649,J$8:J2649)-SUMIF(G$8:G2649,G2649,K$8:K2649)+SUMIFS([1]内部转账!$G:$G,[1]内部转账!$C:$C,"&lt;="&amp;$D2649,[1]内部转账!$E:$E,$G2649)-SUMIFS([1]内部转账!$G:$G,[1]内部转账!$C:$C,"&lt;="&amp;$D2649,[1]内部转账!$F:$F,$G2649)),"")</f>
        <v/>
      </c>
      <c r="M2649" s="64"/>
      <c r="N2649" s="69"/>
      <c r="O2649" s="64"/>
      <c r="P2649" s="64"/>
      <c r="Q2649" s="69"/>
      <c r="R2649" s="69"/>
      <c r="S2649" s="69"/>
    </row>
    <row r="2650" s="2" customFormat="1" ht="24.95" customHeight="1" spans="1:19">
      <c r="A2650" s="15"/>
      <c r="B2650" s="55"/>
      <c r="C2650" s="56"/>
      <c r="D2650" s="68"/>
      <c r="E2650" s="69"/>
      <c r="F2650" s="69"/>
      <c r="G2650" s="65"/>
      <c r="H2650" s="65"/>
      <c r="I2650" s="70"/>
      <c r="J2650" s="71"/>
      <c r="K2650" s="71"/>
      <c r="L2650" s="72" t="str">
        <f>IFERROR(IF(G2650="","",VLOOKUP($G2650,[1]基础信息!$B:$C,2,FALSE)+SUMIF(G$8:G2650,G2650,J$8:J2650)-SUMIF(G$8:G2650,G2650,K$8:K2650)+SUMIFS([1]内部转账!$G:$G,[1]内部转账!$C:$C,"&lt;="&amp;$D2650,[1]内部转账!$E:$E,$G2650)-SUMIFS([1]内部转账!$G:$G,[1]内部转账!$C:$C,"&lt;="&amp;$D2650,[1]内部转账!$F:$F,$G2650)),"")</f>
        <v/>
      </c>
      <c r="M2650" s="64"/>
      <c r="N2650" s="69"/>
      <c r="O2650" s="64"/>
      <c r="P2650" s="64"/>
      <c r="Q2650" s="69"/>
      <c r="R2650" s="69"/>
      <c r="S2650" s="69"/>
    </row>
    <row r="2651" s="2" customFormat="1" ht="24.95" customHeight="1" spans="1:19">
      <c r="A2651" s="15"/>
      <c r="B2651" s="55"/>
      <c r="C2651" s="56"/>
      <c r="D2651" s="68"/>
      <c r="E2651" s="69"/>
      <c r="F2651" s="69"/>
      <c r="G2651" s="65"/>
      <c r="H2651" s="65"/>
      <c r="I2651" s="70"/>
      <c r="J2651" s="71"/>
      <c r="K2651" s="71"/>
      <c r="L2651" s="72" t="str">
        <f>IFERROR(IF(G2651="","",VLOOKUP($G2651,[1]基础信息!$B:$C,2,FALSE)+SUMIF(G$8:G2651,G2651,J$8:J2651)-SUMIF(G$8:G2651,G2651,K$8:K2651)+SUMIFS([1]内部转账!$G:$G,[1]内部转账!$C:$C,"&lt;="&amp;$D2651,[1]内部转账!$E:$E,$G2651)-SUMIFS([1]内部转账!$G:$G,[1]内部转账!$C:$C,"&lt;="&amp;$D2651,[1]内部转账!$F:$F,$G2651)),"")</f>
        <v/>
      </c>
      <c r="M2651" s="64"/>
      <c r="N2651" s="69"/>
      <c r="O2651" s="64"/>
      <c r="P2651" s="64"/>
      <c r="Q2651" s="69"/>
      <c r="R2651" s="69"/>
      <c r="S2651" s="69"/>
    </row>
    <row r="2652" s="2" customFormat="1" ht="24.95" customHeight="1" spans="1:19">
      <c r="A2652" s="15"/>
      <c r="B2652" s="55"/>
      <c r="C2652" s="56"/>
      <c r="D2652" s="68"/>
      <c r="E2652" s="69"/>
      <c r="F2652" s="69"/>
      <c r="G2652" s="65"/>
      <c r="H2652" s="65"/>
      <c r="I2652" s="70"/>
      <c r="J2652" s="71"/>
      <c r="K2652" s="71"/>
      <c r="L2652" s="72" t="str">
        <f>IFERROR(IF(G2652="","",VLOOKUP($G2652,[1]基础信息!$B:$C,2,FALSE)+SUMIF(G$8:G2652,G2652,J$8:J2652)-SUMIF(G$8:G2652,G2652,K$8:K2652)+SUMIFS([1]内部转账!$G:$G,[1]内部转账!$C:$C,"&lt;="&amp;$D2652,[1]内部转账!$E:$E,$G2652)-SUMIFS([1]内部转账!$G:$G,[1]内部转账!$C:$C,"&lt;="&amp;$D2652,[1]内部转账!$F:$F,$G2652)),"")</f>
        <v/>
      </c>
      <c r="M2652" s="64"/>
      <c r="N2652" s="69"/>
      <c r="O2652" s="64"/>
      <c r="P2652" s="64"/>
      <c r="Q2652" s="69"/>
      <c r="R2652" s="69"/>
      <c r="S2652" s="69"/>
    </row>
    <row r="2653" s="2" customFormat="1" ht="24.95" customHeight="1" spans="1:19">
      <c r="A2653" s="15"/>
      <c r="B2653" s="55"/>
      <c r="C2653" s="56"/>
      <c r="D2653" s="68"/>
      <c r="E2653" s="69"/>
      <c r="F2653" s="69"/>
      <c r="G2653" s="65"/>
      <c r="H2653" s="65"/>
      <c r="I2653" s="70"/>
      <c r="J2653" s="71"/>
      <c r="K2653" s="71"/>
      <c r="L2653" s="72" t="str">
        <f>IFERROR(IF(G2653="","",VLOOKUP($G2653,[1]基础信息!$B:$C,2,FALSE)+SUMIF(G$8:G2653,G2653,J$8:J2653)-SUMIF(G$8:G2653,G2653,K$8:K2653)+SUMIFS([1]内部转账!$G:$G,[1]内部转账!$C:$C,"&lt;="&amp;$D2653,[1]内部转账!$E:$E,$G2653)-SUMIFS([1]内部转账!$G:$G,[1]内部转账!$C:$C,"&lt;="&amp;$D2653,[1]内部转账!$F:$F,$G2653)),"")</f>
        <v/>
      </c>
      <c r="M2653" s="64"/>
      <c r="N2653" s="69"/>
      <c r="O2653" s="64"/>
      <c r="P2653" s="64"/>
      <c r="Q2653" s="69"/>
      <c r="R2653" s="69"/>
      <c r="S2653" s="69"/>
    </row>
    <row r="2654" s="2" customFormat="1" ht="24.95" customHeight="1" spans="1:19">
      <c r="A2654" s="15"/>
      <c r="B2654" s="55"/>
      <c r="C2654" s="56"/>
      <c r="D2654" s="68"/>
      <c r="E2654" s="69"/>
      <c r="F2654" s="69"/>
      <c r="G2654" s="65"/>
      <c r="H2654" s="65"/>
      <c r="I2654" s="70"/>
      <c r="J2654" s="71"/>
      <c r="K2654" s="71"/>
      <c r="L2654" s="72" t="str">
        <f>IFERROR(IF(G2654="","",VLOOKUP($G2654,[1]基础信息!$B:$C,2,FALSE)+SUMIF(G$8:G2654,G2654,J$8:J2654)-SUMIF(G$8:G2654,G2654,K$8:K2654)+SUMIFS([1]内部转账!$G:$G,[1]内部转账!$C:$C,"&lt;="&amp;$D2654,[1]内部转账!$E:$E,$G2654)-SUMIFS([1]内部转账!$G:$G,[1]内部转账!$C:$C,"&lt;="&amp;$D2654,[1]内部转账!$F:$F,$G2654)),"")</f>
        <v/>
      </c>
      <c r="M2654" s="64"/>
      <c r="N2654" s="69"/>
      <c r="O2654" s="64"/>
      <c r="P2654" s="64"/>
      <c r="Q2654" s="69"/>
      <c r="R2654" s="69"/>
      <c r="S2654" s="69"/>
    </row>
    <row r="2655" s="2" customFormat="1" ht="24.95" customHeight="1" spans="1:19">
      <c r="A2655" s="15"/>
      <c r="B2655" s="55"/>
      <c r="C2655" s="56"/>
      <c r="D2655" s="68"/>
      <c r="E2655" s="69"/>
      <c r="F2655" s="69"/>
      <c r="G2655" s="65"/>
      <c r="H2655" s="65"/>
      <c r="I2655" s="70"/>
      <c r="J2655" s="71"/>
      <c r="K2655" s="71"/>
      <c r="L2655" s="72" t="str">
        <f>IFERROR(IF(G2655="","",VLOOKUP($G2655,[1]基础信息!$B:$C,2,FALSE)+SUMIF(G$8:G2655,G2655,J$8:J2655)-SUMIF(G$8:G2655,G2655,K$8:K2655)+SUMIFS([1]内部转账!$G:$G,[1]内部转账!$C:$C,"&lt;="&amp;$D2655,[1]内部转账!$E:$E,$G2655)-SUMIFS([1]内部转账!$G:$G,[1]内部转账!$C:$C,"&lt;="&amp;$D2655,[1]内部转账!$F:$F,$G2655)),"")</f>
        <v/>
      </c>
      <c r="M2655" s="64"/>
      <c r="N2655" s="69"/>
      <c r="O2655" s="64"/>
      <c r="P2655" s="64"/>
      <c r="Q2655" s="69"/>
      <c r="R2655" s="69"/>
      <c r="S2655" s="69"/>
    </row>
    <row r="2656" s="2" customFormat="1" ht="24.95" customHeight="1" spans="1:19">
      <c r="A2656" s="15"/>
      <c r="B2656" s="55"/>
      <c r="C2656" s="56"/>
      <c r="D2656" s="68"/>
      <c r="E2656" s="69"/>
      <c r="F2656" s="69"/>
      <c r="G2656" s="65"/>
      <c r="H2656" s="65"/>
      <c r="I2656" s="70"/>
      <c r="J2656" s="71"/>
      <c r="K2656" s="71"/>
      <c r="L2656" s="72" t="str">
        <f>IFERROR(IF(G2656="","",VLOOKUP($G2656,[1]基础信息!$B:$C,2,FALSE)+SUMIF(G$8:G2656,G2656,J$8:J2656)-SUMIF(G$8:G2656,G2656,K$8:K2656)+SUMIFS([1]内部转账!$G:$G,[1]内部转账!$C:$C,"&lt;="&amp;$D2656,[1]内部转账!$E:$E,$G2656)-SUMIFS([1]内部转账!$G:$G,[1]内部转账!$C:$C,"&lt;="&amp;$D2656,[1]内部转账!$F:$F,$G2656)),"")</f>
        <v/>
      </c>
      <c r="M2656" s="64"/>
      <c r="N2656" s="69"/>
      <c r="O2656" s="64"/>
      <c r="P2656" s="64"/>
      <c r="Q2656" s="69"/>
      <c r="R2656" s="69"/>
      <c r="S2656" s="69"/>
    </row>
    <row r="2657" s="2" customFormat="1" ht="24.95" customHeight="1" spans="1:19">
      <c r="A2657" s="15"/>
      <c r="B2657" s="55"/>
      <c r="C2657" s="56"/>
      <c r="D2657" s="68"/>
      <c r="E2657" s="69"/>
      <c r="F2657" s="69"/>
      <c r="G2657" s="65"/>
      <c r="H2657" s="65"/>
      <c r="I2657" s="70"/>
      <c r="J2657" s="71"/>
      <c r="K2657" s="71"/>
      <c r="L2657" s="72" t="str">
        <f>IFERROR(IF(G2657="","",VLOOKUP($G2657,[1]基础信息!$B:$C,2,FALSE)+SUMIF(G$8:G2657,G2657,J$8:J2657)-SUMIF(G$8:G2657,G2657,K$8:K2657)+SUMIFS([1]内部转账!$G:$G,[1]内部转账!$C:$C,"&lt;="&amp;$D2657,[1]内部转账!$E:$E,$G2657)-SUMIFS([1]内部转账!$G:$G,[1]内部转账!$C:$C,"&lt;="&amp;$D2657,[1]内部转账!$F:$F,$G2657)),"")</f>
        <v/>
      </c>
      <c r="M2657" s="64"/>
      <c r="N2657" s="69"/>
      <c r="O2657" s="64"/>
      <c r="P2657" s="64"/>
      <c r="Q2657" s="69"/>
      <c r="R2657" s="69"/>
      <c r="S2657" s="69"/>
    </row>
    <row r="2658" s="2" customFormat="1" ht="24.95" customHeight="1" spans="1:19">
      <c r="A2658" s="15"/>
      <c r="B2658" s="55"/>
      <c r="C2658" s="56"/>
      <c r="D2658" s="68"/>
      <c r="E2658" s="69"/>
      <c r="F2658" s="69"/>
      <c r="G2658" s="65"/>
      <c r="H2658" s="65"/>
      <c r="I2658" s="70"/>
      <c r="J2658" s="71"/>
      <c r="K2658" s="71"/>
      <c r="L2658" s="72" t="str">
        <f>IFERROR(IF(G2658="","",VLOOKUP($G2658,[1]基础信息!$B:$C,2,FALSE)+SUMIF(G$8:G2658,G2658,J$8:J2658)-SUMIF(G$8:G2658,G2658,K$8:K2658)+SUMIFS([1]内部转账!$G:$G,[1]内部转账!$C:$C,"&lt;="&amp;$D2658,[1]内部转账!$E:$E,$G2658)-SUMIFS([1]内部转账!$G:$G,[1]内部转账!$C:$C,"&lt;="&amp;$D2658,[1]内部转账!$F:$F,$G2658)),"")</f>
        <v/>
      </c>
      <c r="M2658" s="64"/>
      <c r="N2658" s="69"/>
      <c r="O2658" s="64"/>
      <c r="P2658" s="64"/>
      <c r="Q2658" s="69"/>
      <c r="R2658" s="69"/>
      <c r="S2658" s="69"/>
    </row>
    <row r="2659" s="2" customFormat="1" ht="24.95" customHeight="1" spans="1:19">
      <c r="A2659" s="15"/>
      <c r="B2659" s="55"/>
      <c r="C2659" s="56"/>
      <c r="D2659" s="68"/>
      <c r="E2659" s="69"/>
      <c r="F2659" s="69"/>
      <c r="G2659" s="65"/>
      <c r="H2659" s="65"/>
      <c r="I2659" s="70"/>
      <c r="J2659" s="71"/>
      <c r="K2659" s="71"/>
      <c r="L2659" s="72" t="str">
        <f>IFERROR(IF(G2659="","",VLOOKUP($G2659,[1]基础信息!$B:$C,2,FALSE)+SUMIF(G$8:G2659,G2659,J$8:J2659)-SUMIF(G$8:G2659,G2659,K$8:K2659)+SUMIFS([1]内部转账!$G:$G,[1]内部转账!$C:$C,"&lt;="&amp;$D2659,[1]内部转账!$E:$E,$G2659)-SUMIFS([1]内部转账!$G:$G,[1]内部转账!$C:$C,"&lt;="&amp;$D2659,[1]内部转账!$F:$F,$G2659)),"")</f>
        <v/>
      </c>
      <c r="M2659" s="64"/>
      <c r="N2659" s="69"/>
      <c r="O2659" s="64"/>
      <c r="P2659" s="64"/>
      <c r="Q2659" s="69"/>
      <c r="R2659" s="69"/>
      <c r="S2659" s="69"/>
    </row>
    <row r="2660" s="2" customFormat="1" ht="24.95" customHeight="1" spans="1:19">
      <c r="A2660" s="15"/>
      <c r="B2660" s="55"/>
      <c r="C2660" s="56"/>
      <c r="D2660" s="68"/>
      <c r="E2660" s="69"/>
      <c r="F2660" s="69"/>
      <c r="G2660" s="65"/>
      <c r="H2660" s="65"/>
      <c r="I2660" s="70"/>
      <c r="J2660" s="71"/>
      <c r="K2660" s="71"/>
      <c r="L2660" s="72" t="str">
        <f>IFERROR(IF(G2660="","",VLOOKUP($G2660,[1]基础信息!$B:$C,2,FALSE)+SUMIF(G$8:G2660,G2660,J$8:J2660)-SUMIF(G$8:G2660,G2660,K$8:K2660)+SUMIFS([1]内部转账!$G:$G,[1]内部转账!$C:$C,"&lt;="&amp;$D2660,[1]内部转账!$E:$E,$G2660)-SUMIFS([1]内部转账!$G:$G,[1]内部转账!$C:$C,"&lt;="&amp;$D2660,[1]内部转账!$F:$F,$G2660)),"")</f>
        <v/>
      </c>
      <c r="M2660" s="64"/>
      <c r="N2660" s="69"/>
      <c r="O2660" s="64"/>
      <c r="P2660" s="64"/>
      <c r="Q2660" s="69"/>
      <c r="R2660" s="69"/>
      <c r="S2660" s="69"/>
    </row>
    <row r="2661" s="2" customFormat="1" ht="24.95" customHeight="1" spans="1:19">
      <c r="A2661" s="15"/>
      <c r="B2661" s="55"/>
      <c r="C2661" s="56"/>
      <c r="D2661" s="68"/>
      <c r="E2661" s="69"/>
      <c r="F2661" s="69"/>
      <c r="G2661" s="65"/>
      <c r="H2661" s="65"/>
      <c r="I2661" s="70"/>
      <c r="J2661" s="71"/>
      <c r="K2661" s="71"/>
      <c r="L2661" s="72" t="str">
        <f>IFERROR(IF(G2661="","",VLOOKUP($G2661,[1]基础信息!$B:$C,2,FALSE)+SUMIF(G$8:G2661,G2661,J$8:J2661)-SUMIF(G$8:G2661,G2661,K$8:K2661)+SUMIFS([1]内部转账!$G:$G,[1]内部转账!$C:$C,"&lt;="&amp;$D2661,[1]内部转账!$E:$E,$G2661)-SUMIFS([1]内部转账!$G:$G,[1]内部转账!$C:$C,"&lt;="&amp;$D2661,[1]内部转账!$F:$F,$G2661)),"")</f>
        <v/>
      </c>
      <c r="M2661" s="64"/>
      <c r="N2661" s="69"/>
      <c r="O2661" s="64"/>
      <c r="P2661" s="64"/>
      <c r="Q2661" s="69"/>
      <c r="R2661" s="69"/>
      <c r="S2661" s="69"/>
    </row>
    <row r="2662" s="2" customFormat="1" ht="24.95" customHeight="1" spans="1:19">
      <c r="A2662" s="15"/>
      <c r="B2662" s="55"/>
      <c r="C2662" s="56"/>
      <c r="D2662" s="68"/>
      <c r="E2662" s="69"/>
      <c r="F2662" s="69"/>
      <c r="G2662" s="65"/>
      <c r="H2662" s="65"/>
      <c r="I2662" s="70"/>
      <c r="J2662" s="71"/>
      <c r="K2662" s="71"/>
      <c r="L2662" s="72" t="str">
        <f>IFERROR(IF(G2662="","",VLOOKUP($G2662,[1]基础信息!$B:$C,2,FALSE)+SUMIF(G$8:G2662,G2662,J$8:J2662)-SUMIF(G$8:G2662,G2662,K$8:K2662)+SUMIFS([1]内部转账!$G:$G,[1]内部转账!$C:$C,"&lt;="&amp;$D2662,[1]内部转账!$E:$E,$G2662)-SUMIFS([1]内部转账!$G:$G,[1]内部转账!$C:$C,"&lt;="&amp;$D2662,[1]内部转账!$F:$F,$G2662)),"")</f>
        <v/>
      </c>
      <c r="M2662" s="64"/>
      <c r="N2662" s="69"/>
      <c r="O2662" s="64"/>
      <c r="P2662" s="64"/>
      <c r="Q2662" s="69"/>
      <c r="R2662" s="69"/>
      <c r="S2662" s="69"/>
    </row>
    <row r="2663" s="2" customFormat="1" ht="24.95" customHeight="1" spans="1:19">
      <c r="A2663" s="15"/>
      <c r="B2663" s="55"/>
      <c r="C2663" s="56"/>
      <c r="D2663" s="68"/>
      <c r="E2663" s="69"/>
      <c r="F2663" s="69"/>
      <c r="G2663" s="65"/>
      <c r="H2663" s="65"/>
      <c r="I2663" s="70"/>
      <c r="J2663" s="71"/>
      <c r="K2663" s="71"/>
      <c r="L2663" s="72" t="str">
        <f>IFERROR(IF(G2663="","",VLOOKUP($G2663,[1]基础信息!$B:$C,2,FALSE)+SUMIF(G$8:G2663,G2663,J$8:J2663)-SUMIF(G$8:G2663,G2663,K$8:K2663)+SUMIFS([1]内部转账!$G:$G,[1]内部转账!$C:$C,"&lt;="&amp;$D2663,[1]内部转账!$E:$E,$G2663)-SUMIFS([1]内部转账!$G:$G,[1]内部转账!$C:$C,"&lt;="&amp;$D2663,[1]内部转账!$F:$F,$G2663)),"")</f>
        <v/>
      </c>
      <c r="M2663" s="64"/>
      <c r="N2663" s="69"/>
      <c r="O2663" s="64"/>
      <c r="P2663" s="64"/>
      <c r="Q2663" s="69"/>
      <c r="R2663" s="69"/>
      <c r="S2663" s="69"/>
    </row>
    <row r="2664" s="2" customFormat="1" ht="24.95" customHeight="1" spans="1:19">
      <c r="A2664" s="15"/>
      <c r="B2664" s="55"/>
      <c r="C2664" s="56"/>
      <c r="D2664" s="68"/>
      <c r="E2664" s="69"/>
      <c r="F2664" s="69"/>
      <c r="G2664" s="65"/>
      <c r="H2664" s="65"/>
      <c r="I2664" s="70"/>
      <c r="J2664" s="71"/>
      <c r="K2664" s="71"/>
      <c r="L2664" s="72" t="str">
        <f>IFERROR(IF(G2664="","",VLOOKUP($G2664,[1]基础信息!$B:$C,2,FALSE)+SUMIF(G$8:G2664,G2664,J$8:J2664)-SUMIF(G$8:G2664,G2664,K$8:K2664)+SUMIFS([1]内部转账!$G:$G,[1]内部转账!$C:$C,"&lt;="&amp;$D2664,[1]内部转账!$E:$E,$G2664)-SUMIFS([1]内部转账!$G:$G,[1]内部转账!$C:$C,"&lt;="&amp;$D2664,[1]内部转账!$F:$F,$G2664)),"")</f>
        <v/>
      </c>
      <c r="M2664" s="64"/>
      <c r="N2664" s="69"/>
      <c r="O2664" s="64"/>
      <c r="P2664" s="64"/>
      <c r="Q2664" s="69"/>
      <c r="R2664" s="69"/>
      <c r="S2664" s="69"/>
    </row>
    <row r="2665" s="2" customFormat="1" ht="24.95" customHeight="1" spans="1:19">
      <c r="A2665" s="15"/>
      <c r="B2665" s="55"/>
      <c r="C2665" s="56"/>
      <c r="D2665" s="68"/>
      <c r="E2665" s="69"/>
      <c r="F2665" s="69"/>
      <c r="G2665" s="65"/>
      <c r="H2665" s="65"/>
      <c r="I2665" s="70"/>
      <c r="J2665" s="71"/>
      <c r="K2665" s="71"/>
      <c r="L2665" s="72" t="str">
        <f>IFERROR(IF(G2665="","",VLOOKUP($G2665,[1]基础信息!$B:$C,2,FALSE)+SUMIF(G$8:G2665,G2665,J$8:J2665)-SUMIF(G$8:G2665,G2665,K$8:K2665)+SUMIFS([1]内部转账!$G:$G,[1]内部转账!$C:$C,"&lt;="&amp;$D2665,[1]内部转账!$E:$E,$G2665)-SUMIFS([1]内部转账!$G:$G,[1]内部转账!$C:$C,"&lt;="&amp;$D2665,[1]内部转账!$F:$F,$G2665)),"")</f>
        <v/>
      </c>
      <c r="M2665" s="64"/>
      <c r="N2665" s="69"/>
      <c r="O2665" s="64"/>
      <c r="P2665" s="64"/>
      <c r="Q2665" s="69"/>
      <c r="R2665" s="69"/>
      <c r="S2665" s="69"/>
    </row>
    <row r="2666" s="2" customFormat="1" ht="24.95" customHeight="1" spans="1:19">
      <c r="A2666" s="15"/>
      <c r="B2666" s="55"/>
      <c r="C2666" s="56"/>
      <c r="D2666" s="68"/>
      <c r="E2666" s="69"/>
      <c r="F2666" s="69"/>
      <c r="G2666" s="65"/>
      <c r="H2666" s="65"/>
      <c r="I2666" s="70"/>
      <c r="J2666" s="71"/>
      <c r="K2666" s="71"/>
      <c r="L2666" s="72" t="str">
        <f>IFERROR(IF(G2666="","",VLOOKUP($G2666,[1]基础信息!$B:$C,2,FALSE)+SUMIF(G$8:G2666,G2666,J$8:J2666)-SUMIF(G$8:G2666,G2666,K$8:K2666)+SUMIFS([1]内部转账!$G:$G,[1]内部转账!$C:$C,"&lt;="&amp;$D2666,[1]内部转账!$E:$E,$G2666)-SUMIFS([1]内部转账!$G:$G,[1]内部转账!$C:$C,"&lt;="&amp;$D2666,[1]内部转账!$F:$F,$G2666)),"")</f>
        <v/>
      </c>
      <c r="M2666" s="64"/>
      <c r="N2666" s="69"/>
      <c r="O2666" s="64"/>
      <c r="P2666" s="64"/>
      <c r="Q2666" s="69"/>
      <c r="R2666" s="69"/>
      <c r="S2666" s="69"/>
    </row>
    <row r="2667" s="2" customFormat="1" ht="24.95" customHeight="1" spans="1:19">
      <c r="A2667" s="15"/>
      <c r="B2667" s="55"/>
      <c r="C2667" s="56"/>
      <c r="D2667" s="68"/>
      <c r="E2667" s="69"/>
      <c r="F2667" s="69"/>
      <c r="G2667" s="65"/>
      <c r="H2667" s="65"/>
      <c r="I2667" s="70"/>
      <c r="J2667" s="71"/>
      <c r="K2667" s="71"/>
      <c r="L2667" s="72" t="str">
        <f>IFERROR(IF(G2667="","",VLOOKUP($G2667,[1]基础信息!$B:$C,2,FALSE)+SUMIF(G$8:G2667,G2667,J$8:J2667)-SUMIF(G$8:G2667,G2667,K$8:K2667)+SUMIFS([1]内部转账!$G:$G,[1]内部转账!$C:$C,"&lt;="&amp;$D2667,[1]内部转账!$E:$E,$G2667)-SUMIFS([1]内部转账!$G:$G,[1]内部转账!$C:$C,"&lt;="&amp;$D2667,[1]内部转账!$F:$F,$G2667)),"")</f>
        <v/>
      </c>
      <c r="M2667" s="64"/>
      <c r="N2667" s="69"/>
      <c r="O2667" s="64"/>
      <c r="P2667" s="64"/>
      <c r="Q2667" s="69"/>
      <c r="R2667" s="69"/>
      <c r="S2667" s="69"/>
    </row>
    <row r="2668" s="2" customFormat="1" ht="24.95" customHeight="1" spans="1:19">
      <c r="A2668" s="15"/>
      <c r="B2668" s="55"/>
      <c r="C2668" s="56"/>
      <c r="D2668" s="68"/>
      <c r="E2668" s="69"/>
      <c r="F2668" s="69"/>
      <c r="G2668" s="65"/>
      <c r="H2668" s="65"/>
      <c r="I2668" s="70"/>
      <c r="J2668" s="71"/>
      <c r="K2668" s="71"/>
      <c r="L2668" s="72" t="str">
        <f>IFERROR(IF(G2668="","",VLOOKUP($G2668,[1]基础信息!$B:$C,2,FALSE)+SUMIF(G$8:G2668,G2668,J$8:J2668)-SUMIF(G$8:G2668,G2668,K$8:K2668)+SUMIFS([1]内部转账!$G:$G,[1]内部转账!$C:$C,"&lt;="&amp;$D2668,[1]内部转账!$E:$E,$G2668)-SUMIFS([1]内部转账!$G:$G,[1]内部转账!$C:$C,"&lt;="&amp;$D2668,[1]内部转账!$F:$F,$G2668)),"")</f>
        <v/>
      </c>
      <c r="M2668" s="64"/>
      <c r="N2668" s="69"/>
      <c r="O2668" s="64"/>
      <c r="P2668" s="64"/>
      <c r="Q2668" s="69"/>
      <c r="R2668" s="69"/>
      <c r="S2668" s="69"/>
    </row>
    <row r="2669" s="2" customFormat="1" ht="24.95" customHeight="1" spans="1:19">
      <c r="A2669" s="15"/>
      <c r="B2669" s="55"/>
      <c r="C2669" s="56"/>
      <c r="D2669" s="68"/>
      <c r="E2669" s="69"/>
      <c r="F2669" s="69"/>
      <c r="G2669" s="65"/>
      <c r="H2669" s="65"/>
      <c r="I2669" s="70"/>
      <c r="J2669" s="71"/>
      <c r="K2669" s="71"/>
      <c r="L2669" s="72" t="str">
        <f>IFERROR(IF(G2669="","",VLOOKUP($G2669,[1]基础信息!$B:$C,2,FALSE)+SUMIF(G$8:G2669,G2669,J$8:J2669)-SUMIF(G$8:G2669,G2669,K$8:K2669)+SUMIFS([1]内部转账!$G:$G,[1]内部转账!$C:$C,"&lt;="&amp;$D2669,[1]内部转账!$E:$E,$G2669)-SUMIFS([1]内部转账!$G:$G,[1]内部转账!$C:$C,"&lt;="&amp;$D2669,[1]内部转账!$F:$F,$G2669)),"")</f>
        <v/>
      </c>
      <c r="M2669" s="64"/>
      <c r="N2669" s="69"/>
      <c r="O2669" s="64"/>
      <c r="P2669" s="64"/>
      <c r="Q2669" s="69"/>
      <c r="R2669" s="69"/>
      <c r="S2669" s="69"/>
    </row>
    <row r="2670" s="2" customFormat="1" ht="24.95" customHeight="1" spans="1:19">
      <c r="A2670" s="15"/>
      <c r="B2670" s="55"/>
      <c r="C2670" s="56"/>
      <c r="D2670" s="68"/>
      <c r="E2670" s="69"/>
      <c r="F2670" s="69"/>
      <c r="G2670" s="65"/>
      <c r="H2670" s="65"/>
      <c r="I2670" s="70"/>
      <c r="J2670" s="71"/>
      <c r="K2670" s="71"/>
      <c r="L2670" s="72" t="str">
        <f>IFERROR(IF(G2670="","",VLOOKUP($G2670,[1]基础信息!$B:$C,2,FALSE)+SUMIF(G$8:G2670,G2670,J$8:J2670)-SUMIF(G$8:G2670,G2670,K$8:K2670)+SUMIFS([1]内部转账!$G:$G,[1]内部转账!$C:$C,"&lt;="&amp;$D2670,[1]内部转账!$E:$E,$G2670)-SUMIFS([1]内部转账!$G:$G,[1]内部转账!$C:$C,"&lt;="&amp;$D2670,[1]内部转账!$F:$F,$G2670)),"")</f>
        <v/>
      </c>
      <c r="M2670" s="64"/>
      <c r="N2670" s="69"/>
      <c r="O2670" s="64"/>
      <c r="P2670" s="64"/>
      <c r="Q2670" s="69"/>
      <c r="R2670" s="69"/>
      <c r="S2670" s="69"/>
    </row>
    <row r="2671" s="2" customFormat="1" ht="24.95" customHeight="1" spans="1:19">
      <c r="A2671" s="15"/>
      <c r="B2671" s="55"/>
      <c r="C2671" s="56"/>
      <c r="D2671" s="68"/>
      <c r="E2671" s="69"/>
      <c r="F2671" s="69"/>
      <c r="G2671" s="65"/>
      <c r="H2671" s="65"/>
      <c r="I2671" s="70"/>
      <c r="J2671" s="71"/>
      <c r="K2671" s="71"/>
      <c r="L2671" s="72" t="str">
        <f>IFERROR(IF(G2671="","",VLOOKUP($G2671,[1]基础信息!$B:$C,2,FALSE)+SUMIF(G$8:G2671,G2671,J$8:J2671)-SUMIF(G$8:G2671,G2671,K$8:K2671)+SUMIFS([1]内部转账!$G:$G,[1]内部转账!$C:$C,"&lt;="&amp;$D2671,[1]内部转账!$E:$E,$G2671)-SUMIFS([1]内部转账!$G:$G,[1]内部转账!$C:$C,"&lt;="&amp;$D2671,[1]内部转账!$F:$F,$G2671)),"")</f>
        <v/>
      </c>
      <c r="M2671" s="64"/>
      <c r="N2671" s="69"/>
      <c r="O2671" s="64"/>
      <c r="P2671" s="64"/>
      <c r="Q2671" s="69"/>
      <c r="R2671" s="69"/>
      <c r="S2671" s="69"/>
    </row>
    <row r="2672" s="2" customFormat="1" ht="24.95" customHeight="1" spans="1:19">
      <c r="A2672" s="15"/>
      <c r="B2672" s="55"/>
      <c r="C2672" s="56"/>
      <c r="D2672" s="68"/>
      <c r="E2672" s="69"/>
      <c r="F2672" s="69"/>
      <c r="G2672" s="65"/>
      <c r="H2672" s="65"/>
      <c r="I2672" s="70"/>
      <c r="J2672" s="71"/>
      <c r="K2672" s="71"/>
      <c r="L2672" s="72" t="str">
        <f>IFERROR(IF(G2672="","",VLOOKUP($G2672,[1]基础信息!$B:$C,2,FALSE)+SUMIF(G$8:G2672,G2672,J$8:J2672)-SUMIF(G$8:G2672,G2672,K$8:K2672)+SUMIFS([1]内部转账!$G:$G,[1]内部转账!$C:$C,"&lt;="&amp;$D2672,[1]内部转账!$E:$E,$G2672)-SUMIFS([1]内部转账!$G:$G,[1]内部转账!$C:$C,"&lt;="&amp;$D2672,[1]内部转账!$F:$F,$G2672)),"")</f>
        <v/>
      </c>
      <c r="M2672" s="64"/>
      <c r="N2672" s="69"/>
      <c r="O2672" s="64"/>
      <c r="P2672" s="64"/>
      <c r="Q2672" s="69"/>
      <c r="R2672" s="69"/>
      <c r="S2672" s="69"/>
    </row>
    <row r="2673" s="2" customFormat="1" ht="24.95" customHeight="1" spans="1:19">
      <c r="A2673" s="15"/>
      <c r="B2673" s="55"/>
      <c r="C2673" s="56"/>
      <c r="D2673" s="68"/>
      <c r="E2673" s="69"/>
      <c r="F2673" s="69"/>
      <c r="G2673" s="65"/>
      <c r="H2673" s="65"/>
      <c r="I2673" s="70"/>
      <c r="J2673" s="71"/>
      <c r="K2673" s="71"/>
      <c r="L2673" s="72" t="str">
        <f>IFERROR(IF(G2673="","",VLOOKUP($G2673,[1]基础信息!$B:$C,2,FALSE)+SUMIF(G$8:G2673,G2673,J$8:J2673)-SUMIF(G$8:G2673,G2673,K$8:K2673)+SUMIFS([1]内部转账!$G:$G,[1]内部转账!$C:$C,"&lt;="&amp;$D2673,[1]内部转账!$E:$E,$G2673)-SUMIFS([1]内部转账!$G:$G,[1]内部转账!$C:$C,"&lt;="&amp;$D2673,[1]内部转账!$F:$F,$G2673)),"")</f>
        <v/>
      </c>
      <c r="M2673" s="64"/>
      <c r="N2673" s="69"/>
      <c r="O2673" s="64"/>
      <c r="P2673" s="64"/>
      <c r="Q2673" s="69"/>
      <c r="R2673" s="69"/>
      <c r="S2673" s="69"/>
    </row>
    <row r="2674" s="2" customFormat="1" ht="24.95" customHeight="1" spans="1:19">
      <c r="A2674" s="15"/>
      <c r="B2674" s="55"/>
      <c r="C2674" s="56"/>
      <c r="D2674" s="68"/>
      <c r="E2674" s="69"/>
      <c r="F2674" s="69"/>
      <c r="G2674" s="65"/>
      <c r="H2674" s="65"/>
      <c r="I2674" s="70"/>
      <c r="J2674" s="71"/>
      <c r="K2674" s="71"/>
      <c r="L2674" s="72" t="str">
        <f>IFERROR(IF(G2674="","",VLOOKUP($G2674,[1]基础信息!$B:$C,2,FALSE)+SUMIF(G$8:G2674,G2674,J$8:J2674)-SUMIF(G$8:G2674,G2674,K$8:K2674)+SUMIFS([1]内部转账!$G:$G,[1]内部转账!$C:$C,"&lt;="&amp;$D2674,[1]内部转账!$E:$E,$G2674)-SUMIFS([1]内部转账!$G:$G,[1]内部转账!$C:$C,"&lt;="&amp;$D2674,[1]内部转账!$F:$F,$G2674)),"")</f>
        <v/>
      </c>
      <c r="M2674" s="64"/>
      <c r="N2674" s="69"/>
      <c r="O2674" s="64"/>
      <c r="P2674" s="64"/>
      <c r="Q2674" s="69"/>
      <c r="R2674" s="69"/>
      <c r="S2674" s="69"/>
    </row>
    <row r="2675" s="2" customFormat="1" ht="24.95" customHeight="1" spans="1:19">
      <c r="A2675" s="15"/>
      <c r="B2675" s="55"/>
      <c r="C2675" s="56"/>
      <c r="D2675" s="68"/>
      <c r="E2675" s="69"/>
      <c r="F2675" s="69"/>
      <c r="G2675" s="65"/>
      <c r="H2675" s="65"/>
      <c r="I2675" s="70"/>
      <c r="J2675" s="71"/>
      <c r="K2675" s="71"/>
      <c r="L2675" s="72" t="str">
        <f>IFERROR(IF(G2675="","",VLOOKUP($G2675,[1]基础信息!$B:$C,2,FALSE)+SUMIF(G$8:G2675,G2675,J$8:J2675)-SUMIF(G$8:G2675,G2675,K$8:K2675)+SUMIFS([1]内部转账!$G:$G,[1]内部转账!$C:$C,"&lt;="&amp;$D2675,[1]内部转账!$E:$E,$G2675)-SUMIFS([1]内部转账!$G:$G,[1]内部转账!$C:$C,"&lt;="&amp;$D2675,[1]内部转账!$F:$F,$G2675)),"")</f>
        <v/>
      </c>
      <c r="M2675" s="64"/>
      <c r="N2675" s="69"/>
      <c r="O2675" s="64"/>
      <c r="P2675" s="64"/>
      <c r="Q2675" s="69"/>
      <c r="R2675" s="69"/>
      <c r="S2675" s="69"/>
    </row>
    <row r="2676" s="2" customFormat="1" ht="24.95" customHeight="1" spans="1:19">
      <c r="A2676" s="15"/>
      <c r="B2676" s="55"/>
      <c r="C2676" s="56"/>
      <c r="D2676" s="68"/>
      <c r="E2676" s="69"/>
      <c r="F2676" s="69"/>
      <c r="G2676" s="65"/>
      <c r="H2676" s="65"/>
      <c r="I2676" s="70"/>
      <c r="J2676" s="71"/>
      <c r="K2676" s="71"/>
      <c r="L2676" s="72" t="str">
        <f>IFERROR(IF(G2676="","",VLOOKUP($G2676,[1]基础信息!$B:$C,2,FALSE)+SUMIF(G$8:G2676,G2676,J$8:J2676)-SUMIF(G$8:G2676,G2676,K$8:K2676)+SUMIFS([1]内部转账!$G:$G,[1]内部转账!$C:$C,"&lt;="&amp;$D2676,[1]内部转账!$E:$E,$G2676)-SUMIFS([1]内部转账!$G:$G,[1]内部转账!$C:$C,"&lt;="&amp;$D2676,[1]内部转账!$F:$F,$G2676)),"")</f>
        <v/>
      </c>
      <c r="M2676" s="64"/>
      <c r="N2676" s="69"/>
      <c r="O2676" s="64"/>
      <c r="P2676" s="64"/>
      <c r="Q2676" s="69"/>
      <c r="R2676" s="69"/>
      <c r="S2676" s="69"/>
    </row>
    <row r="2677" s="2" customFormat="1" ht="24.95" customHeight="1" spans="1:19">
      <c r="A2677" s="15"/>
      <c r="B2677" s="55"/>
      <c r="C2677" s="56"/>
      <c r="D2677" s="68"/>
      <c r="E2677" s="69"/>
      <c r="F2677" s="69"/>
      <c r="G2677" s="65"/>
      <c r="H2677" s="65"/>
      <c r="I2677" s="70"/>
      <c r="J2677" s="71"/>
      <c r="K2677" s="71"/>
      <c r="L2677" s="72" t="str">
        <f>IFERROR(IF(G2677="","",VLOOKUP($G2677,[1]基础信息!$B:$C,2,FALSE)+SUMIF(G$8:G2677,G2677,J$8:J2677)-SUMIF(G$8:G2677,G2677,K$8:K2677)+SUMIFS([1]内部转账!$G:$G,[1]内部转账!$C:$C,"&lt;="&amp;$D2677,[1]内部转账!$E:$E,$G2677)-SUMIFS([1]内部转账!$G:$G,[1]内部转账!$C:$C,"&lt;="&amp;$D2677,[1]内部转账!$F:$F,$G2677)),"")</f>
        <v/>
      </c>
      <c r="M2677" s="64"/>
      <c r="N2677" s="69"/>
      <c r="O2677" s="64"/>
      <c r="P2677" s="64"/>
      <c r="Q2677" s="69"/>
      <c r="R2677" s="69"/>
      <c r="S2677" s="69"/>
    </row>
    <row r="2678" s="2" customFormat="1" ht="24.95" customHeight="1" spans="1:19">
      <c r="A2678" s="15"/>
      <c r="B2678" s="55"/>
      <c r="C2678" s="56"/>
      <c r="D2678" s="68"/>
      <c r="E2678" s="69"/>
      <c r="F2678" s="69"/>
      <c r="G2678" s="65"/>
      <c r="H2678" s="65"/>
      <c r="I2678" s="70"/>
      <c r="J2678" s="71"/>
      <c r="K2678" s="71"/>
      <c r="L2678" s="72" t="str">
        <f>IFERROR(IF(G2678="","",VLOOKUP($G2678,[1]基础信息!$B:$C,2,FALSE)+SUMIF(G$8:G2678,G2678,J$8:J2678)-SUMIF(G$8:G2678,G2678,K$8:K2678)+SUMIFS([1]内部转账!$G:$G,[1]内部转账!$C:$C,"&lt;="&amp;$D2678,[1]内部转账!$E:$E,$G2678)-SUMIFS([1]内部转账!$G:$G,[1]内部转账!$C:$C,"&lt;="&amp;$D2678,[1]内部转账!$F:$F,$G2678)),"")</f>
        <v/>
      </c>
      <c r="M2678" s="64"/>
      <c r="N2678" s="69"/>
      <c r="O2678" s="64"/>
      <c r="P2678" s="64"/>
      <c r="Q2678" s="69"/>
      <c r="R2678" s="69"/>
      <c r="S2678" s="69"/>
    </row>
    <row r="2679" s="2" customFormat="1" ht="24.95" customHeight="1" spans="1:19">
      <c r="A2679" s="15"/>
      <c r="B2679" s="55"/>
      <c r="C2679" s="56"/>
      <c r="D2679" s="68"/>
      <c r="E2679" s="69"/>
      <c r="F2679" s="69"/>
      <c r="G2679" s="65"/>
      <c r="H2679" s="65"/>
      <c r="I2679" s="70"/>
      <c r="J2679" s="71"/>
      <c r="K2679" s="71"/>
      <c r="L2679" s="72" t="str">
        <f>IFERROR(IF(G2679="","",VLOOKUP($G2679,[1]基础信息!$B:$C,2,FALSE)+SUMIF(G$8:G2679,G2679,J$8:J2679)-SUMIF(G$8:G2679,G2679,K$8:K2679)+SUMIFS([1]内部转账!$G:$G,[1]内部转账!$C:$C,"&lt;="&amp;$D2679,[1]内部转账!$E:$E,$G2679)-SUMIFS([1]内部转账!$G:$G,[1]内部转账!$C:$C,"&lt;="&amp;$D2679,[1]内部转账!$F:$F,$G2679)),"")</f>
        <v/>
      </c>
      <c r="M2679" s="64"/>
      <c r="N2679" s="69"/>
      <c r="O2679" s="64"/>
      <c r="P2679" s="64"/>
      <c r="Q2679" s="69"/>
      <c r="R2679" s="69"/>
      <c r="S2679" s="69"/>
    </row>
    <row r="2680" s="2" customFormat="1" ht="24.95" customHeight="1" spans="1:19">
      <c r="A2680" s="15"/>
      <c r="B2680" s="55"/>
      <c r="C2680" s="56"/>
      <c r="D2680" s="68"/>
      <c r="E2680" s="69"/>
      <c r="F2680" s="69"/>
      <c r="G2680" s="65"/>
      <c r="H2680" s="65"/>
      <c r="I2680" s="70"/>
      <c r="J2680" s="71"/>
      <c r="K2680" s="71"/>
      <c r="L2680" s="72" t="str">
        <f>IFERROR(IF(G2680="","",VLOOKUP($G2680,[1]基础信息!$B:$C,2,FALSE)+SUMIF(G$8:G2680,G2680,J$8:J2680)-SUMIF(G$8:G2680,G2680,K$8:K2680)+SUMIFS([1]内部转账!$G:$G,[1]内部转账!$C:$C,"&lt;="&amp;$D2680,[1]内部转账!$E:$E,$G2680)-SUMIFS([1]内部转账!$G:$G,[1]内部转账!$C:$C,"&lt;="&amp;$D2680,[1]内部转账!$F:$F,$G2680)),"")</f>
        <v/>
      </c>
      <c r="M2680" s="64"/>
      <c r="N2680" s="69"/>
      <c r="O2680" s="64"/>
      <c r="P2680" s="64"/>
      <c r="Q2680" s="69"/>
      <c r="R2680" s="69"/>
      <c r="S2680" s="69"/>
    </row>
    <row r="2681" s="2" customFormat="1" ht="24.95" customHeight="1" spans="1:19">
      <c r="A2681" s="15"/>
      <c r="B2681" s="55"/>
      <c r="C2681" s="56"/>
      <c r="D2681" s="68"/>
      <c r="E2681" s="69"/>
      <c r="F2681" s="69"/>
      <c r="G2681" s="65"/>
      <c r="H2681" s="65"/>
      <c r="I2681" s="70"/>
      <c r="J2681" s="71"/>
      <c r="K2681" s="71"/>
      <c r="L2681" s="72" t="str">
        <f>IFERROR(IF(G2681="","",VLOOKUP($G2681,[1]基础信息!$B:$C,2,FALSE)+SUMIF(G$8:G2681,G2681,J$8:J2681)-SUMIF(G$8:G2681,G2681,K$8:K2681)+SUMIFS([1]内部转账!$G:$G,[1]内部转账!$C:$C,"&lt;="&amp;$D2681,[1]内部转账!$E:$E,$G2681)-SUMIFS([1]内部转账!$G:$G,[1]内部转账!$C:$C,"&lt;="&amp;$D2681,[1]内部转账!$F:$F,$G2681)),"")</f>
        <v/>
      </c>
      <c r="M2681" s="64"/>
      <c r="N2681" s="69"/>
      <c r="O2681" s="64"/>
      <c r="P2681" s="64"/>
      <c r="Q2681" s="69"/>
      <c r="R2681" s="69"/>
      <c r="S2681" s="69"/>
    </row>
    <row r="2682" s="2" customFormat="1" ht="24.95" customHeight="1" spans="1:19">
      <c r="A2682" s="15"/>
      <c r="B2682" s="55"/>
      <c r="C2682" s="56"/>
      <c r="D2682" s="68"/>
      <c r="E2682" s="69"/>
      <c r="F2682" s="69"/>
      <c r="G2682" s="65"/>
      <c r="H2682" s="65"/>
      <c r="I2682" s="70"/>
      <c r="J2682" s="71"/>
      <c r="K2682" s="71"/>
      <c r="L2682" s="72" t="str">
        <f>IFERROR(IF(G2682="","",VLOOKUP($G2682,[1]基础信息!$B:$C,2,FALSE)+SUMIF(G$8:G2682,G2682,J$8:J2682)-SUMIF(G$8:G2682,G2682,K$8:K2682)+SUMIFS([1]内部转账!$G:$G,[1]内部转账!$C:$C,"&lt;="&amp;$D2682,[1]内部转账!$E:$E,$G2682)-SUMIFS([1]内部转账!$G:$G,[1]内部转账!$C:$C,"&lt;="&amp;$D2682,[1]内部转账!$F:$F,$G2682)),"")</f>
        <v/>
      </c>
      <c r="M2682" s="64"/>
      <c r="N2682" s="69"/>
      <c r="O2682" s="64"/>
      <c r="P2682" s="64"/>
      <c r="Q2682" s="69"/>
      <c r="R2682" s="69"/>
      <c r="S2682" s="69"/>
    </row>
    <row r="2683" s="2" customFormat="1" ht="24.95" customHeight="1" spans="1:19">
      <c r="A2683" s="15"/>
      <c r="B2683" s="55"/>
      <c r="C2683" s="56"/>
      <c r="D2683" s="68"/>
      <c r="E2683" s="69"/>
      <c r="F2683" s="69"/>
      <c r="G2683" s="65"/>
      <c r="H2683" s="65"/>
      <c r="I2683" s="70"/>
      <c r="J2683" s="71"/>
      <c r="K2683" s="71"/>
      <c r="L2683" s="72" t="str">
        <f>IFERROR(IF(G2683="","",VLOOKUP($G2683,[1]基础信息!$B:$C,2,FALSE)+SUMIF(G$8:G2683,G2683,J$8:J2683)-SUMIF(G$8:G2683,G2683,K$8:K2683)+SUMIFS([1]内部转账!$G:$G,[1]内部转账!$C:$C,"&lt;="&amp;$D2683,[1]内部转账!$E:$E,$G2683)-SUMIFS([1]内部转账!$G:$G,[1]内部转账!$C:$C,"&lt;="&amp;$D2683,[1]内部转账!$F:$F,$G2683)),"")</f>
        <v/>
      </c>
      <c r="M2683" s="64"/>
      <c r="N2683" s="69"/>
      <c r="O2683" s="64"/>
      <c r="P2683" s="64"/>
      <c r="Q2683" s="69"/>
      <c r="R2683" s="69"/>
      <c r="S2683" s="69"/>
    </row>
    <row r="2684" s="2" customFormat="1" ht="24.95" customHeight="1" spans="1:19">
      <c r="A2684" s="15"/>
      <c r="B2684" s="55"/>
      <c r="C2684" s="56"/>
      <c r="D2684" s="68"/>
      <c r="E2684" s="69"/>
      <c r="F2684" s="69"/>
      <c r="G2684" s="65"/>
      <c r="H2684" s="65"/>
      <c r="I2684" s="70"/>
      <c r="J2684" s="71"/>
      <c r="K2684" s="71"/>
      <c r="L2684" s="72" t="str">
        <f>IFERROR(IF(G2684="","",VLOOKUP($G2684,[1]基础信息!$B:$C,2,FALSE)+SUMIF(G$8:G2684,G2684,J$8:J2684)-SUMIF(G$8:G2684,G2684,K$8:K2684)+SUMIFS([1]内部转账!$G:$G,[1]内部转账!$C:$C,"&lt;="&amp;$D2684,[1]内部转账!$E:$E,$G2684)-SUMIFS([1]内部转账!$G:$G,[1]内部转账!$C:$C,"&lt;="&amp;$D2684,[1]内部转账!$F:$F,$G2684)),"")</f>
        <v/>
      </c>
      <c r="M2684" s="64"/>
      <c r="N2684" s="69"/>
      <c r="O2684" s="64"/>
      <c r="P2684" s="64"/>
      <c r="Q2684" s="69"/>
      <c r="R2684" s="69"/>
      <c r="S2684" s="69"/>
    </row>
    <row r="2685" s="2" customFormat="1" ht="24.95" customHeight="1" spans="1:19">
      <c r="A2685" s="15"/>
      <c r="B2685" s="55"/>
      <c r="C2685" s="56"/>
      <c r="D2685" s="68"/>
      <c r="E2685" s="69"/>
      <c r="F2685" s="69"/>
      <c r="G2685" s="65"/>
      <c r="H2685" s="65"/>
      <c r="I2685" s="70"/>
      <c r="J2685" s="71"/>
      <c r="K2685" s="71"/>
      <c r="L2685" s="72" t="str">
        <f>IFERROR(IF(G2685="","",VLOOKUP($G2685,[1]基础信息!$B:$C,2,FALSE)+SUMIF(G$8:G2685,G2685,J$8:J2685)-SUMIF(G$8:G2685,G2685,K$8:K2685)+SUMIFS([1]内部转账!$G:$G,[1]内部转账!$C:$C,"&lt;="&amp;$D2685,[1]内部转账!$E:$E,$G2685)-SUMIFS([1]内部转账!$G:$G,[1]内部转账!$C:$C,"&lt;="&amp;$D2685,[1]内部转账!$F:$F,$G2685)),"")</f>
        <v/>
      </c>
      <c r="M2685" s="64"/>
      <c r="N2685" s="69"/>
      <c r="O2685" s="64"/>
      <c r="P2685" s="64"/>
      <c r="Q2685" s="69"/>
      <c r="R2685" s="69"/>
      <c r="S2685" s="69"/>
    </row>
    <row r="2686" s="2" customFormat="1" ht="24.95" customHeight="1" spans="1:19">
      <c r="A2686" s="15"/>
      <c r="B2686" s="55"/>
      <c r="C2686" s="56"/>
      <c r="D2686" s="68"/>
      <c r="E2686" s="69"/>
      <c r="F2686" s="69"/>
      <c r="G2686" s="65"/>
      <c r="H2686" s="65"/>
      <c r="I2686" s="70"/>
      <c r="J2686" s="71"/>
      <c r="K2686" s="71"/>
      <c r="L2686" s="72" t="str">
        <f>IFERROR(IF(G2686="","",VLOOKUP($G2686,[1]基础信息!$B:$C,2,FALSE)+SUMIF(G$8:G2686,G2686,J$8:J2686)-SUMIF(G$8:G2686,G2686,K$8:K2686)+SUMIFS([1]内部转账!$G:$G,[1]内部转账!$C:$C,"&lt;="&amp;$D2686,[1]内部转账!$E:$E,$G2686)-SUMIFS([1]内部转账!$G:$G,[1]内部转账!$C:$C,"&lt;="&amp;$D2686,[1]内部转账!$F:$F,$G2686)),"")</f>
        <v/>
      </c>
      <c r="M2686" s="64"/>
      <c r="N2686" s="69"/>
      <c r="O2686" s="64"/>
      <c r="P2686" s="64"/>
      <c r="Q2686" s="69"/>
      <c r="R2686" s="69"/>
      <c r="S2686" s="69"/>
    </row>
    <row r="2687" s="2" customFormat="1" ht="24.95" customHeight="1" spans="1:19">
      <c r="A2687" s="15"/>
      <c r="B2687" s="55"/>
      <c r="C2687" s="56"/>
      <c r="D2687" s="68"/>
      <c r="E2687" s="69"/>
      <c r="F2687" s="69"/>
      <c r="G2687" s="65"/>
      <c r="H2687" s="65"/>
      <c r="I2687" s="70"/>
      <c r="J2687" s="71"/>
      <c r="K2687" s="71"/>
      <c r="L2687" s="72" t="str">
        <f>IFERROR(IF(G2687="","",VLOOKUP($G2687,[1]基础信息!$B:$C,2,FALSE)+SUMIF(G$8:G2687,G2687,J$8:J2687)-SUMIF(G$8:G2687,G2687,K$8:K2687)+SUMIFS([1]内部转账!$G:$G,[1]内部转账!$C:$C,"&lt;="&amp;$D2687,[1]内部转账!$E:$E,$G2687)-SUMIFS([1]内部转账!$G:$G,[1]内部转账!$C:$C,"&lt;="&amp;$D2687,[1]内部转账!$F:$F,$G2687)),"")</f>
        <v/>
      </c>
      <c r="M2687" s="64"/>
      <c r="N2687" s="69"/>
      <c r="O2687" s="64"/>
      <c r="P2687" s="64"/>
      <c r="Q2687" s="69"/>
      <c r="R2687" s="69"/>
      <c r="S2687" s="69"/>
    </row>
    <row r="2688" s="2" customFormat="1" ht="24.95" customHeight="1" spans="1:19">
      <c r="A2688" s="15"/>
      <c r="B2688" s="55"/>
      <c r="C2688" s="56"/>
      <c r="D2688" s="68"/>
      <c r="E2688" s="69"/>
      <c r="F2688" s="69"/>
      <c r="G2688" s="65"/>
      <c r="H2688" s="65"/>
      <c r="I2688" s="70"/>
      <c r="J2688" s="71"/>
      <c r="K2688" s="71"/>
      <c r="L2688" s="72" t="str">
        <f>IFERROR(IF(G2688="","",VLOOKUP($G2688,[1]基础信息!$B:$C,2,FALSE)+SUMIF(G$8:G2688,G2688,J$8:J2688)-SUMIF(G$8:G2688,G2688,K$8:K2688)+SUMIFS([1]内部转账!$G:$G,[1]内部转账!$C:$C,"&lt;="&amp;$D2688,[1]内部转账!$E:$E,$G2688)-SUMIFS([1]内部转账!$G:$G,[1]内部转账!$C:$C,"&lt;="&amp;$D2688,[1]内部转账!$F:$F,$G2688)),"")</f>
        <v/>
      </c>
      <c r="M2688" s="64"/>
      <c r="N2688" s="69"/>
      <c r="O2688" s="64"/>
      <c r="P2688" s="64"/>
      <c r="Q2688" s="69"/>
      <c r="R2688" s="69"/>
      <c r="S2688" s="69"/>
    </row>
    <row r="2689" s="2" customFormat="1" ht="24.95" customHeight="1" spans="1:19">
      <c r="A2689" s="15"/>
      <c r="B2689" s="55"/>
      <c r="C2689" s="56"/>
      <c r="D2689" s="68"/>
      <c r="E2689" s="69"/>
      <c r="F2689" s="69"/>
      <c r="G2689" s="65"/>
      <c r="H2689" s="65"/>
      <c r="I2689" s="70"/>
      <c r="J2689" s="71"/>
      <c r="K2689" s="71"/>
      <c r="L2689" s="72" t="str">
        <f>IFERROR(IF(G2689="","",VLOOKUP($G2689,[1]基础信息!$B:$C,2,FALSE)+SUMIF(G$8:G2689,G2689,J$8:J2689)-SUMIF(G$8:G2689,G2689,K$8:K2689)+SUMIFS([1]内部转账!$G:$G,[1]内部转账!$C:$C,"&lt;="&amp;$D2689,[1]内部转账!$E:$E,$G2689)-SUMIFS([1]内部转账!$G:$G,[1]内部转账!$C:$C,"&lt;="&amp;$D2689,[1]内部转账!$F:$F,$G2689)),"")</f>
        <v/>
      </c>
      <c r="M2689" s="64"/>
      <c r="N2689" s="69"/>
      <c r="O2689" s="64"/>
      <c r="P2689" s="64"/>
      <c r="Q2689" s="69"/>
      <c r="R2689" s="69"/>
      <c r="S2689" s="69"/>
    </row>
    <row r="2690" s="2" customFormat="1" ht="24.95" customHeight="1" spans="1:19">
      <c r="A2690" s="15"/>
      <c r="B2690" s="55"/>
      <c r="C2690" s="56"/>
      <c r="D2690" s="68"/>
      <c r="E2690" s="69"/>
      <c r="F2690" s="69"/>
      <c r="G2690" s="65"/>
      <c r="H2690" s="65"/>
      <c r="I2690" s="70"/>
      <c r="J2690" s="71"/>
      <c r="K2690" s="71"/>
      <c r="L2690" s="72" t="str">
        <f>IFERROR(IF(G2690="","",VLOOKUP($G2690,[1]基础信息!$B:$C,2,FALSE)+SUMIF(G$8:G2690,G2690,J$8:J2690)-SUMIF(G$8:G2690,G2690,K$8:K2690)+SUMIFS([1]内部转账!$G:$G,[1]内部转账!$C:$C,"&lt;="&amp;$D2690,[1]内部转账!$E:$E,$G2690)-SUMIFS([1]内部转账!$G:$G,[1]内部转账!$C:$C,"&lt;="&amp;$D2690,[1]内部转账!$F:$F,$G2690)),"")</f>
        <v/>
      </c>
      <c r="M2690" s="64"/>
      <c r="N2690" s="69"/>
      <c r="O2690" s="64"/>
      <c r="P2690" s="64"/>
      <c r="Q2690" s="69"/>
      <c r="R2690" s="69"/>
      <c r="S2690" s="69"/>
    </row>
    <row r="2691" s="2" customFormat="1" ht="24.95" customHeight="1" spans="1:19">
      <c r="A2691" s="15"/>
      <c r="B2691" s="55"/>
      <c r="C2691" s="56"/>
      <c r="D2691" s="68"/>
      <c r="E2691" s="69"/>
      <c r="F2691" s="69"/>
      <c r="G2691" s="65"/>
      <c r="H2691" s="65"/>
      <c r="I2691" s="70"/>
      <c r="J2691" s="71"/>
      <c r="K2691" s="71"/>
      <c r="L2691" s="72" t="str">
        <f>IFERROR(IF(G2691="","",VLOOKUP($G2691,[1]基础信息!$B:$C,2,FALSE)+SUMIF(G$8:G2691,G2691,J$8:J2691)-SUMIF(G$8:G2691,G2691,K$8:K2691)+SUMIFS([1]内部转账!$G:$G,[1]内部转账!$C:$C,"&lt;="&amp;$D2691,[1]内部转账!$E:$E,$G2691)-SUMIFS([1]内部转账!$G:$G,[1]内部转账!$C:$C,"&lt;="&amp;$D2691,[1]内部转账!$F:$F,$G2691)),"")</f>
        <v/>
      </c>
      <c r="M2691" s="64"/>
      <c r="N2691" s="69"/>
      <c r="O2691" s="64"/>
      <c r="P2691" s="64"/>
      <c r="Q2691" s="69"/>
      <c r="R2691" s="69"/>
      <c r="S2691" s="69"/>
    </row>
    <row r="2692" s="2" customFormat="1" ht="24.95" customHeight="1" spans="1:19">
      <c r="A2692" s="15"/>
      <c r="B2692" s="55"/>
      <c r="C2692" s="56"/>
      <c r="D2692" s="68"/>
      <c r="E2692" s="69"/>
      <c r="F2692" s="69"/>
      <c r="G2692" s="65"/>
      <c r="H2692" s="65"/>
      <c r="I2692" s="70"/>
      <c r="J2692" s="71"/>
      <c r="K2692" s="71"/>
      <c r="L2692" s="72" t="str">
        <f>IFERROR(IF(G2692="","",VLOOKUP($G2692,[1]基础信息!$B:$C,2,FALSE)+SUMIF(G$8:G2692,G2692,J$8:J2692)-SUMIF(G$8:G2692,G2692,K$8:K2692)+SUMIFS([1]内部转账!$G:$G,[1]内部转账!$C:$C,"&lt;="&amp;$D2692,[1]内部转账!$E:$E,$G2692)-SUMIFS([1]内部转账!$G:$G,[1]内部转账!$C:$C,"&lt;="&amp;$D2692,[1]内部转账!$F:$F,$G2692)),"")</f>
        <v/>
      </c>
      <c r="M2692" s="64"/>
      <c r="N2692" s="69"/>
      <c r="O2692" s="64"/>
      <c r="P2692" s="64"/>
      <c r="Q2692" s="69"/>
      <c r="R2692" s="69"/>
      <c r="S2692" s="69"/>
    </row>
    <row r="2693" s="2" customFormat="1" ht="24.95" customHeight="1" spans="1:19">
      <c r="A2693" s="15"/>
      <c r="B2693" s="55"/>
      <c r="C2693" s="56"/>
      <c r="D2693" s="68"/>
      <c r="E2693" s="69"/>
      <c r="F2693" s="69"/>
      <c r="G2693" s="65"/>
      <c r="H2693" s="65"/>
      <c r="I2693" s="70"/>
      <c r="J2693" s="71"/>
      <c r="K2693" s="71"/>
      <c r="L2693" s="72" t="str">
        <f>IFERROR(IF(G2693="","",VLOOKUP($G2693,[1]基础信息!$B:$C,2,FALSE)+SUMIF(G$8:G2693,G2693,J$8:J2693)-SUMIF(G$8:G2693,G2693,K$8:K2693)+SUMIFS([1]内部转账!$G:$G,[1]内部转账!$C:$C,"&lt;="&amp;$D2693,[1]内部转账!$E:$E,$G2693)-SUMIFS([1]内部转账!$G:$G,[1]内部转账!$C:$C,"&lt;="&amp;$D2693,[1]内部转账!$F:$F,$G2693)),"")</f>
        <v/>
      </c>
      <c r="M2693" s="64"/>
      <c r="N2693" s="69"/>
      <c r="O2693" s="64"/>
      <c r="P2693" s="64"/>
      <c r="Q2693" s="69"/>
      <c r="R2693" s="69"/>
      <c r="S2693" s="69"/>
    </row>
    <row r="2694" s="2" customFormat="1" ht="24.95" customHeight="1" spans="1:19">
      <c r="A2694" s="15"/>
      <c r="B2694" s="55"/>
      <c r="C2694" s="56"/>
      <c r="D2694" s="68"/>
      <c r="E2694" s="69"/>
      <c r="F2694" s="69"/>
      <c r="G2694" s="65"/>
      <c r="H2694" s="65"/>
      <c r="I2694" s="70"/>
      <c r="J2694" s="71"/>
      <c r="K2694" s="71"/>
      <c r="L2694" s="72" t="str">
        <f>IFERROR(IF(G2694="","",VLOOKUP($G2694,[1]基础信息!$B:$C,2,FALSE)+SUMIF(G$8:G2694,G2694,J$8:J2694)-SUMIF(G$8:G2694,G2694,K$8:K2694)+SUMIFS([1]内部转账!$G:$G,[1]内部转账!$C:$C,"&lt;="&amp;$D2694,[1]内部转账!$E:$E,$G2694)-SUMIFS([1]内部转账!$G:$G,[1]内部转账!$C:$C,"&lt;="&amp;$D2694,[1]内部转账!$F:$F,$G2694)),"")</f>
        <v/>
      </c>
      <c r="M2694" s="64"/>
      <c r="N2694" s="69"/>
      <c r="O2694" s="64"/>
      <c r="P2694" s="64"/>
      <c r="Q2694" s="69"/>
      <c r="R2694" s="69"/>
      <c r="S2694" s="69"/>
    </row>
    <row r="2695" s="2" customFormat="1" ht="24.95" customHeight="1" spans="1:19">
      <c r="A2695" s="15"/>
      <c r="B2695" s="55"/>
      <c r="C2695" s="56"/>
      <c r="D2695" s="68"/>
      <c r="E2695" s="69"/>
      <c r="F2695" s="69"/>
      <c r="G2695" s="65"/>
      <c r="H2695" s="65"/>
      <c r="I2695" s="70"/>
      <c r="J2695" s="71"/>
      <c r="K2695" s="71"/>
      <c r="L2695" s="72" t="str">
        <f>IFERROR(IF(G2695="","",VLOOKUP($G2695,[1]基础信息!$B:$C,2,FALSE)+SUMIF(G$8:G2695,G2695,J$8:J2695)-SUMIF(G$8:G2695,G2695,K$8:K2695)+SUMIFS([1]内部转账!$G:$G,[1]内部转账!$C:$C,"&lt;="&amp;$D2695,[1]内部转账!$E:$E,$G2695)-SUMIFS([1]内部转账!$G:$G,[1]内部转账!$C:$C,"&lt;="&amp;$D2695,[1]内部转账!$F:$F,$G2695)),"")</f>
        <v/>
      </c>
      <c r="M2695" s="64"/>
      <c r="N2695" s="69"/>
      <c r="O2695" s="64"/>
      <c r="P2695" s="64"/>
      <c r="Q2695" s="69"/>
      <c r="R2695" s="69"/>
      <c r="S2695" s="69"/>
    </row>
    <row r="2696" s="2" customFormat="1" ht="24.95" customHeight="1" spans="1:19">
      <c r="A2696" s="15"/>
      <c r="B2696" s="55"/>
      <c r="C2696" s="56"/>
      <c r="D2696" s="68"/>
      <c r="E2696" s="69"/>
      <c r="F2696" s="69"/>
      <c r="G2696" s="65"/>
      <c r="H2696" s="65"/>
      <c r="I2696" s="70"/>
      <c r="J2696" s="71"/>
      <c r="K2696" s="71"/>
      <c r="L2696" s="72" t="str">
        <f>IFERROR(IF(G2696="","",VLOOKUP($G2696,[1]基础信息!$B:$C,2,FALSE)+SUMIF(G$8:G2696,G2696,J$8:J2696)-SUMIF(G$8:G2696,G2696,K$8:K2696)+SUMIFS([1]内部转账!$G:$G,[1]内部转账!$C:$C,"&lt;="&amp;$D2696,[1]内部转账!$E:$E,$G2696)-SUMIFS([1]内部转账!$G:$G,[1]内部转账!$C:$C,"&lt;="&amp;$D2696,[1]内部转账!$F:$F,$G2696)),"")</f>
        <v/>
      </c>
      <c r="M2696" s="64"/>
      <c r="N2696" s="69"/>
      <c r="O2696" s="64"/>
      <c r="P2696" s="64"/>
      <c r="Q2696" s="69"/>
      <c r="R2696" s="69"/>
      <c r="S2696" s="69"/>
    </row>
    <row r="2697" s="2" customFormat="1" ht="24.95" customHeight="1" spans="1:19">
      <c r="A2697" s="15"/>
      <c r="B2697" s="55"/>
      <c r="C2697" s="56"/>
      <c r="D2697" s="68"/>
      <c r="E2697" s="69"/>
      <c r="F2697" s="69"/>
      <c r="G2697" s="65"/>
      <c r="H2697" s="65"/>
      <c r="I2697" s="70"/>
      <c r="J2697" s="71"/>
      <c r="K2697" s="71"/>
      <c r="L2697" s="72" t="str">
        <f>IFERROR(IF(G2697="","",VLOOKUP($G2697,[1]基础信息!$B:$C,2,FALSE)+SUMIF(G$8:G2697,G2697,J$8:J2697)-SUMIF(G$8:G2697,G2697,K$8:K2697)+SUMIFS([1]内部转账!$G:$G,[1]内部转账!$C:$C,"&lt;="&amp;$D2697,[1]内部转账!$E:$E,$G2697)-SUMIFS([1]内部转账!$G:$G,[1]内部转账!$C:$C,"&lt;="&amp;$D2697,[1]内部转账!$F:$F,$G2697)),"")</f>
        <v/>
      </c>
      <c r="M2697" s="64"/>
      <c r="N2697" s="69"/>
      <c r="O2697" s="64"/>
      <c r="P2697" s="64"/>
      <c r="Q2697" s="69"/>
      <c r="R2697" s="69"/>
      <c r="S2697" s="69"/>
    </row>
    <row r="2698" s="2" customFormat="1" ht="24.95" customHeight="1" spans="1:19">
      <c r="A2698" s="15"/>
      <c r="B2698" s="55"/>
      <c r="C2698" s="56"/>
      <c r="D2698" s="68"/>
      <c r="E2698" s="69"/>
      <c r="F2698" s="69"/>
      <c r="G2698" s="65"/>
      <c r="H2698" s="65"/>
      <c r="I2698" s="70"/>
      <c r="J2698" s="71"/>
      <c r="K2698" s="71"/>
      <c r="L2698" s="72" t="str">
        <f>IFERROR(IF(G2698="","",VLOOKUP($G2698,[1]基础信息!$B:$C,2,FALSE)+SUMIF(G$8:G2698,G2698,J$8:J2698)-SUMIF(G$8:G2698,G2698,K$8:K2698)+SUMIFS([1]内部转账!$G:$G,[1]内部转账!$C:$C,"&lt;="&amp;$D2698,[1]内部转账!$E:$E,$G2698)-SUMIFS([1]内部转账!$G:$G,[1]内部转账!$C:$C,"&lt;="&amp;$D2698,[1]内部转账!$F:$F,$G2698)),"")</f>
        <v/>
      </c>
      <c r="M2698" s="64"/>
      <c r="N2698" s="69"/>
      <c r="O2698" s="64"/>
      <c r="P2698" s="64"/>
      <c r="Q2698" s="69"/>
      <c r="R2698" s="69"/>
      <c r="S2698" s="69"/>
    </row>
    <row r="2699" s="2" customFormat="1" ht="24.95" customHeight="1" spans="1:19">
      <c r="A2699" s="15"/>
      <c r="B2699" s="55"/>
      <c r="C2699" s="56"/>
      <c r="D2699" s="68"/>
      <c r="E2699" s="69"/>
      <c r="F2699" s="69"/>
      <c r="G2699" s="65"/>
      <c r="H2699" s="65"/>
      <c r="I2699" s="70"/>
      <c r="J2699" s="71"/>
      <c r="K2699" s="71"/>
      <c r="L2699" s="72" t="str">
        <f>IFERROR(IF(G2699="","",VLOOKUP($G2699,[1]基础信息!$B:$C,2,FALSE)+SUMIF(G$8:G2699,G2699,J$8:J2699)-SUMIF(G$8:G2699,G2699,K$8:K2699)+SUMIFS([1]内部转账!$G:$G,[1]内部转账!$C:$C,"&lt;="&amp;$D2699,[1]内部转账!$E:$E,$G2699)-SUMIFS([1]内部转账!$G:$G,[1]内部转账!$C:$C,"&lt;="&amp;$D2699,[1]内部转账!$F:$F,$G2699)),"")</f>
        <v/>
      </c>
      <c r="M2699" s="64"/>
      <c r="N2699" s="69"/>
      <c r="O2699" s="64"/>
      <c r="P2699" s="64"/>
      <c r="Q2699" s="69"/>
      <c r="R2699" s="69"/>
      <c r="S2699" s="69"/>
    </row>
    <row r="2700" s="2" customFormat="1" ht="24.95" customHeight="1" spans="1:19">
      <c r="A2700" s="15"/>
      <c r="B2700" s="55"/>
      <c r="C2700" s="56"/>
      <c r="D2700" s="68"/>
      <c r="E2700" s="69"/>
      <c r="F2700" s="69"/>
      <c r="G2700" s="65"/>
      <c r="H2700" s="65"/>
      <c r="I2700" s="70"/>
      <c r="J2700" s="71"/>
      <c r="K2700" s="71"/>
      <c r="L2700" s="72" t="str">
        <f>IFERROR(IF(G2700="","",VLOOKUP($G2700,[1]基础信息!$B:$C,2,FALSE)+SUMIF(G$8:G2700,G2700,J$8:J2700)-SUMIF(G$8:G2700,G2700,K$8:K2700)+SUMIFS([1]内部转账!$G:$G,[1]内部转账!$C:$C,"&lt;="&amp;$D2700,[1]内部转账!$E:$E,$G2700)-SUMIFS([1]内部转账!$G:$G,[1]内部转账!$C:$C,"&lt;="&amp;$D2700,[1]内部转账!$F:$F,$G2700)),"")</f>
        <v/>
      </c>
      <c r="M2700" s="64"/>
      <c r="N2700" s="69"/>
      <c r="O2700" s="64"/>
      <c r="P2700" s="64"/>
      <c r="Q2700" s="69"/>
      <c r="R2700" s="69"/>
      <c r="S2700" s="69"/>
    </row>
    <row r="2701" s="2" customFormat="1" ht="24.95" customHeight="1" spans="1:19">
      <c r="A2701" s="15"/>
      <c r="B2701" s="55"/>
      <c r="C2701" s="56"/>
      <c r="D2701" s="68"/>
      <c r="E2701" s="69"/>
      <c r="F2701" s="69"/>
      <c r="G2701" s="65"/>
      <c r="H2701" s="65"/>
      <c r="I2701" s="70"/>
      <c r="J2701" s="71"/>
      <c r="K2701" s="71"/>
      <c r="L2701" s="72" t="str">
        <f>IFERROR(IF(G2701="","",VLOOKUP($G2701,[1]基础信息!$B:$C,2,FALSE)+SUMIF(G$8:G2701,G2701,J$8:J2701)-SUMIF(G$8:G2701,G2701,K$8:K2701)+SUMIFS([1]内部转账!$G:$G,[1]内部转账!$C:$C,"&lt;="&amp;$D2701,[1]内部转账!$E:$E,$G2701)-SUMIFS([1]内部转账!$G:$G,[1]内部转账!$C:$C,"&lt;="&amp;$D2701,[1]内部转账!$F:$F,$G2701)),"")</f>
        <v/>
      </c>
      <c r="M2701" s="64"/>
      <c r="N2701" s="69"/>
      <c r="O2701" s="64"/>
      <c r="P2701" s="64"/>
      <c r="Q2701" s="69"/>
      <c r="R2701" s="69"/>
      <c r="S2701" s="69"/>
    </row>
    <row r="2702" s="2" customFormat="1" ht="24.95" customHeight="1" spans="1:19">
      <c r="A2702" s="15"/>
      <c r="B2702" s="55"/>
      <c r="C2702" s="56"/>
      <c r="D2702" s="68"/>
      <c r="E2702" s="69"/>
      <c r="F2702" s="69"/>
      <c r="G2702" s="65"/>
      <c r="H2702" s="65"/>
      <c r="I2702" s="70"/>
      <c r="J2702" s="71"/>
      <c r="K2702" s="71"/>
      <c r="L2702" s="72" t="str">
        <f>IFERROR(IF(G2702="","",VLOOKUP($G2702,[1]基础信息!$B:$C,2,FALSE)+SUMIF(G$8:G2702,G2702,J$8:J2702)-SUMIF(G$8:G2702,G2702,K$8:K2702)+SUMIFS([1]内部转账!$G:$G,[1]内部转账!$C:$C,"&lt;="&amp;$D2702,[1]内部转账!$E:$E,$G2702)-SUMIFS([1]内部转账!$G:$G,[1]内部转账!$C:$C,"&lt;="&amp;$D2702,[1]内部转账!$F:$F,$G2702)),"")</f>
        <v/>
      </c>
      <c r="M2702" s="64"/>
      <c r="N2702" s="69"/>
      <c r="O2702" s="64"/>
      <c r="P2702" s="64"/>
      <c r="Q2702" s="69"/>
      <c r="R2702" s="69"/>
      <c r="S2702" s="69"/>
    </row>
    <row r="2703" s="2" customFormat="1" ht="24.95" customHeight="1" spans="1:19">
      <c r="A2703" s="15"/>
      <c r="B2703" s="55"/>
      <c r="C2703" s="56"/>
      <c r="D2703" s="68"/>
      <c r="E2703" s="69"/>
      <c r="F2703" s="69"/>
      <c r="G2703" s="65"/>
      <c r="H2703" s="65"/>
      <c r="I2703" s="70"/>
      <c r="J2703" s="71"/>
      <c r="K2703" s="71"/>
      <c r="L2703" s="72" t="str">
        <f>IFERROR(IF(G2703="","",VLOOKUP($G2703,[1]基础信息!$B:$C,2,FALSE)+SUMIF(G$8:G2703,G2703,J$8:J2703)-SUMIF(G$8:G2703,G2703,K$8:K2703)+SUMIFS([1]内部转账!$G:$G,[1]内部转账!$C:$C,"&lt;="&amp;$D2703,[1]内部转账!$E:$E,$G2703)-SUMIFS([1]内部转账!$G:$G,[1]内部转账!$C:$C,"&lt;="&amp;$D2703,[1]内部转账!$F:$F,$G2703)),"")</f>
        <v/>
      </c>
      <c r="M2703" s="64"/>
      <c r="N2703" s="69"/>
      <c r="O2703" s="64"/>
      <c r="P2703" s="64"/>
      <c r="Q2703" s="69"/>
      <c r="R2703" s="69"/>
      <c r="S2703" s="69"/>
    </row>
    <row r="2704" s="2" customFormat="1" ht="24.95" customHeight="1" spans="1:19">
      <c r="A2704" s="15"/>
      <c r="B2704" s="55"/>
      <c r="C2704" s="56"/>
      <c r="D2704" s="68"/>
      <c r="E2704" s="69"/>
      <c r="F2704" s="69"/>
      <c r="G2704" s="65"/>
      <c r="H2704" s="65"/>
      <c r="I2704" s="70"/>
      <c r="J2704" s="71"/>
      <c r="K2704" s="71"/>
      <c r="L2704" s="72" t="str">
        <f>IFERROR(IF(G2704="","",VLOOKUP($G2704,[1]基础信息!$B:$C,2,FALSE)+SUMIF(G$8:G2704,G2704,J$8:J2704)-SUMIF(G$8:G2704,G2704,K$8:K2704)+SUMIFS([1]内部转账!$G:$G,[1]内部转账!$C:$C,"&lt;="&amp;$D2704,[1]内部转账!$E:$E,$G2704)-SUMIFS([1]内部转账!$G:$G,[1]内部转账!$C:$C,"&lt;="&amp;$D2704,[1]内部转账!$F:$F,$G2704)),"")</f>
        <v/>
      </c>
      <c r="M2704" s="64"/>
      <c r="N2704" s="69"/>
      <c r="O2704" s="64"/>
      <c r="P2704" s="64"/>
      <c r="Q2704" s="69"/>
      <c r="R2704" s="69"/>
      <c r="S2704" s="69"/>
    </row>
    <row r="2705" s="2" customFormat="1" ht="24.95" customHeight="1" spans="1:19">
      <c r="A2705" s="15"/>
      <c r="B2705" s="55"/>
      <c r="C2705" s="56"/>
      <c r="D2705" s="68"/>
      <c r="E2705" s="69"/>
      <c r="F2705" s="69"/>
      <c r="G2705" s="65"/>
      <c r="H2705" s="65"/>
      <c r="I2705" s="70"/>
      <c r="J2705" s="71"/>
      <c r="K2705" s="71"/>
      <c r="L2705" s="72" t="str">
        <f>IFERROR(IF(G2705="","",VLOOKUP($G2705,[1]基础信息!$B:$C,2,FALSE)+SUMIF(G$8:G2705,G2705,J$8:J2705)-SUMIF(G$8:G2705,G2705,K$8:K2705)+SUMIFS([1]内部转账!$G:$G,[1]内部转账!$C:$C,"&lt;="&amp;$D2705,[1]内部转账!$E:$E,$G2705)-SUMIFS([1]内部转账!$G:$G,[1]内部转账!$C:$C,"&lt;="&amp;$D2705,[1]内部转账!$F:$F,$G2705)),"")</f>
        <v/>
      </c>
      <c r="M2705" s="64"/>
      <c r="N2705" s="69"/>
      <c r="O2705" s="64"/>
      <c r="P2705" s="64"/>
      <c r="Q2705" s="69"/>
      <c r="R2705" s="69"/>
      <c r="S2705" s="69"/>
    </row>
    <row r="2706" s="2" customFormat="1" ht="24.95" customHeight="1" spans="1:19">
      <c r="A2706" s="15"/>
      <c r="B2706" s="55"/>
      <c r="C2706" s="56"/>
      <c r="D2706" s="68"/>
      <c r="E2706" s="69"/>
      <c r="F2706" s="69"/>
      <c r="G2706" s="65"/>
      <c r="H2706" s="65"/>
      <c r="I2706" s="70"/>
      <c r="J2706" s="71"/>
      <c r="K2706" s="71"/>
      <c r="L2706" s="72" t="str">
        <f>IFERROR(IF(G2706="","",VLOOKUP($G2706,[1]基础信息!$B:$C,2,FALSE)+SUMIF(G$8:G2706,G2706,J$8:J2706)-SUMIF(G$8:G2706,G2706,K$8:K2706)+SUMIFS([1]内部转账!$G:$G,[1]内部转账!$C:$C,"&lt;="&amp;$D2706,[1]内部转账!$E:$E,$G2706)-SUMIFS([1]内部转账!$G:$G,[1]内部转账!$C:$C,"&lt;="&amp;$D2706,[1]内部转账!$F:$F,$G2706)),"")</f>
        <v/>
      </c>
      <c r="M2706" s="64"/>
      <c r="N2706" s="69"/>
      <c r="O2706" s="64"/>
      <c r="P2706" s="64"/>
      <c r="Q2706" s="69"/>
      <c r="R2706" s="69"/>
      <c r="S2706" s="69"/>
    </row>
    <row r="2707" s="2" customFormat="1" ht="24.95" customHeight="1" spans="1:19">
      <c r="A2707" s="15"/>
      <c r="B2707" s="55"/>
      <c r="C2707" s="56"/>
      <c r="D2707" s="68"/>
      <c r="E2707" s="69"/>
      <c r="F2707" s="69"/>
      <c r="G2707" s="65"/>
      <c r="H2707" s="65"/>
      <c r="I2707" s="70"/>
      <c r="J2707" s="71"/>
      <c r="K2707" s="71"/>
      <c r="L2707" s="72" t="str">
        <f>IFERROR(IF(G2707="","",VLOOKUP($G2707,[1]基础信息!$B:$C,2,FALSE)+SUMIF(G$8:G2707,G2707,J$8:J2707)-SUMIF(G$8:G2707,G2707,K$8:K2707)+SUMIFS([1]内部转账!$G:$G,[1]内部转账!$C:$C,"&lt;="&amp;$D2707,[1]内部转账!$E:$E,$G2707)-SUMIFS([1]内部转账!$G:$G,[1]内部转账!$C:$C,"&lt;="&amp;$D2707,[1]内部转账!$F:$F,$G2707)),"")</f>
        <v/>
      </c>
      <c r="M2707" s="64"/>
      <c r="N2707" s="69"/>
      <c r="O2707" s="64"/>
      <c r="P2707" s="64"/>
      <c r="Q2707" s="69"/>
      <c r="R2707" s="69"/>
      <c r="S2707" s="69"/>
    </row>
    <row r="2708" s="2" customFormat="1" ht="24.95" customHeight="1" spans="1:19">
      <c r="A2708" s="15"/>
      <c r="B2708" s="55"/>
      <c r="C2708" s="56"/>
      <c r="D2708" s="68"/>
      <c r="E2708" s="69"/>
      <c r="F2708" s="69"/>
      <c r="G2708" s="65"/>
      <c r="H2708" s="65"/>
      <c r="I2708" s="70"/>
      <c r="J2708" s="71"/>
      <c r="K2708" s="71"/>
      <c r="L2708" s="72" t="str">
        <f>IFERROR(IF(G2708="","",VLOOKUP($G2708,[1]基础信息!$B:$C,2,FALSE)+SUMIF(G$8:G2708,G2708,J$8:J2708)-SUMIF(G$8:G2708,G2708,K$8:K2708)+SUMIFS([1]内部转账!$G:$G,[1]内部转账!$C:$C,"&lt;="&amp;$D2708,[1]内部转账!$E:$E,$G2708)-SUMIFS([1]内部转账!$G:$G,[1]内部转账!$C:$C,"&lt;="&amp;$D2708,[1]内部转账!$F:$F,$G2708)),"")</f>
        <v/>
      </c>
      <c r="M2708" s="64"/>
      <c r="N2708" s="69"/>
      <c r="O2708" s="64"/>
      <c r="P2708" s="64"/>
      <c r="Q2708" s="69"/>
      <c r="R2708" s="69"/>
      <c r="S2708" s="69"/>
    </row>
    <row r="2709" s="2" customFormat="1" ht="24.95" customHeight="1" spans="1:19">
      <c r="A2709" s="15"/>
      <c r="B2709" s="55"/>
      <c r="C2709" s="56"/>
      <c r="D2709" s="68"/>
      <c r="E2709" s="69"/>
      <c r="F2709" s="69"/>
      <c r="G2709" s="65"/>
      <c r="H2709" s="65"/>
      <c r="I2709" s="70"/>
      <c r="J2709" s="71"/>
      <c r="K2709" s="71"/>
      <c r="L2709" s="72" t="str">
        <f>IFERROR(IF(G2709="","",VLOOKUP($G2709,[1]基础信息!$B:$C,2,FALSE)+SUMIF(G$8:G2709,G2709,J$8:J2709)-SUMIF(G$8:G2709,G2709,K$8:K2709)+SUMIFS([1]内部转账!$G:$G,[1]内部转账!$C:$C,"&lt;="&amp;$D2709,[1]内部转账!$E:$E,$G2709)-SUMIFS([1]内部转账!$G:$G,[1]内部转账!$C:$C,"&lt;="&amp;$D2709,[1]内部转账!$F:$F,$G2709)),"")</f>
        <v/>
      </c>
      <c r="M2709" s="64"/>
      <c r="N2709" s="69"/>
      <c r="O2709" s="64"/>
      <c r="P2709" s="64"/>
      <c r="Q2709" s="69"/>
      <c r="R2709" s="69"/>
      <c r="S2709" s="69"/>
    </row>
    <row r="2710" s="2" customFormat="1" ht="24.95" customHeight="1" spans="1:19">
      <c r="A2710" s="15"/>
      <c r="B2710" s="55"/>
      <c r="C2710" s="56"/>
      <c r="D2710" s="68"/>
      <c r="E2710" s="69"/>
      <c r="F2710" s="69"/>
      <c r="G2710" s="65"/>
      <c r="H2710" s="65"/>
      <c r="I2710" s="70"/>
      <c r="J2710" s="71"/>
      <c r="K2710" s="71"/>
      <c r="L2710" s="72" t="str">
        <f>IFERROR(IF(G2710="","",VLOOKUP($G2710,[1]基础信息!$B:$C,2,FALSE)+SUMIF(G$8:G2710,G2710,J$8:J2710)-SUMIF(G$8:G2710,G2710,K$8:K2710)+SUMIFS([1]内部转账!$G:$G,[1]内部转账!$C:$C,"&lt;="&amp;$D2710,[1]内部转账!$E:$E,$G2710)-SUMIFS([1]内部转账!$G:$G,[1]内部转账!$C:$C,"&lt;="&amp;$D2710,[1]内部转账!$F:$F,$G2710)),"")</f>
        <v/>
      </c>
      <c r="M2710" s="64"/>
      <c r="N2710" s="69"/>
      <c r="O2710" s="64"/>
      <c r="P2710" s="64"/>
      <c r="Q2710" s="69"/>
      <c r="R2710" s="69"/>
      <c r="S2710" s="69"/>
    </row>
    <row r="2711" s="2" customFormat="1" ht="24.95" customHeight="1" spans="1:19">
      <c r="A2711" s="15"/>
      <c r="B2711" s="55"/>
      <c r="C2711" s="56"/>
      <c r="D2711" s="68"/>
      <c r="E2711" s="69"/>
      <c r="F2711" s="69"/>
      <c r="G2711" s="65"/>
      <c r="H2711" s="65"/>
      <c r="I2711" s="70"/>
      <c r="J2711" s="71"/>
      <c r="K2711" s="71"/>
      <c r="L2711" s="72" t="str">
        <f>IFERROR(IF(G2711="","",VLOOKUP($G2711,[1]基础信息!$B:$C,2,FALSE)+SUMIF(G$8:G2711,G2711,J$8:J2711)-SUMIF(G$8:G2711,G2711,K$8:K2711)+SUMIFS([1]内部转账!$G:$G,[1]内部转账!$C:$C,"&lt;="&amp;$D2711,[1]内部转账!$E:$E,$G2711)-SUMIFS([1]内部转账!$G:$G,[1]内部转账!$C:$C,"&lt;="&amp;$D2711,[1]内部转账!$F:$F,$G2711)),"")</f>
        <v/>
      </c>
      <c r="M2711" s="64"/>
      <c r="N2711" s="69"/>
      <c r="O2711" s="64"/>
      <c r="P2711" s="64"/>
      <c r="Q2711" s="69"/>
      <c r="R2711" s="69"/>
      <c r="S2711" s="69"/>
    </row>
    <row r="2712" s="2" customFormat="1" ht="24.95" customHeight="1" spans="1:19">
      <c r="A2712" s="15"/>
      <c r="B2712" s="55"/>
      <c r="C2712" s="56"/>
      <c r="D2712" s="68"/>
      <c r="E2712" s="69"/>
      <c r="F2712" s="69"/>
      <c r="G2712" s="65"/>
      <c r="H2712" s="65"/>
      <c r="I2712" s="70"/>
      <c r="J2712" s="71"/>
      <c r="K2712" s="71"/>
      <c r="L2712" s="72" t="str">
        <f>IFERROR(IF(G2712="","",VLOOKUP($G2712,[1]基础信息!$B:$C,2,FALSE)+SUMIF(G$8:G2712,G2712,J$8:J2712)-SUMIF(G$8:G2712,G2712,K$8:K2712)+SUMIFS([1]内部转账!$G:$G,[1]内部转账!$C:$C,"&lt;="&amp;$D2712,[1]内部转账!$E:$E,$G2712)-SUMIFS([1]内部转账!$G:$G,[1]内部转账!$C:$C,"&lt;="&amp;$D2712,[1]内部转账!$F:$F,$G2712)),"")</f>
        <v/>
      </c>
      <c r="M2712" s="64"/>
      <c r="N2712" s="69"/>
      <c r="O2712" s="64"/>
      <c r="P2712" s="64"/>
      <c r="Q2712" s="69"/>
      <c r="R2712" s="69"/>
      <c r="S2712" s="69"/>
    </row>
    <row r="2713" s="2" customFormat="1" ht="24.95" customHeight="1" spans="1:19">
      <c r="A2713" s="15"/>
      <c r="B2713" s="55"/>
      <c r="C2713" s="56"/>
      <c r="D2713" s="68"/>
      <c r="E2713" s="69"/>
      <c r="F2713" s="69"/>
      <c r="G2713" s="65"/>
      <c r="H2713" s="65"/>
      <c r="I2713" s="70"/>
      <c r="J2713" s="71"/>
      <c r="K2713" s="71"/>
      <c r="L2713" s="72" t="str">
        <f>IFERROR(IF(G2713="","",VLOOKUP($G2713,[1]基础信息!$B:$C,2,FALSE)+SUMIF(G$8:G2713,G2713,J$8:J2713)-SUMIF(G$8:G2713,G2713,K$8:K2713)+SUMIFS([1]内部转账!$G:$G,[1]内部转账!$C:$C,"&lt;="&amp;$D2713,[1]内部转账!$E:$E,$G2713)-SUMIFS([1]内部转账!$G:$G,[1]内部转账!$C:$C,"&lt;="&amp;$D2713,[1]内部转账!$F:$F,$G2713)),"")</f>
        <v/>
      </c>
      <c r="M2713" s="64"/>
      <c r="N2713" s="69"/>
      <c r="O2713" s="64"/>
      <c r="P2713" s="64"/>
      <c r="Q2713" s="69"/>
      <c r="R2713" s="69"/>
      <c r="S2713" s="69"/>
    </row>
    <row r="2714" s="2" customFormat="1" ht="24.95" customHeight="1" spans="1:19">
      <c r="A2714" s="15"/>
      <c r="B2714" s="55"/>
      <c r="C2714" s="56"/>
      <c r="D2714" s="68"/>
      <c r="E2714" s="69"/>
      <c r="F2714" s="69"/>
      <c r="G2714" s="65"/>
      <c r="H2714" s="65"/>
      <c r="I2714" s="70"/>
      <c r="J2714" s="71"/>
      <c r="K2714" s="71"/>
      <c r="L2714" s="72" t="str">
        <f>IFERROR(IF(G2714="","",VLOOKUP($G2714,[1]基础信息!$B:$C,2,FALSE)+SUMIF(G$8:G2714,G2714,J$8:J2714)-SUMIF(G$8:G2714,G2714,K$8:K2714)+SUMIFS([1]内部转账!$G:$G,[1]内部转账!$C:$C,"&lt;="&amp;$D2714,[1]内部转账!$E:$E,$G2714)-SUMIFS([1]内部转账!$G:$G,[1]内部转账!$C:$C,"&lt;="&amp;$D2714,[1]内部转账!$F:$F,$G2714)),"")</f>
        <v/>
      </c>
      <c r="M2714" s="64"/>
      <c r="N2714" s="69"/>
      <c r="O2714" s="64"/>
      <c r="P2714" s="64"/>
      <c r="Q2714" s="69"/>
      <c r="R2714" s="69"/>
      <c r="S2714" s="69"/>
    </row>
    <row r="2715" s="2" customFormat="1" ht="24.95" customHeight="1" spans="1:19">
      <c r="A2715" s="15"/>
      <c r="B2715" s="55"/>
      <c r="C2715" s="56"/>
      <c r="D2715" s="68"/>
      <c r="E2715" s="69"/>
      <c r="F2715" s="69"/>
      <c r="G2715" s="65"/>
      <c r="H2715" s="65"/>
      <c r="I2715" s="70"/>
      <c r="J2715" s="71"/>
      <c r="K2715" s="71"/>
      <c r="L2715" s="72" t="str">
        <f>IFERROR(IF(G2715="","",VLOOKUP($G2715,[1]基础信息!$B:$C,2,FALSE)+SUMIF(G$8:G2715,G2715,J$8:J2715)-SUMIF(G$8:G2715,G2715,K$8:K2715)+SUMIFS([1]内部转账!$G:$G,[1]内部转账!$C:$C,"&lt;="&amp;$D2715,[1]内部转账!$E:$E,$G2715)-SUMIFS([1]内部转账!$G:$G,[1]内部转账!$C:$C,"&lt;="&amp;$D2715,[1]内部转账!$F:$F,$G2715)),"")</f>
        <v/>
      </c>
      <c r="M2715" s="64"/>
      <c r="N2715" s="69"/>
      <c r="O2715" s="64"/>
      <c r="P2715" s="64"/>
      <c r="Q2715" s="69"/>
      <c r="R2715" s="69"/>
      <c r="S2715" s="69"/>
    </row>
    <row r="2716" s="2" customFormat="1" ht="24.95" customHeight="1" spans="1:19">
      <c r="A2716" s="15"/>
      <c r="B2716" s="55"/>
      <c r="C2716" s="56"/>
      <c r="D2716" s="68"/>
      <c r="E2716" s="69"/>
      <c r="F2716" s="69"/>
      <c r="G2716" s="65"/>
      <c r="H2716" s="65"/>
      <c r="I2716" s="70"/>
      <c r="J2716" s="71"/>
      <c r="K2716" s="71"/>
      <c r="L2716" s="72" t="str">
        <f>IFERROR(IF(G2716="","",VLOOKUP($G2716,[1]基础信息!$B:$C,2,FALSE)+SUMIF(G$8:G2716,G2716,J$8:J2716)-SUMIF(G$8:G2716,G2716,K$8:K2716)+SUMIFS([1]内部转账!$G:$G,[1]内部转账!$C:$C,"&lt;="&amp;$D2716,[1]内部转账!$E:$E,$G2716)-SUMIFS([1]内部转账!$G:$G,[1]内部转账!$C:$C,"&lt;="&amp;$D2716,[1]内部转账!$F:$F,$G2716)),"")</f>
        <v/>
      </c>
      <c r="M2716" s="64"/>
      <c r="N2716" s="69"/>
      <c r="O2716" s="64"/>
      <c r="P2716" s="64"/>
      <c r="Q2716" s="69"/>
      <c r="R2716" s="69"/>
      <c r="S2716" s="69"/>
    </row>
    <row r="2717" s="2" customFormat="1" ht="24.95" customHeight="1" spans="1:19">
      <c r="A2717" s="15"/>
      <c r="B2717" s="55"/>
      <c r="C2717" s="56"/>
      <c r="D2717" s="68"/>
      <c r="E2717" s="69"/>
      <c r="F2717" s="69"/>
      <c r="G2717" s="65"/>
      <c r="H2717" s="65"/>
      <c r="I2717" s="70"/>
      <c r="J2717" s="71"/>
      <c r="K2717" s="71"/>
      <c r="L2717" s="72" t="str">
        <f>IFERROR(IF(G2717="","",VLOOKUP($G2717,[1]基础信息!$B:$C,2,FALSE)+SUMIF(G$8:G2717,G2717,J$8:J2717)-SUMIF(G$8:G2717,G2717,K$8:K2717)+SUMIFS([1]内部转账!$G:$G,[1]内部转账!$C:$C,"&lt;="&amp;$D2717,[1]内部转账!$E:$E,$G2717)-SUMIFS([1]内部转账!$G:$G,[1]内部转账!$C:$C,"&lt;="&amp;$D2717,[1]内部转账!$F:$F,$G2717)),"")</f>
        <v/>
      </c>
      <c r="M2717" s="64"/>
      <c r="N2717" s="69"/>
      <c r="O2717" s="64"/>
      <c r="P2717" s="64"/>
      <c r="Q2717" s="69"/>
      <c r="R2717" s="69"/>
      <c r="S2717" s="69"/>
    </row>
    <row r="2718" s="2" customFormat="1" ht="24.95" customHeight="1" spans="1:19">
      <c r="A2718" s="15"/>
      <c r="B2718" s="55"/>
      <c r="C2718" s="56"/>
      <c r="D2718" s="68"/>
      <c r="E2718" s="69"/>
      <c r="F2718" s="69"/>
      <c r="G2718" s="65"/>
      <c r="H2718" s="65"/>
      <c r="I2718" s="70"/>
      <c r="J2718" s="71"/>
      <c r="K2718" s="71"/>
      <c r="L2718" s="72" t="str">
        <f>IFERROR(IF(G2718="","",VLOOKUP($G2718,[1]基础信息!$B:$C,2,FALSE)+SUMIF(G$8:G2718,G2718,J$8:J2718)-SUMIF(G$8:G2718,G2718,K$8:K2718)+SUMIFS([1]内部转账!$G:$G,[1]内部转账!$C:$C,"&lt;="&amp;$D2718,[1]内部转账!$E:$E,$G2718)-SUMIFS([1]内部转账!$G:$G,[1]内部转账!$C:$C,"&lt;="&amp;$D2718,[1]内部转账!$F:$F,$G2718)),"")</f>
        <v/>
      </c>
      <c r="M2718" s="64"/>
      <c r="N2718" s="69"/>
      <c r="O2718" s="64"/>
      <c r="P2718" s="64"/>
      <c r="Q2718" s="69"/>
      <c r="R2718" s="69"/>
      <c r="S2718" s="69"/>
    </row>
    <row r="2719" s="2" customFormat="1" ht="24.95" customHeight="1" spans="1:19">
      <c r="A2719" s="15"/>
      <c r="B2719" s="55"/>
      <c r="C2719" s="56"/>
      <c r="D2719" s="68"/>
      <c r="E2719" s="69"/>
      <c r="F2719" s="69"/>
      <c r="G2719" s="65"/>
      <c r="H2719" s="65"/>
      <c r="I2719" s="70"/>
      <c r="J2719" s="71"/>
      <c r="K2719" s="71"/>
      <c r="L2719" s="72" t="str">
        <f>IFERROR(IF(G2719="","",VLOOKUP($G2719,[1]基础信息!$B:$C,2,FALSE)+SUMIF(G$8:G2719,G2719,J$8:J2719)-SUMIF(G$8:G2719,G2719,K$8:K2719)+SUMIFS([1]内部转账!$G:$G,[1]内部转账!$C:$C,"&lt;="&amp;$D2719,[1]内部转账!$E:$E,$G2719)-SUMIFS([1]内部转账!$G:$G,[1]内部转账!$C:$C,"&lt;="&amp;$D2719,[1]内部转账!$F:$F,$G2719)),"")</f>
        <v/>
      </c>
      <c r="M2719" s="64"/>
      <c r="N2719" s="69"/>
      <c r="O2719" s="64"/>
      <c r="P2719" s="64"/>
      <c r="Q2719" s="69"/>
      <c r="R2719" s="69"/>
      <c r="S2719" s="69"/>
    </row>
    <row r="2720" s="2" customFormat="1" ht="24.95" customHeight="1" spans="1:19">
      <c r="A2720" s="15"/>
      <c r="B2720" s="55"/>
      <c r="C2720" s="56"/>
      <c r="D2720" s="68"/>
      <c r="E2720" s="69"/>
      <c r="F2720" s="69"/>
      <c r="G2720" s="65"/>
      <c r="H2720" s="65"/>
      <c r="I2720" s="70"/>
      <c r="J2720" s="71"/>
      <c r="K2720" s="71"/>
      <c r="L2720" s="72" t="str">
        <f>IFERROR(IF(G2720="","",VLOOKUP($G2720,[1]基础信息!$B:$C,2,FALSE)+SUMIF(G$8:G2720,G2720,J$8:J2720)-SUMIF(G$8:G2720,G2720,K$8:K2720)+SUMIFS([1]内部转账!$G:$G,[1]内部转账!$C:$C,"&lt;="&amp;$D2720,[1]内部转账!$E:$E,$G2720)-SUMIFS([1]内部转账!$G:$G,[1]内部转账!$C:$C,"&lt;="&amp;$D2720,[1]内部转账!$F:$F,$G2720)),"")</f>
        <v/>
      </c>
      <c r="M2720" s="64"/>
      <c r="N2720" s="69"/>
      <c r="O2720" s="64"/>
      <c r="P2720" s="64"/>
      <c r="Q2720" s="69"/>
      <c r="R2720" s="69"/>
      <c r="S2720" s="69"/>
    </row>
    <row r="2721" s="2" customFormat="1" ht="24.95" customHeight="1" spans="1:19">
      <c r="A2721" s="15"/>
      <c r="B2721" s="55"/>
      <c r="C2721" s="56"/>
      <c r="D2721" s="68"/>
      <c r="E2721" s="69"/>
      <c r="F2721" s="69"/>
      <c r="G2721" s="65"/>
      <c r="H2721" s="65"/>
      <c r="I2721" s="70"/>
      <c r="J2721" s="71"/>
      <c r="K2721" s="71"/>
      <c r="L2721" s="72" t="str">
        <f>IFERROR(IF(G2721="","",VLOOKUP($G2721,[1]基础信息!$B:$C,2,FALSE)+SUMIF(G$8:G2721,G2721,J$8:J2721)-SUMIF(G$8:G2721,G2721,K$8:K2721)+SUMIFS([1]内部转账!$G:$G,[1]内部转账!$C:$C,"&lt;="&amp;$D2721,[1]内部转账!$E:$E,$G2721)-SUMIFS([1]内部转账!$G:$G,[1]内部转账!$C:$C,"&lt;="&amp;$D2721,[1]内部转账!$F:$F,$G2721)),"")</f>
        <v/>
      </c>
      <c r="M2721" s="64"/>
      <c r="N2721" s="69"/>
      <c r="O2721" s="64"/>
      <c r="P2721" s="64"/>
      <c r="Q2721" s="69"/>
      <c r="R2721" s="69"/>
      <c r="S2721" s="69"/>
    </row>
    <row r="2722" s="2" customFormat="1" ht="24.95" customHeight="1" spans="1:19">
      <c r="A2722" s="15"/>
      <c r="B2722" s="55"/>
      <c r="C2722" s="56"/>
      <c r="D2722" s="68"/>
      <c r="E2722" s="69"/>
      <c r="F2722" s="69"/>
      <c r="G2722" s="65"/>
      <c r="H2722" s="65"/>
      <c r="I2722" s="70"/>
      <c r="J2722" s="71"/>
      <c r="K2722" s="71"/>
      <c r="L2722" s="72" t="str">
        <f>IFERROR(IF(G2722="","",VLOOKUP($G2722,[1]基础信息!$B:$C,2,FALSE)+SUMIF(G$8:G2722,G2722,J$8:J2722)-SUMIF(G$8:G2722,G2722,K$8:K2722)+SUMIFS([1]内部转账!$G:$G,[1]内部转账!$C:$C,"&lt;="&amp;$D2722,[1]内部转账!$E:$E,$G2722)-SUMIFS([1]内部转账!$G:$G,[1]内部转账!$C:$C,"&lt;="&amp;$D2722,[1]内部转账!$F:$F,$G2722)),"")</f>
        <v/>
      </c>
      <c r="M2722" s="64"/>
      <c r="N2722" s="69"/>
      <c r="O2722" s="64"/>
      <c r="P2722" s="64"/>
      <c r="Q2722" s="69"/>
      <c r="R2722" s="69"/>
      <c r="S2722" s="69"/>
    </row>
    <row r="2723" s="2" customFormat="1" ht="24.95" customHeight="1" spans="1:19">
      <c r="A2723" s="15"/>
      <c r="B2723" s="55"/>
      <c r="C2723" s="56"/>
      <c r="D2723" s="68"/>
      <c r="E2723" s="69"/>
      <c r="F2723" s="69"/>
      <c r="G2723" s="65"/>
      <c r="H2723" s="65"/>
      <c r="I2723" s="70"/>
      <c r="J2723" s="71"/>
      <c r="K2723" s="71"/>
      <c r="L2723" s="72" t="str">
        <f>IFERROR(IF(G2723="","",VLOOKUP($G2723,[1]基础信息!$B:$C,2,FALSE)+SUMIF(G$8:G2723,G2723,J$8:J2723)-SUMIF(G$8:G2723,G2723,K$8:K2723)+SUMIFS([1]内部转账!$G:$G,[1]内部转账!$C:$C,"&lt;="&amp;$D2723,[1]内部转账!$E:$E,$G2723)-SUMIFS([1]内部转账!$G:$G,[1]内部转账!$C:$C,"&lt;="&amp;$D2723,[1]内部转账!$F:$F,$G2723)),"")</f>
        <v/>
      </c>
      <c r="M2723" s="64"/>
      <c r="N2723" s="69"/>
      <c r="O2723" s="64"/>
      <c r="P2723" s="64"/>
      <c r="Q2723" s="69"/>
      <c r="R2723" s="69"/>
      <c r="S2723" s="69"/>
    </row>
    <row r="2724" s="2" customFormat="1" ht="24.95" customHeight="1" spans="1:19">
      <c r="A2724" s="15"/>
      <c r="B2724" s="55"/>
      <c r="C2724" s="56"/>
      <c r="D2724" s="68"/>
      <c r="E2724" s="69"/>
      <c r="F2724" s="69"/>
      <c r="G2724" s="65"/>
      <c r="H2724" s="65"/>
      <c r="I2724" s="70"/>
      <c r="J2724" s="71"/>
      <c r="K2724" s="71"/>
      <c r="L2724" s="72" t="str">
        <f>IFERROR(IF(G2724="","",VLOOKUP($G2724,[1]基础信息!$B:$C,2,FALSE)+SUMIF(G$8:G2724,G2724,J$8:J2724)-SUMIF(G$8:G2724,G2724,K$8:K2724)+SUMIFS([1]内部转账!$G:$G,[1]内部转账!$C:$C,"&lt;="&amp;$D2724,[1]内部转账!$E:$E,$G2724)-SUMIFS([1]内部转账!$G:$G,[1]内部转账!$C:$C,"&lt;="&amp;$D2724,[1]内部转账!$F:$F,$G2724)),"")</f>
        <v/>
      </c>
      <c r="M2724" s="64"/>
      <c r="N2724" s="69"/>
      <c r="O2724" s="64"/>
      <c r="P2724" s="64"/>
      <c r="Q2724" s="69"/>
      <c r="R2724" s="69"/>
      <c r="S2724" s="69"/>
    </row>
    <row r="2725" s="2" customFormat="1" ht="24.95" customHeight="1" spans="1:19">
      <c r="A2725" s="15"/>
      <c r="B2725" s="55"/>
      <c r="C2725" s="56"/>
      <c r="D2725" s="68"/>
      <c r="E2725" s="69"/>
      <c r="F2725" s="69"/>
      <c r="G2725" s="65"/>
      <c r="H2725" s="65"/>
      <c r="I2725" s="70"/>
      <c r="J2725" s="71"/>
      <c r="K2725" s="71"/>
      <c r="L2725" s="72" t="str">
        <f>IFERROR(IF(G2725="","",VLOOKUP($G2725,[1]基础信息!$B:$C,2,FALSE)+SUMIF(G$8:G2725,G2725,J$8:J2725)-SUMIF(G$8:G2725,G2725,K$8:K2725)+SUMIFS([1]内部转账!$G:$G,[1]内部转账!$C:$C,"&lt;="&amp;$D2725,[1]内部转账!$E:$E,$G2725)-SUMIFS([1]内部转账!$G:$G,[1]内部转账!$C:$C,"&lt;="&amp;$D2725,[1]内部转账!$F:$F,$G2725)),"")</f>
        <v/>
      </c>
      <c r="M2725" s="64"/>
      <c r="N2725" s="69"/>
      <c r="O2725" s="64"/>
      <c r="P2725" s="64"/>
      <c r="Q2725" s="69"/>
      <c r="R2725" s="69"/>
      <c r="S2725" s="69"/>
    </row>
    <row r="2726" s="2" customFormat="1" ht="24.95" customHeight="1" spans="1:19">
      <c r="A2726" s="15"/>
      <c r="B2726" s="55"/>
      <c r="C2726" s="56"/>
      <c r="D2726" s="68"/>
      <c r="E2726" s="69"/>
      <c r="F2726" s="69"/>
      <c r="G2726" s="65"/>
      <c r="H2726" s="65"/>
      <c r="I2726" s="70"/>
      <c r="J2726" s="71"/>
      <c r="K2726" s="71"/>
      <c r="L2726" s="72" t="str">
        <f>IFERROR(IF(G2726="","",VLOOKUP($G2726,[1]基础信息!$B:$C,2,FALSE)+SUMIF(G$8:G2726,G2726,J$8:J2726)-SUMIF(G$8:G2726,G2726,K$8:K2726)+SUMIFS([1]内部转账!$G:$G,[1]内部转账!$C:$C,"&lt;="&amp;$D2726,[1]内部转账!$E:$E,$G2726)-SUMIFS([1]内部转账!$G:$G,[1]内部转账!$C:$C,"&lt;="&amp;$D2726,[1]内部转账!$F:$F,$G2726)),"")</f>
        <v/>
      </c>
      <c r="M2726" s="64"/>
      <c r="N2726" s="69"/>
      <c r="O2726" s="64"/>
      <c r="P2726" s="64"/>
      <c r="Q2726" s="69"/>
      <c r="R2726" s="69"/>
      <c r="S2726" s="69"/>
    </row>
    <row r="2727" s="2" customFormat="1" ht="24.95" customHeight="1" spans="1:19">
      <c r="A2727" s="15"/>
      <c r="B2727" s="55"/>
      <c r="C2727" s="56"/>
      <c r="D2727" s="68"/>
      <c r="E2727" s="69"/>
      <c r="F2727" s="69"/>
      <c r="G2727" s="65"/>
      <c r="H2727" s="65"/>
      <c r="I2727" s="70"/>
      <c r="J2727" s="71"/>
      <c r="K2727" s="71"/>
      <c r="L2727" s="72" t="str">
        <f>IFERROR(IF(G2727="","",VLOOKUP($G2727,[1]基础信息!$B:$C,2,FALSE)+SUMIF(G$8:G2727,G2727,J$8:J2727)-SUMIF(G$8:G2727,G2727,K$8:K2727)+SUMIFS([1]内部转账!$G:$G,[1]内部转账!$C:$C,"&lt;="&amp;$D2727,[1]内部转账!$E:$E,$G2727)-SUMIFS([1]内部转账!$G:$G,[1]内部转账!$C:$C,"&lt;="&amp;$D2727,[1]内部转账!$F:$F,$G2727)),"")</f>
        <v/>
      </c>
      <c r="M2727" s="64"/>
      <c r="N2727" s="69"/>
      <c r="O2727" s="64"/>
      <c r="P2727" s="64"/>
      <c r="Q2727" s="69"/>
      <c r="R2727" s="69"/>
      <c r="S2727" s="69"/>
    </row>
    <row r="2728" s="2" customFormat="1" ht="24.95" customHeight="1" spans="1:19">
      <c r="A2728" s="15"/>
      <c r="B2728" s="55"/>
      <c r="C2728" s="56"/>
      <c r="D2728" s="68"/>
      <c r="E2728" s="69"/>
      <c r="F2728" s="69"/>
      <c r="G2728" s="65"/>
      <c r="H2728" s="65"/>
      <c r="I2728" s="70"/>
      <c r="J2728" s="71"/>
      <c r="K2728" s="71"/>
      <c r="L2728" s="72" t="str">
        <f>IFERROR(IF(G2728="","",VLOOKUP($G2728,[1]基础信息!$B:$C,2,FALSE)+SUMIF(G$8:G2728,G2728,J$8:J2728)-SUMIF(G$8:G2728,G2728,K$8:K2728)+SUMIFS([1]内部转账!$G:$G,[1]内部转账!$C:$C,"&lt;="&amp;$D2728,[1]内部转账!$E:$E,$G2728)-SUMIFS([1]内部转账!$G:$G,[1]内部转账!$C:$C,"&lt;="&amp;$D2728,[1]内部转账!$F:$F,$G2728)),"")</f>
        <v/>
      </c>
      <c r="M2728" s="64"/>
      <c r="N2728" s="69"/>
      <c r="O2728" s="64"/>
      <c r="P2728" s="64"/>
      <c r="Q2728" s="69"/>
      <c r="R2728" s="69"/>
      <c r="S2728" s="69"/>
    </row>
    <row r="2729" s="2" customFormat="1" ht="24.95" customHeight="1" spans="1:19">
      <c r="A2729" s="15"/>
      <c r="B2729" s="55"/>
      <c r="C2729" s="56"/>
      <c r="D2729" s="68"/>
      <c r="E2729" s="69"/>
      <c r="F2729" s="69"/>
      <c r="G2729" s="65"/>
      <c r="H2729" s="65"/>
      <c r="I2729" s="70"/>
      <c r="J2729" s="71"/>
      <c r="K2729" s="71"/>
      <c r="L2729" s="72" t="str">
        <f>IFERROR(IF(G2729="","",VLOOKUP($G2729,[1]基础信息!$B:$C,2,FALSE)+SUMIF(G$8:G2729,G2729,J$8:J2729)-SUMIF(G$8:G2729,G2729,K$8:K2729)+SUMIFS([1]内部转账!$G:$G,[1]内部转账!$C:$C,"&lt;="&amp;$D2729,[1]内部转账!$E:$E,$G2729)-SUMIFS([1]内部转账!$G:$G,[1]内部转账!$C:$C,"&lt;="&amp;$D2729,[1]内部转账!$F:$F,$G2729)),"")</f>
        <v/>
      </c>
      <c r="M2729" s="64"/>
      <c r="N2729" s="69"/>
      <c r="O2729" s="64"/>
      <c r="P2729" s="64"/>
      <c r="Q2729" s="69"/>
      <c r="R2729" s="69"/>
      <c r="S2729" s="69"/>
    </row>
    <row r="2730" s="2" customFormat="1" ht="24.95" customHeight="1" spans="1:19">
      <c r="A2730" s="15"/>
      <c r="B2730" s="55"/>
      <c r="C2730" s="56"/>
      <c r="D2730" s="68"/>
      <c r="E2730" s="69"/>
      <c r="F2730" s="69"/>
      <c r="G2730" s="65"/>
      <c r="H2730" s="65"/>
      <c r="I2730" s="70"/>
      <c r="J2730" s="71"/>
      <c r="K2730" s="71"/>
      <c r="L2730" s="72" t="str">
        <f>IFERROR(IF(G2730="","",VLOOKUP($G2730,[1]基础信息!$B:$C,2,FALSE)+SUMIF(G$8:G2730,G2730,J$8:J2730)-SUMIF(G$8:G2730,G2730,K$8:K2730)+SUMIFS([1]内部转账!$G:$G,[1]内部转账!$C:$C,"&lt;="&amp;$D2730,[1]内部转账!$E:$E,$G2730)-SUMIFS([1]内部转账!$G:$G,[1]内部转账!$C:$C,"&lt;="&amp;$D2730,[1]内部转账!$F:$F,$G2730)),"")</f>
        <v/>
      </c>
      <c r="M2730" s="64"/>
      <c r="N2730" s="69"/>
      <c r="O2730" s="64"/>
      <c r="P2730" s="64"/>
      <c r="Q2730" s="69"/>
      <c r="R2730" s="69"/>
      <c r="S2730" s="69"/>
    </row>
    <row r="2731" s="2" customFormat="1" ht="24.95" customHeight="1" spans="1:19">
      <c r="A2731" s="15"/>
      <c r="B2731" s="55"/>
      <c r="C2731" s="56"/>
      <c r="D2731" s="68"/>
      <c r="E2731" s="69"/>
      <c r="F2731" s="69"/>
      <c r="G2731" s="65"/>
      <c r="H2731" s="65"/>
      <c r="I2731" s="70"/>
      <c r="J2731" s="71"/>
      <c r="K2731" s="71"/>
      <c r="L2731" s="72" t="str">
        <f>IFERROR(IF(G2731="","",VLOOKUP($G2731,[1]基础信息!$B:$C,2,FALSE)+SUMIF(G$8:G2731,G2731,J$8:J2731)-SUMIF(G$8:G2731,G2731,K$8:K2731)+SUMIFS([1]内部转账!$G:$G,[1]内部转账!$C:$C,"&lt;="&amp;$D2731,[1]内部转账!$E:$E,$G2731)-SUMIFS([1]内部转账!$G:$G,[1]内部转账!$C:$C,"&lt;="&amp;$D2731,[1]内部转账!$F:$F,$G2731)),"")</f>
        <v/>
      </c>
      <c r="M2731" s="64"/>
      <c r="N2731" s="69"/>
      <c r="O2731" s="64"/>
      <c r="P2731" s="64"/>
      <c r="Q2731" s="69"/>
      <c r="R2731" s="69"/>
      <c r="S2731" s="69"/>
    </row>
    <row r="2732" s="2" customFormat="1" ht="24.95" customHeight="1" spans="1:19">
      <c r="A2732" s="15"/>
      <c r="B2732" s="55"/>
      <c r="C2732" s="56"/>
      <c r="D2732" s="68"/>
      <c r="E2732" s="69"/>
      <c r="F2732" s="69"/>
      <c r="G2732" s="65"/>
      <c r="H2732" s="65"/>
      <c r="I2732" s="70"/>
      <c r="J2732" s="71"/>
      <c r="K2732" s="71"/>
      <c r="L2732" s="72" t="str">
        <f>IFERROR(IF(G2732="","",VLOOKUP($G2732,[1]基础信息!$B:$C,2,FALSE)+SUMIF(G$8:G2732,G2732,J$8:J2732)-SUMIF(G$8:G2732,G2732,K$8:K2732)+SUMIFS([1]内部转账!$G:$G,[1]内部转账!$C:$C,"&lt;="&amp;$D2732,[1]内部转账!$E:$E,$G2732)-SUMIFS([1]内部转账!$G:$G,[1]内部转账!$C:$C,"&lt;="&amp;$D2732,[1]内部转账!$F:$F,$G2732)),"")</f>
        <v/>
      </c>
      <c r="M2732" s="64"/>
      <c r="N2732" s="69"/>
      <c r="O2732" s="64"/>
      <c r="P2732" s="64"/>
      <c r="Q2732" s="69"/>
      <c r="R2732" s="69"/>
      <c r="S2732" s="69"/>
    </row>
    <row r="2733" s="2" customFormat="1" ht="24.95" customHeight="1" spans="1:19">
      <c r="A2733" s="15"/>
      <c r="B2733" s="55"/>
      <c r="C2733" s="56"/>
      <c r="D2733" s="68"/>
      <c r="E2733" s="69"/>
      <c r="F2733" s="69"/>
      <c r="G2733" s="65"/>
      <c r="H2733" s="65"/>
      <c r="I2733" s="70"/>
      <c r="J2733" s="71"/>
      <c r="K2733" s="71"/>
      <c r="L2733" s="72" t="str">
        <f>IFERROR(IF(G2733="","",VLOOKUP($G2733,[1]基础信息!$B:$C,2,FALSE)+SUMIF(G$8:G2733,G2733,J$8:J2733)-SUMIF(G$8:G2733,G2733,K$8:K2733)+SUMIFS([1]内部转账!$G:$G,[1]内部转账!$C:$C,"&lt;="&amp;$D2733,[1]内部转账!$E:$E,$G2733)-SUMIFS([1]内部转账!$G:$G,[1]内部转账!$C:$C,"&lt;="&amp;$D2733,[1]内部转账!$F:$F,$G2733)),"")</f>
        <v/>
      </c>
      <c r="M2733" s="64"/>
      <c r="N2733" s="69"/>
      <c r="O2733" s="64"/>
      <c r="P2733" s="64"/>
      <c r="Q2733" s="69"/>
      <c r="R2733" s="69"/>
      <c r="S2733" s="69"/>
    </row>
    <row r="2734" s="2" customFormat="1" ht="24.95" customHeight="1" spans="1:19">
      <c r="A2734" s="15"/>
      <c r="B2734" s="55"/>
      <c r="C2734" s="56"/>
      <c r="D2734" s="68"/>
      <c r="E2734" s="69"/>
      <c r="F2734" s="69"/>
      <c r="G2734" s="65"/>
      <c r="H2734" s="65"/>
      <c r="I2734" s="70"/>
      <c r="J2734" s="71"/>
      <c r="K2734" s="71"/>
      <c r="L2734" s="72" t="str">
        <f>IFERROR(IF(G2734="","",VLOOKUP($G2734,[1]基础信息!$B:$C,2,FALSE)+SUMIF(G$8:G2734,G2734,J$8:J2734)-SUMIF(G$8:G2734,G2734,K$8:K2734)+SUMIFS([1]内部转账!$G:$G,[1]内部转账!$C:$C,"&lt;="&amp;$D2734,[1]内部转账!$E:$E,$G2734)-SUMIFS([1]内部转账!$G:$G,[1]内部转账!$C:$C,"&lt;="&amp;$D2734,[1]内部转账!$F:$F,$G2734)),"")</f>
        <v/>
      </c>
      <c r="M2734" s="64"/>
      <c r="N2734" s="69"/>
      <c r="O2734" s="64"/>
      <c r="P2734" s="64"/>
      <c r="Q2734" s="69"/>
      <c r="R2734" s="69"/>
      <c r="S2734" s="69"/>
    </row>
    <row r="2735" s="2" customFormat="1" ht="24.95" customHeight="1" spans="1:19">
      <c r="A2735" s="15"/>
      <c r="B2735" s="55"/>
      <c r="C2735" s="56"/>
      <c r="D2735" s="68"/>
      <c r="E2735" s="69"/>
      <c r="F2735" s="69"/>
      <c r="G2735" s="65"/>
      <c r="H2735" s="65"/>
      <c r="I2735" s="70"/>
      <c r="J2735" s="71"/>
      <c r="K2735" s="71"/>
      <c r="L2735" s="72" t="str">
        <f>IFERROR(IF(G2735="","",VLOOKUP($G2735,[1]基础信息!$B:$C,2,FALSE)+SUMIF(G$8:G2735,G2735,J$8:J2735)-SUMIF(G$8:G2735,G2735,K$8:K2735)+SUMIFS([1]内部转账!$G:$G,[1]内部转账!$C:$C,"&lt;="&amp;$D2735,[1]内部转账!$E:$E,$G2735)-SUMIFS([1]内部转账!$G:$G,[1]内部转账!$C:$C,"&lt;="&amp;$D2735,[1]内部转账!$F:$F,$G2735)),"")</f>
        <v/>
      </c>
      <c r="M2735" s="64"/>
      <c r="N2735" s="69"/>
      <c r="O2735" s="64"/>
      <c r="P2735" s="64"/>
      <c r="Q2735" s="69"/>
      <c r="R2735" s="69"/>
      <c r="S2735" s="69"/>
    </row>
    <row r="2736" s="2" customFormat="1" ht="24.95" customHeight="1" spans="1:19">
      <c r="A2736" s="15"/>
      <c r="B2736" s="55"/>
      <c r="C2736" s="56"/>
      <c r="D2736" s="68"/>
      <c r="E2736" s="69"/>
      <c r="F2736" s="69"/>
      <c r="G2736" s="65"/>
      <c r="H2736" s="65"/>
      <c r="I2736" s="70"/>
      <c r="J2736" s="71"/>
      <c r="K2736" s="71"/>
      <c r="L2736" s="72" t="str">
        <f>IFERROR(IF(G2736="","",VLOOKUP($G2736,[1]基础信息!$B:$C,2,FALSE)+SUMIF(G$8:G2736,G2736,J$8:J2736)-SUMIF(G$8:G2736,G2736,K$8:K2736)+SUMIFS([1]内部转账!$G:$G,[1]内部转账!$C:$C,"&lt;="&amp;$D2736,[1]内部转账!$E:$E,$G2736)-SUMIFS([1]内部转账!$G:$G,[1]内部转账!$C:$C,"&lt;="&amp;$D2736,[1]内部转账!$F:$F,$G2736)),"")</f>
        <v/>
      </c>
      <c r="M2736" s="64"/>
      <c r="N2736" s="69"/>
      <c r="O2736" s="64"/>
      <c r="P2736" s="64"/>
      <c r="Q2736" s="69"/>
      <c r="R2736" s="69"/>
      <c r="S2736" s="69"/>
    </row>
    <row r="2737" s="2" customFormat="1" ht="24.95" customHeight="1" spans="1:19">
      <c r="A2737" s="15"/>
      <c r="B2737" s="55"/>
      <c r="C2737" s="56"/>
      <c r="D2737" s="68"/>
      <c r="E2737" s="69"/>
      <c r="F2737" s="69"/>
      <c r="G2737" s="65"/>
      <c r="H2737" s="65"/>
      <c r="I2737" s="70"/>
      <c r="J2737" s="71"/>
      <c r="K2737" s="71"/>
      <c r="L2737" s="72" t="str">
        <f>IFERROR(IF(G2737="","",VLOOKUP($G2737,[1]基础信息!$B:$C,2,FALSE)+SUMIF(G$8:G2737,G2737,J$8:J2737)-SUMIF(G$8:G2737,G2737,K$8:K2737)+SUMIFS([1]内部转账!$G:$G,[1]内部转账!$C:$C,"&lt;="&amp;$D2737,[1]内部转账!$E:$E,$G2737)-SUMIFS([1]内部转账!$G:$G,[1]内部转账!$C:$C,"&lt;="&amp;$D2737,[1]内部转账!$F:$F,$G2737)),"")</f>
        <v/>
      </c>
      <c r="M2737" s="64"/>
      <c r="N2737" s="69"/>
      <c r="O2737" s="64"/>
      <c r="P2737" s="64"/>
      <c r="Q2737" s="69"/>
      <c r="R2737" s="69"/>
      <c r="S2737" s="69"/>
    </row>
    <row r="2738" s="2" customFormat="1" ht="24.95" customHeight="1" spans="1:19">
      <c r="A2738" s="15"/>
      <c r="B2738" s="55"/>
      <c r="C2738" s="56"/>
      <c r="D2738" s="68"/>
      <c r="E2738" s="69"/>
      <c r="F2738" s="69"/>
      <c r="G2738" s="65"/>
      <c r="H2738" s="65"/>
      <c r="I2738" s="70"/>
      <c r="J2738" s="71"/>
      <c r="K2738" s="71"/>
      <c r="L2738" s="72" t="str">
        <f>IFERROR(IF(G2738="","",VLOOKUP($G2738,[1]基础信息!$B:$C,2,FALSE)+SUMIF(G$8:G2738,G2738,J$8:J2738)-SUMIF(G$8:G2738,G2738,K$8:K2738)+SUMIFS([1]内部转账!$G:$G,[1]内部转账!$C:$C,"&lt;="&amp;$D2738,[1]内部转账!$E:$E,$G2738)-SUMIFS([1]内部转账!$G:$G,[1]内部转账!$C:$C,"&lt;="&amp;$D2738,[1]内部转账!$F:$F,$G2738)),"")</f>
        <v/>
      </c>
      <c r="M2738" s="64"/>
      <c r="N2738" s="69"/>
      <c r="O2738" s="64"/>
      <c r="P2738" s="64"/>
      <c r="Q2738" s="69"/>
      <c r="R2738" s="69"/>
      <c r="S2738" s="69"/>
    </row>
    <row r="2739" s="2" customFormat="1" ht="24.95" customHeight="1" spans="1:19">
      <c r="A2739" s="15"/>
      <c r="B2739" s="55"/>
      <c r="C2739" s="56"/>
      <c r="D2739" s="68"/>
      <c r="E2739" s="69"/>
      <c r="F2739" s="69"/>
      <c r="G2739" s="65"/>
      <c r="H2739" s="65"/>
      <c r="I2739" s="70"/>
      <c r="J2739" s="71"/>
      <c r="K2739" s="71"/>
      <c r="L2739" s="72" t="str">
        <f>IFERROR(IF(G2739="","",VLOOKUP($G2739,[1]基础信息!$B:$C,2,FALSE)+SUMIF(G$8:G2739,G2739,J$8:J2739)-SUMIF(G$8:G2739,G2739,K$8:K2739)+SUMIFS([1]内部转账!$G:$G,[1]内部转账!$C:$C,"&lt;="&amp;$D2739,[1]内部转账!$E:$E,$G2739)-SUMIFS([1]内部转账!$G:$G,[1]内部转账!$C:$C,"&lt;="&amp;$D2739,[1]内部转账!$F:$F,$G2739)),"")</f>
        <v/>
      </c>
      <c r="M2739" s="64"/>
      <c r="N2739" s="69"/>
      <c r="O2739" s="64"/>
      <c r="P2739" s="64"/>
      <c r="Q2739" s="69"/>
      <c r="R2739" s="69"/>
      <c r="S2739" s="69"/>
    </row>
    <row r="2740" s="2" customFormat="1" ht="24.95" customHeight="1" spans="1:19">
      <c r="A2740" s="15"/>
      <c r="B2740" s="55"/>
      <c r="C2740" s="56"/>
      <c r="D2740" s="68"/>
      <c r="E2740" s="69"/>
      <c r="F2740" s="69"/>
      <c r="G2740" s="65"/>
      <c r="H2740" s="65"/>
      <c r="I2740" s="70"/>
      <c r="J2740" s="71"/>
      <c r="K2740" s="71"/>
      <c r="L2740" s="72" t="str">
        <f>IFERROR(IF(G2740="","",VLOOKUP($G2740,[1]基础信息!$B:$C,2,FALSE)+SUMIF(G$8:G2740,G2740,J$8:J2740)-SUMIF(G$8:G2740,G2740,K$8:K2740)+SUMIFS([1]内部转账!$G:$G,[1]内部转账!$C:$C,"&lt;="&amp;$D2740,[1]内部转账!$E:$E,$G2740)-SUMIFS([1]内部转账!$G:$G,[1]内部转账!$C:$C,"&lt;="&amp;$D2740,[1]内部转账!$F:$F,$G2740)),"")</f>
        <v/>
      </c>
      <c r="M2740" s="64"/>
      <c r="N2740" s="69"/>
      <c r="O2740" s="64"/>
      <c r="P2740" s="64"/>
      <c r="Q2740" s="69"/>
      <c r="R2740" s="69"/>
      <c r="S2740" s="69"/>
    </row>
    <row r="2741" s="2" customFormat="1" ht="24.95" customHeight="1" spans="1:19">
      <c r="A2741" s="15"/>
      <c r="B2741" s="55"/>
      <c r="C2741" s="56"/>
      <c r="D2741" s="68"/>
      <c r="E2741" s="69"/>
      <c r="F2741" s="69"/>
      <c r="G2741" s="65"/>
      <c r="H2741" s="65"/>
      <c r="I2741" s="70"/>
      <c r="J2741" s="71"/>
      <c r="K2741" s="71"/>
      <c r="L2741" s="72" t="str">
        <f>IFERROR(IF(G2741="","",VLOOKUP($G2741,[1]基础信息!$B:$C,2,FALSE)+SUMIF(G$8:G2741,G2741,J$8:J2741)-SUMIF(G$8:G2741,G2741,K$8:K2741)+SUMIFS([1]内部转账!$G:$G,[1]内部转账!$C:$C,"&lt;="&amp;$D2741,[1]内部转账!$E:$E,$G2741)-SUMIFS([1]内部转账!$G:$G,[1]内部转账!$C:$C,"&lt;="&amp;$D2741,[1]内部转账!$F:$F,$G2741)),"")</f>
        <v/>
      </c>
      <c r="M2741" s="64"/>
      <c r="N2741" s="69"/>
      <c r="O2741" s="64"/>
      <c r="P2741" s="64"/>
      <c r="Q2741" s="69"/>
      <c r="R2741" s="69"/>
      <c r="S2741" s="69"/>
    </row>
    <row r="2742" s="2" customFormat="1" ht="24.95" customHeight="1" spans="1:19">
      <c r="A2742" s="15"/>
      <c r="B2742" s="55"/>
      <c r="C2742" s="56"/>
      <c r="D2742" s="68"/>
      <c r="E2742" s="69"/>
      <c r="F2742" s="69"/>
      <c r="G2742" s="65"/>
      <c r="H2742" s="65"/>
      <c r="I2742" s="70"/>
      <c r="J2742" s="71"/>
      <c r="K2742" s="71"/>
      <c r="L2742" s="72" t="str">
        <f>IFERROR(IF(G2742="","",VLOOKUP($G2742,[1]基础信息!$B:$C,2,FALSE)+SUMIF(G$8:G2742,G2742,J$8:J2742)-SUMIF(G$8:G2742,G2742,K$8:K2742)+SUMIFS([1]内部转账!$G:$G,[1]内部转账!$C:$C,"&lt;="&amp;$D2742,[1]内部转账!$E:$E,$G2742)-SUMIFS([1]内部转账!$G:$G,[1]内部转账!$C:$C,"&lt;="&amp;$D2742,[1]内部转账!$F:$F,$G2742)),"")</f>
        <v/>
      </c>
      <c r="M2742" s="64"/>
      <c r="N2742" s="69"/>
      <c r="O2742" s="64"/>
      <c r="P2742" s="64"/>
      <c r="Q2742" s="69"/>
      <c r="R2742" s="69"/>
      <c r="S2742" s="69"/>
    </row>
    <row r="2743" s="2" customFormat="1" ht="24.95" customHeight="1" spans="1:19">
      <c r="A2743" s="15"/>
      <c r="B2743" s="55"/>
      <c r="C2743" s="56"/>
      <c r="D2743" s="68"/>
      <c r="E2743" s="69"/>
      <c r="F2743" s="69"/>
      <c r="G2743" s="65"/>
      <c r="H2743" s="65"/>
      <c r="I2743" s="70"/>
      <c r="J2743" s="71"/>
      <c r="K2743" s="71"/>
      <c r="L2743" s="72" t="str">
        <f>IFERROR(IF(G2743="","",VLOOKUP($G2743,[1]基础信息!$B:$C,2,FALSE)+SUMIF(G$8:G2743,G2743,J$8:J2743)-SUMIF(G$8:G2743,G2743,K$8:K2743)+SUMIFS([1]内部转账!$G:$G,[1]内部转账!$C:$C,"&lt;="&amp;$D2743,[1]内部转账!$E:$E,$G2743)-SUMIFS([1]内部转账!$G:$G,[1]内部转账!$C:$C,"&lt;="&amp;$D2743,[1]内部转账!$F:$F,$G2743)),"")</f>
        <v/>
      </c>
      <c r="M2743" s="64"/>
      <c r="N2743" s="69"/>
      <c r="O2743" s="64"/>
      <c r="P2743" s="64"/>
      <c r="Q2743" s="69"/>
      <c r="R2743" s="69"/>
      <c r="S2743" s="69"/>
    </row>
    <row r="2744" s="2" customFormat="1" ht="24.95" customHeight="1" spans="1:19">
      <c r="A2744" s="15"/>
      <c r="B2744" s="55"/>
      <c r="C2744" s="56"/>
      <c r="D2744" s="68"/>
      <c r="E2744" s="69"/>
      <c r="F2744" s="69"/>
      <c r="G2744" s="65"/>
      <c r="H2744" s="65"/>
      <c r="I2744" s="70"/>
      <c r="J2744" s="71"/>
      <c r="K2744" s="71"/>
      <c r="L2744" s="72" t="str">
        <f>IFERROR(IF(G2744="","",VLOOKUP($G2744,[1]基础信息!$B:$C,2,FALSE)+SUMIF(G$8:G2744,G2744,J$8:J2744)-SUMIF(G$8:G2744,G2744,K$8:K2744)+SUMIFS([1]内部转账!$G:$G,[1]内部转账!$C:$C,"&lt;="&amp;$D2744,[1]内部转账!$E:$E,$G2744)-SUMIFS([1]内部转账!$G:$G,[1]内部转账!$C:$C,"&lt;="&amp;$D2744,[1]内部转账!$F:$F,$G2744)),"")</f>
        <v/>
      </c>
      <c r="M2744" s="64"/>
      <c r="N2744" s="69"/>
      <c r="O2744" s="64"/>
      <c r="P2744" s="64"/>
      <c r="Q2744" s="69"/>
      <c r="R2744" s="69"/>
      <c r="S2744" s="69"/>
    </row>
    <row r="2745" s="2" customFormat="1" ht="24.95" customHeight="1" spans="1:19">
      <c r="A2745" s="15"/>
      <c r="B2745" s="55"/>
      <c r="C2745" s="56"/>
      <c r="D2745" s="68"/>
      <c r="E2745" s="69"/>
      <c r="F2745" s="69"/>
      <c r="G2745" s="65"/>
      <c r="H2745" s="65"/>
      <c r="I2745" s="70"/>
      <c r="J2745" s="71"/>
      <c r="K2745" s="71"/>
      <c r="L2745" s="72" t="str">
        <f>IFERROR(IF(G2745="","",VLOOKUP($G2745,[1]基础信息!$B:$C,2,FALSE)+SUMIF(G$8:G2745,G2745,J$8:J2745)-SUMIF(G$8:G2745,G2745,K$8:K2745)+SUMIFS([1]内部转账!$G:$G,[1]内部转账!$C:$C,"&lt;="&amp;$D2745,[1]内部转账!$E:$E,$G2745)-SUMIFS([1]内部转账!$G:$G,[1]内部转账!$C:$C,"&lt;="&amp;$D2745,[1]内部转账!$F:$F,$G2745)),"")</f>
        <v/>
      </c>
      <c r="M2745" s="64"/>
      <c r="N2745" s="69"/>
      <c r="O2745" s="64"/>
      <c r="P2745" s="64"/>
      <c r="Q2745" s="69"/>
      <c r="R2745" s="69"/>
      <c r="S2745" s="69"/>
    </row>
    <row r="2746" s="2" customFormat="1" ht="24.95" customHeight="1" spans="1:19">
      <c r="A2746" s="15"/>
      <c r="B2746" s="55"/>
      <c r="C2746" s="56"/>
      <c r="D2746" s="68"/>
      <c r="E2746" s="69"/>
      <c r="F2746" s="69"/>
      <c r="G2746" s="65"/>
      <c r="H2746" s="65"/>
      <c r="I2746" s="70"/>
      <c r="J2746" s="71"/>
      <c r="K2746" s="71"/>
      <c r="L2746" s="72" t="str">
        <f>IFERROR(IF(G2746="","",VLOOKUP($G2746,[1]基础信息!$B:$C,2,FALSE)+SUMIF(G$8:G2746,G2746,J$8:J2746)-SUMIF(G$8:G2746,G2746,K$8:K2746)+SUMIFS([1]内部转账!$G:$G,[1]内部转账!$C:$C,"&lt;="&amp;$D2746,[1]内部转账!$E:$E,$G2746)-SUMIFS([1]内部转账!$G:$G,[1]内部转账!$C:$C,"&lt;="&amp;$D2746,[1]内部转账!$F:$F,$G2746)),"")</f>
        <v/>
      </c>
      <c r="M2746" s="64"/>
      <c r="N2746" s="69"/>
      <c r="O2746" s="64"/>
      <c r="P2746" s="64"/>
      <c r="Q2746" s="69"/>
      <c r="R2746" s="69"/>
      <c r="S2746" s="69"/>
    </row>
    <row r="2747" s="2" customFormat="1" ht="24.95" customHeight="1" spans="1:19">
      <c r="A2747" s="15"/>
      <c r="B2747" s="55"/>
      <c r="C2747" s="56"/>
      <c r="D2747" s="68"/>
      <c r="E2747" s="69"/>
      <c r="F2747" s="69"/>
      <c r="G2747" s="65"/>
      <c r="H2747" s="65"/>
      <c r="I2747" s="70"/>
      <c r="J2747" s="71"/>
      <c r="K2747" s="71"/>
      <c r="L2747" s="72" t="str">
        <f>IFERROR(IF(G2747="","",VLOOKUP($G2747,[1]基础信息!$B:$C,2,FALSE)+SUMIF(G$8:G2747,G2747,J$8:J2747)-SUMIF(G$8:G2747,G2747,K$8:K2747)+SUMIFS([1]内部转账!$G:$G,[1]内部转账!$C:$C,"&lt;="&amp;$D2747,[1]内部转账!$E:$E,$G2747)-SUMIFS([1]内部转账!$G:$G,[1]内部转账!$C:$C,"&lt;="&amp;$D2747,[1]内部转账!$F:$F,$G2747)),"")</f>
        <v/>
      </c>
      <c r="M2747" s="64"/>
      <c r="N2747" s="69"/>
      <c r="O2747" s="64"/>
      <c r="P2747" s="64"/>
      <c r="Q2747" s="69"/>
      <c r="R2747" s="69"/>
      <c r="S2747" s="69"/>
    </row>
    <row r="2748" s="2" customFormat="1" ht="24.95" customHeight="1" spans="1:19">
      <c r="A2748" s="15"/>
      <c r="B2748" s="55"/>
      <c r="C2748" s="56"/>
      <c r="D2748" s="68"/>
      <c r="E2748" s="69"/>
      <c r="F2748" s="69"/>
      <c r="G2748" s="65"/>
      <c r="H2748" s="65"/>
      <c r="I2748" s="70"/>
      <c r="J2748" s="71"/>
      <c r="K2748" s="71"/>
      <c r="L2748" s="72" t="str">
        <f>IFERROR(IF(G2748="","",VLOOKUP($G2748,[1]基础信息!$B:$C,2,FALSE)+SUMIF(G$8:G2748,G2748,J$8:J2748)-SUMIF(G$8:G2748,G2748,K$8:K2748)+SUMIFS([1]内部转账!$G:$G,[1]内部转账!$C:$C,"&lt;="&amp;$D2748,[1]内部转账!$E:$E,$G2748)-SUMIFS([1]内部转账!$G:$G,[1]内部转账!$C:$C,"&lt;="&amp;$D2748,[1]内部转账!$F:$F,$G2748)),"")</f>
        <v/>
      </c>
      <c r="M2748" s="64"/>
      <c r="N2748" s="69"/>
      <c r="O2748" s="64"/>
      <c r="P2748" s="64"/>
      <c r="Q2748" s="69"/>
      <c r="R2748" s="69"/>
      <c r="S2748" s="69"/>
    </row>
    <row r="2749" s="2" customFormat="1" ht="24.95" customHeight="1" spans="1:19">
      <c r="A2749" s="15"/>
      <c r="B2749" s="55"/>
      <c r="C2749" s="56"/>
      <c r="D2749" s="68"/>
      <c r="E2749" s="69"/>
      <c r="F2749" s="69"/>
      <c r="G2749" s="65"/>
      <c r="H2749" s="65"/>
      <c r="I2749" s="70"/>
      <c r="J2749" s="71"/>
      <c r="K2749" s="71"/>
      <c r="L2749" s="72" t="str">
        <f>IFERROR(IF(G2749="","",VLOOKUP($G2749,[1]基础信息!$B:$C,2,FALSE)+SUMIF(G$8:G2749,G2749,J$8:J2749)-SUMIF(G$8:G2749,G2749,K$8:K2749)+SUMIFS([1]内部转账!$G:$G,[1]内部转账!$C:$C,"&lt;="&amp;$D2749,[1]内部转账!$E:$E,$G2749)-SUMIFS([1]内部转账!$G:$G,[1]内部转账!$C:$C,"&lt;="&amp;$D2749,[1]内部转账!$F:$F,$G2749)),"")</f>
        <v/>
      </c>
      <c r="M2749" s="64"/>
      <c r="N2749" s="69"/>
      <c r="O2749" s="64"/>
      <c r="P2749" s="64"/>
      <c r="Q2749" s="69"/>
      <c r="R2749" s="69"/>
      <c r="S2749" s="69"/>
    </row>
    <row r="2750" s="2" customFormat="1" ht="24.95" customHeight="1" spans="1:19">
      <c r="A2750" s="15"/>
      <c r="B2750" s="55"/>
      <c r="C2750" s="56"/>
      <c r="D2750" s="68"/>
      <c r="E2750" s="69"/>
      <c r="F2750" s="69"/>
      <c r="G2750" s="65"/>
      <c r="H2750" s="65"/>
      <c r="I2750" s="70"/>
      <c r="J2750" s="71"/>
      <c r="K2750" s="71"/>
      <c r="L2750" s="72" t="str">
        <f>IFERROR(IF(G2750="","",VLOOKUP($G2750,[1]基础信息!$B:$C,2,FALSE)+SUMIF(G$8:G2750,G2750,J$8:J2750)-SUMIF(G$8:G2750,G2750,K$8:K2750)+SUMIFS([1]内部转账!$G:$G,[1]内部转账!$C:$C,"&lt;="&amp;$D2750,[1]内部转账!$E:$E,$G2750)-SUMIFS([1]内部转账!$G:$G,[1]内部转账!$C:$C,"&lt;="&amp;$D2750,[1]内部转账!$F:$F,$G2750)),"")</f>
        <v/>
      </c>
      <c r="M2750" s="64"/>
      <c r="N2750" s="69"/>
      <c r="O2750" s="64"/>
      <c r="P2750" s="64"/>
      <c r="Q2750" s="69"/>
      <c r="R2750" s="69"/>
      <c r="S2750" s="69"/>
    </row>
    <row r="2751" s="2" customFormat="1" ht="24.95" customHeight="1" spans="1:19">
      <c r="A2751" s="15"/>
      <c r="B2751" s="55"/>
      <c r="C2751" s="56"/>
      <c r="D2751" s="68"/>
      <c r="E2751" s="69"/>
      <c r="F2751" s="69"/>
      <c r="G2751" s="65"/>
      <c r="H2751" s="65"/>
      <c r="I2751" s="70"/>
      <c r="J2751" s="71"/>
      <c r="K2751" s="71"/>
      <c r="L2751" s="72" t="str">
        <f>IFERROR(IF(G2751="","",VLOOKUP($G2751,[1]基础信息!$B:$C,2,FALSE)+SUMIF(G$8:G2751,G2751,J$8:J2751)-SUMIF(G$8:G2751,G2751,K$8:K2751)+SUMIFS([1]内部转账!$G:$G,[1]内部转账!$C:$C,"&lt;="&amp;$D2751,[1]内部转账!$E:$E,$G2751)-SUMIFS([1]内部转账!$G:$G,[1]内部转账!$C:$C,"&lt;="&amp;$D2751,[1]内部转账!$F:$F,$G2751)),"")</f>
        <v/>
      </c>
      <c r="M2751" s="64"/>
      <c r="N2751" s="69"/>
      <c r="O2751" s="64"/>
      <c r="P2751" s="64"/>
      <c r="Q2751" s="69"/>
      <c r="R2751" s="69"/>
      <c r="S2751" s="69"/>
    </row>
    <row r="2752" s="2" customFormat="1" ht="24.95" customHeight="1" spans="1:19">
      <c r="A2752" s="15"/>
      <c r="B2752" s="55"/>
      <c r="C2752" s="56"/>
      <c r="D2752" s="68"/>
      <c r="E2752" s="69"/>
      <c r="F2752" s="69"/>
      <c r="G2752" s="65"/>
      <c r="H2752" s="65"/>
      <c r="I2752" s="70"/>
      <c r="J2752" s="71"/>
      <c r="K2752" s="71"/>
      <c r="L2752" s="72" t="str">
        <f>IFERROR(IF(G2752="","",VLOOKUP($G2752,[1]基础信息!$B:$C,2,FALSE)+SUMIF(G$8:G2752,G2752,J$8:J2752)-SUMIF(G$8:G2752,G2752,K$8:K2752)+SUMIFS([1]内部转账!$G:$G,[1]内部转账!$C:$C,"&lt;="&amp;$D2752,[1]内部转账!$E:$E,$G2752)-SUMIFS([1]内部转账!$G:$G,[1]内部转账!$C:$C,"&lt;="&amp;$D2752,[1]内部转账!$F:$F,$G2752)),"")</f>
        <v/>
      </c>
      <c r="M2752" s="64"/>
      <c r="N2752" s="69"/>
      <c r="O2752" s="64"/>
      <c r="P2752" s="64"/>
      <c r="Q2752" s="69"/>
      <c r="R2752" s="69"/>
      <c r="S2752" s="69"/>
    </row>
    <row r="2753" s="2" customFormat="1" ht="24.95" customHeight="1" spans="1:19">
      <c r="A2753" s="15"/>
      <c r="B2753" s="55"/>
      <c r="C2753" s="56"/>
      <c r="D2753" s="68"/>
      <c r="E2753" s="69"/>
      <c r="F2753" s="69"/>
      <c r="G2753" s="65"/>
      <c r="H2753" s="65"/>
      <c r="I2753" s="70"/>
      <c r="J2753" s="71"/>
      <c r="K2753" s="71"/>
      <c r="L2753" s="72" t="str">
        <f>IFERROR(IF(G2753="","",VLOOKUP($G2753,[1]基础信息!$B:$C,2,FALSE)+SUMIF(G$8:G2753,G2753,J$8:J2753)-SUMIF(G$8:G2753,G2753,K$8:K2753)+SUMIFS([1]内部转账!$G:$G,[1]内部转账!$C:$C,"&lt;="&amp;$D2753,[1]内部转账!$E:$E,$G2753)-SUMIFS([1]内部转账!$G:$G,[1]内部转账!$C:$C,"&lt;="&amp;$D2753,[1]内部转账!$F:$F,$G2753)),"")</f>
        <v/>
      </c>
      <c r="M2753" s="64"/>
      <c r="N2753" s="69"/>
      <c r="O2753" s="64"/>
      <c r="P2753" s="64"/>
      <c r="Q2753" s="69"/>
      <c r="R2753" s="69"/>
      <c r="S2753" s="69"/>
    </row>
    <row r="2754" s="2" customFormat="1" ht="24.95" customHeight="1" spans="1:19">
      <c r="A2754" s="15"/>
      <c r="B2754" s="55"/>
      <c r="C2754" s="56"/>
      <c r="D2754" s="68"/>
      <c r="E2754" s="69"/>
      <c r="F2754" s="69"/>
      <c r="G2754" s="65"/>
      <c r="H2754" s="65"/>
      <c r="I2754" s="70"/>
      <c r="J2754" s="71"/>
      <c r="K2754" s="71"/>
      <c r="L2754" s="72" t="str">
        <f>IFERROR(IF(G2754="","",VLOOKUP($G2754,[1]基础信息!$B:$C,2,FALSE)+SUMIF(G$8:G2754,G2754,J$8:J2754)-SUMIF(G$8:G2754,G2754,K$8:K2754)+SUMIFS([1]内部转账!$G:$G,[1]内部转账!$C:$C,"&lt;="&amp;$D2754,[1]内部转账!$E:$E,$G2754)-SUMIFS([1]内部转账!$G:$G,[1]内部转账!$C:$C,"&lt;="&amp;$D2754,[1]内部转账!$F:$F,$G2754)),"")</f>
        <v/>
      </c>
      <c r="M2754" s="64"/>
      <c r="N2754" s="69"/>
      <c r="O2754" s="64"/>
      <c r="P2754" s="64"/>
      <c r="Q2754" s="69"/>
      <c r="R2754" s="69"/>
      <c r="S2754" s="69"/>
    </row>
    <row r="2755" s="2" customFormat="1" ht="24.95" customHeight="1" spans="1:19">
      <c r="A2755" s="15"/>
      <c r="B2755" s="55"/>
      <c r="C2755" s="56"/>
      <c r="D2755" s="68"/>
      <c r="E2755" s="69"/>
      <c r="F2755" s="69"/>
      <c r="G2755" s="65"/>
      <c r="H2755" s="65"/>
      <c r="I2755" s="70"/>
      <c r="J2755" s="71"/>
      <c r="K2755" s="71"/>
      <c r="L2755" s="72" t="str">
        <f>IFERROR(IF(G2755="","",VLOOKUP($G2755,[1]基础信息!$B:$C,2,FALSE)+SUMIF(G$8:G2755,G2755,J$8:J2755)-SUMIF(G$8:G2755,G2755,K$8:K2755)+SUMIFS([1]内部转账!$G:$G,[1]内部转账!$C:$C,"&lt;="&amp;$D2755,[1]内部转账!$E:$E,$G2755)-SUMIFS([1]内部转账!$G:$G,[1]内部转账!$C:$C,"&lt;="&amp;$D2755,[1]内部转账!$F:$F,$G2755)),"")</f>
        <v/>
      </c>
      <c r="M2755" s="64"/>
      <c r="N2755" s="69"/>
      <c r="O2755" s="64"/>
      <c r="P2755" s="64"/>
      <c r="Q2755" s="69"/>
      <c r="R2755" s="69"/>
      <c r="S2755" s="69"/>
    </row>
    <row r="2756" s="2" customFormat="1" ht="24.95" customHeight="1" spans="1:19">
      <c r="A2756" s="15"/>
      <c r="B2756" s="55"/>
      <c r="C2756" s="56"/>
      <c r="D2756" s="68"/>
      <c r="E2756" s="69"/>
      <c r="F2756" s="69"/>
      <c r="G2756" s="65"/>
      <c r="H2756" s="65"/>
      <c r="I2756" s="70"/>
      <c r="J2756" s="71"/>
      <c r="K2756" s="71"/>
      <c r="L2756" s="72" t="str">
        <f>IFERROR(IF(G2756="","",VLOOKUP($G2756,[1]基础信息!$B:$C,2,FALSE)+SUMIF(G$8:G2756,G2756,J$8:J2756)-SUMIF(G$8:G2756,G2756,K$8:K2756)+SUMIFS([1]内部转账!$G:$G,[1]内部转账!$C:$C,"&lt;="&amp;$D2756,[1]内部转账!$E:$E,$G2756)-SUMIFS([1]内部转账!$G:$G,[1]内部转账!$C:$C,"&lt;="&amp;$D2756,[1]内部转账!$F:$F,$G2756)),"")</f>
        <v/>
      </c>
      <c r="M2756" s="64"/>
      <c r="N2756" s="69"/>
      <c r="O2756" s="64"/>
      <c r="P2756" s="64"/>
      <c r="Q2756" s="69"/>
      <c r="R2756" s="69"/>
      <c r="S2756" s="69"/>
    </row>
    <row r="2757" s="2" customFormat="1" ht="24.95" customHeight="1" spans="1:19">
      <c r="A2757" s="15"/>
      <c r="B2757" s="55"/>
      <c r="C2757" s="56"/>
      <c r="D2757" s="68"/>
      <c r="E2757" s="69"/>
      <c r="F2757" s="69"/>
      <c r="G2757" s="65"/>
      <c r="H2757" s="65"/>
      <c r="I2757" s="70"/>
      <c r="J2757" s="71"/>
      <c r="K2757" s="71"/>
      <c r="L2757" s="72" t="str">
        <f>IFERROR(IF(G2757="","",VLOOKUP($G2757,[1]基础信息!$B:$C,2,FALSE)+SUMIF(G$8:G2757,G2757,J$8:J2757)-SUMIF(G$8:G2757,G2757,K$8:K2757)+SUMIFS([1]内部转账!$G:$G,[1]内部转账!$C:$C,"&lt;="&amp;$D2757,[1]内部转账!$E:$E,$G2757)-SUMIFS([1]内部转账!$G:$G,[1]内部转账!$C:$C,"&lt;="&amp;$D2757,[1]内部转账!$F:$F,$G2757)),"")</f>
        <v/>
      </c>
      <c r="M2757" s="64"/>
      <c r="N2757" s="69"/>
      <c r="O2757" s="64"/>
      <c r="P2757" s="64"/>
      <c r="Q2757" s="69"/>
      <c r="R2757" s="69"/>
      <c r="S2757" s="69"/>
    </row>
    <row r="2758" s="2" customFormat="1" ht="24.95" customHeight="1" spans="1:19">
      <c r="A2758" s="15"/>
      <c r="B2758" s="55"/>
      <c r="C2758" s="56"/>
      <c r="D2758" s="68"/>
      <c r="E2758" s="69"/>
      <c r="F2758" s="69"/>
      <c r="G2758" s="65"/>
      <c r="H2758" s="65"/>
      <c r="I2758" s="70"/>
      <c r="J2758" s="71"/>
      <c r="K2758" s="71"/>
      <c r="L2758" s="72" t="str">
        <f>IFERROR(IF(G2758="","",VLOOKUP($G2758,[1]基础信息!$B:$C,2,FALSE)+SUMIF(G$8:G2758,G2758,J$8:J2758)-SUMIF(G$8:G2758,G2758,K$8:K2758)+SUMIFS([1]内部转账!$G:$G,[1]内部转账!$C:$C,"&lt;="&amp;$D2758,[1]内部转账!$E:$E,$G2758)-SUMIFS([1]内部转账!$G:$G,[1]内部转账!$C:$C,"&lt;="&amp;$D2758,[1]内部转账!$F:$F,$G2758)),"")</f>
        <v/>
      </c>
      <c r="M2758" s="64"/>
      <c r="N2758" s="69"/>
      <c r="O2758" s="64"/>
      <c r="P2758" s="64"/>
      <c r="Q2758" s="69"/>
      <c r="R2758" s="69"/>
      <c r="S2758" s="69"/>
    </row>
    <row r="2759" s="2" customFormat="1" ht="24.95" customHeight="1" spans="1:19">
      <c r="A2759" s="15"/>
      <c r="B2759" s="55"/>
      <c r="C2759" s="56"/>
      <c r="D2759" s="68"/>
      <c r="E2759" s="69"/>
      <c r="F2759" s="69"/>
      <c r="G2759" s="65"/>
      <c r="H2759" s="65"/>
      <c r="I2759" s="70"/>
      <c r="J2759" s="71"/>
      <c r="K2759" s="71"/>
      <c r="L2759" s="72" t="str">
        <f>IFERROR(IF(G2759="","",VLOOKUP($G2759,[1]基础信息!$B:$C,2,FALSE)+SUMIF(G$8:G2759,G2759,J$8:J2759)-SUMIF(G$8:G2759,G2759,K$8:K2759)+SUMIFS([1]内部转账!$G:$G,[1]内部转账!$C:$C,"&lt;="&amp;$D2759,[1]内部转账!$E:$E,$G2759)-SUMIFS([1]内部转账!$G:$G,[1]内部转账!$C:$C,"&lt;="&amp;$D2759,[1]内部转账!$F:$F,$G2759)),"")</f>
        <v/>
      </c>
      <c r="M2759" s="64"/>
      <c r="N2759" s="69"/>
      <c r="O2759" s="64"/>
      <c r="P2759" s="64"/>
      <c r="Q2759" s="69"/>
      <c r="R2759" s="69"/>
      <c r="S2759" s="69"/>
    </row>
    <row r="2760" s="2" customFormat="1" ht="24.95" customHeight="1" spans="1:19">
      <c r="A2760" s="15"/>
      <c r="B2760" s="55"/>
      <c r="C2760" s="56"/>
      <c r="D2760" s="68"/>
      <c r="E2760" s="69"/>
      <c r="F2760" s="69"/>
      <c r="G2760" s="65"/>
      <c r="H2760" s="65"/>
      <c r="I2760" s="70"/>
      <c r="J2760" s="71"/>
      <c r="K2760" s="71"/>
      <c r="L2760" s="72" t="str">
        <f>IFERROR(IF(G2760="","",VLOOKUP($G2760,[1]基础信息!$B:$C,2,FALSE)+SUMIF(G$8:G2760,G2760,J$8:J2760)-SUMIF(G$8:G2760,G2760,K$8:K2760)+SUMIFS([1]内部转账!$G:$G,[1]内部转账!$C:$C,"&lt;="&amp;$D2760,[1]内部转账!$E:$E,$G2760)-SUMIFS([1]内部转账!$G:$G,[1]内部转账!$C:$C,"&lt;="&amp;$D2760,[1]内部转账!$F:$F,$G2760)),"")</f>
        <v/>
      </c>
      <c r="M2760" s="64"/>
      <c r="N2760" s="69"/>
      <c r="O2760" s="64"/>
      <c r="P2760" s="64"/>
      <c r="Q2760" s="69"/>
      <c r="R2760" s="69"/>
      <c r="S2760" s="69"/>
    </row>
    <row r="2761" s="2" customFormat="1" ht="24.95" customHeight="1" spans="1:19">
      <c r="A2761" s="15"/>
      <c r="B2761" s="55"/>
      <c r="C2761" s="56"/>
      <c r="D2761" s="68"/>
      <c r="E2761" s="69"/>
      <c r="F2761" s="69"/>
      <c r="G2761" s="65"/>
      <c r="H2761" s="65"/>
      <c r="I2761" s="70"/>
      <c r="J2761" s="71"/>
      <c r="K2761" s="71"/>
      <c r="L2761" s="72" t="str">
        <f>IFERROR(IF(G2761="","",VLOOKUP($G2761,[1]基础信息!$B:$C,2,FALSE)+SUMIF(G$8:G2761,G2761,J$8:J2761)-SUMIF(G$8:G2761,G2761,K$8:K2761)+SUMIFS([1]内部转账!$G:$G,[1]内部转账!$C:$C,"&lt;="&amp;$D2761,[1]内部转账!$E:$E,$G2761)-SUMIFS([1]内部转账!$G:$G,[1]内部转账!$C:$C,"&lt;="&amp;$D2761,[1]内部转账!$F:$F,$G2761)),"")</f>
        <v/>
      </c>
      <c r="M2761" s="64"/>
      <c r="N2761" s="69"/>
      <c r="O2761" s="64"/>
      <c r="P2761" s="64"/>
      <c r="Q2761" s="69"/>
      <c r="R2761" s="69"/>
      <c r="S2761" s="69"/>
    </row>
    <row r="2762" s="2" customFormat="1" ht="24.95" customHeight="1" spans="1:19">
      <c r="A2762" s="15"/>
      <c r="B2762" s="55"/>
      <c r="C2762" s="56"/>
      <c r="D2762" s="68"/>
      <c r="E2762" s="69"/>
      <c r="F2762" s="69"/>
      <c r="G2762" s="65"/>
      <c r="H2762" s="65"/>
      <c r="I2762" s="70"/>
      <c r="J2762" s="71"/>
      <c r="K2762" s="71"/>
      <c r="L2762" s="72" t="str">
        <f>IFERROR(IF(G2762="","",VLOOKUP($G2762,[1]基础信息!$B:$C,2,FALSE)+SUMIF(G$8:G2762,G2762,J$8:J2762)-SUMIF(G$8:G2762,G2762,K$8:K2762)+SUMIFS([1]内部转账!$G:$G,[1]内部转账!$C:$C,"&lt;="&amp;$D2762,[1]内部转账!$E:$E,$G2762)-SUMIFS([1]内部转账!$G:$G,[1]内部转账!$C:$C,"&lt;="&amp;$D2762,[1]内部转账!$F:$F,$G2762)),"")</f>
        <v/>
      </c>
      <c r="M2762" s="64"/>
      <c r="N2762" s="69"/>
      <c r="O2762" s="64"/>
      <c r="P2762" s="64"/>
      <c r="Q2762" s="69"/>
      <c r="R2762" s="69"/>
      <c r="S2762" s="69"/>
    </row>
    <row r="2763" s="2" customFormat="1" ht="24.95" customHeight="1" spans="1:19">
      <c r="A2763" s="15"/>
      <c r="B2763" s="55"/>
      <c r="C2763" s="56"/>
      <c r="D2763" s="68"/>
      <c r="E2763" s="69"/>
      <c r="F2763" s="69"/>
      <c r="G2763" s="65"/>
      <c r="H2763" s="65"/>
      <c r="I2763" s="70"/>
      <c r="J2763" s="71"/>
      <c r="K2763" s="71"/>
      <c r="L2763" s="72" t="str">
        <f>IFERROR(IF(G2763="","",VLOOKUP($G2763,[1]基础信息!$B:$C,2,FALSE)+SUMIF(G$8:G2763,G2763,J$8:J2763)-SUMIF(G$8:G2763,G2763,K$8:K2763)+SUMIFS([1]内部转账!$G:$G,[1]内部转账!$C:$C,"&lt;="&amp;$D2763,[1]内部转账!$E:$E,$G2763)-SUMIFS([1]内部转账!$G:$G,[1]内部转账!$C:$C,"&lt;="&amp;$D2763,[1]内部转账!$F:$F,$G2763)),"")</f>
        <v/>
      </c>
      <c r="M2763" s="64"/>
      <c r="N2763" s="69"/>
      <c r="O2763" s="64"/>
      <c r="P2763" s="64"/>
      <c r="Q2763" s="69"/>
      <c r="R2763" s="69"/>
      <c r="S2763" s="69"/>
    </row>
    <row r="2764" s="2" customFormat="1" ht="24.95" customHeight="1" spans="1:19">
      <c r="A2764" s="15"/>
      <c r="B2764" s="55"/>
      <c r="C2764" s="56"/>
      <c r="D2764" s="68"/>
      <c r="E2764" s="69"/>
      <c r="F2764" s="69"/>
      <c r="G2764" s="65"/>
      <c r="H2764" s="65"/>
      <c r="I2764" s="70"/>
      <c r="J2764" s="71"/>
      <c r="K2764" s="71"/>
      <c r="L2764" s="72" t="str">
        <f>IFERROR(IF(G2764="","",VLOOKUP($G2764,[1]基础信息!$B:$C,2,FALSE)+SUMIF(G$8:G2764,G2764,J$8:J2764)-SUMIF(G$8:G2764,G2764,K$8:K2764)+SUMIFS([1]内部转账!$G:$G,[1]内部转账!$C:$C,"&lt;="&amp;$D2764,[1]内部转账!$E:$E,$G2764)-SUMIFS([1]内部转账!$G:$G,[1]内部转账!$C:$C,"&lt;="&amp;$D2764,[1]内部转账!$F:$F,$G2764)),"")</f>
        <v/>
      </c>
      <c r="M2764" s="64"/>
      <c r="N2764" s="69"/>
      <c r="O2764" s="64"/>
      <c r="P2764" s="64"/>
      <c r="Q2764" s="69"/>
      <c r="R2764" s="69"/>
      <c r="S2764" s="69"/>
    </row>
    <row r="2765" s="2" customFormat="1" ht="24.95" customHeight="1" spans="1:19">
      <c r="A2765" s="15"/>
      <c r="B2765" s="55"/>
      <c r="C2765" s="56"/>
      <c r="D2765" s="68"/>
      <c r="E2765" s="69"/>
      <c r="F2765" s="69"/>
      <c r="G2765" s="65"/>
      <c r="H2765" s="65"/>
      <c r="I2765" s="70"/>
      <c r="J2765" s="71"/>
      <c r="K2765" s="71"/>
      <c r="L2765" s="72" t="str">
        <f>IFERROR(IF(G2765="","",VLOOKUP($G2765,[1]基础信息!$B:$C,2,FALSE)+SUMIF(G$8:G2765,G2765,J$8:J2765)-SUMIF(G$8:G2765,G2765,K$8:K2765)+SUMIFS([1]内部转账!$G:$G,[1]内部转账!$C:$C,"&lt;="&amp;$D2765,[1]内部转账!$E:$E,$G2765)-SUMIFS([1]内部转账!$G:$G,[1]内部转账!$C:$C,"&lt;="&amp;$D2765,[1]内部转账!$F:$F,$G2765)),"")</f>
        <v/>
      </c>
      <c r="M2765" s="64"/>
      <c r="N2765" s="69"/>
      <c r="O2765" s="64"/>
      <c r="P2765" s="64"/>
      <c r="Q2765" s="69"/>
      <c r="R2765" s="69"/>
      <c r="S2765" s="69"/>
    </row>
    <row r="2766" s="2" customFormat="1" ht="24.95" customHeight="1" spans="1:19">
      <c r="A2766" s="15"/>
      <c r="B2766" s="55"/>
      <c r="C2766" s="56"/>
      <c r="D2766" s="68"/>
      <c r="E2766" s="69"/>
      <c r="F2766" s="69"/>
      <c r="G2766" s="65"/>
      <c r="H2766" s="65"/>
      <c r="I2766" s="70"/>
      <c r="J2766" s="71"/>
      <c r="K2766" s="71"/>
      <c r="L2766" s="72" t="str">
        <f>IFERROR(IF(G2766="","",VLOOKUP($G2766,[1]基础信息!$B:$C,2,FALSE)+SUMIF(G$8:G2766,G2766,J$8:J2766)-SUMIF(G$8:G2766,G2766,K$8:K2766)+SUMIFS([1]内部转账!$G:$G,[1]内部转账!$C:$C,"&lt;="&amp;$D2766,[1]内部转账!$E:$E,$G2766)-SUMIFS([1]内部转账!$G:$G,[1]内部转账!$C:$C,"&lt;="&amp;$D2766,[1]内部转账!$F:$F,$G2766)),"")</f>
        <v/>
      </c>
      <c r="M2766" s="64"/>
      <c r="N2766" s="69"/>
      <c r="O2766" s="64"/>
      <c r="P2766" s="64"/>
      <c r="Q2766" s="69"/>
      <c r="R2766" s="69"/>
      <c r="S2766" s="69"/>
    </row>
    <row r="2767" s="2" customFormat="1" ht="24.95" customHeight="1" spans="1:19">
      <c r="A2767" s="15"/>
      <c r="B2767" s="55"/>
      <c r="C2767" s="56"/>
      <c r="D2767" s="68"/>
      <c r="E2767" s="69"/>
      <c r="F2767" s="69"/>
      <c r="G2767" s="65"/>
      <c r="H2767" s="65"/>
      <c r="I2767" s="70"/>
      <c r="J2767" s="71"/>
      <c r="K2767" s="71"/>
      <c r="L2767" s="72" t="str">
        <f>IFERROR(IF(G2767="","",VLOOKUP($G2767,[1]基础信息!$B:$C,2,FALSE)+SUMIF(G$8:G2767,G2767,J$8:J2767)-SUMIF(G$8:G2767,G2767,K$8:K2767)+SUMIFS([1]内部转账!$G:$G,[1]内部转账!$C:$C,"&lt;="&amp;$D2767,[1]内部转账!$E:$E,$G2767)-SUMIFS([1]内部转账!$G:$G,[1]内部转账!$C:$C,"&lt;="&amp;$D2767,[1]内部转账!$F:$F,$G2767)),"")</f>
        <v/>
      </c>
      <c r="M2767" s="64"/>
      <c r="N2767" s="69"/>
      <c r="O2767" s="64"/>
      <c r="P2767" s="64"/>
      <c r="Q2767" s="69"/>
      <c r="R2767" s="69"/>
      <c r="S2767" s="69"/>
    </row>
    <row r="2768" s="2" customFormat="1" ht="24.95" customHeight="1" spans="1:19">
      <c r="A2768" s="15"/>
      <c r="B2768" s="55"/>
      <c r="C2768" s="56"/>
      <c r="D2768" s="68"/>
      <c r="E2768" s="69"/>
      <c r="F2768" s="69"/>
      <c r="G2768" s="65"/>
      <c r="H2768" s="65"/>
      <c r="I2768" s="70"/>
      <c r="J2768" s="71"/>
      <c r="K2768" s="71"/>
      <c r="L2768" s="72" t="str">
        <f>IFERROR(IF(G2768="","",VLOOKUP($G2768,[1]基础信息!$B:$C,2,FALSE)+SUMIF(G$8:G2768,G2768,J$8:J2768)-SUMIF(G$8:G2768,G2768,K$8:K2768)+SUMIFS([1]内部转账!$G:$G,[1]内部转账!$C:$C,"&lt;="&amp;$D2768,[1]内部转账!$E:$E,$G2768)-SUMIFS([1]内部转账!$G:$G,[1]内部转账!$C:$C,"&lt;="&amp;$D2768,[1]内部转账!$F:$F,$G2768)),"")</f>
        <v/>
      </c>
      <c r="M2768" s="64"/>
      <c r="N2768" s="69"/>
      <c r="O2768" s="64"/>
      <c r="P2768" s="64"/>
      <c r="Q2768" s="69"/>
      <c r="R2768" s="69"/>
      <c r="S2768" s="69"/>
    </row>
    <row r="2769" s="2" customFormat="1" ht="24.95" customHeight="1" spans="1:19">
      <c r="A2769" s="15"/>
      <c r="B2769" s="55"/>
      <c r="C2769" s="56"/>
      <c r="D2769" s="68"/>
      <c r="E2769" s="69"/>
      <c r="F2769" s="69"/>
      <c r="G2769" s="65"/>
      <c r="H2769" s="65"/>
      <c r="I2769" s="70"/>
      <c r="J2769" s="71"/>
      <c r="K2769" s="71"/>
      <c r="L2769" s="72" t="str">
        <f>IFERROR(IF(G2769="","",VLOOKUP($G2769,[1]基础信息!$B:$C,2,FALSE)+SUMIF(G$8:G2769,G2769,J$8:J2769)-SUMIF(G$8:G2769,G2769,K$8:K2769)+SUMIFS([1]内部转账!$G:$G,[1]内部转账!$C:$C,"&lt;="&amp;$D2769,[1]内部转账!$E:$E,$G2769)-SUMIFS([1]内部转账!$G:$G,[1]内部转账!$C:$C,"&lt;="&amp;$D2769,[1]内部转账!$F:$F,$G2769)),"")</f>
        <v/>
      </c>
      <c r="M2769" s="64"/>
      <c r="N2769" s="69"/>
      <c r="O2769" s="64"/>
      <c r="P2769" s="64"/>
      <c r="Q2769" s="69"/>
      <c r="R2769" s="69"/>
      <c r="S2769" s="69"/>
    </row>
    <row r="2770" s="2" customFormat="1" ht="24.95" customHeight="1" spans="1:19">
      <c r="A2770" s="15"/>
      <c r="B2770" s="55"/>
      <c r="C2770" s="56"/>
      <c r="D2770" s="68"/>
      <c r="E2770" s="69"/>
      <c r="F2770" s="69"/>
      <c r="G2770" s="65"/>
      <c r="H2770" s="65"/>
      <c r="I2770" s="70"/>
      <c r="J2770" s="71"/>
      <c r="K2770" s="71"/>
      <c r="L2770" s="72" t="str">
        <f>IFERROR(IF(G2770="","",VLOOKUP($G2770,[1]基础信息!$B:$C,2,FALSE)+SUMIF(G$8:G2770,G2770,J$8:J2770)-SUMIF(G$8:G2770,G2770,K$8:K2770)+SUMIFS([1]内部转账!$G:$G,[1]内部转账!$C:$C,"&lt;="&amp;$D2770,[1]内部转账!$E:$E,$G2770)-SUMIFS([1]内部转账!$G:$G,[1]内部转账!$C:$C,"&lt;="&amp;$D2770,[1]内部转账!$F:$F,$G2770)),"")</f>
        <v/>
      </c>
      <c r="M2770" s="64"/>
      <c r="N2770" s="69"/>
      <c r="O2770" s="64"/>
      <c r="P2770" s="64"/>
      <c r="Q2770" s="69"/>
      <c r="R2770" s="69"/>
      <c r="S2770" s="69"/>
    </row>
    <row r="2771" s="2" customFormat="1" ht="24.95" customHeight="1" spans="1:19">
      <c r="A2771" s="15"/>
      <c r="B2771" s="55"/>
      <c r="C2771" s="56"/>
      <c r="D2771" s="68"/>
      <c r="E2771" s="69"/>
      <c r="F2771" s="69"/>
      <c r="G2771" s="65"/>
      <c r="H2771" s="65"/>
      <c r="I2771" s="70"/>
      <c r="J2771" s="71"/>
      <c r="K2771" s="71"/>
      <c r="L2771" s="72" t="str">
        <f>IFERROR(IF(G2771="","",VLOOKUP($G2771,[1]基础信息!$B:$C,2,FALSE)+SUMIF(G$8:G2771,G2771,J$8:J2771)-SUMIF(G$8:G2771,G2771,K$8:K2771)+SUMIFS([1]内部转账!$G:$G,[1]内部转账!$C:$C,"&lt;="&amp;$D2771,[1]内部转账!$E:$E,$G2771)-SUMIFS([1]内部转账!$G:$G,[1]内部转账!$C:$C,"&lt;="&amp;$D2771,[1]内部转账!$F:$F,$G2771)),"")</f>
        <v/>
      </c>
      <c r="M2771" s="64"/>
      <c r="N2771" s="69"/>
      <c r="O2771" s="64"/>
      <c r="P2771" s="64"/>
      <c r="Q2771" s="69"/>
      <c r="R2771" s="69"/>
      <c r="S2771" s="69"/>
    </row>
    <row r="2772" s="2" customFormat="1" ht="24.95" customHeight="1" spans="1:19">
      <c r="A2772" s="15"/>
      <c r="B2772" s="55"/>
      <c r="C2772" s="56"/>
      <c r="D2772" s="68"/>
      <c r="E2772" s="69"/>
      <c r="F2772" s="69"/>
      <c r="G2772" s="65"/>
      <c r="H2772" s="65"/>
      <c r="I2772" s="70"/>
      <c r="J2772" s="71"/>
      <c r="K2772" s="71"/>
      <c r="L2772" s="72" t="str">
        <f>IFERROR(IF(G2772="","",VLOOKUP($G2772,[1]基础信息!$B:$C,2,FALSE)+SUMIF(G$8:G2772,G2772,J$8:J2772)-SUMIF(G$8:G2772,G2772,K$8:K2772)+SUMIFS([1]内部转账!$G:$G,[1]内部转账!$C:$C,"&lt;="&amp;$D2772,[1]内部转账!$E:$E,$G2772)-SUMIFS([1]内部转账!$G:$G,[1]内部转账!$C:$C,"&lt;="&amp;$D2772,[1]内部转账!$F:$F,$G2772)),"")</f>
        <v/>
      </c>
      <c r="M2772" s="64"/>
      <c r="N2772" s="69"/>
      <c r="O2772" s="64"/>
      <c r="P2772" s="64"/>
      <c r="Q2772" s="69"/>
      <c r="R2772" s="69"/>
      <c r="S2772" s="69"/>
    </row>
    <row r="2773" s="2" customFormat="1" ht="24.95" customHeight="1" spans="1:19">
      <c r="A2773" s="15"/>
      <c r="B2773" s="55"/>
      <c r="C2773" s="56"/>
      <c r="D2773" s="68"/>
      <c r="E2773" s="69"/>
      <c r="F2773" s="69"/>
      <c r="G2773" s="65"/>
      <c r="H2773" s="65"/>
      <c r="I2773" s="70"/>
      <c r="J2773" s="71"/>
      <c r="K2773" s="71"/>
      <c r="L2773" s="72" t="str">
        <f>IFERROR(IF(G2773="","",VLOOKUP($G2773,[1]基础信息!$B:$C,2,FALSE)+SUMIF(G$8:G2773,G2773,J$8:J2773)-SUMIF(G$8:G2773,G2773,K$8:K2773)+SUMIFS([1]内部转账!$G:$G,[1]内部转账!$C:$C,"&lt;="&amp;$D2773,[1]内部转账!$E:$E,$G2773)-SUMIFS([1]内部转账!$G:$G,[1]内部转账!$C:$C,"&lt;="&amp;$D2773,[1]内部转账!$F:$F,$G2773)),"")</f>
        <v/>
      </c>
      <c r="M2773" s="64"/>
      <c r="N2773" s="69"/>
      <c r="O2773" s="64"/>
      <c r="P2773" s="64"/>
      <c r="Q2773" s="69"/>
      <c r="R2773" s="69"/>
      <c r="S2773" s="69"/>
    </row>
    <row r="2774" s="2" customFormat="1" ht="24.95" customHeight="1" spans="1:19">
      <c r="A2774" s="15"/>
      <c r="B2774" s="55"/>
      <c r="C2774" s="56"/>
      <c r="D2774" s="68"/>
      <c r="E2774" s="69"/>
      <c r="F2774" s="69"/>
      <c r="G2774" s="65"/>
      <c r="H2774" s="65"/>
      <c r="I2774" s="70"/>
      <c r="J2774" s="71"/>
      <c r="K2774" s="71"/>
      <c r="L2774" s="72" t="str">
        <f>IFERROR(IF(G2774="","",VLOOKUP($G2774,[1]基础信息!$B:$C,2,FALSE)+SUMIF(G$8:G2774,G2774,J$8:J2774)-SUMIF(G$8:G2774,G2774,K$8:K2774)+SUMIFS([1]内部转账!$G:$G,[1]内部转账!$C:$C,"&lt;="&amp;$D2774,[1]内部转账!$E:$E,$G2774)-SUMIFS([1]内部转账!$G:$G,[1]内部转账!$C:$C,"&lt;="&amp;$D2774,[1]内部转账!$F:$F,$G2774)),"")</f>
        <v/>
      </c>
      <c r="M2774" s="64"/>
      <c r="N2774" s="69"/>
      <c r="O2774" s="64"/>
      <c r="P2774" s="64"/>
      <c r="Q2774" s="69"/>
      <c r="R2774" s="69"/>
      <c r="S2774" s="69"/>
    </row>
    <row r="2775" s="2" customFormat="1" ht="24.95" customHeight="1" spans="1:19">
      <c r="A2775" s="15"/>
      <c r="B2775" s="55"/>
      <c r="C2775" s="56"/>
      <c r="D2775" s="68"/>
      <c r="E2775" s="69"/>
      <c r="F2775" s="69"/>
      <c r="G2775" s="65"/>
      <c r="H2775" s="65"/>
      <c r="I2775" s="70"/>
      <c r="J2775" s="71"/>
      <c r="K2775" s="71"/>
      <c r="L2775" s="72" t="str">
        <f>IFERROR(IF(G2775="","",VLOOKUP($G2775,[1]基础信息!$B:$C,2,FALSE)+SUMIF(G$8:G2775,G2775,J$8:J2775)-SUMIF(G$8:G2775,G2775,K$8:K2775)+SUMIFS([1]内部转账!$G:$G,[1]内部转账!$C:$C,"&lt;="&amp;$D2775,[1]内部转账!$E:$E,$G2775)-SUMIFS([1]内部转账!$G:$G,[1]内部转账!$C:$C,"&lt;="&amp;$D2775,[1]内部转账!$F:$F,$G2775)),"")</f>
        <v/>
      </c>
      <c r="M2775" s="64"/>
      <c r="N2775" s="69"/>
      <c r="O2775" s="64"/>
      <c r="P2775" s="64"/>
      <c r="Q2775" s="69"/>
      <c r="R2775" s="69"/>
      <c r="S2775" s="69"/>
    </row>
    <row r="2776" s="2" customFormat="1" ht="24.95" customHeight="1" spans="1:19">
      <c r="A2776" s="15"/>
      <c r="B2776" s="55"/>
      <c r="C2776" s="56"/>
      <c r="D2776" s="68"/>
      <c r="E2776" s="69"/>
      <c r="F2776" s="69"/>
      <c r="G2776" s="65"/>
      <c r="H2776" s="65"/>
      <c r="I2776" s="70"/>
      <c r="J2776" s="71"/>
      <c r="K2776" s="71"/>
      <c r="L2776" s="72" t="str">
        <f>IFERROR(IF(G2776="","",VLOOKUP($G2776,[1]基础信息!$B:$C,2,FALSE)+SUMIF(G$8:G2776,G2776,J$8:J2776)-SUMIF(G$8:G2776,G2776,K$8:K2776)+SUMIFS([1]内部转账!$G:$G,[1]内部转账!$C:$C,"&lt;="&amp;$D2776,[1]内部转账!$E:$E,$G2776)-SUMIFS([1]内部转账!$G:$G,[1]内部转账!$C:$C,"&lt;="&amp;$D2776,[1]内部转账!$F:$F,$G2776)),"")</f>
        <v/>
      </c>
      <c r="M2776" s="64"/>
      <c r="N2776" s="69"/>
      <c r="O2776" s="64"/>
      <c r="P2776" s="64"/>
      <c r="Q2776" s="69"/>
      <c r="R2776" s="69"/>
      <c r="S2776" s="69"/>
    </row>
    <row r="2777" s="2" customFormat="1" ht="24.95" customHeight="1" spans="1:19">
      <c r="A2777" s="15"/>
      <c r="B2777" s="55"/>
      <c r="C2777" s="56"/>
      <c r="D2777" s="68"/>
      <c r="E2777" s="69"/>
      <c r="F2777" s="69"/>
      <c r="G2777" s="65"/>
      <c r="H2777" s="65"/>
      <c r="I2777" s="70"/>
      <c r="J2777" s="71"/>
      <c r="K2777" s="71"/>
      <c r="L2777" s="72" t="str">
        <f>IFERROR(IF(G2777="","",VLOOKUP($G2777,[1]基础信息!$B:$C,2,FALSE)+SUMIF(G$8:G2777,G2777,J$8:J2777)-SUMIF(G$8:G2777,G2777,K$8:K2777)+SUMIFS([1]内部转账!$G:$G,[1]内部转账!$C:$C,"&lt;="&amp;$D2777,[1]内部转账!$E:$E,$G2777)-SUMIFS([1]内部转账!$G:$G,[1]内部转账!$C:$C,"&lt;="&amp;$D2777,[1]内部转账!$F:$F,$G2777)),"")</f>
        <v/>
      </c>
      <c r="M2777" s="64"/>
      <c r="N2777" s="69"/>
      <c r="O2777" s="64"/>
      <c r="P2777" s="64"/>
      <c r="Q2777" s="69"/>
      <c r="R2777" s="69"/>
      <c r="S2777" s="69"/>
    </row>
    <row r="2778" s="2" customFormat="1" ht="24.95" customHeight="1" spans="1:19">
      <c r="A2778" s="15"/>
      <c r="B2778" s="55"/>
      <c r="C2778" s="56"/>
      <c r="D2778" s="68"/>
      <c r="E2778" s="69"/>
      <c r="F2778" s="69"/>
      <c r="G2778" s="65"/>
      <c r="H2778" s="65"/>
      <c r="I2778" s="70"/>
      <c r="J2778" s="71"/>
      <c r="K2778" s="71"/>
      <c r="L2778" s="72" t="str">
        <f>IFERROR(IF(G2778="","",VLOOKUP($G2778,[1]基础信息!$B:$C,2,FALSE)+SUMIF(G$8:G2778,G2778,J$8:J2778)-SUMIF(G$8:G2778,G2778,K$8:K2778)+SUMIFS([1]内部转账!$G:$G,[1]内部转账!$C:$C,"&lt;="&amp;$D2778,[1]内部转账!$E:$E,$G2778)-SUMIFS([1]内部转账!$G:$G,[1]内部转账!$C:$C,"&lt;="&amp;$D2778,[1]内部转账!$F:$F,$G2778)),"")</f>
        <v/>
      </c>
      <c r="M2778" s="64"/>
      <c r="N2778" s="69"/>
      <c r="O2778" s="64"/>
      <c r="P2778" s="64"/>
      <c r="Q2778" s="69"/>
      <c r="R2778" s="69"/>
      <c r="S2778" s="69"/>
    </row>
    <row r="2779" s="2" customFormat="1" ht="24.95" customHeight="1" spans="1:19">
      <c r="A2779" s="15"/>
      <c r="B2779" s="55"/>
      <c r="C2779" s="56"/>
      <c r="D2779" s="68"/>
      <c r="E2779" s="69"/>
      <c r="F2779" s="69"/>
      <c r="G2779" s="65"/>
      <c r="H2779" s="65"/>
      <c r="I2779" s="70"/>
      <c r="J2779" s="71"/>
      <c r="K2779" s="71"/>
      <c r="L2779" s="72" t="str">
        <f>IFERROR(IF(G2779="","",VLOOKUP($G2779,[1]基础信息!$B:$C,2,FALSE)+SUMIF(G$8:G2779,G2779,J$8:J2779)-SUMIF(G$8:G2779,G2779,K$8:K2779)+SUMIFS([1]内部转账!$G:$G,[1]内部转账!$C:$C,"&lt;="&amp;$D2779,[1]内部转账!$E:$E,$G2779)-SUMIFS([1]内部转账!$G:$G,[1]内部转账!$C:$C,"&lt;="&amp;$D2779,[1]内部转账!$F:$F,$G2779)),"")</f>
        <v/>
      </c>
      <c r="M2779" s="64"/>
      <c r="N2779" s="69"/>
      <c r="O2779" s="64"/>
      <c r="P2779" s="64"/>
      <c r="Q2779" s="69"/>
      <c r="R2779" s="69"/>
      <c r="S2779" s="69"/>
    </row>
    <row r="2780" s="2" customFormat="1" ht="24.95" customHeight="1" spans="1:19">
      <c r="A2780" s="15"/>
      <c r="B2780" s="55"/>
      <c r="C2780" s="56"/>
      <c r="D2780" s="68"/>
      <c r="E2780" s="69"/>
      <c r="F2780" s="69"/>
      <c r="G2780" s="65"/>
      <c r="H2780" s="65"/>
      <c r="I2780" s="70"/>
      <c r="J2780" s="71"/>
      <c r="K2780" s="71"/>
      <c r="L2780" s="72" t="str">
        <f>IFERROR(IF(G2780="","",VLOOKUP($G2780,[1]基础信息!$B:$C,2,FALSE)+SUMIF(G$8:G2780,G2780,J$8:J2780)-SUMIF(G$8:G2780,G2780,K$8:K2780)+SUMIFS([1]内部转账!$G:$G,[1]内部转账!$C:$C,"&lt;="&amp;$D2780,[1]内部转账!$E:$E,$G2780)-SUMIFS([1]内部转账!$G:$G,[1]内部转账!$C:$C,"&lt;="&amp;$D2780,[1]内部转账!$F:$F,$G2780)),"")</f>
        <v/>
      </c>
      <c r="M2780" s="64"/>
      <c r="N2780" s="69"/>
      <c r="O2780" s="64"/>
      <c r="P2780" s="64"/>
      <c r="Q2780" s="69"/>
      <c r="R2780" s="69"/>
      <c r="S2780" s="69"/>
    </row>
    <row r="2781" s="2" customFormat="1" ht="24.95" customHeight="1" spans="1:19">
      <c r="A2781" s="15"/>
      <c r="B2781" s="55"/>
      <c r="C2781" s="56"/>
      <c r="D2781" s="68"/>
      <c r="E2781" s="69"/>
      <c r="F2781" s="69"/>
      <c r="G2781" s="65"/>
      <c r="H2781" s="65"/>
      <c r="I2781" s="70"/>
      <c r="J2781" s="71"/>
      <c r="K2781" s="71"/>
      <c r="L2781" s="72" t="str">
        <f>IFERROR(IF(G2781="","",VLOOKUP($G2781,[1]基础信息!$B:$C,2,FALSE)+SUMIF(G$8:G2781,G2781,J$8:J2781)-SUMIF(G$8:G2781,G2781,K$8:K2781)+SUMIFS([1]内部转账!$G:$G,[1]内部转账!$C:$C,"&lt;="&amp;$D2781,[1]内部转账!$E:$E,$G2781)-SUMIFS([1]内部转账!$G:$G,[1]内部转账!$C:$C,"&lt;="&amp;$D2781,[1]内部转账!$F:$F,$G2781)),"")</f>
        <v/>
      </c>
      <c r="M2781" s="64"/>
      <c r="N2781" s="69"/>
      <c r="O2781" s="64"/>
      <c r="P2781" s="64"/>
      <c r="Q2781" s="69"/>
      <c r="R2781" s="69"/>
      <c r="S2781" s="69"/>
    </row>
    <row r="2782" s="2" customFormat="1" ht="24.95" customHeight="1" spans="1:19">
      <c r="A2782" s="15"/>
      <c r="B2782" s="55"/>
      <c r="C2782" s="56"/>
      <c r="D2782" s="68"/>
      <c r="E2782" s="69"/>
      <c r="F2782" s="69"/>
      <c r="G2782" s="65"/>
      <c r="H2782" s="65"/>
      <c r="I2782" s="70"/>
      <c r="J2782" s="71"/>
      <c r="K2782" s="71"/>
      <c r="L2782" s="72" t="str">
        <f>IFERROR(IF(G2782="","",VLOOKUP($G2782,[1]基础信息!$B:$C,2,FALSE)+SUMIF(G$8:G2782,G2782,J$8:J2782)-SUMIF(G$8:G2782,G2782,K$8:K2782)+SUMIFS([1]内部转账!$G:$G,[1]内部转账!$C:$C,"&lt;="&amp;$D2782,[1]内部转账!$E:$E,$G2782)-SUMIFS([1]内部转账!$G:$G,[1]内部转账!$C:$C,"&lt;="&amp;$D2782,[1]内部转账!$F:$F,$G2782)),"")</f>
        <v/>
      </c>
      <c r="M2782" s="64"/>
      <c r="N2782" s="69"/>
      <c r="O2782" s="64"/>
      <c r="P2782" s="64"/>
      <c r="Q2782" s="69"/>
      <c r="R2782" s="69"/>
      <c r="S2782" s="69"/>
    </row>
    <row r="2783" s="2" customFormat="1" ht="24.95" customHeight="1" spans="1:19">
      <c r="A2783" s="15"/>
      <c r="B2783" s="55"/>
      <c r="C2783" s="56"/>
      <c r="D2783" s="68"/>
      <c r="E2783" s="69"/>
      <c r="F2783" s="69"/>
      <c r="G2783" s="65"/>
      <c r="H2783" s="65"/>
      <c r="I2783" s="70"/>
      <c r="J2783" s="71"/>
      <c r="K2783" s="71"/>
      <c r="L2783" s="72" t="str">
        <f>IFERROR(IF(G2783="","",VLOOKUP($G2783,[1]基础信息!$B:$C,2,FALSE)+SUMIF(G$8:G2783,G2783,J$8:J2783)-SUMIF(G$8:G2783,G2783,K$8:K2783)+SUMIFS([1]内部转账!$G:$G,[1]内部转账!$C:$C,"&lt;="&amp;$D2783,[1]内部转账!$E:$E,$G2783)-SUMIFS([1]内部转账!$G:$G,[1]内部转账!$C:$C,"&lt;="&amp;$D2783,[1]内部转账!$F:$F,$G2783)),"")</f>
        <v/>
      </c>
      <c r="M2783" s="64"/>
      <c r="N2783" s="69"/>
      <c r="O2783" s="64"/>
      <c r="P2783" s="64"/>
      <c r="Q2783" s="69"/>
      <c r="R2783" s="69"/>
      <c r="S2783" s="69"/>
    </row>
    <row r="2784" s="2" customFormat="1" ht="24.95" customHeight="1" spans="1:19">
      <c r="A2784" s="15"/>
      <c r="B2784" s="55"/>
      <c r="C2784" s="56"/>
      <c r="D2784" s="68"/>
      <c r="E2784" s="69"/>
      <c r="F2784" s="69"/>
      <c r="G2784" s="65"/>
      <c r="H2784" s="65"/>
      <c r="I2784" s="70"/>
      <c r="J2784" s="71"/>
      <c r="K2784" s="71"/>
      <c r="L2784" s="72" t="str">
        <f>IFERROR(IF(G2784="","",VLOOKUP($G2784,[1]基础信息!$B:$C,2,FALSE)+SUMIF(G$8:G2784,G2784,J$8:J2784)-SUMIF(G$8:G2784,G2784,K$8:K2784)+SUMIFS([1]内部转账!$G:$G,[1]内部转账!$C:$C,"&lt;="&amp;$D2784,[1]内部转账!$E:$E,$G2784)-SUMIFS([1]内部转账!$G:$G,[1]内部转账!$C:$C,"&lt;="&amp;$D2784,[1]内部转账!$F:$F,$G2784)),"")</f>
        <v/>
      </c>
      <c r="M2784" s="64"/>
      <c r="N2784" s="69"/>
      <c r="O2784" s="64"/>
      <c r="P2784" s="64"/>
      <c r="Q2784" s="69"/>
      <c r="R2784" s="69"/>
      <c r="S2784" s="69"/>
    </row>
    <row r="2785" s="2" customFormat="1" ht="24.95" customHeight="1" spans="1:19">
      <c r="A2785" s="15"/>
      <c r="B2785" s="55"/>
      <c r="C2785" s="56"/>
      <c r="D2785" s="68"/>
      <c r="E2785" s="69"/>
      <c r="F2785" s="69"/>
      <c r="G2785" s="65"/>
      <c r="H2785" s="65"/>
      <c r="I2785" s="70"/>
      <c r="J2785" s="71"/>
      <c r="K2785" s="71"/>
      <c r="L2785" s="72" t="str">
        <f>IFERROR(IF(G2785="","",VLOOKUP($G2785,[1]基础信息!$B:$C,2,FALSE)+SUMIF(G$8:G2785,G2785,J$8:J2785)-SUMIF(G$8:G2785,G2785,K$8:K2785)+SUMIFS([1]内部转账!$G:$G,[1]内部转账!$C:$C,"&lt;="&amp;$D2785,[1]内部转账!$E:$E,$G2785)-SUMIFS([1]内部转账!$G:$G,[1]内部转账!$C:$C,"&lt;="&amp;$D2785,[1]内部转账!$F:$F,$G2785)),"")</f>
        <v/>
      </c>
      <c r="M2785" s="64"/>
      <c r="N2785" s="69"/>
      <c r="O2785" s="64"/>
      <c r="P2785" s="64"/>
      <c r="Q2785" s="69"/>
      <c r="R2785" s="69"/>
      <c r="S2785" s="69"/>
    </row>
    <row r="2786" s="2" customFormat="1" ht="24.95" customHeight="1" spans="1:19">
      <c r="A2786" s="15"/>
      <c r="B2786" s="55"/>
      <c r="C2786" s="56"/>
      <c r="D2786" s="68"/>
      <c r="E2786" s="69"/>
      <c r="F2786" s="69"/>
      <c r="G2786" s="65"/>
      <c r="H2786" s="65"/>
      <c r="I2786" s="70"/>
      <c r="J2786" s="71"/>
      <c r="K2786" s="71"/>
      <c r="L2786" s="72" t="str">
        <f>IFERROR(IF(G2786="","",VLOOKUP($G2786,[1]基础信息!$B:$C,2,FALSE)+SUMIF(G$8:G2786,G2786,J$8:J2786)-SUMIF(G$8:G2786,G2786,K$8:K2786)+SUMIFS([1]内部转账!$G:$G,[1]内部转账!$C:$C,"&lt;="&amp;$D2786,[1]内部转账!$E:$E,$G2786)-SUMIFS([1]内部转账!$G:$G,[1]内部转账!$C:$C,"&lt;="&amp;$D2786,[1]内部转账!$F:$F,$G2786)),"")</f>
        <v/>
      </c>
      <c r="M2786" s="64"/>
      <c r="N2786" s="69"/>
      <c r="O2786" s="64"/>
      <c r="P2786" s="64"/>
      <c r="Q2786" s="69"/>
      <c r="R2786" s="69"/>
      <c r="S2786" s="69"/>
    </row>
    <row r="2787" s="2" customFormat="1" ht="24.95" customHeight="1" spans="1:19">
      <c r="A2787" s="15"/>
      <c r="B2787" s="55"/>
      <c r="C2787" s="56"/>
      <c r="D2787" s="68"/>
      <c r="E2787" s="69"/>
      <c r="F2787" s="69"/>
      <c r="G2787" s="65"/>
      <c r="H2787" s="65"/>
      <c r="I2787" s="70"/>
      <c r="J2787" s="71"/>
      <c r="K2787" s="71"/>
      <c r="L2787" s="72" t="str">
        <f>IFERROR(IF(G2787="","",VLOOKUP($G2787,[1]基础信息!$B:$C,2,FALSE)+SUMIF(G$8:G2787,G2787,J$8:J2787)-SUMIF(G$8:G2787,G2787,K$8:K2787)+SUMIFS([1]内部转账!$G:$G,[1]内部转账!$C:$C,"&lt;="&amp;$D2787,[1]内部转账!$E:$E,$G2787)-SUMIFS([1]内部转账!$G:$G,[1]内部转账!$C:$C,"&lt;="&amp;$D2787,[1]内部转账!$F:$F,$G2787)),"")</f>
        <v/>
      </c>
      <c r="M2787" s="64"/>
      <c r="N2787" s="69"/>
      <c r="O2787" s="64"/>
      <c r="P2787" s="64"/>
      <c r="Q2787" s="69"/>
      <c r="R2787" s="69"/>
      <c r="S2787" s="69"/>
    </row>
    <row r="2788" s="2" customFormat="1" ht="24.95" customHeight="1" spans="1:19">
      <c r="A2788" s="15"/>
      <c r="B2788" s="55"/>
      <c r="C2788" s="56"/>
      <c r="D2788" s="68"/>
      <c r="E2788" s="69"/>
      <c r="F2788" s="69"/>
      <c r="G2788" s="65"/>
      <c r="H2788" s="65"/>
      <c r="I2788" s="70"/>
      <c r="J2788" s="71"/>
      <c r="K2788" s="71"/>
      <c r="L2788" s="72" t="str">
        <f>IFERROR(IF(G2788="","",VLOOKUP($G2788,[1]基础信息!$B:$C,2,FALSE)+SUMIF(G$8:G2788,G2788,J$8:J2788)-SUMIF(G$8:G2788,G2788,K$8:K2788)+SUMIFS([1]内部转账!$G:$G,[1]内部转账!$C:$C,"&lt;="&amp;$D2788,[1]内部转账!$E:$E,$G2788)-SUMIFS([1]内部转账!$G:$G,[1]内部转账!$C:$C,"&lt;="&amp;$D2788,[1]内部转账!$F:$F,$G2788)),"")</f>
        <v/>
      </c>
      <c r="M2788" s="64"/>
      <c r="N2788" s="69"/>
      <c r="O2788" s="64"/>
      <c r="P2788" s="64"/>
      <c r="Q2788" s="69"/>
      <c r="R2788" s="69"/>
      <c r="S2788" s="69"/>
    </row>
    <row r="2789" s="2" customFormat="1" ht="24.95" customHeight="1" spans="1:19">
      <c r="A2789" s="15"/>
      <c r="B2789" s="55"/>
      <c r="C2789" s="56"/>
      <c r="D2789" s="68"/>
      <c r="E2789" s="69"/>
      <c r="F2789" s="69"/>
      <c r="G2789" s="65"/>
      <c r="H2789" s="65"/>
      <c r="I2789" s="70"/>
      <c r="J2789" s="71"/>
      <c r="K2789" s="71"/>
      <c r="L2789" s="72" t="str">
        <f>IFERROR(IF(G2789="","",VLOOKUP($G2789,[1]基础信息!$B:$C,2,FALSE)+SUMIF(G$8:G2789,G2789,J$8:J2789)-SUMIF(G$8:G2789,G2789,K$8:K2789)+SUMIFS([1]内部转账!$G:$G,[1]内部转账!$C:$C,"&lt;="&amp;$D2789,[1]内部转账!$E:$E,$G2789)-SUMIFS([1]内部转账!$G:$G,[1]内部转账!$C:$C,"&lt;="&amp;$D2789,[1]内部转账!$F:$F,$G2789)),"")</f>
        <v/>
      </c>
      <c r="M2789" s="64"/>
      <c r="N2789" s="69"/>
      <c r="O2789" s="64"/>
      <c r="P2789" s="64"/>
      <c r="Q2789" s="69"/>
      <c r="R2789" s="69"/>
      <c r="S2789" s="69"/>
    </row>
    <row r="2790" s="2" customFormat="1" ht="24.95" customHeight="1" spans="1:19">
      <c r="A2790" s="15"/>
      <c r="B2790" s="55"/>
      <c r="C2790" s="56"/>
      <c r="D2790" s="68"/>
      <c r="E2790" s="69"/>
      <c r="F2790" s="69"/>
      <c r="G2790" s="65"/>
      <c r="H2790" s="65"/>
      <c r="I2790" s="70"/>
      <c r="J2790" s="71"/>
      <c r="K2790" s="71"/>
      <c r="L2790" s="72" t="str">
        <f>IFERROR(IF(G2790="","",VLOOKUP($G2790,[1]基础信息!$B:$C,2,FALSE)+SUMIF(G$8:G2790,G2790,J$8:J2790)-SUMIF(G$8:G2790,G2790,K$8:K2790)+SUMIFS([1]内部转账!$G:$G,[1]内部转账!$C:$C,"&lt;="&amp;$D2790,[1]内部转账!$E:$E,$G2790)-SUMIFS([1]内部转账!$G:$G,[1]内部转账!$C:$C,"&lt;="&amp;$D2790,[1]内部转账!$F:$F,$G2790)),"")</f>
        <v/>
      </c>
      <c r="M2790" s="64"/>
      <c r="N2790" s="69"/>
      <c r="O2790" s="64"/>
      <c r="P2790" s="64"/>
      <c r="Q2790" s="69"/>
      <c r="R2790" s="69"/>
      <c r="S2790" s="69"/>
    </row>
    <row r="2791" s="2" customFormat="1" ht="24.95" customHeight="1" spans="1:19">
      <c r="A2791" s="15"/>
      <c r="B2791" s="55"/>
      <c r="C2791" s="56"/>
      <c r="D2791" s="68"/>
      <c r="E2791" s="69"/>
      <c r="F2791" s="69"/>
      <c r="G2791" s="65"/>
      <c r="H2791" s="65"/>
      <c r="I2791" s="70"/>
      <c r="J2791" s="71"/>
      <c r="K2791" s="71"/>
      <c r="L2791" s="72" t="str">
        <f>IFERROR(IF(G2791="","",VLOOKUP($G2791,[1]基础信息!$B:$C,2,FALSE)+SUMIF(G$8:G2791,G2791,J$8:J2791)-SUMIF(G$8:G2791,G2791,K$8:K2791)+SUMIFS([1]内部转账!$G:$G,[1]内部转账!$C:$C,"&lt;="&amp;$D2791,[1]内部转账!$E:$E,$G2791)-SUMIFS([1]内部转账!$G:$G,[1]内部转账!$C:$C,"&lt;="&amp;$D2791,[1]内部转账!$F:$F,$G2791)),"")</f>
        <v/>
      </c>
      <c r="M2791" s="64"/>
      <c r="N2791" s="69"/>
      <c r="O2791" s="64"/>
      <c r="P2791" s="64"/>
      <c r="Q2791" s="69"/>
      <c r="R2791" s="69"/>
      <c r="S2791" s="69"/>
    </row>
    <row r="2792" s="2" customFormat="1" ht="24.95" customHeight="1" spans="1:19">
      <c r="A2792" s="15"/>
      <c r="B2792" s="55"/>
      <c r="C2792" s="56"/>
      <c r="D2792" s="68"/>
      <c r="E2792" s="69"/>
      <c r="F2792" s="69"/>
      <c r="G2792" s="65"/>
      <c r="H2792" s="65"/>
      <c r="I2792" s="70"/>
      <c r="J2792" s="71"/>
      <c r="K2792" s="71"/>
      <c r="L2792" s="72" t="str">
        <f>IFERROR(IF(G2792="","",VLOOKUP($G2792,[1]基础信息!$B:$C,2,FALSE)+SUMIF(G$8:G2792,G2792,J$8:J2792)-SUMIF(G$8:G2792,G2792,K$8:K2792)+SUMIFS([1]内部转账!$G:$G,[1]内部转账!$C:$C,"&lt;="&amp;$D2792,[1]内部转账!$E:$E,$G2792)-SUMIFS([1]内部转账!$G:$G,[1]内部转账!$C:$C,"&lt;="&amp;$D2792,[1]内部转账!$F:$F,$G2792)),"")</f>
        <v/>
      </c>
      <c r="M2792" s="64"/>
      <c r="N2792" s="69"/>
      <c r="O2792" s="64"/>
      <c r="P2792" s="64"/>
      <c r="Q2792" s="69"/>
      <c r="R2792" s="69"/>
      <c r="S2792" s="69"/>
    </row>
    <row r="2793" s="2" customFormat="1" ht="24.95" customHeight="1" spans="1:19">
      <c r="A2793" s="15"/>
      <c r="B2793" s="55"/>
      <c r="C2793" s="56"/>
      <c r="D2793" s="68"/>
      <c r="E2793" s="69"/>
      <c r="F2793" s="69"/>
      <c r="G2793" s="65"/>
      <c r="H2793" s="65"/>
      <c r="I2793" s="70"/>
      <c r="J2793" s="71"/>
      <c r="K2793" s="71"/>
      <c r="L2793" s="72" t="str">
        <f>IFERROR(IF(G2793="","",VLOOKUP($G2793,[1]基础信息!$B:$C,2,FALSE)+SUMIF(G$8:G2793,G2793,J$8:J2793)-SUMIF(G$8:G2793,G2793,K$8:K2793)+SUMIFS([1]内部转账!$G:$G,[1]内部转账!$C:$C,"&lt;="&amp;$D2793,[1]内部转账!$E:$E,$G2793)-SUMIFS([1]内部转账!$G:$G,[1]内部转账!$C:$C,"&lt;="&amp;$D2793,[1]内部转账!$F:$F,$G2793)),"")</f>
        <v/>
      </c>
      <c r="M2793" s="64"/>
      <c r="N2793" s="69"/>
      <c r="O2793" s="64"/>
      <c r="P2793" s="64"/>
      <c r="Q2793" s="69"/>
      <c r="R2793" s="69"/>
      <c r="S2793" s="69"/>
    </row>
    <row r="2794" s="2" customFormat="1" ht="24.95" customHeight="1" spans="1:19">
      <c r="A2794" s="15"/>
      <c r="B2794" s="55"/>
      <c r="C2794" s="56"/>
      <c r="D2794" s="68"/>
      <c r="E2794" s="69"/>
      <c r="F2794" s="69"/>
      <c r="G2794" s="65"/>
      <c r="H2794" s="65"/>
      <c r="I2794" s="70"/>
      <c r="J2794" s="71"/>
      <c r="K2794" s="71"/>
      <c r="L2794" s="72" t="str">
        <f>IFERROR(IF(G2794="","",VLOOKUP($G2794,[1]基础信息!$B:$C,2,FALSE)+SUMIF(G$8:G2794,G2794,J$8:J2794)-SUMIF(G$8:G2794,G2794,K$8:K2794)+SUMIFS([1]内部转账!$G:$G,[1]内部转账!$C:$C,"&lt;="&amp;$D2794,[1]内部转账!$E:$E,$G2794)-SUMIFS([1]内部转账!$G:$G,[1]内部转账!$C:$C,"&lt;="&amp;$D2794,[1]内部转账!$F:$F,$G2794)),"")</f>
        <v/>
      </c>
      <c r="M2794" s="64"/>
      <c r="N2794" s="69"/>
      <c r="O2794" s="64"/>
      <c r="P2794" s="64"/>
      <c r="Q2794" s="69"/>
      <c r="R2794" s="69"/>
      <c r="S2794" s="69"/>
    </row>
    <row r="2795" s="2" customFormat="1" ht="24.95" customHeight="1" spans="1:19">
      <c r="A2795" s="15"/>
      <c r="B2795" s="55"/>
      <c r="C2795" s="56"/>
      <c r="D2795" s="68"/>
      <c r="E2795" s="69"/>
      <c r="F2795" s="69"/>
      <c r="G2795" s="65"/>
      <c r="H2795" s="65"/>
      <c r="I2795" s="70"/>
      <c r="J2795" s="71"/>
      <c r="K2795" s="71"/>
      <c r="L2795" s="72" t="str">
        <f>IFERROR(IF(G2795="","",VLOOKUP($G2795,[1]基础信息!$B:$C,2,FALSE)+SUMIF(G$8:G2795,G2795,J$8:J2795)-SUMIF(G$8:G2795,G2795,K$8:K2795)+SUMIFS([1]内部转账!$G:$G,[1]内部转账!$C:$C,"&lt;="&amp;$D2795,[1]内部转账!$E:$E,$G2795)-SUMIFS([1]内部转账!$G:$G,[1]内部转账!$C:$C,"&lt;="&amp;$D2795,[1]内部转账!$F:$F,$G2795)),"")</f>
        <v/>
      </c>
      <c r="M2795" s="64"/>
      <c r="N2795" s="69"/>
      <c r="O2795" s="64"/>
      <c r="P2795" s="64"/>
      <c r="Q2795" s="69"/>
      <c r="R2795" s="69"/>
      <c r="S2795" s="69"/>
    </row>
    <row r="2796" s="2" customFormat="1" ht="24.95" customHeight="1" spans="1:19">
      <c r="A2796" s="15"/>
      <c r="B2796" s="55"/>
      <c r="C2796" s="56"/>
      <c r="D2796" s="68"/>
      <c r="E2796" s="69"/>
      <c r="F2796" s="69"/>
      <c r="G2796" s="65"/>
      <c r="H2796" s="65"/>
      <c r="I2796" s="70"/>
      <c r="J2796" s="71"/>
      <c r="K2796" s="71"/>
      <c r="L2796" s="72" t="str">
        <f>IFERROR(IF(G2796="","",VLOOKUP($G2796,[1]基础信息!$B:$C,2,FALSE)+SUMIF(G$8:G2796,G2796,J$8:J2796)-SUMIF(G$8:G2796,G2796,K$8:K2796)+SUMIFS([1]内部转账!$G:$G,[1]内部转账!$C:$C,"&lt;="&amp;$D2796,[1]内部转账!$E:$E,$G2796)-SUMIFS([1]内部转账!$G:$G,[1]内部转账!$C:$C,"&lt;="&amp;$D2796,[1]内部转账!$F:$F,$G2796)),"")</f>
        <v/>
      </c>
      <c r="M2796" s="64"/>
      <c r="N2796" s="69"/>
      <c r="O2796" s="64"/>
      <c r="P2796" s="64"/>
      <c r="Q2796" s="69"/>
      <c r="R2796" s="69"/>
      <c r="S2796" s="69"/>
    </row>
    <row r="2797" s="2" customFormat="1" ht="24.95" customHeight="1" spans="1:19">
      <c r="A2797" s="15"/>
      <c r="B2797" s="55"/>
      <c r="C2797" s="56"/>
      <c r="D2797" s="68"/>
      <c r="E2797" s="69"/>
      <c r="F2797" s="69"/>
      <c r="G2797" s="65"/>
      <c r="H2797" s="65"/>
      <c r="I2797" s="70"/>
      <c r="J2797" s="71"/>
      <c r="K2797" s="71"/>
      <c r="L2797" s="72" t="str">
        <f>IFERROR(IF(G2797="","",VLOOKUP($G2797,[1]基础信息!$B:$C,2,FALSE)+SUMIF(G$8:G2797,G2797,J$8:J2797)-SUMIF(G$8:G2797,G2797,K$8:K2797)+SUMIFS([1]内部转账!$G:$G,[1]内部转账!$C:$C,"&lt;="&amp;$D2797,[1]内部转账!$E:$E,$G2797)-SUMIFS([1]内部转账!$G:$G,[1]内部转账!$C:$C,"&lt;="&amp;$D2797,[1]内部转账!$F:$F,$G2797)),"")</f>
        <v/>
      </c>
      <c r="M2797" s="64"/>
      <c r="N2797" s="69"/>
      <c r="O2797" s="64"/>
      <c r="P2797" s="64"/>
      <c r="Q2797" s="69"/>
      <c r="R2797" s="69"/>
      <c r="S2797" s="69"/>
    </row>
    <row r="2798" s="2" customFormat="1" ht="24.95" customHeight="1" spans="1:19">
      <c r="A2798" s="15"/>
      <c r="B2798" s="55"/>
      <c r="C2798" s="56"/>
      <c r="D2798" s="68"/>
      <c r="E2798" s="69"/>
      <c r="F2798" s="69"/>
      <c r="G2798" s="65"/>
      <c r="H2798" s="65"/>
      <c r="I2798" s="70"/>
      <c r="J2798" s="71"/>
      <c r="K2798" s="71"/>
      <c r="L2798" s="72" t="str">
        <f>IFERROR(IF(G2798="","",VLOOKUP($G2798,[1]基础信息!$B:$C,2,FALSE)+SUMIF(G$8:G2798,G2798,J$8:J2798)-SUMIF(G$8:G2798,G2798,K$8:K2798)+SUMIFS([1]内部转账!$G:$G,[1]内部转账!$C:$C,"&lt;="&amp;$D2798,[1]内部转账!$E:$E,$G2798)-SUMIFS([1]内部转账!$G:$G,[1]内部转账!$C:$C,"&lt;="&amp;$D2798,[1]内部转账!$F:$F,$G2798)),"")</f>
        <v/>
      </c>
      <c r="M2798" s="64"/>
      <c r="N2798" s="69"/>
      <c r="O2798" s="64"/>
      <c r="P2798" s="64"/>
      <c r="Q2798" s="69"/>
      <c r="R2798" s="69"/>
      <c r="S2798" s="69"/>
    </row>
    <row r="2799" s="2" customFormat="1" ht="24.95" customHeight="1" spans="1:19">
      <c r="A2799" s="15"/>
      <c r="B2799" s="55"/>
      <c r="C2799" s="56"/>
      <c r="D2799" s="68"/>
      <c r="E2799" s="69"/>
      <c r="F2799" s="69"/>
      <c r="G2799" s="65"/>
      <c r="H2799" s="65"/>
      <c r="I2799" s="70"/>
      <c r="J2799" s="71"/>
      <c r="K2799" s="71"/>
      <c r="L2799" s="72" t="str">
        <f>IFERROR(IF(G2799="","",VLOOKUP($G2799,[1]基础信息!$B:$C,2,FALSE)+SUMIF(G$8:G2799,G2799,J$8:J2799)-SUMIF(G$8:G2799,G2799,K$8:K2799)+SUMIFS([1]内部转账!$G:$G,[1]内部转账!$C:$C,"&lt;="&amp;$D2799,[1]内部转账!$E:$E,$G2799)-SUMIFS([1]内部转账!$G:$G,[1]内部转账!$C:$C,"&lt;="&amp;$D2799,[1]内部转账!$F:$F,$G2799)),"")</f>
        <v/>
      </c>
      <c r="M2799" s="64"/>
      <c r="N2799" s="69"/>
      <c r="O2799" s="64"/>
      <c r="P2799" s="64"/>
      <c r="Q2799" s="69"/>
      <c r="R2799" s="69"/>
      <c r="S2799" s="69"/>
    </row>
    <row r="2800" s="2" customFormat="1" ht="24.95" customHeight="1" spans="1:19">
      <c r="A2800" s="15"/>
      <c r="B2800" s="55"/>
      <c r="C2800" s="56"/>
      <c r="D2800" s="68"/>
      <c r="E2800" s="69"/>
      <c r="F2800" s="69"/>
      <c r="G2800" s="65"/>
      <c r="H2800" s="65"/>
      <c r="I2800" s="70"/>
      <c r="J2800" s="71"/>
      <c r="K2800" s="71"/>
      <c r="L2800" s="72" t="str">
        <f>IFERROR(IF(G2800="","",VLOOKUP($G2800,[1]基础信息!$B:$C,2,FALSE)+SUMIF(G$8:G2800,G2800,J$8:J2800)-SUMIF(G$8:G2800,G2800,K$8:K2800)+SUMIFS([1]内部转账!$G:$G,[1]内部转账!$C:$C,"&lt;="&amp;$D2800,[1]内部转账!$E:$E,$G2800)-SUMIFS([1]内部转账!$G:$G,[1]内部转账!$C:$C,"&lt;="&amp;$D2800,[1]内部转账!$F:$F,$G2800)),"")</f>
        <v/>
      </c>
      <c r="M2800" s="64"/>
      <c r="N2800" s="69"/>
      <c r="O2800" s="64"/>
      <c r="P2800" s="64"/>
      <c r="Q2800" s="69"/>
      <c r="R2800" s="69"/>
      <c r="S2800" s="69"/>
    </row>
    <row r="2801" s="2" customFormat="1" ht="24.95" customHeight="1" spans="1:19">
      <c r="A2801" s="15"/>
      <c r="B2801" s="55"/>
      <c r="C2801" s="56"/>
      <c r="D2801" s="68"/>
      <c r="E2801" s="69"/>
      <c r="F2801" s="69"/>
      <c r="G2801" s="65"/>
      <c r="H2801" s="65"/>
      <c r="I2801" s="70"/>
      <c r="J2801" s="71"/>
      <c r="K2801" s="71"/>
      <c r="L2801" s="72" t="str">
        <f>IFERROR(IF(G2801="","",VLOOKUP($G2801,[1]基础信息!$B:$C,2,FALSE)+SUMIF(G$8:G2801,G2801,J$8:J2801)-SUMIF(G$8:G2801,G2801,K$8:K2801)+SUMIFS([1]内部转账!$G:$G,[1]内部转账!$C:$C,"&lt;="&amp;$D2801,[1]内部转账!$E:$E,$G2801)-SUMIFS([1]内部转账!$G:$G,[1]内部转账!$C:$C,"&lt;="&amp;$D2801,[1]内部转账!$F:$F,$G2801)),"")</f>
        <v/>
      </c>
      <c r="M2801" s="64"/>
      <c r="N2801" s="69"/>
      <c r="O2801" s="64"/>
      <c r="P2801" s="64"/>
      <c r="Q2801" s="69"/>
      <c r="R2801" s="69"/>
      <c r="S2801" s="69"/>
    </row>
    <row r="2802" s="2" customFormat="1" ht="24.95" customHeight="1" spans="1:19">
      <c r="A2802" s="15"/>
      <c r="B2802" s="55"/>
      <c r="C2802" s="56"/>
      <c r="D2802" s="68"/>
      <c r="E2802" s="69"/>
      <c r="F2802" s="69"/>
      <c r="G2802" s="65"/>
      <c r="H2802" s="65"/>
      <c r="I2802" s="70"/>
      <c r="J2802" s="71"/>
      <c r="K2802" s="71"/>
      <c r="L2802" s="72" t="str">
        <f>IFERROR(IF(G2802="","",VLOOKUP($G2802,[1]基础信息!$B:$C,2,FALSE)+SUMIF(G$8:G2802,G2802,J$8:J2802)-SUMIF(G$8:G2802,G2802,K$8:K2802)+SUMIFS([1]内部转账!$G:$G,[1]内部转账!$C:$C,"&lt;="&amp;$D2802,[1]内部转账!$E:$E,$G2802)-SUMIFS([1]内部转账!$G:$G,[1]内部转账!$C:$C,"&lt;="&amp;$D2802,[1]内部转账!$F:$F,$G2802)),"")</f>
        <v/>
      </c>
      <c r="M2802" s="64"/>
      <c r="N2802" s="69"/>
      <c r="O2802" s="64"/>
      <c r="P2802" s="64"/>
      <c r="Q2802" s="69"/>
      <c r="R2802" s="69"/>
      <c r="S2802" s="69"/>
    </row>
    <row r="2803" s="2" customFormat="1" ht="24.95" customHeight="1" spans="1:19">
      <c r="A2803" s="15"/>
      <c r="B2803" s="55"/>
      <c r="C2803" s="56"/>
      <c r="D2803" s="68"/>
      <c r="E2803" s="69"/>
      <c r="F2803" s="69"/>
      <c r="G2803" s="65"/>
      <c r="H2803" s="65"/>
      <c r="I2803" s="70"/>
      <c r="J2803" s="71"/>
      <c r="K2803" s="71"/>
      <c r="L2803" s="72" t="str">
        <f>IFERROR(IF(G2803="","",VLOOKUP($G2803,[1]基础信息!$B:$C,2,FALSE)+SUMIF(G$8:G2803,G2803,J$8:J2803)-SUMIF(G$8:G2803,G2803,K$8:K2803)+SUMIFS([1]内部转账!$G:$G,[1]内部转账!$C:$C,"&lt;="&amp;$D2803,[1]内部转账!$E:$E,$G2803)-SUMIFS([1]内部转账!$G:$G,[1]内部转账!$C:$C,"&lt;="&amp;$D2803,[1]内部转账!$F:$F,$G2803)),"")</f>
        <v/>
      </c>
      <c r="M2803" s="64"/>
      <c r="N2803" s="69"/>
      <c r="O2803" s="64"/>
      <c r="P2803" s="64"/>
      <c r="Q2803" s="69"/>
      <c r="R2803" s="69"/>
      <c r="S2803" s="69"/>
    </row>
    <row r="2804" s="2" customFormat="1" ht="24.95" customHeight="1" spans="1:19">
      <c r="A2804" s="15"/>
      <c r="B2804" s="55"/>
      <c r="C2804" s="56"/>
      <c r="D2804" s="68"/>
      <c r="E2804" s="69"/>
      <c r="F2804" s="69"/>
      <c r="G2804" s="65"/>
      <c r="H2804" s="65"/>
      <c r="I2804" s="70"/>
      <c r="J2804" s="71"/>
      <c r="K2804" s="71"/>
      <c r="L2804" s="72" t="str">
        <f>IFERROR(IF(G2804="","",VLOOKUP($G2804,[1]基础信息!$B:$C,2,FALSE)+SUMIF(G$8:G2804,G2804,J$8:J2804)-SUMIF(G$8:G2804,G2804,K$8:K2804)+SUMIFS([1]内部转账!$G:$G,[1]内部转账!$C:$C,"&lt;="&amp;$D2804,[1]内部转账!$E:$E,$G2804)-SUMIFS([1]内部转账!$G:$G,[1]内部转账!$C:$C,"&lt;="&amp;$D2804,[1]内部转账!$F:$F,$G2804)),"")</f>
        <v/>
      </c>
      <c r="M2804" s="64"/>
      <c r="N2804" s="69"/>
      <c r="O2804" s="64"/>
      <c r="P2804" s="64"/>
      <c r="Q2804" s="69"/>
      <c r="R2804" s="69"/>
      <c r="S2804" s="69"/>
    </row>
    <row r="2805" s="2" customFormat="1" ht="24.95" customHeight="1" spans="1:19">
      <c r="A2805" s="15"/>
      <c r="B2805" s="55"/>
      <c r="C2805" s="56"/>
      <c r="D2805" s="68"/>
      <c r="E2805" s="69"/>
      <c r="F2805" s="69"/>
      <c r="G2805" s="65"/>
      <c r="H2805" s="65"/>
      <c r="I2805" s="70"/>
      <c r="J2805" s="71"/>
      <c r="K2805" s="71"/>
      <c r="L2805" s="72" t="str">
        <f>IFERROR(IF(G2805="","",VLOOKUP($G2805,[1]基础信息!$B:$C,2,FALSE)+SUMIF(G$8:G2805,G2805,J$8:J2805)-SUMIF(G$8:G2805,G2805,K$8:K2805)+SUMIFS([1]内部转账!$G:$G,[1]内部转账!$C:$C,"&lt;="&amp;$D2805,[1]内部转账!$E:$E,$G2805)-SUMIFS([1]内部转账!$G:$G,[1]内部转账!$C:$C,"&lt;="&amp;$D2805,[1]内部转账!$F:$F,$G2805)),"")</f>
        <v/>
      </c>
      <c r="M2805" s="64"/>
      <c r="N2805" s="69"/>
      <c r="O2805" s="64"/>
      <c r="P2805" s="64"/>
      <c r="Q2805" s="69"/>
      <c r="R2805" s="69"/>
      <c r="S2805" s="69"/>
    </row>
    <row r="2806" s="2" customFormat="1" ht="24.95" customHeight="1" spans="1:19">
      <c r="A2806" s="15"/>
      <c r="B2806" s="55"/>
      <c r="C2806" s="56"/>
      <c r="D2806" s="68"/>
      <c r="E2806" s="69"/>
      <c r="F2806" s="69"/>
      <c r="G2806" s="65"/>
      <c r="H2806" s="65"/>
      <c r="I2806" s="70"/>
      <c r="J2806" s="71"/>
      <c r="K2806" s="71"/>
      <c r="L2806" s="72" t="str">
        <f>IFERROR(IF(G2806="","",VLOOKUP($G2806,[1]基础信息!$B:$C,2,FALSE)+SUMIF(G$8:G2806,G2806,J$8:J2806)-SUMIF(G$8:G2806,G2806,K$8:K2806)+SUMIFS([1]内部转账!$G:$G,[1]内部转账!$C:$C,"&lt;="&amp;$D2806,[1]内部转账!$E:$E,$G2806)-SUMIFS([1]内部转账!$G:$G,[1]内部转账!$C:$C,"&lt;="&amp;$D2806,[1]内部转账!$F:$F,$G2806)),"")</f>
        <v/>
      </c>
      <c r="M2806" s="64"/>
      <c r="N2806" s="69"/>
      <c r="O2806" s="64"/>
      <c r="P2806" s="64"/>
      <c r="Q2806" s="69"/>
      <c r="R2806" s="69"/>
      <c r="S2806" s="69"/>
    </row>
    <row r="2807" s="2" customFormat="1" ht="24.95" customHeight="1" spans="1:19">
      <c r="A2807" s="15"/>
      <c r="B2807" s="55"/>
      <c r="C2807" s="56"/>
      <c r="D2807" s="68"/>
      <c r="E2807" s="69"/>
      <c r="F2807" s="69"/>
      <c r="G2807" s="65"/>
      <c r="H2807" s="65"/>
      <c r="I2807" s="70"/>
      <c r="J2807" s="71"/>
      <c r="K2807" s="71"/>
      <c r="L2807" s="72" t="str">
        <f>IFERROR(IF(G2807="","",VLOOKUP($G2807,[1]基础信息!$B:$C,2,FALSE)+SUMIF(G$8:G2807,G2807,J$8:J2807)-SUMIF(G$8:G2807,G2807,K$8:K2807)+SUMIFS([1]内部转账!$G:$G,[1]内部转账!$C:$C,"&lt;="&amp;$D2807,[1]内部转账!$E:$E,$G2807)-SUMIFS([1]内部转账!$G:$G,[1]内部转账!$C:$C,"&lt;="&amp;$D2807,[1]内部转账!$F:$F,$G2807)),"")</f>
        <v/>
      </c>
      <c r="M2807" s="64"/>
      <c r="N2807" s="69"/>
      <c r="O2807" s="64"/>
      <c r="P2807" s="64"/>
      <c r="Q2807" s="69"/>
      <c r="R2807" s="69"/>
      <c r="S2807" s="69"/>
    </row>
    <row r="2808" s="2" customFormat="1" ht="24.95" customHeight="1" spans="1:19">
      <c r="A2808" s="15"/>
      <c r="B2808" s="55"/>
      <c r="C2808" s="56"/>
      <c r="D2808" s="68"/>
      <c r="E2808" s="69"/>
      <c r="F2808" s="69"/>
      <c r="G2808" s="65"/>
      <c r="H2808" s="65"/>
      <c r="I2808" s="70"/>
      <c r="J2808" s="71"/>
      <c r="K2808" s="71"/>
      <c r="L2808" s="72" t="str">
        <f>IFERROR(IF(G2808="","",VLOOKUP($G2808,[1]基础信息!$B:$C,2,FALSE)+SUMIF(G$8:G2808,G2808,J$8:J2808)-SUMIF(G$8:G2808,G2808,K$8:K2808)+SUMIFS([1]内部转账!$G:$G,[1]内部转账!$C:$C,"&lt;="&amp;$D2808,[1]内部转账!$E:$E,$G2808)-SUMIFS([1]内部转账!$G:$G,[1]内部转账!$C:$C,"&lt;="&amp;$D2808,[1]内部转账!$F:$F,$G2808)),"")</f>
        <v/>
      </c>
      <c r="M2808" s="64"/>
      <c r="N2808" s="69"/>
      <c r="O2808" s="64"/>
      <c r="P2808" s="64"/>
      <c r="Q2808" s="69"/>
      <c r="R2808" s="69"/>
      <c r="S2808" s="69"/>
    </row>
    <row r="2809" s="2" customFormat="1" ht="24.95" customHeight="1" spans="1:19">
      <c r="A2809" s="15"/>
      <c r="B2809" s="55"/>
      <c r="C2809" s="56"/>
      <c r="D2809" s="68"/>
      <c r="E2809" s="69"/>
      <c r="F2809" s="69"/>
      <c r="G2809" s="65"/>
      <c r="H2809" s="65"/>
      <c r="I2809" s="70"/>
      <c r="J2809" s="71"/>
      <c r="K2809" s="71"/>
      <c r="L2809" s="72" t="str">
        <f>IFERROR(IF(G2809="","",VLOOKUP($G2809,[1]基础信息!$B:$C,2,FALSE)+SUMIF(G$8:G2809,G2809,J$8:J2809)-SUMIF(G$8:G2809,G2809,K$8:K2809)+SUMIFS([1]内部转账!$G:$G,[1]内部转账!$C:$C,"&lt;="&amp;$D2809,[1]内部转账!$E:$E,$G2809)-SUMIFS([1]内部转账!$G:$G,[1]内部转账!$C:$C,"&lt;="&amp;$D2809,[1]内部转账!$F:$F,$G2809)),"")</f>
        <v/>
      </c>
      <c r="M2809" s="64"/>
      <c r="N2809" s="69"/>
      <c r="O2809" s="64"/>
      <c r="P2809" s="64"/>
      <c r="Q2809" s="69"/>
      <c r="R2809" s="69"/>
      <c r="S2809" s="69"/>
    </row>
    <row r="2810" s="2" customFormat="1" ht="24.95" customHeight="1" spans="1:19">
      <c r="A2810" s="15"/>
      <c r="B2810" s="55"/>
      <c r="C2810" s="56"/>
      <c r="D2810" s="68"/>
      <c r="E2810" s="69"/>
      <c r="F2810" s="69"/>
      <c r="G2810" s="65"/>
      <c r="H2810" s="65"/>
      <c r="I2810" s="70"/>
      <c r="J2810" s="71"/>
      <c r="K2810" s="71"/>
      <c r="L2810" s="72" t="str">
        <f>IFERROR(IF(G2810="","",VLOOKUP($G2810,[1]基础信息!$B:$C,2,FALSE)+SUMIF(G$8:G2810,G2810,J$8:J2810)-SUMIF(G$8:G2810,G2810,K$8:K2810)+SUMIFS([1]内部转账!$G:$G,[1]内部转账!$C:$C,"&lt;="&amp;$D2810,[1]内部转账!$E:$E,$G2810)-SUMIFS([1]内部转账!$G:$G,[1]内部转账!$C:$C,"&lt;="&amp;$D2810,[1]内部转账!$F:$F,$G2810)),"")</f>
        <v/>
      </c>
      <c r="M2810" s="64"/>
      <c r="N2810" s="69"/>
      <c r="O2810" s="64"/>
      <c r="P2810" s="64"/>
      <c r="Q2810" s="69"/>
      <c r="R2810" s="69"/>
      <c r="S2810" s="69"/>
    </row>
    <row r="2811" s="2" customFormat="1" ht="24.95" customHeight="1" spans="1:19">
      <c r="A2811" s="15"/>
      <c r="B2811" s="55"/>
      <c r="C2811" s="56"/>
      <c r="D2811" s="68"/>
      <c r="E2811" s="69"/>
      <c r="F2811" s="69"/>
      <c r="G2811" s="65"/>
      <c r="H2811" s="65"/>
      <c r="I2811" s="70"/>
      <c r="J2811" s="71"/>
      <c r="K2811" s="71"/>
      <c r="L2811" s="72" t="str">
        <f>IFERROR(IF(G2811="","",VLOOKUP($G2811,[1]基础信息!$B:$C,2,FALSE)+SUMIF(G$8:G2811,G2811,J$8:J2811)-SUMIF(G$8:G2811,G2811,K$8:K2811)+SUMIFS([1]内部转账!$G:$G,[1]内部转账!$C:$C,"&lt;="&amp;$D2811,[1]内部转账!$E:$E,$G2811)-SUMIFS([1]内部转账!$G:$G,[1]内部转账!$C:$C,"&lt;="&amp;$D2811,[1]内部转账!$F:$F,$G2811)),"")</f>
        <v/>
      </c>
      <c r="M2811" s="64"/>
      <c r="N2811" s="69"/>
      <c r="O2811" s="64"/>
      <c r="P2811" s="64"/>
      <c r="Q2811" s="69"/>
      <c r="R2811" s="69"/>
      <c r="S2811" s="69"/>
    </row>
    <row r="2812" s="2" customFormat="1" ht="24.95" customHeight="1" spans="1:19">
      <c r="A2812" s="15"/>
      <c r="B2812" s="55"/>
      <c r="C2812" s="56"/>
      <c r="D2812" s="68"/>
      <c r="E2812" s="69"/>
      <c r="F2812" s="69"/>
      <c r="G2812" s="65"/>
      <c r="H2812" s="65"/>
      <c r="I2812" s="70"/>
      <c r="J2812" s="71"/>
      <c r="K2812" s="71"/>
      <c r="L2812" s="72" t="str">
        <f>IFERROR(IF(G2812="","",VLOOKUP($G2812,[1]基础信息!$B:$C,2,FALSE)+SUMIF(G$8:G2812,G2812,J$8:J2812)-SUMIF(G$8:G2812,G2812,K$8:K2812)+SUMIFS([1]内部转账!$G:$G,[1]内部转账!$C:$C,"&lt;="&amp;$D2812,[1]内部转账!$E:$E,$G2812)-SUMIFS([1]内部转账!$G:$G,[1]内部转账!$C:$C,"&lt;="&amp;$D2812,[1]内部转账!$F:$F,$G2812)),"")</f>
        <v/>
      </c>
      <c r="M2812" s="64"/>
      <c r="N2812" s="69"/>
      <c r="O2812" s="64"/>
      <c r="P2812" s="64"/>
      <c r="Q2812" s="69"/>
      <c r="R2812" s="69"/>
      <c r="S2812" s="69"/>
    </row>
    <row r="2813" s="2" customFormat="1" ht="24.95" customHeight="1" spans="1:19">
      <c r="A2813" s="15"/>
      <c r="B2813" s="55"/>
      <c r="C2813" s="56"/>
      <c r="D2813" s="68"/>
      <c r="E2813" s="69"/>
      <c r="F2813" s="69"/>
      <c r="G2813" s="65"/>
      <c r="H2813" s="65"/>
      <c r="I2813" s="70"/>
      <c r="J2813" s="71"/>
      <c r="K2813" s="71"/>
      <c r="L2813" s="72" t="str">
        <f>IFERROR(IF(G2813="","",VLOOKUP($G2813,[1]基础信息!$B:$C,2,FALSE)+SUMIF(G$8:G2813,G2813,J$8:J2813)-SUMIF(G$8:G2813,G2813,K$8:K2813)+SUMIFS([1]内部转账!$G:$G,[1]内部转账!$C:$C,"&lt;="&amp;$D2813,[1]内部转账!$E:$E,$G2813)-SUMIFS([1]内部转账!$G:$G,[1]内部转账!$C:$C,"&lt;="&amp;$D2813,[1]内部转账!$F:$F,$G2813)),"")</f>
        <v/>
      </c>
      <c r="M2813" s="64"/>
      <c r="N2813" s="69"/>
      <c r="O2813" s="64"/>
      <c r="P2813" s="64"/>
      <c r="Q2813" s="69"/>
      <c r="R2813" s="69"/>
      <c r="S2813" s="69"/>
    </row>
    <row r="2814" s="2" customFormat="1" ht="24.95" customHeight="1" spans="1:19">
      <c r="A2814" s="15"/>
      <c r="B2814" s="55"/>
      <c r="C2814" s="56"/>
      <c r="D2814" s="68"/>
      <c r="E2814" s="69"/>
      <c r="F2814" s="69"/>
      <c r="G2814" s="65"/>
      <c r="H2814" s="65"/>
      <c r="I2814" s="70"/>
      <c r="J2814" s="71"/>
      <c r="K2814" s="71"/>
      <c r="L2814" s="72" t="str">
        <f>IFERROR(IF(G2814="","",VLOOKUP($G2814,[1]基础信息!$B:$C,2,FALSE)+SUMIF(G$8:G2814,G2814,J$8:J2814)-SUMIF(G$8:G2814,G2814,K$8:K2814)+SUMIFS([1]内部转账!$G:$G,[1]内部转账!$C:$C,"&lt;="&amp;$D2814,[1]内部转账!$E:$E,$G2814)-SUMIFS([1]内部转账!$G:$G,[1]内部转账!$C:$C,"&lt;="&amp;$D2814,[1]内部转账!$F:$F,$G2814)),"")</f>
        <v/>
      </c>
      <c r="M2814" s="64"/>
      <c r="N2814" s="69"/>
      <c r="O2814" s="64"/>
      <c r="P2814" s="64"/>
      <c r="Q2814" s="69"/>
      <c r="R2814" s="69"/>
      <c r="S2814" s="69"/>
    </row>
    <row r="2815" s="2" customFormat="1" ht="24.95" customHeight="1" spans="1:19">
      <c r="A2815" s="15"/>
      <c r="B2815" s="55"/>
      <c r="C2815" s="56"/>
      <c r="D2815" s="68"/>
      <c r="E2815" s="69"/>
      <c r="F2815" s="69"/>
      <c r="G2815" s="65"/>
      <c r="H2815" s="65"/>
      <c r="I2815" s="70"/>
      <c r="J2815" s="71"/>
      <c r="K2815" s="71"/>
      <c r="L2815" s="72" t="str">
        <f>IFERROR(IF(G2815="","",VLOOKUP($G2815,[1]基础信息!$B:$C,2,FALSE)+SUMIF(G$8:G2815,G2815,J$8:J2815)-SUMIF(G$8:G2815,G2815,K$8:K2815)+SUMIFS([1]内部转账!$G:$G,[1]内部转账!$C:$C,"&lt;="&amp;$D2815,[1]内部转账!$E:$E,$G2815)-SUMIFS([1]内部转账!$G:$G,[1]内部转账!$C:$C,"&lt;="&amp;$D2815,[1]内部转账!$F:$F,$G2815)),"")</f>
        <v/>
      </c>
      <c r="M2815" s="64"/>
      <c r="N2815" s="69"/>
      <c r="O2815" s="64"/>
      <c r="P2815" s="64"/>
      <c r="Q2815" s="69"/>
      <c r="R2815" s="69"/>
      <c r="S2815" s="69"/>
    </row>
    <row r="2816" s="2" customFormat="1" ht="24.95" customHeight="1" spans="1:19">
      <c r="A2816" s="15"/>
      <c r="B2816" s="55"/>
      <c r="C2816" s="56"/>
      <c r="D2816" s="68"/>
      <c r="E2816" s="69"/>
      <c r="F2816" s="69"/>
      <c r="G2816" s="65"/>
      <c r="H2816" s="65"/>
      <c r="I2816" s="70"/>
      <c r="J2816" s="71"/>
      <c r="K2816" s="71"/>
      <c r="L2816" s="72" t="str">
        <f>IFERROR(IF(G2816="","",VLOOKUP($G2816,[1]基础信息!$B:$C,2,FALSE)+SUMIF(G$8:G2816,G2816,J$8:J2816)-SUMIF(G$8:G2816,G2816,K$8:K2816)+SUMIFS([1]内部转账!$G:$G,[1]内部转账!$C:$C,"&lt;="&amp;$D2816,[1]内部转账!$E:$E,$G2816)-SUMIFS([1]内部转账!$G:$G,[1]内部转账!$C:$C,"&lt;="&amp;$D2816,[1]内部转账!$F:$F,$G2816)),"")</f>
        <v/>
      </c>
      <c r="M2816" s="64"/>
      <c r="N2816" s="69"/>
      <c r="O2816" s="64"/>
      <c r="P2816" s="64"/>
      <c r="Q2816" s="69"/>
      <c r="R2816" s="69"/>
      <c r="S2816" s="69"/>
    </row>
    <row r="2817" s="2" customFormat="1" ht="24.95" customHeight="1" spans="1:19">
      <c r="A2817" s="15"/>
      <c r="B2817" s="55"/>
      <c r="C2817" s="56"/>
      <c r="D2817" s="68"/>
      <c r="E2817" s="69"/>
      <c r="F2817" s="69"/>
      <c r="G2817" s="65"/>
      <c r="H2817" s="65"/>
      <c r="I2817" s="70"/>
      <c r="J2817" s="71"/>
      <c r="K2817" s="71"/>
      <c r="L2817" s="72" t="str">
        <f>IFERROR(IF(G2817="","",VLOOKUP($G2817,[1]基础信息!$B:$C,2,FALSE)+SUMIF(G$8:G2817,G2817,J$8:J2817)-SUMIF(G$8:G2817,G2817,K$8:K2817)+SUMIFS([1]内部转账!$G:$G,[1]内部转账!$C:$C,"&lt;="&amp;$D2817,[1]内部转账!$E:$E,$G2817)-SUMIFS([1]内部转账!$G:$G,[1]内部转账!$C:$C,"&lt;="&amp;$D2817,[1]内部转账!$F:$F,$G2817)),"")</f>
        <v/>
      </c>
      <c r="M2817" s="64"/>
      <c r="N2817" s="69"/>
      <c r="O2817" s="64"/>
      <c r="P2817" s="64"/>
      <c r="Q2817" s="69"/>
      <c r="R2817" s="69"/>
      <c r="S2817" s="69"/>
    </row>
    <row r="2818" s="2" customFormat="1" ht="24.95" customHeight="1" spans="1:19">
      <c r="A2818" s="15"/>
      <c r="B2818" s="55"/>
      <c r="C2818" s="56"/>
      <c r="D2818" s="68"/>
      <c r="E2818" s="69"/>
      <c r="F2818" s="69"/>
      <c r="G2818" s="65"/>
      <c r="H2818" s="65"/>
      <c r="I2818" s="70"/>
      <c r="J2818" s="71"/>
      <c r="K2818" s="71"/>
      <c r="L2818" s="72" t="str">
        <f>IFERROR(IF(G2818="","",VLOOKUP($G2818,[1]基础信息!$B:$C,2,FALSE)+SUMIF(G$8:G2818,G2818,J$8:J2818)-SUMIF(G$8:G2818,G2818,K$8:K2818)+SUMIFS([1]内部转账!$G:$G,[1]内部转账!$C:$C,"&lt;="&amp;$D2818,[1]内部转账!$E:$E,$G2818)-SUMIFS([1]内部转账!$G:$G,[1]内部转账!$C:$C,"&lt;="&amp;$D2818,[1]内部转账!$F:$F,$G2818)),"")</f>
        <v/>
      </c>
      <c r="M2818" s="64"/>
      <c r="N2818" s="69"/>
      <c r="O2818" s="64"/>
      <c r="P2818" s="64"/>
      <c r="Q2818" s="69"/>
      <c r="R2818" s="69"/>
      <c r="S2818" s="69"/>
    </row>
    <row r="2819" s="2" customFormat="1" ht="24.95" customHeight="1" spans="1:19">
      <c r="A2819" s="15"/>
      <c r="B2819" s="55"/>
      <c r="C2819" s="56"/>
      <c r="D2819" s="68"/>
      <c r="E2819" s="69"/>
      <c r="F2819" s="69"/>
      <c r="G2819" s="65"/>
      <c r="H2819" s="65"/>
      <c r="I2819" s="70"/>
      <c r="J2819" s="71"/>
      <c r="K2819" s="71"/>
      <c r="L2819" s="72" t="str">
        <f>IFERROR(IF(G2819="","",VLOOKUP($G2819,[1]基础信息!$B:$C,2,FALSE)+SUMIF(G$8:G2819,G2819,J$8:J2819)-SUMIF(G$8:G2819,G2819,K$8:K2819)+SUMIFS([1]内部转账!$G:$G,[1]内部转账!$C:$C,"&lt;="&amp;$D2819,[1]内部转账!$E:$E,$G2819)-SUMIFS([1]内部转账!$G:$G,[1]内部转账!$C:$C,"&lt;="&amp;$D2819,[1]内部转账!$F:$F,$G2819)),"")</f>
        <v/>
      </c>
      <c r="M2819" s="64"/>
      <c r="N2819" s="69"/>
      <c r="O2819" s="64"/>
      <c r="P2819" s="64"/>
      <c r="Q2819" s="69"/>
      <c r="R2819" s="69"/>
      <c r="S2819" s="69"/>
    </row>
    <row r="2820" s="2" customFormat="1" ht="24.95" customHeight="1" spans="1:19">
      <c r="A2820" s="15"/>
      <c r="B2820" s="55"/>
      <c r="C2820" s="56"/>
      <c r="D2820" s="68"/>
      <c r="E2820" s="69"/>
      <c r="F2820" s="69"/>
      <c r="G2820" s="65"/>
      <c r="H2820" s="65"/>
      <c r="I2820" s="70"/>
      <c r="J2820" s="71"/>
      <c r="K2820" s="71"/>
      <c r="L2820" s="72" t="str">
        <f>IFERROR(IF(G2820="","",VLOOKUP($G2820,[1]基础信息!$B:$C,2,FALSE)+SUMIF(G$8:G2820,G2820,J$8:J2820)-SUMIF(G$8:G2820,G2820,K$8:K2820)+SUMIFS([1]内部转账!$G:$G,[1]内部转账!$C:$C,"&lt;="&amp;$D2820,[1]内部转账!$E:$E,$G2820)-SUMIFS([1]内部转账!$G:$G,[1]内部转账!$C:$C,"&lt;="&amp;$D2820,[1]内部转账!$F:$F,$G2820)),"")</f>
        <v/>
      </c>
      <c r="M2820" s="64"/>
      <c r="N2820" s="69"/>
      <c r="O2820" s="64"/>
      <c r="P2820" s="64"/>
      <c r="Q2820" s="69"/>
      <c r="R2820" s="69"/>
      <c r="S2820" s="69"/>
    </row>
    <row r="2821" s="2" customFormat="1" ht="24.95" customHeight="1" spans="1:19">
      <c r="A2821" s="15"/>
      <c r="B2821" s="55"/>
      <c r="C2821" s="56"/>
      <c r="D2821" s="68"/>
      <c r="E2821" s="69"/>
      <c r="F2821" s="69"/>
      <c r="G2821" s="65"/>
      <c r="H2821" s="65"/>
      <c r="I2821" s="70"/>
      <c r="J2821" s="71"/>
      <c r="K2821" s="71"/>
      <c r="L2821" s="72" t="str">
        <f>IFERROR(IF(G2821="","",VLOOKUP($G2821,[1]基础信息!$B:$C,2,FALSE)+SUMIF(G$8:G2821,G2821,J$8:J2821)-SUMIF(G$8:G2821,G2821,K$8:K2821)+SUMIFS([1]内部转账!$G:$G,[1]内部转账!$C:$C,"&lt;="&amp;$D2821,[1]内部转账!$E:$E,$G2821)-SUMIFS([1]内部转账!$G:$G,[1]内部转账!$C:$C,"&lt;="&amp;$D2821,[1]内部转账!$F:$F,$G2821)),"")</f>
        <v/>
      </c>
      <c r="M2821" s="64"/>
      <c r="N2821" s="69"/>
      <c r="O2821" s="64"/>
      <c r="P2821" s="64"/>
      <c r="Q2821" s="69"/>
      <c r="R2821" s="69"/>
      <c r="S2821" s="69"/>
    </row>
    <row r="2822" s="2" customFormat="1" ht="24.95" customHeight="1" spans="1:19">
      <c r="A2822" s="15"/>
      <c r="B2822" s="55"/>
      <c r="C2822" s="56"/>
      <c r="D2822" s="68"/>
      <c r="E2822" s="69"/>
      <c r="F2822" s="69"/>
      <c r="G2822" s="65"/>
      <c r="H2822" s="65"/>
      <c r="I2822" s="70"/>
      <c r="J2822" s="71"/>
      <c r="K2822" s="71"/>
      <c r="L2822" s="72" t="str">
        <f>IFERROR(IF(G2822="","",VLOOKUP($G2822,[1]基础信息!$B:$C,2,FALSE)+SUMIF(G$8:G2822,G2822,J$8:J2822)-SUMIF(G$8:G2822,G2822,K$8:K2822)+SUMIFS([1]内部转账!$G:$G,[1]内部转账!$C:$C,"&lt;="&amp;$D2822,[1]内部转账!$E:$E,$G2822)-SUMIFS([1]内部转账!$G:$G,[1]内部转账!$C:$C,"&lt;="&amp;$D2822,[1]内部转账!$F:$F,$G2822)),"")</f>
        <v/>
      </c>
      <c r="M2822" s="64"/>
      <c r="N2822" s="69"/>
      <c r="O2822" s="64"/>
      <c r="P2822" s="64"/>
      <c r="Q2822" s="69"/>
      <c r="R2822" s="69"/>
      <c r="S2822" s="69"/>
    </row>
    <row r="2823" s="2" customFormat="1" ht="24.95" customHeight="1" spans="1:19">
      <c r="A2823" s="15"/>
      <c r="B2823" s="55"/>
      <c r="C2823" s="56"/>
      <c r="D2823" s="68"/>
      <c r="E2823" s="69"/>
      <c r="F2823" s="69"/>
      <c r="G2823" s="65"/>
      <c r="H2823" s="65"/>
      <c r="I2823" s="70"/>
      <c r="J2823" s="71"/>
      <c r="K2823" s="71"/>
      <c r="L2823" s="72" t="str">
        <f>IFERROR(IF(G2823="","",VLOOKUP($G2823,[1]基础信息!$B:$C,2,FALSE)+SUMIF(G$8:G2823,G2823,J$8:J2823)-SUMIF(G$8:G2823,G2823,K$8:K2823)+SUMIFS([1]内部转账!$G:$G,[1]内部转账!$C:$C,"&lt;="&amp;$D2823,[1]内部转账!$E:$E,$G2823)-SUMIFS([1]内部转账!$G:$G,[1]内部转账!$C:$C,"&lt;="&amp;$D2823,[1]内部转账!$F:$F,$G2823)),"")</f>
        <v/>
      </c>
      <c r="M2823" s="64"/>
      <c r="N2823" s="69"/>
      <c r="O2823" s="64"/>
      <c r="P2823" s="64"/>
      <c r="Q2823" s="69"/>
      <c r="R2823" s="69"/>
      <c r="S2823" s="69"/>
    </row>
    <row r="2824" s="2" customFormat="1" ht="24.95" customHeight="1" spans="1:19">
      <c r="A2824" s="15"/>
      <c r="B2824" s="55"/>
      <c r="C2824" s="56"/>
      <c r="D2824" s="68"/>
      <c r="E2824" s="69"/>
      <c r="F2824" s="69"/>
      <c r="G2824" s="65"/>
      <c r="H2824" s="65"/>
      <c r="I2824" s="70"/>
      <c r="J2824" s="71"/>
      <c r="K2824" s="71"/>
      <c r="L2824" s="72" t="str">
        <f>IFERROR(IF(G2824="","",VLOOKUP($G2824,[1]基础信息!$B:$C,2,FALSE)+SUMIF(G$8:G2824,G2824,J$8:J2824)-SUMIF(G$8:G2824,G2824,K$8:K2824)+SUMIFS([1]内部转账!$G:$G,[1]内部转账!$C:$C,"&lt;="&amp;$D2824,[1]内部转账!$E:$E,$G2824)-SUMIFS([1]内部转账!$G:$G,[1]内部转账!$C:$C,"&lt;="&amp;$D2824,[1]内部转账!$F:$F,$G2824)),"")</f>
        <v/>
      </c>
      <c r="M2824" s="64"/>
      <c r="N2824" s="69"/>
      <c r="O2824" s="64"/>
      <c r="P2824" s="64"/>
      <c r="Q2824" s="69"/>
      <c r="R2824" s="69"/>
      <c r="S2824" s="69"/>
    </row>
    <row r="2825" s="2" customFormat="1" ht="24.95" customHeight="1" spans="1:19">
      <c r="A2825" s="15"/>
      <c r="B2825" s="55"/>
      <c r="C2825" s="56"/>
      <c r="D2825" s="68"/>
      <c r="E2825" s="69"/>
      <c r="F2825" s="69"/>
      <c r="G2825" s="65"/>
      <c r="H2825" s="65"/>
      <c r="I2825" s="70"/>
      <c r="J2825" s="71"/>
      <c r="K2825" s="71"/>
      <c r="L2825" s="72" t="str">
        <f>IFERROR(IF(G2825="","",VLOOKUP($G2825,[1]基础信息!$B:$C,2,FALSE)+SUMIF(G$8:G2825,G2825,J$8:J2825)-SUMIF(G$8:G2825,G2825,K$8:K2825)+SUMIFS([1]内部转账!$G:$G,[1]内部转账!$C:$C,"&lt;="&amp;$D2825,[1]内部转账!$E:$E,$G2825)-SUMIFS([1]内部转账!$G:$G,[1]内部转账!$C:$C,"&lt;="&amp;$D2825,[1]内部转账!$F:$F,$G2825)),"")</f>
        <v/>
      </c>
      <c r="M2825" s="64"/>
      <c r="N2825" s="69"/>
      <c r="O2825" s="64"/>
      <c r="P2825" s="64"/>
      <c r="Q2825" s="69"/>
      <c r="R2825" s="69"/>
      <c r="S2825" s="69"/>
    </row>
    <row r="2826" s="2" customFormat="1" ht="24.95" customHeight="1" spans="1:19">
      <c r="A2826" s="15"/>
      <c r="B2826" s="55"/>
      <c r="C2826" s="56"/>
      <c r="D2826" s="68"/>
      <c r="E2826" s="69"/>
      <c r="F2826" s="69"/>
      <c r="G2826" s="65"/>
      <c r="H2826" s="65"/>
      <c r="I2826" s="70"/>
      <c r="J2826" s="71"/>
      <c r="K2826" s="71"/>
      <c r="L2826" s="72" t="str">
        <f>IFERROR(IF(G2826="","",VLOOKUP($G2826,[1]基础信息!$B:$C,2,FALSE)+SUMIF(G$8:G2826,G2826,J$8:J2826)-SUMIF(G$8:G2826,G2826,K$8:K2826)+SUMIFS([1]内部转账!$G:$G,[1]内部转账!$C:$C,"&lt;="&amp;$D2826,[1]内部转账!$E:$E,$G2826)-SUMIFS([1]内部转账!$G:$G,[1]内部转账!$C:$C,"&lt;="&amp;$D2826,[1]内部转账!$F:$F,$G2826)),"")</f>
        <v/>
      </c>
      <c r="M2826" s="64"/>
      <c r="N2826" s="69"/>
      <c r="O2826" s="64"/>
      <c r="P2826" s="64"/>
      <c r="Q2826" s="69"/>
      <c r="R2826" s="69"/>
      <c r="S2826" s="69"/>
    </row>
    <row r="2827" s="2" customFormat="1" ht="24.95" customHeight="1" spans="1:19">
      <c r="A2827" s="15"/>
      <c r="B2827" s="55"/>
      <c r="C2827" s="56"/>
      <c r="D2827" s="68"/>
      <c r="E2827" s="69"/>
      <c r="F2827" s="69"/>
      <c r="G2827" s="65"/>
      <c r="H2827" s="65"/>
      <c r="I2827" s="70"/>
      <c r="J2827" s="71"/>
      <c r="K2827" s="71"/>
      <c r="L2827" s="72" t="str">
        <f>IFERROR(IF(G2827="","",VLOOKUP($G2827,[1]基础信息!$B:$C,2,FALSE)+SUMIF(G$8:G2827,G2827,J$8:J2827)-SUMIF(G$8:G2827,G2827,K$8:K2827)+SUMIFS([1]内部转账!$G:$G,[1]内部转账!$C:$C,"&lt;="&amp;$D2827,[1]内部转账!$E:$E,$G2827)-SUMIFS([1]内部转账!$G:$G,[1]内部转账!$C:$C,"&lt;="&amp;$D2827,[1]内部转账!$F:$F,$G2827)),"")</f>
        <v/>
      </c>
      <c r="M2827" s="64"/>
      <c r="N2827" s="69"/>
      <c r="O2827" s="64"/>
      <c r="P2827" s="64"/>
      <c r="Q2827" s="69"/>
      <c r="R2827" s="69"/>
      <c r="S2827" s="69"/>
    </row>
    <row r="2828" s="2" customFormat="1" ht="24.95" customHeight="1" spans="1:19">
      <c r="A2828" s="15"/>
      <c r="B2828" s="55"/>
      <c r="C2828" s="56"/>
      <c r="D2828" s="68"/>
      <c r="E2828" s="69"/>
      <c r="F2828" s="69"/>
      <c r="G2828" s="65"/>
      <c r="H2828" s="65"/>
      <c r="I2828" s="70"/>
      <c r="J2828" s="71"/>
      <c r="K2828" s="71"/>
      <c r="L2828" s="72" t="str">
        <f>IFERROR(IF(G2828="","",VLOOKUP($G2828,[1]基础信息!$B:$C,2,FALSE)+SUMIF(G$8:G2828,G2828,J$8:J2828)-SUMIF(G$8:G2828,G2828,K$8:K2828)+SUMIFS([1]内部转账!$G:$G,[1]内部转账!$C:$C,"&lt;="&amp;$D2828,[1]内部转账!$E:$E,$G2828)-SUMIFS([1]内部转账!$G:$G,[1]内部转账!$C:$C,"&lt;="&amp;$D2828,[1]内部转账!$F:$F,$G2828)),"")</f>
        <v/>
      </c>
      <c r="M2828" s="64"/>
      <c r="N2828" s="69"/>
      <c r="O2828" s="64"/>
      <c r="P2828" s="64"/>
      <c r="Q2828" s="69"/>
      <c r="R2828" s="69"/>
      <c r="S2828" s="69"/>
    </row>
    <row r="2829" s="2" customFormat="1" ht="24.95" customHeight="1" spans="1:19">
      <c r="A2829" s="15"/>
      <c r="B2829" s="55"/>
      <c r="C2829" s="56"/>
      <c r="D2829" s="68"/>
      <c r="E2829" s="69"/>
      <c r="F2829" s="69"/>
      <c r="G2829" s="65"/>
      <c r="H2829" s="65"/>
      <c r="I2829" s="70"/>
      <c r="J2829" s="71"/>
      <c r="K2829" s="71"/>
      <c r="L2829" s="72" t="str">
        <f>IFERROR(IF(G2829="","",VLOOKUP($G2829,[1]基础信息!$B:$C,2,FALSE)+SUMIF(G$8:G2829,G2829,J$8:J2829)-SUMIF(G$8:G2829,G2829,K$8:K2829)+SUMIFS([1]内部转账!$G:$G,[1]内部转账!$C:$C,"&lt;="&amp;$D2829,[1]内部转账!$E:$E,$G2829)-SUMIFS([1]内部转账!$G:$G,[1]内部转账!$C:$C,"&lt;="&amp;$D2829,[1]内部转账!$F:$F,$G2829)),"")</f>
        <v/>
      </c>
      <c r="M2829" s="64"/>
      <c r="N2829" s="69"/>
      <c r="O2829" s="64"/>
      <c r="P2829" s="64"/>
      <c r="Q2829" s="69"/>
      <c r="R2829" s="69"/>
      <c r="S2829" s="69"/>
    </row>
    <row r="2830" s="2" customFormat="1" ht="24.95" customHeight="1" spans="1:19">
      <c r="A2830" s="15"/>
      <c r="B2830" s="55"/>
      <c r="C2830" s="56"/>
      <c r="D2830" s="68"/>
      <c r="E2830" s="69"/>
      <c r="F2830" s="69"/>
      <c r="G2830" s="65"/>
      <c r="H2830" s="65"/>
      <c r="I2830" s="70"/>
      <c r="J2830" s="71"/>
      <c r="K2830" s="71"/>
      <c r="L2830" s="72" t="str">
        <f>IFERROR(IF(G2830="","",VLOOKUP($G2830,[1]基础信息!$B:$C,2,FALSE)+SUMIF(G$8:G2830,G2830,J$8:J2830)-SUMIF(G$8:G2830,G2830,K$8:K2830)+SUMIFS([1]内部转账!$G:$G,[1]内部转账!$C:$C,"&lt;="&amp;$D2830,[1]内部转账!$E:$E,$G2830)-SUMIFS([1]内部转账!$G:$G,[1]内部转账!$C:$C,"&lt;="&amp;$D2830,[1]内部转账!$F:$F,$G2830)),"")</f>
        <v/>
      </c>
      <c r="M2830" s="64"/>
      <c r="N2830" s="69"/>
      <c r="O2830" s="64"/>
      <c r="P2830" s="64"/>
      <c r="Q2830" s="69"/>
      <c r="R2830" s="69"/>
      <c r="S2830" s="69"/>
    </row>
    <row r="2831" s="2" customFormat="1" ht="24.95" customHeight="1" spans="1:19">
      <c r="A2831" s="15"/>
      <c r="B2831" s="55"/>
      <c r="C2831" s="56"/>
      <c r="D2831" s="68"/>
      <c r="E2831" s="69"/>
      <c r="F2831" s="69"/>
      <c r="G2831" s="65"/>
      <c r="H2831" s="65"/>
      <c r="I2831" s="70"/>
      <c r="J2831" s="71"/>
      <c r="K2831" s="71"/>
      <c r="L2831" s="72" t="str">
        <f>IFERROR(IF(G2831="","",VLOOKUP($G2831,[1]基础信息!$B:$C,2,FALSE)+SUMIF(G$8:G2831,G2831,J$8:J2831)-SUMIF(G$8:G2831,G2831,K$8:K2831)+SUMIFS([1]内部转账!$G:$G,[1]内部转账!$C:$C,"&lt;="&amp;$D2831,[1]内部转账!$E:$E,$G2831)-SUMIFS([1]内部转账!$G:$G,[1]内部转账!$C:$C,"&lt;="&amp;$D2831,[1]内部转账!$F:$F,$G2831)),"")</f>
        <v/>
      </c>
      <c r="M2831" s="64"/>
      <c r="N2831" s="69"/>
      <c r="O2831" s="64"/>
      <c r="P2831" s="64"/>
      <c r="Q2831" s="69"/>
      <c r="R2831" s="69"/>
      <c r="S2831" s="69"/>
    </row>
    <row r="2832" s="2" customFormat="1" ht="24.95" customHeight="1" spans="1:19">
      <c r="A2832" s="15"/>
      <c r="B2832" s="55"/>
      <c r="C2832" s="56"/>
      <c r="D2832" s="68"/>
      <c r="E2832" s="69"/>
      <c r="F2832" s="69"/>
      <c r="G2832" s="65"/>
      <c r="H2832" s="65"/>
      <c r="I2832" s="70"/>
      <c r="J2832" s="71"/>
      <c r="K2832" s="71"/>
      <c r="L2832" s="72" t="str">
        <f>IFERROR(IF(G2832="","",VLOOKUP($G2832,[1]基础信息!$B:$C,2,FALSE)+SUMIF(G$8:G2832,G2832,J$8:J2832)-SUMIF(G$8:G2832,G2832,K$8:K2832)+SUMIFS([1]内部转账!$G:$G,[1]内部转账!$C:$C,"&lt;="&amp;$D2832,[1]内部转账!$E:$E,$G2832)-SUMIFS([1]内部转账!$G:$G,[1]内部转账!$C:$C,"&lt;="&amp;$D2832,[1]内部转账!$F:$F,$G2832)),"")</f>
        <v/>
      </c>
      <c r="M2832" s="64"/>
      <c r="N2832" s="69"/>
      <c r="O2832" s="64"/>
      <c r="P2832" s="64"/>
      <c r="Q2832" s="69"/>
      <c r="R2832" s="69"/>
      <c r="S2832" s="69"/>
    </row>
    <row r="2833" s="2" customFormat="1" ht="24.95" customHeight="1" spans="1:19">
      <c r="A2833" s="15"/>
      <c r="B2833" s="55"/>
      <c r="C2833" s="56"/>
      <c r="D2833" s="68"/>
      <c r="E2833" s="69"/>
      <c r="F2833" s="69"/>
      <c r="G2833" s="65"/>
      <c r="H2833" s="65"/>
      <c r="I2833" s="70"/>
      <c r="J2833" s="71"/>
      <c r="K2833" s="71"/>
      <c r="L2833" s="72" t="str">
        <f>IFERROR(IF(G2833="","",VLOOKUP($G2833,[1]基础信息!$B:$C,2,FALSE)+SUMIF(G$8:G2833,G2833,J$8:J2833)-SUMIF(G$8:G2833,G2833,K$8:K2833)+SUMIFS([1]内部转账!$G:$G,[1]内部转账!$C:$C,"&lt;="&amp;$D2833,[1]内部转账!$E:$E,$G2833)-SUMIFS([1]内部转账!$G:$G,[1]内部转账!$C:$C,"&lt;="&amp;$D2833,[1]内部转账!$F:$F,$G2833)),"")</f>
        <v/>
      </c>
      <c r="M2833" s="64"/>
      <c r="N2833" s="69"/>
      <c r="O2833" s="64"/>
      <c r="P2833" s="64"/>
      <c r="Q2833" s="69"/>
      <c r="R2833" s="69"/>
      <c r="S2833" s="69"/>
    </row>
    <row r="2834" s="2" customFormat="1" ht="24.95" customHeight="1" spans="1:19">
      <c r="A2834" s="15"/>
      <c r="B2834" s="55"/>
      <c r="C2834" s="56"/>
      <c r="D2834" s="68"/>
      <c r="E2834" s="69"/>
      <c r="F2834" s="69"/>
      <c r="G2834" s="65"/>
      <c r="H2834" s="65"/>
      <c r="I2834" s="70"/>
      <c r="J2834" s="71"/>
      <c r="K2834" s="71"/>
      <c r="L2834" s="72" t="str">
        <f>IFERROR(IF(G2834="","",VLOOKUP($G2834,[1]基础信息!$B:$C,2,FALSE)+SUMIF(G$8:G2834,G2834,J$8:J2834)-SUMIF(G$8:G2834,G2834,K$8:K2834)+SUMIFS([1]内部转账!$G:$G,[1]内部转账!$C:$C,"&lt;="&amp;$D2834,[1]内部转账!$E:$E,$G2834)-SUMIFS([1]内部转账!$G:$G,[1]内部转账!$C:$C,"&lt;="&amp;$D2834,[1]内部转账!$F:$F,$G2834)),"")</f>
        <v/>
      </c>
      <c r="M2834" s="64"/>
      <c r="N2834" s="69"/>
      <c r="O2834" s="64"/>
      <c r="P2834" s="64"/>
      <c r="Q2834" s="69"/>
      <c r="R2834" s="69"/>
      <c r="S2834" s="69"/>
    </row>
    <row r="2835" s="2" customFormat="1" ht="24.95" customHeight="1" spans="1:19">
      <c r="A2835" s="15"/>
      <c r="B2835" s="55"/>
      <c r="C2835" s="56"/>
      <c r="D2835" s="68"/>
      <c r="E2835" s="69"/>
      <c r="F2835" s="69"/>
      <c r="G2835" s="65"/>
      <c r="H2835" s="65"/>
      <c r="I2835" s="70"/>
      <c r="J2835" s="71"/>
      <c r="K2835" s="71"/>
      <c r="L2835" s="72" t="str">
        <f>IFERROR(IF(G2835="","",VLOOKUP($G2835,[1]基础信息!$B:$C,2,FALSE)+SUMIF(G$8:G2835,G2835,J$8:J2835)-SUMIF(G$8:G2835,G2835,K$8:K2835)+SUMIFS([1]内部转账!$G:$G,[1]内部转账!$C:$C,"&lt;="&amp;$D2835,[1]内部转账!$E:$E,$G2835)-SUMIFS([1]内部转账!$G:$G,[1]内部转账!$C:$C,"&lt;="&amp;$D2835,[1]内部转账!$F:$F,$G2835)),"")</f>
        <v/>
      </c>
      <c r="M2835" s="64"/>
      <c r="N2835" s="69"/>
      <c r="O2835" s="64"/>
      <c r="P2835" s="64"/>
      <c r="Q2835" s="69"/>
      <c r="R2835" s="69"/>
      <c r="S2835" s="69"/>
    </row>
    <row r="2836" s="2" customFormat="1" ht="24.95" customHeight="1" spans="1:19">
      <c r="A2836" s="15"/>
      <c r="B2836" s="55"/>
      <c r="C2836" s="56"/>
      <c r="D2836" s="68"/>
      <c r="E2836" s="69"/>
      <c r="F2836" s="69"/>
      <c r="G2836" s="65"/>
      <c r="H2836" s="65"/>
      <c r="I2836" s="70"/>
      <c r="J2836" s="71"/>
      <c r="K2836" s="71"/>
      <c r="L2836" s="72" t="str">
        <f>IFERROR(IF(G2836="","",VLOOKUP($G2836,[1]基础信息!$B:$C,2,FALSE)+SUMIF(G$8:G2836,G2836,J$8:J2836)-SUMIF(G$8:G2836,G2836,K$8:K2836)+SUMIFS([1]内部转账!$G:$G,[1]内部转账!$C:$C,"&lt;="&amp;$D2836,[1]内部转账!$E:$E,$G2836)-SUMIFS([1]内部转账!$G:$G,[1]内部转账!$C:$C,"&lt;="&amp;$D2836,[1]内部转账!$F:$F,$G2836)),"")</f>
        <v/>
      </c>
      <c r="M2836" s="64"/>
      <c r="N2836" s="69"/>
      <c r="O2836" s="64"/>
      <c r="P2836" s="64"/>
      <c r="Q2836" s="69"/>
      <c r="R2836" s="69"/>
      <c r="S2836" s="69"/>
    </row>
    <row r="2837" s="2" customFormat="1" ht="24.95" customHeight="1" spans="1:19">
      <c r="A2837" s="15"/>
      <c r="B2837" s="55"/>
      <c r="C2837" s="56"/>
      <c r="D2837" s="68"/>
      <c r="E2837" s="69"/>
      <c r="F2837" s="69"/>
      <c r="G2837" s="65"/>
      <c r="H2837" s="65"/>
      <c r="I2837" s="70"/>
      <c r="J2837" s="71"/>
      <c r="K2837" s="71"/>
      <c r="L2837" s="72" t="str">
        <f>IFERROR(IF(G2837="","",VLOOKUP($G2837,[1]基础信息!$B:$C,2,FALSE)+SUMIF(G$8:G2837,G2837,J$8:J2837)-SUMIF(G$8:G2837,G2837,K$8:K2837)+SUMIFS([1]内部转账!$G:$G,[1]内部转账!$C:$C,"&lt;="&amp;$D2837,[1]内部转账!$E:$E,$G2837)-SUMIFS([1]内部转账!$G:$G,[1]内部转账!$C:$C,"&lt;="&amp;$D2837,[1]内部转账!$F:$F,$G2837)),"")</f>
        <v/>
      </c>
      <c r="M2837" s="64"/>
      <c r="N2837" s="69"/>
      <c r="O2837" s="64"/>
      <c r="P2837" s="64"/>
      <c r="Q2837" s="69"/>
      <c r="R2837" s="69"/>
      <c r="S2837" s="69"/>
    </row>
    <row r="2838" s="2" customFormat="1" ht="24.95" customHeight="1" spans="1:19">
      <c r="A2838" s="15"/>
      <c r="B2838" s="55"/>
      <c r="C2838" s="56"/>
      <c r="D2838" s="68"/>
      <c r="E2838" s="69"/>
      <c r="F2838" s="69"/>
      <c r="G2838" s="65"/>
      <c r="H2838" s="65"/>
      <c r="I2838" s="70"/>
      <c r="J2838" s="71"/>
      <c r="K2838" s="71"/>
      <c r="L2838" s="72" t="str">
        <f>IFERROR(IF(G2838="","",VLOOKUP($G2838,[1]基础信息!$B:$C,2,FALSE)+SUMIF(G$8:G2838,G2838,J$8:J2838)-SUMIF(G$8:G2838,G2838,K$8:K2838)+SUMIFS([1]内部转账!$G:$G,[1]内部转账!$C:$C,"&lt;="&amp;$D2838,[1]内部转账!$E:$E,$G2838)-SUMIFS([1]内部转账!$G:$G,[1]内部转账!$C:$C,"&lt;="&amp;$D2838,[1]内部转账!$F:$F,$G2838)),"")</f>
        <v/>
      </c>
      <c r="M2838" s="64"/>
      <c r="N2838" s="69"/>
      <c r="O2838" s="64"/>
      <c r="P2838" s="64"/>
      <c r="Q2838" s="69"/>
      <c r="R2838" s="69"/>
      <c r="S2838" s="69"/>
    </row>
    <row r="2839" s="2" customFormat="1" ht="24.95" customHeight="1" spans="1:19">
      <c r="A2839" s="15"/>
      <c r="B2839" s="55"/>
      <c r="C2839" s="56"/>
      <c r="D2839" s="68"/>
      <c r="E2839" s="69"/>
      <c r="F2839" s="69"/>
      <c r="G2839" s="65"/>
      <c r="H2839" s="65"/>
      <c r="I2839" s="70"/>
      <c r="J2839" s="71"/>
      <c r="K2839" s="71"/>
      <c r="L2839" s="72" t="str">
        <f>IFERROR(IF(G2839="","",VLOOKUP($G2839,[1]基础信息!$B:$C,2,FALSE)+SUMIF(G$8:G2839,G2839,J$8:J2839)-SUMIF(G$8:G2839,G2839,K$8:K2839)+SUMIFS([1]内部转账!$G:$G,[1]内部转账!$C:$C,"&lt;="&amp;$D2839,[1]内部转账!$E:$E,$G2839)-SUMIFS([1]内部转账!$G:$G,[1]内部转账!$C:$C,"&lt;="&amp;$D2839,[1]内部转账!$F:$F,$G2839)),"")</f>
        <v/>
      </c>
      <c r="M2839" s="64"/>
      <c r="N2839" s="69"/>
      <c r="O2839" s="64"/>
      <c r="P2839" s="64"/>
      <c r="Q2839" s="69"/>
      <c r="R2839" s="69"/>
      <c r="S2839" s="69"/>
    </row>
    <row r="2840" s="2" customFormat="1" ht="24.95" customHeight="1" spans="1:19">
      <c r="A2840" s="15"/>
      <c r="B2840" s="55"/>
      <c r="C2840" s="56"/>
      <c r="D2840" s="68"/>
      <c r="E2840" s="69"/>
      <c r="F2840" s="69"/>
      <c r="G2840" s="65"/>
      <c r="H2840" s="65"/>
      <c r="I2840" s="70"/>
      <c r="J2840" s="71"/>
      <c r="K2840" s="71"/>
      <c r="L2840" s="72" t="str">
        <f>IFERROR(IF(G2840="","",VLOOKUP($G2840,[1]基础信息!$B:$C,2,FALSE)+SUMIF(G$8:G2840,G2840,J$8:J2840)-SUMIF(G$8:G2840,G2840,K$8:K2840)+SUMIFS([1]内部转账!$G:$G,[1]内部转账!$C:$C,"&lt;="&amp;$D2840,[1]内部转账!$E:$E,$G2840)-SUMIFS([1]内部转账!$G:$G,[1]内部转账!$C:$C,"&lt;="&amp;$D2840,[1]内部转账!$F:$F,$G2840)),"")</f>
        <v/>
      </c>
      <c r="M2840" s="64"/>
      <c r="N2840" s="69"/>
      <c r="O2840" s="64"/>
      <c r="P2840" s="64"/>
      <c r="Q2840" s="69"/>
      <c r="R2840" s="69"/>
      <c r="S2840" s="69"/>
    </row>
    <row r="2841" s="2" customFormat="1" ht="24.95" customHeight="1" spans="1:19">
      <c r="A2841" s="15"/>
      <c r="B2841" s="55"/>
      <c r="C2841" s="56"/>
      <c r="D2841" s="68"/>
      <c r="E2841" s="69"/>
      <c r="F2841" s="69"/>
      <c r="G2841" s="65"/>
      <c r="H2841" s="65"/>
      <c r="I2841" s="70"/>
      <c r="J2841" s="71"/>
      <c r="K2841" s="71"/>
      <c r="L2841" s="72" t="str">
        <f>IFERROR(IF(G2841="","",VLOOKUP($G2841,[1]基础信息!$B:$C,2,FALSE)+SUMIF(G$8:G2841,G2841,J$8:J2841)-SUMIF(G$8:G2841,G2841,K$8:K2841)+SUMIFS([1]内部转账!$G:$G,[1]内部转账!$C:$C,"&lt;="&amp;$D2841,[1]内部转账!$E:$E,$G2841)-SUMIFS([1]内部转账!$G:$G,[1]内部转账!$C:$C,"&lt;="&amp;$D2841,[1]内部转账!$F:$F,$G2841)),"")</f>
        <v/>
      </c>
      <c r="M2841" s="64"/>
      <c r="N2841" s="69"/>
      <c r="O2841" s="64"/>
      <c r="P2841" s="64"/>
      <c r="Q2841" s="69"/>
      <c r="R2841" s="69"/>
      <c r="S2841" s="69"/>
    </row>
    <row r="2842" s="2" customFormat="1" ht="24.95" customHeight="1" spans="1:19">
      <c r="A2842" s="15"/>
      <c r="B2842" s="55"/>
      <c r="C2842" s="56"/>
      <c r="D2842" s="68"/>
      <c r="E2842" s="69"/>
      <c r="F2842" s="69"/>
      <c r="G2842" s="65"/>
      <c r="H2842" s="65"/>
      <c r="I2842" s="70"/>
      <c r="J2842" s="71"/>
      <c r="K2842" s="71"/>
      <c r="L2842" s="72" t="str">
        <f>IFERROR(IF(G2842="","",VLOOKUP($G2842,[1]基础信息!$B:$C,2,FALSE)+SUMIF(G$8:G2842,G2842,J$8:J2842)-SUMIF(G$8:G2842,G2842,K$8:K2842)+SUMIFS([1]内部转账!$G:$G,[1]内部转账!$C:$C,"&lt;="&amp;$D2842,[1]内部转账!$E:$E,$G2842)-SUMIFS([1]内部转账!$G:$G,[1]内部转账!$C:$C,"&lt;="&amp;$D2842,[1]内部转账!$F:$F,$G2842)),"")</f>
        <v/>
      </c>
      <c r="M2842" s="64"/>
      <c r="N2842" s="69"/>
      <c r="O2842" s="64"/>
      <c r="P2842" s="64"/>
      <c r="Q2842" s="69"/>
      <c r="R2842" s="69"/>
      <c r="S2842" s="69"/>
    </row>
    <row r="2843" s="2" customFormat="1" ht="24.95" customHeight="1" spans="1:19">
      <c r="A2843" s="15"/>
      <c r="B2843" s="55"/>
      <c r="C2843" s="56"/>
      <c r="D2843" s="68"/>
      <c r="E2843" s="69"/>
      <c r="F2843" s="69"/>
      <c r="G2843" s="65"/>
      <c r="H2843" s="65"/>
      <c r="I2843" s="70"/>
      <c r="J2843" s="71"/>
      <c r="K2843" s="71"/>
      <c r="L2843" s="72" t="str">
        <f>IFERROR(IF(G2843="","",VLOOKUP($G2843,[1]基础信息!$B:$C,2,FALSE)+SUMIF(G$8:G2843,G2843,J$8:J2843)-SUMIF(G$8:G2843,G2843,K$8:K2843)+SUMIFS([1]内部转账!$G:$G,[1]内部转账!$C:$C,"&lt;="&amp;$D2843,[1]内部转账!$E:$E,$G2843)-SUMIFS([1]内部转账!$G:$G,[1]内部转账!$C:$C,"&lt;="&amp;$D2843,[1]内部转账!$F:$F,$G2843)),"")</f>
        <v/>
      </c>
      <c r="M2843" s="64"/>
      <c r="N2843" s="69"/>
      <c r="O2843" s="64"/>
      <c r="P2843" s="64"/>
      <c r="Q2843" s="69"/>
      <c r="R2843" s="69"/>
      <c r="S2843" s="69"/>
    </row>
    <row r="2844" s="2" customFormat="1" ht="24.95" customHeight="1" spans="1:19">
      <c r="A2844" s="15"/>
      <c r="B2844" s="55"/>
      <c r="C2844" s="56"/>
      <c r="D2844" s="68"/>
      <c r="E2844" s="69"/>
      <c r="F2844" s="69"/>
      <c r="G2844" s="65"/>
      <c r="H2844" s="65"/>
      <c r="I2844" s="70"/>
      <c r="J2844" s="71"/>
      <c r="K2844" s="71"/>
      <c r="L2844" s="72" t="str">
        <f>IFERROR(IF(G2844="","",VLOOKUP($G2844,[1]基础信息!$B:$C,2,FALSE)+SUMIF(G$8:G2844,G2844,J$8:J2844)-SUMIF(G$8:G2844,G2844,K$8:K2844)+SUMIFS([1]内部转账!$G:$G,[1]内部转账!$C:$C,"&lt;="&amp;$D2844,[1]内部转账!$E:$E,$G2844)-SUMIFS([1]内部转账!$G:$G,[1]内部转账!$C:$C,"&lt;="&amp;$D2844,[1]内部转账!$F:$F,$G2844)),"")</f>
        <v/>
      </c>
      <c r="M2844" s="64"/>
      <c r="N2844" s="69"/>
      <c r="O2844" s="64"/>
      <c r="P2844" s="64"/>
      <c r="Q2844" s="69"/>
      <c r="R2844" s="69"/>
      <c r="S2844" s="69"/>
    </row>
    <row r="2845" s="2" customFormat="1" ht="24.95" customHeight="1" spans="1:19">
      <c r="A2845" s="15"/>
      <c r="B2845" s="55"/>
      <c r="C2845" s="56"/>
      <c r="D2845" s="68"/>
      <c r="E2845" s="69"/>
      <c r="F2845" s="69"/>
      <c r="G2845" s="65"/>
      <c r="H2845" s="65"/>
      <c r="I2845" s="70"/>
      <c r="J2845" s="71"/>
      <c r="K2845" s="71"/>
      <c r="L2845" s="72" t="str">
        <f>IFERROR(IF(G2845="","",VLOOKUP($G2845,[1]基础信息!$B:$C,2,FALSE)+SUMIF(G$8:G2845,G2845,J$8:J2845)-SUMIF(G$8:G2845,G2845,K$8:K2845)+SUMIFS([1]内部转账!$G:$G,[1]内部转账!$C:$C,"&lt;="&amp;$D2845,[1]内部转账!$E:$E,$G2845)-SUMIFS([1]内部转账!$G:$G,[1]内部转账!$C:$C,"&lt;="&amp;$D2845,[1]内部转账!$F:$F,$G2845)),"")</f>
        <v/>
      </c>
      <c r="M2845" s="64"/>
      <c r="N2845" s="69"/>
      <c r="O2845" s="64"/>
      <c r="P2845" s="64"/>
      <c r="Q2845" s="69"/>
      <c r="R2845" s="69"/>
      <c r="S2845" s="69"/>
    </row>
    <row r="2846" s="2" customFormat="1" ht="24.95" customHeight="1" spans="1:19">
      <c r="A2846" s="15"/>
      <c r="B2846" s="55"/>
      <c r="C2846" s="56"/>
      <c r="D2846" s="68"/>
      <c r="E2846" s="69"/>
      <c r="F2846" s="69"/>
      <c r="G2846" s="65"/>
      <c r="H2846" s="65"/>
      <c r="I2846" s="70"/>
      <c r="J2846" s="71"/>
      <c r="K2846" s="71"/>
      <c r="L2846" s="72" t="str">
        <f>IFERROR(IF(G2846="","",VLOOKUP($G2846,[1]基础信息!$B:$C,2,FALSE)+SUMIF(G$8:G2846,G2846,J$8:J2846)-SUMIF(G$8:G2846,G2846,K$8:K2846)+SUMIFS([1]内部转账!$G:$G,[1]内部转账!$C:$C,"&lt;="&amp;$D2846,[1]内部转账!$E:$E,$G2846)-SUMIFS([1]内部转账!$G:$G,[1]内部转账!$C:$C,"&lt;="&amp;$D2846,[1]内部转账!$F:$F,$G2846)),"")</f>
        <v/>
      </c>
      <c r="M2846" s="64"/>
      <c r="N2846" s="69"/>
      <c r="O2846" s="64"/>
      <c r="P2846" s="64"/>
      <c r="Q2846" s="69"/>
      <c r="R2846" s="69"/>
      <c r="S2846" s="69"/>
    </row>
    <row r="2847" s="2" customFormat="1" ht="24.95" customHeight="1" spans="1:19">
      <c r="A2847" s="15"/>
      <c r="B2847" s="55"/>
      <c r="C2847" s="56"/>
      <c r="D2847" s="68"/>
      <c r="E2847" s="69"/>
      <c r="F2847" s="69"/>
      <c r="G2847" s="65"/>
      <c r="H2847" s="65"/>
      <c r="I2847" s="70"/>
      <c r="J2847" s="71"/>
      <c r="K2847" s="71"/>
      <c r="L2847" s="72" t="str">
        <f>IFERROR(IF(G2847="","",VLOOKUP($G2847,[1]基础信息!$B:$C,2,FALSE)+SUMIF(G$8:G2847,G2847,J$8:J2847)-SUMIF(G$8:G2847,G2847,K$8:K2847)+SUMIFS([1]内部转账!$G:$G,[1]内部转账!$C:$C,"&lt;="&amp;$D2847,[1]内部转账!$E:$E,$G2847)-SUMIFS([1]内部转账!$G:$G,[1]内部转账!$C:$C,"&lt;="&amp;$D2847,[1]内部转账!$F:$F,$G2847)),"")</f>
        <v/>
      </c>
      <c r="M2847" s="64"/>
      <c r="N2847" s="69"/>
      <c r="O2847" s="64"/>
      <c r="P2847" s="64"/>
      <c r="Q2847" s="69"/>
      <c r="R2847" s="69"/>
      <c r="S2847" s="69"/>
    </row>
    <row r="2848" s="2" customFormat="1" ht="24.95" customHeight="1" spans="1:19">
      <c r="A2848" s="15"/>
      <c r="B2848" s="55"/>
      <c r="C2848" s="56"/>
      <c r="D2848" s="68"/>
      <c r="E2848" s="69"/>
      <c r="F2848" s="69"/>
      <c r="G2848" s="65"/>
      <c r="H2848" s="65"/>
      <c r="I2848" s="70"/>
      <c r="J2848" s="71"/>
      <c r="K2848" s="71"/>
      <c r="L2848" s="72" t="str">
        <f>IFERROR(IF(G2848="","",VLOOKUP($G2848,[1]基础信息!$B:$C,2,FALSE)+SUMIF(G$8:G2848,G2848,J$8:J2848)-SUMIF(G$8:G2848,G2848,K$8:K2848)+SUMIFS([1]内部转账!$G:$G,[1]内部转账!$C:$C,"&lt;="&amp;$D2848,[1]内部转账!$E:$E,$G2848)-SUMIFS([1]内部转账!$G:$G,[1]内部转账!$C:$C,"&lt;="&amp;$D2848,[1]内部转账!$F:$F,$G2848)),"")</f>
        <v/>
      </c>
      <c r="M2848" s="64"/>
      <c r="N2848" s="69"/>
      <c r="O2848" s="64"/>
      <c r="P2848" s="64"/>
      <c r="Q2848" s="69"/>
      <c r="R2848" s="69"/>
      <c r="S2848" s="69"/>
    </row>
    <row r="2849" s="2" customFormat="1" ht="24.95" customHeight="1" spans="1:19">
      <c r="A2849" s="15"/>
      <c r="B2849" s="55"/>
      <c r="C2849" s="56"/>
      <c r="D2849" s="68"/>
      <c r="E2849" s="69"/>
      <c r="F2849" s="69"/>
      <c r="G2849" s="65"/>
      <c r="H2849" s="65"/>
      <c r="I2849" s="70"/>
      <c r="J2849" s="71"/>
      <c r="K2849" s="71"/>
      <c r="L2849" s="72" t="str">
        <f>IFERROR(IF(G2849="","",VLOOKUP($G2849,[1]基础信息!$B:$C,2,FALSE)+SUMIF(G$8:G2849,G2849,J$8:J2849)-SUMIF(G$8:G2849,G2849,K$8:K2849)+SUMIFS([1]内部转账!$G:$G,[1]内部转账!$C:$C,"&lt;="&amp;$D2849,[1]内部转账!$E:$E,$G2849)-SUMIFS([1]内部转账!$G:$G,[1]内部转账!$C:$C,"&lt;="&amp;$D2849,[1]内部转账!$F:$F,$G2849)),"")</f>
        <v/>
      </c>
      <c r="M2849" s="64"/>
      <c r="N2849" s="69"/>
      <c r="O2849" s="64"/>
      <c r="P2849" s="64"/>
      <c r="Q2849" s="69"/>
      <c r="R2849" s="69"/>
      <c r="S2849" s="69"/>
    </row>
    <row r="2850" s="2" customFormat="1" ht="24.95" customHeight="1" spans="1:19">
      <c r="A2850" s="15"/>
      <c r="B2850" s="55"/>
      <c r="C2850" s="56"/>
      <c r="D2850" s="68"/>
      <c r="E2850" s="69"/>
      <c r="F2850" s="69"/>
      <c r="G2850" s="65"/>
      <c r="H2850" s="65"/>
      <c r="I2850" s="70"/>
      <c r="J2850" s="71"/>
      <c r="K2850" s="71"/>
      <c r="L2850" s="72" t="str">
        <f>IFERROR(IF(G2850="","",VLOOKUP($G2850,[1]基础信息!$B:$C,2,FALSE)+SUMIF(G$8:G2850,G2850,J$8:J2850)-SUMIF(G$8:G2850,G2850,K$8:K2850)+SUMIFS([1]内部转账!$G:$G,[1]内部转账!$C:$C,"&lt;="&amp;$D2850,[1]内部转账!$E:$E,$G2850)-SUMIFS([1]内部转账!$G:$G,[1]内部转账!$C:$C,"&lt;="&amp;$D2850,[1]内部转账!$F:$F,$G2850)),"")</f>
        <v/>
      </c>
      <c r="M2850" s="64"/>
      <c r="N2850" s="69"/>
      <c r="O2850" s="64"/>
      <c r="P2850" s="64"/>
      <c r="Q2850" s="69"/>
      <c r="R2850" s="69"/>
      <c r="S2850" s="69"/>
    </row>
    <row r="2851" s="2" customFormat="1" ht="24.95" customHeight="1" spans="1:19">
      <c r="A2851" s="15"/>
      <c r="B2851" s="55"/>
      <c r="C2851" s="56"/>
      <c r="D2851" s="68"/>
      <c r="E2851" s="69"/>
      <c r="F2851" s="69"/>
      <c r="G2851" s="65"/>
      <c r="H2851" s="65"/>
      <c r="I2851" s="70"/>
      <c r="J2851" s="71"/>
      <c r="K2851" s="71"/>
      <c r="L2851" s="72" t="str">
        <f>IFERROR(IF(G2851="","",VLOOKUP($G2851,[1]基础信息!$B:$C,2,FALSE)+SUMIF(G$8:G2851,G2851,J$8:J2851)-SUMIF(G$8:G2851,G2851,K$8:K2851)+SUMIFS([1]内部转账!$G:$G,[1]内部转账!$C:$C,"&lt;="&amp;$D2851,[1]内部转账!$E:$E,$G2851)-SUMIFS([1]内部转账!$G:$G,[1]内部转账!$C:$C,"&lt;="&amp;$D2851,[1]内部转账!$F:$F,$G2851)),"")</f>
        <v/>
      </c>
      <c r="M2851" s="64"/>
      <c r="N2851" s="69"/>
      <c r="O2851" s="64"/>
      <c r="P2851" s="64"/>
      <c r="Q2851" s="69"/>
      <c r="R2851" s="69"/>
      <c r="S2851" s="69"/>
    </row>
    <row r="2852" s="2" customFormat="1" ht="24.95" customHeight="1" spans="1:19">
      <c r="A2852" s="15"/>
      <c r="B2852" s="55"/>
      <c r="C2852" s="56"/>
      <c r="D2852" s="68"/>
      <c r="E2852" s="69"/>
      <c r="F2852" s="69"/>
      <c r="G2852" s="65"/>
      <c r="H2852" s="65"/>
      <c r="I2852" s="70"/>
      <c r="J2852" s="71"/>
      <c r="K2852" s="71"/>
      <c r="L2852" s="72" t="str">
        <f>IFERROR(IF(G2852="","",VLOOKUP($G2852,[1]基础信息!$B:$C,2,FALSE)+SUMIF(G$8:G2852,G2852,J$8:J2852)-SUMIF(G$8:G2852,G2852,K$8:K2852)+SUMIFS([1]内部转账!$G:$G,[1]内部转账!$C:$C,"&lt;="&amp;$D2852,[1]内部转账!$E:$E,$G2852)-SUMIFS([1]内部转账!$G:$G,[1]内部转账!$C:$C,"&lt;="&amp;$D2852,[1]内部转账!$F:$F,$G2852)),"")</f>
        <v/>
      </c>
      <c r="M2852" s="64"/>
      <c r="N2852" s="69"/>
      <c r="O2852" s="64"/>
      <c r="P2852" s="64"/>
      <c r="Q2852" s="69"/>
      <c r="R2852" s="69"/>
      <c r="S2852" s="69"/>
    </row>
    <row r="2853" s="2" customFormat="1" ht="24.95" customHeight="1" spans="1:19">
      <c r="A2853" s="15"/>
      <c r="B2853" s="55"/>
      <c r="C2853" s="56"/>
      <c r="D2853" s="68"/>
      <c r="E2853" s="69"/>
      <c r="F2853" s="69"/>
      <c r="G2853" s="65"/>
      <c r="H2853" s="65"/>
      <c r="I2853" s="70"/>
      <c r="J2853" s="71"/>
      <c r="K2853" s="71"/>
      <c r="L2853" s="72" t="str">
        <f>IFERROR(IF(G2853="","",VLOOKUP($G2853,[1]基础信息!$B:$C,2,FALSE)+SUMIF(G$8:G2853,G2853,J$8:J2853)-SUMIF(G$8:G2853,G2853,K$8:K2853)+SUMIFS([1]内部转账!$G:$G,[1]内部转账!$C:$C,"&lt;="&amp;$D2853,[1]内部转账!$E:$E,$G2853)-SUMIFS([1]内部转账!$G:$G,[1]内部转账!$C:$C,"&lt;="&amp;$D2853,[1]内部转账!$F:$F,$G2853)),"")</f>
        <v/>
      </c>
      <c r="M2853" s="64"/>
      <c r="N2853" s="69"/>
      <c r="O2853" s="64"/>
      <c r="P2853" s="64"/>
      <c r="Q2853" s="69"/>
      <c r="R2853" s="69"/>
      <c r="S2853" s="69"/>
    </row>
    <row r="2854" s="2" customFormat="1" ht="24.95" customHeight="1" spans="1:19">
      <c r="A2854" s="15"/>
      <c r="B2854" s="55"/>
      <c r="C2854" s="56"/>
      <c r="D2854" s="68"/>
      <c r="E2854" s="69"/>
      <c r="F2854" s="69"/>
      <c r="G2854" s="65"/>
      <c r="H2854" s="65"/>
      <c r="I2854" s="70"/>
      <c r="J2854" s="71"/>
      <c r="K2854" s="71"/>
      <c r="L2854" s="72" t="str">
        <f>IFERROR(IF(G2854="","",VLOOKUP($G2854,[1]基础信息!$B:$C,2,FALSE)+SUMIF(G$8:G2854,G2854,J$8:J2854)-SUMIF(G$8:G2854,G2854,K$8:K2854)+SUMIFS([1]内部转账!$G:$G,[1]内部转账!$C:$C,"&lt;="&amp;$D2854,[1]内部转账!$E:$E,$G2854)-SUMIFS([1]内部转账!$G:$G,[1]内部转账!$C:$C,"&lt;="&amp;$D2854,[1]内部转账!$F:$F,$G2854)),"")</f>
        <v/>
      </c>
      <c r="M2854" s="64"/>
      <c r="N2854" s="69"/>
      <c r="O2854" s="64"/>
      <c r="P2854" s="64"/>
      <c r="Q2854" s="69"/>
      <c r="R2854" s="69"/>
      <c r="S2854" s="69"/>
    </row>
    <row r="2855" s="2" customFormat="1" ht="24.95" customHeight="1" spans="1:19">
      <c r="A2855" s="15"/>
      <c r="B2855" s="55"/>
      <c r="C2855" s="56"/>
      <c r="D2855" s="68"/>
      <c r="E2855" s="69"/>
      <c r="F2855" s="69"/>
      <c r="G2855" s="65"/>
      <c r="H2855" s="65"/>
      <c r="I2855" s="70"/>
      <c r="J2855" s="71"/>
      <c r="K2855" s="71"/>
      <c r="L2855" s="72" t="str">
        <f>IFERROR(IF(G2855="","",VLOOKUP($G2855,[1]基础信息!$B:$C,2,FALSE)+SUMIF(G$8:G2855,G2855,J$8:J2855)-SUMIF(G$8:G2855,G2855,K$8:K2855)+SUMIFS([1]内部转账!$G:$G,[1]内部转账!$C:$C,"&lt;="&amp;$D2855,[1]内部转账!$E:$E,$G2855)-SUMIFS([1]内部转账!$G:$G,[1]内部转账!$C:$C,"&lt;="&amp;$D2855,[1]内部转账!$F:$F,$G2855)),"")</f>
        <v/>
      </c>
      <c r="M2855" s="64"/>
      <c r="N2855" s="69"/>
      <c r="O2855" s="64"/>
      <c r="P2855" s="64"/>
      <c r="Q2855" s="69"/>
      <c r="R2855" s="69"/>
      <c r="S2855" s="69"/>
    </row>
    <row r="2856" s="2" customFormat="1" ht="24.95" customHeight="1" spans="1:19">
      <c r="A2856" s="15"/>
      <c r="B2856" s="55"/>
      <c r="C2856" s="56"/>
      <c r="D2856" s="68"/>
      <c r="E2856" s="69"/>
      <c r="F2856" s="69"/>
      <c r="G2856" s="65"/>
      <c r="H2856" s="65"/>
      <c r="I2856" s="70"/>
      <c r="J2856" s="71"/>
      <c r="K2856" s="71"/>
      <c r="L2856" s="72" t="str">
        <f>IFERROR(IF(G2856="","",VLOOKUP($G2856,[1]基础信息!$B:$C,2,FALSE)+SUMIF(G$8:G2856,G2856,J$8:J2856)-SUMIF(G$8:G2856,G2856,K$8:K2856)+SUMIFS([1]内部转账!$G:$G,[1]内部转账!$C:$C,"&lt;="&amp;$D2856,[1]内部转账!$E:$E,$G2856)-SUMIFS([1]内部转账!$G:$G,[1]内部转账!$C:$C,"&lt;="&amp;$D2856,[1]内部转账!$F:$F,$G2856)),"")</f>
        <v/>
      </c>
      <c r="M2856" s="64"/>
      <c r="N2856" s="69"/>
      <c r="O2856" s="64"/>
      <c r="P2856" s="64"/>
      <c r="Q2856" s="69"/>
      <c r="R2856" s="69"/>
      <c r="S2856" s="69"/>
    </row>
    <row r="2857" s="2" customFormat="1" ht="24.95" customHeight="1" spans="1:19">
      <c r="A2857" s="15"/>
      <c r="B2857" s="55"/>
      <c r="C2857" s="56"/>
      <c r="D2857" s="68"/>
      <c r="E2857" s="69"/>
      <c r="F2857" s="69"/>
      <c r="G2857" s="65"/>
      <c r="H2857" s="65"/>
      <c r="I2857" s="70"/>
      <c r="J2857" s="71"/>
      <c r="K2857" s="71"/>
      <c r="L2857" s="72" t="str">
        <f>IFERROR(IF(G2857="","",VLOOKUP($G2857,[1]基础信息!$B:$C,2,FALSE)+SUMIF(G$8:G2857,G2857,J$8:J2857)-SUMIF(G$8:G2857,G2857,K$8:K2857)+SUMIFS([1]内部转账!$G:$G,[1]内部转账!$C:$C,"&lt;="&amp;$D2857,[1]内部转账!$E:$E,$G2857)-SUMIFS([1]内部转账!$G:$G,[1]内部转账!$C:$C,"&lt;="&amp;$D2857,[1]内部转账!$F:$F,$G2857)),"")</f>
        <v/>
      </c>
      <c r="M2857" s="64"/>
      <c r="N2857" s="69"/>
      <c r="O2857" s="64"/>
      <c r="P2857" s="64"/>
      <c r="Q2857" s="69"/>
      <c r="R2857" s="69"/>
      <c r="S2857" s="69"/>
    </row>
    <row r="2858" s="2" customFormat="1" ht="24.95" customHeight="1" spans="1:19">
      <c r="A2858" s="15"/>
      <c r="B2858" s="55"/>
      <c r="C2858" s="56"/>
      <c r="D2858" s="68"/>
      <c r="E2858" s="69"/>
      <c r="F2858" s="69"/>
      <c r="G2858" s="65"/>
      <c r="H2858" s="65"/>
      <c r="I2858" s="70"/>
      <c r="J2858" s="71"/>
      <c r="K2858" s="71"/>
      <c r="L2858" s="72" t="str">
        <f>IFERROR(IF(G2858="","",VLOOKUP($G2858,[1]基础信息!$B:$C,2,FALSE)+SUMIF(G$8:G2858,G2858,J$8:J2858)-SUMIF(G$8:G2858,G2858,K$8:K2858)+SUMIFS([1]内部转账!$G:$G,[1]内部转账!$C:$C,"&lt;="&amp;$D2858,[1]内部转账!$E:$E,$G2858)-SUMIFS([1]内部转账!$G:$G,[1]内部转账!$C:$C,"&lt;="&amp;$D2858,[1]内部转账!$F:$F,$G2858)),"")</f>
        <v/>
      </c>
      <c r="M2858" s="64"/>
      <c r="N2858" s="69"/>
      <c r="O2858" s="64"/>
      <c r="P2858" s="64"/>
      <c r="Q2858" s="69"/>
      <c r="R2858" s="69"/>
      <c r="S2858" s="69"/>
    </row>
    <row r="2859" s="2" customFormat="1" ht="24.95" customHeight="1" spans="1:19">
      <c r="A2859" s="15"/>
      <c r="B2859" s="55"/>
      <c r="C2859" s="56"/>
      <c r="D2859" s="68"/>
      <c r="E2859" s="69"/>
      <c r="F2859" s="69"/>
      <c r="G2859" s="65"/>
      <c r="H2859" s="65"/>
      <c r="I2859" s="70"/>
      <c r="J2859" s="71"/>
      <c r="K2859" s="71"/>
      <c r="L2859" s="72" t="str">
        <f>IFERROR(IF(G2859="","",VLOOKUP($G2859,[1]基础信息!$B:$C,2,FALSE)+SUMIF(G$8:G2859,G2859,J$8:J2859)-SUMIF(G$8:G2859,G2859,K$8:K2859)+SUMIFS([1]内部转账!$G:$G,[1]内部转账!$C:$C,"&lt;="&amp;$D2859,[1]内部转账!$E:$E,$G2859)-SUMIFS([1]内部转账!$G:$G,[1]内部转账!$C:$C,"&lt;="&amp;$D2859,[1]内部转账!$F:$F,$G2859)),"")</f>
        <v/>
      </c>
      <c r="M2859" s="64"/>
      <c r="N2859" s="69"/>
      <c r="O2859" s="64"/>
      <c r="P2859" s="64"/>
      <c r="Q2859" s="69"/>
      <c r="R2859" s="69"/>
      <c r="S2859" s="69"/>
    </row>
    <row r="2860" s="2" customFormat="1" ht="24.95" customHeight="1" spans="1:19">
      <c r="A2860" s="15"/>
      <c r="B2860" s="55"/>
      <c r="C2860" s="56"/>
      <c r="D2860" s="68"/>
      <c r="E2860" s="69"/>
      <c r="F2860" s="69"/>
      <c r="G2860" s="65"/>
      <c r="H2860" s="65"/>
      <c r="I2860" s="70"/>
      <c r="J2860" s="71"/>
      <c r="K2860" s="71"/>
      <c r="L2860" s="72" t="str">
        <f>IFERROR(IF(G2860="","",VLOOKUP($G2860,[1]基础信息!$B:$C,2,FALSE)+SUMIF(G$8:G2860,G2860,J$8:J2860)-SUMIF(G$8:G2860,G2860,K$8:K2860)+SUMIFS([1]内部转账!$G:$G,[1]内部转账!$C:$C,"&lt;="&amp;$D2860,[1]内部转账!$E:$E,$G2860)-SUMIFS([1]内部转账!$G:$G,[1]内部转账!$C:$C,"&lt;="&amp;$D2860,[1]内部转账!$F:$F,$G2860)),"")</f>
        <v/>
      </c>
      <c r="M2860" s="64"/>
      <c r="N2860" s="69"/>
      <c r="O2860" s="64"/>
      <c r="P2860" s="64"/>
      <c r="Q2860" s="69"/>
      <c r="R2860" s="69"/>
      <c r="S2860" s="69"/>
    </row>
    <row r="2861" s="2" customFormat="1" ht="24.95" customHeight="1" spans="1:19">
      <c r="A2861" s="15"/>
      <c r="B2861" s="55"/>
      <c r="C2861" s="56"/>
      <c r="D2861" s="68"/>
      <c r="E2861" s="69"/>
      <c r="F2861" s="69"/>
      <c r="G2861" s="65"/>
      <c r="H2861" s="65"/>
      <c r="I2861" s="70"/>
      <c r="J2861" s="71"/>
      <c r="K2861" s="71"/>
      <c r="L2861" s="72" t="str">
        <f>IFERROR(IF(G2861="","",VLOOKUP($G2861,[1]基础信息!$B:$C,2,FALSE)+SUMIF(G$8:G2861,G2861,J$8:J2861)-SUMIF(G$8:G2861,G2861,K$8:K2861)+SUMIFS([1]内部转账!$G:$G,[1]内部转账!$C:$C,"&lt;="&amp;$D2861,[1]内部转账!$E:$E,$G2861)-SUMIFS([1]内部转账!$G:$G,[1]内部转账!$C:$C,"&lt;="&amp;$D2861,[1]内部转账!$F:$F,$G2861)),"")</f>
        <v/>
      </c>
      <c r="M2861" s="64"/>
      <c r="N2861" s="69"/>
      <c r="O2861" s="64"/>
      <c r="P2861" s="64"/>
      <c r="Q2861" s="69"/>
      <c r="R2861" s="69"/>
      <c r="S2861" s="69"/>
    </row>
    <row r="2862" s="2" customFormat="1" ht="24.95" customHeight="1" spans="1:19">
      <c r="A2862" s="15"/>
      <c r="B2862" s="55"/>
      <c r="C2862" s="56"/>
      <c r="D2862" s="68"/>
      <c r="E2862" s="69"/>
      <c r="F2862" s="69"/>
      <c r="G2862" s="65"/>
      <c r="H2862" s="65"/>
      <c r="I2862" s="70"/>
      <c r="J2862" s="71"/>
      <c r="K2862" s="71"/>
      <c r="L2862" s="72" t="str">
        <f>IFERROR(IF(G2862="","",VLOOKUP($G2862,[1]基础信息!$B:$C,2,FALSE)+SUMIF(G$8:G2862,G2862,J$8:J2862)-SUMIF(G$8:G2862,G2862,K$8:K2862)+SUMIFS([1]内部转账!$G:$G,[1]内部转账!$C:$C,"&lt;="&amp;$D2862,[1]内部转账!$E:$E,$G2862)-SUMIFS([1]内部转账!$G:$G,[1]内部转账!$C:$C,"&lt;="&amp;$D2862,[1]内部转账!$F:$F,$G2862)),"")</f>
        <v/>
      </c>
      <c r="M2862" s="64"/>
      <c r="N2862" s="69"/>
      <c r="O2862" s="64"/>
      <c r="P2862" s="64"/>
      <c r="Q2862" s="69"/>
      <c r="R2862" s="69"/>
      <c r="S2862" s="69"/>
    </row>
    <row r="2863" s="2" customFormat="1" ht="24.95" customHeight="1" spans="1:19">
      <c r="A2863" s="15"/>
      <c r="B2863" s="55"/>
      <c r="C2863" s="56"/>
      <c r="D2863" s="68"/>
      <c r="E2863" s="69"/>
      <c r="F2863" s="69"/>
      <c r="G2863" s="65"/>
      <c r="H2863" s="65"/>
      <c r="I2863" s="70"/>
      <c r="J2863" s="71"/>
      <c r="K2863" s="71"/>
      <c r="L2863" s="72" t="str">
        <f>IFERROR(IF(G2863="","",VLOOKUP($G2863,[1]基础信息!$B:$C,2,FALSE)+SUMIF(G$8:G2863,G2863,J$8:J2863)-SUMIF(G$8:G2863,G2863,K$8:K2863)+SUMIFS([1]内部转账!$G:$G,[1]内部转账!$C:$C,"&lt;="&amp;$D2863,[1]内部转账!$E:$E,$G2863)-SUMIFS([1]内部转账!$G:$G,[1]内部转账!$C:$C,"&lt;="&amp;$D2863,[1]内部转账!$F:$F,$G2863)),"")</f>
        <v/>
      </c>
      <c r="M2863" s="64"/>
      <c r="N2863" s="69"/>
      <c r="O2863" s="64"/>
      <c r="P2863" s="64"/>
      <c r="Q2863" s="69"/>
      <c r="R2863" s="69"/>
      <c r="S2863" s="69"/>
    </row>
    <row r="2864" s="2" customFormat="1" ht="24.95" customHeight="1" spans="1:19">
      <c r="A2864" s="15"/>
      <c r="B2864" s="55"/>
      <c r="C2864" s="56"/>
      <c r="D2864" s="68"/>
      <c r="E2864" s="69"/>
      <c r="F2864" s="69"/>
      <c r="G2864" s="65"/>
      <c r="H2864" s="65"/>
      <c r="I2864" s="70"/>
      <c r="J2864" s="71"/>
      <c r="K2864" s="71"/>
      <c r="L2864" s="72" t="str">
        <f>IFERROR(IF(G2864="","",VLOOKUP($G2864,[1]基础信息!$B:$C,2,FALSE)+SUMIF(G$8:G2864,G2864,J$8:J2864)-SUMIF(G$8:G2864,G2864,K$8:K2864)+SUMIFS([1]内部转账!$G:$G,[1]内部转账!$C:$C,"&lt;="&amp;$D2864,[1]内部转账!$E:$E,$G2864)-SUMIFS([1]内部转账!$G:$G,[1]内部转账!$C:$C,"&lt;="&amp;$D2864,[1]内部转账!$F:$F,$G2864)),"")</f>
        <v/>
      </c>
      <c r="M2864" s="64"/>
      <c r="N2864" s="69"/>
      <c r="O2864" s="64"/>
      <c r="P2864" s="64"/>
      <c r="Q2864" s="69"/>
      <c r="R2864" s="69"/>
      <c r="S2864" s="69"/>
    </row>
    <row r="2865" s="2" customFormat="1" ht="24.95" customHeight="1" spans="1:19">
      <c r="A2865" s="15"/>
      <c r="B2865" s="55"/>
      <c r="C2865" s="56"/>
      <c r="D2865" s="68"/>
      <c r="E2865" s="69"/>
      <c r="F2865" s="69"/>
      <c r="G2865" s="65"/>
      <c r="H2865" s="65"/>
      <c r="I2865" s="70"/>
      <c r="J2865" s="71"/>
      <c r="K2865" s="71"/>
      <c r="L2865" s="72" t="str">
        <f>IFERROR(IF(G2865="","",VLOOKUP($G2865,[1]基础信息!$B:$C,2,FALSE)+SUMIF(G$8:G2865,G2865,J$8:J2865)-SUMIF(G$8:G2865,G2865,K$8:K2865)+SUMIFS([1]内部转账!$G:$G,[1]内部转账!$C:$C,"&lt;="&amp;$D2865,[1]内部转账!$E:$E,$G2865)-SUMIFS([1]内部转账!$G:$G,[1]内部转账!$C:$C,"&lt;="&amp;$D2865,[1]内部转账!$F:$F,$G2865)),"")</f>
        <v/>
      </c>
      <c r="M2865" s="64"/>
      <c r="N2865" s="69"/>
      <c r="O2865" s="64"/>
      <c r="P2865" s="64"/>
      <c r="Q2865" s="69"/>
      <c r="R2865" s="69"/>
      <c r="S2865" s="69"/>
    </row>
    <row r="2866" s="2" customFormat="1" ht="24.95" customHeight="1" spans="1:19">
      <c r="A2866" s="15"/>
      <c r="B2866" s="55"/>
      <c r="C2866" s="56"/>
      <c r="D2866" s="68"/>
      <c r="E2866" s="69"/>
      <c r="F2866" s="69"/>
      <c r="G2866" s="65"/>
      <c r="H2866" s="65"/>
      <c r="I2866" s="70"/>
      <c r="J2866" s="71"/>
      <c r="K2866" s="71"/>
      <c r="L2866" s="72" t="str">
        <f>IFERROR(IF(G2866="","",VLOOKUP($G2866,[1]基础信息!$B:$C,2,FALSE)+SUMIF(G$8:G2866,G2866,J$8:J2866)-SUMIF(G$8:G2866,G2866,K$8:K2866)+SUMIFS([1]内部转账!$G:$G,[1]内部转账!$C:$C,"&lt;="&amp;$D2866,[1]内部转账!$E:$E,$G2866)-SUMIFS([1]内部转账!$G:$G,[1]内部转账!$C:$C,"&lt;="&amp;$D2866,[1]内部转账!$F:$F,$G2866)),"")</f>
        <v/>
      </c>
      <c r="M2866" s="64"/>
      <c r="N2866" s="69"/>
      <c r="O2866" s="64"/>
      <c r="P2866" s="64"/>
      <c r="Q2866" s="69"/>
      <c r="R2866" s="69"/>
      <c r="S2866" s="69"/>
    </row>
    <row r="2867" s="2" customFormat="1" ht="24.95" customHeight="1" spans="1:19">
      <c r="A2867" s="15"/>
      <c r="B2867" s="55"/>
      <c r="C2867" s="56"/>
      <c r="D2867" s="68"/>
      <c r="E2867" s="69"/>
      <c r="F2867" s="69"/>
      <c r="G2867" s="65"/>
      <c r="H2867" s="65"/>
      <c r="I2867" s="70"/>
      <c r="J2867" s="71"/>
      <c r="K2867" s="71"/>
      <c r="L2867" s="72" t="str">
        <f>IFERROR(IF(G2867="","",VLOOKUP($G2867,[1]基础信息!$B:$C,2,FALSE)+SUMIF(G$8:G2867,G2867,J$8:J2867)-SUMIF(G$8:G2867,G2867,K$8:K2867)+SUMIFS([1]内部转账!$G:$G,[1]内部转账!$C:$C,"&lt;="&amp;$D2867,[1]内部转账!$E:$E,$G2867)-SUMIFS([1]内部转账!$G:$G,[1]内部转账!$C:$C,"&lt;="&amp;$D2867,[1]内部转账!$F:$F,$G2867)),"")</f>
        <v/>
      </c>
      <c r="M2867" s="64"/>
      <c r="N2867" s="69"/>
      <c r="O2867" s="64"/>
      <c r="P2867" s="64"/>
      <c r="Q2867" s="69"/>
      <c r="R2867" s="69"/>
      <c r="S2867" s="69"/>
    </row>
    <row r="2868" s="2" customFormat="1" ht="24.95" customHeight="1" spans="1:19">
      <c r="A2868" s="15"/>
      <c r="B2868" s="55"/>
      <c r="C2868" s="56"/>
      <c r="D2868" s="68"/>
      <c r="E2868" s="69"/>
      <c r="F2868" s="69"/>
      <c r="G2868" s="65"/>
      <c r="H2868" s="65"/>
      <c r="I2868" s="70"/>
      <c r="J2868" s="71"/>
      <c r="K2868" s="71"/>
      <c r="L2868" s="72" t="str">
        <f>IFERROR(IF(G2868="","",VLOOKUP($G2868,[1]基础信息!$B:$C,2,FALSE)+SUMIF(G$8:G2868,G2868,J$8:J2868)-SUMIF(G$8:G2868,G2868,K$8:K2868)+SUMIFS([1]内部转账!$G:$G,[1]内部转账!$C:$C,"&lt;="&amp;$D2868,[1]内部转账!$E:$E,$G2868)-SUMIFS([1]内部转账!$G:$G,[1]内部转账!$C:$C,"&lt;="&amp;$D2868,[1]内部转账!$F:$F,$G2868)),"")</f>
        <v/>
      </c>
      <c r="M2868" s="64"/>
      <c r="N2868" s="69"/>
      <c r="O2868" s="64"/>
      <c r="P2868" s="64"/>
      <c r="Q2868" s="69"/>
      <c r="R2868" s="69"/>
      <c r="S2868" s="69"/>
    </row>
    <row r="2869" s="2" customFormat="1" ht="24.95" customHeight="1" spans="1:19">
      <c r="A2869" s="15"/>
      <c r="B2869" s="55"/>
      <c r="C2869" s="56"/>
      <c r="D2869" s="68"/>
      <c r="E2869" s="69"/>
      <c r="F2869" s="69"/>
      <c r="G2869" s="65"/>
      <c r="H2869" s="65"/>
      <c r="I2869" s="70"/>
      <c r="J2869" s="71"/>
      <c r="K2869" s="71"/>
      <c r="L2869" s="72" t="str">
        <f>IFERROR(IF(G2869="","",VLOOKUP($G2869,[1]基础信息!$B:$C,2,FALSE)+SUMIF(G$8:G2869,G2869,J$8:J2869)-SUMIF(G$8:G2869,G2869,K$8:K2869)+SUMIFS([1]内部转账!$G:$G,[1]内部转账!$C:$C,"&lt;="&amp;$D2869,[1]内部转账!$E:$E,$G2869)-SUMIFS([1]内部转账!$G:$G,[1]内部转账!$C:$C,"&lt;="&amp;$D2869,[1]内部转账!$F:$F,$G2869)),"")</f>
        <v/>
      </c>
      <c r="M2869" s="64"/>
      <c r="N2869" s="69"/>
      <c r="O2869" s="64"/>
      <c r="P2869" s="64"/>
      <c r="Q2869" s="69"/>
      <c r="R2869" s="69"/>
      <c r="S2869" s="69"/>
    </row>
    <row r="2870" s="2" customFormat="1" ht="24.95" customHeight="1" spans="1:19">
      <c r="A2870" s="15"/>
      <c r="B2870" s="55"/>
      <c r="C2870" s="56"/>
      <c r="D2870" s="68"/>
      <c r="E2870" s="69"/>
      <c r="F2870" s="69"/>
      <c r="G2870" s="65"/>
      <c r="H2870" s="65"/>
      <c r="I2870" s="70"/>
      <c r="J2870" s="71"/>
      <c r="K2870" s="71"/>
      <c r="L2870" s="72" t="str">
        <f>IFERROR(IF(G2870="","",VLOOKUP($G2870,[1]基础信息!$B:$C,2,FALSE)+SUMIF(G$8:G2870,G2870,J$8:J2870)-SUMIF(G$8:G2870,G2870,K$8:K2870)+SUMIFS([1]内部转账!$G:$G,[1]内部转账!$C:$C,"&lt;="&amp;$D2870,[1]内部转账!$E:$E,$G2870)-SUMIFS([1]内部转账!$G:$G,[1]内部转账!$C:$C,"&lt;="&amp;$D2870,[1]内部转账!$F:$F,$G2870)),"")</f>
        <v/>
      </c>
      <c r="M2870" s="64"/>
      <c r="N2870" s="69"/>
      <c r="O2870" s="64"/>
      <c r="P2870" s="64"/>
      <c r="Q2870" s="69"/>
      <c r="R2870" s="69"/>
      <c r="S2870" s="69"/>
    </row>
    <row r="2871" s="2" customFormat="1" ht="24.95" customHeight="1" spans="1:19">
      <c r="A2871" s="15"/>
      <c r="B2871" s="55"/>
      <c r="C2871" s="56"/>
      <c r="D2871" s="68"/>
      <c r="E2871" s="69"/>
      <c r="F2871" s="69"/>
      <c r="G2871" s="65"/>
      <c r="H2871" s="65"/>
      <c r="I2871" s="70"/>
      <c r="J2871" s="71"/>
      <c r="K2871" s="71"/>
      <c r="L2871" s="72" t="str">
        <f>IFERROR(IF(G2871="","",VLOOKUP($G2871,[1]基础信息!$B:$C,2,FALSE)+SUMIF(G$8:G2871,G2871,J$8:J2871)-SUMIF(G$8:G2871,G2871,K$8:K2871)+SUMIFS([1]内部转账!$G:$G,[1]内部转账!$C:$C,"&lt;="&amp;$D2871,[1]内部转账!$E:$E,$G2871)-SUMIFS([1]内部转账!$G:$G,[1]内部转账!$C:$C,"&lt;="&amp;$D2871,[1]内部转账!$F:$F,$G2871)),"")</f>
        <v/>
      </c>
      <c r="M2871" s="64"/>
      <c r="N2871" s="69"/>
      <c r="O2871" s="64"/>
      <c r="P2871" s="64"/>
      <c r="Q2871" s="69"/>
      <c r="R2871" s="69"/>
      <c r="S2871" s="69"/>
    </row>
    <row r="2872" s="2" customFormat="1" ht="24.95" customHeight="1" spans="1:19">
      <c r="A2872" s="15"/>
      <c r="B2872" s="55"/>
      <c r="C2872" s="56"/>
      <c r="D2872" s="68"/>
      <c r="E2872" s="69"/>
      <c r="F2872" s="69"/>
      <c r="G2872" s="65"/>
      <c r="H2872" s="65"/>
      <c r="I2872" s="70"/>
      <c r="J2872" s="71"/>
      <c r="K2872" s="71"/>
      <c r="L2872" s="72" t="str">
        <f>IFERROR(IF(G2872="","",VLOOKUP($G2872,[1]基础信息!$B:$C,2,FALSE)+SUMIF(G$8:G2872,G2872,J$8:J2872)-SUMIF(G$8:G2872,G2872,K$8:K2872)+SUMIFS([1]内部转账!$G:$G,[1]内部转账!$C:$C,"&lt;="&amp;$D2872,[1]内部转账!$E:$E,$G2872)-SUMIFS([1]内部转账!$G:$G,[1]内部转账!$C:$C,"&lt;="&amp;$D2872,[1]内部转账!$F:$F,$G2872)),"")</f>
        <v/>
      </c>
      <c r="M2872" s="64"/>
      <c r="N2872" s="69"/>
      <c r="O2872" s="64"/>
      <c r="P2872" s="64"/>
      <c r="Q2872" s="69"/>
      <c r="R2872" s="69"/>
      <c r="S2872" s="69"/>
    </row>
    <row r="2873" s="2" customFormat="1" ht="24.95" customHeight="1" spans="1:19">
      <c r="A2873" s="15"/>
      <c r="B2873" s="55"/>
      <c r="C2873" s="56"/>
      <c r="D2873" s="68"/>
      <c r="E2873" s="69"/>
      <c r="F2873" s="69"/>
      <c r="G2873" s="65"/>
      <c r="H2873" s="65"/>
      <c r="I2873" s="70"/>
      <c r="J2873" s="71"/>
      <c r="K2873" s="71"/>
      <c r="L2873" s="72" t="str">
        <f>IFERROR(IF(G2873="","",VLOOKUP($G2873,[1]基础信息!$B:$C,2,FALSE)+SUMIF(G$8:G2873,G2873,J$8:J2873)-SUMIF(G$8:G2873,G2873,K$8:K2873)+SUMIFS([1]内部转账!$G:$G,[1]内部转账!$C:$C,"&lt;="&amp;$D2873,[1]内部转账!$E:$E,$G2873)-SUMIFS([1]内部转账!$G:$G,[1]内部转账!$C:$C,"&lt;="&amp;$D2873,[1]内部转账!$F:$F,$G2873)),"")</f>
        <v/>
      </c>
      <c r="M2873" s="64"/>
      <c r="N2873" s="69"/>
      <c r="O2873" s="64"/>
      <c r="P2873" s="64"/>
      <c r="Q2873" s="69"/>
      <c r="R2873" s="69"/>
      <c r="S2873" s="69"/>
    </row>
    <row r="2874" s="2" customFormat="1" ht="24.95" customHeight="1" spans="1:19">
      <c r="A2874" s="15"/>
      <c r="B2874" s="55"/>
      <c r="C2874" s="56"/>
      <c r="D2874" s="68"/>
      <c r="E2874" s="69"/>
      <c r="F2874" s="69"/>
      <c r="G2874" s="65"/>
      <c r="H2874" s="65"/>
      <c r="I2874" s="70"/>
      <c r="J2874" s="71"/>
      <c r="K2874" s="71"/>
      <c r="L2874" s="72" t="str">
        <f>IFERROR(IF(G2874="","",VLOOKUP($G2874,[1]基础信息!$B:$C,2,FALSE)+SUMIF(G$8:G2874,G2874,J$8:J2874)-SUMIF(G$8:G2874,G2874,K$8:K2874)+SUMIFS([1]内部转账!$G:$G,[1]内部转账!$C:$C,"&lt;="&amp;$D2874,[1]内部转账!$E:$E,$G2874)-SUMIFS([1]内部转账!$G:$G,[1]内部转账!$C:$C,"&lt;="&amp;$D2874,[1]内部转账!$F:$F,$G2874)),"")</f>
        <v/>
      </c>
      <c r="M2874" s="64"/>
      <c r="N2874" s="69"/>
      <c r="O2874" s="64"/>
      <c r="P2874" s="64"/>
      <c r="Q2874" s="69"/>
      <c r="R2874" s="69"/>
      <c r="S2874" s="69"/>
    </row>
    <row r="2875" s="2" customFormat="1" ht="24.95" customHeight="1" spans="1:19">
      <c r="A2875" s="15"/>
      <c r="B2875" s="55"/>
      <c r="C2875" s="56"/>
      <c r="D2875" s="68"/>
      <c r="E2875" s="69"/>
      <c r="F2875" s="69"/>
      <c r="G2875" s="65"/>
      <c r="H2875" s="65"/>
      <c r="I2875" s="70"/>
      <c r="J2875" s="71"/>
      <c r="K2875" s="71"/>
      <c r="L2875" s="72" t="str">
        <f>IFERROR(IF(G2875="","",VLOOKUP($G2875,[1]基础信息!$B:$C,2,FALSE)+SUMIF(G$8:G2875,G2875,J$8:J2875)-SUMIF(G$8:G2875,G2875,K$8:K2875)+SUMIFS([1]内部转账!$G:$G,[1]内部转账!$C:$C,"&lt;="&amp;$D2875,[1]内部转账!$E:$E,$G2875)-SUMIFS([1]内部转账!$G:$G,[1]内部转账!$C:$C,"&lt;="&amp;$D2875,[1]内部转账!$F:$F,$G2875)),"")</f>
        <v/>
      </c>
      <c r="M2875" s="64"/>
      <c r="N2875" s="69"/>
      <c r="O2875" s="64"/>
      <c r="P2875" s="64"/>
      <c r="Q2875" s="69"/>
      <c r="R2875" s="69"/>
      <c r="S2875" s="69"/>
    </row>
    <row r="2876" s="2" customFormat="1" ht="24.95" customHeight="1" spans="1:19">
      <c r="A2876" s="15"/>
      <c r="B2876" s="55"/>
      <c r="C2876" s="56"/>
      <c r="D2876" s="68"/>
      <c r="E2876" s="69"/>
      <c r="F2876" s="69"/>
      <c r="G2876" s="65"/>
      <c r="H2876" s="65"/>
      <c r="I2876" s="70"/>
      <c r="J2876" s="71"/>
      <c r="K2876" s="71"/>
      <c r="L2876" s="72" t="str">
        <f>IFERROR(IF(G2876="","",VLOOKUP($G2876,[1]基础信息!$B:$C,2,FALSE)+SUMIF(G$8:G2876,G2876,J$8:J2876)-SUMIF(G$8:G2876,G2876,K$8:K2876)+SUMIFS([1]内部转账!$G:$G,[1]内部转账!$C:$C,"&lt;="&amp;$D2876,[1]内部转账!$E:$E,$G2876)-SUMIFS([1]内部转账!$G:$G,[1]内部转账!$C:$C,"&lt;="&amp;$D2876,[1]内部转账!$F:$F,$G2876)),"")</f>
        <v/>
      </c>
      <c r="M2876" s="64"/>
      <c r="N2876" s="69"/>
      <c r="O2876" s="64"/>
      <c r="P2876" s="64"/>
      <c r="Q2876" s="69"/>
      <c r="R2876" s="69"/>
      <c r="S2876" s="69"/>
    </row>
    <row r="2877" s="2" customFormat="1" ht="24.95" customHeight="1" spans="1:19">
      <c r="A2877" s="15"/>
      <c r="B2877" s="55"/>
      <c r="C2877" s="56"/>
      <c r="D2877" s="68"/>
      <c r="E2877" s="69"/>
      <c r="F2877" s="69"/>
      <c r="G2877" s="65"/>
      <c r="H2877" s="65"/>
      <c r="I2877" s="70"/>
      <c r="J2877" s="71"/>
      <c r="K2877" s="71"/>
      <c r="L2877" s="72" t="str">
        <f>IFERROR(IF(G2877="","",VLOOKUP($G2877,[1]基础信息!$B:$C,2,FALSE)+SUMIF(G$8:G2877,G2877,J$8:J2877)-SUMIF(G$8:G2877,G2877,K$8:K2877)+SUMIFS([1]内部转账!$G:$G,[1]内部转账!$C:$C,"&lt;="&amp;$D2877,[1]内部转账!$E:$E,$G2877)-SUMIFS([1]内部转账!$G:$G,[1]内部转账!$C:$C,"&lt;="&amp;$D2877,[1]内部转账!$F:$F,$G2877)),"")</f>
        <v/>
      </c>
      <c r="M2877" s="64"/>
      <c r="N2877" s="69"/>
      <c r="O2877" s="64"/>
      <c r="P2877" s="64"/>
      <c r="Q2877" s="69"/>
      <c r="R2877" s="69"/>
      <c r="S2877" s="69"/>
    </row>
    <row r="2878" s="2" customFormat="1" ht="24.95" customHeight="1" spans="1:19">
      <c r="A2878" s="15"/>
      <c r="B2878" s="55"/>
      <c r="C2878" s="56"/>
      <c r="D2878" s="68"/>
      <c r="E2878" s="69"/>
      <c r="F2878" s="69"/>
      <c r="G2878" s="65"/>
      <c r="H2878" s="65"/>
      <c r="I2878" s="70"/>
      <c r="J2878" s="71"/>
      <c r="K2878" s="71"/>
      <c r="L2878" s="72" t="str">
        <f>IFERROR(IF(G2878="","",VLOOKUP($G2878,[1]基础信息!$B:$C,2,FALSE)+SUMIF(G$8:G2878,G2878,J$8:J2878)-SUMIF(G$8:G2878,G2878,K$8:K2878)+SUMIFS([1]内部转账!$G:$G,[1]内部转账!$C:$C,"&lt;="&amp;$D2878,[1]内部转账!$E:$E,$G2878)-SUMIFS([1]内部转账!$G:$G,[1]内部转账!$C:$C,"&lt;="&amp;$D2878,[1]内部转账!$F:$F,$G2878)),"")</f>
        <v/>
      </c>
      <c r="M2878" s="64"/>
      <c r="N2878" s="69"/>
      <c r="O2878" s="64"/>
      <c r="P2878" s="64"/>
      <c r="Q2878" s="69"/>
      <c r="R2878" s="69"/>
      <c r="S2878" s="69"/>
    </row>
    <row r="2879" s="2" customFormat="1" ht="24.95" customHeight="1" spans="1:19">
      <c r="A2879" s="15"/>
      <c r="B2879" s="55"/>
      <c r="C2879" s="56"/>
      <c r="D2879" s="68"/>
      <c r="E2879" s="69"/>
      <c r="F2879" s="69"/>
      <c r="G2879" s="65"/>
      <c r="H2879" s="65"/>
      <c r="I2879" s="70"/>
      <c r="J2879" s="71"/>
      <c r="K2879" s="71"/>
      <c r="L2879" s="72" t="str">
        <f>IFERROR(IF(G2879="","",VLOOKUP($G2879,[1]基础信息!$B:$C,2,FALSE)+SUMIF(G$8:G2879,G2879,J$8:J2879)-SUMIF(G$8:G2879,G2879,K$8:K2879)+SUMIFS([1]内部转账!$G:$G,[1]内部转账!$C:$C,"&lt;="&amp;$D2879,[1]内部转账!$E:$E,$G2879)-SUMIFS([1]内部转账!$G:$G,[1]内部转账!$C:$C,"&lt;="&amp;$D2879,[1]内部转账!$F:$F,$G2879)),"")</f>
        <v/>
      </c>
      <c r="M2879" s="64"/>
      <c r="N2879" s="69"/>
      <c r="O2879" s="64"/>
      <c r="P2879" s="64"/>
      <c r="Q2879" s="69"/>
      <c r="R2879" s="69"/>
      <c r="S2879" s="69"/>
    </row>
    <row r="2880" s="2" customFormat="1" ht="24.95" customHeight="1" spans="1:19">
      <c r="A2880" s="15"/>
      <c r="B2880" s="55"/>
      <c r="C2880" s="56"/>
      <c r="D2880" s="68"/>
      <c r="E2880" s="69"/>
      <c r="F2880" s="69"/>
      <c r="G2880" s="65"/>
      <c r="H2880" s="65"/>
      <c r="I2880" s="70"/>
      <c r="J2880" s="71"/>
      <c r="K2880" s="71"/>
      <c r="L2880" s="72" t="str">
        <f>IFERROR(IF(G2880="","",VLOOKUP($G2880,[1]基础信息!$B:$C,2,FALSE)+SUMIF(G$8:G2880,G2880,J$8:J2880)-SUMIF(G$8:G2880,G2880,K$8:K2880)+SUMIFS([1]内部转账!$G:$G,[1]内部转账!$C:$C,"&lt;="&amp;$D2880,[1]内部转账!$E:$E,$G2880)-SUMIFS([1]内部转账!$G:$G,[1]内部转账!$C:$C,"&lt;="&amp;$D2880,[1]内部转账!$F:$F,$G2880)),"")</f>
        <v/>
      </c>
      <c r="M2880" s="64"/>
      <c r="N2880" s="69"/>
      <c r="O2880" s="64"/>
      <c r="P2880" s="64"/>
      <c r="Q2880" s="69"/>
      <c r="R2880" s="69"/>
      <c r="S2880" s="69"/>
    </row>
    <row r="2881" s="2" customFormat="1" ht="24.95" customHeight="1" spans="1:19">
      <c r="A2881" s="15"/>
      <c r="B2881" s="55"/>
      <c r="C2881" s="56"/>
      <c r="D2881" s="68"/>
      <c r="E2881" s="69"/>
      <c r="F2881" s="69"/>
      <c r="G2881" s="65"/>
      <c r="H2881" s="65"/>
      <c r="I2881" s="70"/>
      <c r="J2881" s="71"/>
      <c r="K2881" s="71"/>
      <c r="L2881" s="72" t="str">
        <f>IFERROR(IF(G2881="","",VLOOKUP($G2881,[1]基础信息!$B:$C,2,FALSE)+SUMIF(G$8:G2881,G2881,J$8:J2881)-SUMIF(G$8:G2881,G2881,K$8:K2881)+SUMIFS([1]内部转账!$G:$G,[1]内部转账!$C:$C,"&lt;="&amp;$D2881,[1]内部转账!$E:$E,$G2881)-SUMIFS([1]内部转账!$G:$G,[1]内部转账!$C:$C,"&lt;="&amp;$D2881,[1]内部转账!$F:$F,$G2881)),"")</f>
        <v/>
      </c>
      <c r="M2881" s="64"/>
      <c r="N2881" s="69"/>
      <c r="O2881" s="64"/>
      <c r="P2881" s="64"/>
      <c r="Q2881" s="69"/>
      <c r="R2881" s="69"/>
      <c r="S2881" s="69"/>
    </row>
    <row r="2882" s="2" customFormat="1" ht="24.95" customHeight="1" spans="1:19">
      <c r="A2882" s="15"/>
      <c r="B2882" s="55"/>
      <c r="C2882" s="56"/>
      <c r="D2882" s="68"/>
      <c r="E2882" s="69"/>
      <c r="F2882" s="69"/>
      <c r="G2882" s="65"/>
      <c r="H2882" s="65"/>
      <c r="I2882" s="70"/>
      <c r="J2882" s="71"/>
      <c r="K2882" s="71"/>
      <c r="L2882" s="72" t="str">
        <f>IFERROR(IF(G2882="","",VLOOKUP($G2882,[1]基础信息!$B:$C,2,FALSE)+SUMIF(G$8:G2882,G2882,J$8:J2882)-SUMIF(G$8:G2882,G2882,K$8:K2882)+SUMIFS([1]内部转账!$G:$G,[1]内部转账!$C:$C,"&lt;="&amp;$D2882,[1]内部转账!$E:$E,$G2882)-SUMIFS([1]内部转账!$G:$G,[1]内部转账!$C:$C,"&lt;="&amp;$D2882,[1]内部转账!$F:$F,$G2882)),"")</f>
        <v/>
      </c>
      <c r="M2882" s="64"/>
      <c r="N2882" s="69"/>
      <c r="O2882" s="64"/>
      <c r="P2882" s="64"/>
      <c r="Q2882" s="69"/>
      <c r="R2882" s="69"/>
      <c r="S2882" s="69"/>
    </row>
    <row r="2883" s="2" customFormat="1" ht="24.95" customHeight="1" spans="1:19">
      <c r="A2883" s="15"/>
      <c r="B2883" s="55"/>
      <c r="C2883" s="56"/>
      <c r="D2883" s="68"/>
      <c r="E2883" s="69"/>
      <c r="F2883" s="69"/>
      <c r="G2883" s="65"/>
      <c r="H2883" s="65"/>
      <c r="I2883" s="70"/>
      <c r="J2883" s="71"/>
      <c r="K2883" s="71"/>
      <c r="L2883" s="72" t="str">
        <f>IFERROR(IF(G2883="","",VLOOKUP($G2883,[1]基础信息!$B:$C,2,FALSE)+SUMIF(G$8:G2883,G2883,J$8:J2883)-SUMIF(G$8:G2883,G2883,K$8:K2883)+SUMIFS([1]内部转账!$G:$G,[1]内部转账!$C:$C,"&lt;="&amp;$D2883,[1]内部转账!$E:$E,$G2883)-SUMIFS([1]内部转账!$G:$G,[1]内部转账!$C:$C,"&lt;="&amp;$D2883,[1]内部转账!$F:$F,$G2883)),"")</f>
        <v/>
      </c>
      <c r="M2883" s="64"/>
      <c r="N2883" s="69"/>
      <c r="O2883" s="64"/>
      <c r="P2883" s="64"/>
      <c r="Q2883" s="69"/>
      <c r="R2883" s="69"/>
      <c r="S2883" s="69"/>
    </row>
    <row r="2884" s="2" customFormat="1" ht="24.95" customHeight="1" spans="1:19">
      <c r="A2884" s="15"/>
      <c r="B2884" s="55"/>
      <c r="C2884" s="56"/>
      <c r="D2884" s="68"/>
      <c r="E2884" s="69"/>
      <c r="F2884" s="69"/>
      <c r="G2884" s="65"/>
      <c r="H2884" s="65"/>
      <c r="I2884" s="70"/>
      <c r="J2884" s="71"/>
      <c r="K2884" s="71"/>
      <c r="L2884" s="72" t="str">
        <f>IFERROR(IF(G2884="","",VLOOKUP($G2884,[1]基础信息!$B:$C,2,FALSE)+SUMIF(G$8:G2884,G2884,J$8:J2884)-SUMIF(G$8:G2884,G2884,K$8:K2884)+SUMIFS([1]内部转账!$G:$G,[1]内部转账!$C:$C,"&lt;="&amp;$D2884,[1]内部转账!$E:$E,$G2884)-SUMIFS([1]内部转账!$G:$G,[1]内部转账!$C:$C,"&lt;="&amp;$D2884,[1]内部转账!$F:$F,$G2884)),"")</f>
        <v/>
      </c>
      <c r="M2884" s="64"/>
      <c r="N2884" s="69"/>
      <c r="O2884" s="64"/>
      <c r="P2884" s="64"/>
      <c r="Q2884" s="69"/>
      <c r="R2884" s="69"/>
      <c r="S2884" s="69"/>
    </row>
    <row r="2885" s="2" customFormat="1" ht="24.95" customHeight="1" spans="1:19">
      <c r="A2885" s="15"/>
      <c r="B2885" s="55"/>
      <c r="C2885" s="56"/>
      <c r="D2885" s="68"/>
      <c r="E2885" s="69"/>
      <c r="F2885" s="69"/>
      <c r="G2885" s="65"/>
      <c r="H2885" s="65"/>
      <c r="I2885" s="70"/>
      <c r="J2885" s="71"/>
      <c r="K2885" s="71"/>
      <c r="L2885" s="72" t="str">
        <f>IFERROR(IF(G2885="","",VLOOKUP($G2885,[1]基础信息!$B:$C,2,FALSE)+SUMIF(G$8:G2885,G2885,J$8:J2885)-SUMIF(G$8:G2885,G2885,K$8:K2885)+SUMIFS([1]内部转账!$G:$G,[1]内部转账!$C:$C,"&lt;="&amp;$D2885,[1]内部转账!$E:$E,$G2885)-SUMIFS([1]内部转账!$G:$G,[1]内部转账!$C:$C,"&lt;="&amp;$D2885,[1]内部转账!$F:$F,$G2885)),"")</f>
        <v/>
      </c>
      <c r="M2885" s="64"/>
      <c r="N2885" s="69"/>
      <c r="O2885" s="64"/>
      <c r="P2885" s="64"/>
      <c r="Q2885" s="69"/>
      <c r="R2885" s="69"/>
      <c r="S2885" s="69"/>
    </row>
    <row r="2886" s="2" customFormat="1" ht="24.95" customHeight="1" spans="1:19">
      <c r="A2886" s="15"/>
      <c r="B2886" s="55"/>
      <c r="C2886" s="56"/>
      <c r="D2886" s="68"/>
      <c r="E2886" s="69"/>
      <c r="F2886" s="69"/>
      <c r="G2886" s="65"/>
      <c r="H2886" s="65"/>
      <c r="I2886" s="70"/>
      <c r="J2886" s="71"/>
      <c r="K2886" s="71"/>
      <c r="L2886" s="72" t="str">
        <f>IFERROR(IF(G2886="","",VLOOKUP($G2886,[1]基础信息!$B:$C,2,FALSE)+SUMIF(G$8:G2886,G2886,J$8:J2886)-SUMIF(G$8:G2886,G2886,K$8:K2886)+SUMIFS([1]内部转账!$G:$G,[1]内部转账!$C:$C,"&lt;="&amp;$D2886,[1]内部转账!$E:$E,$G2886)-SUMIFS([1]内部转账!$G:$G,[1]内部转账!$C:$C,"&lt;="&amp;$D2886,[1]内部转账!$F:$F,$G2886)),"")</f>
        <v/>
      </c>
      <c r="M2886" s="64"/>
      <c r="N2886" s="69"/>
      <c r="O2886" s="64"/>
      <c r="P2886" s="64"/>
      <c r="Q2886" s="69"/>
      <c r="R2886" s="69"/>
      <c r="S2886" s="69"/>
    </row>
    <row r="2887" s="2" customFormat="1" ht="24.95" customHeight="1" spans="1:19">
      <c r="A2887" s="15"/>
      <c r="B2887" s="55"/>
      <c r="C2887" s="56"/>
      <c r="D2887" s="68"/>
      <c r="E2887" s="69"/>
      <c r="F2887" s="69"/>
      <c r="G2887" s="65"/>
      <c r="H2887" s="65"/>
      <c r="I2887" s="70"/>
      <c r="J2887" s="71"/>
      <c r="K2887" s="71"/>
      <c r="L2887" s="72" t="str">
        <f>IFERROR(IF(G2887="","",VLOOKUP($G2887,[1]基础信息!$B:$C,2,FALSE)+SUMIF(G$8:G2887,G2887,J$8:J2887)-SUMIF(G$8:G2887,G2887,K$8:K2887)+SUMIFS([1]内部转账!$G:$G,[1]内部转账!$C:$C,"&lt;="&amp;$D2887,[1]内部转账!$E:$E,$G2887)-SUMIFS([1]内部转账!$G:$G,[1]内部转账!$C:$C,"&lt;="&amp;$D2887,[1]内部转账!$F:$F,$G2887)),"")</f>
        <v/>
      </c>
      <c r="M2887" s="64"/>
      <c r="N2887" s="69"/>
      <c r="O2887" s="64"/>
      <c r="P2887" s="64"/>
      <c r="Q2887" s="69"/>
      <c r="R2887" s="69"/>
      <c r="S2887" s="69"/>
    </row>
    <row r="2888" s="2" customFormat="1" ht="24.95" customHeight="1" spans="1:19">
      <c r="A2888" s="15"/>
      <c r="B2888" s="55"/>
      <c r="C2888" s="56"/>
      <c r="D2888" s="68"/>
      <c r="E2888" s="69"/>
      <c r="F2888" s="69"/>
      <c r="G2888" s="65"/>
      <c r="H2888" s="65"/>
      <c r="I2888" s="70"/>
      <c r="J2888" s="71"/>
      <c r="K2888" s="71"/>
      <c r="L2888" s="72" t="str">
        <f>IFERROR(IF(G2888="","",VLOOKUP($G2888,[1]基础信息!$B:$C,2,FALSE)+SUMIF(G$8:G2888,G2888,J$8:J2888)-SUMIF(G$8:G2888,G2888,K$8:K2888)+SUMIFS([1]内部转账!$G:$G,[1]内部转账!$C:$C,"&lt;="&amp;$D2888,[1]内部转账!$E:$E,$G2888)-SUMIFS([1]内部转账!$G:$G,[1]内部转账!$C:$C,"&lt;="&amp;$D2888,[1]内部转账!$F:$F,$G2888)),"")</f>
        <v/>
      </c>
      <c r="M2888" s="64"/>
      <c r="N2888" s="69"/>
      <c r="O2888" s="64"/>
      <c r="P2888" s="64"/>
      <c r="Q2888" s="69"/>
      <c r="R2888" s="69"/>
      <c r="S2888" s="69"/>
    </row>
    <row r="2889" s="2" customFormat="1" ht="24.95" customHeight="1" spans="1:19">
      <c r="A2889" s="15"/>
      <c r="B2889" s="55"/>
      <c r="C2889" s="56"/>
      <c r="D2889" s="68"/>
      <c r="E2889" s="69"/>
      <c r="F2889" s="69"/>
      <c r="G2889" s="65"/>
      <c r="H2889" s="65"/>
      <c r="I2889" s="70"/>
      <c r="J2889" s="71"/>
      <c r="K2889" s="71"/>
      <c r="L2889" s="72" t="str">
        <f>IFERROR(IF(G2889="","",VLOOKUP($G2889,[1]基础信息!$B:$C,2,FALSE)+SUMIF(G$8:G2889,G2889,J$8:J2889)-SUMIF(G$8:G2889,G2889,K$8:K2889)+SUMIFS([1]内部转账!$G:$G,[1]内部转账!$C:$C,"&lt;="&amp;$D2889,[1]内部转账!$E:$E,$G2889)-SUMIFS([1]内部转账!$G:$G,[1]内部转账!$C:$C,"&lt;="&amp;$D2889,[1]内部转账!$F:$F,$G2889)),"")</f>
        <v/>
      </c>
      <c r="M2889" s="64"/>
      <c r="N2889" s="69"/>
      <c r="O2889" s="64"/>
      <c r="P2889" s="64"/>
      <c r="Q2889" s="69"/>
      <c r="R2889" s="69"/>
      <c r="S2889" s="69"/>
    </row>
    <row r="2890" s="2" customFormat="1" ht="24.95" customHeight="1" spans="1:19">
      <c r="A2890" s="15"/>
      <c r="B2890" s="55"/>
      <c r="C2890" s="56"/>
      <c r="D2890" s="68"/>
      <c r="E2890" s="69"/>
      <c r="F2890" s="69"/>
      <c r="G2890" s="65"/>
      <c r="H2890" s="65"/>
      <c r="I2890" s="70"/>
      <c r="J2890" s="71"/>
      <c r="K2890" s="71"/>
      <c r="L2890" s="72" t="str">
        <f>IFERROR(IF(G2890="","",VLOOKUP($G2890,[1]基础信息!$B:$C,2,FALSE)+SUMIF(G$8:G2890,G2890,J$8:J2890)-SUMIF(G$8:G2890,G2890,K$8:K2890)+SUMIFS([1]内部转账!$G:$G,[1]内部转账!$C:$C,"&lt;="&amp;$D2890,[1]内部转账!$E:$E,$G2890)-SUMIFS([1]内部转账!$G:$G,[1]内部转账!$C:$C,"&lt;="&amp;$D2890,[1]内部转账!$F:$F,$G2890)),"")</f>
        <v/>
      </c>
      <c r="M2890" s="64"/>
      <c r="N2890" s="69"/>
      <c r="O2890" s="64"/>
      <c r="P2890" s="64"/>
      <c r="Q2890" s="69"/>
      <c r="R2890" s="69"/>
      <c r="S2890" s="69"/>
    </row>
    <row r="2891" s="2" customFormat="1" ht="24.95" customHeight="1" spans="1:19">
      <c r="A2891" s="15"/>
      <c r="B2891" s="55"/>
      <c r="C2891" s="56"/>
      <c r="D2891" s="68"/>
      <c r="E2891" s="69"/>
      <c r="F2891" s="69"/>
      <c r="G2891" s="65"/>
      <c r="H2891" s="65"/>
      <c r="I2891" s="70"/>
      <c r="J2891" s="71"/>
      <c r="K2891" s="71"/>
      <c r="L2891" s="72" t="str">
        <f>IFERROR(IF(G2891="","",VLOOKUP($G2891,[1]基础信息!$B:$C,2,FALSE)+SUMIF(G$8:G2891,G2891,J$8:J2891)-SUMIF(G$8:G2891,G2891,K$8:K2891)+SUMIFS([1]内部转账!$G:$G,[1]内部转账!$C:$C,"&lt;="&amp;$D2891,[1]内部转账!$E:$E,$G2891)-SUMIFS([1]内部转账!$G:$G,[1]内部转账!$C:$C,"&lt;="&amp;$D2891,[1]内部转账!$F:$F,$G2891)),"")</f>
        <v/>
      </c>
      <c r="M2891" s="64"/>
      <c r="N2891" s="69"/>
      <c r="O2891" s="64"/>
      <c r="P2891" s="64"/>
      <c r="Q2891" s="69"/>
      <c r="R2891" s="69"/>
      <c r="S2891" s="69"/>
    </row>
    <row r="2892" s="2" customFormat="1" ht="24.95" customHeight="1" spans="1:19">
      <c r="A2892" s="15"/>
      <c r="B2892" s="55"/>
      <c r="C2892" s="56"/>
      <c r="D2892" s="68"/>
      <c r="E2892" s="69"/>
      <c r="F2892" s="69"/>
      <c r="G2892" s="65"/>
      <c r="H2892" s="65"/>
      <c r="I2892" s="70"/>
      <c r="J2892" s="71"/>
      <c r="K2892" s="71"/>
      <c r="L2892" s="72" t="str">
        <f>IFERROR(IF(G2892="","",VLOOKUP($G2892,[1]基础信息!$B:$C,2,FALSE)+SUMIF(G$8:G2892,G2892,J$8:J2892)-SUMIF(G$8:G2892,G2892,K$8:K2892)+SUMIFS([1]内部转账!$G:$G,[1]内部转账!$C:$C,"&lt;="&amp;$D2892,[1]内部转账!$E:$E,$G2892)-SUMIFS([1]内部转账!$G:$G,[1]内部转账!$C:$C,"&lt;="&amp;$D2892,[1]内部转账!$F:$F,$G2892)),"")</f>
        <v/>
      </c>
      <c r="M2892" s="64"/>
      <c r="N2892" s="69"/>
      <c r="O2892" s="64"/>
      <c r="P2892" s="64"/>
      <c r="Q2892" s="69"/>
      <c r="R2892" s="69"/>
      <c r="S2892" s="69"/>
    </row>
    <row r="2893" s="2" customFormat="1" ht="24.95" customHeight="1" spans="1:19">
      <c r="A2893" s="15"/>
      <c r="B2893" s="55"/>
      <c r="C2893" s="56"/>
      <c r="D2893" s="68"/>
      <c r="E2893" s="69"/>
      <c r="F2893" s="69"/>
      <c r="G2893" s="65"/>
      <c r="H2893" s="65"/>
      <c r="I2893" s="70"/>
      <c r="J2893" s="71"/>
      <c r="K2893" s="71"/>
      <c r="L2893" s="72" t="str">
        <f>IFERROR(IF(G2893="","",VLOOKUP($G2893,[1]基础信息!$B:$C,2,FALSE)+SUMIF(G$8:G2893,G2893,J$8:J2893)-SUMIF(G$8:G2893,G2893,K$8:K2893)+SUMIFS([1]内部转账!$G:$G,[1]内部转账!$C:$C,"&lt;="&amp;$D2893,[1]内部转账!$E:$E,$G2893)-SUMIFS([1]内部转账!$G:$G,[1]内部转账!$C:$C,"&lt;="&amp;$D2893,[1]内部转账!$F:$F,$G2893)),"")</f>
        <v/>
      </c>
      <c r="M2893" s="64"/>
      <c r="N2893" s="69"/>
      <c r="O2893" s="64"/>
      <c r="P2893" s="64"/>
      <c r="Q2893" s="69"/>
      <c r="R2893" s="69"/>
      <c r="S2893" s="69"/>
    </row>
    <row r="2894" s="2" customFormat="1" ht="24.95" customHeight="1" spans="1:19">
      <c r="A2894" s="15"/>
      <c r="B2894" s="55"/>
      <c r="C2894" s="56"/>
      <c r="D2894" s="68"/>
      <c r="E2894" s="69"/>
      <c r="F2894" s="69"/>
      <c r="G2894" s="65"/>
      <c r="H2894" s="65"/>
      <c r="I2894" s="70"/>
      <c r="J2894" s="71"/>
      <c r="K2894" s="71"/>
      <c r="L2894" s="72" t="str">
        <f>IFERROR(IF(G2894="","",VLOOKUP($G2894,[1]基础信息!$B:$C,2,FALSE)+SUMIF(G$8:G2894,G2894,J$8:J2894)-SUMIF(G$8:G2894,G2894,K$8:K2894)+SUMIFS([1]内部转账!$G:$G,[1]内部转账!$C:$C,"&lt;="&amp;$D2894,[1]内部转账!$E:$E,$G2894)-SUMIFS([1]内部转账!$G:$G,[1]内部转账!$C:$C,"&lt;="&amp;$D2894,[1]内部转账!$F:$F,$G2894)),"")</f>
        <v/>
      </c>
      <c r="M2894" s="64"/>
      <c r="N2894" s="69"/>
      <c r="O2894" s="64"/>
      <c r="P2894" s="64"/>
      <c r="Q2894" s="69"/>
      <c r="R2894" s="69"/>
      <c r="S2894" s="69"/>
    </row>
    <row r="2895" s="2" customFormat="1" ht="24.95" customHeight="1" spans="1:19">
      <c r="A2895" s="15"/>
      <c r="B2895" s="55"/>
      <c r="C2895" s="56"/>
      <c r="D2895" s="68"/>
      <c r="E2895" s="69"/>
      <c r="F2895" s="69"/>
      <c r="G2895" s="65"/>
      <c r="H2895" s="65"/>
      <c r="I2895" s="70"/>
      <c r="J2895" s="71"/>
      <c r="K2895" s="71"/>
      <c r="L2895" s="72" t="str">
        <f>IFERROR(IF(G2895="","",VLOOKUP($G2895,[1]基础信息!$B:$C,2,FALSE)+SUMIF(G$8:G2895,G2895,J$8:J2895)-SUMIF(G$8:G2895,G2895,K$8:K2895)+SUMIFS([1]内部转账!$G:$G,[1]内部转账!$C:$C,"&lt;="&amp;$D2895,[1]内部转账!$E:$E,$G2895)-SUMIFS([1]内部转账!$G:$G,[1]内部转账!$C:$C,"&lt;="&amp;$D2895,[1]内部转账!$F:$F,$G2895)),"")</f>
        <v/>
      </c>
      <c r="M2895" s="64"/>
      <c r="N2895" s="69"/>
      <c r="O2895" s="64"/>
      <c r="P2895" s="64"/>
      <c r="Q2895" s="69"/>
      <c r="R2895" s="69"/>
      <c r="S2895" s="69"/>
    </row>
    <row r="2896" s="2" customFormat="1" ht="24.95" customHeight="1" spans="1:19">
      <c r="A2896" s="15"/>
      <c r="B2896" s="55"/>
      <c r="C2896" s="56"/>
      <c r="D2896" s="68"/>
      <c r="E2896" s="69"/>
      <c r="F2896" s="69"/>
      <c r="G2896" s="65"/>
      <c r="H2896" s="65"/>
      <c r="I2896" s="70"/>
      <c r="J2896" s="71"/>
      <c r="K2896" s="71"/>
      <c r="L2896" s="72" t="str">
        <f>IFERROR(IF(G2896="","",VLOOKUP($G2896,[1]基础信息!$B:$C,2,FALSE)+SUMIF(G$8:G2896,G2896,J$8:J2896)-SUMIF(G$8:G2896,G2896,K$8:K2896)+SUMIFS([1]内部转账!$G:$G,[1]内部转账!$C:$C,"&lt;="&amp;$D2896,[1]内部转账!$E:$E,$G2896)-SUMIFS([1]内部转账!$G:$G,[1]内部转账!$C:$C,"&lt;="&amp;$D2896,[1]内部转账!$F:$F,$G2896)),"")</f>
        <v/>
      </c>
      <c r="M2896" s="64"/>
      <c r="N2896" s="69"/>
      <c r="O2896" s="64"/>
      <c r="P2896" s="64"/>
      <c r="Q2896" s="69"/>
      <c r="R2896" s="69"/>
      <c r="S2896" s="69"/>
    </row>
    <row r="2897" s="2" customFormat="1" ht="24.95" customHeight="1" spans="1:19">
      <c r="A2897" s="15"/>
      <c r="B2897" s="55"/>
      <c r="C2897" s="56"/>
      <c r="D2897" s="68"/>
      <c r="E2897" s="69"/>
      <c r="F2897" s="69"/>
      <c r="G2897" s="65"/>
      <c r="H2897" s="65"/>
      <c r="I2897" s="70"/>
      <c r="J2897" s="71"/>
      <c r="K2897" s="71"/>
      <c r="L2897" s="72" t="str">
        <f>IFERROR(IF(G2897="","",VLOOKUP($G2897,[1]基础信息!$B:$C,2,FALSE)+SUMIF(G$8:G2897,G2897,J$8:J2897)-SUMIF(G$8:G2897,G2897,K$8:K2897)+SUMIFS([1]内部转账!$G:$G,[1]内部转账!$C:$C,"&lt;="&amp;$D2897,[1]内部转账!$E:$E,$G2897)-SUMIFS([1]内部转账!$G:$G,[1]内部转账!$C:$C,"&lt;="&amp;$D2897,[1]内部转账!$F:$F,$G2897)),"")</f>
        <v/>
      </c>
      <c r="M2897" s="64"/>
      <c r="N2897" s="69"/>
      <c r="O2897" s="64"/>
      <c r="P2897" s="64"/>
      <c r="Q2897" s="69"/>
      <c r="R2897" s="69"/>
      <c r="S2897" s="69"/>
    </row>
    <row r="2898" s="2" customFormat="1" ht="24.95" customHeight="1" spans="1:19">
      <c r="A2898" s="15"/>
      <c r="B2898" s="55"/>
      <c r="C2898" s="56"/>
      <c r="D2898" s="68"/>
      <c r="E2898" s="69"/>
      <c r="F2898" s="69"/>
      <c r="G2898" s="65"/>
      <c r="H2898" s="65"/>
      <c r="I2898" s="70"/>
      <c r="J2898" s="71"/>
      <c r="K2898" s="71"/>
      <c r="L2898" s="72" t="str">
        <f>IFERROR(IF(G2898="","",VLOOKUP($G2898,[1]基础信息!$B:$C,2,FALSE)+SUMIF(G$8:G2898,G2898,J$8:J2898)-SUMIF(G$8:G2898,G2898,K$8:K2898)+SUMIFS([1]内部转账!$G:$G,[1]内部转账!$C:$C,"&lt;="&amp;$D2898,[1]内部转账!$E:$E,$G2898)-SUMIFS([1]内部转账!$G:$G,[1]内部转账!$C:$C,"&lt;="&amp;$D2898,[1]内部转账!$F:$F,$G2898)),"")</f>
        <v/>
      </c>
      <c r="M2898" s="64"/>
      <c r="N2898" s="69"/>
      <c r="O2898" s="64"/>
      <c r="P2898" s="64"/>
      <c r="Q2898" s="69"/>
      <c r="R2898" s="69"/>
      <c r="S2898" s="69"/>
    </row>
    <row r="2899" s="2" customFormat="1" ht="24.95" customHeight="1" spans="1:19">
      <c r="A2899" s="15"/>
      <c r="B2899" s="55"/>
      <c r="C2899" s="56"/>
      <c r="D2899" s="68"/>
      <c r="E2899" s="69"/>
      <c r="F2899" s="69"/>
      <c r="G2899" s="65"/>
      <c r="H2899" s="65"/>
      <c r="I2899" s="70"/>
      <c r="J2899" s="71"/>
      <c r="K2899" s="71"/>
      <c r="L2899" s="72" t="str">
        <f>IFERROR(IF(G2899="","",VLOOKUP($G2899,[1]基础信息!$B:$C,2,FALSE)+SUMIF(G$8:G2899,G2899,J$8:J2899)-SUMIF(G$8:G2899,G2899,K$8:K2899)+SUMIFS([1]内部转账!$G:$G,[1]内部转账!$C:$C,"&lt;="&amp;$D2899,[1]内部转账!$E:$E,$G2899)-SUMIFS([1]内部转账!$G:$G,[1]内部转账!$C:$C,"&lt;="&amp;$D2899,[1]内部转账!$F:$F,$G2899)),"")</f>
        <v/>
      </c>
      <c r="M2899" s="64"/>
      <c r="N2899" s="69"/>
      <c r="O2899" s="64"/>
      <c r="P2899" s="64"/>
      <c r="Q2899" s="69"/>
      <c r="R2899" s="69"/>
      <c r="S2899" s="69"/>
    </row>
    <row r="2900" s="2" customFormat="1" ht="24.95" customHeight="1" spans="1:19">
      <c r="A2900" s="15"/>
      <c r="B2900" s="55"/>
      <c r="C2900" s="56"/>
      <c r="D2900" s="68"/>
      <c r="E2900" s="69"/>
      <c r="F2900" s="69"/>
      <c r="G2900" s="65"/>
      <c r="H2900" s="65"/>
      <c r="I2900" s="70"/>
      <c r="J2900" s="71"/>
      <c r="K2900" s="71"/>
      <c r="L2900" s="72" t="str">
        <f>IFERROR(IF(G2900="","",VLOOKUP($G2900,[1]基础信息!$B:$C,2,FALSE)+SUMIF(G$8:G2900,G2900,J$8:J2900)-SUMIF(G$8:G2900,G2900,K$8:K2900)+SUMIFS([1]内部转账!$G:$G,[1]内部转账!$C:$C,"&lt;="&amp;$D2900,[1]内部转账!$E:$E,$G2900)-SUMIFS([1]内部转账!$G:$G,[1]内部转账!$C:$C,"&lt;="&amp;$D2900,[1]内部转账!$F:$F,$G2900)),"")</f>
        <v/>
      </c>
      <c r="M2900" s="64"/>
      <c r="N2900" s="69"/>
      <c r="O2900" s="64"/>
      <c r="P2900" s="64"/>
      <c r="Q2900" s="69"/>
      <c r="R2900" s="69"/>
      <c r="S2900" s="69"/>
    </row>
    <row r="2901" s="2" customFormat="1" ht="24.95" customHeight="1" spans="1:19">
      <c r="A2901" s="15"/>
      <c r="B2901" s="55"/>
      <c r="C2901" s="56"/>
      <c r="D2901" s="68"/>
      <c r="E2901" s="69"/>
      <c r="F2901" s="69"/>
      <c r="G2901" s="65"/>
      <c r="H2901" s="65"/>
      <c r="I2901" s="70"/>
      <c r="J2901" s="71"/>
      <c r="K2901" s="71"/>
      <c r="L2901" s="72" t="str">
        <f>IFERROR(IF(G2901="","",VLOOKUP($G2901,[1]基础信息!$B:$C,2,FALSE)+SUMIF(G$8:G2901,G2901,J$8:J2901)-SUMIF(G$8:G2901,G2901,K$8:K2901)+SUMIFS([1]内部转账!$G:$G,[1]内部转账!$C:$C,"&lt;="&amp;$D2901,[1]内部转账!$E:$E,$G2901)-SUMIFS([1]内部转账!$G:$G,[1]内部转账!$C:$C,"&lt;="&amp;$D2901,[1]内部转账!$F:$F,$G2901)),"")</f>
        <v/>
      </c>
      <c r="M2901" s="64"/>
      <c r="N2901" s="69"/>
      <c r="O2901" s="64"/>
      <c r="P2901" s="64"/>
      <c r="Q2901" s="69"/>
      <c r="R2901" s="69"/>
      <c r="S2901" s="69"/>
    </row>
    <row r="2902" s="2" customFormat="1" ht="24.95" customHeight="1" spans="1:19">
      <c r="A2902" s="15"/>
      <c r="B2902" s="55"/>
      <c r="C2902" s="56"/>
      <c r="D2902" s="68"/>
      <c r="E2902" s="69"/>
      <c r="F2902" s="69"/>
      <c r="G2902" s="65"/>
      <c r="H2902" s="65"/>
      <c r="I2902" s="70"/>
      <c r="J2902" s="71"/>
      <c r="K2902" s="71"/>
      <c r="L2902" s="72" t="str">
        <f>IFERROR(IF(G2902="","",VLOOKUP($G2902,[1]基础信息!$B:$C,2,FALSE)+SUMIF(G$8:G2902,G2902,J$8:J2902)-SUMIF(G$8:G2902,G2902,K$8:K2902)+SUMIFS([1]内部转账!$G:$G,[1]内部转账!$C:$C,"&lt;="&amp;$D2902,[1]内部转账!$E:$E,$G2902)-SUMIFS([1]内部转账!$G:$G,[1]内部转账!$C:$C,"&lt;="&amp;$D2902,[1]内部转账!$F:$F,$G2902)),"")</f>
        <v/>
      </c>
      <c r="M2902" s="64"/>
      <c r="N2902" s="69"/>
      <c r="O2902" s="64"/>
      <c r="P2902" s="64"/>
      <c r="Q2902" s="69"/>
      <c r="R2902" s="69"/>
      <c r="S2902" s="69"/>
    </row>
    <row r="2903" s="2" customFormat="1" ht="24.95" customHeight="1" spans="1:19">
      <c r="A2903" s="15"/>
      <c r="B2903" s="55"/>
      <c r="C2903" s="56"/>
      <c r="D2903" s="68"/>
      <c r="E2903" s="69"/>
      <c r="F2903" s="69"/>
      <c r="G2903" s="65"/>
      <c r="H2903" s="65"/>
      <c r="I2903" s="70"/>
      <c r="J2903" s="71"/>
      <c r="K2903" s="71"/>
      <c r="L2903" s="72" t="str">
        <f>IFERROR(IF(G2903="","",VLOOKUP($G2903,[1]基础信息!$B:$C,2,FALSE)+SUMIF(G$8:G2903,G2903,J$8:J2903)-SUMIF(G$8:G2903,G2903,K$8:K2903)+SUMIFS([1]内部转账!$G:$G,[1]内部转账!$C:$C,"&lt;="&amp;$D2903,[1]内部转账!$E:$E,$G2903)-SUMIFS([1]内部转账!$G:$G,[1]内部转账!$C:$C,"&lt;="&amp;$D2903,[1]内部转账!$F:$F,$G2903)),"")</f>
        <v/>
      </c>
      <c r="M2903" s="64"/>
      <c r="N2903" s="69"/>
      <c r="O2903" s="64"/>
      <c r="P2903" s="64"/>
      <c r="Q2903" s="69"/>
      <c r="R2903" s="69"/>
      <c r="S2903" s="69"/>
    </row>
    <row r="2904" s="2" customFormat="1" ht="24.95" customHeight="1" spans="1:19">
      <c r="A2904" s="15"/>
      <c r="B2904" s="55"/>
      <c r="C2904" s="56"/>
      <c r="D2904" s="68"/>
      <c r="E2904" s="69"/>
      <c r="F2904" s="69"/>
      <c r="G2904" s="65"/>
      <c r="H2904" s="65"/>
      <c r="I2904" s="70"/>
      <c r="J2904" s="71"/>
      <c r="K2904" s="71"/>
      <c r="L2904" s="72" t="str">
        <f>IFERROR(IF(G2904="","",VLOOKUP($G2904,[1]基础信息!$B:$C,2,FALSE)+SUMIF(G$8:G2904,G2904,J$8:J2904)-SUMIF(G$8:G2904,G2904,K$8:K2904)+SUMIFS([1]内部转账!$G:$G,[1]内部转账!$C:$C,"&lt;="&amp;$D2904,[1]内部转账!$E:$E,$G2904)-SUMIFS([1]内部转账!$G:$G,[1]内部转账!$C:$C,"&lt;="&amp;$D2904,[1]内部转账!$F:$F,$G2904)),"")</f>
        <v/>
      </c>
      <c r="M2904" s="64"/>
      <c r="N2904" s="69"/>
      <c r="O2904" s="64"/>
      <c r="P2904" s="64"/>
      <c r="Q2904" s="69"/>
      <c r="R2904" s="69"/>
      <c r="S2904" s="69"/>
    </row>
    <row r="2905" s="2" customFormat="1" ht="24.95" customHeight="1" spans="1:19">
      <c r="A2905" s="15"/>
      <c r="B2905" s="55"/>
      <c r="C2905" s="56"/>
      <c r="D2905" s="68"/>
      <c r="E2905" s="69"/>
      <c r="F2905" s="69"/>
      <c r="G2905" s="65"/>
      <c r="H2905" s="65"/>
      <c r="I2905" s="70"/>
      <c r="J2905" s="71"/>
      <c r="K2905" s="71"/>
      <c r="L2905" s="72" t="str">
        <f>IFERROR(IF(G2905="","",VLOOKUP($G2905,[1]基础信息!$B:$C,2,FALSE)+SUMIF(G$8:G2905,G2905,J$8:J2905)-SUMIF(G$8:G2905,G2905,K$8:K2905)+SUMIFS([1]内部转账!$G:$G,[1]内部转账!$C:$C,"&lt;="&amp;$D2905,[1]内部转账!$E:$E,$G2905)-SUMIFS([1]内部转账!$G:$G,[1]内部转账!$C:$C,"&lt;="&amp;$D2905,[1]内部转账!$F:$F,$G2905)),"")</f>
        <v/>
      </c>
      <c r="M2905" s="64"/>
      <c r="N2905" s="69"/>
      <c r="O2905" s="64"/>
      <c r="P2905" s="64"/>
      <c r="Q2905" s="69"/>
      <c r="R2905" s="69"/>
      <c r="S2905" s="69"/>
    </row>
    <row r="2906" s="2" customFormat="1" ht="24.95" customHeight="1" spans="1:19">
      <c r="A2906" s="15"/>
      <c r="B2906" s="55"/>
      <c r="C2906" s="56"/>
      <c r="D2906" s="68"/>
      <c r="E2906" s="69"/>
      <c r="F2906" s="69"/>
      <c r="G2906" s="65"/>
      <c r="H2906" s="65"/>
      <c r="I2906" s="70"/>
      <c r="J2906" s="71"/>
      <c r="K2906" s="71"/>
      <c r="L2906" s="72" t="str">
        <f>IFERROR(IF(G2906="","",VLOOKUP($G2906,[1]基础信息!$B:$C,2,FALSE)+SUMIF(G$8:G2906,G2906,J$8:J2906)-SUMIF(G$8:G2906,G2906,K$8:K2906)+SUMIFS([1]内部转账!$G:$G,[1]内部转账!$C:$C,"&lt;="&amp;$D2906,[1]内部转账!$E:$E,$G2906)-SUMIFS([1]内部转账!$G:$G,[1]内部转账!$C:$C,"&lt;="&amp;$D2906,[1]内部转账!$F:$F,$G2906)),"")</f>
        <v/>
      </c>
      <c r="M2906" s="64"/>
      <c r="N2906" s="69"/>
      <c r="O2906" s="64"/>
      <c r="P2906" s="64"/>
      <c r="Q2906" s="69"/>
      <c r="R2906" s="69"/>
      <c r="S2906" s="69"/>
    </row>
    <row r="2907" s="2" customFormat="1" ht="24.95" customHeight="1" spans="1:19">
      <c r="A2907" s="15"/>
      <c r="B2907" s="55"/>
      <c r="C2907" s="56"/>
      <c r="D2907" s="68"/>
      <c r="E2907" s="69"/>
      <c r="F2907" s="69"/>
      <c r="G2907" s="65"/>
      <c r="H2907" s="65"/>
      <c r="I2907" s="70"/>
      <c r="J2907" s="71"/>
      <c r="K2907" s="71"/>
      <c r="L2907" s="72" t="str">
        <f>IFERROR(IF(G2907="","",VLOOKUP($G2907,[1]基础信息!$B:$C,2,FALSE)+SUMIF(G$8:G2907,G2907,J$8:J2907)-SUMIF(G$8:G2907,G2907,K$8:K2907)+SUMIFS([1]内部转账!$G:$G,[1]内部转账!$C:$C,"&lt;="&amp;$D2907,[1]内部转账!$E:$E,$G2907)-SUMIFS([1]内部转账!$G:$G,[1]内部转账!$C:$C,"&lt;="&amp;$D2907,[1]内部转账!$F:$F,$G2907)),"")</f>
        <v/>
      </c>
      <c r="M2907" s="64"/>
      <c r="N2907" s="69"/>
      <c r="O2907" s="64"/>
      <c r="P2907" s="64"/>
      <c r="Q2907" s="69"/>
      <c r="R2907" s="69"/>
      <c r="S2907" s="69"/>
    </row>
    <row r="2908" s="2" customFormat="1" ht="24.95" customHeight="1" spans="1:19">
      <c r="A2908" s="15"/>
      <c r="B2908" s="55"/>
      <c r="C2908" s="56"/>
      <c r="D2908" s="68"/>
      <c r="E2908" s="69"/>
      <c r="F2908" s="69"/>
      <c r="G2908" s="65"/>
      <c r="H2908" s="65"/>
      <c r="I2908" s="70"/>
      <c r="J2908" s="71"/>
      <c r="K2908" s="71"/>
      <c r="L2908" s="72" t="str">
        <f>IFERROR(IF(G2908="","",VLOOKUP($G2908,[1]基础信息!$B:$C,2,FALSE)+SUMIF(G$8:G2908,G2908,J$8:J2908)-SUMIF(G$8:G2908,G2908,K$8:K2908)+SUMIFS([1]内部转账!$G:$G,[1]内部转账!$C:$C,"&lt;="&amp;$D2908,[1]内部转账!$E:$E,$G2908)-SUMIFS([1]内部转账!$G:$G,[1]内部转账!$C:$C,"&lt;="&amp;$D2908,[1]内部转账!$F:$F,$G2908)),"")</f>
        <v/>
      </c>
      <c r="M2908" s="64"/>
      <c r="N2908" s="69"/>
      <c r="O2908" s="64"/>
      <c r="P2908" s="64"/>
      <c r="Q2908" s="69"/>
      <c r="R2908" s="69"/>
      <c r="S2908" s="69"/>
    </row>
    <row r="2909" s="2" customFormat="1" ht="24.95" customHeight="1" spans="1:19">
      <c r="A2909" s="15"/>
      <c r="B2909" s="55"/>
      <c r="C2909" s="56"/>
      <c r="D2909" s="68"/>
      <c r="E2909" s="69"/>
      <c r="F2909" s="69"/>
      <c r="G2909" s="65"/>
      <c r="H2909" s="65"/>
      <c r="I2909" s="70"/>
      <c r="J2909" s="71"/>
      <c r="K2909" s="71"/>
      <c r="L2909" s="72" t="str">
        <f>IFERROR(IF(G2909="","",VLOOKUP($G2909,[1]基础信息!$B:$C,2,FALSE)+SUMIF(G$8:G2909,G2909,J$8:J2909)-SUMIF(G$8:G2909,G2909,K$8:K2909)+SUMIFS([1]内部转账!$G:$G,[1]内部转账!$C:$C,"&lt;="&amp;$D2909,[1]内部转账!$E:$E,$G2909)-SUMIFS([1]内部转账!$G:$G,[1]内部转账!$C:$C,"&lt;="&amp;$D2909,[1]内部转账!$F:$F,$G2909)),"")</f>
        <v/>
      </c>
      <c r="M2909" s="64"/>
      <c r="N2909" s="69"/>
      <c r="O2909" s="64"/>
      <c r="P2909" s="64"/>
      <c r="Q2909" s="69"/>
      <c r="R2909" s="69"/>
      <c r="S2909" s="69"/>
    </row>
    <row r="2910" s="2" customFormat="1" ht="24.95" customHeight="1" spans="1:19">
      <c r="A2910" s="15"/>
      <c r="B2910" s="55"/>
      <c r="C2910" s="56"/>
      <c r="D2910" s="68"/>
      <c r="E2910" s="69"/>
      <c r="F2910" s="69"/>
      <c r="G2910" s="65"/>
      <c r="H2910" s="65"/>
      <c r="I2910" s="70"/>
      <c r="J2910" s="71"/>
      <c r="K2910" s="71"/>
      <c r="L2910" s="72" t="str">
        <f>IFERROR(IF(G2910="","",VLOOKUP($G2910,[1]基础信息!$B:$C,2,FALSE)+SUMIF(G$8:G2910,G2910,J$8:J2910)-SUMIF(G$8:G2910,G2910,K$8:K2910)+SUMIFS([1]内部转账!$G:$G,[1]内部转账!$C:$C,"&lt;="&amp;$D2910,[1]内部转账!$E:$E,$G2910)-SUMIFS([1]内部转账!$G:$G,[1]内部转账!$C:$C,"&lt;="&amp;$D2910,[1]内部转账!$F:$F,$G2910)),"")</f>
        <v/>
      </c>
      <c r="M2910" s="64"/>
      <c r="N2910" s="69"/>
      <c r="O2910" s="64"/>
      <c r="P2910" s="64"/>
      <c r="Q2910" s="69"/>
      <c r="R2910" s="69"/>
      <c r="S2910" s="69"/>
    </row>
    <row r="2911" s="2" customFormat="1" ht="24.95" customHeight="1" spans="1:19">
      <c r="A2911" s="15"/>
      <c r="B2911" s="55"/>
      <c r="C2911" s="56"/>
      <c r="D2911" s="68"/>
      <c r="E2911" s="69"/>
      <c r="F2911" s="69"/>
      <c r="G2911" s="65"/>
      <c r="H2911" s="65"/>
      <c r="I2911" s="70"/>
      <c r="J2911" s="71"/>
      <c r="K2911" s="71"/>
      <c r="L2911" s="72" t="str">
        <f>IFERROR(IF(G2911="","",VLOOKUP($G2911,[1]基础信息!$B:$C,2,FALSE)+SUMIF(G$8:G2911,G2911,J$8:J2911)-SUMIF(G$8:G2911,G2911,K$8:K2911)+SUMIFS([1]内部转账!$G:$G,[1]内部转账!$C:$C,"&lt;="&amp;$D2911,[1]内部转账!$E:$E,$G2911)-SUMIFS([1]内部转账!$G:$G,[1]内部转账!$C:$C,"&lt;="&amp;$D2911,[1]内部转账!$F:$F,$G2911)),"")</f>
        <v/>
      </c>
      <c r="M2911" s="64"/>
      <c r="N2911" s="69"/>
      <c r="O2911" s="64"/>
      <c r="P2911" s="64"/>
      <c r="Q2911" s="69"/>
      <c r="R2911" s="69"/>
      <c r="S2911" s="69"/>
    </row>
    <row r="2912" s="2" customFormat="1" ht="24.95" customHeight="1" spans="1:19">
      <c r="A2912" s="15"/>
      <c r="B2912" s="55"/>
      <c r="C2912" s="56"/>
      <c r="D2912" s="68"/>
      <c r="E2912" s="69"/>
      <c r="F2912" s="69"/>
      <c r="G2912" s="65"/>
      <c r="H2912" s="65"/>
      <c r="I2912" s="70"/>
      <c r="J2912" s="71"/>
      <c r="K2912" s="71"/>
      <c r="L2912" s="72" t="str">
        <f>IFERROR(IF(G2912="","",VLOOKUP($G2912,[1]基础信息!$B:$C,2,FALSE)+SUMIF(G$8:G2912,G2912,J$8:J2912)-SUMIF(G$8:G2912,G2912,K$8:K2912)+SUMIFS([1]内部转账!$G:$G,[1]内部转账!$C:$C,"&lt;="&amp;$D2912,[1]内部转账!$E:$E,$G2912)-SUMIFS([1]内部转账!$G:$G,[1]内部转账!$C:$C,"&lt;="&amp;$D2912,[1]内部转账!$F:$F,$G2912)),"")</f>
        <v/>
      </c>
      <c r="M2912" s="64"/>
      <c r="N2912" s="69"/>
      <c r="O2912" s="64"/>
      <c r="P2912" s="64"/>
      <c r="Q2912" s="69"/>
      <c r="R2912" s="69"/>
      <c r="S2912" s="69"/>
    </row>
    <row r="2913" s="2" customFormat="1" ht="24.95" customHeight="1" spans="1:19">
      <c r="A2913" s="15"/>
      <c r="B2913" s="55"/>
      <c r="C2913" s="56"/>
      <c r="D2913" s="68"/>
      <c r="E2913" s="69"/>
      <c r="F2913" s="69"/>
      <c r="G2913" s="65"/>
      <c r="H2913" s="65"/>
      <c r="I2913" s="70"/>
      <c r="J2913" s="71"/>
      <c r="K2913" s="71"/>
      <c r="L2913" s="72" t="str">
        <f>IFERROR(IF(G2913="","",VLOOKUP($G2913,[1]基础信息!$B:$C,2,FALSE)+SUMIF(G$8:G2913,G2913,J$8:J2913)-SUMIF(G$8:G2913,G2913,K$8:K2913)+SUMIFS([1]内部转账!$G:$G,[1]内部转账!$C:$C,"&lt;="&amp;$D2913,[1]内部转账!$E:$E,$G2913)-SUMIFS([1]内部转账!$G:$G,[1]内部转账!$C:$C,"&lt;="&amp;$D2913,[1]内部转账!$F:$F,$G2913)),"")</f>
        <v/>
      </c>
      <c r="M2913" s="64"/>
      <c r="N2913" s="69"/>
      <c r="O2913" s="64"/>
      <c r="P2913" s="64"/>
      <c r="Q2913" s="69"/>
      <c r="R2913" s="69"/>
      <c r="S2913" s="69"/>
    </row>
    <row r="2914" s="2" customFormat="1" ht="24.95" customHeight="1" spans="1:19">
      <c r="A2914" s="15"/>
      <c r="B2914" s="55"/>
      <c r="C2914" s="56"/>
      <c r="D2914" s="68"/>
      <c r="E2914" s="69"/>
      <c r="F2914" s="69"/>
      <c r="G2914" s="65"/>
      <c r="H2914" s="65"/>
      <c r="I2914" s="70"/>
      <c r="J2914" s="71"/>
      <c r="K2914" s="71"/>
      <c r="L2914" s="72" t="str">
        <f>IFERROR(IF(G2914="","",VLOOKUP($G2914,[1]基础信息!$B:$C,2,FALSE)+SUMIF(G$8:G2914,G2914,J$8:J2914)-SUMIF(G$8:G2914,G2914,K$8:K2914)+SUMIFS([1]内部转账!$G:$G,[1]内部转账!$C:$C,"&lt;="&amp;$D2914,[1]内部转账!$E:$E,$G2914)-SUMIFS([1]内部转账!$G:$G,[1]内部转账!$C:$C,"&lt;="&amp;$D2914,[1]内部转账!$F:$F,$G2914)),"")</f>
        <v/>
      </c>
      <c r="M2914" s="64"/>
      <c r="N2914" s="69"/>
      <c r="O2914" s="64"/>
      <c r="P2914" s="64"/>
      <c r="Q2914" s="69"/>
      <c r="R2914" s="69"/>
      <c r="S2914" s="69"/>
    </row>
    <row r="2915" s="2" customFormat="1" ht="24.95" customHeight="1" spans="1:19">
      <c r="A2915" s="15"/>
      <c r="B2915" s="55"/>
      <c r="C2915" s="56"/>
      <c r="D2915" s="68"/>
      <c r="E2915" s="69"/>
      <c r="F2915" s="69"/>
      <c r="G2915" s="65"/>
      <c r="H2915" s="65"/>
      <c r="I2915" s="70"/>
      <c r="J2915" s="71"/>
      <c r="K2915" s="71"/>
      <c r="L2915" s="72" t="str">
        <f>IFERROR(IF(G2915="","",VLOOKUP($G2915,[1]基础信息!$B:$C,2,FALSE)+SUMIF(G$8:G2915,G2915,J$8:J2915)-SUMIF(G$8:G2915,G2915,K$8:K2915)+SUMIFS([1]内部转账!$G:$G,[1]内部转账!$C:$C,"&lt;="&amp;$D2915,[1]内部转账!$E:$E,$G2915)-SUMIFS([1]内部转账!$G:$G,[1]内部转账!$C:$C,"&lt;="&amp;$D2915,[1]内部转账!$F:$F,$G2915)),"")</f>
        <v/>
      </c>
      <c r="M2915" s="64"/>
      <c r="N2915" s="69"/>
      <c r="O2915" s="64"/>
      <c r="P2915" s="64"/>
      <c r="Q2915" s="69"/>
      <c r="R2915" s="69"/>
      <c r="S2915" s="69"/>
    </row>
    <row r="2916" s="2" customFormat="1" ht="24.95" customHeight="1" spans="1:19">
      <c r="A2916" s="15"/>
      <c r="B2916" s="55"/>
      <c r="C2916" s="56"/>
      <c r="D2916" s="68"/>
      <c r="E2916" s="69"/>
      <c r="F2916" s="69"/>
      <c r="G2916" s="65"/>
      <c r="H2916" s="65"/>
      <c r="I2916" s="70"/>
      <c r="J2916" s="71"/>
      <c r="K2916" s="71"/>
      <c r="L2916" s="72" t="str">
        <f>IFERROR(IF(G2916="","",VLOOKUP($G2916,[1]基础信息!$B:$C,2,FALSE)+SUMIF(G$8:G2916,G2916,J$8:J2916)-SUMIF(G$8:G2916,G2916,K$8:K2916)+SUMIFS([1]内部转账!$G:$G,[1]内部转账!$C:$C,"&lt;="&amp;$D2916,[1]内部转账!$E:$E,$G2916)-SUMIFS([1]内部转账!$G:$G,[1]内部转账!$C:$C,"&lt;="&amp;$D2916,[1]内部转账!$F:$F,$G2916)),"")</f>
        <v/>
      </c>
      <c r="M2916" s="64"/>
      <c r="N2916" s="69"/>
      <c r="O2916" s="64"/>
      <c r="P2916" s="64"/>
      <c r="Q2916" s="69"/>
      <c r="R2916" s="69"/>
      <c r="S2916" s="69"/>
    </row>
    <row r="2917" s="2" customFormat="1" ht="24.95" customHeight="1" spans="1:19">
      <c r="A2917" s="15"/>
      <c r="B2917" s="55"/>
      <c r="C2917" s="56"/>
      <c r="D2917" s="68"/>
      <c r="E2917" s="69"/>
      <c r="F2917" s="69"/>
      <c r="G2917" s="65"/>
      <c r="H2917" s="65"/>
      <c r="I2917" s="70"/>
      <c r="J2917" s="71"/>
      <c r="K2917" s="71"/>
      <c r="L2917" s="72" t="str">
        <f>IFERROR(IF(G2917="","",VLOOKUP($G2917,[1]基础信息!$B:$C,2,FALSE)+SUMIF(G$8:G2917,G2917,J$8:J2917)-SUMIF(G$8:G2917,G2917,K$8:K2917)+SUMIFS([1]内部转账!$G:$G,[1]内部转账!$C:$C,"&lt;="&amp;$D2917,[1]内部转账!$E:$E,$G2917)-SUMIFS([1]内部转账!$G:$G,[1]内部转账!$C:$C,"&lt;="&amp;$D2917,[1]内部转账!$F:$F,$G2917)),"")</f>
        <v/>
      </c>
      <c r="M2917" s="64"/>
      <c r="N2917" s="69"/>
      <c r="O2917" s="64"/>
      <c r="P2917" s="64"/>
      <c r="Q2917" s="69"/>
      <c r="R2917" s="69"/>
      <c r="S2917" s="69"/>
    </row>
    <row r="2918" s="2" customFormat="1" ht="24.95" customHeight="1" spans="1:19">
      <c r="A2918" s="15"/>
      <c r="B2918" s="55"/>
      <c r="C2918" s="56"/>
      <c r="D2918" s="68"/>
      <c r="E2918" s="69"/>
      <c r="F2918" s="69"/>
      <c r="G2918" s="65"/>
      <c r="H2918" s="65"/>
      <c r="I2918" s="70"/>
      <c r="J2918" s="71"/>
      <c r="K2918" s="71"/>
      <c r="L2918" s="72" t="str">
        <f>IFERROR(IF(G2918="","",VLOOKUP($G2918,[1]基础信息!$B:$C,2,FALSE)+SUMIF(G$8:G2918,G2918,J$8:J2918)-SUMIF(G$8:G2918,G2918,K$8:K2918)+SUMIFS([1]内部转账!$G:$G,[1]内部转账!$C:$C,"&lt;="&amp;$D2918,[1]内部转账!$E:$E,$G2918)-SUMIFS([1]内部转账!$G:$G,[1]内部转账!$C:$C,"&lt;="&amp;$D2918,[1]内部转账!$F:$F,$G2918)),"")</f>
        <v/>
      </c>
      <c r="M2918" s="64"/>
      <c r="N2918" s="69"/>
      <c r="O2918" s="64"/>
      <c r="P2918" s="64"/>
      <c r="Q2918" s="69"/>
      <c r="R2918" s="69"/>
      <c r="S2918" s="69"/>
    </row>
    <row r="2919" s="2" customFormat="1" ht="24.95" customHeight="1" spans="1:19">
      <c r="A2919" s="15"/>
      <c r="B2919" s="55"/>
      <c r="C2919" s="56"/>
      <c r="D2919" s="68"/>
      <c r="E2919" s="69"/>
      <c r="F2919" s="69"/>
      <c r="G2919" s="65"/>
      <c r="H2919" s="65"/>
      <c r="I2919" s="70"/>
      <c r="J2919" s="71"/>
      <c r="K2919" s="71"/>
      <c r="L2919" s="72" t="str">
        <f>IFERROR(IF(G2919="","",VLOOKUP($G2919,[1]基础信息!$B:$C,2,FALSE)+SUMIF(G$8:G2919,G2919,J$8:J2919)-SUMIF(G$8:G2919,G2919,K$8:K2919)+SUMIFS([1]内部转账!$G:$G,[1]内部转账!$C:$C,"&lt;="&amp;$D2919,[1]内部转账!$E:$E,$G2919)-SUMIFS([1]内部转账!$G:$G,[1]内部转账!$C:$C,"&lt;="&amp;$D2919,[1]内部转账!$F:$F,$G2919)),"")</f>
        <v/>
      </c>
      <c r="M2919" s="64"/>
      <c r="N2919" s="69"/>
      <c r="O2919" s="64"/>
      <c r="P2919" s="64"/>
      <c r="Q2919" s="69"/>
      <c r="R2919" s="69"/>
      <c r="S2919" s="69"/>
    </row>
    <row r="2920" s="2" customFormat="1" ht="24.95" customHeight="1" spans="1:19">
      <c r="A2920" s="15"/>
      <c r="B2920" s="55"/>
      <c r="C2920" s="56"/>
      <c r="D2920" s="68"/>
      <c r="E2920" s="69"/>
      <c r="F2920" s="69"/>
      <c r="G2920" s="65"/>
      <c r="H2920" s="65"/>
      <c r="I2920" s="70"/>
      <c r="J2920" s="71"/>
      <c r="K2920" s="71"/>
      <c r="L2920" s="72" t="str">
        <f>IFERROR(IF(G2920="","",VLOOKUP($G2920,[1]基础信息!$B:$C,2,FALSE)+SUMIF(G$8:G2920,G2920,J$8:J2920)-SUMIF(G$8:G2920,G2920,K$8:K2920)+SUMIFS([1]内部转账!$G:$G,[1]内部转账!$C:$C,"&lt;="&amp;$D2920,[1]内部转账!$E:$E,$G2920)-SUMIFS([1]内部转账!$G:$G,[1]内部转账!$C:$C,"&lt;="&amp;$D2920,[1]内部转账!$F:$F,$G2920)),"")</f>
        <v/>
      </c>
      <c r="M2920" s="64"/>
      <c r="N2920" s="69"/>
      <c r="O2920" s="64"/>
      <c r="P2920" s="64"/>
      <c r="Q2920" s="69"/>
      <c r="R2920" s="69"/>
      <c r="S2920" s="69"/>
    </row>
    <row r="2921" s="2" customFormat="1" ht="24.95" customHeight="1" spans="1:19">
      <c r="A2921" s="15"/>
      <c r="B2921" s="55"/>
      <c r="C2921" s="56"/>
      <c r="D2921" s="68"/>
      <c r="E2921" s="69"/>
      <c r="F2921" s="69"/>
      <c r="G2921" s="65"/>
      <c r="H2921" s="65"/>
      <c r="I2921" s="70"/>
      <c r="J2921" s="71"/>
      <c r="K2921" s="71"/>
      <c r="L2921" s="72" t="str">
        <f>IFERROR(IF(G2921="","",VLOOKUP($G2921,[1]基础信息!$B:$C,2,FALSE)+SUMIF(G$8:G2921,G2921,J$8:J2921)-SUMIF(G$8:G2921,G2921,K$8:K2921)+SUMIFS([1]内部转账!$G:$G,[1]内部转账!$C:$C,"&lt;="&amp;$D2921,[1]内部转账!$E:$E,$G2921)-SUMIFS([1]内部转账!$G:$G,[1]内部转账!$C:$C,"&lt;="&amp;$D2921,[1]内部转账!$F:$F,$G2921)),"")</f>
        <v/>
      </c>
      <c r="M2921" s="64"/>
      <c r="N2921" s="69"/>
      <c r="O2921" s="64"/>
      <c r="P2921" s="64"/>
      <c r="Q2921" s="69"/>
      <c r="R2921" s="69"/>
      <c r="S2921" s="69"/>
    </row>
    <row r="2922" s="2" customFormat="1" ht="24.95" customHeight="1" spans="1:19">
      <c r="A2922" s="15"/>
      <c r="B2922" s="55"/>
      <c r="C2922" s="56"/>
      <c r="D2922" s="68"/>
      <c r="E2922" s="69"/>
      <c r="F2922" s="69"/>
      <c r="G2922" s="65"/>
      <c r="H2922" s="65"/>
      <c r="I2922" s="70"/>
      <c r="J2922" s="71"/>
      <c r="K2922" s="71"/>
      <c r="L2922" s="72" t="str">
        <f>IFERROR(IF(G2922="","",VLOOKUP($G2922,[1]基础信息!$B:$C,2,FALSE)+SUMIF(G$8:G2922,G2922,J$8:J2922)-SUMIF(G$8:G2922,G2922,K$8:K2922)+SUMIFS([1]内部转账!$G:$G,[1]内部转账!$C:$C,"&lt;="&amp;$D2922,[1]内部转账!$E:$E,$G2922)-SUMIFS([1]内部转账!$G:$G,[1]内部转账!$C:$C,"&lt;="&amp;$D2922,[1]内部转账!$F:$F,$G2922)),"")</f>
        <v/>
      </c>
      <c r="M2922" s="64"/>
      <c r="N2922" s="69"/>
      <c r="O2922" s="64"/>
      <c r="P2922" s="64"/>
      <c r="Q2922" s="69"/>
      <c r="R2922" s="69"/>
      <c r="S2922" s="69"/>
    </row>
    <row r="2923" s="2" customFormat="1" ht="24.95" customHeight="1" spans="1:19">
      <c r="A2923" s="15"/>
      <c r="B2923" s="55"/>
      <c r="C2923" s="56"/>
      <c r="D2923" s="68"/>
      <c r="E2923" s="69"/>
      <c r="F2923" s="69"/>
      <c r="G2923" s="65"/>
      <c r="H2923" s="65"/>
      <c r="I2923" s="70"/>
      <c r="J2923" s="71"/>
      <c r="K2923" s="71"/>
      <c r="L2923" s="72" t="str">
        <f>IFERROR(IF(G2923="","",VLOOKUP($G2923,[1]基础信息!$B:$C,2,FALSE)+SUMIF(G$8:G2923,G2923,J$8:J2923)-SUMIF(G$8:G2923,G2923,K$8:K2923)+SUMIFS([1]内部转账!$G:$G,[1]内部转账!$C:$C,"&lt;="&amp;$D2923,[1]内部转账!$E:$E,$G2923)-SUMIFS([1]内部转账!$G:$G,[1]内部转账!$C:$C,"&lt;="&amp;$D2923,[1]内部转账!$F:$F,$G2923)),"")</f>
        <v/>
      </c>
      <c r="M2923" s="64"/>
      <c r="N2923" s="69"/>
      <c r="O2923" s="64"/>
      <c r="P2923" s="64"/>
      <c r="Q2923" s="69"/>
      <c r="R2923" s="69"/>
      <c r="S2923" s="69"/>
    </row>
    <row r="2924" s="2" customFormat="1" ht="24.95" customHeight="1" spans="1:19">
      <c r="A2924" s="15"/>
      <c r="B2924" s="55"/>
      <c r="C2924" s="56"/>
      <c r="D2924" s="68"/>
      <c r="E2924" s="69"/>
      <c r="F2924" s="69"/>
      <c r="G2924" s="65"/>
      <c r="H2924" s="65"/>
      <c r="I2924" s="70"/>
      <c r="J2924" s="71"/>
      <c r="K2924" s="71"/>
      <c r="L2924" s="72" t="str">
        <f>IFERROR(IF(G2924="","",VLOOKUP($G2924,[1]基础信息!$B:$C,2,FALSE)+SUMIF(G$8:G2924,G2924,J$8:J2924)-SUMIF(G$8:G2924,G2924,K$8:K2924)+SUMIFS([1]内部转账!$G:$G,[1]内部转账!$C:$C,"&lt;="&amp;$D2924,[1]内部转账!$E:$E,$G2924)-SUMIFS([1]内部转账!$G:$G,[1]内部转账!$C:$C,"&lt;="&amp;$D2924,[1]内部转账!$F:$F,$G2924)),"")</f>
        <v/>
      </c>
      <c r="M2924" s="64"/>
      <c r="N2924" s="69"/>
      <c r="O2924" s="64"/>
      <c r="P2924" s="64"/>
      <c r="Q2924" s="69"/>
      <c r="R2924" s="69"/>
      <c r="S2924" s="69"/>
    </row>
    <row r="2925" s="2" customFormat="1" ht="24.95" customHeight="1" spans="1:19">
      <c r="A2925" s="15"/>
      <c r="B2925" s="55"/>
      <c r="C2925" s="56"/>
      <c r="D2925" s="68"/>
      <c r="E2925" s="69"/>
      <c r="F2925" s="69"/>
      <c r="G2925" s="65"/>
      <c r="H2925" s="65"/>
      <c r="I2925" s="70"/>
      <c r="J2925" s="71"/>
      <c r="K2925" s="71"/>
      <c r="L2925" s="72" t="str">
        <f>IFERROR(IF(G2925="","",VLOOKUP($G2925,[1]基础信息!$B:$C,2,FALSE)+SUMIF(G$8:G2925,G2925,J$8:J2925)-SUMIF(G$8:G2925,G2925,K$8:K2925)+SUMIFS([1]内部转账!$G:$G,[1]内部转账!$C:$C,"&lt;="&amp;$D2925,[1]内部转账!$E:$E,$G2925)-SUMIFS([1]内部转账!$G:$G,[1]内部转账!$C:$C,"&lt;="&amp;$D2925,[1]内部转账!$F:$F,$G2925)),"")</f>
        <v/>
      </c>
      <c r="M2925" s="64"/>
      <c r="N2925" s="69"/>
      <c r="O2925" s="64"/>
      <c r="P2925" s="64"/>
      <c r="Q2925" s="69"/>
      <c r="R2925" s="69"/>
      <c r="S2925" s="69"/>
    </row>
    <row r="2926" s="2" customFormat="1" ht="24.95" customHeight="1" spans="1:19">
      <c r="A2926" s="15"/>
      <c r="B2926" s="55"/>
      <c r="C2926" s="56"/>
      <c r="D2926" s="68"/>
      <c r="E2926" s="69"/>
      <c r="F2926" s="69"/>
      <c r="G2926" s="65"/>
      <c r="H2926" s="65"/>
      <c r="I2926" s="70"/>
      <c r="J2926" s="71"/>
      <c r="K2926" s="71"/>
      <c r="L2926" s="72" t="str">
        <f>IFERROR(IF(G2926="","",VLOOKUP($G2926,[1]基础信息!$B:$C,2,FALSE)+SUMIF(G$8:G2926,G2926,J$8:J2926)-SUMIF(G$8:G2926,G2926,K$8:K2926)+SUMIFS([1]内部转账!$G:$G,[1]内部转账!$C:$C,"&lt;="&amp;$D2926,[1]内部转账!$E:$E,$G2926)-SUMIFS([1]内部转账!$G:$G,[1]内部转账!$C:$C,"&lt;="&amp;$D2926,[1]内部转账!$F:$F,$G2926)),"")</f>
        <v/>
      </c>
      <c r="M2926" s="64"/>
      <c r="N2926" s="69"/>
      <c r="O2926" s="64"/>
      <c r="P2926" s="64"/>
      <c r="Q2926" s="69"/>
      <c r="R2926" s="69"/>
      <c r="S2926" s="69"/>
    </row>
    <row r="2927" s="2" customFormat="1" ht="24.95" customHeight="1" spans="1:19">
      <c r="A2927" s="15"/>
      <c r="B2927" s="55"/>
      <c r="C2927" s="56"/>
      <c r="D2927" s="68"/>
      <c r="E2927" s="69"/>
      <c r="F2927" s="69"/>
      <c r="G2927" s="65"/>
      <c r="H2927" s="65"/>
      <c r="I2927" s="70"/>
      <c r="J2927" s="71"/>
      <c r="K2927" s="71"/>
      <c r="L2927" s="72" t="str">
        <f>IFERROR(IF(G2927="","",VLOOKUP($G2927,[1]基础信息!$B:$C,2,FALSE)+SUMIF(G$8:G2927,G2927,J$8:J2927)-SUMIF(G$8:G2927,G2927,K$8:K2927)+SUMIFS([1]内部转账!$G:$G,[1]内部转账!$C:$C,"&lt;="&amp;$D2927,[1]内部转账!$E:$E,$G2927)-SUMIFS([1]内部转账!$G:$G,[1]内部转账!$C:$C,"&lt;="&amp;$D2927,[1]内部转账!$F:$F,$G2927)),"")</f>
        <v/>
      </c>
      <c r="M2927" s="64"/>
      <c r="N2927" s="69"/>
      <c r="O2927" s="64"/>
      <c r="P2927" s="64"/>
      <c r="Q2927" s="69"/>
      <c r="R2927" s="69"/>
      <c r="S2927" s="69"/>
    </row>
    <row r="2928" s="2" customFormat="1" ht="24.95" customHeight="1" spans="1:19">
      <c r="A2928" s="15"/>
      <c r="B2928" s="55"/>
      <c r="C2928" s="56"/>
      <c r="D2928" s="68"/>
      <c r="E2928" s="69"/>
      <c r="F2928" s="69"/>
      <c r="G2928" s="65"/>
      <c r="H2928" s="65"/>
      <c r="I2928" s="70"/>
      <c r="J2928" s="71"/>
      <c r="K2928" s="71"/>
      <c r="L2928" s="72" t="str">
        <f>IFERROR(IF(G2928="","",VLOOKUP($G2928,[1]基础信息!$B:$C,2,FALSE)+SUMIF(G$8:G2928,G2928,J$8:J2928)-SUMIF(G$8:G2928,G2928,K$8:K2928)+SUMIFS([1]内部转账!$G:$G,[1]内部转账!$C:$C,"&lt;="&amp;$D2928,[1]内部转账!$E:$E,$G2928)-SUMIFS([1]内部转账!$G:$G,[1]内部转账!$C:$C,"&lt;="&amp;$D2928,[1]内部转账!$F:$F,$G2928)),"")</f>
        <v/>
      </c>
      <c r="M2928" s="64"/>
      <c r="N2928" s="69"/>
      <c r="O2928" s="64"/>
      <c r="P2928" s="64"/>
      <c r="Q2928" s="69"/>
      <c r="R2928" s="69"/>
      <c r="S2928" s="69"/>
    </row>
    <row r="2929" s="2" customFormat="1" ht="24.95" customHeight="1" spans="1:19">
      <c r="A2929" s="15"/>
      <c r="B2929" s="55"/>
      <c r="C2929" s="56"/>
      <c r="D2929" s="68"/>
      <c r="E2929" s="69"/>
      <c r="F2929" s="69"/>
      <c r="G2929" s="65"/>
      <c r="H2929" s="65"/>
      <c r="I2929" s="70"/>
      <c r="J2929" s="71"/>
      <c r="K2929" s="71"/>
      <c r="L2929" s="72" t="str">
        <f>IFERROR(IF(G2929="","",VLOOKUP($G2929,[1]基础信息!$B:$C,2,FALSE)+SUMIF(G$8:G2929,G2929,J$8:J2929)-SUMIF(G$8:G2929,G2929,K$8:K2929)+SUMIFS([1]内部转账!$G:$G,[1]内部转账!$C:$C,"&lt;="&amp;$D2929,[1]内部转账!$E:$E,$G2929)-SUMIFS([1]内部转账!$G:$G,[1]内部转账!$C:$C,"&lt;="&amp;$D2929,[1]内部转账!$F:$F,$G2929)),"")</f>
        <v/>
      </c>
      <c r="M2929" s="64"/>
      <c r="N2929" s="69"/>
      <c r="O2929" s="64"/>
      <c r="P2929" s="64"/>
      <c r="Q2929" s="69"/>
      <c r="R2929" s="69"/>
      <c r="S2929" s="69"/>
    </row>
    <row r="2930" s="2" customFormat="1" ht="24.95" customHeight="1" spans="1:19">
      <c r="A2930" s="15"/>
      <c r="B2930" s="55"/>
      <c r="C2930" s="56"/>
      <c r="D2930" s="68"/>
      <c r="E2930" s="69"/>
      <c r="F2930" s="69"/>
      <c r="G2930" s="65"/>
      <c r="H2930" s="65"/>
      <c r="I2930" s="70"/>
      <c r="J2930" s="71"/>
      <c r="K2930" s="71"/>
      <c r="L2930" s="72" t="str">
        <f>IFERROR(IF(G2930="","",VLOOKUP($G2930,[1]基础信息!$B:$C,2,FALSE)+SUMIF(G$8:G2930,G2930,J$8:J2930)-SUMIF(G$8:G2930,G2930,K$8:K2930)+SUMIFS([1]内部转账!$G:$G,[1]内部转账!$C:$C,"&lt;="&amp;$D2930,[1]内部转账!$E:$E,$G2930)-SUMIFS([1]内部转账!$G:$G,[1]内部转账!$C:$C,"&lt;="&amp;$D2930,[1]内部转账!$F:$F,$G2930)),"")</f>
        <v/>
      </c>
      <c r="M2930" s="64"/>
      <c r="N2930" s="69"/>
      <c r="O2930" s="64"/>
      <c r="P2930" s="64"/>
      <c r="Q2930" s="69"/>
      <c r="R2930" s="69"/>
      <c r="S2930" s="69"/>
    </row>
    <row r="2931" s="2" customFormat="1" ht="24.95" customHeight="1" spans="1:19">
      <c r="A2931" s="15"/>
      <c r="B2931" s="55"/>
      <c r="C2931" s="56"/>
      <c r="D2931" s="68"/>
      <c r="E2931" s="69"/>
      <c r="F2931" s="69"/>
      <c r="G2931" s="65"/>
      <c r="H2931" s="65"/>
      <c r="I2931" s="70"/>
      <c r="J2931" s="71"/>
      <c r="K2931" s="71"/>
      <c r="L2931" s="72" t="str">
        <f>IFERROR(IF(G2931="","",VLOOKUP($G2931,[1]基础信息!$B:$C,2,FALSE)+SUMIF(G$8:G2931,G2931,J$8:J2931)-SUMIF(G$8:G2931,G2931,K$8:K2931)+SUMIFS([1]内部转账!$G:$G,[1]内部转账!$C:$C,"&lt;="&amp;$D2931,[1]内部转账!$E:$E,$G2931)-SUMIFS([1]内部转账!$G:$G,[1]内部转账!$C:$C,"&lt;="&amp;$D2931,[1]内部转账!$F:$F,$G2931)),"")</f>
        <v/>
      </c>
      <c r="M2931" s="64"/>
      <c r="N2931" s="69"/>
      <c r="O2931" s="64"/>
      <c r="P2931" s="64"/>
      <c r="Q2931" s="69"/>
      <c r="R2931" s="69"/>
      <c r="S2931" s="69"/>
    </row>
    <row r="2932" s="2" customFormat="1" ht="24.95" customHeight="1" spans="1:19">
      <c r="A2932" s="15"/>
      <c r="B2932" s="55"/>
      <c r="C2932" s="56"/>
      <c r="D2932" s="68"/>
      <c r="E2932" s="69"/>
      <c r="F2932" s="69"/>
      <c r="G2932" s="65"/>
      <c r="H2932" s="65"/>
      <c r="I2932" s="70"/>
      <c r="J2932" s="71"/>
      <c r="K2932" s="71"/>
      <c r="L2932" s="72" t="str">
        <f>IFERROR(IF(G2932="","",VLOOKUP($G2932,[1]基础信息!$B:$C,2,FALSE)+SUMIF(G$8:G2932,G2932,J$8:J2932)-SUMIF(G$8:G2932,G2932,K$8:K2932)+SUMIFS([1]内部转账!$G:$G,[1]内部转账!$C:$C,"&lt;="&amp;$D2932,[1]内部转账!$E:$E,$G2932)-SUMIFS([1]内部转账!$G:$G,[1]内部转账!$C:$C,"&lt;="&amp;$D2932,[1]内部转账!$F:$F,$G2932)),"")</f>
        <v/>
      </c>
      <c r="M2932" s="64"/>
      <c r="N2932" s="69"/>
      <c r="O2932" s="64"/>
      <c r="P2932" s="64"/>
      <c r="Q2932" s="69"/>
      <c r="R2932" s="69"/>
      <c r="S2932" s="69"/>
    </row>
    <row r="2933" s="2" customFormat="1" ht="24.95" customHeight="1" spans="1:19">
      <c r="A2933" s="15"/>
      <c r="B2933" s="55"/>
      <c r="C2933" s="56"/>
      <c r="D2933" s="68"/>
      <c r="E2933" s="69"/>
      <c r="F2933" s="69"/>
      <c r="G2933" s="65"/>
      <c r="H2933" s="65"/>
      <c r="I2933" s="70"/>
      <c r="J2933" s="71"/>
      <c r="K2933" s="71"/>
      <c r="L2933" s="72" t="str">
        <f>IFERROR(IF(G2933="","",VLOOKUP($G2933,[1]基础信息!$B:$C,2,FALSE)+SUMIF(G$8:G2933,G2933,J$8:J2933)-SUMIF(G$8:G2933,G2933,K$8:K2933)+SUMIFS([1]内部转账!$G:$G,[1]内部转账!$C:$C,"&lt;="&amp;$D2933,[1]内部转账!$E:$E,$G2933)-SUMIFS([1]内部转账!$G:$G,[1]内部转账!$C:$C,"&lt;="&amp;$D2933,[1]内部转账!$F:$F,$G2933)),"")</f>
        <v/>
      </c>
      <c r="M2933" s="64"/>
      <c r="N2933" s="69"/>
      <c r="O2933" s="64"/>
      <c r="P2933" s="64"/>
      <c r="Q2933" s="69"/>
      <c r="R2933" s="69"/>
      <c r="S2933" s="69"/>
    </row>
    <row r="2934" s="2" customFormat="1" ht="24.95" customHeight="1" spans="1:19">
      <c r="A2934" s="15"/>
      <c r="B2934" s="55"/>
      <c r="C2934" s="56"/>
      <c r="D2934" s="68"/>
      <c r="E2934" s="69"/>
      <c r="F2934" s="69"/>
      <c r="G2934" s="65"/>
      <c r="H2934" s="65"/>
      <c r="I2934" s="70"/>
      <c r="J2934" s="71"/>
      <c r="K2934" s="71"/>
      <c r="L2934" s="72" t="str">
        <f>IFERROR(IF(G2934="","",VLOOKUP($G2934,[1]基础信息!$B:$C,2,FALSE)+SUMIF(G$8:G2934,G2934,J$8:J2934)-SUMIF(G$8:G2934,G2934,K$8:K2934)+SUMIFS([1]内部转账!$G:$G,[1]内部转账!$C:$C,"&lt;="&amp;$D2934,[1]内部转账!$E:$E,$G2934)-SUMIFS([1]内部转账!$G:$G,[1]内部转账!$C:$C,"&lt;="&amp;$D2934,[1]内部转账!$F:$F,$G2934)),"")</f>
        <v/>
      </c>
      <c r="M2934" s="64"/>
      <c r="N2934" s="69"/>
      <c r="O2934" s="64"/>
      <c r="P2934" s="64"/>
      <c r="Q2934" s="69"/>
      <c r="R2934" s="69"/>
      <c r="S2934" s="69"/>
    </row>
    <row r="2935" s="2" customFormat="1" ht="24.95" customHeight="1" spans="1:19">
      <c r="A2935" s="15"/>
      <c r="B2935" s="55"/>
      <c r="C2935" s="56"/>
      <c r="D2935" s="68"/>
      <c r="E2935" s="69"/>
      <c r="F2935" s="69"/>
      <c r="G2935" s="65"/>
      <c r="H2935" s="65"/>
      <c r="I2935" s="70"/>
      <c r="J2935" s="71"/>
      <c r="K2935" s="71"/>
      <c r="L2935" s="72" t="str">
        <f>IFERROR(IF(G2935="","",VLOOKUP($G2935,[1]基础信息!$B:$C,2,FALSE)+SUMIF(G$8:G2935,G2935,J$8:J2935)-SUMIF(G$8:G2935,G2935,K$8:K2935)+SUMIFS([1]内部转账!$G:$G,[1]内部转账!$C:$C,"&lt;="&amp;$D2935,[1]内部转账!$E:$E,$G2935)-SUMIFS([1]内部转账!$G:$G,[1]内部转账!$C:$C,"&lt;="&amp;$D2935,[1]内部转账!$F:$F,$G2935)),"")</f>
        <v/>
      </c>
      <c r="M2935" s="64"/>
      <c r="N2935" s="69"/>
      <c r="O2935" s="64"/>
      <c r="P2935" s="64"/>
      <c r="Q2935" s="69"/>
      <c r="R2935" s="69"/>
      <c r="S2935" s="69"/>
    </row>
    <row r="2936" s="2" customFormat="1" ht="24.95" customHeight="1" spans="1:19">
      <c r="A2936" s="15"/>
      <c r="B2936" s="55"/>
      <c r="C2936" s="56"/>
      <c r="D2936" s="68"/>
      <c r="E2936" s="69"/>
      <c r="F2936" s="69"/>
      <c r="G2936" s="65"/>
      <c r="H2936" s="65"/>
      <c r="I2936" s="70"/>
      <c r="J2936" s="71"/>
      <c r="K2936" s="71"/>
      <c r="L2936" s="72" t="str">
        <f>IFERROR(IF(G2936="","",VLOOKUP($G2936,[1]基础信息!$B:$C,2,FALSE)+SUMIF(G$8:G2936,G2936,J$8:J2936)-SUMIF(G$8:G2936,G2936,K$8:K2936)+SUMIFS([1]内部转账!$G:$G,[1]内部转账!$C:$C,"&lt;="&amp;$D2936,[1]内部转账!$E:$E,$G2936)-SUMIFS([1]内部转账!$G:$G,[1]内部转账!$C:$C,"&lt;="&amp;$D2936,[1]内部转账!$F:$F,$G2936)),"")</f>
        <v/>
      </c>
      <c r="M2936" s="64"/>
      <c r="N2936" s="69"/>
      <c r="O2936" s="64"/>
      <c r="P2936" s="64"/>
      <c r="Q2936" s="69"/>
      <c r="R2936" s="69"/>
      <c r="S2936" s="69"/>
    </row>
    <row r="2937" s="2" customFormat="1" ht="24.95" customHeight="1" spans="1:19">
      <c r="A2937" s="15"/>
      <c r="B2937" s="55"/>
      <c r="C2937" s="56"/>
      <c r="D2937" s="68"/>
      <c r="E2937" s="69"/>
      <c r="F2937" s="69"/>
      <c r="G2937" s="65"/>
      <c r="H2937" s="65"/>
      <c r="I2937" s="70"/>
      <c r="J2937" s="71"/>
      <c r="K2937" s="71"/>
      <c r="L2937" s="72" t="str">
        <f>IFERROR(IF(G2937="","",VLOOKUP($G2937,[1]基础信息!$B:$C,2,FALSE)+SUMIF(G$8:G2937,G2937,J$8:J2937)-SUMIF(G$8:G2937,G2937,K$8:K2937)+SUMIFS([1]内部转账!$G:$G,[1]内部转账!$C:$C,"&lt;="&amp;$D2937,[1]内部转账!$E:$E,$G2937)-SUMIFS([1]内部转账!$G:$G,[1]内部转账!$C:$C,"&lt;="&amp;$D2937,[1]内部转账!$F:$F,$G2937)),"")</f>
        <v/>
      </c>
      <c r="M2937" s="64"/>
      <c r="N2937" s="69"/>
      <c r="O2937" s="64"/>
      <c r="P2937" s="64"/>
      <c r="Q2937" s="69"/>
      <c r="R2937" s="69"/>
      <c r="S2937" s="69"/>
    </row>
    <row r="2938" s="2" customFormat="1" ht="24.95" customHeight="1" spans="1:19">
      <c r="A2938" s="15"/>
      <c r="B2938" s="55"/>
      <c r="C2938" s="56"/>
      <c r="D2938" s="68"/>
      <c r="E2938" s="69"/>
      <c r="F2938" s="69"/>
      <c r="G2938" s="65"/>
      <c r="H2938" s="65"/>
      <c r="I2938" s="70"/>
      <c r="J2938" s="71"/>
      <c r="K2938" s="71"/>
      <c r="L2938" s="72" t="str">
        <f>IFERROR(IF(G2938="","",VLOOKUP($G2938,[1]基础信息!$B:$C,2,FALSE)+SUMIF(G$8:G2938,G2938,J$8:J2938)-SUMIF(G$8:G2938,G2938,K$8:K2938)+SUMIFS([1]内部转账!$G:$G,[1]内部转账!$C:$C,"&lt;="&amp;$D2938,[1]内部转账!$E:$E,$G2938)-SUMIFS([1]内部转账!$G:$G,[1]内部转账!$C:$C,"&lt;="&amp;$D2938,[1]内部转账!$F:$F,$G2938)),"")</f>
        <v/>
      </c>
      <c r="M2938" s="64"/>
      <c r="N2938" s="69"/>
      <c r="O2938" s="64"/>
      <c r="P2938" s="64"/>
      <c r="Q2938" s="69"/>
      <c r="R2938" s="69"/>
      <c r="S2938" s="69"/>
    </row>
    <row r="2939" s="2" customFormat="1" ht="24.95" customHeight="1" spans="1:19">
      <c r="A2939" s="15"/>
      <c r="B2939" s="55"/>
      <c r="C2939" s="56"/>
      <c r="D2939" s="68"/>
      <c r="E2939" s="69"/>
      <c r="F2939" s="69"/>
      <c r="G2939" s="65"/>
      <c r="H2939" s="65"/>
      <c r="I2939" s="70"/>
      <c r="J2939" s="71"/>
      <c r="K2939" s="71"/>
      <c r="L2939" s="72" t="str">
        <f>IFERROR(IF(G2939="","",VLOOKUP($G2939,[1]基础信息!$B:$C,2,FALSE)+SUMIF(G$8:G2939,G2939,J$8:J2939)-SUMIF(G$8:G2939,G2939,K$8:K2939)+SUMIFS([1]内部转账!$G:$G,[1]内部转账!$C:$C,"&lt;="&amp;$D2939,[1]内部转账!$E:$E,$G2939)-SUMIFS([1]内部转账!$G:$G,[1]内部转账!$C:$C,"&lt;="&amp;$D2939,[1]内部转账!$F:$F,$G2939)),"")</f>
        <v/>
      </c>
      <c r="M2939" s="64"/>
      <c r="N2939" s="69"/>
      <c r="O2939" s="64"/>
      <c r="P2939" s="64"/>
      <c r="Q2939" s="69"/>
      <c r="R2939" s="69"/>
      <c r="S2939" s="69"/>
    </row>
    <row r="2940" s="2" customFormat="1" ht="24.95" customHeight="1" spans="1:19">
      <c r="A2940" s="15"/>
      <c r="B2940" s="55"/>
      <c r="C2940" s="56"/>
      <c r="D2940" s="68"/>
      <c r="E2940" s="69"/>
      <c r="F2940" s="69"/>
      <c r="G2940" s="65"/>
      <c r="H2940" s="65"/>
      <c r="I2940" s="70"/>
      <c r="J2940" s="71"/>
      <c r="K2940" s="71"/>
      <c r="L2940" s="72" t="str">
        <f>IFERROR(IF(G2940="","",VLOOKUP($G2940,[1]基础信息!$B:$C,2,FALSE)+SUMIF(G$8:G2940,G2940,J$8:J2940)-SUMIF(G$8:G2940,G2940,K$8:K2940)+SUMIFS([1]内部转账!$G:$G,[1]内部转账!$C:$C,"&lt;="&amp;$D2940,[1]内部转账!$E:$E,$G2940)-SUMIFS([1]内部转账!$G:$G,[1]内部转账!$C:$C,"&lt;="&amp;$D2940,[1]内部转账!$F:$F,$G2940)),"")</f>
        <v/>
      </c>
      <c r="M2940" s="64"/>
      <c r="N2940" s="69"/>
      <c r="O2940" s="64"/>
      <c r="P2940" s="64"/>
      <c r="Q2940" s="69"/>
      <c r="R2940" s="69"/>
      <c r="S2940" s="69"/>
    </row>
    <row r="2941" s="2" customFormat="1" ht="24.95" customHeight="1" spans="1:19">
      <c r="A2941" s="15"/>
      <c r="B2941" s="55"/>
      <c r="C2941" s="56"/>
      <c r="D2941" s="68"/>
      <c r="E2941" s="69"/>
      <c r="F2941" s="69"/>
      <c r="G2941" s="65"/>
      <c r="H2941" s="65"/>
      <c r="I2941" s="70"/>
      <c r="J2941" s="71"/>
      <c r="K2941" s="71"/>
      <c r="L2941" s="72" t="str">
        <f>IFERROR(IF(G2941="","",VLOOKUP($G2941,[1]基础信息!$B:$C,2,FALSE)+SUMIF(G$8:G2941,G2941,J$8:J2941)-SUMIF(G$8:G2941,G2941,K$8:K2941)+SUMIFS([1]内部转账!$G:$G,[1]内部转账!$C:$C,"&lt;="&amp;$D2941,[1]内部转账!$E:$E,$G2941)-SUMIFS([1]内部转账!$G:$G,[1]内部转账!$C:$C,"&lt;="&amp;$D2941,[1]内部转账!$F:$F,$G2941)),"")</f>
        <v/>
      </c>
      <c r="M2941" s="64"/>
      <c r="N2941" s="69"/>
      <c r="O2941" s="64"/>
      <c r="P2941" s="64"/>
      <c r="Q2941" s="69"/>
      <c r="R2941" s="69"/>
      <c r="S2941" s="69"/>
    </row>
    <row r="2942" s="2" customFormat="1" ht="24.95" customHeight="1" spans="1:19">
      <c r="A2942" s="15"/>
      <c r="B2942" s="55"/>
      <c r="C2942" s="56"/>
      <c r="D2942" s="68"/>
      <c r="E2942" s="69"/>
      <c r="F2942" s="69"/>
      <c r="G2942" s="65"/>
      <c r="H2942" s="65"/>
      <c r="I2942" s="70"/>
      <c r="J2942" s="71"/>
      <c r="K2942" s="71"/>
      <c r="L2942" s="72" t="str">
        <f>IFERROR(IF(G2942="","",VLOOKUP($G2942,[1]基础信息!$B:$C,2,FALSE)+SUMIF(G$8:G2942,G2942,J$8:J2942)-SUMIF(G$8:G2942,G2942,K$8:K2942)+SUMIFS([1]内部转账!$G:$G,[1]内部转账!$C:$C,"&lt;="&amp;$D2942,[1]内部转账!$E:$E,$G2942)-SUMIFS([1]内部转账!$G:$G,[1]内部转账!$C:$C,"&lt;="&amp;$D2942,[1]内部转账!$F:$F,$G2942)),"")</f>
        <v/>
      </c>
      <c r="M2942" s="64"/>
      <c r="N2942" s="69"/>
      <c r="O2942" s="64"/>
      <c r="P2942" s="64"/>
      <c r="Q2942" s="69"/>
      <c r="R2942" s="69"/>
      <c r="S2942" s="69"/>
    </row>
    <row r="2943" s="2" customFormat="1" ht="24.95" customHeight="1" spans="1:19">
      <c r="A2943" s="15"/>
      <c r="B2943" s="55"/>
      <c r="C2943" s="56"/>
      <c r="D2943" s="68"/>
      <c r="E2943" s="69"/>
      <c r="F2943" s="69"/>
      <c r="G2943" s="65"/>
      <c r="H2943" s="65"/>
      <c r="I2943" s="70"/>
      <c r="J2943" s="71"/>
      <c r="K2943" s="71"/>
      <c r="L2943" s="72" t="str">
        <f>IFERROR(IF(G2943="","",VLOOKUP($G2943,[1]基础信息!$B:$C,2,FALSE)+SUMIF(G$8:G2943,G2943,J$8:J2943)-SUMIF(G$8:G2943,G2943,K$8:K2943)+SUMIFS([1]内部转账!$G:$G,[1]内部转账!$C:$C,"&lt;="&amp;$D2943,[1]内部转账!$E:$E,$G2943)-SUMIFS([1]内部转账!$G:$G,[1]内部转账!$C:$C,"&lt;="&amp;$D2943,[1]内部转账!$F:$F,$G2943)),"")</f>
        <v/>
      </c>
      <c r="M2943" s="64"/>
      <c r="N2943" s="69"/>
      <c r="O2943" s="64"/>
      <c r="P2943" s="64"/>
      <c r="Q2943" s="69"/>
      <c r="R2943" s="69"/>
      <c r="S2943" s="69"/>
    </row>
    <row r="2944" s="2" customFormat="1" ht="24.95" customHeight="1" spans="1:19">
      <c r="A2944" s="15"/>
      <c r="B2944" s="55"/>
      <c r="C2944" s="56"/>
      <c r="D2944" s="68"/>
      <c r="E2944" s="69"/>
      <c r="F2944" s="69"/>
      <c r="G2944" s="65"/>
      <c r="H2944" s="65"/>
      <c r="I2944" s="70"/>
      <c r="J2944" s="71"/>
      <c r="K2944" s="71"/>
      <c r="L2944" s="72" t="str">
        <f>IFERROR(IF(G2944="","",VLOOKUP($G2944,[1]基础信息!$B:$C,2,FALSE)+SUMIF(G$8:G2944,G2944,J$8:J2944)-SUMIF(G$8:G2944,G2944,K$8:K2944)+SUMIFS([1]内部转账!$G:$G,[1]内部转账!$C:$C,"&lt;="&amp;$D2944,[1]内部转账!$E:$E,$G2944)-SUMIFS([1]内部转账!$G:$G,[1]内部转账!$C:$C,"&lt;="&amp;$D2944,[1]内部转账!$F:$F,$G2944)),"")</f>
        <v/>
      </c>
      <c r="M2944" s="64"/>
      <c r="N2944" s="69"/>
      <c r="O2944" s="64"/>
      <c r="P2944" s="64"/>
      <c r="Q2944" s="69"/>
      <c r="R2944" s="69"/>
      <c r="S2944" s="69"/>
    </row>
    <row r="2945" s="2" customFormat="1" ht="24.95" customHeight="1" spans="1:19">
      <c r="A2945" s="15"/>
      <c r="B2945" s="55"/>
      <c r="C2945" s="56"/>
      <c r="D2945" s="68"/>
      <c r="E2945" s="69"/>
      <c r="F2945" s="69"/>
      <c r="G2945" s="65"/>
      <c r="H2945" s="65"/>
      <c r="I2945" s="70"/>
      <c r="J2945" s="71"/>
      <c r="K2945" s="71"/>
      <c r="L2945" s="72" t="str">
        <f>IFERROR(IF(G2945="","",VLOOKUP($G2945,[1]基础信息!$B:$C,2,FALSE)+SUMIF(G$8:G2945,G2945,J$8:J2945)-SUMIF(G$8:G2945,G2945,K$8:K2945)+SUMIFS([1]内部转账!$G:$G,[1]内部转账!$C:$C,"&lt;="&amp;$D2945,[1]内部转账!$E:$E,$G2945)-SUMIFS([1]内部转账!$G:$G,[1]内部转账!$C:$C,"&lt;="&amp;$D2945,[1]内部转账!$F:$F,$G2945)),"")</f>
        <v/>
      </c>
      <c r="M2945" s="64"/>
      <c r="N2945" s="69"/>
      <c r="O2945" s="64"/>
      <c r="P2945" s="64"/>
      <c r="Q2945" s="69"/>
      <c r="R2945" s="69"/>
      <c r="S2945" s="69"/>
    </row>
    <row r="2946" s="2" customFormat="1" ht="24.95" customHeight="1" spans="1:19">
      <c r="A2946" s="15"/>
      <c r="B2946" s="55"/>
      <c r="C2946" s="56"/>
      <c r="D2946" s="68"/>
      <c r="E2946" s="69"/>
      <c r="F2946" s="69"/>
      <c r="G2946" s="65"/>
      <c r="H2946" s="65"/>
      <c r="I2946" s="70"/>
      <c r="J2946" s="71"/>
      <c r="K2946" s="71"/>
      <c r="L2946" s="72" t="str">
        <f>IFERROR(IF(G2946="","",VLOOKUP($G2946,[1]基础信息!$B:$C,2,FALSE)+SUMIF(G$8:G2946,G2946,J$8:J2946)-SUMIF(G$8:G2946,G2946,K$8:K2946)+SUMIFS([1]内部转账!$G:$G,[1]内部转账!$C:$C,"&lt;="&amp;$D2946,[1]内部转账!$E:$E,$G2946)-SUMIFS([1]内部转账!$G:$G,[1]内部转账!$C:$C,"&lt;="&amp;$D2946,[1]内部转账!$F:$F,$G2946)),"")</f>
        <v/>
      </c>
      <c r="M2946" s="64"/>
      <c r="N2946" s="69"/>
      <c r="O2946" s="64"/>
      <c r="P2946" s="64"/>
      <c r="Q2946" s="69"/>
      <c r="R2946" s="69"/>
      <c r="S2946" s="69"/>
    </row>
    <row r="2947" s="2" customFormat="1" ht="24.95" customHeight="1" spans="1:19">
      <c r="A2947" s="15"/>
      <c r="B2947" s="55"/>
      <c r="C2947" s="56"/>
      <c r="D2947" s="68"/>
      <c r="E2947" s="69"/>
      <c r="F2947" s="69"/>
      <c r="G2947" s="65"/>
      <c r="H2947" s="65"/>
      <c r="I2947" s="70"/>
      <c r="J2947" s="71"/>
      <c r="K2947" s="71"/>
      <c r="L2947" s="72" t="str">
        <f>IFERROR(IF(G2947="","",VLOOKUP($G2947,[1]基础信息!$B:$C,2,FALSE)+SUMIF(G$8:G2947,G2947,J$8:J2947)-SUMIF(G$8:G2947,G2947,K$8:K2947)+SUMIFS([1]内部转账!$G:$G,[1]内部转账!$C:$C,"&lt;="&amp;$D2947,[1]内部转账!$E:$E,$G2947)-SUMIFS([1]内部转账!$G:$G,[1]内部转账!$C:$C,"&lt;="&amp;$D2947,[1]内部转账!$F:$F,$G2947)),"")</f>
        <v/>
      </c>
      <c r="M2947" s="64"/>
      <c r="N2947" s="69"/>
      <c r="O2947" s="64"/>
      <c r="P2947" s="64"/>
      <c r="Q2947" s="69"/>
      <c r="R2947" s="69"/>
      <c r="S2947" s="69"/>
    </row>
    <row r="2948" s="2" customFormat="1" ht="24.95" customHeight="1" spans="1:19">
      <c r="A2948" s="15"/>
      <c r="B2948" s="55"/>
      <c r="C2948" s="56"/>
      <c r="D2948" s="68"/>
      <c r="E2948" s="69"/>
      <c r="F2948" s="69"/>
      <c r="G2948" s="65"/>
      <c r="H2948" s="65"/>
      <c r="I2948" s="70"/>
      <c r="J2948" s="71"/>
      <c r="K2948" s="71"/>
      <c r="L2948" s="72" t="str">
        <f>IFERROR(IF(G2948="","",VLOOKUP($G2948,[1]基础信息!$B:$C,2,FALSE)+SUMIF(G$8:G2948,G2948,J$8:J2948)-SUMIF(G$8:G2948,G2948,K$8:K2948)+SUMIFS([1]内部转账!$G:$G,[1]内部转账!$C:$C,"&lt;="&amp;$D2948,[1]内部转账!$E:$E,$G2948)-SUMIFS([1]内部转账!$G:$G,[1]内部转账!$C:$C,"&lt;="&amp;$D2948,[1]内部转账!$F:$F,$G2948)),"")</f>
        <v/>
      </c>
      <c r="M2948" s="64"/>
      <c r="N2948" s="69"/>
      <c r="O2948" s="64"/>
      <c r="P2948" s="64"/>
      <c r="Q2948" s="69"/>
      <c r="R2948" s="69"/>
      <c r="S2948" s="69"/>
    </row>
    <row r="2949" s="2" customFormat="1" ht="24.95" customHeight="1" spans="1:19">
      <c r="A2949" s="15"/>
      <c r="B2949" s="55"/>
      <c r="C2949" s="56"/>
      <c r="D2949" s="68"/>
      <c r="E2949" s="69"/>
      <c r="F2949" s="69"/>
      <c r="G2949" s="65"/>
      <c r="H2949" s="65"/>
      <c r="I2949" s="70"/>
      <c r="J2949" s="71"/>
      <c r="K2949" s="71"/>
      <c r="L2949" s="72" t="str">
        <f>IFERROR(IF(G2949="","",VLOOKUP($G2949,[1]基础信息!$B:$C,2,FALSE)+SUMIF(G$8:G2949,G2949,J$8:J2949)-SUMIF(G$8:G2949,G2949,K$8:K2949)+SUMIFS([1]内部转账!$G:$G,[1]内部转账!$C:$C,"&lt;="&amp;$D2949,[1]内部转账!$E:$E,$G2949)-SUMIFS([1]内部转账!$G:$G,[1]内部转账!$C:$C,"&lt;="&amp;$D2949,[1]内部转账!$F:$F,$G2949)),"")</f>
        <v/>
      </c>
      <c r="M2949" s="64"/>
      <c r="N2949" s="69"/>
      <c r="O2949" s="64"/>
      <c r="P2949" s="64"/>
      <c r="Q2949" s="69"/>
      <c r="R2949" s="69"/>
      <c r="S2949" s="69"/>
    </row>
    <row r="2950" s="2" customFormat="1" ht="24.95" customHeight="1" spans="1:19">
      <c r="A2950" s="15"/>
      <c r="B2950" s="55"/>
      <c r="C2950" s="56"/>
      <c r="D2950" s="68"/>
      <c r="E2950" s="69"/>
      <c r="F2950" s="69"/>
      <c r="G2950" s="65"/>
      <c r="H2950" s="65"/>
      <c r="I2950" s="70"/>
      <c r="J2950" s="71"/>
      <c r="K2950" s="71"/>
      <c r="L2950" s="72" t="str">
        <f>IFERROR(IF(G2950="","",VLOOKUP($G2950,[1]基础信息!$B:$C,2,FALSE)+SUMIF(G$8:G2950,G2950,J$8:J2950)-SUMIF(G$8:G2950,G2950,K$8:K2950)+SUMIFS([1]内部转账!$G:$G,[1]内部转账!$C:$C,"&lt;="&amp;$D2950,[1]内部转账!$E:$E,$G2950)-SUMIFS([1]内部转账!$G:$G,[1]内部转账!$C:$C,"&lt;="&amp;$D2950,[1]内部转账!$F:$F,$G2950)),"")</f>
        <v/>
      </c>
      <c r="M2950" s="64"/>
      <c r="N2950" s="69"/>
      <c r="O2950" s="64"/>
      <c r="P2950" s="64"/>
      <c r="Q2950" s="69"/>
      <c r="R2950" s="69"/>
      <c r="S2950" s="69"/>
    </row>
    <row r="2951" s="2" customFormat="1" ht="24.95" customHeight="1" spans="1:19">
      <c r="A2951" s="15"/>
      <c r="B2951" s="55"/>
      <c r="C2951" s="56"/>
      <c r="D2951" s="68"/>
      <c r="E2951" s="69"/>
      <c r="F2951" s="69"/>
      <c r="G2951" s="65"/>
      <c r="H2951" s="65"/>
      <c r="I2951" s="70"/>
      <c r="J2951" s="71"/>
      <c r="K2951" s="71"/>
      <c r="L2951" s="72" t="str">
        <f>IFERROR(IF(G2951="","",VLOOKUP($G2951,[1]基础信息!$B:$C,2,FALSE)+SUMIF(G$8:G2951,G2951,J$8:J2951)-SUMIF(G$8:G2951,G2951,K$8:K2951)+SUMIFS([1]内部转账!$G:$G,[1]内部转账!$C:$C,"&lt;="&amp;$D2951,[1]内部转账!$E:$E,$G2951)-SUMIFS([1]内部转账!$G:$G,[1]内部转账!$C:$C,"&lt;="&amp;$D2951,[1]内部转账!$F:$F,$G2951)),"")</f>
        <v/>
      </c>
      <c r="M2951" s="64"/>
      <c r="N2951" s="69"/>
      <c r="O2951" s="64"/>
      <c r="P2951" s="64"/>
      <c r="Q2951" s="69"/>
      <c r="R2951" s="69"/>
      <c r="S2951" s="69"/>
    </row>
    <row r="2952" s="2" customFormat="1" ht="24.95" customHeight="1" spans="1:19">
      <c r="A2952" s="15"/>
      <c r="B2952" s="55"/>
      <c r="C2952" s="56"/>
      <c r="D2952" s="68"/>
      <c r="E2952" s="69"/>
      <c r="F2952" s="69"/>
      <c r="G2952" s="65"/>
      <c r="H2952" s="65"/>
      <c r="I2952" s="70"/>
      <c r="J2952" s="71"/>
      <c r="K2952" s="71"/>
      <c r="L2952" s="72" t="str">
        <f>IFERROR(IF(G2952="","",VLOOKUP($G2952,[1]基础信息!$B:$C,2,FALSE)+SUMIF(G$8:G2952,G2952,J$8:J2952)-SUMIF(G$8:G2952,G2952,K$8:K2952)+SUMIFS([1]内部转账!$G:$G,[1]内部转账!$C:$C,"&lt;="&amp;$D2952,[1]内部转账!$E:$E,$G2952)-SUMIFS([1]内部转账!$G:$G,[1]内部转账!$C:$C,"&lt;="&amp;$D2952,[1]内部转账!$F:$F,$G2952)),"")</f>
        <v/>
      </c>
      <c r="M2952" s="64"/>
      <c r="N2952" s="69"/>
      <c r="O2952" s="64"/>
      <c r="P2952" s="64"/>
      <c r="Q2952" s="69"/>
      <c r="R2952" s="69"/>
      <c r="S2952" s="69"/>
    </row>
    <row r="2953" s="2" customFormat="1" ht="24.95" customHeight="1" spans="1:19">
      <c r="A2953" s="15"/>
      <c r="B2953" s="55"/>
      <c r="C2953" s="56"/>
      <c r="D2953" s="68"/>
      <c r="E2953" s="69"/>
      <c r="F2953" s="69"/>
      <c r="G2953" s="65"/>
      <c r="H2953" s="65"/>
      <c r="I2953" s="70"/>
      <c r="J2953" s="71"/>
      <c r="K2953" s="71"/>
      <c r="L2953" s="72" t="str">
        <f>IFERROR(IF(G2953="","",VLOOKUP($G2953,[1]基础信息!$B:$C,2,FALSE)+SUMIF(G$8:G2953,G2953,J$8:J2953)-SUMIF(G$8:G2953,G2953,K$8:K2953)+SUMIFS([1]内部转账!$G:$G,[1]内部转账!$C:$C,"&lt;="&amp;$D2953,[1]内部转账!$E:$E,$G2953)-SUMIFS([1]内部转账!$G:$G,[1]内部转账!$C:$C,"&lt;="&amp;$D2953,[1]内部转账!$F:$F,$G2953)),"")</f>
        <v/>
      </c>
      <c r="M2953" s="64"/>
      <c r="N2953" s="69"/>
      <c r="O2953" s="64"/>
      <c r="P2953" s="64"/>
      <c r="Q2953" s="69"/>
      <c r="R2953" s="69"/>
      <c r="S2953" s="69"/>
    </row>
    <row r="2954" s="2" customFormat="1" ht="24.95" customHeight="1" spans="1:19">
      <c r="A2954" s="15"/>
      <c r="B2954" s="55"/>
      <c r="C2954" s="56"/>
      <c r="D2954" s="68"/>
      <c r="E2954" s="69"/>
      <c r="F2954" s="69"/>
      <c r="G2954" s="65"/>
      <c r="H2954" s="65"/>
      <c r="I2954" s="70"/>
      <c r="J2954" s="71"/>
      <c r="K2954" s="71"/>
      <c r="L2954" s="72" t="str">
        <f>IFERROR(IF(G2954="","",VLOOKUP($G2954,[1]基础信息!$B:$C,2,FALSE)+SUMIF(G$8:G2954,G2954,J$8:J2954)-SUMIF(G$8:G2954,G2954,K$8:K2954)+SUMIFS([1]内部转账!$G:$G,[1]内部转账!$C:$C,"&lt;="&amp;$D2954,[1]内部转账!$E:$E,$G2954)-SUMIFS([1]内部转账!$G:$G,[1]内部转账!$C:$C,"&lt;="&amp;$D2954,[1]内部转账!$F:$F,$G2954)),"")</f>
        <v/>
      </c>
      <c r="M2954" s="64"/>
      <c r="N2954" s="69"/>
      <c r="O2954" s="64"/>
      <c r="P2954" s="64"/>
      <c r="Q2954" s="69"/>
      <c r="R2954" s="69"/>
      <c r="S2954" s="69"/>
    </row>
    <row r="2955" s="2" customFormat="1" ht="24.95" customHeight="1" spans="1:19">
      <c r="A2955" s="15"/>
      <c r="B2955" s="55"/>
      <c r="C2955" s="56"/>
      <c r="D2955" s="68"/>
      <c r="E2955" s="69"/>
      <c r="F2955" s="69"/>
      <c r="G2955" s="65"/>
      <c r="H2955" s="65"/>
      <c r="I2955" s="70"/>
      <c r="J2955" s="71"/>
      <c r="K2955" s="71"/>
      <c r="L2955" s="72" t="str">
        <f>IFERROR(IF(G2955="","",VLOOKUP($G2955,[1]基础信息!$B:$C,2,FALSE)+SUMIF(G$8:G2955,G2955,J$8:J2955)-SUMIF(G$8:G2955,G2955,K$8:K2955)+SUMIFS([1]内部转账!$G:$G,[1]内部转账!$C:$C,"&lt;="&amp;$D2955,[1]内部转账!$E:$E,$G2955)-SUMIFS([1]内部转账!$G:$G,[1]内部转账!$C:$C,"&lt;="&amp;$D2955,[1]内部转账!$F:$F,$G2955)),"")</f>
        <v/>
      </c>
      <c r="M2955" s="64"/>
      <c r="N2955" s="69"/>
      <c r="O2955" s="64"/>
      <c r="P2955" s="64"/>
      <c r="Q2955" s="69"/>
      <c r="R2955" s="69"/>
      <c r="S2955" s="69"/>
    </row>
    <row r="2956" s="2" customFormat="1" ht="24.95" customHeight="1" spans="1:19">
      <c r="A2956" s="15"/>
      <c r="B2956" s="55"/>
      <c r="C2956" s="56"/>
      <c r="D2956" s="68"/>
      <c r="E2956" s="69"/>
      <c r="F2956" s="69"/>
      <c r="G2956" s="65"/>
      <c r="H2956" s="65"/>
      <c r="I2956" s="70"/>
      <c r="J2956" s="71"/>
      <c r="K2956" s="71"/>
      <c r="L2956" s="72" t="str">
        <f>IFERROR(IF(G2956="","",VLOOKUP($G2956,[1]基础信息!$B:$C,2,FALSE)+SUMIF(G$8:G2956,G2956,J$8:J2956)-SUMIF(G$8:G2956,G2956,K$8:K2956)+SUMIFS([1]内部转账!$G:$G,[1]内部转账!$C:$C,"&lt;="&amp;$D2956,[1]内部转账!$E:$E,$G2956)-SUMIFS([1]内部转账!$G:$G,[1]内部转账!$C:$C,"&lt;="&amp;$D2956,[1]内部转账!$F:$F,$G2956)),"")</f>
        <v/>
      </c>
      <c r="M2956" s="64"/>
      <c r="N2956" s="69"/>
      <c r="O2956" s="64"/>
      <c r="P2956" s="64"/>
      <c r="Q2956" s="69"/>
      <c r="R2956" s="69"/>
      <c r="S2956" s="69"/>
    </row>
    <row r="2957" s="2" customFormat="1" ht="24.95" customHeight="1" spans="1:19">
      <c r="A2957" s="15"/>
      <c r="B2957" s="55"/>
      <c r="C2957" s="56"/>
      <c r="D2957" s="68"/>
      <c r="E2957" s="69"/>
      <c r="F2957" s="69"/>
      <c r="G2957" s="65"/>
      <c r="H2957" s="65"/>
      <c r="I2957" s="70"/>
      <c r="J2957" s="71"/>
      <c r="K2957" s="71"/>
      <c r="L2957" s="72" t="str">
        <f>IFERROR(IF(G2957="","",VLOOKUP($G2957,[1]基础信息!$B:$C,2,FALSE)+SUMIF(G$8:G2957,G2957,J$8:J2957)-SUMIF(G$8:G2957,G2957,K$8:K2957)+SUMIFS([1]内部转账!$G:$G,[1]内部转账!$C:$C,"&lt;="&amp;$D2957,[1]内部转账!$E:$E,$G2957)-SUMIFS([1]内部转账!$G:$G,[1]内部转账!$C:$C,"&lt;="&amp;$D2957,[1]内部转账!$F:$F,$G2957)),"")</f>
        <v/>
      </c>
      <c r="M2957" s="64"/>
      <c r="N2957" s="69"/>
      <c r="O2957" s="64"/>
      <c r="P2957" s="64"/>
      <c r="Q2957" s="69"/>
      <c r="R2957" s="69"/>
      <c r="S2957" s="69"/>
    </row>
    <row r="2958" s="2" customFormat="1" ht="24.95" customHeight="1" spans="1:19">
      <c r="A2958" s="15"/>
      <c r="B2958" s="55"/>
      <c r="C2958" s="56"/>
      <c r="D2958" s="68"/>
      <c r="E2958" s="69"/>
      <c r="F2958" s="69"/>
      <c r="G2958" s="65"/>
      <c r="H2958" s="65"/>
      <c r="I2958" s="70"/>
      <c r="J2958" s="71"/>
      <c r="K2958" s="71"/>
      <c r="L2958" s="72" t="str">
        <f>IFERROR(IF(G2958="","",VLOOKUP($G2958,[1]基础信息!$B:$C,2,FALSE)+SUMIF(G$8:G2958,G2958,J$8:J2958)-SUMIF(G$8:G2958,G2958,K$8:K2958)+SUMIFS([1]内部转账!$G:$G,[1]内部转账!$C:$C,"&lt;="&amp;$D2958,[1]内部转账!$E:$E,$G2958)-SUMIFS([1]内部转账!$G:$G,[1]内部转账!$C:$C,"&lt;="&amp;$D2958,[1]内部转账!$F:$F,$G2958)),"")</f>
        <v/>
      </c>
      <c r="M2958" s="64"/>
      <c r="N2958" s="69"/>
      <c r="O2958" s="64"/>
      <c r="P2958" s="64"/>
      <c r="Q2958" s="69"/>
      <c r="R2958" s="69"/>
      <c r="S2958" s="69"/>
    </row>
    <row r="2959" s="2" customFormat="1" ht="24.95" customHeight="1" spans="1:19">
      <c r="A2959" s="15"/>
      <c r="B2959" s="55"/>
      <c r="C2959" s="56"/>
      <c r="D2959" s="68"/>
      <c r="E2959" s="69"/>
      <c r="F2959" s="69"/>
      <c r="G2959" s="65"/>
      <c r="H2959" s="65"/>
      <c r="I2959" s="70"/>
      <c r="J2959" s="71"/>
      <c r="K2959" s="71"/>
      <c r="L2959" s="72" t="str">
        <f>IFERROR(IF(G2959="","",VLOOKUP($G2959,[1]基础信息!$B:$C,2,FALSE)+SUMIF(G$8:G2959,G2959,J$8:J2959)-SUMIF(G$8:G2959,G2959,K$8:K2959)+SUMIFS([1]内部转账!$G:$G,[1]内部转账!$C:$C,"&lt;="&amp;$D2959,[1]内部转账!$E:$E,$G2959)-SUMIFS([1]内部转账!$G:$G,[1]内部转账!$C:$C,"&lt;="&amp;$D2959,[1]内部转账!$F:$F,$G2959)),"")</f>
        <v/>
      </c>
      <c r="M2959" s="64"/>
      <c r="N2959" s="69"/>
      <c r="O2959" s="64"/>
      <c r="P2959" s="64"/>
      <c r="Q2959" s="69"/>
      <c r="R2959" s="69"/>
      <c r="S2959" s="69"/>
    </row>
    <row r="2960" s="2" customFormat="1" ht="24.95" customHeight="1" spans="1:19">
      <c r="A2960" s="15"/>
      <c r="B2960" s="55"/>
      <c r="C2960" s="56"/>
      <c r="D2960" s="68"/>
      <c r="E2960" s="69"/>
      <c r="F2960" s="69"/>
      <c r="G2960" s="65"/>
      <c r="H2960" s="65"/>
      <c r="I2960" s="70"/>
      <c r="J2960" s="71"/>
      <c r="K2960" s="71"/>
      <c r="L2960" s="72" t="str">
        <f>IFERROR(IF(G2960="","",VLOOKUP($G2960,[1]基础信息!$B:$C,2,FALSE)+SUMIF(G$8:G2960,G2960,J$8:J2960)-SUMIF(G$8:G2960,G2960,K$8:K2960)+SUMIFS([1]内部转账!$G:$G,[1]内部转账!$C:$C,"&lt;="&amp;$D2960,[1]内部转账!$E:$E,$G2960)-SUMIFS([1]内部转账!$G:$G,[1]内部转账!$C:$C,"&lt;="&amp;$D2960,[1]内部转账!$F:$F,$G2960)),"")</f>
        <v/>
      </c>
      <c r="M2960" s="64"/>
      <c r="N2960" s="69"/>
      <c r="O2960" s="64"/>
      <c r="P2960" s="64"/>
      <c r="Q2960" s="69"/>
      <c r="R2960" s="69"/>
      <c r="S2960" s="69"/>
    </row>
    <row r="2961" s="2" customFormat="1" ht="24.95" customHeight="1" spans="1:19">
      <c r="A2961" s="15"/>
      <c r="B2961" s="55"/>
      <c r="C2961" s="56"/>
      <c r="D2961" s="68"/>
      <c r="E2961" s="69"/>
      <c r="F2961" s="69"/>
      <c r="G2961" s="65"/>
      <c r="H2961" s="65"/>
      <c r="I2961" s="70"/>
      <c r="J2961" s="71"/>
      <c r="K2961" s="71"/>
      <c r="L2961" s="72" t="str">
        <f>IFERROR(IF(G2961="","",VLOOKUP($G2961,[1]基础信息!$B:$C,2,FALSE)+SUMIF(G$8:G2961,G2961,J$8:J2961)-SUMIF(G$8:G2961,G2961,K$8:K2961)+SUMIFS([1]内部转账!$G:$G,[1]内部转账!$C:$C,"&lt;="&amp;$D2961,[1]内部转账!$E:$E,$G2961)-SUMIFS([1]内部转账!$G:$G,[1]内部转账!$C:$C,"&lt;="&amp;$D2961,[1]内部转账!$F:$F,$G2961)),"")</f>
        <v/>
      </c>
      <c r="M2961" s="64"/>
      <c r="N2961" s="69"/>
      <c r="O2961" s="64"/>
      <c r="P2961" s="64"/>
      <c r="Q2961" s="69"/>
      <c r="R2961" s="69"/>
      <c r="S2961" s="69"/>
    </row>
    <row r="2962" s="2" customFormat="1" ht="24.95" customHeight="1" spans="1:19">
      <c r="A2962" s="15"/>
      <c r="B2962" s="55"/>
      <c r="C2962" s="56"/>
      <c r="D2962" s="68"/>
      <c r="E2962" s="69"/>
      <c r="F2962" s="69"/>
      <c r="G2962" s="65"/>
      <c r="H2962" s="65"/>
      <c r="I2962" s="70"/>
      <c r="J2962" s="71"/>
      <c r="K2962" s="71"/>
      <c r="L2962" s="72" t="str">
        <f>IFERROR(IF(G2962="","",VLOOKUP($G2962,[1]基础信息!$B:$C,2,FALSE)+SUMIF(G$8:G2962,G2962,J$8:J2962)-SUMIF(G$8:G2962,G2962,K$8:K2962)+SUMIFS([1]内部转账!$G:$G,[1]内部转账!$C:$C,"&lt;="&amp;$D2962,[1]内部转账!$E:$E,$G2962)-SUMIFS([1]内部转账!$G:$G,[1]内部转账!$C:$C,"&lt;="&amp;$D2962,[1]内部转账!$F:$F,$G2962)),"")</f>
        <v/>
      </c>
      <c r="M2962" s="64"/>
      <c r="N2962" s="69"/>
      <c r="O2962" s="64"/>
      <c r="P2962" s="64"/>
      <c r="Q2962" s="69"/>
      <c r="R2962" s="69"/>
      <c r="S2962" s="69"/>
    </row>
    <row r="2963" s="2" customFormat="1" ht="24.95" customHeight="1" spans="1:19">
      <c r="A2963" s="15"/>
      <c r="B2963" s="55"/>
      <c r="C2963" s="56"/>
      <c r="D2963" s="68"/>
      <c r="E2963" s="69"/>
      <c r="F2963" s="69"/>
      <c r="G2963" s="65"/>
      <c r="H2963" s="65"/>
      <c r="I2963" s="70"/>
      <c r="J2963" s="71"/>
      <c r="K2963" s="71"/>
      <c r="L2963" s="72" t="str">
        <f>IFERROR(IF(G2963="","",VLOOKUP($G2963,[1]基础信息!$B:$C,2,FALSE)+SUMIF(G$8:G2963,G2963,J$8:J2963)-SUMIF(G$8:G2963,G2963,K$8:K2963)+SUMIFS([1]内部转账!$G:$G,[1]内部转账!$C:$C,"&lt;="&amp;$D2963,[1]内部转账!$E:$E,$G2963)-SUMIFS([1]内部转账!$G:$G,[1]内部转账!$C:$C,"&lt;="&amp;$D2963,[1]内部转账!$F:$F,$G2963)),"")</f>
        <v/>
      </c>
      <c r="M2963" s="64"/>
      <c r="N2963" s="69"/>
      <c r="O2963" s="64"/>
      <c r="P2963" s="64"/>
      <c r="Q2963" s="69"/>
      <c r="R2963" s="69"/>
      <c r="S2963" s="69"/>
    </row>
    <row r="2964" s="2" customFormat="1" ht="24.95" customHeight="1" spans="1:19">
      <c r="A2964" s="15"/>
      <c r="B2964" s="55"/>
      <c r="C2964" s="56"/>
      <c r="D2964" s="68"/>
      <c r="E2964" s="69"/>
      <c r="F2964" s="69"/>
      <c r="G2964" s="65"/>
      <c r="H2964" s="65"/>
      <c r="I2964" s="70"/>
      <c r="J2964" s="71"/>
      <c r="K2964" s="71"/>
      <c r="L2964" s="72" t="str">
        <f>IFERROR(IF(G2964="","",VLOOKUP($G2964,[1]基础信息!$B:$C,2,FALSE)+SUMIF(G$8:G2964,G2964,J$8:J2964)-SUMIF(G$8:G2964,G2964,K$8:K2964)+SUMIFS([1]内部转账!$G:$G,[1]内部转账!$C:$C,"&lt;="&amp;$D2964,[1]内部转账!$E:$E,$G2964)-SUMIFS([1]内部转账!$G:$G,[1]内部转账!$C:$C,"&lt;="&amp;$D2964,[1]内部转账!$F:$F,$G2964)),"")</f>
        <v/>
      </c>
      <c r="M2964" s="64"/>
      <c r="N2964" s="69"/>
      <c r="O2964" s="64"/>
      <c r="P2964" s="64"/>
      <c r="Q2964" s="69"/>
      <c r="R2964" s="69"/>
      <c r="S2964" s="69"/>
    </row>
    <row r="2965" s="2" customFormat="1" ht="24.95" customHeight="1" spans="1:19">
      <c r="A2965" s="15"/>
      <c r="B2965" s="55"/>
      <c r="C2965" s="56"/>
      <c r="D2965" s="68"/>
      <c r="E2965" s="69"/>
      <c r="F2965" s="69"/>
      <c r="G2965" s="65"/>
      <c r="H2965" s="65"/>
      <c r="I2965" s="70"/>
      <c r="J2965" s="71"/>
      <c r="K2965" s="71"/>
      <c r="L2965" s="72" t="str">
        <f>IFERROR(IF(G2965="","",VLOOKUP($G2965,[1]基础信息!$B:$C,2,FALSE)+SUMIF(G$8:G2965,G2965,J$8:J2965)-SUMIF(G$8:G2965,G2965,K$8:K2965)+SUMIFS([1]内部转账!$G:$G,[1]内部转账!$C:$C,"&lt;="&amp;$D2965,[1]内部转账!$E:$E,$G2965)-SUMIFS([1]内部转账!$G:$G,[1]内部转账!$C:$C,"&lt;="&amp;$D2965,[1]内部转账!$F:$F,$G2965)),"")</f>
        <v/>
      </c>
      <c r="M2965" s="64"/>
      <c r="N2965" s="69"/>
      <c r="O2965" s="64"/>
      <c r="P2965" s="64"/>
      <c r="Q2965" s="69"/>
      <c r="R2965" s="69"/>
      <c r="S2965" s="69"/>
    </row>
    <row r="2966" s="2" customFormat="1" ht="24.95" customHeight="1" spans="1:19">
      <c r="A2966" s="15"/>
      <c r="B2966" s="55"/>
      <c r="C2966" s="56"/>
      <c r="D2966" s="68"/>
      <c r="E2966" s="69"/>
      <c r="F2966" s="69"/>
      <c r="G2966" s="65"/>
      <c r="H2966" s="65"/>
      <c r="I2966" s="70"/>
      <c r="J2966" s="71"/>
      <c r="K2966" s="71"/>
      <c r="L2966" s="72" t="str">
        <f>IFERROR(IF(G2966="","",VLOOKUP($G2966,[1]基础信息!$B:$C,2,FALSE)+SUMIF(G$8:G2966,G2966,J$8:J2966)-SUMIF(G$8:G2966,G2966,K$8:K2966)+SUMIFS([1]内部转账!$G:$G,[1]内部转账!$C:$C,"&lt;="&amp;$D2966,[1]内部转账!$E:$E,$G2966)-SUMIFS([1]内部转账!$G:$G,[1]内部转账!$C:$C,"&lt;="&amp;$D2966,[1]内部转账!$F:$F,$G2966)),"")</f>
        <v/>
      </c>
      <c r="M2966" s="64"/>
      <c r="N2966" s="69"/>
      <c r="O2966" s="64"/>
      <c r="P2966" s="64"/>
      <c r="Q2966" s="69"/>
      <c r="R2966" s="69"/>
      <c r="S2966" s="69"/>
    </row>
    <row r="2967" s="2" customFormat="1" ht="24.95" customHeight="1" spans="1:19">
      <c r="A2967" s="15"/>
      <c r="B2967" s="55"/>
      <c r="C2967" s="56"/>
      <c r="D2967" s="68"/>
      <c r="E2967" s="69"/>
      <c r="F2967" s="69"/>
      <c r="G2967" s="65"/>
      <c r="H2967" s="65"/>
      <c r="I2967" s="70"/>
      <c r="J2967" s="71"/>
      <c r="K2967" s="71"/>
      <c r="L2967" s="72" t="str">
        <f>IFERROR(IF(G2967="","",VLOOKUP($G2967,[1]基础信息!$B:$C,2,FALSE)+SUMIF(G$8:G2967,G2967,J$8:J2967)-SUMIF(G$8:G2967,G2967,K$8:K2967)+SUMIFS([1]内部转账!$G:$G,[1]内部转账!$C:$C,"&lt;="&amp;$D2967,[1]内部转账!$E:$E,$G2967)-SUMIFS([1]内部转账!$G:$G,[1]内部转账!$C:$C,"&lt;="&amp;$D2967,[1]内部转账!$F:$F,$G2967)),"")</f>
        <v/>
      </c>
      <c r="M2967" s="64"/>
      <c r="N2967" s="69"/>
      <c r="O2967" s="64"/>
      <c r="P2967" s="64"/>
      <c r="Q2967" s="69"/>
      <c r="R2967" s="69"/>
      <c r="S2967" s="69"/>
    </row>
    <row r="2968" s="2" customFormat="1" ht="24.95" customHeight="1" spans="1:19">
      <c r="A2968" s="15"/>
      <c r="B2968" s="55"/>
      <c r="C2968" s="56"/>
      <c r="D2968" s="68"/>
      <c r="E2968" s="69"/>
      <c r="F2968" s="69"/>
      <c r="G2968" s="65"/>
      <c r="H2968" s="65"/>
      <c r="I2968" s="70"/>
      <c r="J2968" s="71"/>
      <c r="K2968" s="71"/>
      <c r="L2968" s="72" t="str">
        <f>IFERROR(IF(G2968="","",VLOOKUP($G2968,[1]基础信息!$B:$C,2,FALSE)+SUMIF(G$8:G2968,G2968,J$8:J2968)-SUMIF(G$8:G2968,G2968,K$8:K2968)+SUMIFS([1]内部转账!$G:$G,[1]内部转账!$C:$C,"&lt;="&amp;$D2968,[1]内部转账!$E:$E,$G2968)-SUMIFS([1]内部转账!$G:$G,[1]内部转账!$C:$C,"&lt;="&amp;$D2968,[1]内部转账!$F:$F,$G2968)),"")</f>
        <v/>
      </c>
      <c r="M2968" s="64"/>
      <c r="N2968" s="69"/>
      <c r="O2968" s="64"/>
      <c r="P2968" s="64"/>
      <c r="Q2968" s="69"/>
      <c r="R2968" s="69"/>
      <c r="S2968" s="69"/>
    </row>
    <row r="2969" s="2" customFormat="1" ht="24.95" customHeight="1" spans="1:19">
      <c r="A2969" s="15"/>
      <c r="B2969" s="55"/>
      <c r="C2969" s="56"/>
      <c r="D2969" s="68"/>
      <c r="E2969" s="69"/>
      <c r="F2969" s="69"/>
      <c r="G2969" s="65"/>
      <c r="H2969" s="65"/>
      <c r="I2969" s="70"/>
      <c r="J2969" s="71"/>
      <c r="K2969" s="71"/>
      <c r="L2969" s="72" t="str">
        <f>IFERROR(IF(G2969="","",VLOOKUP($G2969,[1]基础信息!$B:$C,2,FALSE)+SUMIF(G$8:G2969,G2969,J$8:J2969)-SUMIF(G$8:G2969,G2969,K$8:K2969)+SUMIFS([1]内部转账!$G:$G,[1]内部转账!$C:$C,"&lt;="&amp;$D2969,[1]内部转账!$E:$E,$G2969)-SUMIFS([1]内部转账!$G:$G,[1]内部转账!$C:$C,"&lt;="&amp;$D2969,[1]内部转账!$F:$F,$G2969)),"")</f>
        <v/>
      </c>
      <c r="M2969" s="64"/>
      <c r="N2969" s="69"/>
      <c r="O2969" s="64"/>
      <c r="P2969" s="64"/>
      <c r="Q2969" s="69"/>
      <c r="R2969" s="69"/>
      <c r="S2969" s="69"/>
    </row>
    <row r="2970" s="2" customFormat="1" ht="24.95" customHeight="1" spans="1:19">
      <c r="A2970" s="15"/>
      <c r="B2970" s="55"/>
      <c r="C2970" s="56"/>
      <c r="D2970" s="68"/>
      <c r="E2970" s="69"/>
      <c r="F2970" s="69"/>
      <c r="G2970" s="65"/>
      <c r="H2970" s="65"/>
      <c r="I2970" s="70"/>
      <c r="J2970" s="71"/>
      <c r="K2970" s="71"/>
      <c r="L2970" s="72" t="str">
        <f>IFERROR(IF(G2970="","",VLOOKUP($G2970,[1]基础信息!$B:$C,2,FALSE)+SUMIF(G$8:G2970,G2970,J$8:J2970)-SUMIF(G$8:G2970,G2970,K$8:K2970)+SUMIFS([1]内部转账!$G:$G,[1]内部转账!$C:$C,"&lt;="&amp;$D2970,[1]内部转账!$E:$E,$G2970)-SUMIFS([1]内部转账!$G:$G,[1]内部转账!$C:$C,"&lt;="&amp;$D2970,[1]内部转账!$F:$F,$G2970)),"")</f>
        <v/>
      </c>
      <c r="M2970" s="64"/>
      <c r="N2970" s="69"/>
      <c r="O2970" s="64"/>
      <c r="P2970" s="64"/>
      <c r="Q2970" s="69"/>
      <c r="R2970" s="69"/>
      <c r="S2970" s="69"/>
    </row>
    <row r="2971" s="2" customFormat="1" ht="24.95" customHeight="1" spans="1:19">
      <c r="A2971" s="15"/>
      <c r="B2971" s="55"/>
      <c r="C2971" s="56"/>
      <c r="D2971" s="68"/>
      <c r="E2971" s="69"/>
      <c r="F2971" s="69"/>
      <c r="G2971" s="65"/>
      <c r="H2971" s="65"/>
      <c r="I2971" s="70"/>
      <c r="J2971" s="71"/>
      <c r="K2971" s="71"/>
      <c r="L2971" s="72" t="str">
        <f>IFERROR(IF(G2971="","",VLOOKUP($G2971,[1]基础信息!$B:$C,2,FALSE)+SUMIF(G$8:G2971,G2971,J$8:J2971)-SUMIF(G$8:G2971,G2971,K$8:K2971)+SUMIFS([1]内部转账!$G:$G,[1]内部转账!$C:$C,"&lt;="&amp;$D2971,[1]内部转账!$E:$E,$G2971)-SUMIFS([1]内部转账!$G:$G,[1]内部转账!$C:$C,"&lt;="&amp;$D2971,[1]内部转账!$F:$F,$G2971)),"")</f>
        <v/>
      </c>
      <c r="M2971" s="64"/>
      <c r="N2971" s="69"/>
      <c r="O2971" s="64"/>
      <c r="P2971" s="64"/>
      <c r="Q2971" s="69"/>
      <c r="R2971" s="69"/>
      <c r="S2971" s="69"/>
    </row>
    <row r="2972" s="2" customFormat="1" ht="24.95" customHeight="1" spans="1:19">
      <c r="A2972" s="15"/>
      <c r="B2972" s="55"/>
      <c r="C2972" s="56"/>
      <c r="D2972" s="68"/>
      <c r="E2972" s="69"/>
      <c r="F2972" s="69"/>
      <c r="G2972" s="65"/>
      <c r="H2972" s="65"/>
      <c r="I2972" s="70"/>
      <c r="J2972" s="71"/>
      <c r="K2972" s="71"/>
      <c r="L2972" s="72" t="str">
        <f>IFERROR(IF(G2972="","",VLOOKUP($G2972,[1]基础信息!$B:$C,2,FALSE)+SUMIF(G$8:G2972,G2972,J$8:J2972)-SUMIF(G$8:G2972,G2972,K$8:K2972)+SUMIFS([1]内部转账!$G:$G,[1]内部转账!$C:$C,"&lt;="&amp;$D2972,[1]内部转账!$E:$E,$G2972)-SUMIFS([1]内部转账!$G:$G,[1]内部转账!$C:$C,"&lt;="&amp;$D2972,[1]内部转账!$F:$F,$G2972)),"")</f>
        <v/>
      </c>
      <c r="M2972" s="64"/>
      <c r="N2972" s="69"/>
      <c r="O2972" s="64"/>
      <c r="P2972" s="64"/>
      <c r="Q2972" s="69"/>
      <c r="R2972" s="69"/>
      <c r="S2972" s="69"/>
    </row>
    <row r="2973" s="2" customFormat="1" ht="24.95" customHeight="1" spans="1:19">
      <c r="A2973" s="15"/>
      <c r="B2973" s="55"/>
      <c r="C2973" s="56"/>
      <c r="D2973" s="68"/>
      <c r="E2973" s="69"/>
      <c r="F2973" s="69"/>
      <c r="G2973" s="65"/>
      <c r="H2973" s="65"/>
      <c r="I2973" s="70"/>
      <c r="J2973" s="71"/>
      <c r="K2973" s="71"/>
      <c r="L2973" s="72" t="str">
        <f>IFERROR(IF(G2973="","",VLOOKUP($G2973,[1]基础信息!$B:$C,2,FALSE)+SUMIF(G$8:G2973,G2973,J$8:J2973)-SUMIF(G$8:G2973,G2973,K$8:K2973)+SUMIFS([1]内部转账!$G:$G,[1]内部转账!$C:$C,"&lt;="&amp;$D2973,[1]内部转账!$E:$E,$G2973)-SUMIFS([1]内部转账!$G:$G,[1]内部转账!$C:$C,"&lt;="&amp;$D2973,[1]内部转账!$F:$F,$G2973)),"")</f>
        <v/>
      </c>
      <c r="M2973" s="64"/>
      <c r="N2973" s="69"/>
      <c r="O2973" s="64"/>
      <c r="P2973" s="64"/>
      <c r="Q2973" s="69"/>
      <c r="R2973" s="69"/>
      <c r="S2973" s="69"/>
    </row>
    <row r="2974" s="2" customFormat="1" ht="24.95" customHeight="1" spans="1:19">
      <c r="A2974" s="15"/>
      <c r="B2974" s="55"/>
      <c r="C2974" s="56"/>
      <c r="D2974" s="68"/>
      <c r="E2974" s="69"/>
      <c r="F2974" s="69"/>
      <c r="G2974" s="65"/>
      <c r="H2974" s="65"/>
      <c r="I2974" s="70"/>
      <c r="J2974" s="71"/>
      <c r="K2974" s="71"/>
      <c r="L2974" s="72" t="str">
        <f>IFERROR(IF(G2974="","",VLOOKUP($G2974,[1]基础信息!$B:$C,2,FALSE)+SUMIF(G$8:G2974,G2974,J$8:J2974)-SUMIF(G$8:G2974,G2974,K$8:K2974)+SUMIFS([1]内部转账!$G:$G,[1]内部转账!$C:$C,"&lt;="&amp;$D2974,[1]内部转账!$E:$E,$G2974)-SUMIFS([1]内部转账!$G:$G,[1]内部转账!$C:$C,"&lt;="&amp;$D2974,[1]内部转账!$F:$F,$G2974)),"")</f>
        <v/>
      </c>
      <c r="M2974" s="64"/>
      <c r="N2974" s="69"/>
      <c r="O2974" s="64"/>
      <c r="P2974" s="64"/>
      <c r="Q2974" s="69"/>
      <c r="R2974" s="69"/>
      <c r="S2974" s="69"/>
    </row>
    <row r="2975" s="2" customFormat="1" ht="24.95" customHeight="1" spans="1:19">
      <c r="A2975" s="15"/>
      <c r="B2975" s="55"/>
      <c r="C2975" s="56"/>
      <c r="D2975" s="68"/>
      <c r="E2975" s="69"/>
      <c r="F2975" s="69"/>
      <c r="G2975" s="65"/>
      <c r="H2975" s="65"/>
      <c r="I2975" s="70"/>
      <c r="J2975" s="71"/>
      <c r="K2975" s="71"/>
      <c r="L2975" s="72" t="str">
        <f>IFERROR(IF(G2975="","",VLOOKUP($G2975,[1]基础信息!$B:$C,2,FALSE)+SUMIF(G$8:G2975,G2975,J$8:J2975)-SUMIF(G$8:G2975,G2975,K$8:K2975)+SUMIFS([1]内部转账!$G:$G,[1]内部转账!$C:$C,"&lt;="&amp;$D2975,[1]内部转账!$E:$E,$G2975)-SUMIFS([1]内部转账!$G:$G,[1]内部转账!$C:$C,"&lt;="&amp;$D2975,[1]内部转账!$F:$F,$G2975)),"")</f>
        <v/>
      </c>
      <c r="M2975" s="64"/>
      <c r="N2975" s="69"/>
      <c r="O2975" s="64"/>
      <c r="P2975" s="64"/>
      <c r="Q2975" s="69"/>
      <c r="R2975" s="69"/>
      <c r="S2975" s="69"/>
    </row>
    <row r="2976" s="2" customFormat="1" ht="24.95" customHeight="1" spans="1:19">
      <c r="A2976" s="15"/>
      <c r="B2976" s="55"/>
      <c r="C2976" s="56"/>
      <c r="D2976" s="68"/>
      <c r="E2976" s="69"/>
      <c r="F2976" s="69"/>
      <c r="G2976" s="65"/>
      <c r="H2976" s="65"/>
      <c r="I2976" s="70"/>
      <c r="J2976" s="71"/>
      <c r="K2976" s="71"/>
      <c r="L2976" s="72" t="str">
        <f>IFERROR(IF(G2976="","",VLOOKUP($G2976,[1]基础信息!$B:$C,2,FALSE)+SUMIF(G$8:G2976,G2976,J$8:J2976)-SUMIF(G$8:G2976,G2976,K$8:K2976)+SUMIFS([1]内部转账!$G:$G,[1]内部转账!$C:$C,"&lt;="&amp;$D2976,[1]内部转账!$E:$E,$G2976)-SUMIFS([1]内部转账!$G:$G,[1]内部转账!$C:$C,"&lt;="&amp;$D2976,[1]内部转账!$F:$F,$G2976)),"")</f>
        <v/>
      </c>
      <c r="M2976" s="64"/>
      <c r="N2976" s="69"/>
      <c r="O2976" s="64"/>
      <c r="P2976" s="64"/>
      <c r="Q2976" s="69"/>
      <c r="R2976" s="69"/>
      <c r="S2976" s="69"/>
    </row>
    <row r="2977" s="2" customFormat="1" ht="24.95" customHeight="1" spans="1:19">
      <c r="A2977" s="15"/>
      <c r="B2977" s="55"/>
      <c r="C2977" s="56"/>
      <c r="D2977" s="68"/>
      <c r="E2977" s="69"/>
      <c r="F2977" s="69"/>
      <c r="G2977" s="65"/>
      <c r="H2977" s="65"/>
      <c r="I2977" s="70"/>
      <c r="J2977" s="71"/>
      <c r="K2977" s="71"/>
      <c r="L2977" s="72" t="str">
        <f>IFERROR(IF(G2977="","",VLOOKUP($G2977,[1]基础信息!$B:$C,2,FALSE)+SUMIF(G$8:G2977,G2977,J$8:J2977)-SUMIF(G$8:G2977,G2977,K$8:K2977)+SUMIFS([1]内部转账!$G:$G,[1]内部转账!$C:$C,"&lt;="&amp;$D2977,[1]内部转账!$E:$E,$G2977)-SUMIFS([1]内部转账!$G:$G,[1]内部转账!$C:$C,"&lt;="&amp;$D2977,[1]内部转账!$F:$F,$G2977)),"")</f>
        <v/>
      </c>
      <c r="M2977" s="64"/>
      <c r="N2977" s="69"/>
      <c r="O2977" s="64"/>
      <c r="P2977" s="64"/>
      <c r="Q2977" s="69"/>
      <c r="R2977" s="69"/>
      <c r="S2977" s="69"/>
    </row>
    <row r="2978" s="2" customFormat="1" ht="24.95" customHeight="1" spans="1:19">
      <c r="A2978" s="15"/>
      <c r="B2978" s="55"/>
      <c r="C2978" s="56"/>
      <c r="D2978" s="68"/>
      <c r="E2978" s="69"/>
      <c r="F2978" s="69"/>
      <c r="G2978" s="65"/>
      <c r="H2978" s="65"/>
      <c r="I2978" s="70"/>
      <c r="J2978" s="71"/>
      <c r="K2978" s="71"/>
      <c r="L2978" s="72" t="str">
        <f>IFERROR(IF(G2978="","",VLOOKUP($G2978,[1]基础信息!$B:$C,2,FALSE)+SUMIF(G$8:G2978,G2978,J$8:J2978)-SUMIF(G$8:G2978,G2978,K$8:K2978)+SUMIFS([1]内部转账!$G:$G,[1]内部转账!$C:$C,"&lt;="&amp;$D2978,[1]内部转账!$E:$E,$G2978)-SUMIFS([1]内部转账!$G:$G,[1]内部转账!$C:$C,"&lt;="&amp;$D2978,[1]内部转账!$F:$F,$G2978)),"")</f>
        <v/>
      </c>
      <c r="M2978" s="64"/>
      <c r="N2978" s="69"/>
      <c r="O2978" s="64"/>
      <c r="P2978" s="64"/>
      <c r="Q2978" s="69"/>
      <c r="R2978" s="69"/>
      <c r="S2978" s="69"/>
    </row>
    <row r="2979" s="2" customFormat="1" ht="24.95" customHeight="1" spans="1:19">
      <c r="A2979" s="15"/>
      <c r="B2979" s="55"/>
      <c r="C2979" s="56"/>
      <c r="D2979" s="68"/>
      <c r="E2979" s="69"/>
      <c r="F2979" s="69"/>
      <c r="G2979" s="65"/>
      <c r="H2979" s="65"/>
      <c r="I2979" s="70"/>
      <c r="J2979" s="71"/>
      <c r="K2979" s="71"/>
      <c r="L2979" s="72" t="str">
        <f>IFERROR(IF(G2979="","",VLOOKUP($G2979,[1]基础信息!$B:$C,2,FALSE)+SUMIF(G$8:G2979,G2979,J$8:J2979)-SUMIF(G$8:G2979,G2979,K$8:K2979)+SUMIFS([1]内部转账!$G:$G,[1]内部转账!$C:$C,"&lt;="&amp;$D2979,[1]内部转账!$E:$E,$G2979)-SUMIFS([1]内部转账!$G:$G,[1]内部转账!$C:$C,"&lt;="&amp;$D2979,[1]内部转账!$F:$F,$G2979)),"")</f>
        <v/>
      </c>
      <c r="M2979" s="64"/>
      <c r="N2979" s="69"/>
      <c r="O2979" s="64"/>
      <c r="P2979" s="64"/>
      <c r="Q2979" s="69"/>
      <c r="R2979" s="69"/>
      <c r="S2979" s="69"/>
    </row>
    <row r="2980" s="2" customFormat="1" ht="24.95" customHeight="1" spans="1:19">
      <c r="A2980" s="15"/>
      <c r="B2980" s="55"/>
      <c r="C2980" s="56"/>
      <c r="D2980" s="68"/>
      <c r="E2980" s="69"/>
      <c r="F2980" s="69"/>
      <c r="G2980" s="65"/>
      <c r="H2980" s="65"/>
      <c r="I2980" s="70"/>
      <c r="J2980" s="71"/>
      <c r="K2980" s="71"/>
      <c r="L2980" s="72" t="str">
        <f>IFERROR(IF(G2980="","",VLOOKUP($G2980,[1]基础信息!$B:$C,2,FALSE)+SUMIF(G$8:G2980,G2980,J$8:J2980)-SUMIF(G$8:G2980,G2980,K$8:K2980)+SUMIFS([1]内部转账!$G:$G,[1]内部转账!$C:$C,"&lt;="&amp;$D2980,[1]内部转账!$E:$E,$G2980)-SUMIFS([1]内部转账!$G:$G,[1]内部转账!$C:$C,"&lt;="&amp;$D2980,[1]内部转账!$F:$F,$G2980)),"")</f>
        <v/>
      </c>
      <c r="M2980" s="64"/>
      <c r="N2980" s="69"/>
      <c r="O2980" s="64"/>
      <c r="P2980" s="64"/>
      <c r="Q2980" s="69"/>
      <c r="R2980" s="69"/>
      <c r="S2980" s="69"/>
    </row>
    <row r="2981" s="2" customFormat="1" ht="24.95" customHeight="1" spans="1:19">
      <c r="A2981" s="15"/>
      <c r="B2981" s="55"/>
      <c r="C2981" s="56"/>
      <c r="D2981" s="68"/>
      <c r="E2981" s="69"/>
      <c r="F2981" s="69"/>
      <c r="G2981" s="65"/>
      <c r="H2981" s="65"/>
      <c r="I2981" s="70"/>
      <c r="J2981" s="71"/>
      <c r="K2981" s="71"/>
      <c r="L2981" s="72" t="str">
        <f>IFERROR(IF(G2981="","",VLOOKUP($G2981,[1]基础信息!$B:$C,2,FALSE)+SUMIF(G$8:G2981,G2981,J$8:J2981)-SUMIF(G$8:G2981,G2981,K$8:K2981)+SUMIFS([1]内部转账!$G:$G,[1]内部转账!$C:$C,"&lt;="&amp;$D2981,[1]内部转账!$E:$E,$G2981)-SUMIFS([1]内部转账!$G:$G,[1]内部转账!$C:$C,"&lt;="&amp;$D2981,[1]内部转账!$F:$F,$G2981)),"")</f>
        <v/>
      </c>
      <c r="M2981" s="64"/>
      <c r="N2981" s="69"/>
      <c r="O2981" s="64"/>
      <c r="P2981" s="64"/>
      <c r="Q2981" s="69"/>
      <c r="R2981" s="69"/>
      <c r="S2981" s="69"/>
    </row>
    <row r="2982" s="2" customFormat="1" ht="24.95" customHeight="1" spans="1:19">
      <c r="A2982" s="15"/>
      <c r="B2982" s="55"/>
      <c r="C2982" s="56"/>
      <c r="D2982" s="68"/>
      <c r="E2982" s="69"/>
      <c r="F2982" s="69"/>
      <c r="G2982" s="65"/>
      <c r="H2982" s="65"/>
      <c r="I2982" s="70"/>
      <c r="J2982" s="71"/>
      <c r="K2982" s="71"/>
      <c r="L2982" s="72" t="str">
        <f>IFERROR(IF(G2982="","",VLOOKUP($G2982,[1]基础信息!$B:$C,2,FALSE)+SUMIF(G$8:G2982,G2982,J$8:J2982)-SUMIF(G$8:G2982,G2982,K$8:K2982)+SUMIFS([1]内部转账!$G:$G,[1]内部转账!$C:$C,"&lt;="&amp;$D2982,[1]内部转账!$E:$E,$G2982)-SUMIFS([1]内部转账!$G:$G,[1]内部转账!$C:$C,"&lt;="&amp;$D2982,[1]内部转账!$F:$F,$G2982)),"")</f>
        <v/>
      </c>
      <c r="M2982" s="64"/>
      <c r="N2982" s="69"/>
      <c r="O2982" s="64"/>
      <c r="P2982" s="64"/>
      <c r="Q2982" s="69"/>
      <c r="R2982" s="69"/>
      <c r="S2982" s="69"/>
    </row>
    <row r="2983" s="2" customFormat="1" ht="24.95" customHeight="1" spans="1:19">
      <c r="A2983" s="15"/>
      <c r="B2983" s="55"/>
      <c r="C2983" s="56"/>
      <c r="D2983" s="68"/>
      <c r="E2983" s="69"/>
      <c r="F2983" s="69"/>
      <c r="G2983" s="65"/>
      <c r="H2983" s="65"/>
      <c r="I2983" s="70"/>
      <c r="J2983" s="71"/>
      <c r="K2983" s="71"/>
      <c r="L2983" s="72" t="str">
        <f>IFERROR(IF(G2983="","",VLOOKUP($G2983,[1]基础信息!$B:$C,2,FALSE)+SUMIF(G$8:G2983,G2983,J$8:J2983)-SUMIF(G$8:G2983,G2983,K$8:K2983)+SUMIFS([1]内部转账!$G:$G,[1]内部转账!$C:$C,"&lt;="&amp;$D2983,[1]内部转账!$E:$E,$G2983)-SUMIFS([1]内部转账!$G:$G,[1]内部转账!$C:$C,"&lt;="&amp;$D2983,[1]内部转账!$F:$F,$G2983)),"")</f>
        <v/>
      </c>
      <c r="M2983" s="64"/>
      <c r="N2983" s="69"/>
      <c r="O2983" s="64"/>
      <c r="P2983" s="64"/>
      <c r="Q2983" s="69"/>
      <c r="R2983" s="69"/>
      <c r="S2983" s="69"/>
    </row>
    <row r="2984" s="2" customFormat="1" ht="24.95" customHeight="1" spans="1:19">
      <c r="A2984" s="15"/>
      <c r="B2984" s="55"/>
      <c r="C2984" s="56"/>
      <c r="D2984" s="68"/>
      <c r="E2984" s="69"/>
      <c r="F2984" s="69"/>
      <c r="G2984" s="65"/>
      <c r="H2984" s="65"/>
      <c r="I2984" s="70"/>
      <c r="J2984" s="71"/>
      <c r="K2984" s="71"/>
      <c r="L2984" s="72" t="str">
        <f>IFERROR(IF(G2984="","",VLOOKUP($G2984,[1]基础信息!$B:$C,2,FALSE)+SUMIF(G$8:G2984,G2984,J$8:J2984)-SUMIF(G$8:G2984,G2984,K$8:K2984)+SUMIFS([1]内部转账!$G:$G,[1]内部转账!$C:$C,"&lt;="&amp;$D2984,[1]内部转账!$E:$E,$G2984)-SUMIFS([1]内部转账!$G:$G,[1]内部转账!$C:$C,"&lt;="&amp;$D2984,[1]内部转账!$F:$F,$G2984)),"")</f>
        <v/>
      </c>
      <c r="M2984" s="64"/>
      <c r="N2984" s="69"/>
      <c r="O2984" s="64"/>
      <c r="P2984" s="64"/>
      <c r="Q2984" s="69"/>
      <c r="R2984" s="69"/>
      <c r="S2984" s="69"/>
    </row>
    <row r="2985" s="2" customFormat="1" ht="24.95" customHeight="1" spans="1:19">
      <c r="A2985" s="15"/>
      <c r="B2985" s="55"/>
      <c r="C2985" s="56"/>
      <c r="D2985" s="68"/>
      <c r="E2985" s="69"/>
      <c r="F2985" s="69"/>
      <c r="G2985" s="65"/>
      <c r="H2985" s="65"/>
      <c r="I2985" s="70"/>
      <c r="J2985" s="71"/>
      <c r="K2985" s="71"/>
      <c r="L2985" s="72" t="str">
        <f>IFERROR(IF(G2985="","",VLOOKUP($G2985,[1]基础信息!$B:$C,2,FALSE)+SUMIF(G$8:G2985,G2985,J$8:J2985)-SUMIF(G$8:G2985,G2985,K$8:K2985)+SUMIFS([1]内部转账!$G:$G,[1]内部转账!$C:$C,"&lt;="&amp;$D2985,[1]内部转账!$E:$E,$G2985)-SUMIFS([1]内部转账!$G:$G,[1]内部转账!$C:$C,"&lt;="&amp;$D2985,[1]内部转账!$F:$F,$G2985)),"")</f>
        <v/>
      </c>
      <c r="M2985" s="64"/>
      <c r="N2985" s="69"/>
      <c r="O2985" s="64"/>
      <c r="P2985" s="64"/>
      <c r="Q2985" s="69"/>
      <c r="R2985" s="69"/>
      <c r="S2985" s="69"/>
    </row>
    <row r="2986" s="2" customFormat="1" ht="24.95" customHeight="1" spans="1:19">
      <c r="A2986" s="15"/>
      <c r="B2986" s="55"/>
      <c r="C2986" s="56"/>
      <c r="D2986" s="68"/>
      <c r="E2986" s="69"/>
      <c r="F2986" s="69"/>
      <c r="G2986" s="65"/>
      <c r="H2986" s="65"/>
      <c r="I2986" s="70"/>
      <c r="J2986" s="71"/>
      <c r="K2986" s="71"/>
      <c r="L2986" s="72" t="str">
        <f>IFERROR(IF(G2986="","",VLOOKUP($G2986,[1]基础信息!$B:$C,2,FALSE)+SUMIF(G$8:G2986,G2986,J$8:J2986)-SUMIF(G$8:G2986,G2986,K$8:K2986)+SUMIFS([1]内部转账!$G:$G,[1]内部转账!$C:$C,"&lt;="&amp;$D2986,[1]内部转账!$E:$E,$G2986)-SUMIFS([1]内部转账!$G:$G,[1]内部转账!$C:$C,"&lt;="&amp;$D2986,[1]内部转账!$F:$F,$G2986)),"")</f>
        <v/>
      </c>
      <c r="M2986" s="64"/>
      <c r="N2986" s="69"/>
      <c r="O2986" s="64"/>
      <c r="P2986" s="64"/>
      <c r="Q2986" s="69"/>
      <c r="R2986" s="69"/>
      <c r="S2986" s="69"/>
    </row>
    <row r="2987" s="2" customFormat="1" ht="24.95" customHeight="1" spans="1:19">
      <c r="A2987" s="15"/>
      <c r="B2987" s="55"/>
      <c r="C2987" s="56"/>
      <c r="D2987" s="68"/>
      <c r="E2987" s="69"/>
      <c r="F2987" s="69"/>
      <c r="G2987" s="65"/>
      <c r="H2987" s="65"/>
      <c r="I2987" s="70"/>
      <c r="J2987" s="71"/>
      <c r="K2987" s="71"/>
      <c r="L2987" s="72" t="str">
        <f>IFERROR(IF(G2987="","",VLOOKUP($G2987,[1]基础信息!$B:$C,2,FALSE)+SUMIF(G$8:G2987,G2987,J$8:J2987)-SUMIF(G$8:G2987,G2987,K$8:K2987)+SUMIFS([1]内部转账!$G:$G,[1]内部转账!$C:$C,"&lt;="&amp;$D2987,[1]内部转账!$E:$E,$G2987)-SUMIFS([1]内部转账!$G:$G,[1]内部转账!$C:$C,"&lt;="&amp;$D2987,[1]内部转账!$F:$F,$G2987)),"")</f>
        <v/>
      </c>
      <c r="M2987" s="64"/>
      <c r="N2987" s="69"/>
      <c r="O2987" s="64"/>
      <c r="P2987" s="64"/>
      <c r="Q2987" s="69"/>
      <c r="R2987" s="69"/>
      <c r="S2987" s="69"/>
    </row>
    <row r="2988" s="2" customFormat="1" ht="24.95" customHeight="1" spans="1:19">
      <c r="A2988" s="15"/>
      <c r="B2988" s="55"/>
      <c r="C2988" s="56"/>
      <c r="D2988" s="68"/>
      <c r="E2988" s="69"/>
      <c r="F2988" s="69"/>
      <c r="G2988" s="65"/>
      <c r="H2988" s="65"/>
      <c r="I2988" s="70"/>
      <c r="J2988" s="71"/>
      <c r="K2988" s="71"/>
      <c r="L2988" s="72" t="str">
        <f>IFERROR(IF(G2988="","",VLOOKUP($G2988,[1]基础信息!$B:$C,2,FALSE)+SUMIF(G$8:G2988,G2988,J$8:J2988)-SUMIF(G$8:G2988,G2988,K$8:K2988)+SUMIFS([1]内部转账!$G:$G,[1]内部转账!$C:$C,"&lt;="&amp;$D2988,[1]内部转账!$E:$E,$G2988)-SUMIFS([1]内部转账!$G:$G,[1]内部转账!$C:$C,"&lt;="&amp;$D2988,[1]内部转账!$F:$F,$G2988)),"")</f>
        <v/>
      </c>
      <c r="M2988" s="64"/>
      <c r="N2988" s="69"/>
      <c r="O2988" s="64"/>
      <c r="P2988" s="64"/>
      <c r="Q2988" s="69"/>
      <c r="R2988" s="69"/>
      <c r="S2988" s="69"/>
    </row>
    <row r="2989" s="2" customFormat="1" ht="24.95" customHeight="1" spans="1:19">
      <c r="A2989" s="15"/>
      <c r="B2989" s="55"/>
      <c r="C2989" s="56"/>
      <c r="D2989" s="68"/>
      <c r="E2989" s="69"/>
      <c r="F2989" s="69"/>
      <c r="G2989" s="65"/>
      <c r="H2989" s="65"/>
      <c r="I2989" s="70"/>
      <c r="J2989" s="71"/>
      <c r="K2989" s="71"/>
      <c r="L2989" s="72" t="str">
        <f>IFERROR(IF(G2989="","",VLOOKUP($G2989,[1]基础信息!$B:$C,2,FALSE)+SUMIF(G$8:G2989,G2989,J$8:J2989)-SUMIF(G$8:G2989,G2989,K$8:K2989)+SUMIFS([1]内部转账!$G:$G,[1]内部转账!$C:$C,"&lt;="&amp;$D2989,[1]内部转账!$E:$E,$G2989)-SUMIFS([1]内部转账!$G:$G,[1]内部转账!$C:$C,"&lt;="&amp;$D2989,[1]内部转账!$F:$F,$G2989)),"")</f>
        <v/>
      </c>
      <c r="M2989" s="64"/>
      <c r="N2989" s="69"/>
      <c r="O2989" s="64"/>
      <c r="P2989" s="64"/>
      <c r="Q2989" s="69"/>
      <c r="R2989" s="69"/>
      <c r="S2989" s="69"/>
    </row>
    <row r="2990" s="2" customFormat="1" ht="24.95" customHeight="1" spans="1:19">
      <c r="A2990" s="15"/>
      <c r="B2990" s="55"/>
      <c r="C2990" s="56"/>
      <c r="D2990" s="68"/>
      <c r="E2990" s="69"/>
      <c r="F2990" s="69"/>
      <c r="G2990" s="65"/>
      <c r="H2990" s="65"/>
      <c r="I2990" s="70"/>
      <c r="J2990" s="71"/>
      <c r="K2990" s="71"/>
      <c r="L2990" s="72" t="str">
        <f>IFERROR(IF(G2990="","",VLOOKUP($G2990,[1]基础信息!$B:$C,2,FALSE)+SUMIF(G$8:G2990,G2990,J$8:J2990)-SUMIF(G$8:G2990,G2990,K$8:K2990)+SUMIFS([1]内部转账!$G:$G,[1]内部转账!$C:$C,"&lt;="&amp;$D2990,[1]内部转账!$E:$E,$G2990)-SUMIFS([1]内部转账!$G:$G,[1]内部转账!$C:$C,"&lt;="&amp;$D2990,[1]内部转账!$F:$F,$G2990)),"")</f>
        <v/>
      </c>
      <c r="M2990" s="64"/>
      <c r="N2990" s="69"/>
      <c r="O2990" s="64"/>
      <c r="P2990" s="64"/>
      <c r="Q2990" s="69"/>
      <c r="R2990" s="69"/>
      <c r="S2990" s="69"/>
    </row>
    <row r="2991" s="2" customFormat="1" ht="24.95" customHeight="1" spans="1:19">
      <c r="A2991" s="15"/>
      <c r="B2991" s="55"/>
      <c r="C2991" s="56"/>
      <c r="D2991" s="68"/>
      <c r="E2991" s="69"/>
      <c r="F2991" s="69"/>
      <c r="G2991" s="65"/>
      <c r="H2991" s="65"/>
      <c r="I2991" s="70"/>
      <c r="J2991" s="71"/>
      <c r="K2991" s="71"/>
      <c r="L2991" s="72" t="str">
        <f>IFERROR(IF(G2991="","",VLOOKUP($G2991,[1]基础信息!$B:$C,2,FALSE)+SUMIF(G$8:G2991,G2991,J$8:J2991)-SUMIF(G$8:G2991,G2991,K$8:K2991)+SUMIFS([1]内部转账!$G:$G,[1]内部转账!$C:$C,"&lt;="&amp;$D2991,[1]内部转账!$E:$E,$G2991)-SUMIFS([1]内部转账!$G:$G,[1]内部转账!$C:$C,"&lt;="&amp;$D2991,[1]内部转账!$F:$F,$G2991)),"")</f>
        <v/>
      </c>
      <c r="M2991" s="64"/>
      <c r="N2991" s="69"/>
      <c r="O2991" s="64"/>
      <c r="P2991" s="64"/>
      <c r="Q2991" s="69"/>
      <c r="R2991" s="69"/>
      <c r="S2991" s="69"/>
    </row>
    <row r="2992" s="2" customFormat="1" ht="24.95" customHeight="1" spans="1:19">
      <c r="A2992" s="15"/>
      <c r="B2992" s="55"/>
      <c r="C2992" s="56"/>
      <c r="D2992" s="68"/>
      <c r="E2992" s="69"/>
      <c r="F2992" s="69"/>
      <c r="G2992" s="65"/>
      <c r="H2992" s="65"/>
      <c r="I2992" s="70"/>
      <c r="J2992" s="71"/>
      <c r="K2992" s="71"/>
      <c r="L2992" s="72" t="str">
        <f>IFERROR(IF(G2992="","",VLOOKUP($G2992,[1]基础信息!$B:$C,2,FALSE)+SUMIF(G$8:G2992,G2992,J$8:J2992)-SUMIF(G$8:G2992,G2992,K$8:K2992)+SUMIFS([1]内部转账!$G:$G,[1]内部转账!$C:$C,"&lt;="&amp;$D2992,[1]内部转账!$E:$E,$G2992)-SUMIFS([1]内部转账!$G:$G,[1]内部转账!$C:$C,"&lt;="&amp;$D2992,[1]内部转账!$F:$F,$G2992)),"")</f>
        <v/>
      </c>
      <c r="M2992" s="64"/>
      <c r="N2992" s="69"/>
      <c r="O2992" s="64"/>
      <c r="P2992" s="64"/>
      <c r="Q2992" s="69"/>
      <c r="R2992" s="69"/>
      <c r="S2992" s="69"/>
    </row>
    <row r="2993" s="2" customFormat="1" ht="24.95" customHeight="1" spans="1:19">
      <c r="A2993" s="15"/>
      <c r="B2993" s="55"/>
      <c r="C2993" s="56"/>
      <c r="D2993" s="68"/>
      <c r="E2993" s="69"/>
      <c r="F2993" s="69"/>
      <c r="G2993" s="65"/>
      <c r="H2993" s="65"/>
      <c r="I2993" s="70"/>
      <c r="J2993" s="71"/>
      <c r="K2993" s="71"/>
      <c r="L2993" s="72" t="str">
        <f>IFERROR(IF(G2993="","",VLOOKUP($G2993,[1]基础信息!$B:$C,2,FALSE)+SUMIF(G$8:G2993,G2993,J$8:J2993)-SUMIF(G$8:G2993,G2993,K$8:K2993)+SUMIFS([1]内部转账!$G:$G,[1]内部转账!$C:$C,"&lt;="&amp;$D2993,[1]内部转账!$E:$E,$G2993)-SUMIFS([1]内部转账!$G:$G,[1]内部转账!$C:$C,"&lt;="&amp;$D2993,[1]内部转账!$F:$F,$G2993)),"")</f>
        <v/>
      </c>
      <c r="M2993" s="64"/>
      <c r="N2993" s="69"/>
      <c r="O2993" s="64"/>
      <c r="P2993" s="64"/>
      <c r="Q2993" s="69"/>
      <c r="R2993" s="69"/>
      <c r="S2993" s="69"/>
    </row>
    <row r="2994" s="2" customFormat="1" ht="24.95" customHeight="1" spans="1:19">
      <c r="A2994" s="15"/>
      <c r="B2994" s="55"/>
      <c r="C2994" s="56"/>
      <c r="D2994" s="68"/>
      <c r="E2994" s="69"/>
      <c r="F2994" s="69"/>
      <c r="G2994" s="65"/>
      <c r="H2994" s="65"/>
      <c r="I2994" s="70"/>
      <c r="J2994" s="71"/>
      <c r="K2994" s="71"/>
      <c r="L2994" s="72" t="str">
        <f>IFERROR(IF(G2994="","",VLOOKUP($G2994,[1]基础信息!$B:$C,2,FALSE)+SUMIF(G$8:G2994,G2994,J$8:J2994)-SUMIF(G$8:G2994,G2994,K$8:K2994)+SUMIFS([1]内部转账!$G:$G,[1]内部转账!$C:$C,"&lt;="&amp;$D2994,[1]内部转账!$E:$E,$G2994)-SUMIFS([1]内部转账!$G:$G,[1]内部转账!$C:$C,"&lt;="&amp;$D2994,[1]内部转账!$F:$F,$G2994)),"")</f>
        <v/>
      </c>
      <c r="M2994" s="64"/>
      <c r="N2994" s="69"/>
      <c r="O2994" s="64"/>
      <c r="P2994" s="64"/>
      <c r="Q2994" s="69"/>
      <c r="R2994" s="69"/>
      <c r="S2994" s="69"/>
    </row>
    <row r="2995" s="2" customFormat="1" ht="24.95" customHeight="1" spans="1:19">
      <c r="A2995" s="15"/>
      <c r="B2995" s="55"/>
      <c r="C2995" s="56"/>
      <c r="D2995" s="68"/>
      <c r="E2995" s="69"/>
      <c r="F2995" s="69"/>
      <c r="G2995" s="65"/>
      <c r="H2995" s="65"/>
      <c r="I2995" s="70"/>
      <c r="J2995" s="71"/>
      <c r="K2995" s="71"/>
      <c r="L2995" s="72" t="str">
        <f>IFERROR(IF(G2995="","",VLOOKUP($G2995,[1]基础信息!$B:$C,2,FALSE)+SUMIF(G$8:G2995,G2995,J$8:J2995)-SUMIF(G$8:G2995,G2995,K$8:K2995)+SUMIFS([1]内部转账!$G:$G,[1]内部转账!$C:$C,"&lt;="&amp;$D2995,[1]内部转账!$E:$E,$G2995)-SUMIFS([1]内部转账!$G:$G,[1]内部转账!$C:$C,"&lt;="&amp;$D2995,[1]内部转账!$F:$F,$G2995)),"")</f>
        <v/>
      </c>
      <c r="M2995" s="64"/>
      <c r="N2995" s="69"/>
      <c r="O2995" s="64"/>
      <c r="P2995" s="64"/>
      <c r="Q2995" s="69"/>
      <c r="R2995" s="69"/>
      <c r="S2995" s="69"/>
    </row>
    <row r="2996" s="2" customFormat="1" ht="24.95" customHeight="1" spans="1:19">
      <c r="A2996" s="15"/>
      <c r="B2996" s="55"/>
      <c r="C2996" s="56"/>
      <c r="D2996" s="68"/>
      <c r="E2996" s="69"/>
      <c r="F2996" s="69"/>
      <c r="G2996" s="65"/>
      <c r="H2996" s="65"/>
      <c r="I2996" s="70"/>
      <c r="J2996" s="71"/>
      <c r="K2996" s="71"/>
      <c r="L2996" s="72" t="str">
        <f>IFERROR(IF(G2996="","",VLOOKUP($G2996,[1]基础信息!$B:$C,2,FALSE)+SUMIF(G$8:G2996,G2996,J$8:J2996)-SUMIF(G$8:G2996,G2996,K$8:K2996)+SUMIFS([1]内部转账!$G:$G,[1]内部转账!$C:$C,"&lt;="&amp;$D2996,[1]内部转账!$E:$E,$G2996)-SUMIFS([1]内部转账!$G:$G,[1]内部转账!$C:$C,"&lt;="&amp;$D2996,[1]内部转账!$F:$F,$G2996)),"")</f>
        <v/>
      </c>
      <c r="M2996" s="64"/>
      <c r="N2996" s="69"/>
      <c r="O2996" s="64"/>
      <c r="P2996" s="64"/>
      <c r="Q2996" s="69"/>
      <c r="R2996" s="69"/>
      <c r="S2996" s="69"/>
    </row>
    <row r="2997" s="2" customFormat="1" ht="24.95" customHeight="1" spans="1:19">
      <c r="A2997" s="15"/>
      <c r="B2997" s="55"/>
      <c r="C2997" s="56"/>
      <c r="D2997" s="68"/>
      <c r="E2997" s="69"/>
      <c r="F2997" s="69"/>
      <c r="G2997" s="65"/>
      <c r="H2997" s="65"/>
      <c r="I2997" s="70"/>
      <c r="J2997" s="71"/>
      <c r="K2997" s="71"/>
      <c r="L2997" s="72" t="str">
        <f>IFERROR(IF(G2997="","",VLOOKUP($G2997,[1]基础信息!$B:$C,2,FALSE)+SUMIF(G$8:G2997,G2997,J$8:J2997)-SUMIF(G$8:G2997,G2997,K$8:K2997)+SUMIFS([1]内部转账!$G:$G,[1]内部转账!$C:$C,"&lt;="&amp;$D2997,[1]内部转账!$E:$E,$G2997)-SUMIFS([1]内部转账!$G:$G,[1]内部转账!$C:$C,"&lt;="&amp;$D2997,[1]内部转账!$F:$F,$G2997)),"")</f>
        <v/>
      </c>
      <c r="M2997" s="64"/>
      <c r="N2997" s="69"/>
      <c r="O2997" s="64"/>
      <c r="P2997" s="64"/>
      <c r="Q2997" s="69"/>
      <c r="R2997" s="69"/>
      <c r="S2997" s="69"/>
    </row>
    <row r="2998" s="2" customFormat="1" ht="24.95" customHeight="1" spans="1:19">
      <c r="A2998" s="15"/>
      <c r="B2998" s="55"/>
      <c r="C2998" s="56"/>
      <c r="D2998" s="68"/>
      <c r="E2998" s="69"/>
      <c r="F2998" s="69"/>
      <c r="G2998" s="65"/>
      <c r="H2998" s="65"/>
      <c r="I2998" s="70"/>
      <c r="J2998" s="71"/>
      <c r="K2998" s="71"/>
      <c r="L2998" s="72" t="str">
        <f>IFERROR(IF(G2998="","",VLOOKUP($G2998,[1]基础信息!$B:$C,2,FALSE)+SUMIF(G$8:G2998,G2998,J$8:J2998)-SUMIF(G$8:G2998,G2998,K$8:K2998)+SUMIFS([1]内部转账!$G:$G,[1]内部转账!$C:$C,"&lt;="&amp;$D2998,[1]内部转账!$E:$E,$G2998)-SUMIFS([1]内部转账!$G:$G,[1]内部转账!$C:$C,"&lt;="&amp;$D2998,[1]内部转账!$F:$F,$G2998)),"")</f>
        <v/>
      </c>
      <c r="M2998" s="64"/>
      <c r="N2998" s="69"/>
      <c r="O2998" s="64"/>
      <c r="P2998" s="64"/>
      <c r="Q2998" s="69"/>
      <c r="R2998" s="69"/>
      <c r="S2998" s="69"/>
    </row>
    <row r="2999" s="2" customFormat="1" ht="24.95" customHeight="1" spans="1:19">
      <c r="A2999" s="15"/>
      <c r="B2999" s="55"/>
      <c r="C2999" s="56"/>
      <c r="D2999" s="68"/>
      <c r="E2999" s="69"/>
      <c r="F2999" s="69"/>
      <c r="G2999" s="65"/>
      <c r="H2999" s="65"/>
      <c r="I2999" s="70"/>
      <c r="J2999" s="71"/>
      <c r="K2999" s="71"/>
      <c r="L2999" s="72" t="str">
        <f>IFERROR(IF(G2999="","",VLOOKUP($G2999,[1]基础信息!$B:$C,2,FALSE)+SUMIF(G$8:G2999,G2999,J$8:J2999)-SUMIF(G$8:G2999,G2999,K$8:K2999)+SUMIFS([1]内部转账!$G:$G,[1]内部转账!$C:$C,"&lt;="&amp;$D2999,[1]内部转账!$E:$E,$G2999)-SUMIFS([1]内部转账!$G:$G,[1]内部转账!$C:$C,"&lt;="&amp;$D2999,[1]内部转账!$F:$F,$G2999)),"")</f>
        <v/>
      </c>
      <c r="M2999" s="64"/>
      <c r="N2999" s="69"/>
      <c r="O2999" s="64"/>
      <c r="P2999" s="64"/>
      <c r="Q2999" s="69"/>
      <c r="R2999" s="69"/>
      <c r="S2999" s="69"/>
    </row>
    <row r="3000" s="2" customFormat="1" ht="24.95" customHeight="1" spans="1:19">
      <c r="A3000" s="15"/>
      <c r="B3000" s="55"/>
      <c r="C3000" s="56"/>
      <c r="D3000" s="68"/>
      <c r="E3000" s="69"/>
      <c r="F3000" s="69"/>
      <c r="G3000" s="65"/>
      <c r="H3000" s="65"/>
      <c r="I3000" s="70"/>
      <c r="J3000" s="71"/>
      <c r="K3000" s="71"/>
      <c r="L3000" s="72" t="str">
        <f>IFERROR(IF(G3000="","",VLOOKUP($G3000,[1]基础信息!$B:$C,2,FALSE)+SUMIF(G$8:G3000,G3000,J$8:J3000)-SUMIF(G$8:G3000,G3000,K$8:K3000)+SUMIFS([1]内部转账!$G:$G,[1]内部转账!$C:$C,"&lt;="&amp;$D3000,[1]内部转账!$E:$E,$G3000)-SUMIFS([1]内部转账!$G:$G,[1]内部转账!$C:$C,"&lt;="&amp;$D3000,[1]内部转账!$F:$F,$G3000)),"")</f>
        <v/>
      </c>
      <c r="M3000" s="64"/>
      <c r="N3000" s="69"/>
      <c r="O3000" s="64"/>
      <c r="P3000" s="64"/>
      <c r="Q3000" s="69"/>
      <c r="R3000" s="69"/>
      <c r="S3000" s="69"/>
    </row>
    <row r="3001" s="2" customFormat="1" ht="24.95" customHeight="1" spans="1:19">
      <c r="A3001" s="15"/>
      <c r="B3001" s="55"/>
      <c r="C3001" s="56"/>
      <c r="D3001" s="68"/>
      <c r="E3001" s="69"/>
      <c r="F3001" s="69"/>
      <c r="G3001" s="65"/>
      <c r="H3001" s="65"/>
      <c r="I3001" s="70"/>
      <c r="J3001" s="71"/>
      <c r="K3001" s="71"/>
      <c r="L3001" s="72" t="str">
        <f>IFERROR(IF(G3001="","",VLOOKUP($G3001,[1]基础信息!$B:$C,2,FALSE)+SUMIF(G$8:G3001,G3001,J$8:J3001)-SUMIF(G$8:G3001,G3001,K$8:K3001)+SUMIFS([1]内部转账!$G:$G,[1]内部转账!$C:$C,"&lt;="&amp;$D3001,[1]内部转账!$E:$E,$G3001)-SUMIFS([1]内部转账!$G:$G,[1]内部转账!$C:$C,"&lt;="&amp;$D3001,[1]内部转账!$F:$F,$G3001)),"")</f>
        <v/>
      </c>
      <c r="M3001" s="64"/>
      <c r="N3001" s="69"/>
      <c r="O3001" s="64"/>
      <c r="P3001" s="64"/>
      <c r="Q3001" s="69"/>
      <c r="R3001" s="69"/>
      <c r="S3001" s="69"/>
    </row>
    <row r="3002" s="2" customFormat="1" ht="24.95" customHeight="1" spans="1:19">
      <c r="A3002" s="15"/>
      <c r="B3002" s="55"/>
      <c r="C3002" s="56"/>
      <c r="D3002" s="68"/>
      <c r="E3002" s="69"/>
      <c r="F3002" s="69"/>
      <c r="G3002" s="65"/>
      <c r="H3002" s="65"/>
      <c r="I3002" s="70"/>
      <c r="J3002" s="71"/>
      <c r="K3002" s="71"/>
      <c r="L3002" s="72" t="str">
        <f>IFERROR(IF(G3002="","",VLOOKUP($G3002,[1]基础信息!$B:$C,2,FALSE)+SUMIF(G$8:G3002,G3002,J$8:J3002)-SUMIF(G$8:G3002,G3002,K$8:K3002)+SUMIFS([1]内部转账!$G:$G,[1]内部转账!$C:$C,"&lt;="&amp;$D3002,[1]内部转账!$E:$E,$G3002)-SUMIFS([1]内部转账!$G:$G,[1]内部转账!$C:$C,"&lt;="&amp;$D3002,[1]内部转账!$F:$F,$G3002)),"")</f>
        <v/>
      </c>
      <c r="M3002" s="64"/>
      <c r="N3002" s="69"/>
      <c r="O3002" s="64"/>
      <c r="P3002" s="64"/>
      <c r="Q3002" s="69"/>
      <c r="R3002" s="69"/>
      <c r="S3002" s="69"/>
    </row>
    <row r="3003" s="2" customFormat="1" ht="24.95" customHeight="1" spans="1:19">
      <c r="A3003" s="15"/>
      <c r="B3003" s="55"/>
      <c r="C3003" s="56"/>
      <c r="D3003" s="68"/>
      <c r="E3003" s="69"/>
      <c r="F3003" s="69"/>
      <c r="G3003" s="65"/>
      <c r="H3003" s="65"/>
      <c r="I3003" s="70"/>
      <c r="J3003" s="71"/>
      <c r="K3003" s="71"/>
      <c r="L3003" s="72" t="str">
        <f>IFERROR(IF(G3003="","",VLOOKUP($G3003,[1]基础信息!$B:$C,2,FALSE)+SUMIF(G$8:G3003,G3003,J$8:J3003)-SUMIF(G$8:G3003,G3003,K$8:K3003)+SUMIFS([1]内部转账!$G:$G,[1]内部转账!$C:$C,"&lt;="&amp;$D3003,[1]内部转账!$E:$E,$G3003)-SUMIFS([1]内部转账!$G:$G,[1]内部转账!$C:$C,"&lt;="&amp;$D3003,[1]内部转账!$F:$F,$G3003)),"")</f>
        <v/>
      </c>
      <c r="M3003" s="64"/>
      <c r="N3003" s="69"/>
      <c r="O3003" s="64"/>
      <c r="P3003" s="64"/>
      <c r="Q3003" s="69"/>
      <c r="R3003" s="69"/>
      <c r="S3003" s="69"/>
    </row>
    <row r="3004" s="2" customFormat="1" ht="24.95" customHeight="1" spans="1:19">
      <c r="A3004" s="15"/>
      <c r="B3004" s="55"/>
      <c r="C3004" s="56"/>
      <c r="D3004" s="68"/>
      <c r="E3004" s="69"/>
      <c r="F3004" s="69"/>
      <c r="G3004" s="65"/>
      <c r="H3004" s="65"/>
      <c r="I3004" s="70"/>
      <c r="J3004" s="71"/>
      <c r="K3004" s="71"/>
      <c r="L3004" s="72" t="str">
        <f>IFERROR(IF(G3004="","",VLOOKUP($G3004,[1]基础信息!$B:$C,2,FALSE)+SUMIF(G$8:G3004,G3004,J$8:J3004)-SUMIF(G$8:G3004,G3004,K$8:K3004)+SUMIFS([1]内部转账!$G:$G,[1]内部转账!$C:$C,"&lt;="&amp;$D3004,[1]内部转账!$E:$E,$G3004)-SUMIFS([1]内部转账!$G:$G,[1]内部转账!$C:$C,"&lt;="&amp;$D3004,[1]内部转账!$F:$F,$G3004)),"")</f>
        <v/>
      </c>
      <c r="M3004" s="64"/>
      <c r="N3004" s="69"/>
      <c r="O3004" s="64"/>
      <c r="P3004" s="64"/>
      <c r="Q3004" s="69"/>
      <c r="R3004" s="69"/>
      <c r="S3004" s="69"/>
    </row>
    <row r="3005" s="2" customFormat="1" ht="24.95" customHeight="1" spans="1:19">
      <c r="A3005" s="15"/>
      <c r="B3005" s="55"/>
      <c r="C3005" s="56"/>
      <c r="D3005" s="68"/>
      <c r="E3005" s="69"/>
      <c r="F3005" s="69"/>
      <c r="G3005" s="65"/>
      <c r="H3005" s="65"/>
      <c r="I3005" s="70"/>
      <c r="J3005" s="71"/>
      <c r="K3005" s="71"/>
      <c r="L3005" s="72" t="str">
        <f>IFERROR(IF(G3005="","",VLOOKUP($G3005,[1]基础信息!$B:$C,2,FALSE)+SUMIF(G$8:G3005,G3005,J$8:J3005)-SUMIF(G$8:G3005,G3005,K$8:K3005)+SUMIFS([1]内部转账!$G:$G,[1]内部转账!$C:$C,"&lt;="&amp;$D3005,[1]内部转账!$E:$E,$G3005)-SUMIFS([1]内部转账!$G:$G,[1]内部转账!$C:$C,"&lt;="&amp;$D3005,[1]内部转账!$F:$F,$G3005)),"")</f>
        <v/>
      </c>
      <c r="M3005" s="64"/>
      <c r="N3005" s="69"/>
      <c r="O3005" s="64"/>
      <c r="P3005" s="64"/>
      <c r="Q3005" s="69"/>
      <c r="R3005" s="69"/>
      <c r="S3005" s="69"/>
    </row>
    <row r="3006" s="2" customFormat="1" ht="24.95" customHeight="1" spans="1:19">
      <c r="A3006" s="15"/>
      <c r="B3006" s="55"/>
      <c r="C3006" s="56"/>
      <c r="D3006" s="68"/>
      <c r="E3006" s="69"/>
      <c r="F3006" s="69"/>
      <c r="G3006" s="65"/>
      <c r="H3006" s="65"/>
      <c r="I3006" s="70"/>
      <c r="J3006" s="71"/>
      <c r="K3006" s="71"/>
      <c r="L3006" s="72" t="str">
        <f>IFERROR(IF(G3006="","",VLOOKUP($G3006,[1]基础信息!$B:$C,2,FALSE)+SUMIF(G$8:G3006,G3006,J$8:J3006)-SUMIF(G$8:G3006,G3006,K$8:K3006)+SUMIFS([1]内部转账!$G:$G,[1]内部转账!$C:$C,"&lt;="&amp;$D3006,[1]内部转账!$E:$E,$G3006)-SUMIFS([1]内部转账!$G:$G,[1]内部转账!$C:$C,"&lt;="&amp;$D3006,[1]内部转账!$F:$F,$G3006)),"")</f>
        <v/>
      </c>
      <c r="M3006" s="64"/>
      <c r="N3006" s="69"/>
      <c r="O3006" s="64"/>
      <c r="P3006" s="64"/>
      <c r="Q3006" s="69"/>
      <c r="R3006" s="69"/>
      <c r="S3006" s="69"/>
    </row>
    <row r="3007" s="2" customFormat="1" ht="24.95" customHeight="1" spans="1:19">
      <c r="A3007" s="15"/>
      <c r="B3007" s="55"/>
      <c r="C3007" s="56"/>
      <c r="D3007" s="68"/>
      <c r="E3007" s="69"/>
      <c r="F3007" s="69"/>
      <c r="G3007" s="65"/>
      <c r="H3007" s="65"/>
      <c r="I3007" s="70"/>
      <c r="J3007" s="71"/>
      <c r="K3007" s="71"/>
      <c r="L3007" s="72" t="str">
        <f>IFERROR(IF(G3007="","",VLOOKUP($G3007,[1]基础信息!$B:$C,2,FALSE)+SUMIF(G$8:G3007,G3007,J$8:J3007)-SUMIF(G$8:G3007,G3007,K$8:K3007)+SUMIFS([1]内部转账!$G:$G,[1]内部转账!$C:$C,"&lt;="&amp;$D3007,[1]内部转账!$E:$E,$G3007)-SUMIFS([1]内部转账!$G:$G,[1]内部转账!$C:$C,"&lt;="&amp;$D3007,[1]内部转账!$F:$F,$G3007)),"")</f>
        <v/>
      </c>
      <c r="M3007" s="64"/>
      <c r="N3007" s="69"/>
      <c r="O3007" s="64"/>
      <c r="P3007" s="64"/>
      <c r="Q3007" s="69"/>
      <c r="R3007" s="69"/>
      <c r="S3007" s="69"/>
    </row>
    <row r="3008" s="2" customFormat="1" ht="24.95" customHeight="1" spans="1:19">
      <c r="A3008" s="15"/>
      <c r="B3008" s="55"/>
      <c r="C3008" s="56"/>
      <c r="D3008" s="68"/>
      <c r="E3008" s="69"/>
      <c r="F3008" s="69"/>
      <c r="G3008" s="65"/>
      <c r="H3008" s="65"/>
      <c r="I3008" s="70"/>
      <c r="J3008" s="71"/>
      <c r="K3008" s="71"/>
      <c r="L3008" s="72" t="str">
        <f>IFERROR(IF(G3008="","",VLOOKUP($G3008,[1]基础信息!$B:$C,2,FALSE)+SUMIF(G$8:G3008,G3008,J$8:J3008)-SUMIF(G$8:G3008,G3008,K$8:K3008)+SUMIFS([1]内部转账!$G:$G,[1]内部转账!$C:$C,"&lt;="&amp;$D3008,[1]内部转账!$E:$E,$G3008)-SUMIFS([1]内部转账!$G:$G,[1]内部转账!$C:$C,"&lt;="&amp;$D3008,[1]内部转账!$F:$F,$G3008)),"")</f>
        <v/>
      </c>
      <c r="M3008" s="64"/>
      <c r="N3008" s="69"/>
      <c r="O3008" s="64"/>
      <c r="P3008" s="64"/>
      <c r="Q3008" s="69"/>
      <c r="R3008" s="69"/>
      <c r="S3008" s="69"/>
    </row>
    <row r="3009" s="2" customFormat="1" ht="24.95" customHeight="1" spans="1:19">
      <c r="A3009" s="15"/>
      <c r="B3009" s="55"/>
      <c r="C3009" s="56"/>
      <c r="D3009" s="68"/>
      <c r="E3009" s="69"/>
      <c r="F3009" s="69"/>
      <c r="G3009" s="65"/>
      <c r="H3009" s="65"/>
      <c r="I3009" s="70"/>
      <c r="J3009" s="71"/>
      <c r="K3009" s="71"/>
      <c r="L3009" s="72" t="str">
        <f>IFERROR(IF(G3009="","",VLOOKUP($G3009,[1]基础信息!$B:$C,2,FALSE)+SUMIF(G$8:G3009,G3009,J$8:J3009)-SUMIF(G$8:G3009,G3009,K$8:K3009)+SUMIFS([1]内部转账!$G:$G,[1]内部转账!$C:$C,"&lt;="&amp;$D3009,[1]内部转账!$E:$E,$G3009)-SUMIFS([1]内部转账!$G:$G,[1]内部转账!$C:$C,"&lt;="&amp;$D3009,[1]内部转账!$F:$F,$G3009)),"")</f>
        <v/>
      </c>
      <c r="M3009" s="64"/>
      <c r="N3009" s="69"/>
      <c r="O3009" s="64"/>
      <c r="P3009" s="64"/>
      <c r="Q3009" s="69"/>
      <c r="R3009" s="69"/>
      <c r="S3009" s="69"/>
    </row>
    <row r="3010" s="2" customFormat="1" ht="24.95" customHeight="1" spans="1:19">
      <c r="A3010" s="15"/>
      <c r="B3010" s="55"/>
      <c r="C3010" s="56"/>
      <c r="D3010" s="68"/>
      <c r="E3010" s="69"/>
      <c r="F3010" s="69"/>
      <c r="G3010" s="65"/>
      <c r="H3010" s="65"/>
      <c r="I3010" s="70"/>
      <c r="J3010" s="71"/>
      <c r="K3010" s="71"/>
      <c r="L3010" s="72" t="str">
        <f>IFERROR(IF(G3010="","",VLOOKUP($G3010,[1]基础信息!$B:$C,2,FALSE)+SUMIF(G$8:G3010,G3010,J$8:J3010)-SUMIF(G$8:G3010,G3010,K$8:K3010)+SUMIFS([1]内部转账!$G:$G,[1]内部转账!$C:$C,"&lt;="&amp;$D3010,[1]内部转账!$E:$E,$G3010)-SUMIFS([1]内部转账!$G:$G,[1]内部转账!$C:$C,"&lt;="&amp;$D3010,[1]内部转账!$F:$F,$G3010)),"")</f>
        <v/>
      </c>
      <c r="M3010" s="64"/>
      <c r="N3010" s="69"/>
      <c r="O3010" s="64"/>
      <c r="P3010" s="64"/>
      <c r="Q3010" s="69"/>
      <c r="R3010" s="69"/>
      <c r="S3010" s="69"/>
    </row>
    <row r="3011" s="2" customFormat="1" ht="24.95" customHeight="1" spans="1:19">
      <c r="A3011" s="15"/>
      <c r="B3011" s="55"/>
      <c r="C3011" s="56"/>
      <c r="D3011" s="68"/>
      <c r="E3011" s="69"/>
      <c r="F3011" s="69"/>
      <c r="G3011" s="65"/>
      <c r="H3011" s="65"/>
      <c r="I3011" s="70"/>
      <c r="J3011" s="71"/>
      <c r="K3011" s="71"/>
      <c r="L3011" s="72" t="str">
        <f>IFERROR(IF(G3011="","",VLOOKUP($G3011,[1]基础信息!$B:$C,2,FALSE)+SUMIF(G$8:G3011,G3011,J$8:J3011)-SUMIF(G$8:G3011,G3011,K$8:K3011)+SUMIFS([1]内部转账!$G:$G,[1]内部转账!$C:$C,"&lt;="&amp;$D3011,[1]内部转账!$E:$E,$G3011)-SUMIFS([1]内部转账!$G:$G,[1]内部转账!$C:$C,"&lt;="&amp;$D3011,[1]内部转账!$F:$F,$G3011)),"")</f>
        <v/>
      </c>
      <c r="M3011" s="64"/>
      <c r="N3011" s="69"/>
      <c r="O3011" s="64"/>
      <c r="P3011" s="64"/>
      <c r="Q3011" s="69"/>
      <c r="R3011" s="69"/>
      <c r="S3011" s="69"/>
    </row>
    <row r="3012" s="2" customFormat="1" ht="24.95" customHeight="1" spans="1:19">
      <c r="A3012" s="15"/>
      <c r="B3012" s="55"/>
      <c r="C3012" s="56"/>
      <c r="D3012" s="68"/>
      <c r="E3012" s="69"/>
      <c r="F3012" s="69"/>
      <c r="G3012" s="65"/>
      <c r="H3012" s="65"/>
      <c r="I3012" s="70"/>
      <c r="J3012" s="71"/>
      <c r="K3012" s="71"/>
      <c r="L3012" s="72" t="str">
        <f>IFERROR(IF(G3012="","",VLOOKUP($G3012,[1]基础信息!$B:$C,2,FALSE)+SUMIF(G$8:G3012,G3012,J$8:J3012)-SUMIF(G$8:G3012,G3012,K$8:K3012)+SUMIFS([1]内部转账!$G:$G,[1]内部转账!$C:$C,"&lt;="&amp;$D3012,[1]内部转账!$E:$E,$G3012)-SUMIFS([1]内部转账!$G:$G,[1]内部转账!$C:$C,"&lt;="&amp;$D3012,[1]内部转账!$F:$F,$G3012)),"")</f>
        <v/>
      </c>
      <c r="M3012" s="64"/>
      <c r="N3012" s="69"/>
      <c r="O3012" s="64"/>
      <c r="P3012" s="64"/>
      <c r="Q3012" s="69"/>
      <c r="R3012" s="69"/>
      <c r="S3012" s="69"/>
    </row>
    <row r="3013" s="2" customFormat="1" ht="24.95" customHeight="1" spans="1:19">
      <c r="A3013" s="15"/>
      <c r="B3013" s="55"/>
      <c r="C3013" s="56"/>
      <c r="D3013" s="68"/>
      <c r="E3013" s="69"/>
      <c r="F3013" s="69"/>
      <c r="G3013" s="65"/>
      <c r="H3013" s="65"/>
      <c r="I3013" s="70"/>
      <c r="J3013" s="71"/>
      <c r="K3013" s="71"/>
      <c r="L3013" s="72" t="str">
        <f>IFERROR(IF(G3013="","",VLOOKUP($G3013,[1]基础信息!$B:$C,2,FALSE)+SUMIF(G$8:G3013,G3013,J$8:J3013)-SUMIF(G$8:G3013,G3013,K$8:K3013)+SUMIFS([1]内部转账!$G:$G,[1]内部转账!$C:$C,"&lt;="&amp;$D3013,[1]内部转账!$E:$E,$G3013)-SUMIFS([1]内部转账!$G:$G,[1]内部转账!$C:$C,"&lt;="&amp;$D3013,[1]内部转账!$F:$F,$G3013)),"")</f>
        <v/>
      </c>
      <c r="M3013" s="64"/>
      <c r="N3013" s="69"/>
      <c r="O3013" s="64"/>
      <c r="P3013" s="64"/>
      <c r="Q3013" s="69"/>
      <c r="R3013" s="69"/>
      <c r="S3013" s="69"/>
    </row>
    <row r="3014" s="2" customFormat="1" ht="24.95" customHeight="1" spans="1:19">
      <c r="A3014" s="15"/>
      <c r="B3014" s="55"/>
      <c r="C3014" s="56"/>
      <c r="D3014" s="68"/>
      <c r="E3014" s="69"/>
      <c r="F3014" s="69"/>
      <c r="G3014" s="65"/>
      <c r="H3014" s="65"/>
      <c r="I3014" s="70"/>
      <c r="J3014" s="71"/>
      <c r="K3014" s="71"/>
      <c r="L3014" s="72" t="str">
        <f>IFERROR(IF(G3014="","",VLOOKUP($G3014,[1]基础信息!$B:$C,2,FALSE)+SUMIF(G$8:G3014,G3014,J$8:J3014)-SUMIF(G$8:G3014,G3014,K$8:K3014)+SUMIFS([1]内部转账!$G:$G,[1]内部转账!$C:$C,"&lt;="&amp;$D3014,[1]内部转账!$E:$E,$G3014)-SUMIFS([1]内部转账!$G:$G,[1]内部转账!$C:$C,"&lt;="&amp;$D3014,[1]内部转账!$F:$F,$G3014)),"")</f>
        <v/>
      </c>
      <c r="M3014" s="64"/>
      <c r="N3014" s="69"/>
      <c r="O3014" s="64"/>
      <c r="P3014" s="64"/>
      <c r="Q3014" s="69"/>
      <c r="R3014" s="69"/>
      <c r="S3014" s="69"/>
    </row>
    <row r="3015" s="2" customFormat="1" ht="24.95" customHeight="1" spans="1:19">
      <c r="A3015" s="15"/>
      <c r="B3015" s="55"/>
      <c r="C3015" s="56"/>
      <c r="D3015" s="68"/>
      <c r="E3015" s="69"/>
      <c r="F3015" s="69"/>
      <c r="G3015" s="65"/>
      <c r="H3015" s="65"/>
      <c r="I3015" s="70"/>
      <c r="J3015" s="71"/>
      <c r="K3015" s="71"/>
      <c r="L3015" s="72" t="str">
        <f>IFERROR(IF(G3015="","",VLOOKUP($G3015,[1]基础信息!$B:$C,2,FALSE)+SUMIF(G$8:G3015,G3015,J$8:J3015)-SUMIF(G$8:G3015,G3015,K$8:K3015)+SUMIFS([1]内部转账!$G:$G,[1]内部转账!$C:$C,"&lt;="&amp;$D3015,[1]内部转账!$E:$E,$G3015)-SUMIFS([1]内部转账!$G:$G,[1]内部转账!$C:$C,"&lt;="&amp;$D3015,[1]内部转账!$F:$F,$G3015)),"")</f>
        <v/>
      </c>
      <c r="M3015" s="64"/>
      <c r="N3015" s="69"/>
      <c r="O3015" s="64"/>
      <c r="P3015" s="64"/>
      <c r="Q3015" s="69"/>
      <c r="R3015" s="69"/>
      <c r="S3015" s="69"/>
    </row>
    <row r="3016" s="2" customFormat="1" ht="24.95" customHeight="1" spans="1:19">
      <c r="A3016" s="15"/>
      <c r="B3016" s="55"/>
      <c r="C3016" s="56"/>
      <c r="D3016" s="68"/>
      <c r="E3016" s="69"/>
      <c r="F3016" s="69"/>
      <c r="G3016" s="65"/>
      <c r="H3016" s="65"/>
      <c r="I3016" s="70"/>
      <c r="J3016" s="71"/>
      <c r="K3016" s="71"/>
      <c r="L3016" s="72" t="str">
        <f>IFERROR(IF(G3016="","",VLOOKUP($G3016,[1]基础信息!$B:$C,2,FALSE)+SUMIF(G$8:G3016,G3016,J$8:J3016)-SUMIF(G$8:G3016,G3016,K$8:K3016)+SUMIFS([1]内部转账!$G:$G,[1]内部转账!$C:$C,"&lt;="&amp;$D3016,[1]内部转账!$E:$E,$G3016)-SUMIFS([1]内部转账!$G:$G,[1]内部转账!$C:$C,"&lt;="&amp;$D3016,[1]内部转账!$F:$F,$G3016)),"")</f>
        <v/>
      </c>
      <c r="M3016" s="64"/>
      <c r="N3016" s="69"/>
      <c r="O3016" s="64"/>
      <c r="P3016" s="64"/>
      <c r="Q3016" s="69"/>
      <c r="R3016" s="69"/>
      <c r="S3016" s="69"/>
    </row>
    <row r="3017" s="2" customFormat="1" ht="24.95" customHeight="1" spans="1:19">
      <c r="A3017" s="15"/>
      <c r="B3017" s="55"/>
      <c r="C3017" s="56"/>
      <c r="D3017" s="68"/>
      <c r="E3017" s="69"/>
      <c r="F3017" s="69"/>
      <c r="G3017" s="65"/>
      <c r="H3017" s="65"/>
      <c r="I3017" s="70"/>
      <c r="J3017" s="71"/>
      <c r="K3017" s="71"/>
      <c r="L3017" s="72" t="str">
        <f>IFERROR(IF(G3017="","",VLOOKUP($G3017,[1]基础信息!$B:$C,2,FALSE)+SUMIF(G$8:G3017,G3017,J$8:J3017)-SUMIF(G$8:G3017,G3017,K$8:K3017)+SUMIFS([1]内部转账!$G:$G,[1]内部转账!$C:$C,"&lt;="&amp;$D3017,[1]内部转账!$E:$E,$G3017)-SUMIFS([1]内部转账!$G:$G,[1]内部转账!$C:$C,"&lt;="&amp;$D3017,[1]内部转账!$F:$F,$G3017)),"")</f>
        <v/>
      </c>
      <c r="M3017" s="64"/>
      <c r="N3017" s="69"/>
      <c r="O3017" s="64"/>
      <c r="P3017" s="64"/>
      <c r="Q3017" s="69"/>
      <c r="R3017" s="69"/>
      <c r="S3017" s="69"/>
    </row>
    <row r="3018" s="2" customFormat="1" ht="24.95" customHeight="1" spans="1:19">
      <c r="A3018" s="15"/>
      <c r="B3018" s="55"/>
      <c r="C3018" s="56"/>
      <c r="D3018" s="68"/>
      <c r="E3018" s="69"/>
      <c r="F3018" s="69"/>
      <c r="G3018" s="65"/>
      <c r="H3018" s="65"/>
      <c r="I3018" s="70"/>
      <c r="J3018" s="71"/>
      <c r="K3018" s="71"/>
      <c r="L3018" s="72" t="str">
        <f>IFERROR(IF(G3018="","",VLOOKUP($G3018,[1]基础信息!$B:$C,2,FALSE)+SUMIF(G$8:G3018,G3018,J$8:J3018)-SUMIF(G$8:G3018,G3018,K$8:K3018)+SUMIFS([1]内部转账!$G:$G,[1]内部转账!$C:$C,"&lt;="&amp;$D3018,[1]内部转账!$E:$E,$G3018)-SUMIFS([1]内部转账!$G:$G,[1]内部转账!$C:$C,"&lt;="&amp;$D3018,[1]内部转账!$F:$F,$G3018)),"")</f>
        <v/>
      </c>
      <c r="M3018" s="64"/>
      <c r="N3018" s="69"/>
      <c r="O3018" s="64"/>
      <c r="P3018" s="64"/>
      <c r="Q3018" s="69"/>
      <c r="R3018" s="69"/>
      <c r="S3018" s="69"/>
    </row>
    <row r="3019" s="2" customFormat="1" ht="24.95" customHeight="1" spans="1:19">
      <c r="A3019" s="15"/>
      <c r="B3019" s="55"/>
      <c r="C3019" s="56"/>
      <c r="D3019" s="68"/>
      <c r="E3019" s="69"/>
      <c r="F3019" s="69"/>
      <c r="G3019" s="65"/>
      <c r="H3019" s="65"/>
      <c r="I3019" s="70"/>
      <c r="J3019" s="71"/>
      <c r="K3019" s="71"/>
      <c r="L3019" s="72" t="str">
        <f>IFERROR(IF(G3019="","",VLOOKUP($G3019,[1]基础信息!$B:$C,2,FALSE)+SUMIF(G$8:G3019,G3019,J$8:J3019)-SUMIF(G$8:G3019,G3019,K$8:K3019)+SUMIFS([1]内部转账!$G:$G,[1]内部转账!$C:$C,"&lt;="&amp;$D3019,[1]内部转账!$E:$E,$G3019)-SUMIFS([1]内部转账!$G:$G,[1]内部转账!$C:$C,"&lt;="&amp;$D3019,[1]内部转账!$F:$F,$G3019)),"")</f>
        <v/>
      </c>
      <c r="M3019" s="64"/>
      <c r="N3019" s="69"/>
      <c r="O3019" s="64"/>
      <c r="P3019" s="64"/>
      <c r="Q3019" s="69"/>
      <c r="R3019" s="69"/>
      <c r="S3019" s="69"/>
    </row>
    <row r="3020" s="2" customFormat="1" ht="24.95" customHeight="1" spans="1:19">
      <c r="A3020" s="15"/>
      <c r="B3020" s="55"/>
      <c r="C3020" s="56"/>
      <c r="D3020" s="68"/>
      <c r="E3020" s="69"/>
      <c r="F3020" s="69"/>
      <c r="G3020" s="65"/>
      <c r="H3020" s="65"/>
      <c r="I3020" s="70"/>
      <c r="J3020" s="71"/>
      <c r="K3020" s="71"/>
      <c r="L3020" s="72" t="str">
        <f>IFERROR(IF(G3020="","",VLOOKUP($G3020,[1]基础信息!$B:$C,2,FALSE)+SUMIF(G$8:G3020,G3020,J$8:J3020)-SUMIF(G$8:G3020,G3020,K$8:K3020)+SUMIFS([1]内部转账!$G:$G,[1]内部转账!$C:$C,"&lt;="&amp;$D3020,[1]内部转账!$E:$E,$G3020)-SUMIFS([1]内部转账!$G:$G,[1]内部转账!$C:$C,"&lt;="&amp;$D3020,[1]内部转账!$F:$F,$G3020)),"")</f>
        <v/>
      </c>
      <c r="M3020" s="64"/>
      <c r="N3020" s="69"/>
      <c r="O3020" s="64"/>
      <c r="P3020" s="64"/>
      <c r="Q3020" s="69"/>
      <c r="R3020" s="69"/>
      <c r="S3020" s="69"/>
    </row>
    <row r="3021" s="2" customFormat="1" ht="24.95" customHeight="1" spans="1:19">
      <c r="A3021" s="15"/>
      <c r="B3021" s="55"/>
      <c r="C3021" s="56"/>
      <c r="D3021" s="68"/>
      <c r="E3021" s="69"/>
      <c r="F3021" s="69"/>
      <c r="G3021" s="65"/>
      <c r="H3021" s="65"/>
      <c r="I3021" s="70"/>
      <c r="J3021" s="71"/>
      <c r="K3021" s="71"/>
      <c r="L3021" s="72" t="str">
        <f>IFERROR(IF(G3021="","",VLOOKUP($G3021,[1]基础信息!$B:$C,2,FALSE)+SUMIF(G$8:G3021,G3021,J$8:J3021)-SUMIF(G$8:G3021,G3021,K$8:K3021)+SUMIFS([1]内部转账!$G:$G,[1]内部转账!$C:$C,"&lt;="&amp;$D3021,[1]内部转账!$E:$E,$G3021)-SUMIFS([1]内部转账!$G:$G,[1]内部转账!$C:$C,"&lt;="&amp;$D3021,[1]内部转账!$F:$F,$G3021)),"")</f>
        <v/>
      </c>
      <c r="M3021" s="64"/>
      <c r="N3021" s="69"/>
      <c r="O3021" s="64"/>
      <c r="P3021" s="64"/>
      <c r="Q3021" s="69"/>
      <c r="R3021" s="69"/>
      <c r="S3021" s="69"/>
    </row>
    <row r="3022" s="2" customFormat="1" ht="24.95" customHeight="1" spans="1:19">
      <c r="A3022" s="15"/>
      <c r="B3022" s="55"/>
      <c r="C3022" s="56"/>
      <c r="D3022" s="68"/>
      <c r="E3022" s="69"/>
      <c r="F3022" s="69"/>
      <c r="G3022" s="65"/>
      <c r="H3022" s="65"/>
      <c r="I3022" s="70"/>
      <c r="J3022" s="71"/>
      <c r="K3022" s="71"/>
      <c r="L3022" s="72" t="str">
        <f>IFERROR(IF(G3022="","",VLOOKUP($G3022,[1]基础信息!$B:$C,2,FALSE)+SUMIF(G$8:G3022,G3022,J$8:J3022)-SUMIF(G$8:G3022,G3022,K$8:K3022)+SUMIFS([1]内部转账!$G:$G,[1]内部转账!$C:$C,"&lt;="&amp;$D3022,[1]内部转账!$E:$E,$G3022)-SUMIFS([1]内部转账!$G:$G,[1]内部转账!$C:$C,"&lt;="&amp;$D3022,[1]内部转账!$F:$F,$G3022)),"")</f>
        <v/>
      </c>
      <c r="M3022" s="64"/>
      <c r="N3022" s="69"/>
      <c r="O3022" s="64"/>
      <c r="P3022" s="64"/>
      <c r="Q3022" s="69"/>
      <c r="R3022" s="69"/>
      <c r="S3022" s="69"/>
    </row>
    <row r="3023" s="2" customFormat="1" ht="24.95" customHeight="1" spans="1:19">
      <c r="A3023" s="15"/>
      <c r="B3023" s="55"/>
      <c r="C3023" s="56"/>
      <c r="D3023" s="68"/>
      <c r="E3023" s="69"/>
      <c r="F3023" s="69"/>
      <c r="G3023" s="65"/>
      <c r="H3023" s="65"/>
      <c r="I3023" s="70"/>
      <c r="J3023" s="71"/>
      <c r="K3023" s="71"/>
      <c r="L3023" s="72" t="str">
        <f>IFERROR(IF(G3023="","",VLOOKUP($G3023,[1]基础信息!$B:$C,2,FALSE)+SUMIF(G$8:G3023,G3023,J$8:J3023)-SUMIF(G$8:G3023,G3023,K$8:K3023)+SUMIFS([1]内部转账!$G:$G,[1]内部转账!$C:$C,"&lt;="&amp;$D3023,[1]内部转账!$E:$E,$G3023)-SUMIFS([1]内部转账!$G:$G,[1]内部转账!$C:$C,"&lt;="&amp;$D3023,[1]内部转账!$F:$F,$G3023)),"")</f>
        <v/>
      </c>
      <c r="M3023" s="64"/>
      <c r="N3023" s="69"/>
      <c r="O3023" s="64"/>
      <c r="P3023" s="64"/>
      <c r="Q3023" s="69"/>
      <c r="R3023" s="69"/>
      <c r="S3023" s="69"/>
    </row>
    <row r="3024" s="2" customFormat="1" ht="24.95" customHeight="1" spans="1:19">
      <c r="A3024" s="15"/>
      <c r="B3024" s="55"/>
      <c r="C3024" s="56"/>
      <c r="D3024" s="68"/>
      <c r="E3024" s="69"/>
      <c r="F3024" s="69"/>
      <c r="G3024" s="65"/>
      <c r="H3024" s="65"/>
      <c r="I3024" s="70"/>
      <c r="J3024" s="71"/>
      <c r="K3024" s="71"/>
      <c r="L3024" s="72" t="str">
        <f>IFERROR(IF(G3024="","",VLOOKUP($G3024,[1]基础信息!$B:$C,2,FALSE)+SUMIF(G$8:G3024,G3024,J$8:J3024)-SUMIF(G$8:G3024,G3024,K$8:K3024)+SUMIFS([1]内部转账!$G:$G,[1]内部转账!$C:$C,"&lt;="&amp;$D3024,[1]内部转账!$E:$E,$G3024)-SUMIFS([1]内部转账!$G:$G,[1]内部转账!$C:$C,"&lt;="&amp;$D3024,[1]内部转账!$F:$F,$G3024)),"")</f>
        <v/>
      </c>
      <c r="M3024" s="64"/>
      <c r="N3024" s="69"/>
      <c r="O3024" s="64"/>
      <c r="P3024" s="64"/>
      <c r="Q3024" s="69"/>
      <c r="R3024" s="69"/>
      <c r="S3024" s="69"/>
    </row>
    <row r="3025" s="2" customFormat="1" ht="24.95" customHeight="1" spans="1:19">
      <c r="A3025" s="15"/>
      <c r="B3025" s="55"/>
      <c r="C3025" s="56"/>
      <c r="D3025" s="68"/>
      <c r="E3025" s="69"/>
      <c r="F3025" s="69"/>
      <c r="G3025" s="65"/>
      <c r="H3025" s="65"/>
      <c r="I3025" s="70"/>
      <c r="J3025" s="71"/>
      <c r="K3025" s="71"/>
      <c r="L3025" s="72" t="str">
        <f>IFERROR(IF(G3025="","",VLOOKUP($G3025,[1]基础信息!$B:$C,2,FALSE)+SUMIF(G$8:G3025,G3025,J$8:J3025)-SUMIF(G$8:G3025,G3025,K$8:K3025)+SUMIFS([1]内部转账!$G:$G,[1]内部转账!$C:$C,"&lt;="&amp;$D3025,[1]内部转账!$E:$E,$G3025)-SUMIFS([1]内部转账!$G:$G,[1]内部转账!$C:$C,"&lt;="&amp;$D3025,[1]内部转账!$F:$F,$G3025)),"")</f>
        <v/>
      </c>
      <c r="M3025" s="64"/>
      <c r="N3025" s="69"/>
      <c r="O3025" s="64"/>
      <c r="P3025" s="64"/>
      <c r="Q3025" s="69"/>
      <c r="R3025" s="69"/>
      <c r="S3025" s="69"/>
    </row>
    <row r="3026" s="2" customFormat="1" ht="24.95" customHeight="1" spans="1:19">
      <c r="A3026" s="15"/>
      <c r="B3026" s="55"/>
      <c r="C3026" s="56"/>
      <c r="D3026" s="68"/>
      <c r="E3026" s="69"/>
      <c r="F3026" s="69"/>
      <c r="G3026" s="65"/>
      <c r="H3026" s="65"/>
      <c r="I3026" s="70"/>
      <c r="J3026" s="71"/>
      <c r="K3026" s="71"/>
      <c r="L3026" s="72" t="str">
        <f>IFERROR(IF(G3026="","",VLOOKUP($G3026,[1]基础信息!$B:$C,2,FALSE)+SUMIF(G$8:G3026,G3026,J$8:J3026)-SUMIF(G$8:G3026,G3026,K$8:K3026)+SUMIFS([1]内部转账!$G:$G,[1]内部转账!$C:$C,"&lt;="&amp;$D3026,[1]内部转账!$E:$E,$G3026)-SUMIFS([1]内部转账!$G:$G,[1]内部转账!$C:$C,"&lt;="&amp;$D3026,[1]内部转账!$F:$F,$G3026)),"")</f>
        <v/>
      </c>
      <c r="M3026" s="64"/>
      <c r="N3026" s="69"/>
      <c r="O3026" s="64"/>
      <c r="P3026" s="64"/>
      <c r="Q3026" s="69"/>
      <c r="R3026" s="69"/>
      <c r="S3026" s="69"/>
    </row>
    <row r="3027" s="2" customFormat="1" ht="24.95" customHeight="1" spans="1:19">
      <c r="A3027" s="15"/>
      <c r="B3027" s="55"/>
      <c r="C3027" s="56"/>
      <c r="D3027" s="68"/>
      <c r="E3027" s="69"/>
      <c r="F3027" s="69"/>
      <c r="G3027" s="65"/>
      <c r="H3027" s="65"/>
      <c r="I3027" s="70"/>
      <c r="J3027" s="71"/>
      <c r="K3027" s="71"/>
      <c r="L3027" s="72" t="str">
        <f>IFERROR(IF(G3027="","",VLOOKUP($G3027,[1]基础信息!$B:$C,2,FALSE)+SUMIF(G$8:G3027,G3027,J$8:J3027)-SUMIF(G$8:G3027,G3027,K$8:K3027)+SUMIFS([1]内部转账!$G:$G,[1]内部转账!$C:$C,"&lt;="&amp;$D3027,[1]内部转账!$E:$E,$G3027)-SUMIFS([1]内部转账!$G:$G,[1]内部转账!$C:$C,"&lt;="&amp;$D3027,[1]内部转账!$F:$F,$G3027)),"")</f>
        <v/>
      </c>
      <c r="M3027" s="64"/>
      <c r="N3027" s="69"/>
      <c r="O3027" s="64"/>
      <c r="P3027" s="64"/>
      <c r="Q3027" s="69"/>
      <c r="R3027" s="69"/>
      <c r="S3027" s="69"/>
    </row>
    <row r="3028" s="2" customFormat="1" ht="24.95" customHeight="1" spans="1:19">
      <c r="A3028" s="15"/>
      <c r="B3028" s="55"/>
      <c r="C3028" s="56"/>
      <c r="D3028" s="68"/>
      <c r="E3028" s="69"/>
      <c r="F3028" s="69"/>
      <c r="G3028" s="65"/>
      <c r="H3028" s="65"/>
      <c r="I3028" s="70"/>
      <c r="J3028" s="71"/>
      <c r="K3028" s="71"/>
      <c r="L3028" s="72" t="str">
        <f>IFERROR(IF(G3028="","",VLOOKUP($G3028,[1]基础信息!$B:$C,2,FALSE)+SUMIF(G$8:G3028,G3028,J$8:J3028)-SUMIF(G$8:G3028,G3028,K$8:K3028)+SUMIFS([1]内部转账!$G:$G,[1]内部转账!$C:$C,"&lt;="&amp;$D3028,[1]内部转账!$E:$E,$G3028)-SUMIFS([1]内部转账!$G:$G,[1]内部转账!$C:$C,"&lt;="&amp;$D3028,[1]内部转账!$F:$F,$G3028)),"")</f>
        <v/>
      </c>
      <c r="M3028" s="64"/>
      <c r="N3028" s="69"/>
      <c r="O3028" s="64"/>
      <c r="P3028" s="64"/>
      <c r="Q3028" s="69"/>
      <c r="R3028" s="69"/>
      <c r="S3028" s="69"/>
    </row>
    <row r="3029" s="2" customFormat="1" ht="24.95" customHeight="1" spans="1:19">
      <c r="A3029" s="15"/>
      <c r="B3029" s="55"/>
      <c r="C3029" s="56"/>
      <c r="D3029" s="68"/>
      <c r="E3029" s="69"/>
      <c r="F3029" s="69"/>
      <c r="G3029" s="65"/>
      <c r="H3029" s="65"/>
      <c r="I3029" s="70"/>
      <c r="J3029" s="71"/>
      <c r="K3029" s="71"/>
      <c r="L3029" s="72" t="str">
        <f>IFERROR(IF(G3029="","",VLOOKUP($G3029,[1]基础信息!$B:$C,2,FALSE)+SUMIF(G$8:G3029,G3029,J$8:J3029)-SUMIF(G$8:G3029,G3029,K$8:K3029)+SUMIFS([1]内部转账!$G:$G,[1]内部转账!$C:$C,"&lt;="&amp;$D3029,[1]内部转账!$E:$E,$G3029)-SUMIFS([1]内部转账!$G:$G,[1]内部转账!$C:$C,"&lt;="&amp;$D3029,[1]内部转账!$F:$F,$G3029)),"")</f>
        <v/>
      </c>
      <c r="M3029" s="64"/>
      <c r="N3029" s="69"/>
      <c r="O3029" s="64"/>
      <c r="P3029" s="64"/>
      <c r="Q3029" s="69"/>
      <c r="R3029" s="69"/>
      <c r="S3029" s="69"/>
    </row>
    <row r="3030" s="2" customFormat="1" ht="24.95" customHeight="1" spans="1:19">
      <c r="A3030" s="15"/>
      <c r="B3030" s="55"/>
      <c r="C3030" s="56"/>
      <c r="D3030" s="68"/>
      <c r="E3030" s="69"/>
      <c r="F3030" s="69"/>
      <c r="G3030" s="65"/>
      <c r="H3030" s="65"/>
      <c r="I3030" s="70"/>
      <c r="J3030" s="71"/>
      <c r="K3030" s="71"/>
      <c r="L3030" s="72" t="str">
        <f>IFERROR(IF(G3030="","",VLOOKUP($G3030,[1]基础信息!$B:$C,2,FALSE)+SUMIF(G$8:G3030,G3030,J$8:J3030)-SUMIF(G$8:G3030,G3030,K$8:K3030)+SUMIFS([1]内部转账!$G:$G,[1]内部转账!$C:$C,"&lt;="&amp;$D3030,[1]内部转账!$E:$E,$G3030)-SUMIFS([1]内部转账!$G:$G,[1]内部转账!$C:$C,"&lt;="&amp;$D3030,[1]内部转账!$F:$F,$G3030)),"")</f>
        <v/>
      </c>
      <c r="M3030" s="64"/>
      <c r="N3030" s="69"/>
      <c r="O3030" s="64"/>
      <c r="P3030" s="64"/>
      <c r="Q3030" s="69"/>
      <c r="R3030" s="69"/>
      <c r="S3030" s="69"/>
    </row>
    <row r="3031" s="2" customFormat="1" ht="24.95" customHeight="1" spans="1:19">
      <c r="A3031" s="15"/>
      <c r="B3031" s="55"/>
      <c r="C3031" s="56"/>
      <c r="D3031" s="68"/>
      <c r="E3031" s="69"/>
      <c r="F3031" s="69"/>
      <c r="G3031" s="65"/>
      <c r="H3031" s="65"/>
      <c r="I3031" s="70"/>
      <c r="J3031" s="71"/>
      <c r="K3031" s="71"/>
      <c r="L3031" s="72" t="str">
        <f>IFERROR(IF(G3031="","",VLOOKUP($G3031,[1]基础信息!$B:$C,2,FALSE)+SUMIF(G$8:G3031,G3031,J$8:J3031)-SUMIF(G$8:G3031,G3031,K$8:K3031)+SUMIFS([1]内部转账!$G:$G,[1]内部转账!$C:$C,"&lt;="&amp;$D3031,[1]内部转账!$E:$E,$G3031)-SUMIFS([1]内部转账!$G:$G,[1]内部转账!$C:$C,"&lt;="&amp;$D3031,[1]内部转账!$F:$F,$G3031)),"")</f>
        <v/>
      </c>
      <c r="M3031" s="64"/>
      <c r="N3031" s="69"/>
      <c r="O3031" s="64"/>
      <c r="P3031" s="64"/>
      <c r="Q3031" s="69"/>
      <c r="R3031" s="69"/>
      <c r="S3031" s="69"/>
    </row>
    <row r="3032" s="2" customFormat="1" ht="24.95" customHeight="1" spans="1:19">
      <c r="A3032" s="15"/>
      <c r="B3032" s="55"/>
      <c r="C3032" s="56"/>
      <c r="D3032" s="68"/>
      <c r="E3032" s="69"/>
      <c r="F3032" s="69"/>
      <c r="G3032" s="65"/>
      <c r="H3032" s="65"/>
      <c r="I3032" s="70"/>
      <c r="J3032" s="71"/>
      <c r="K3032" s="71"/>
      <c r="L3032" s="72" t="str">
        <f>IFERROR(IF(G3032="","",VLOOKUP($G3032,[1]基础信息!$B:$C,2,FALSE)+SUMIF(G$8:G3032,G3032,J$8:J3032)-SUMIF(G$8:G3032,G3032,K$8:K3032)+SUMIFS([1]内部转账!$G:$G,[1]内部转账!$C:$C,"&lt;="&amp;$D3032,[1]内部转账!$E:$E,$G3032)-SUMIFS([1]内部转账!$G:$G,[1]内部转账!$C:$C,"&lt;="&amp;$D3032,[1]内部转账!$F:$F,$G3032)),"")</f>
        <v/>
      </c>
      <c r="M3032" s="64"/>
      <c r="N3032" s="69"/>
      <c r="O3032" s="64"/>
      <c r="P3032" s="64"/>
      <c r="Q3032" s="69"/>
      <c r="R3032" s="69"/>
      <c r="S3032" s="69"/>
    </row>
    <row r="3033" s="2" customFormat="1" ht="24.95" customHeight="1" spans="1:19">
      <c r="A3033" s="15"/>
      <c r="B3033" s="55"/>
      <c r="C3033" s="56"/>
      <c r="D3033" s="68"/>
      <c r="E3033" s="69"/>
      <c r="F3033" s="69"/>
      <c r="G3033" s="65"/>
      <c r="H3033" s="65"/>
      <c r="I3033" s="70"/>
      <c r="J3033" s="71"/>
      <c r="K3033" s="71"/>
      <c r="L3033" s="72" t="str">
        <f>IFERROR(IF(G3033="","",VLOOKUP($G3033,[1]基础信息!$B:$C,2,FALSE)+SUMIF(G$8:G3033,G3033,J$8:J3033)-SUMIF(G$8:G3033,G3033,K$8:K3033)+SUMIFS([1]内部转账!$G:$G,[1]内部转账!$C:$C,"&lt;="&amp;$D3033,[1]内部转账!$E:$E,$G3033)-SUMIFS([1]内部转账!$G:$G,[1]内部转账!$C:$C,"&lt;="&amp;$D3033,[1]内部转账!$F:$F,$G3033)),"")</f>
        <v/>
      </c>
      <c r="M3033" s="64"/>
      <c r="N3033" s="69"/>
      <c r="O3033" s="64"/>
      <c r="P3033" s="64"/>
      <c r="Q3033" s="69"/>
      <c r="R3033" s="69"/>
      <c r="S3033" s="69"/>
    </row>
    <row r="3034" s="2" customFormat="1" ht="24.95" customHeight="1" spans="1:19">
      <c r="A3034" s="15"/>
      <c r="B3034" s="55"/>
      <c r="C3034" s="56"/>
      <c r="D3034" s="68"/>
      <c r="E3034" s="69"/>
      <c r="F3034" s="69"/>
      <c r="G3034" s="65"/>
      <c r="H3034" s="65"/>
      <c r="I3034" s="70"/>
      <c r="J3034" s="71"/>
      <c r="K3034" s="71"/>
      <c r="L3034" s="72" t="str">
        <f>IFERROR(IF(G3034="","",VLOOKUP($G3034,[1]基础信息!$B:$C,2,FALSE)+SUMIF(G$8:G3034,G3034,J$8:J3034)-SUMIF(G$8:G3034,G3034,K$8:K3034)+SUMIFS([1]内部转账!$G:$G,[1]内部转账!$C:$C,"&lt;="&amp;$D3034,[1]内部转账!$E:$E,$G3034)-SUMIFS([1]内部转账!$G:$G,[1]内部转账!$C:$C,"&lt;="&amp;$D3034,[1]内部转账!$F:$F,$G3034)),"")</f>
        <v/>
      </c>
      <c r="M3034" s="64"/>
      <c r="N3034" s="69"/>
      <c r="O3034" s="64"/>
      <c r="P3034" s="64"/>
      <c r="Q3034" s="69"/>
      <c r="R3034" s="69"/>
      <c r="S3034" s="69"/>
    </row>
    <row r="3035" s="2" customFormat="1" ht="24.95" customHeight="1" spans="1:19">
      <c r="A3035" s="15"/>
      <c r="B3035" s="55"/>
      <c r="C3035" s="56"/>
      <c r="D3035" s="68"/>
      <c r="E3035" s="69"/>
      <c r="F3035" s="69"/>
      <c r="G3035" s="65"/>
      <c r="H3035" s="65"/>
      <c r="I3035" s="70"/>
      <c r="J3035" s="71"/>
      <c r="K3035" s="71"/>
      <c r="L3035" s="72" t="str">
        <f>IFERROR(IF(G3035="","",VLOOKUP($G3035,[1]基础信息!$B:$C,2,FALSE)+SUMIF(G$8:G3035,G3035,J$8:J3035)-SUMIF(G$8:G3035,G3035,K$8:K3035)+SUMIFS([1]内部转账!$G:$G,[1]内部转账!$C:$C,"&lt;="&amp;$D3035,[1]内部转账!$E:$E,$G3035)-SUMIFS([1]内部转账!$G:$G,[1]内部转账!$C:$C,"&lt;="&amp;$D3035,[1]内部转账!$F:$F,$G3035)),"")</f>
        <v/>
      </c>
      <c r="M3035" s="64"/>
      <c r="N3035" s="69"/>
      <c r="O3035" s="64"/>
      <c r="P3035" s="64"/>
      <c r="Q3035" s="69"/>
      <c r="R3035" s="69"/>
      <c r="S3035" s="69"/>
    </row>
    <row r="3036" s="2" customFormat="1" ht="24.95" customHeight="1" spans="1:19">
      <c r="A3036" s="15"/>
      <c r="B3036" s="55"/>
      <c r="C3036" s="56"/>
      <c r="D3036" s="68"/>
      <c r="E3036" s="69"/>
      <c r="F3036" s="69"/>
      <c r="G3036" s="65"/>
      <c r="H3036" s="65"/>
      <c r="I3036" s="70"/>
      <c r="J3036" s="71"/>
      <c r="K3036" s="71"/>
      <c r="L3036" s="72" t="str">
        <f>IFERROR(IF(G3036="","",VLOOKUP($G3036,[1]基础信息!$B:$C,2,FALSE)+SUMIF(G$8:G3036,G3036,J$8:J3036)-SUMIF(G$8:G3036,G3036,K$8:K3036)+SUMIFS([1]内部转账!$G:$G,[1]内部转账!$C:$C,"&lt;="&amp;$D3036,[1]内部转账!$E:$E,$G3036)-SUMIFS([1]内部转账!$G:$G,[1]内部转账!$C:$C,"&lt;="&amp;$D3036,[1]内部转账!$F:$F,$G3036)),"")</f>
        <v/>
      </c>
      <c r="M3036" s="64"/>
      <c r="N3036" s="69"/>
      <c r="O3036" s="64"/>
      <c r="P3036" s="64"/>
      <c r="Q3036" s="69"/>
      <c r="R3036" s="69"/>
      <c r="S3036" s="69"/>
    </row>
    <row r="3037" s="2" customFormat="1" ht="24.95" customHeight="1" spans="1:19">
      <c r="A3037" s="15"/>
      <c r="B3037" s="55"/>
      <c r="C3037" s="56"/>
      <c r="D3037" s="68"/>
      <c r="E3037" s="69"/>
      <c r="F3037" s="69"/>
      <c r="G3037" s="65"/>
      <c r="H3037" s="65"/>
      <c r="I3037" s="70"/>
      <c r="J3037" s="71"/>
      <c r="K3037" s="71"/>
      <c r="L3037" s="72" t="str">
        <f>IFERROR(IF(G3037="","",VLOOKUP($G3037,[1]基础信息!$B:$C,2,FALSE)+SUMIF(G$8:G3037,G3037,J$8:J3037)-SUMIF(G$8:G3037,G3037,K$8:K3037)+SUMIFS([1]内部转账!$G:$G,[1]内部转账!$C:$C,"&lt;="&amp;$D3037,[1]内部转账!$E:$E,$G3037)-SUMIFS([1]内部转账!$G:$G,[1]内部转账!$C:$C,"&lt;="&amp;$D3037,[1]内部转账!$F:$F,$G3037)),"")</f>
        <v/>
      </c>
      <c r="M3037" s="64"/>
      <c r="N3037" s="69"/>
      <c r="O3037" s="64"/>
      <c r="P3037" s="64"/>
      <c r="Q3037" s="69"/>
      <c r="R3037" s="69"/>
      <c r="S3037" s="69"/>
    </row>
    <row r="3038" s="2" customFormat="1" ht="24.95" customHeight="1" spans="1:19">
      <c r="A3038" s="15"/>
      <c r="B3038" s="55"/>
      <c r="C3038" s="56"/>
      <c r="D3038" s="68"/>
      <c r="E3038" s="69"/>
      <c r="F3038" s="69"/>
      <c r="G3038" s="65"/>
      <c r="H3038" s="65"/>
      <c r="I3038" s="70"/>
      <c r="J3038" s="71"/>
      <c r="K3038" s="71"/>
      <c r="L3038" s="72" t="str">
        <f>IFERROR(IF(G3038="","",VLOOKUP($G3038,[1]基础信息!$B:$C,2,FALSE)+SUMIF(G$8:G3038,G3038,J$8:J3038)-SUMIF(G$8:G3038,G3038,K$8:K3038)+SUMIFS([1]内部转账!$G:$G,[1]内部转账!$C:$C,"&lt;="&amp;$D3038,[1]内部转账!$E:$E,$G3038)-SUMIFS([1]内部转账!$G:$G,[1]内部转账!$C:$C,"&lt;="&amp;$D3038,[1]内部转账!$F:$F,$G3038)),"")</f>
        <v/>
      </c>
      <c r="M3038" s="64"/>
      <c r="N3038" s="69"/>
      <c r="O3038" s="64"/>
      <c r="P3038" s="64"/>
      <c r="Q3038" s="69"/>
      <c r="R3038" s="69"/>
      <c r="S3038" s="69"/>
    </row>
    <row r="3039" s="2" customFormat="1" ht="24.95" customHeight="1" spans="1:19">
      <c r="A3039" s="15"/>
      <c r="B3039" s="55"/>
      <c r="C3039" s="56"/>
      <c r="D3039" s="68"/>
      <c r="E3039" s="69"/>
      <c r="F3039" s="69"/>
      <c r="G3039" s="65"/>
      <c r="H3039" s="65"/>
      <c r="I3039" s="70"/>
      <c r="J3039" s="71"/>
      <c r="K3039" s="71"/>
      <c r="L3039" s="72" t="str">
        <f>IFERROR(IF(G3039="","",VLOOKUP($G3039,[1]基础信息!$B:$C,2,FALSE)+SUMIF(G$8:G3039,G3039,J$8:J3039)-SUMIF(G$8:G3039,G3039,K$8:K3039)+SUMIFS([1]内部转账!$G:$G,[1]内部转账!$C:$C,"&lt;="&amp;$D3039,[1]内部转账!$E:$E,$G3039)-SUMIFS([1]内部转账!$G:$G,[1]内部转账!$C:$C,"&lt;="&amp;$D3039,[1]内部转账!$F:$F,$G3039)),"")</f>
        <v/>
      </c>
      <c r="M3039" s="64"/>
      <c r="N3039" s="69"/>
      <c r="O3039" s="64"/>
      <c r="P3039" s="64"/>
      <c r="Q3039" s="69"/>
      <c r="R3039" s="69"/>
      <c r="S3039" s="69"/>
    </row>
    <row r="3040" s="2" customFormat="1" ht="24.95" customHeight="1" spans="1:19">
      <c r="A3040" s="15"/>
      <c r="B3040" s="55"/>
      <c r="C3040" s="56"/>
      <c r="D3040" s="68"/>
      <c r="E3040" s="69"/>
      <c r="F3040" s="69"/>
      <c r="G3040" s="65"/>
      <c r="H3040" s="65"/>
      <c r="I3040" s="70"/>
      <c r="J3040" s="71"/>
      <c r="K3040" s="71"/>
      <c r="L3040" s="72" t="str">
        <f>IFERROR(IF(G3040="","",VLOOKUP($G3040,[1]基础信息!$B:$C,2,FALSE)+SUMIF(G$8:G3040,G3040,J$8:J3040)-SUMIF(G$8:G3040,G3040,K$8:K3040)+SUMIFS([1]内部转账!$G:$G,[1]内部转账!$C:$C,"&lt;="&amp;$D3040,[1]内部转账!$E:$E,$G3040)-SUMIFS([1]内部转账!$G:$G,[1]内部转账!$C:$C,"&lt;="&amp;$D3040,[1]内部转账!$F:$F,$G3040)),"")</f>
        <v/>
      </c>
      <c r="M3040" s="64"/>
      <c r="N3040" s="69"/>
      <c r="O3040" s="64"/>
      <c r="P3040" s="64"/>
      <c r="Q3040" s="69"/>
      <c r="R3040" s="69"/>
      <c r="S3040" s="69"/>
    </row>
    <row r="3041" s="2" customFormat="1" ht="24.95" customHeight="1" spans="1:19">
      <c r="A3041" s="15"/>
      <c r="B3041" s="55"/>
      <c r="C3041" s="56"/>
      <c r="D3041" s="68"/>
      <c r="E3041" s="69"/>
      <c r="F3041" s="69"/>
      <c r="G3041" s="65"/>
      <c r="H3041" s="65"/>
      <c r="I3041" s="70"/>
      <c r="J3041" s="71"/>
      <c r="K3041" s="71"/>
      <c r="L3041" s="72" t="str">
        <f>IFERROR(IF(G3041="","",VLOOKUP($G3041,[1]基础信息!$B:$C,2,FALSE)+SUMIF(G$8:G3041,G3041,J$8:J3041)-SUMIF(G$8:G3041,G3041,K$8:K3041)+SUMIFS([1]内部转账!$G:$G,[1]内部转账!$C:$C,"&lt;="&amp;$D3041,[1]内部转账!$E:$E,$G3041)-SUMIFS([1]内部转账!$G:$G,[1]内部转账!$C:$C,"&lt;="&amp;$D3041,[1]内部转账!$F:$F,$G3041)),"")</f>
        <v/>
      </c>
      <c r="M3041" s="64"/>
      <c r="N3041" s="69"/>
      <c r="O3041" s="64"/>
      <c r="P3041" s="64"/>
      <c r="Q3041" s="69"/>
      <c r="R3041" s="69"/>
      <c r="S3041" s="69"/>
    </row>
    <row r="3042" s="2" customFormat="1" ht="24.95" customHeight="1" spans="1:19">
      <c r="A3042" s="15"/>
      <c r="B3042" s="55"/>
      <c r="C3042" s="56"/>
      <c r="D3042" s="68"/>
      <c r="E3042" s="69"/>
      <c r="F3042" s="69"/>
      <c r="G3042" s="65"/>
      <c r="H3042" s="65"/>
      <c r="I3042" s="70"/>
      <c r="J3042" s="71"/>
      <c r="K3042" s="71"/>
      <c r="L3042" s="72" t="str">
        <f>IFERROR(IF(G3042="","",VLOOKUP($G3042,[1]基础信息!$B:$C,2,FALSE)+SUMIF(G$8:G3042,G3042,J$8:J3042)-SUMIF(G$8:G3042,G3042,K$8:K3042)+SUMIFS([1]内部转账!$G:$G,[1]内部转账!$C:$C,"&lt;="&amp;$D3042,[1]内部转账!$E:$E,$G3042)-SUMIFS([1]内部转账!$G:$G,[1]内部转账!$C:$C,"&lt;="&amp;$D3042,[1]内部转账!$F:$F,$G3042)),"")</f>
        <v/>
      </c>
      <c r="M3042" s="64"/>
      <c r="N3042" s="69"/>
      <c r="O3042" s="64"/>
      <c r="P3042" s="64"/>
      <c r="Q3042" s="69"/>
      <c r="R3042" s="69"/>
      <c r="S3042" s="69"/>
    </row>
    <row r="3043" s="2" customFormat="1" ht="24.95" customHeight="1" spans="1:19">
      <c r="A3043" s="15"/>
      <c r="B3043" s="55"/>
      <c r="C3043" s="56"/>
      <c r="D3043" s="68"/>
      <c r="E3043" s="69"/>
      <c r="F3043" s="69"/>
      <c r="G3043" s="65"/>
      <c r="H3043" s="65"/>
      <c r="I3043" s="70"/>
      <c r="J3043" s="71"/>
      <c r="K3043" s="71"/>
      <c r="L3043" s="72" t="str">
        <f>IFERROR(IF(G3043="","",VLOOKUP($G3043,[1]基础信息!$B:$C,2,FALSE)+SUMIF(G$8:G3043,G3043,J$8:J3043)-SUMIF(G$8:G3043,G3043,K$8:K3043)+SUMIFS([1]内部转账!$G:$G,[1]内部转账!$C:$C,"&lt;="&amp;$D3043,[1]内部转账!$E:$E,$G3043)-SUMIFS([1]内部转账!$G:$G,[1]内部转账!$C:$C,"&lt;="&amp;$D3043,[1]内部转账!$F:$F,$G3043)),"")</f>
        <v/>
      </c>
      <c r="M3043" s="64"/>
      <c r="N3043" s="69"/>
      <c r="O3043" s="64"/>
      <c r="P3043" s="64"/>
      <c r="Q3043" s="69"/>
      <c r="R3043" s="69"/>
      <c r="S3043" s="69"/>
    </row>
    <row r="3044" s="2" customFormat="1" ht="24.95" customHeight="1" spans="1:19">
      <c r="A3044" s="15"/>
      <c r="B3044" s="55"/>
      <c r="C3044" s="56"/>
      <c r="D3044" s="68"/>
      <c r="E3044" s="69"/>
      <c r="F3044" s="69"/>
      <c r="G3044" s="65"/>
      <c r="H3044" s="65"/>
      <c r="I3044" s="70"/>
      <c r="J3044" s="71"/>
      <c r="K3044" s="71"/>
      <c r="L3044" s="72" t="str">
        <f>IFERROR(IF(G3044="","",VLOOKUP($G3044,[1]基础信息!$B:$C,2,FALSE)+SUMIF(G$8:G3044,G3044,J$8:J3044)-SUMIF(G$8:G3044,G3044,K$8:K3044)+SUMIFS([1]内部转账!$G:$G,[1]内部转账!$C:$C,"&lt;="&amp;$D3044,[1]内部转账!$E:$E,$G3044)-SUMIFS([1]内部转账!$G:$G,[1]内部转账!$C:$C,"&lt;="&amp;$D3044,[1]内部转账!$F:$F,$G3044)),"")</f>
        <v/>
      </c>
      <c r="M3044" s="64"/>
      <c r="N3044" s="69"/>
      <c r="O3044" s="64"/>
      <c r="P3044" s="64"/>
      <c r="Q3044" s="69"/>
      <c r="R3044" s="69"/>
      <c r="S3044" s="69"/>
    </row>
    <row r="3045" s="2" customFormat="1" ht="24.95" customHeight="1" spans="1:19">
      <c r="A3045" s="15"/>
      <c r="B3045" s="55"/>
      <c r="C3045" s="56"/>
      <c r="D3045" s="68"/>
      <c r="E3045" s="69"/>
      <c r="F3045" s="69"/>
      <c r="G3045" s="65"/>
      <c r="H3045" s="65"/>
      <c r="I3045" s="70"/>
      <c r="J3045" s="71"/>
      <c r="K3045" s="71"/>
      <c r="L3045" s="72" t="str">
        <f>IFERROR(IF(G3045="","",VLOOKUP($G3045,[1]基础信息!$B:$C,2,FALSE)+SUMIF(G$8:G3045,G3045,J$8:J3045)-SUMIF(G$8:G3045,G3045,K$8:K3045)+SUMIFS([1]内部转账!$G:$G,[1]内部转账!$C:$C,"&lt;="&amp;$D3045,[1]内部转账!$E:$E,$G3045)-SUMIFS([1]内部转账!$G:$G,[1]内部转账!$C:$C,"&lt;="&amp;$D3045,[1]内部转账!$F:$F,$G3045)),"")</f>
        <v/>
      </c>
      <c r="M3045" s="64"/>
      <c r="N3045" s="69"/>
      <c r="O3045" s="64"/>
      <c r="P3045" s="64"/>
      <c r="Q3045" s="69"/>
      <c r="R3045" s="69"/>
      <c r="S3045" s="69"/>
    </row>
    <row r="3046" s="2" customFormat="1" ht="24.95" customHeight="1" spans="1:19">
      <c r="A3046" s="15"/>
      <c r="B3046" s="55"/>
      <c r="C3046" s="56"/>
      <c r="D3046" s="68"/>
      <c r="E3046" s="69"/>
      <c r="F3046" s="69"/>
      <c r="G3046" s="65"/>
      <c r="H3046" s="65"/>
      <c r="I3046" s="70"/>
      <c r="J3046" s="71"/>
      <c r="K3046" s="71"/>
      <c r="L3046" s="72" t="str">
        <f>IFERROR(IF(G3046="","",VLOOKUP($G3046,[1]基础信息!$B:$C,2,FALSE)+SUMIF(G$8:G3046,G3046,J$8:J3046)-SUMIF(G$8:G3046,G3046,K$8:K3046)+SUMIFS([1]内部转账!$G:$G,[1]内部转账!$C:$C,"&lt;="&amp;$D3046,[1]内部转账!$E:$E,$G3046)-SUMIFS([1]内部转账!$G:$G,[1]内部转账!$C:$C,"&lt;="&amp;$D3046,[1]内部转账!$F:$F,$G3046)),"")</f>
        <v/>
      </c>
      <c r="M3046" s="64"/>
      <c r="N3046" s="69"/>
      <c r="O3046" s="64"/>
      <c r="P3046" s="64"/>
      <c r="Q3046" s="69"/>
      <c r="R3046" s="69"/>
      <c r="S3046" s="69"/>
    </row>
    <row r="3047" s="2" customFormat="1" ht="24.95" customHeight="1" spans="1:19">
      <c r="A3047" s="15"/>
      <c r="B3047" s="55"/>
      <c r="C3047" s="56"/>
      <c r="D3047" s="68"/>
      <c r="E3047" s="69"/>
      <c r="F3047" s="69"/>
      <c r="G3047" s="65"/>
      <c r="H3047" s="65"/>
      <c r="I3047" s="70"/>
      <c r="J3047" s="71"/>
      <c r="K3047" s="71"/>
      <c r="L3047" s="72" t="str">
        <f>IFERROR(IF(G3047="","",VLOOKUP($G3047,[1]基础信息!$B:$C,2,FALSE)+SUMIF(G$8:G3047,G3047,J$8:J3047)-SUMIF(G$8:G3047,G3047,K$8:K3047)+SUMIFS([1]内部转账!$G:$G,[1]内部转账!$C:$C,"&lt;="&amp;$D3047,[1]内部转账!$E:$E,$G3047)-SUMIFS([1]内部转账!$G:$G,[1]内部转账!$C:$C,"&lt;="&amp;$D3047,[1]内部转账!$F:$F,$G3047)),"")</f>
        <v/>
      </c>
      <c r="M3047" s="64"/>
      <c r="N3047" s="69"/>
      <c r="O3047" s="64"/>
      <c r="P3047" s="64"/>
      <c r="Q3047" s="69"/>
      <c r="R3047" s="69"/>
      <c r="S3047" s="69"/>
    </row>
    <row r="3048" s="2" customFormat="1" ht="24.95" customHeight="1" spans="1:19">
      <c r="A3048" s="15"/>
      <c r="B3048" s="55"/>
      <c r="C3048" s="56"/>
      <c r="D3048" s="68"/>
      <c r="E3048" s="69"/>
      <c r="F3048" s="69"/>
      <c r="G3048" s="65"/>
      <c r="H3048" s="65"/>
      <c r="I3048" s="70"/>
      <c r="J3048" s="71"/>
      <c r="K3048" s="71"/>
      <c r="L3048" s="72" t="str">
        <f>IFERROR(IF(G3048="","",VLOOKUP($G3048,[1]基础信息!$B:$C,2,FALSE)+SUMIF(G$8:G3048,G3048,J$8:J3048)-SUMIF(G$8:G3048,G3048,K$8:K3048)+SUMIFS([1]内部转账!$G:$G,[1]内部转账!$C:$C,"&lt;="&amp;$D3048,[1]内部转账!$E:$E,$G3048)-SUMIFS([1]内部转账!$G:$G,[1]内部转账!$C:$C,"&lt;="&amp;$D3048,[1]内部转账!$F:$F,$G3048)),"")</f>
        <v/>
      </c>
      <c r="M3048" s="64"/>
      <c r="N3048" s="69"/>
      <c r="O3048" s="64"/>
      <c r="P3048" s="64"/>
      <c r="Q3048" s="69"/>
      <c r="R3048" s="69"/>
      <c r="S3048" s="69"/>
    </row>
    <row r="3049" s="2" customFormat="1" ht="24.95" customHeight="1" spans="1:19">
      <c r="A3049" s="15"/>
      <c r="B3049" s="55"/>
      <c r="C3049" s="56"/>
      <c r="D3049" s="68"/>
      <c r="E3049" s="69"/>
      <c r="F3049" s="69"/>
      <c r="G3049" s="65"/>
      <c r="H3049" s="65"/>
      <c r="I3049" s="70"/>
      <c r="J3049" s="71"/>
      <c r="K3049" s="71"/>
      <c r="L3049" s="72" t="str">
        <f>IFERROR(IF(G3049="","",VLOOKUP($G3049,[1]基础信息!$B:$C,2,FALSE)+SUMIF(G$8:G3049,G3049,J$8:J3049)-SUMIF(G$8:G3049,G3049,K$8:K3049)+SUMIFS([1]内部转账!$G:$G,[1]内部转账!$C:$C,"&lt;="&amp;$D3049,[1]内部转账!$E:$E,$G3049)-SUMIFS([1]内部转账!$G:$G,[1]内部转账!$C:$C,"&lt;="&amp;$D3049,[1]内部转账!$F:$F,$G3049)),"")</f>
        <v/>
      </c>
      <c r="M3049" s="64"/>
      <c r="N3049" s="69"/>
      <c r="O3049" s="64"/>
      <c r="P3049" s="64"/>
      <c r="Q3049" s="69"/>
      <c r="R3049" s="69"/>
      <c r="S3049" s="69"/>
    </row>
    <row r="3050" s="2" customFormat="1" ht="24.95" customHeight="1" spans="1:19">
      <c r="A3050" s="15"/>
      <c r="B3050" s="55"/>
      <c r="C3050" s="56"/>
      <c r="D3050" s="68"/>
      <c r="E3050" s="69"/>
      <c r="F3050" s="69"/>
      <c r="G3050" s="65"/>
      <c r="H3050" s="65"/>
      <c r="I3050" s="70"/>
      <c r="J3050" s="71"/>
      <c r="K3050" s="71"/>
      <c r="L3050" s="72" t="str">
        <f>IFERROR(IF(G3050="","",VLOOKUP($G3050,[1]基础信息!$B:$C,2,FALSE)+SUMIF(G$8:G3050,G3050,J$8:J3050)-SUMIF(G$8:G3050,G3050,K$8:K3050)+SUMIFS([1]内部转账!$G:$G,[1]内部转账!$C:$C,"&lt;="&amp;$D3050,[1]内部转账!$E:$E,$G3050)-SUMIFS([1]内部转账!$G:$G,[1]内部转账!$C:$C,"&lt;="&amp;$D3050,[1]内部转账!$F:$F,$G3050)),"")</f>
        <v/>
      </c>
      <c r="M3050" s="64"/>
      <c r="N3050" s="69"/>
      <c r="O3050" s="64"/>
      <c r="P3050" s="64"/>
      <c r="Q3050" s="69"/>
      <c r="R3050" s="69"/>
      <c r="S3050" s="69"/>
    </row>
    <row r="3051" s="2" customFormat="1" ht="24.95" customHeight="1" spans="1:19">
      <c r="A3051" s="15"/>
      <c r="B3051" s="55"/>
      <c r="C3051" s="56"/>
      <c r="D3051" s="68"/>
      <c r="E3051" s="69"/>
      <c r="F3051" s="69"/>
      <c r="G3051" s="65"/>
      <c r="H3051" s="65"/>
      <c r="I3051" s="70"/>
      <c r="J3051" s="71"/>
      <c r="K3051" s="71"/>
      <c r="L3051" s="72" t="str">
        <f>IFERROR(IF(G3051="","",VLOOKUP($G3051,[1]基础信息!$B:$C,2,FALSE)+SUMIF(G$8:G3051,G3051,J$8:J3051)-SUMIF(G$8:G3051,G3051,K$8:K3051)+SUMIFS([1]内部转账!$G:$G,[1]内部转账!$C:$C,"&lt;="&amp;$D3051,[1]内部转账!$E:$E,$G3051)-SUMIFS([1]内部转账!$G:$G,[1]内部转账!$C:$C,"&lt;="&amp;$D3051,[1]内部转账!$F:$F,$G3051)),"")</f>
        <v/>
      </c>
      <c r="M3051" s="64"/>
      <c r="N3051" s="69"/>
      <c r="O3051" s="64"/>
      <c r="P3051" s="64"/>
      <c r="Q3051" s="69"/>
      <c r="R3051" s="69"/>
      <c r="S3051" s="69"/>
    </row>
    <row r="3052" s="2" customFormat="1" ht="24.95" customHeight="1" spans="1:19">
      <c r="A3052" s="15"/>
      <c r="B3052" s="55"/>
      <c r="C3052" s="56"/>
      <c r="D3052" s="68"/>
      <c r="E3052" s="69"/>
      <c r="F3052" s="69"/>
      <c r="G3052" s="65"/>
      <c r="H3052" s="65"/>
      <c r="I3052" s="70"/>
      <c r="J3052" s="71"/>
      <c r="K3052" s="71"/>
      <c r="L3052" s="72" t="str">
        <f>IFERROR(IF(G3052="","",VLOOKUP($G3052,[1]基础信息!$B:$C,2,FALSE)+SUMIF(G$8:G3052,G3052,J$8:J3052)-SUMIF(G$8:G3052,G3052,K$8:K3052)+SUMIFS([1]内部转账!$G:$G,[1]内部转账!$C:$C,"&lt;="&amp;$D3052,[1]内部转账!$E:$E,$G3052)-SUMIFS([1]内部转账!$G:$G,[1]内部转账!$C:$C,"&lt;="&amp;$D3052,[1]内部转账!$F:$F,$G3052)),"")</f>
        <v/>
      </c>
      <c r="M3052" s="64"/>
      <c r="N3052" s="69"/>
      <c r="O3052" s="64"/>
      <c r="P3052" s="64"/>
      <c r="Q3052" s="69"/>
      <c r="R3052" s="69"/>
      <c r="S3052" s="69"/>
    </row>
    <row r="3053" s="2" customFormat="1" ht="24.95" customHeight="1" spans="1:19">
      <c r="A3053" s="15"/>
      <c r="B3053" s="55"/>
      <c r="C3053" s="56"/>
      <c r="D3053" s="68"/>
      <c r="E3053" s="69"/>
      <c r="F3053" s="69"/>
      <c r="G3053" s="65"/>
      <c r="H3053" s="65"/>
      <c r="I3053" s="70"/>
      <c r="J3053" s="71"/>
      <c r="K3053" s="71"/>
      <c r="L3053" s="72" t="str">
        <f>IFERROR(IF(G3053="","",VLOOKUP($G3053,[1]基础信息!$B:$C,2,FALSE)+SUMIF(G$8:G3053,G3053,J$8:J3053)-SUMIF(G$8:G3053,G3053,K$8:K3053)+SUMIFS([1]内部转账!$G:$G,[1]内部转账!$C:$C,"&lt;="&amp;$D3053,[1]内部转账!$E:$E,$G3053)-SUMIFS([1]内部转账!$G:$G,[1]内部转账!$C:$C,"&lt;="&amp;$D3053,[1]内部转账!$F:$F,$G3053)),"")</f>
        <v/>
      </c>
      <c r="M3053" s="64"/>
      <c r="N3053" s="69"/>
      <c r="O3053" s="64"/>
      <c r="P3053" s="64"/>
      <c r="Q3053" s="69"/>
      <c r="R3053" s="69"/>
      <c r="S3053" s="69"/>
    </row>
    <row r="3054" s="2" customFormat="1" ht="24.95" customHeight="1" spans="1:19">
      <c r="A3054" s="15"/>
      <c r="B3054" s="55"/>
      <c r="C3054" s="56"/>
      <c r="D3054" s="68"/>
      <c r="E3054" s="69"/>
      <c r="F3054" s="69"/>
      <c r="G3054" s="65"/>
      <c r="H3054" s="65"/>
      <c r="I3054" s="70"/>
      <c r="J3054" s="71"/>
      <c r="K3054" s="71"/>
      <c r="L3054" s="72" t="str">
        <f>IFERROR(IF(G3054="","",VLOOKUP($G3054,[1]基础信息!$B:$C,2,FALSE)+SUMIF(G$8:G3054,G3054,J$8:J3054)-SUMIF(G$8:G3054,G3054,K$8:K3054)+SUMIFS([1]内部转账!$G:$G,[1]内部转账!$C:$C,"&lt;="&amp;$D3054,[1]内部转账!$E:$E,$G3054)-SUMIFS([1]内部转账!$G:$G,[1]内部转账!$C:$C,"&lt;="&amp;$D3054,[1]内部转账!$F:$F,$G3054)),"")</f>
        <v/>
      </c>
      <c r="M3054" s="64"/>
      <c r="N3054" s="69"/>
      <c r="O3054" s="64"/>
      <c r="P3054" s="64"/>
      <c r="Q3054" s="69"/>
      <c r="R3054" s="69"/>
      <c r="S3054" s="69"/>
    </row>
    <row r="3055" s="2" customFormat="1" ht="24.95" customHeight="1" spans="1:19">
      <c r="A3055" s="15"/>
      <c r="B3055" s="55"/>
      <c r="C3055" s="56"/>
      <c r="D3055" s="68"/>
      <c r="E3055" s="69"/>
      <c r="F3055" s="69"/>
      <c r="G3055" s="65"/>
      <c r="H3055" s="65"/>
      <c r="I3055" s="70"/>
      <c r="J3055" s="71"/>
      <c r="K3055" s="71"/>
      <c r="L3055" s="72" t="str">
        <f>IFERROR(IF(G3055="","",VLOOKUP($G3055,[1]基础信息!$B:$C,2,FALSE)+SUMIF(G$8:G3055,G3055,J$8:J3055)-SUMIF(G$8:G3055,G3055,K$8:K3055)+SUMIFS([1]内部转账!$G:$G,[1]内部转账!$C:$C,"&lt;="&amp;$D3055,[1]内部转账!$E:$E,$G3055)-SUMIFS([1]内部转账!$G:$G,[1]内部转账!$C:$C,"&lt;="&amp;$D3055,[1]内部转账!$F:$F,$G3055)),"")</f>
        <v/>
      </c>
      <c r="M3055" s="64"/>
      <c r="N3055" s="69"/>
      <c r="O3055" s="64"/>
      <c r="P3055" s="64"/>
      <c r="Q3055" s="69"/>
      <c r="R3055" s="69"/>
      <c r="S3055" s="69"/>
    </row>
    <row r="3056" s="2" customFormat="1" ht="24.95" customHeight="1" spans="1:19">
      <c r="A3056" s="15"/>
      <c r="B3056" s="55"/>
      <c r="C3056" s="56"/>
      <c r="D3056" s="68"/>
      <c r="E3056" s="69"/>
      <c r="F3056" s="69"/>
      <c r="G3056" s="65"/>
      <c r="H3056" s="65"/>
      <c r="I3056" s="70"/>
      <c r="J3056" s="71"/>
      <c r="K3056" s="71"/>
      <c r="L3056" s="72" t="str">
        <f>IFERROR(IF(G3056="","",VLOOKUP($G3056,[1]基础信息!$B:$C,2,FALSE)+SUMIF(G$8:G3056,G3056,J$8:J3056)-SUMIF(G$8:G3056,G3056,K$8:K3056)+SUMIFS([1]内部转账!$G:$G,[1]内部转账!$C:$C,"&lt;="&amp;$D3056,[1]内部转账!$E:$E,$G3056)-SUMIFS([1]内部转账!$G:$G,[1]内部转账!$C:$C,"&lt;="&amp;$D3056,[1]内部转账!$F:$F,$G3056)),"")</f>
        <v/>
      </c>
      <c r="M3056" s="64"/>
      <c r="N3056" s="69"/>
      <c r="O3056" s="64"/>
      <c r="P3056" s="64"/>
      <c r="Q3056" s="69"/>
      <c r="R3056" s="69"/>
      <c r="S3056" s="69"/>
    </row>
    <row r="3057" s="2" customFormat="1" ht="24.95" customHeight="1" spans="1:19">
      <c r="A3057" s="15"/>
      <c r="B3057" s="55"/>
      <c r="C3057" s="56"/>
      <c r="D3057" s="68"/>
      <c r="E3057" s="69"/>
      <c r="F3057" s="69"/>
      <c r="G3057" s="65"/>
      <c r="H3057" s="65"/>
      <c r="I3057" s="70"/>
      <c r="J3057" s="71"/>
      <c r="K3057" s="71"/>
      <c r="L3057" s="72" t="str">
        <f>IFERROR(IF(G3057="","",VLOOKUP($G3057,[1]基础信息!$B:$C,2,FALSE)+SUMIF(G$8:G3057,G3057,J$8:J3057)-SUMIF(G$8:G3057,G3057,K$8:K3057)+SUMIFS([1]内部转账!$G:$G,[1]内部转账!$C:$C,"&lt;="&amp;$D3057,[1]内部转账!$E:$E,$G3057)-SUMIFS([1]内部转账!$G:$G,[1]内部转账!$C:$C,"&lt;="&amp;$D3057,[1]内部转账!$F:$F,$G3057)),"")</f>
        <v/>
      </c>
      <c r="M3057" s="64"/>
      <c r="N3057" s="69"/>
      <c r="O3057" s="64"/>
      <c r="P3057" s="64"/>
      <c r="Q3057" s="69"/>
      <c r="R3057" s="69"/>
      <c r="S3057" s="69"/>
    </row>
    <row r="3058" s="2" customFormat="1" ht="24.95" customHeight="1" spans="1:19">
      <c r="A3058" s="15"/>
      <c r="B3058" s="55"/>
      <c r="C3058" s="56"/>
      <c r="D3058" s="68"/>
      <c r="E3058" s="69"/>
      <c r="F3058" s="69"/>
      <c r="G3058" s="65"/>
      <c r="H3058" s="65"/>
      <c r="I3058" s="70"/>
      <c r="J3058" s="71"/>
      <c r="K3058" s="71"/>
      <c r="L3058" s="72" t="str">
        <f>IFERROR(IF(G3058="","",VLOOKUP($G3058,[1]基础信息!$B:$C,2,FALSE)+SUMIF(G$8:G3058,G3058,J$8:J3058)-SUMIF(G$8:G3058,G3058,K$8:K3058)+SUMIFS([1]内部转账!$G:$G,[1]内部转账!$C:$C,"&lt;="&amp;$D3058,[1]内部转账!$E:$E,$G3058)-SUMIFS([1]内部转账!$G:$G,[1]内部转账!$C:$C,"&lt;="&amp;$D3058,[1]内部转账!$F:$F,$G3058)),"")</f>
        <v/>
      </c>
      <c r="M3058" s="64"/>
      <c r="N3058" s="69"/>
      <c r="O3058" s="64"/>
      <c r="P3058" s="64"/>
      <c r="Q3058" s="69"/>
      <c r="R3058" s="69"/>
      <c r="S3058" s="69"/>
    </row>
    <row r="3059" s="2" customFormat="1" ht="24.95" customHeight="1" spans="1:19">
      <c r="A3059" s="15"/>
      <c r="B3059" s="55"/>
      <c r="C3059" s="56"/>
      <c r="D3059" s="68"/>
      <c r="E3059" s="69"/>
      <c r="F3059" s="69"/>
      <c r="G3059" s="65"/>
      <c r="H3059" s="65"/>
      <c r="I3059" s="70"/>
      <c r="J3059" s="71"/>
      <c r="K3059" s="71"/>
      <c r="L3059" s="72" t="str">
        <f>IFERROR(IF(G3059="","",VLOOKUP($G3059,[1]基础信息!$B:$C,2,FALSE)+SUMIF(G$8:G3059,G3059,J$8:J3059)-SUMIF(G$8:G3059,G3059,K$8:K3059)+SUMIFS([1]内部转账!$G:$G,[1]内部转账!$C:$C,"&lt;="&amp;$D3059,[1]内部转账!$E:$E,$G3059)-SUMIFS([1]内部转账!$G:$G,[1]内部转账!$C:$C,"&lt;="&amp;$D3059,[1]内部转账!$F:$F,$G3059)),"")</f>
        <v/>
      </c>
      <c r="M3059" s="64"/>
      <c r="N3059" s="69"/>
      <c r="O3059" s="64"/>
      <c r="P3059" s="64"/>
      <c r="Q3059" s="69"/>
      <c r="R3059" s="69"/>
      <c r="S3059" s="69"/>
    </row>
    <row r="3060" s="2" customFormat="1" ht="24.95" customHeight="1" spans="1:19">
      <c r="A3060" s="15"/>
      <c r="B3060" s="55"/>
      <c r="C3060" s="56"/>
      <c r="D3060" s="68"/>
      <c r="E3060" s="69"/>
      <c r="F3060" s="69"/>
      <c r="G3060" s="65"/>
      <c r="H3060" s="65"/>
      <c r="I3060" s="70"/>
      <c r="J3060" s="71"/>
      <c r="K3060" s="71"/>
      <c r="L3060" s="72" t="str">
        <f>IFERROR(IF(G3060="","",VLOOKUP($G3060,[1]基础信息!$B:$C,2,FALSE)+SUMIF(G$8:G3060,G3060,J$8:J3060)-SUMIF(G$8:G3060,G3060,K$8:K3060)+SUMIFS([1]内部转账!$G:$G,[1]内部转账!$C:$C,"&lt;="&amp;$D3060,[1]内部转账!$E:$E,$G3060)-SUMIFS([1]内部转账!$G:$G,[1]内部转账!$C:$C,"&lt;="&amp;$D3060,[1]内部转账!$F:$F,$G3060)),"")</f>
        <v/>
      </c>
      <c r="M3060" s="64"/>
      <c r="N3060" s="69"/>
      <c r="O3060" s="64"/>
      <c r="P3060" s="64"/>
      <c r="Q3060" s="69"/>
      <c r="R3060" s="69"/>
      <c r="S3060" s="69"/>
    </row>
    <row r="3061" s="2" customFormat="1" ht="24.95" customHeight="1" spans="1:19">
      <c r="A3061" s="15"/>
      <c r="B3061" s="55"/>
      <c r="C3061" s="56"/>
      <c r="D3061" s="68"/>
      <c r="E3061" s="69"/>
      <c r="F3061" s="69"/>
      <c r="G3061" s="65"/>
      <c r="H3061" s="65"/>
      <c r="I3061" s="70"/>
      <c r="J3061" s="71"/>
      <c r="K3061" s="71"/>
      <c r="L3061" s="72" t="str">
        <f>IFERROR(IF(G3061="","",VLOOKUP($G3061,[1]基础信息!$B:$C,2,FALSE)+SUMIF(G$8:G3061,G3061,J$8:J3061)-SUMIF(G$8:G3061,G3061,K$8:K3061)+SUMIFS([1]内部转账!$G:$G,[1]内部转账!$C:$C,"&lt;="&amp;$D3061,[1]内部转账!$E:$E,$G3061)-SUMIFS([1]内部转账!$G:$G,[1]内部转账!$C:$C,"&lt;="&amp;$D3061,[1]内部转账!$F:$F,$G3061)),"")</f>
        <v/>
      </c>
      <c r="M3061" s="64"/>
      <c r="N3061" s="69"/>
      <c r="O3061" s="64"/>
      <c r="P3061" s="64"/>
      <c r="Q3061" s="69"/>
      <c r="R3061" s="69"/>
      <c r="S3061" s="69"/>
    </row>
    <row r="3062" s="2" customFormat="1" ht="24.95" customHeight="1" spans="1:19">
      <c r="A3062" s="15"/>
      <c r="B3062" s="55"/>
      <c r="C3062" s="56"/>
      <c r="D3062" s="68"/>
      <c r="E3062" s="69"/>
      <c r="F3062" s="69"/>
      <c r="G3062" s="65"/>
      <c r="H3062" s="65"/>
      <c r="I3062" s="70"/>
      <c r="J3062" s="71"/>
      <c r="K3062" s="71"/>
      <c r="L3062" s="72" t="str">
        <f>IFERROR(IF(G3062="","",VLOOKUP($G3062,[1]基础信息!$B:$C,2,FALSE)+SUMIF(G$8:G3062,G3062,J$8:J3062)-SUMIF(G$8:G3062,G3062,K$8:K3062)+SUMIFS([1]内部转账!$G:$G,[1]内部转账!$C:$C,"&lt;="&amp;$D3062,[1]内部转账!$E:$E,$G3062)-SUMIFS([1]内部转账!$G:$G,[1]内部转账!$C:$C,"&lt;="&amp;$D3062,[1]内部转账!$F:$F,$G3062)),"")</f>
        <v/>
      </c>
      <c r="M3062" s="64"/>
      <c r="N3062" s="69"/>
      <c r="O3062" s="64"/>
      <c r="P3062" s="64"/>
      <c r="Q3062" s="69"/>
      <c r="R3062" s="69"/>
      <c r="S3062" s="69"/>
    </row>
    <row r="3063" s="2" customFormat="1" ht="24.95" customHeight="1" spans="1:19">
      <c r="A3063" s="15"/>
      <c r="B3063" s="55"/>
      <c r="C3063" s="56"/>
      <c r="D3063" s="68"/>
      <c r="E3063" s="69"/>
      <c r="F3063" s="69"/>
      <c r="G3063" s="65"/>
      <c r="H3063" s="65"/>
      <c r="I3063" s="70"/>
      <c r="J3063" s="71"/>
      <c r="K3063" s="71"/>
      <c r="L3063" s="72" t="str">
        <f>IFERROR(IF(G3063="","",VLOOKUP($G3063,[1]基础信息!$B:$C,2,FALSE)+SUMIF(G$8:G3063,G3063,J$8:J3063)-SUMIF(G$8:G3063,G3063,K$8:K3063)+SUMIFS([1]内部转账!$G:$G,[1]内部转账!$C:$C,"&lt;="&amp;$D3063,[1]内部转账!$E:$E,$G3063)-SUMIFS([1]内部转账!$G:$G,[1]内部转账!$C:$C,"&lt;="&amp;$D3063,[1]内部转账!$F:$F,$G3063)),"")</f>
        <v/>
      </c>
      <c r="M3063" s="64"/>
      <c r="N3063" s="69"/>
      <c r="O3063" s="64"/>
      <c r="P3063" s="64"/>
      <c r="Q3063" s="69"/>
      <c r="R3063" s="69"/>
      <c r="S3063" s="69"/>
    </row>
    <row r="3064" s="2" customFormat="1" ht="24.95" customHeight="1" spans="1:19">
      <c r="A3064" s="15"/>
      <c r="B3064" s="55"/>
      <c r="C3064" s="56"/>
      <c r="D3064" s="68"/>
      <c r="E3064" s="69"/>
      <c r="F3064" s="69"/>
      <c r="G3064" s="65"/>
      <c r="H3064" s="65"/>
      <c r="I3064" s="70"/>
      <c r="J3064" s="71"/>
      <c r="K3064" s="71"/>
      <c r="L3064" s="72" t="str">
        <f>IFERROR(IF(G3064="","",VLOOKUP($G3064,[1]基础信息!$B:$C,2,FALSE)+SUMIF(G$8:G3064,G3064,J$8:J3064)-SUMIF(G$8:G3064,G3064,K$8:K3064)+SUMIFS([1]内部转账!$G:$G,[1]内部转账!$C:$C,"&lt;="&amp;$D3064,[1]内部转账!$E:$E,$G3064)-SUMIFS([1]内部转账!$G:$G,[1]内部转账!$C:$C,"&lt;="&amp;$D3064,[1]内部转账!$F:$F,$G3064)),"")</f>
        <v/>
      </c>
      <c r="M3064" s="64"/>
      <c r="N3064" s="69"/>
      <c r="O3064" s="64"/>
      <c r="P3064" s="64"/>
      <c r="Q3064" s="69"/>
      <c r="R3064" s="69"/>
      <c r="S3064" s="69"/>
    </row>
    <row r="3065" s="2" customFormat="1" ht="24.95" customHeight="1" spans="1:19">
      <c r="A3065" s="15"/>
      <c r="B3065" s="55"/>
      <c r="C3065" s="56"/>
      <c r="D3065" s="68"/>
      <c r="E3065" s="69"/>
      <c r="F3065" s="69"/>
      <c r="G3065" s="65"/>
      <c r="H3065" s="65"/>
      <c r="I3065" s="70"/>
      <c r="J3065" s="71"/>
      <c r="K3065" s="71"/>
      <c r="L3065" s="72" t="str">
        <f>IFERROR(IF(G3065="","",VLOOKUP($G3065,[1]基础信息!$B:$C,2,FALSE)+SUMIF(G$8:G3065,G3065,J$8:J3065)-SUMIF(G$8:G3065,G3065,K$8:K3065)+SUMIFS([1]内部转账!$G:$G,[1]内部转账!$C:$C,"&lt;="&amp;$D3065,[1]内部转账!$E:$E,$G3065)-SUMIFS([1]内部转账!$G:$G,[1]内部转账!$C:$C,"&lt;="&amp;$D3065,[1]内部转账!$F:$F,$G3065)),"")</f>
        <v/>
      </c>
      <c r="M3065" s="64"/>
      <c r="N3065" s="69"/>
      <c r="O3065" s="64"/>
      <c r="P3065" s="64"/>
      <c r="Q3065" s="69"/>
      <c r="R3065" s="69"/>
      <c r="S3065" s="69"/>
    </row>
    <row r="3066" s="2" customFormat="1" ht="24.95" customHeight="1" spans="1:19">
      <c r="A3066" s="15"/>
      <c r="B3066" s="55"/>
      <c r="C3066" s="56"/>
      <c r="D3066" s="68"/>
      <c r="E3066" s="69"/>
      <c r="F3066" s="69"/>
      <c r="G3066" s="65"/>
      <c r="H3066" s="65"/>
      <c r="I3066" s="70"/>
      <c r="J3066" s="71"/>
      <c r="K3066" s="71"/>
      <c r="L3066" s="72" t="str">
        <f>IFERROR(IF(G3066="","",VLOOKUP($G3066,[1]基础信息!$B:$C,2,FALSE)+SUMIF(G$8:G3066,G3066,J$8:J3066)-SUMIF(G$8:G3066,G3066,K$8:K3066)+SUMIFS([1]内部转账!$G:$G,[1]内部转账!$C:$C,"&lt;="&amp;$D3066,[1]内部转账!$E:$E,$G3066)-SUMIFS([1]内部转账!$G:$G,[1]内部转账!$C:$C,"&lt;="&amp;$D3066,[1]内部转账!$F:$F,$G3066)),"")</f>
        <v/>
      </c>
      <c r="M3066" s="64"/>
      <c r="N3066" s="69"/>
      <c r="O3066" s="64"/>
      <c r="P3066" s="64"/>
      <c r="Q3066" s="69"/>
      <c r="R3066" s="69"/>
      <c r="S3066" s="69"/>
    </row>
    <row r="3067" s="2" customFormat="1" ht="24.95" customHeight="1" spans="1:19">
      <c r="A3067" s="15"/>
      <c r="B3067" s="55"/>
      <c r="C3067" s="56"/>
      <c r="D3067" s="68"/>
      <c r="E3067" s="69"/>
      <c r="F3067" s="69"/>
      <c r="G3067" s="65"/>
      <c r="H3067" s="65"/>
      <c r="I3067" s="70"/>
      <c r="J3067" s="71"/>
      <c r="K3067" s="71"/>
      <c r="L3067" s="72" t="str">
        <f>IFERROR(IF(G3067="","",VLOOKUP($G3067,[1]基础信息!$B:$C,2,FALSE)+SUMIF(G$8:G3067,G3067,J$8:J3067)-SUMIF(G$8:G3067,G3067,K$8:K3067)+SUMIFS([1]内部转账!$G:$G,[1]内部转账!$C:$C,"&lt;="&amp;$D3067,[1]内部转账!$E:$E,$G3067)-SUMIFS([1]内部转账!$G:$G,[1]内部转账!$C:$C,"&lt;="&amp;$D3067,[1]内部转账!$F:$F,$G3067)),"")</f>
        <v/>
      </c>
      <c r="M3067" s="64"/>
      <c r="N3067" s="69"/>
      <c r="O3067" s="64"/>
      <c r="P3067" s="64"/>
      <c r="Q3067" s="69"/>
      <c r="R3067" s="69"/>
      <c r="S3067" s="69"/>
    </row>
    <row r="3068" s="2" customFormat="1" ht="24.95" customHeight="1" spans="1:19">
      <c r="A3068" s="15"/>
      <c r="B3068" s="55"/>
      <c r="C3068" s="56"/>
      <c r="D3068" s="68"/>
      <c r="E3068" s="69"/>
      <c r="F3068" s="69"/>
      <c r="G3068" s="65"/>
      <c r="H3068" s="65"/>
      <c r="I3068" s="70"/>
      <c r="J3068" s="71"/>
      <c r="K3068" s="71"/>
      <c r="L3068" s="72" t="str">
        <f>IFERROR(IF(G3068="","",VLOOKUP($G3068,[1]基础信息!$B:$C,2,FALSE)+SUMIF(G$8:G3068,G3068,J$8:J3068)-SUMIF(G$8:G3068,G3068,K$8:K3068)+SUMIFS([1]内部转账!$G:$G,[1]内部转账!$C:$C,"&lt;="&amp;$D3068,[1]内部转账!$E:$E,$G3068)-SUMIFS([1]内部转账!$G:$G,[1]内部转账!$C:$C,"&lt;="&amp;$D3068,[1]内部转账!$F:$F,$G3068)),"")</f>
        <v/>
      </c>
      <c r="M3068" s="64"/>
      <c r="N3068" s="69"/>
      <c r="O3068" s="64"/>
      <c r="P3068" s="64"/>
      <c r="Q3068" s="69"/>
      <c r="R3068" s="69"/>
      <c r="S3068" s="69"/>
    </row>
    <row r="3069" s="2" customFormat="1" ht="24.95" customHeight="1" spans="1:19">
      <c r="A3069" s="15"/>
      <c r="B3069" s="55"/>
      <c r="C3069" s="56"/>
      <c r="D3069" s="68"/>
      <c r="E3069" s="69"/>
      <c r="F3069" s="69"/>
      <c r="G3069" s="65"/>
      <c r="H3069" s="65"/>
      <c r="I3069" s="70"/>
      <c r="J3069" s="71"/>
      <c r="K3069" s="71"/>
      <c r="L3069" s="72" t="str">
        <f>IFERROR(IF(G3069="","",VLOOKUP($G3069,[1]基础信息!$B:$C,2,FALSE)+SUMIF(G$8:G3069,G3069,J$8:J3069)-SUMIF(G$8:G3069,G3069,K$8:K3069)+SUMIFS([1]内部转账!$G:$G,[1]内部转账!$C:$C,"&lt;="&amp;$D3069,[1]内部转账!$E:$E,$G3069)-SUMIFS([1]内部转账!$G:$G,[1]内部转账!$C:$C,"&lt;="&amp;$D3069,[1]内部转账!$F:$F,$G3069)),"")</f>
        <v/>
      </c>
      <c r="M3069" s="64"/>
      <c r="N3069" s="69"/>
      <c r="O3069" s="64"/>
      <c r="P3069" s="64"/>
      <c r="Q3069" s="69"/>
      <c r="R3069" s="69"/>
      <c r="S3069" s="69"/>
    </row>
    <row r="3070" s="2" customFormat="1" ht="24.95" customHeight="1" spans="1:19">
      <c r="A3070" s="15"/>
      <c r="B3070" s="55"/>
      <c r="C3070" s="56"/>
      <c r="D3070" s="68"/>
      <c r="E3070" s="69"/>
      <c r="F3070" s="69"/>
      <c r="G3070" s="65"/>
      <c r="H3070" s="65"/>
      <c r="I3070" s="70"/>
      <c r="J3070" s="71"/>
      <c r="K3070" s="71"/>
      <c r="L3070" s="72" t="str">
        <f>IFERROR(IF(G3070="","",VLOOKUP($G3070,[1]基础信息!$B:$C,2,FALSE)+SUMIF(G$8:G3070,G3070,J$8:J3070)-SUMIF(G$8:G3070,G3070,K$8:K3070)+SUMIFS([1]内部转账!$G:$G,[1]内部转账!$C:$C,"&lt;="&amp;$D3070,[1]内部转账!$E:$E,$G3070)-SUMIFS([1]内部转账!$G:$G,[1]内部转账!$C:$C,"&lt;="&amp;$D3070,[1]内部转账!$F:$F,$G3070)),"")</f>
        <v/>
      </c>
      <c r="M3070" s="64"/>
      <c r="N3070" s="69"/>
      <c r="O3070" s="64"/>
      <c r="P3070" s="64"/>
      <c r="Q3070" s="69"/>
      <c r="R3070" s="69"/>
      <c r="S3070" s="69"/>
    </row>
    <row r="3071" s="2" customFormat="1" ht="24.95" customHeight="1" spans="1:19">
      <c r="A3071" s="15"/>
      <c r="B3071" s="55"/>
      <c r="C3071" s="56"/>
      <c r="D3071" s="68"/>
      <c r="E3071" s="69"/>
      <c r="F3071" s="69"/>
      <c r="G3071" s="65"/>
      <c r="H3071" s="65"/>
      <c r="I3071" s="70"/>
      <c r="J3071" s="71"/>
      <c r="K3071" s="71"/>
      <c r="L3071" s="72" t="str">
        <f>IFERROR(IF(G3071="","",VLOOKUP($G3071,[1]基础信息!$B:$C,2,FALSE)+SUMIF(G$8:G3071,G3071,J$8:J3071)-SUMIF(G$8:G3071,G3071,K$8:K3071)+SUMIFS([1]内部转账!$G:$G,[1]内部转账!$C:$C,"&lt;="&amp;$D3071,[1]内部转账!$E:$E,$G3071)-SUMIFS([1]内部转账!$G:$G,[1]内部转账!$C:$C,"&lt;="&amp;$D3071,[1]内部转账!$F:$F,$G3071)),"")</f>
        <v/>
      </c>
      <c r="M3071" s="64"/>
      <c r="N3071" s="69"/>
      <c r="O3071" s="64"/>
      <c r="P3071" s="64"/>
      <c r="Q3071" s="69"/>
      <c r="R3071" s="69"/>
      <c r="S3071" s="69"/>
    </row>
    <row r="3072" s="2" customFormat="1" ht="24.95" customHeight="1" spans="1:19">
      <c r="A3072" s="15"/>
      <c r="B3072" s="55"/>
      <c r="C3072" s="56"/>
      <c r="D3072" s="68"/>
      <c r="E3072" s="69"/>
      <c r="F3072" s="69"/>
      <c r="G3072" s="65"/>
      <c r="H3072" s="65"/>
      <c r="I3072" s="70"/>
      <c r="J3072" s="71"/>
      <c r="K3072" s="71"/>
      <c r="L3072" s="72" t="str">
        <f>IFERROR(IF(G3072="","",VLOOKUP($G3072,[1]基础信息!$B:$C,2,FALSE)+SUMIF(G$8:G3072,G3072,J$8:J3072)-SUMIF(G$8:G3072,G3072,K$8:K3072)+SUMIFS([1]内部转账!$G:$G,[1]内部转账!$C:$C,"&lt;="&amp;$D3072,[1]内部转账!$E:$E,$G3072)-SUMIFS([1]内部转账!$G:$G,[1]内部转账!$C:$C,"&lt;="&amp;$D3072,[1]内部转账!$F:$F,$G3072)),"")</f>
        <v/>
      </c>
      <c r="M3072" s="64"/>
      <c r="N3072" s="69"/>
      <c r="O3072" s="64"/>
      <c r="P3072" s="64"/>
      <c r="Q3072" s="69"/>
      <c r="R3072" s="69"/>
      <c r="S3072" s="69"/>
    </row>
    <row r="3073" s="2" customFormat="1" ht="24.95" customHeight="1" spans="1:19">
      <c r="A3073" s="15"/>
      <c r="B3073" s="55"/>
      <c r="C3073" s="56"/>
      <c r="D3073" s="68"/>
      <c r="E3073" s="69"/>
      <c r="F3073" s="69"/>
      <c r="G3073" s="65"/>
      <c r="H3073" s="65"/>
      <c r="I3073" s="70"/>
      <c r="J3073" s="71"/>
      <c r="K3073" s="71"/>
      <c r="L3073" s="72" t="str">
        <f>IFERROR(IF(G3073="","",VLOOKUP($G3073,[1]基础信息!$B:$C,2,FALSE)+SUMIF(G$8:G3073,G3073,J$8:J3073)-SUMIF(G$8:G3073,G3073,K$8:K3073)+SUMIFS([1]内部转账!$G:$G,[1]内部转账!$C:$C,"&lt;="&amp;$D3073,[1]内部转账!$E:$E,$G3073)-SUMIFS([1]内部转账!$G:$G,[1]内部转账!$C:$C,"&lt;="&amp;$D3073,[1]内部转账!$F:$F,$G3073)),"")</f>
        <v/>
      </c>
      <c r="M3073" s="64"/>
      <c r="N3073" s="69"/>
      <c r="O3073" s="64"/>
      <c r="P3073" s="64"/>
      <c r="Q3073" s="69"/>
      <c r="R3073" s="69"/>
      <c r="S3073" s="69"/>
    </row>
    <row r="3074" s="2" customFormat="1" ht="24.95" customHeight="1" spans="1:19">
      <c r="A3074" s="15"/>
      <c r="B3074" s="55"/>
      <c r="C3074" s="56"/>
      <c r="D3074" s="68"/>
      <c r="E3074" s="69"/>
      <c r="F3074" s="69"/>
      <c r="G3074" s="65"/>
      <c r="H3074" s="65"/>
      <c r="I3074" s="70"/>
      <c r="J3074" s="71"/>
      <c r="K3074" s="71"/>
      <c r="L3074" s="72" t="str">
        <f>IFERROR(IF(G3074="","",VLOOKUP($G3074,[1]基础信息!$B:$C,2,FALSE)+SUMIF(G$8:G3074,G3074,J$8:J3074)-SUMIF(G$8:G3074,G3074,K$8:K3074)+SUMIFS([1]内部转账!$G:$G,[1]内部转账!$C:$C,"&lt;="&amp;$D3074,[1]内部转账!$E:$E,$G3074)-SUMIFS([1]内部转账!$G:$G,[1]内部转账!$C:$C,"&lt;="&amp;$D3074,[1]内部转账!$F:$F,$G3074)),"")</f>
        <v/>
      </c>
      <c r="M3074" s="64"/>
      <c r="N3074" s="69"/>
      <c r="O3074" s="64"/>
      <c r="P3074" s="64"/>
      <c r="Q3074" s="69"/>
      <c r="R3074" s="69"/>
      <c r="S3074" s="69"/>
    </row>
    <row r="3075" s="2" customFormat="1" ht="24.95" customHeight="1" spans="1:19">
      <c r="A3075" s="15"/>
      <c r="B3075" s="55"/>
      <c r="C3075" s="56"/>
      <c r="D3075" s="68"/>
      <c r="E3075" s="69"/>
      <c r="F3075" s="69"/>
      <c r="G3075" s="65"/>
      <c r="H3075" s="65"/>
      <c r="I3075" s="70"/>
      <c r="J3075" s="71"/>
      <c r="K3075" s="71"/>
      <c r="L3075" s="72" t="str">
        <f>IFERROR(IF(G3075="","",VLOOKUP($G3075,[1]基础信息!$B:$C,2,FALSE)+SUMIF(G$8:G3075,G3075,J$8:J3075)-SUMIF(G$8:G3075,G3075,K$8:K3075)+SUMIFS([1]内部转账!$G:$G,[1]内部转账!$C:$C,"&lt;="&amp;$D3075,[1]内部转账!$E:$E,$G3075)-SUMIFS([1]内部转账!$G:$G,[1]内部转账!$C:$C,"&lt;="&amp;$D3075,[1]内部转账!$F:$F,$G3075)),"")</f>
        <v/>
      </c>
      <c r="M3075" s="64"/>
      <c r="N3075" s="69"/>
      <c r="O3075" s="64"/>
      <c r="P3075" s="64"/>
      <c r="Q3075" s="69"/>
      <c r="R3075" s="69"/>
      <c r="S3075" s="69"/>
    </row>
    <row r="3076" s="2" customFormat="1" ht="24.95" customHeight="1" spans="1:19">
      <c r="A3076" s="15"/>
      <c r="B3076" s="55"/>
      <c r="C3076" s="56"/>
      <c r="D3076" s="68"/>
      <c r="E3076" s="69"/>
      <c r="F3076" s="69"/>
      <c r="G3076" s="65"/>
      <c r="H3076" s="65"/>
      <c r="I3076" s="70"/>
      <c r="J3076" s="71"/>
      <c r="K3076" s="71"/>
      <c r="L3076" s="72" t="str">
        <f>IFERROR(IF(G3076="","",VLOOKUP($G3076,[1]基础信息!$B:$C,2,FALSE)+SUMIF(G$8:G3076,G3076,J$8:J3076)-SUMIF(G$8:G3076,G3076,K$8:K3076)+SUMIFS([1]内部转账!$G:$G,[1]内部转账!$C:$C,"&lt;="&amp;$D3076,[1]内部转账!$E:$E,$G3076)-SUMIFS([1]内部转账!$G:$G,[1]内部转账!$C:$C,"&lt;="&amp;$D3076,[1]内部转账!$F:$F,$G3076)),"")</f>
        <v/>
      </c>
      <c r="M3076" s="64"/>
      <c r="N3076" s="69"/>
      <c r="O3076" s="64"/>
      <c r="P3076" s="64"/>
      <c r="Q3076" s="69"/>
      <c r="R3076" s="69"/>
      <c r="S3076" s="69"/>
    </row>
    <row r="3077" s="2" customFormat="1" ht="24.95" customHeight="1" spans="1:19">
      <c r="A3077" s="15"/>
      <c r="B3077" s="55"/>
      <c r="C3077" s="56"/>
      <c r="D3077" s="68"/>
      <c r="E3077" s="69"/>
      <c r="F3077" s="69"/>
      <c r="G3077" s="65"/>
      <c r="H3077" s="65"/>
      <c r="I3077" s="70"/>
      <c r="J3077" s="71"/>
      <c r="K3077" s="71"/>
      <c r="L3077" s="72" t="str">
        <f>IFERROR(IF(G3077="","",VLOOKUP($G3077,[1]基础信息!$B:$C,2,FALSE)+SUMIF(G$8:G3077,G3077,J$8:J3077)-SUMIF(G$8:G3077,G3077,K$8:K3077)+SUMIFS([1]内部转账!$G:$G,[1]内部转账!$C:$C,"&lt;="&amp;$D3077,[1]内部转账!$E:$E,$G3077)-SUMIFS([1]内部转账!$G:$G,[1]内部转账!$C:$C,"&lt;="&amp;$D3077,[1]内部转账!$F:$F,$G3077)),"")</f>
        <v/>
      </c>
      <c r="M3077" s="64"/>
      <c r="N3077" s="69"/>
      <c r="O3077" s="64"/>
      <c r="P3077" s="64"/>
      <c r="Q3077" s="69"/>
      <c r="R3077" s="69"/>
      <c r="S3077" s="69"/>
    </row>
    <row r="3078" s="2" customFormat="1" ht="24.95" customHeight="1" spans="1:19">
      <c r="A3078" s="15"/>
      <c r="B3078" s="55"/>
      <c r="C3078" s="56"/>
      <c r="D3078" s="68"/>
      <c r="E3078" s="69"/>
      <c r="F3078" s="69"/>
      <c r="G3078" s="65"/>
      <c r="H3078" s="65"/>
      <c r="I3078" s="70"/>
      <c r="J3078" s="71"/>
      <c r="K3078" s="71"/>
      <c r="L3078" s="72" t="str">
        <f>IFERROR(IF(G3078="","",VLOOKUP($G3078,[1]基础信息!$B:$C,2,FALSE)+SUMIF(G$8:G3078,G3078,J$8:J3078)-SUMIF(G$8:G3078,G3078,K$8:K3078)+SUMIFS([1]内部转账!$G:$G,[1]内部转账!$C:$C,"&lt;="&amp;$D3078,[1]内部转账!$E:$E,$G3078)-SUMIFS([1]内部转账!$G:$G,[1]内部转账!$C:$C,"&lt;="&amp;$D3078,[1]内部转账!$F:$F,$G3078)),"")</f>
        <v/>
      </c>
      <c r="M3078" s="64"/>
      <c r="N3078" s="69"/>
      <c r="O3078" s="64"/>
      <c r="P3078" s="64"/>
      <c r="Q3078" s="69"/>
      <c r="R3078" s="69"/>
      <c r="S3078" s="69"/>
    </row>
    <row r="3079" s="2" customFormat="1" ht="24.95" customHeight="1" spans="1:19">
      <c r="A3079" s="15"/>
      <c r="B3079" s="55"/>
      <c r="C3079" s="56"/>
      <c r="D3079" s="68"/>
      <c r="E3079" s="69"/>
      <c r="F3079" s="69"/>
      <c r="G3079" s="65"/>
      <c r="H3079" s="65"/>
      <c r="I3079" s="70"/>
      <c r="J3079" s="71"/>
      <c r="K3079" s="71"/>
      <c r="L3079" s="72" t="str">
        <f>IFERROR(IF(G3079="","",VLOOKUP($G3079,[1]基础信息!$B:$C,2,FALSE)+SUMIF(G$8:G3079,G3079,J$8:J3079)-SUMIF(G$8:G3079,G3079,K$8:K3079)+SUMIFS([1]内部转账!$G:$G,[1]内部转账!$C:$C,"&lt;="&amp;$D3079,[1]内部转账!$E:$E,$G3079)-SUMIFS([1]内部转账!$G:$G,[1]内部转账!$C:$C,"&lt;="&amp;$D3079,[1]内部转账!$F:$F,$G3079)),"")</f>
        <v/>
      </c>
      <c r="M3079" s="64"/>
      <c r="N3079" s="69"/>
      <c r="O3079" s="64"/>
      <c r="P3079" s="64"/>
      <c r="Q3079" s="69"/>
      <c r="R3079" s="69"/>
      <c r="S3079" s="69"/>
    </row>
    <row r="3080" s="2" customFormat="1" ht="24.95" customHeight="1" spans="1:19">
      <c r="A3080" s="15"/>
      <c r="B3080" s="55"/>
      <c r="C3080" s="56"/>
      <c r="D3080" s="68"/>
      <c r="E3080" s="69"/>
      <c r="F3080" s="69"/>
      <c r="G3080" s="65"/>
      <c r="H3080" s="65"/>
      <c r="I3080" s="70"/>
      <c r="J3080" s="71"/>
      <c r="K3080" s="71"/>
      <c r="L3080" s="72" t="str">
        <f>IFERROR(IF(G3080="","",VLOOKUP($G3080,[1]基础信息!$B:$C,2,FALSE)+SUMIF(G$8:G3080,G3080,J$8:J3080)-SUMIF(G$8:G3080,G3080,K$8:K3080)+SUMIFS([1]内部转账!$G:$G,[1]内部转账!$C:$C,"&lt;="&amp;$D3080,[1]内部转账!$E:$E,$G3080)-SUMIFS([1]内部转账!$G:$G,[1]内部转账!$C:$C,"&lt;="&amp;$D3080,[1]内部转账!$F:$F,$G3080)),"")</f>
        <v/>
      </c>
      <c r="M3080" s="64"/>
      <c r="N3080" s="69"/>
      <c r="O3080" s="64"/>
      <c r="P3080" s="64"/>
      <c r="Q3080" s="69"/>
      <c r="R3080" s="69"/>
      <c r="S3080" s="69"/>
    </row>
    <row r="3081" s="2" customFormat="1" ht="24.95" customHeight="1" spans="1:19">
      <c r="A3081" s="15"/>
      <c r="B3081" s="55"/>
      <c r="C3081" s="56"/>
      <c r="D3081" s="68"/>
      <c r="E3081" s="69"/>
      <c r="F3081" s="69"/>
      <c r="G3081" s="65"/>
      <c r="H3081" s="65"/>
      <c r="I3081" s="70"/>
      <c r="J3081" s="71"/>
      <c r="K3081" s="71"/>
      <c r="L3081" s="72" t="str">
        <f>IFERROR(IF(G3081="","",VLOOKUP($G3081,[1]基础信息!$B:$C,2,FALSE)+SUMIF(G$8:G3081,G3081,J$8:J3081)-SUMIF(G$8:G3081,G3081,K$8:K3081)+SUMIFS([1]内部转账!$G:$G,[1]内部转账!$C:$C,"&lt;="&amp;$D3081,[1]内部转账!$E:$E,$G3081)-SUMIFS([1]内部转账!$G:$G,[1]内部转账!$C:$C,"&lt;="&amp;$D3081,[1]内部转账!$F:$F,$G3081)),"")</f>
        <v/>
      </c>
      <c r="M3081" s="64"/>
      <c r="N3081" s="69"/>
      <c r="O3081" s="64"/>
      <c r="P3081" s="64"/>
      <c r="Q3081" s="69"/>
      <c r="R3081" s="69"/>
      <c r="S3081" s="69"/>
    </row>
    <row r="3082" s="2" customFormat="1" ht="24.95" customHeight="1" spans="1:19">
      <c r="A3082" s="15"/>
      <c r="B3082" s="55"/>
      <c r="C3082" s="56"/>
      <c r="D3082" s="68"/>
      <c r="E3082" s="69"/>
      <c r="F3082" s="69"/>
      <c r="G3082" s="65"/>
      <c r="H3082" s="65"/>
      <c r="I3082" s="70"/>
      <c r="J3082" s="71"/>
      <c r="K3082" s="71"/>
      <c r="L3082" s="72" t="str">
        <f>IFERROR(IF(G3082="","",VLOOKUP($G3082,[1]基础信息!$B:$C,2,FALSE)+SUMIF(G$8:G3082,G3082,J$8:J3082)-SUMIF(G$8:G3082,G3082,K$8:K3082)+SUMIFS([1]内部转账!$G:$G,[1]内部转账!$C:$C,"&lt;="&amp;$D3082,[1]内部转账!$E:$E,$G3082)-SUMIFS([1]内部转账!$G:$G,[1]内部转账!$C:$C,"&lt;="&amp;$D3082,[1]内部转账!$F:$F,$G3082)),"")</f>
        <v/>
      </c>
      <c r="M3082" s="64"/>
      <c r="N3082" s="69"/>
      <c r="O3082" s="64"/>
      <c r="P3082" s="64"/>
      <c r="Q3082" s="69"/>
      <c r="R3082" s="69"/>
      <c r="S3082" s="69"/>
    </row>
    <row r="3083" s="2" customFormat="1" ht="24.95" customHeight="1" spans="1:19">
      <c r="A3083" s="15"/>
      <c r="B3083" s="55"/>
      <c r="C3083" s="56"/>
      <c r="D3083" s="68"/>
      <c r="E3083" s="69"/>
      <c r="F3083" s="69"/>
      <c r="G3083" s="65"/>
      <c r="H3083" s="65"/>
      <c r="I3083" s="70"/>
      <c r="J3083" s="71"/>
      <c r="K3083" s="71"/>
      <c r="L3083" s="72" t="str">
        <f>IFERROR(IF(G3083="","",VLOOKUP($G3083,[1]基础信息!$B:$C,2,FALSE)+SUMIF(G$8:G3083,G3083,J$8:J3083)-SUMIF(G$8:G3083,G3083,K$8:K3083)+SUMIFS([1]内部转账!$G:$G,[1]内部转账!$C:$C,"&lt;="&amp;$D3083,[1]内部转账!$E:$E,$G3083)-SUMIFS([1]内部转账!$G:$G,[1]内部转账!$C:$C,"&lt;="&amp;$D3083,[1]内部转账!$F:$F,$G3083)),"")</f>
        <v/>
      </c>
      <c r="M3083" s="64"/>
      <c r="N3083" s="69"/>
      <c r="O3083" s="64"/>
      <c r="P3083" s="64"/>
      <c r="Q3083" s="69"/>
      <c r="R3083" s="69"/>
      <c r="S3083" s="69"/>
    </row>
    <row r="3084" s="2" customFormat="1" ht="24.95" customHeight="1" spans="1:19">
      <c r="A3084" s="15"/>
      <c r="B3084" s="55"/>
      <c r="C3084" s="56"/>
      <c r="D3084" s="68"/>
      <c r="E3084" s="69"/>
      <c r="F3084" s="69"/>
      <c r="G3084" s="65"/>
      <c r="H3084" s="65"/>
      <c r="I3084" s="70"/>
      <c r="J3084" s="71"/>
      <c r="K3084" s="71"/>
      <c r="L3084" s="72" t="str">
        <f>IFERROR(IF(G3084="","",VLOOKUP($G3084,[1]基础信息!$B:$C,2,FALSE)+SUMIF(G$8:G3084,G3084,J$8:J3084)-SUMIF(G$8:G3084,G3084,K$8:K3084)+SUMIFS([1]内部转账!$G:$G,[1]内部转账!$C:$C,"&lt;="&amp;$D3084,[1]内部转账!$E:$E,$G3084)-SUMIFS([1]内部转账!$G:$G,[1]内部转账!$C:$C,"&lt;="&amp;$D3084,[1]内部转账!$F:$F,$G3084)),"")</f>
        <v/>
      </c>
      <c r="M3084" s="64"/>
      <c r="N3084" s="69"/>
      <c r="O3084" s="64"/>
      <c r="P3084" s="64"/>
      <c r="Q3084" s="69"/>
      <c r="R3084" s="69"/>
      <c r="S3084" s="69"/>
    </row>
    <row r="3085" s="2" customFormat="1" ht="24.95" customHeight="1" spans="1:19">
      <c r="A3085" s="15"/>
      <c r="B3085" s="55"/>
      <c r="C3085" s="56"/>
      <c r="D3085" s="68"/>
      <c r="E3085" s="69"/>
      <c r="F3085" s="69"/>
      <c r="G3085" s="65"/>
      <c r="H3085" s="65"/>
      <c r="I3085" s="70"/>
      <c r="J3085" s="71"/>
      <c r="K3085" s="71"/>
      <c r="L3085" s="72" t="str">
        <f>IFERROR(IF(G3085="","",VLOOKUP($G3085,[1]基础信息!$B:$C,2,FALSE)+SUMIF(G$8:G3085,G3085,J$8:J3085)-SUMIF(G$8:G3085,G3085,K$8:K3085)+SUMIFS([1]内部转账!$G:$G,[1]内部转账!$C:$C,"&lt;="&amp;$D3085,[1]内部转账!$E:$E,$G3085)-SUMIFS([1]内部转账!$G:$G,[1]内部转账!$C:$C,"&lt;="&amp;$D3085,[1]内部转账!$F:$F,$G3085)),"")</f>
        <v/>
      </c>
      <c r="M3085" s="64"/>
      <c r="N3085" s="69"/>
      <c r="O3085" s="64"/>
      <c r="P3085" s="64"/>
      <c r="Q3085" s="69"/>
      <c r="R3085" s="69"/>
      <c r="S3085" s="69"/>
    </row>
    <row r="3086" s="2" customFormat="1" ht="24.95" customHeight="1" spans="1:19">
      <c r="A3086" s="15"/>
      <c r="B3086" s="55"/>
      <c r="C3086" s="56"/>
      <c r="D3086" s="68"/>
      <c r="E3086" s="69"/>
      <c r="F3086" s="69"/>
      <c r="G3086" s="65"/>
      <c r="H3086" s="65"/>
      <c r="I3086" s="70"/>
      <c r="J3086" s="71"/>
      <c r="K3086" s="71"/>
      <c r="L3086" s="72" t="str">
        <f>IFERROR(IF(G3086="","",VLOOKUP($G3086,[1]基础信息!$B:$C,2,FALSE)+SUMIF(G$8:G3086,G3086,J$8:J3086)-SUMIF(G$8:G3086,G3086,K$8:K3086)+SUMIFS([1]内部转账!$G:$G,[1]内部转账!$C:$C,"&lt;="&amp;$D3086,[1]内部转账!$E:$E,$G3086)-SUMIFS([1]内部转账!$G:$G,[1]内部转账!$C:$C,"&lt;="&amp;$D3086,[1]内部转账!$F:$F,$G3086)),"")</f>
        <v/>
      </c>
      <c r="M3086" s="64"/>
      <c r="N3086" s="69"/>
      <c r="O3086" s="64"/>
      <c r="P3086" s="64"/>
      <c r="Q3086" s="69"/>
      <c r="R3086" s="69"/>
      <c r="S3086" s="69"/>
    </row>
    <row r="3087" s="2" customFormat="1" ht="24.95" customHeight="1" spans="1:19">
      <c r="A3087" s="15"/>
      <c r="B3087" s="55"/>
      <c r="C3087" s="56"/>
      <c r="D3087" s="68"/>
      <c r="E3087" s="69"/>
      <c r="F3087" s="69"/>
      <c r="G3087" s="65"/>
      <c r="H3087" s="65"/>
      <c r="I3087" s="70"/>
      <c r="J3087" s="71"/>
      <c r="K3087" s="71"/>
      <c r="L3087" s="72" t="str">
        <f>IFERROR(IF(G3087="","",VLOOKUP($G3087,[1]基础信息!$B:$C,2,FALSE)+SUMIF(G$8:G3087,G3087,J$8:J3087)-SUMIF(G$8:G3087,G3087,K$8:K3087)+SUMIFS([1]内部转账!$G:$G,[1]内部转账!$C:$C,"&lt;="&amp;$D3087,[1]内部转账!$E:$E,$G3087)-SUMIFS([1]内部转账!$G:$G,[1]内部转账!$C:$C,"&lt;="&amp;$D3087,[1]内部转账!$F:$F,$G3087)),"")</f>
        <v/>
      </c>
      <c r="M3087" s="64"/>
      <c r="N3087" s="69"/>
      <c r="O3087" s="64"/>
      <c r="P3087" s="64"/>
      <c r="Q3087" s="69"/>
      <c r="R3087" s="69"/>
      <c r="S3087" s="69"/>
    </row>
    <row r="3088" s="2" customFormat="1" ht="24.95" customHeight="1" spans="1:19">
      <c r="A3088" s="15"/>
      <c r="B3088" s="55"/>
      <c r="C3088" s="56"/>
      <c r="D3088" s="68"/>
      <c r="E3088" s="69"/>
      <c r="F3088" s="69"/>
      <c r="G3088" s="65"/>
      <c r="H3088" s="65"/>
      <c r="I3088" s="70"/>
      <c r="J3088" s="71"/>
      <c r="K3088" s="71"/>
      <c r="L3088" s="72" t="str">
        <f>IFERROR(IF(G3088="","",VLOOKUP($G3088,[1]基础信息!$B:$C,2,FALSE)+SUMIF(G$8:G3088,G3088,J$8:J3088)-SUMIF(G$8:G3088,G3088,K$8:K3088)+SUMIFS([1]内部转账!$G:$G,[1]内部转账!$C:$C,"&lt;="&amp;$D3088,[1]内部转账!$E:$E,$G3088)-SUMIFS([1]内部转账!$G:$G,[1]内部转账!$C:$C,"&lt;="&amp;$D3088,[1]内部转账!$F:$F,$G3088)),"")</f>
        <v/>
      </c>
      <c r="M3088" s="64"/>
      <c r="N3088" s="69"/>
      <c r="O3088" s="64"/>
      <c r="P3088" s="64"/>
      <c r="Q3088" s="69"/>
      <c r="R3088" s="69"/>
      <c r="S3088" s="69"/>
    </row>
    <row r="3089" s="2" customFormat="1" ht="24.95" customHeight="1" spans="1:19">
      <c r="A3089" s="15"/>
      <c r="B3089" s="55"/>
      <c r="C3089" s="56"/>
      <c r="D3089" s="68"/>
      <c r="E3089" s="69"/>
      <c r="F3089" s="69"/>
      <c r="G3089" s="65"/>
      <c r="H3089" s="65"/>
      <c r="I3089" s="70"/>
      <c r="J3089" s="71"/>
      <c r="K3089" s="71"/>
      <c r="L3089" s="72" t="str">
        <f>IFERROR(IF(G3089="","",VLOOKUP($G3089,[1]基础信息!$B:$C,2,FALSE)+SUMIF(G$8:G3089,G3089,J$8:J3089)-SUMIF(G$8:G3089,G3089,K$8:K3089)+SUMIFS([1]内部转账!$G:$G,[1]内部转账!$C:$C,"&lt;="&amp;$D3089,[1]内部转账!$E:$E,$G3089)-SUMIFS([1]内部转账!$G:$G,[1]内部转账!$C:$C,"&lt;="&amp;$D3089,[1]内部转账!$F:$F,$G3089)),"")</f>
        <v/>
      </c>
      <c r="M3089" s="64"/>
      <c r="N3089" s="69"/>
      <c r="O3089" s="64"/>
      <c r="P3089" s="64"/>
      <c r="Q3089" s="69"/>
      <c r="R3089" s="69"/>
      <c r="S3089" s="69"/>
    </row>
    <row r="3090" s="2" customFormat="1" ht="24.95" customHeight="1" spans="1:19">
      <c r="A3090" s="15"/>
      <c r="B3090" s="55"/>
      <c r="C3090" s="56"/>
      <c r="D3090" s="68"/>
      <c r="E3090" s="69"/>
      <c r="F3090" s="69"/>
      <c r="G3090" s="65"/>
      <c r="H3090" s="65"/>
      <c r="I3090" s="70"/>
      <c r="J3090" s="71"/>
      <c r="K3090" s="71"/>
      <c r="L3090" s="72" t="str">
        <f>IFERROR(IF(G3090="","",VLOOKUP($G3090,[1]基础信息!$B:$C,2,FALSE)+SUMIF(G$8:G3090,G3090,J$8:J3090)-SUMIF(G$8:G3090,G3090,K$8:K3090)+SUMIFS([1]内部转账!$G:$G,[1]内部转账!$C:$C,"&lt;="&amp;$D3090,[1]内部转账!$E:$E,$G3090)-SUMIFS([1]内部转账!$G:$G,[1]内部转账!$C:$C,"&lt;="&amp;$D3090,[1]内部转账!$F:$F,$G3090)),"")</f>
        <v/>
      </c>
      <c r="M3090" s="64"/>
      <c r="N3090" s="69"/>
      <c r="O3090" s="64"/>
      <c r="P3090" s="64"/>
      <c r="Q3090" s="69"/>
      <c r="R3090" s="69"/>
      <c r="S3090" s="69"/>
    </row>
    <row r="3091" s="2" customFormat="1" ht="24.95" customHeight="1" spans="1:19">
      <c r="A3091" s="15"/>
      <c r="B3091" s="55"/>
      <c r="C3091" s="56"/>
      <c r="D3091" s="68"/>
      <c r="E3091" s="69"/>
      <c r="F3091" s="69"/>
      <c r="G3091" s="65"/>
      <c r="H3091" s="65"/>
      <c r="I3091" s="70"/>
      <c r="J3091" s="71"/>
      <c r="K3091" s="71"/>
      <c r="L3091" s="72" t="str">
        <f>IFERROR(IF(G3091="","",VLOOKUP($G3091,[1]基础信息!$B:$C,2,FALSE)+SUMIF(G$8:G3091,G3091,J$8:J3091)-SUMIF(G$8:G3091,G3091,K$8:K3091)+SUMIFS([1]内部转账!$G:$G,[1]内部转账!$C:$C,"&lt;="&amp;$D3091,[1]内部转账!$E:$E,$G3091)-SUMIFS([1]内部转账!$G:$G,[1]内部转账!$C:$C,"&lt;="&amp;$D3091,[1]内部转账!$F:$F,$G3091)),"")</f>
        <v/>
      </c>
      <c r="M3091" s="64"/>
      <c r="N3091" s="69"/>
      <c r="O3091" s="64"/>
      <c r="P3091" s="64"/>
      <c r="Q3091" s="69"/>
      <c r="R3091" s="69"/>
      <c r="S3091" s="69"/>
    </row>
    <row r="3092" s="2" customFormat="1" ht="24.95" customHeight="1" spans="1:19">
      <c r="A3092" s="15"/>
      <c r="B3092" s="55"/>
      <c r="C3092" s="56"/>
      <c r="D3092" s="68"/>
      <c r="E3092" s="69"/>
      <c r="F3092" s="69"/>
      <c r="G3092" s="65"/>
      <c r="H3092" s="65"/>
      <c r="I3092" s="70"/>
      <c r="J3092" s="71"/>
      <c r="K3092" s="71"/>
      <c r="L3092" s="72" t="str">
        <f>IFERROR(IF(G3092="","",VLOOKUP($G3092,[1]基础信息!$B:$C,2,FALSE)+SUMIF(G$8:G3092,G3092,J$8:J3092)-SUMIF(G$8:G3092,G3092,K$8:K3092)+SUMIFS([1]内部转账!$G:$G,[1]内部转账!$C:$C,"&lt;="&amp;$D3092,[1]内部转账!$E:$E,$G3092)-SUMIFS([1]内部转账!$G:$G,[1]内部转账!$C:$C,"&lt;="&amp;$D3092,[1]内部转账!$F:$F,$G3092)),"")</f>
        <v/>
      </c>
      <c r="M3092" s="64"/>
      <c r="N3092" s="69"/>
      <c r="O3092" s="64"/>
      <c r="P3092" s="64"/>
      <c r="Q3092" s="69"/>
      <c r="R3092" s="69"/>
      <c r="S3092" s="69"/>
    </row>
    <row r="3093" s="2" customFormat="1" ht="24.95" customHeight="1" spans="1:19">
      <c r="A3093" s="15"/>
      <c r="B3093" s="55"/>
      <c r="C3093" s="56"/>
      <c r="D3093" s="68"/>
      <c r="E3093" s="69"/>
      <c r="F3093" s="69"/>
      <c r="G3093" s="65"/>
      <c r="H3093" s="65"/>
      <c r="I3093" s="70"/>
      <c r="J3093" s="71"/>
      <c r="K3093" s="71"/>
      <c r="L3093" s="72" t="str">
        <f>IFERROR(IF(G3093="","",VLOOKUP($G3093,[1]基础信息!$B:$C,2,FALSE)+SUMIF(G$8:G3093,G3093,J$8:J3093)-SUMIF(G$8:G3093,G3093,K$8:K3093)+SUMIFS([1]内部转账!$G:$G,[1]内部转账!$C:$C,"&lt;="&amp;$D3093,[1]内部转账!$E:$E,$G3093)-SUMIFS([1]内部转账!$G:$G,[1]内部转账!$C:$C,"&lt;="&amp;$D3093,[1]内部转账!$F:$F,$G3093)),"")</f>
        <v/>
      </c>
      <c r="M3093" s="64"/>
      <c r="N3093" s="69"/>
      <c r="O3093" s="64"/>
      <c r="P3093" s="64"/>
      <c r="Q3093" s="69"/>
      <c r="R3093" s="69"/>
      <c r="S3093" s="69"/>
    </row>
    <row r="3094" s="2" customFormat="1" ht="24.95" customHeight="1" spans="1:19">
      <c r="A3094" s="15"/>
      <c r="B3094" s="55"/>
      <c r="C3094" s="56"/>
      <c r="D3094" s="68"/>
      <c r="E3094" s="69"/>
      <c r="F3094" s="69"/>
      <c r="G3094" s="65"/>
      <c r="H3094" s="65"/>
      <c r="I3094" s="70"/>
      <c r="J3094" s="71"/>
      <c r="K3094" s="71"/>
      <c r="L3094" s="72" t="str">
        <f>IFERROR(IF(G3094="","",VLOOKUP($G3094,[1]基础信息!$B:$C,2,FALSE)+SUMIF(G$8:G3094,G3094,J$8:J3094)-SUMIF(G$8:G3094,G3094,K$8:K3094)+SUMIFS([1]内部转账!$G:$G,[1]内部转账!$C:$C,"&lt;="&amp;$D3094,[1]内部转账!$E:$E,$G3094)-SUMIFS([1]内部转账!$G:$G,[1]内部转账!$C:$C,"&lt;="&amp;$D3094,[1]内部转账!$F:$F,$G3094)),"")</f>
        <v/>
      </c>
      <c r="M3094" s="64"/>
      <c r="N3094" s="69"/>
      <c r="O3094" s="64"/>
      <c r="P3094" s="64"/>
      <c r="Q3094" s="69"/>
      <c r="R3094" s="69"/>
      <c r="S3094" s="69"/>
    </row>
    <row r="3095" s="2" customFormat="1" ht="24.95" customHeight="1" spans="1:19">
      <c r="A3095" s="15"/>
      <c r="B3095" s="55"/>
      <c r="C3095" s="56"/>
      <c r="D3095" s="68"/>
      <c r="E3095" s="69"/>
      <c r="F3095" s="69"/>
      <c r="G3095" s="65"/>
      <c r="H3095" s="65"/>
      <c r="I3095" s="70"/>
      <c r="J3095" s="71"/>
      <c r="K3095" s="71"/>
      <c r="L3095" s="72" t="str">
        <f>IFERROR(IF(G3095="","",VLOOKUP($G3095,[1]基础信息!$B:$C,2,FALSE)+SUMIF(G$8:G3095,G3095,J$8:J3095)-SUMIF(G$8:G3095,G3095,K$8:K3095)+SUMIFS([1]内部转账!$G:$G,[1]内部转账!$C:$C,"&lt;="&amp;$D3095,[1]内部转账!$E:$E,$G3095)-SUMIFS([1]内部转账!$G:$G,[1]内部转账!$C:$C,"&lt;="&amp;$D3095,[1]内部转账!$F:$F,$G3095)),"")</f>
        <v/>
      </c>
      <c r="M3095" s="64"/>
      <c r="N3095" s="69"/>
      <c r="O3095" s="64"/>
      <c r="P3095" s="64"/>
      <c r="Q3095" s="69"/>
      <c r="R3095" s="69"/>
      <c r="S3095" s="69"/>
    </row>
    <row r="3096" s="2" customFormat="1" ht="24.95" customHeight="1" spans="1:19">
      <c r="A3096" s="15"/>
      <c r="B3096" s="55"/>
      <c r="C3096" s="56"/>
      <c r="D3096" s="68"/>
      <c r="E3096" s="69"/>
      <c r="F3096" s="69"/>
      <c r="G3096" s="65"/>
      <c r="H3096" s="65"/>
      <c r="I3096" s="70"/>
      <c r="J3096" s="71"/>
      <c r="K3096" s="71"/>
      <c r="L3096" s="72" t="str">
        <f>IFERROR(IF(G3096="","",VLOOKUP($G3096,[1]基础信息!$B:$C,2,FALSE)+SUMIF(G$8:G3096,G3096,J$8:J3096)-SUMIF(G$8:G3096,G3096,K$8:K3096)+SUMIFS([1]内部转账!$G:$G,[1]内部转账!$C:$C,"&lt;="&amp;$D3096,[1]内部转账!$E:$E,$G3096)-SUMIFS([1]内部转账!$G:$G,[1]内部转账!$C:$C,"&lt;="&amp;$D3096,[1]内部转账!$F:$F,$G3096)),"")</f>
        <v/>
      </c>
      <c r="M3096" s="64"/>
      <c r="N3096" s="69"/>
      <c r="O3096" s="64"/>
      <c r="P3096" s="64"/>
      <c r="Q3096" s="69"/>
      <c r="R3096" s="69"/>
      <c r="S3096" s="69"/>
    </row>
    <row r="3097" s="2" customFormat="1" ht="24.95" customHeight="1" spans="1:19">
      <c r="A3097" s="15"/>
      <c r="B3097" s="55"/>
      <c r="C3097" s="56"/>
      <c r="D3097" s="68"/>
      <c r="E3097" s="69"/>
      <c r="F3097" s="69"/>
      <c r="G3097" s="65"/>
      <c r="H3097" s="65"/>
      <c r="I3097" s="70"/>
      <c r="J3097" s="71"/>
      <c r="K3097" s="71"/>
      <c r="L3097" s="72" t="str">
        <f>IFERROR(IF(G3097="","",VLOOKUP($G3097,[1]基础信息!$B:$C,2,FALSE)+SUMIF(G$8:G3097,G3097,J$8:J3097)-SUMIF(G$8:G3097,G3097,K$8:K3097)+SUMIFS([1]内部转账!$G:$G,[1]内部转账!$C:$C,"&lt;="&amp;$D3097,[1]内部转账!$E:$E,$G3097)-SUMIFS([1]内部转账!$G:$G,[1]内部转账!$C:$C,"&lt;="&amp;$D3097,[1]内部转账!$F:$F,$G3097)),"")</f>
        <v/>
      </c>
      <c r="M3097" s="64"/>
      <c r="N3097" s="69"/>
      <c r="O3097" s="64"/>
      <c r="P3097" s="64"/>
      <c r="Q3097" s="69"/>
      <c r="R3097" s="69"/>
      <c r="S3097" s="69"/>
    </row>
    <row r="3098" s="2" customFormat="1" ht="24.95" customHeight="1" spans="1:19">
      <c r="A3098" s="15"/>
      <c r="B3098" s="55"/>
      <c r="C3098" s="56"/>
      <c r="D3098" s="68"/>
      <c r="E3098" s="69"/>
      <c r="F3098" s="69"/>
      <c r="G3098" s="65"/>
      <c r="H3098" s="65"/>
      <c r="I3098" s="70"/>
      <c r="J3098" s="71"/>
      <c r="K3098" s="71"/>
      <c r="L3098" s="72" t="str">
        <f>IFERROR(IF(G3098="","",VLOOKUP($G3098,[1]基础信息!$B:$C,2,FALSE)+SUMIF(G$8:G3098,G3098,J$8:J3098)-SUMIF(G$8:G3098,G3098,K$8:K3098)+SUMIFS([1]内部转账!$G:$G,[1]内部转账!$C:$C,"&lt;="&amp;$D3098,[1]内部转账!$E:$E,$G3098)-SUMIFS([1]内部转账!$G:$G,[1]内部转账!$C:$C,"&lt;="&amp;$D3098,[1]内部转账!$F:$F,$G3098)),"")</f>
        <v/>
      </c>
      <c r="M3098" s="64"/>
      <c r="N3098" s="69"/>
      <c r="O3098" s="64"/>
      <c r="P3098" s="64"/>
      <c r="Q3098" s="69"/>
      <c r="R3098" s="69"/>
      <c r="S3098" s="69"/>
    </row>
    <row r="3099" s="2" customFormat="1" ht="24.95" customHeight="1" spans="1:19">
      <c r="A3099" s="15"/>
      <c r="B3099" s="55"/>
      <c r="C3099" s="56"/>
      <c r="D3099" s="68"/>
      <c r="E3099" s="69"/>
      <c r="F3099" s="69"/>
      <c r="G3099" s="65"/>
      <c r="H3099" s="65"/>
      <c r="I3099" s="70"/>
      <c r="J3099" s="71"/>
      <c r="K3099" s="71"/>
      <c r="L3099" s="72" t="str">
        <f>IFERROR(IF(G3099="","",VLOOKUP($G3099,[1]基础信息!$B:$C,2,FALSE)+SUMIF(G$8:G3099,G3099,J$8:J3099)-SUMIF(G$8:G3099,G3099,K$8:K3099)+SUMIFS([1]内部转账!$G:$G,[1]内部转账!$C:$C,"&lt;="&amp;$D3099,[1]内部转账!$E:$E,$G3099)-SUMIFS([1]内部转账!$G:$G,[1]内部转账!$C:$C,"&lt;="&amp;$D3099,[1]内部转账!$F:$F,$G3099)),"")</f>
        <v/>
      </c>
      <c r="M3099" s="64"/>
      <c r="N3099" s="69"/>
      <c r="O3099" s="64"/>
      <c r="P3099" s="64"/>
      <c r="Q3099" s="69"/>
      <c r="R3099" s="69"/>
      <c r="S3099" s="69"/>
    </row>
    <row r="3100" s="2" customFormat="1" ht="24.95" customHeight="1" spans="1:19">
      <c r="A3100" s="15"/>
      <c r="B3100" s="55"/>
      <c r="C3100" s="56"/>
      <c r="D3100" s="68"/>
      <c r="E3100" s="69"/>
      <c r="F3100" s="69"/>
      <c r="G3100" s="65"/>
      <c r="H3100" s="65"/>
      <c r="I3100" s="70"/>
      <c r="J3100" s="71"/>
      <c r="K3100" s="71"/>
      <c r="L3100" s="72" t="str">
        <f>IFERROR(IF(G3100="","",VLOOKUP($G3100,[1]基础信息!$B:$C,2,FALSE)+SUMIF(G$8:G3100,G3100,J$8:J3100)-SUMIF(G$8:G3100,G3100,K$8:K3100)+SUMIFS([1]内部转账!$G:$G,[1]内部转账!$C:$C,"&lt;="&amp;$D3100,[1]内部转账!$E:$E,$G3100)-SUMIFS([1]内部转账!$G:$G,[1]内部转账!$C:$C,"&lt;="&amp;$D3100,[1]内部转账!$F:$F,$G3100)),"")</f>
        <v/>
      </c>
      <c r="M3100" s="64"/>
      <c r="N3100" s="69"/>
      <c r="O3100" s="64"/>
      <c r="P3100" s="64"/>
      <c r="Q3100" s="69"/>
      <c r="R3100" s="69"/>
      <c r="S3100" s="69"/>
    </row>
    <row r="3101" s="2" customFormat="1" ht="24.95" customHeight="1" spans="1:19">
      <c r="A3101" s="15"/>
      <c r="B3101" s="55"/>
      <c r="C3101" s="56"/>
      <c r="D3101" s="68"/>
      <c r="E3101" s="69"/>
      <c r="F3101" s="69"/>
      <c r="G3101" s="65"/>
      <c r="H3101" s="65"/>
      <c r="I3101" s="70"/>
      <c r="J3101" s="71"/>
      <c r="K3101" s="71"/>
      <c r="L3101" s="72" t="str">
        <f>IFERROR(IF(G3101="","",VLOOKUP($G3101,[1]基础信息!$B:$C,2,FALSE)+SUMIF(G$8:G3101,G3101,J$8:J3101)-SUMIF(G$8:G3101,G3101,K$8:K3101)+SUMIFS([1]内部转账!$G:$G,[1]内部转账!$C:$C,"&lt;="&amp;$D3101,[1]内部转账!$E:$E,$G3101)-SUMIFS([1]内部转账!$G:$G,[1]内部转账!$C:$C,"&lt;="&amp;$D3101,[1]内部转账!$F:$F,$G3101)),"")</f>
        <v/>
      </c>
      <c r="M3101" s="64"/>
      <c r="N3101" s="69"/>
      <c r="O3101" s="64"/>
      <c r="P3101" s="64"/>
      <c r="Q3101" s="69"/>
      <c r="R3101" s="69"/>
      <c r="S3101" s="69"/>
    </row>
    <row r="3102" s="2" customFormat="1" ht="24.95" customHeight="1" spans="1:19">
      <c r="A3102" s="15"/>
      <c r="B3102" s="55"/>
      <c r="C3102" s="56"/>
      <c r="D3102" s="68"/>
      <c r="E3102" s="69"/>
      <c r="F3102" s="69"/>
      <c r="G3102" s="65"/>
      <c r="H3102" s="65"/>
      <c r="I3102" s="70"/>
      <c r="J3102" s="71"/>
      <c r="K3102" s="71"/>
      <c r="L3102" s="72" t="str">
        <f>IFERROR(IF(G3102="","",VLOOKUP($G3102,[1]基础信息!$B:$C,2,FALSE)+SUMIF(G$8:G3102,G3102,J$8:J3102)-SUMIF(G$8:G3102,G3102,K$8:K3102)+SUMIFS([1]内部转账!$G:$G,[1]内部转账!$C:$C,"&lt;="&amp;$D3102,[1]内部转账!$E:$E,$G3102)-SUMIFS([1]内部转账!$G:$G,[1]内部转账!$C:$C,"&lt;="&amp;$D3102,[1]内部转账!$F:$F,$G3102)),"")</f>
        <v/>
      </c>
      <c r="M3102" s="64"/>
      <c r="N3102" s="69"/>
      <c r="O3102" s="64"/>
      <c r="P3102" s="64"/>
      <c r="Q3102" s="69"/>
      <c r="R3102" s="69"/>
      <c r="S3102" s="69"/>
    </row>
    <row r="3103" s="2" customFormat="1" ht="24.95" customHeight="1" spans="1:19">
      <c r="A3103" s="15"/>
      <c r="B3103" s="55"/>
      <c r="C3103" s="56"/>
      <c r="D3103" s="68"/>
      <c r="E3103" s="69"/>
      <c r="F3103" s="69"/>
      <c r="G3103" s="65"/>
      <c r="H3103" s="65"/>
      <c r="I3103" s="70"/>
      <c r="J3103" s="71"/>
      <c r="K3103" s="71"/>
      <c r="L3103" s="72" t="str">
        <f>IFERROR(IF(G3103="","",VLOOKUP($G3103,[1]基础信息!$B:$C,2,FALSE)+SUMIF(G$8:G3103,G3103,J$8:J3103)-SUMIF(G$8:G3103,G3103,K$8:K3103)+SUMIFS([1]内部转账!$G:$G,[1]内部转账!$C:$C,"&lt;="&amp;$D3103,[1]内部转账!$E:$E,$G3103)-SUMIFS([1]内部转账!$G:$G,[1]内部转账!$C:$C,"&lt;="&amp;$D3103,[1]内部转账!$F:$F,$G3103)),"")</f>
        <v/>
      </c>
      <c r="M3103" s="64"/>
      <c r="N3103" s="69"/>
      <c r="O3103" s="64"/>
      <c r="P3103" s="64"/>
      <c r="Q3103" s="69"/>
      <c r="R3103" s="69"/>
      <c r="S3103" s="69"/>
    </row>
    <row r="3104" s="2" customFormat="1" ht="24.95" customHeight="1" spans="1:19">
      <c r="A3104" s="15"/>
      <c r="B3104" s="55"/>
      <c r="C3104" s="56"/>
      <c r="D3104" s="68"/>
      <c r="E3104" s="69"/>
      <c r="F3104" s="69"/>
      <c r="G3104" s="65"/>
      <c r="H3104" s="65"/>
      <c r="I3104" s="70"/>
      <c r="J3104" s="71"/>
      <c r="K3104" s="71"/>
      <c r="L3104" s="72" t="str">
        <f>IFERROR(IF(G3104="","",VLOOKUP($G3104,[1]基础信息!$B:$C,2,FALSE)+SUMIF(G$8:G3104,G3104,J$8:J3104)-SUMIF(G$8:G3104,G3104,K$8:K3104)+SUMIFS([1]内部转账!$G:$G,[1]内部转账!$C:$C,"&lt;="&amp;$D3104,[1]内部转账!$E:$E,$G3104)-SUMIFS([1]内部转账!$G:$G,[1]内部转账!$C:$C,"&lt;="&amp;$D3104,[1]内部转账!$F:$F,$G3104)),"")</f>
        <v/>
      </c>
      <c r="M3104" s="64"/>
      <c r="N3104" s="69"/>
      <c r="O3104" s="64"/>
      <c r="P3104" s="64"/>
      <c r="Q3104" s="69"/>
      <c r="R3104" s="69"/>
      <c r="S3104" s="69"/>
    </row>
    <row r="3105" s="2" customFormat="1" ht="24.95" customHeight="1" spans="1:19">
      <c r="A3105" s="15"/>
      <c r="B3105" s="55"/>
      <c r="C3105" s="56"/>
      <c r="D3105" s="68"/>
      <c r="E3105" s="69"/>
      <c r="F3105" s="69"/>
      <c r="G3105" s="65"/>
      <c r="H3105" s="65"/>
      <c r="I3105" s="70"/>
      <c r="J3105" s="71"/>
      <c r="K3105" s="71"/>
      <c r="L3105" s="72" t="str">
        <f>IFERROR(IF(G3105="","",VLOOKUP($G3105,[1]基础信息!$B:$C,2,FALSE)+SUMIF(G$8:G3105,G3105,J$8:J3105)-SUMIF(G$8:G3105,G3105,K$8:K3105)+SUMIFS([1]内部转账!$G:$G,[1]内部转账!$C:$C,"&lt;="&amp;$D3105,[1]内部转账!$E:$E,$G3105)-SUMIFS([1]内部转账!$G:$G,[1]内部转账!$C:$C,"&lt;="&amp;$D3105,[1]内部转账!$F:$F,$G3105)),"")</f>
        <v/>
      </c>
      <c r="M3105" s="64"/>
      <c r="N3105" s="69"/>
      <c r="O3105" s="64"/>
      <c r="P3105" s="64"/>
      <c r="Q3105" s="69"/>
      <c r="R3105" s="69"/>
      <c r="S3105" s="69"/>
    </row>
    <row r="3106" s="2" customFormat="1" ht="24.95" customHeight="1" spans="1:19">
      <c r="A3106" s="15"/>
      <c r="B3106" s="55"/>
      <c r="C3106" s="56"/>
      <c r="D3106" s="68"/>
      <c r="E3106" s="69"/>
      <c r="F3106" s="69"/>
      <c r="G3106" s="65"/>
      <c r="H3106" s="65"/>
      <c r="I3106" s="70"/>
      <c r="J3106" s="71"/>
      <c r="K3106" s="71"/>
      <c r="L3106" s="72" t="str">
        <f>IFERROR(IF(G3106="","",VLOOKUP($G3106,[1]基础信息!$B:$C,2,FALSE)+SUMIF(G$8:G3106,G3106,J$8:J3106)-SUMIF(G$8:G3106,G3106,K$8:K3106)+SUMIFS([1]内部转账!$G:$G,[1]内部转账!$C:$C,"&lt;="&amp;$D3106,[1]内部转账!$E:$E,$G3106)-SUMIFS([1]内部转账!$G:$G,[1]内部转账!$C:$C,"&lt;="&amp;$D3106,[1]内部转账!$F:$F,$G3106)),"")</f>
        <v/>
      </c>
      <c r="M3106" s="64"/>
      <c r="N3106" s="69"/>
      <c r="O3106" s="64"/>
      <c r="P3106" s="64"/>
      <c r="Q3106" s="69"/>
      <c r="R3106" s="69"/>
      <c r="S3106" s="69"/>
    </row>
    <row r="3107" s="2" customFormat="1" ht="24.95" customHeight="1" spans="1:19">
      <c r="A3107" s="15"/>
      <c r="B3107" s="55"/>
      <c r="C3107" s="56"/>
      <c r="D3107" s="68"/>
      <c r="E3107" s="69"/>
      <c r="F3107" s="69"/>
      <c r="G3107" s="65"/>
      <c r="H3107" s="65"/>
      <c r="I3107" s="70"/>
      <c r="J3107" s="71"/>
      <c r="K3107" s="71"/>
      <c r="L3107" s="72" t="str">
        <f>IFERROR(IF(G3107="","",VLOOKUP($G3107,[1]基础信息!$B:$C,2,FALSE)+SUMIF(G$8:G3107,G3107,J$8:J3107)-SUMIF(G$8:G3107,G3107,K$8:K3107)+SUMIFS([1]内部转账!$G:$G,[1]内部转账!$C:$C,"&lt;="&amp;$D3107,[1]内部转账!$E:$E,$G3107)-SUMIFS([1]内部转账!$G:$G,[1]内部转账!$C:$C,"&lt;="&amp;$D3107,[1]内部转账!$F:$F,$G3107)),"")</f>
        <v/>
      </c>
      <c r="M3107" s="64"/>
      <c r="N3107" s="69"/>
      <c r="O3107" s="64"/>
      <c r="P3107" s="64"/>
      <c r="Q3107" s="69"/>
      <c r="R3107" s="69"/>
      <c r="S3107" s="69"/>
    </row>
    <row r="3108" s="2" customFormat="1" ht="24.95" customHeight="1" spans="1:19">
      <c r="A3108" s="15"/>
      <c r="B3108" s="55"/>
      <c r="C3108" s="56"/>
      <c r="D3108" s="68"/>
      <c r="E3108" s="69"/>
      <c r="F3108" s="69"/>
      <c r="G3108" s="65"/>
      <c r="H3108" s="65"/>
      <c r="I3108" s="70"/>
      <c r="J3108" s="71"/>
      <c r="K3108" s="71"/>
      <c r="L3108" s="72" t="str">
        <f>IFERROR(IF(G3108="","",VLOOKUP($G3108,[1]基础信息!$B:$C,2,FALSE)+SUMIF(G$8:G3108,G3108,J$8:J3108)-SUMIF(G$8:G3108,G3108,K$8:K3108)+SUMIFS([1]内部转账!$G:$G,[1]内部转账!$C:$C,"&lt;="&amp;$D3108,[1]内部转账!$E:$E,$G3108)-SUMIFS([1]内部转账!$G:$G,[1]内部转账!$C:$C,"&lt;="&amp;$D3108,[1]内部转账!$F:$F,$G3108)),"")</f>
        <v/>
      </c>
      <c r="M3108" s="64"/>
      <c r="N3108" s="69"/>
      <c r="O3108" s="64"/>
      <c r="P3108" s="64"/>
      <c r="Q3108" s="69"/>
      <c r="R3108" s="69"/>
      <c r="S3108" s="69"/>
    </row>
    <row r="3109" s="2" customFormat="1" ht="24.95" customHeight="1" spans="1:19">
      <c r="A3109" s="15"/>
      <c r="B3109" s="55"/>
      <c r="C3109" s="56"/>
      <c r="D3109" s="68"/>
      <c r="E3109" s="69"/>
      <c r="F3109" s="69"/>
      <c r="G3109" s="65"/>
      <c r="H3109" s="65"/>
      <c r="I3109" s="70"/>
      <c r="J3109" s="71"/>
      <c r="K3109" s="71"/>
      <c r="L3109" s="72" t="str">
        <f>IFERROR(IF(G3109="","",VLOOKUP($G3109,[1]基础信息!$B:$C,2,FALSE)+SUMIF(G$8:G3109,G3109,J$8:J3109)-SUMIF(G$8:G3109,G3109,K$8:K3109)+SUMIFS([1]内部转账!$G:$G,[1]内部转账!$C:$C,"&lt;="&amp;$D3109,[1]内部转账!$E:$E,$G3109)-SUMIFS([1]内部转账!$G:$G,[1]内部转账!$C:$C,"&lt;="&amp;$D3109,[1]内部转账!$F:$F,$G3109)),"")</f>
        <v/>
      </c>
      <c r="M3109" s="64"/>
      <c r="N3109" s="69"/>
      <c r="O3109" s="64"/>
      <c r="P3109" s="64"/>
      <c r="Q3109" s="69"/>
      <c r="R3109" s="69"/>
      <c r="S3109" s="69"/>
    </row>
    <row r="3110" s="2" customFormat="1" ht="24.95" customHeight="1" spans="1:19">
      <c r="A3110" s="15"/>
      <c r="B3110" s="55"/>
      <c r="C3110" s="56"/>
      <c r="D3110" s="68"/>
      <c r="E3110" s="69"/>
      <c r="F3110" s="69"/>
      <c r="G3110" s="65"/>
      <c r="H3110" s="65"/>
      <c r="I3110" s="70"/>
      <c r="J3110" s="71"/>
      <c r="K3110" s="71"/>
      <c r="L3110" s="72" t="str">
        <f>IFERROR(IF(G3110="","",VLOOKUP($G3110,[1]基础信息!$B:$C,2,FALSE)+SUMIF(G$8:G3110,G3110,J$8:J3110)-SUMIF(G$8:G3110,G3110,K$8:K3110)+SUMIFS([1]内部转账!$G:$G,[1]内部转账!$C:$C,"&lt;="&amp;$D3110,[1]内部转账!$E:$E,$G3110)-SUMIFS([1]内部转账!$G:$G,[1]内部转账!$C:$C,"&lt;="&amp;$D3110,[1]内部转账!$F:$F,$G3110)),"")</f>
        <v/>
      </c>
      <c r="M3110" s="64"/>
      <c r="N3110" s="69"/>
      <c r="O3110" s="64"/>
      <c r="P3110" s="64"/>
      <c r="Q3110" s="69"/>
      <c r="R3110" s="69"/>
      <c r="S3110" s="69"/>
    </row>
    <row r="3111" s="2" customFormat="1" ht="24.95" customHeight="1" spans="1:19">
      <c r="A3111" s="15"/>
      <c r="B3111" s="55"/>
      <c r="C3111" s="56"/>
      <c r="D3111" s="68"/>
      <c r="E3111" s="69"/>
      <c r="F3111" s="69"/>
      <c r="G3111" s="65"/>
      <c r="H3111" s="65"/>
      <c r="I3111" s="70"/>
      <c r="J3111" s="71"/>
      <c r="K3111" s="71"/>
      <c r="L3111" s="72" t="str">
        <f>IFERROR(IF(G3111="","",VLOOKUP($G3111,[1]基础信息!$B:$C,2,FALSE)+SUMIF(G$8:G3111,G3111,J$8:J3111)-SUMIF(G$8:G3111,G3111,K$8:K3111)+SUMIFS([1]内部转账!$G:$G,[1]内部转账!$C:$C,"&lt;="&amp;$D3111,[1]内部转账!$E:$E,$G3111)-SUMIFS([1]内部转账!$G:$G,[1]内部转账!$C:$C,"&lt;="&amp;$D3111,[1]内部转账!$F:$F,$G3111)),"")</f>
        <v/>
      </c>
      <c r="M3111" s="64"/>
      <c r="N3111" s="69"/>
      <c r="O3111" s="64"/>
      <c r="P3111" s="64"/>
      <c r="Q3111" s="69"/>
      <c r="R3111" s="69"/>
      <c r="S3111" s="69"/>
    </row>
    <row r="3112" s="2" customFormat="1" ht="24.95" customHeight="1" spans="1:19">
      <c r="A3112" s="15"/>
      <c r="B3112" s="55"/>
      <c r="C3112" s="56"/>
      <c r="D3112" s="68"/>
      <c r="E3112" s="69"/>
      <c r="F3112" s="69"/>
      <c r="G3112" s="65"/>
      <c r="H3112" s="65"/>
      <c r="I3112" s="70"/>
      <c r="J3112" s="71"/>
      <c r="K3112" s="71"/>
      <c r="L3112" s="72" t="str">
        <f>IFERROR(IF(G3112="","",VLOOKUP($G3112,[1]基础信息!$B:$C,2,FALSE)+SUMIF(G$8:G3112,G3112,J$8:J3112)-SUMIF(G$8:G3112,G3112,K$8:K3112)+SUMIFS([1]内部转账!$G:$G,[1]内部转账!$C:$C,"&lt;="&amp;$D3112,[1]内部转账!$E:$E,$G3112)-SUMIFS([1]内部转账!$G:$G,[1]内部转账!$C:$C,"&lt;="&amp;$D3112,[1]内部转账!$F:$F,$G3112)),"")</f>
        <v/>
      </c>
      <c r="M3112" s="64"/>
      <c r="N3112" s="69"/>
      <c r="O3112" s="64"/>
      <c r="P3112" s="64"/>
      <c r="Q3112" s="69"/>
      <c r="R3112" s="69"/>
      <c r="S3112" s="69"/>
    </row>
    <row r="3113" s="2" customFormat="1" ht="24.95" customHeight="1" spans="1:19">
      <c r="A3113" s="15"/>
      <c r="B3113" s="55"/>
      <c r="C3113" s="56"/>
      <c r="D3113" s="68"/>
      <c r="E3113" s="69"/>
      <c r="F3113" s="69"/>
      <c r="G3113" s="65"/>
      <c r="H3113" s="65"/>
      <c r="I3113" s="70"/>
      <c r="J3113" s="71"/>
      <c r="K3113" s="71"/>
      <c r="L3113" s="72" t="str">
        <f>IFERROR(IF(G3113="","",VLOOKUP($G3113,[1]基础信息!$B:$C,2,FALSE)+SUMIF(G$8:G3113,G3113,J$8:J3113)-SUMIF(G$8:G3113,G3113,K$8:K3113)+SUMIFS([1]内部转账!$G:$G,[1]内部转账!$C:$C,"&lt;="&amp;$D3113,[1]内部转账!$E:$E,$G3113)-SUMIFS([1]内部转账!$G:$G,[1]内部转账!$C:$C,"&lt;="&amp;$D3113,[1]内部转账!$F:$F,$G3113)),"")</f>
        <v/>
      </c>
      <c r="M3113" s="64"/>
      <c r="N3113" s="69"/>
      <c r="O3113" s="64"/>
      <c r="P3113" s="64"/>
      <c r="Q3113" s="69"/>
      <c r="R3113" s="69"/>
      <c r="S3113" s="69"/>
    </row>
    <row r="3114" s="2" customFormat="1" ht="24.95" customHeight="1" spans="1:19">
      <c r="A3114" s="15"/>
      <c r="B3114" s="55"/>
      <c r="C3114" s="56"/>
      <c r="D3114" s="68"/>
      <c r="E3114" s="69"/>
      <c r="F3114" s="69"/>
      <c r="G3114" s="65"/>
      <c r="H3114" s="65"/>
      <c r="I3114" s="70"/>
      <c r="J3114" s="71"/>
      <c r="K3114" s="71"/>
      <c r="L3114" s="72" t="str">
        <f>IFERROR(IF(G3114="","",VLOOKUP($G3114,[1]基础信息!$B:$C,2,FALSE)+SUMIF(G$8:G3114,G3114,J$8:J3114)-SUMIF(G$8:G3114,G3114,K$8:K3114)+SUMIFS([1]内部转账!$G:$G,[1]内部转账!$C:$C,"&lt;="&amp;$D3114,[1]内部转账!$E:$E,$G3114)-SUMIFS([1]内部转账!$G:$G,[1]内部转账!$C:$C,"&lt;="&amp;$D3114,[1]内部转账!$F:$F,$G3114)),"")</f>
        <v/>
      </c>
      <c r="M3114" s="64"/>
      <c r="N3114" s="69"/>
      <c r="O3114" s="64"/>
      <c r="P3114" s="64"/>
      <c r="Q3114" s="69"/>
      <c r="R3114" s="69"/>
      <c r="S3114" s="69"/>
    </row>
    <row r="3115" s="2" customFormat="1" ht="24.95" customHeight="1" spans="1:19">
      <c r="A3115" s="15"/>
      <c r="B3115" s="55"/>
      <c r="C3115" s="56"/>
      <c r="D3115" s="68"/>
      <c r="E3115" s="69"/>
      <c r="F3115" s="69"/>
      <c r="G3115" s="65"/>
      <c r="H3115" s="65"/>
      <c r="I3115" s="70"/>
      <c r="J3115" s="71"/>
      <c r="K3115" s="71"/>
      <c r="L3115" s="72" t="str">
        <f>IFERROR(IF(G3115="","",VLOOKUP($G3115,[1]基础信息!$B:$C,2,FALSE)+SUMIF(G$8:G3115,G3115,J$8:J3115)-SUMIF(G$8:G3115,G3115,K$8:K3115)+SUMIFS([1]内部转账!$G:$G,[1]内部转账!$C:$C,"&lt;="&amp;$D3115,[1]内部转账!$E:$E,$G3115)-SUMIFS([1]内部转账!$G:$G,[1]内部转账!$C:$C,"&lt;="&amp;$D3115,[1]内部转账!$F:$F,$G3115)),"")</f>
        <v/>
      </c>
      <c r="M3115" s="64"/>
      <c r="N3115" s="69"/>
      <c r="O3115" s="64"/>
      <c r="P3115" s="64"/>
      <c r="Q3115" s="69"/>
      <c r="R3115" s="69"/>
      <c r="S3115" s="69"/>
    </row>
    <row r="3116" s="2" customFormat="1" ht="24.95" customHeight="1" spans="1:19">
      <c r="A3116" s="15"/>
      <c r="B3116" s="55"/>
      <c r="C3116" s="56"/>
      <c r="D3116" s="68"/>
      <c r="E3116" s="69"/>
      <c r="F3116" s="69"/>
      <c r="G3116" s="65"/>
      <c r="H3116" s="65"/>
      <c r="I3116" s="70"/>
      <c r="J3116" s="71"/>
      <c r="K3116" s="71"/>
      <c r="L3116" s="72" t="str">
        <f>IFERROR(IF(G3116="","",VLOOKUP($G3116,[1]基础信息!$B:$C,2,FALSE)+SUMIF(G$8:G3116,G3116,J$8:J3116)-SUMIF(G$8:G3116,G3116,K$8:K3116)+SUMIFS([1]内部转账!$G:$G,[1]内部转账!$C:$C,"&lt;="&amp;$D3116,[1]内部转账!$E:$E,$G3116)-SUMIFS([1]内部转账!$G:$G,[1]内部转账!$C:$C,"&lt;="&amp;$D3116,[1]内部转账!$F:$F,$G3116)),"")</f>
        <v/>
      </c>
      <c r="M3116" s="64"/>
      <c r="N3116" s="69"/>
      <c r="O3116" s="64"/>
      <c r="P3116" s="64"/>
      <c r="Q3116" s="69"/>
      <c r="R3116" s="69"/>
      <c r="S3116" s="69"/>
    </row>
    <row r="3117" s="2" customFormat="1" ht="24.95" customHeight="1" spans="1:19">
      <c r="A3117" s="15"/>
      <c r="B3117" s="55"/>
      <c r="C3117" s="56"/>
      <c r="D3117" s="68"/>
      <c r="E3117" s="69"/>
      <c r="F3117" s="69"/>
      <c r="G3117" s="65"/>
      <c r="H3117" s="65"/>
      <c r="I3117" s="70"/>
      <c r="J3117" s="71"/>
      <c r="K3117" s="71"/>
      <c r="L3117" s="72" t="str">
        <f>IFERROR(IF(G3117="","",VLOOKUP($G3117,[1]基础信息!$B:$C,2,FALSE)+SUMIF(G$8:G3117,G3117,J$8:J3117)-SUMIF(G$8:G3117,G3117,K$8:K3117)+SUMIFS([1]内部转账!$G:$G,[1]内部转账!$C:$C,"&lt;="&amp;$D3117,[1]内部转账!$E:$E,$G3117)-SUMIFS([1]内部转账!$G:$G,[1]内部转账!$C:$C,"&lt;="&amp;$D3117,[1]内部转账!$F:$F,$G3117)),"")</f>
        <v/>
      </c>
      <c r="M3117" s="64"/>
      <c r="N3117" s="69"/>
      <c r="O3117" s="64"/>
      <c r="P3117" s="64"/>
      <c r="Q3117" s="69"/>
      <c r="R3117" s="69"/>
      <c r="S3117" s="69"/>
    </row>
    <row r="3118" s="2" customFormat="1" ht="24.95" customHeight="1" spans="1:19">
      <c r="A3118" s="15"/>
      <c r="B3118" s="55"/>
      <c r="C3118" s="56"/>
      <c r="D3118" s="68"/>
      <c r="E3118" s="69"/>
      <c r="F3118" s="69"/>
      <c r="G3118" s="65"/>
      <c r="H3118" s="65"/>
      <c r="I3118" s="70"/>
      <c r="J3118" s="71"/>
      <c r="K3118" s="71"/>
      <c r="L3118" s="72" t="str">
        <f>IFERROR(IF(G3118="","",VLOOKUP($G3118,[1]基础信息!$B:$C,2,FALSE)+SUMIF(G$8:G3118,G3118,J$8:J3118)-SUMIF(G$8:G3118,G3118,K$8:K3118)+SUMIFS([1]内部转账!$G:$G,[1]内部转账!$C:$C,"&lt;="&amp;$D3118,[1]内部转账!$E:$E,$G3118)-SUMIFS([1]内部转账!$G:$G,[1]内部转账!$C:$C,"&lt;="&amp;$D3118,[1]内部转账!$F:$F,$G3118)),"")</f>
        <v/>
      </c>
      <c r="M3118" s="64"/>
      <c r="N3118" s="69"/>
      <c r="O3118" s="64"/>
      <c r="P3118" s="64"/>
      <c r="Q3118" s="69"/>
      <c r="R3118" s="69"/>
      <c r="S3118" s="69"/>
    </row>
    <row r="3119" s="2" customFormat="1" ht="24.95" customHeight="1" spans="1:19">
      <c r="A3119" s="15"/>
      <c r="B3119" s="55"/>
      <c r="C3119" s="56"/>
      <c r="D3119" s="68"/>
      <c r="E3119" s="69"/>
      <c r="F3119" s="69"/>
      <c r="G3119" s="65"/>
      <c r="H3119" s="65"/>
      <c r="I3119" s="70"/>
      <c r="J3119" s="71"/>
      <c r="K3119" s="71"/>
      <c r="L3119" s="72" t="str">
        <f>IFERROR(IF(G3119="","",VLOOKUP($G3119,[1]基础信息!$B:$C,2,FALSE)+SUMIF(G$8:G3119,G3119,J$8:J3119)-SUMIF(G$8:G3119,G3119,K$8:K3119)+SUMIFS([1]内部转账!$G:$G,[1]内部转账!$C:$C,"&lt;="&amp;$D3119,[1]内部转账!$E:$E,$G3119)-SUMIFS([1]内部转账!$G:$G,[1]内部转账!$C:$C,"&lt;="&amp;$D3119,[1]内部转账!$F:$F,$G3119)),"")</f>
        <v/>
      </c>
      <c r="M3119" s="64"/>
      <c r="N3119" s="69"/>
      <c r="O3119" s="64"/>
      <c r="P3119" s="64"/>
      <c r="Q3119" s="69"/>
      <c r="R3119" s="69"/>
      <c r="S3119" s="69"/>
    </row>
    <row r="3120" s="2" customFormat="1" ht="24.95" customHeight="1" spans="1:19">
      <c r="A3120" s="15"/>
      <c r="B3120" s="55"/>
      <c r="C3120" s="56"/>
      <c r="D3120" s="68"/>
      <c r="E3120" s="69"/>
      <c r="F3120" s="69"/>
      <c r="G3120" s="65"/>
      <c r="H3120" s="65"/>
      <c r="I3120" s="70"/>
      <c r="J3120" s="71"/>
      <c r="K3120" s="71"/>
      <c r="L3120" s="72" t="str">
        <f>IFERROR(IF(G3120="","",VLOOKUP($G3120,[1]基础信息!$B:$C,2,FALSE)+SUMIF(G$8:G3120,G3120,J$8:J3120)-SUMIF(G$8:G3120,G3120,K$8:K3120)+SUMIFS([1]内部转账!$G:$G,[1]内部转账!$C:$C,"&lt;="&amp;$D3120,[1]内部转账!$E:$E,$G3120)-SUMIFS([1]内部转账!$G:$G,[1]内部转账!$C:$C,"&lt;="&amp;$D3120,[1]内部转账!$F:$F,$G3120)),"")</f>
        <v/>
      </c>
      <c r="M3120" s="64"/>
      <c r="N3120" s="69"/>
      <c r="O3120" s="64"/>
      <c r="P3120" s="64"/>
      <c r="Q3120" s="69"/>
      <c r="R3120" s="69"/>
      <c r="S3120" s="69"/>
    </row>
    <row r="3121" s="2" customFormat="1" ht="24.95" customHeight="1" spans="1:19">
      <c r="A3121" s="15"/>
      <c r="B3121" s="55"/>
      <c r="C3121" s="56"/>
      <c r="D3121" s="68"/>
      <c r="E3121" s="69"/>
      <c r="F3121" s="69"/>
      <c r="G3121" s="65"/>
      <c r="H3121" s="65"/>
      <c r="I3121" s="70"/>
      <c r="J3121" s="71"/>
      <c r="K3121" s="71"/>
      <c r="L3121" s="72" t="str">
        <f>IFERROR(IF(G3121="","",VLOOKUP($G3121,[1]基础信息!$B:$C,2,FALSE)+SUMIF(G$8:G3121,G3121,J$8:J3121)-SUMIF(G$8:G3121,G3121,K$8:K3121)+SUMIFS([1]内部转账!$G:$G,[1]内部转账!$C:$C,"&lt;="&amp;$D3121,[1]内部转账!$E:$E,$G3121)-SUMIFS([1]内部转账!$G:$G,[1]内部转账!$C:$C,"&lt;="&amp;$D3121,[1]内部转账!$F:$F,$G3121)),"")</f>
        <v/>
      </c>
      <c r="M3121" s="64"/>
      <c r="N3121" s="69"/>
      <c r="O3121" s="64"/>
      <c r="P3121" s="64"/>
      <c r="Q3121" s="69"/>
      <c r="R3121" s="69"/>
      <c r="S3121" s="69"/>
    </row>
    <row r="3122" s="2" customFormat="1" ht="24.95" customHeight="1" spans="1:19">
      <c r="A3122" s="15"/>
      <c r="B3122" s="55"/>
      <c r="C3122" s="56"/>
      <c r="D3122" s="68"/>
      <c r="E3122" s="69"/>
      <c r="F3122" s="69"/>
      <c r="G3122" s="65"/>
      <c r="H3122" s="65"/>
      <c r="I3122" s="70"/>
      <c r="J3122" s="71"/>
      <c r="K3122" s="71"/>
      <c r="L3122" s="72" t="str">
        <f>IFERROR(IF(G3122="","",VLOOKUP($G3122,[1]基础信息!$B:$C,2,FALSE)+SUMIF(G$8:G3122,G3122,J$8:J3122)-SUMIF(G$8:G3122,G3122,K$8:K3122)+SUMIFS([1]内部转账!$G:$G,[1]内部转账!$C:$C,"&lt;="&amp;$D3122,[1]内部转账!$E:$E,$G3122)-SUMIFS([1]内部转账!$G:$G,[1]内部转账!$C:$C,"&lt;="&amp;$D3122,[1]内部转账!$F:$F,$G3122)),"")</f>
        <v/>
      </c>
      <c r="M3122" s="64"/>
      <c r="N3122" s="69"/>
      <c r="O3122" s="64"/>
      <c r="P3122" s="64"/>
      <c r="Q3122" s="69"/>
      <c r="R3122" s="69"/>
      <c r="S3122" s="69"/>
    </row>
    <row r="3123" s="2" customFormat="1" ht="24.95" customHeight="1" spans="1:19">
      <c r="A3123" s="15"/>
      <c r="B3123" s="55"/>
      <c r="C3123" s="56"/>
      <c r="D3123" s="68"/>
      <c r="E3123" s="69"/>
      <c r="F3123" s="69"/>
      <c r="G3123" s="65"/>
      <c r="H3123" s="65"/>
      <c r="I3123" s="70"/>
      <c r="J3123" s="71"/>
      <c r="K3123" s="71"/>
      <c r="L3123" s="72" t="str">
        <f>IFERROR(IF(G3123="","",VLOOKUP($G3123,[1]基础信息!$B:$C,2,FALSE)+SUMIF(G$8:G3123,G3123,J$8:J3123)-SUMIF(G$8:G3123,G3123,K$8:K3123)+SUMIFS([1]内部转账!$G:$G,[1]内部转账!$C:$C,"&lt;="&amp;$D3123,[1]内部转账!$E:$E,$G3123)-SUMIFS([1]内部转账!$G:$G,[1]内部转账!$C:$C,"&lt;="&amp;$D3123,[1]内部转账!$F:$F,$G3123)),"")</f>
        <v/>
      </c>
      <c r="M3123" s="64"/>
      <c r="N3123" s="69"/>
      <c r="O3123" s="64"/>
      <c r="P3123" s="64"/>
      <c r="Q3123" s="69"/>
      <c r="R3123" s="69"/>
      <c r="S3123" s="69"/>
    </row>
    <row r="3124" s="2" customFormat="1" ht="24.95" customHeight="1" spans="1:19">
      <c r="A3124" s="15"/>
      <c r="B3124" s="55"/>
      <c r="C3124" s="56"/>
      <c r="D3124" s="68"/>
      <c r="E3124" s="69"/>
      <c r="F3124" s="69"/>
      <c r="G3124" s="65"/>
      <c r="H3124" s="65"/>
      <c r="I3124" s="70"/>
      <c r="J3124" s="71"/>
      <c r="K3124" s="71"/>
      <c r="L3124" s="72" t="str">
        <f>IFERROR(IF(G3124="","",VLOOKUP($G3124,[1]基础信息!$B:$C,2,FALSE)+SUMIF(G$8:G3124,G3124,J$8:J3124)-SUMIF(G$8:G3124,G3124,K$8:K3124)+SUMIFS([1]内部转账!$G:$G,[1]内部转账!$C:$C,"&lt;="&amp;$D3124,[1]内部转账!$E:$E,$G3124)-SUMIFS([1]内部转账!$G:$G,[1]内部转账!$C:$C,"&lt;="&amp;$D3124,[1]内部转账!$F:$F,$G3124)),"")</f>
        <v/>
      </c>
      <c r="M3124" s="64"/>
      <c r="N3124" s="69"/>
      <c r="O3124" s="64"/>
      <c r="P3124" s="64"/>
      <c r="Q3124" s="69"/>
      <c r="R3124" s="69"/>
      <c r="S3124" s="69"/>
    </row>
    <row r="3125" s="2" customFormat="1" ht="24.95" customHeight="1" spans="1:19">
      <c r="A3125" s="15"/>
      <c r="B3125" s="55"/>
      <c r="C3125" s="56"/>
      <c r="D3125" s="68"/>
      <c r="E3125" s="69"/>
      <c r="F3125" s="69"/>
      <c r="G3125" s="65"/>
      <c r="H3125" s="65"/>
      <c r="I3125" s="70"/>
      <c r="J3125" s="71"/>
      <c r="K3125" s="71"/>
      <c r="L3125" s="72" t="str">
        <f>IFERROR(IF(G3125="","",VLOOKUP($G3125,[1]基础信息!$B:$C,2,FALSE)+SUMIF(G$8:G3125,G3125,J$8:J3125)-SUMIF(G$8:G3125,G3125,K$8:K3125)+SUMIFS([1]内部转账!$G:$G,[1]内部转账!$C:$C,"&lt;="&amp;$D3125,[1]内部转账!$E:$E,$G3125)-SUMIFS([1]内部转账!$G:$G,[1]内部转账!$C:$C,"&lt;="&amp;$D3125,[1]内部转账!$F:$F,$G3125)),"")</f>
        <v/>
      </c>
      <c r="M3125" s="64"/>
      <c r="N3125" s="69"/>
      <c r="O3125" s="64"/>
      <c r="P3125" s="64"/>
      <c r="Q3125" s="69"/>
      <c r="R3125" s="69"/>
      <c r="S3125" s="69"/>
    </row>
    <row r="3126" s="2" customFormat="1" ht="24.95" customHeight="1" spans="1:19">
      <c r="A3126" s="15"/>
      <c r="B3126" s="55"/>
      <c r="C3126" s="56"/>
      <c r="D3126" s="68"/>
      <c r="E3126" s="69"/>
      <c r="F3126" s="69"/>
      <c r="G3126" s="65"/>
      <c r="H3126" s="65"/>
      <c r="I3126" s="70"/>
      <c r="J3126" s="71"/>
      <c r="K3126" s="71"/>
      <c r="L3126" s="72" t="str">
        <f>IFERROR(IF(G3126="","",VLOOKUP($G3126,[1]基础信息!$B:$C,2,FALSE)+SUMIF(G$8:G3126,G3126,J$8:J3126)-SUMIF(G$8:G3126,G3126,K$8:K3126)+SUMIFS([1]内部转账!$G:$G,[1]内部转账!$C:$C,"&lt;="&amp;$D3126,[1]内部转账!$E:$E,$G3126)-SUMIFS([1]内部转账!$G:$G,[1]内部转账!$C:$C,"&lt;="&amp;$D3126,[1]内部转账!$F:$F,$G3126)),"")</f>
        <v/>
      </c>
      <c r="M3126" s="64"/>
      <c r="N3126" s="69"/>
      <c r="O3126" s="64"/>
      <c r="P3126" s="64"/>
      <c r="Q3126" s="69"/>
      <c r="R3126" s="69"/>
      <c r="S3126" s="69"/>
    </row>
    <row r="3127" s="2" customFormat="1" ht="24.95" customHeight="1" spans="1:19">
      <c r="A3127" s="15"/>
      <c r="B3127" s="55"/>
      <c r="C3127" s="56"/>
      <c r="D3127" s="68"/>
      <c r="E3127" s="69"/>
      <c r="F3127" s="69"/>
      <c r="G3127" s="65"/>
      <c r="H3127" s="65"/>
      <c r="I3127" s="70"/>
      <c r="J3127" s="71"/>
      <c r="K3127" s="71"/>
      <c r="L3127" s="72" t="str">
        <f>IFERROR(IF(G3127="","",VLOOKUP($G3127,[1]基础信息!$B:$C,2,FALSE)+SUMIF(G$8:G3127,G3127,J$8:J3127)-SUMIF(G$8:G3127,G3127,K$8:K3127)+SUMIFS([1]内部转账!$G:$G,[1]内部转账!$C:$C,"&lt;="&amp;$D3127,[1]内部转账!$E:$E,$G3127)-SUMIFS([1]内部转账!$G:$G,[1]内部转账!$C:$C,"&lt;="&amp;$D3127,[1]内部转账!$F:$F,$G3127)),"")</f>
        <v/>
      </c>
      <c r="M3127" s="64"/>
      <c r="N3127" s="69"/>
      <c r="O3127" s="64"/>
      <c r="P3127" s="64"/>
      <c r="Q3127" s="69"/>
      <c r="R3127" s="69"/>
      <c r="S3127" s="69"/>
    </row>
    <row r="3128" s="2" customFormat="1" ht="24.95" customHeight="1" spans="1:19">
      <c r="A3128" s="15"/>
      <c r="B3128" s="55"/>
      <c r="C3128" s="56"/>
      <c r="D3128" s="68"/>
      <c r="E3128" s="69"/>
      <c r="F3128" s="69"/>
      <c r="G3128" s="65"/>
      <c r="H3128" s="65"/>
      <c r="I3128" s="70"/>
      <c r="J3128" s="71"/>
      <c r="K3128" s="71"/>
      <c r="L3128" s="72" t="str">
        <f>IFERROR(IF(G3128="","",VLOOKUP($G3128,[1]基础信息!$B:$C,2,FALSE)+SUMIF(G$8:G3128,G3128,J$8:J3128)-SUMIF(G$8:G3128,G3128,K$8:K3128)+SUMIFS([1]内部转账!$G:$G,[1]内部转账!$C:$C,"&lt;="&amp;$D3128,[1]内部转账!$E:$E,$G3128)-SUMIFS([1]内部转账!$G:$G,[1]内部转账!$C:$C,"&lt;="&amp;$D3128,[1]内部转账!$F:$F,$G3128)),"")</f>
        <v/>
      </c>
      <c r="M3128" s="64"/>
      <c r="N3128" s="69"/>
      <c r="O3128" s="64"/>
      <c r="P3128" s="64"/>
      <c r="Q3128" s="69"/>
      <c r="R3128" s="69"/>
      <c r="S3128" s="69"/>
    </row>
    <row r="3129" s="2" customFormat="1" ht="24.95" customHeight="1" spans="1:19">
      <c r="A3129" s="15"/>
      <c r="B3129" s="55"/>
      <c r="C3129" s="56"/>
      <c r="D3129" s="68"/>
      <c r="E3129" s="69"/>
      <c r="F3129" s="69"/>
      <c r="G3129" s="65"/>
      <c r="H3129" s="65"/>
      <c r="I3129" s="70"/>
      <c r="J3129" s="71"/>
      <c r="K3129" s="71"/>
      <c r="L3129" s="72" t="str">
        <f>IFERROR(IF(G3129="","",VLOOKUP($G3129,[1]基础信息!$B:$C,2,FALSE)+SUMIF(G$8:G3129,G3129,J$8:J3129)-SUMIF(G$8:G3129,G3129,K$8:K3129)+SUMIFS([1]内部转账!$G:$G,[1]内部转账!$C:$C,"&lt;="&amp;$D3129,[1]内部转账!$E:$E,$G3129)-SUMIFS([1]内部转账!$G:$G,[1]内部转账!$C:$C,"&lt;="&amp;$D3129,[1]内部转账!$F:$F,$G3129)),"")</f>
        <v/>
      </c>
      <c r="M3129" s="64"/>
      <c r="N3129" s="69"/>
      <c r="O3129" s="64"/>
      <c r="P3129" s="64"/>
      <c r="Q3129" s="69"/>
      <c r="R3129" s="69"/>
      <c r="S3129" s="69"/>
    </row>
    <row r="3130" s="2" customFormat="1" ht="24.95" customHeight="1" spans="1:19">
      <c r="A3130" s="15"/>
      <c r="B3130" s="55"/>
      <c r="C3130" s="56"/>
      <c r="D3130" s="68"/>
      <c r="E3130" s="69"/>
      <c r="F3130" s="69"/>
      <c r="G3130" s="65"/>
      <c r="H3130" s="65"/>
      <c r="I3130" s="70"/>
      <c r="J3130" s="71"/>
      <c r="K3130" s="71"/>
      <c r="L3130" s="72" t="str">
        <f>IFERROR(IF(G3130="","",VLOOKUP($G3130,[1]基础信息!$B:$C,2,FALSE)+SUMIF(G$8:G3130,G3130,J$8:J3130)-SUMIF(G$8:G3130,G3130,K$8:K3130)+SUMIFS([1]内部转账!$G:$G,[1]内部转账!$C:$C,"&lt;="&amp;$D3130,[1]内部转账!$E:$E,$G3130)-SUMIFS([1]内部转账!$G:$G,[1]内部转账!$C:$C,"&lt;="&amp;$D3130,[1]内部转账!$F:$F,$G3130)),"")</f>
        <v/>
      </c>
      <c r="M3130" s="64"/>
      <c r="N3130" s="69"/>
      <c r="O3130" s="64"/>
      <c r="P3130" s="64"/>
      <c r="Q3130" s="69"/>
      <c r="R3130" s="69"/>
      <c r="S3130" s="69"/>
    </row>
    <row r="3131" s="2" customFormat="1" ht="24.95" customHeight="1" spans="1:19">
      <c r="A3131" s="15"/>
      <c r="B3131" s="55"/>
      <c r="C3131" s="56"/>
      <c r="D3131" s="68"/>
      <c r="E3131" s="69"/>
      <c r="F3131" s="69"/>
      <c r="G3131" s="65"/>
      <c r="H3131" s="65"/>
      <c r="I3131" s="70"/>
      <c r="J3131" s="71"/>
      <c r="K3131" s="71"/>
      <c r="L3131" s="72" t="str">
        <f>IFERROR(IF(G3131="","",VLOOKUP($G3131,[1]基础信息!$B:$C,2,FALSE)+SUMIF(G$8:G3131,G3131,J$8:J3131)-SUMIF(G$8:G3131,G3131,K$8:K3131)+SUMIFS([1]内部转账!$G:$G,[1]内部转账!$C:$C,"&lt;="&amp;$D3131,[1]内部转账!$E:$E,$G3131)-SUMIFS([1]内部转账!$G:$G,[1]内部转账!$C:$C,"&lt;="&amp;$D3131,[1]内部转账!$F:$F,$G3131)),"")</f>
        <v/>
      </c>
      <c r="M3131" s="64"/>
      <c r="N3131" s="69"/>
      <c r="O3131" s="64"/>
      <c r="P3131" s="64"/>
      <c r="Q3131" s="69"/>
      <c r="R3131" s="69"/>
      <c r="S3131" s="69"/>
    </row>
    <row r="3132" s="2" customFormat="1" ht="24.95" customHeight="1" spans="1:19">
      <c r="A3132" s="15"/>
      <c r="B3132" s="55"/>
      <c r="C3132" s="56"/>
      <c r="D3132" s="68"/>
      <c r="E3132" s="69"/>
      <c r="F3132" s="69"/>
      <c r="G3132" s="65"/>
      <c r="H3132" s="65"/>
      <c r="I3132" s="70"/>
      <c r="J3132" s="71"/>
      <c r="K3132" s="71"/>
      <c r="L3132" s="72" t="str">
        <f>IFERROR(IF(G3132="","",VLOOKUP($G3132,[1]基础信息!$B:$C,2,FALSE)+SUMIF(G$8:G3132,G3132,J$8:J3132)-SUMIF(G$8:G3132,G3132,K$8:K3132)+SUMIFS([1]内部转账!$G:$G,[1]内部转账!$C:$C,"&lt;="&amp;$D3132,[1]内部转账!$E:$E,$G3132)-SUMIFS([1]内部转账!$G:$G,[1]内部转账!$C:$C,"&lt;="&amp;$D3132,[1]内部转账!$F:$F,$G3132)),"")</f>
        <v/>
      </c>
      <c r="M3132" s="64"/>
      <c r="N3132" s="69"/>
      <c r="O3132" s="64"/>
      <c r="P3132" s="64"/>
      <c r="Q3132" s="69"/>
      <c r="R3132" s="69"/>
      <c r="S3132" s="69"/>
    </row>
    <row r="3133" s="2" customFormat="1" ht="24.95" customHeight="1" spans="1:19">
      <c r="A3133" s="15"/>
      <c r="B3133" s="55"/>
      <c r="C3133" s="56"/>
      <c r="D3133" s="68"/>
      <c r="E3133" s="69"/>
      <c r="F3133" s="69"/>
      <c r="G3133" s="65"/>
      <c r="H3133" s="65"/>
      <c r="I3133" s="70"/>
      <c r="J3133" s="71"/>
      <c r="K3133" s="71"/>
      <c r="L3133" s="72" t="str">
        <f>IFERROR(IF(G3133="","",VLOOKUP($G3133,[1]基础信息!$B:$C,2,FALSE)+SUMIF(G$8:G3133,G3133,J$8:J3133)-SUMIF(G$8:G3133,G3133,K$8:K3133)+SUMIFS([1]内部转账!$G:$G,[1]内部转账!$C:$C,"&lt;="&amp;$D3133,[1]内部转账!$E:$E,$G3133)-SUMIFS([1]内部转账!$G:$G,[1]内部转账!$C:$C,"&lt;="&amp;$D3133,[1]内部转账!$F:$F,$G3133)),"")</f>
        <v/>
      </c>
      <c r="M3133" s="64"/>
      <c r="N3133" s="69"/>
      <c r="O3133" s="64"/>
      <c r="P3133" s="64"/>
      <c r="Q3133" s="69"/>
      <c r="R3133" s="69"/>
      <c r="S3133" s="69"/>
    </row>
    <row r="3134" s="2" customFormat="1" ht="24.95" customHeight="1" spans="1:19">
      <c r="A3134" s="15"/>
      <c r="B3134" s="55"/>
      <c r="C3134" s="56"/>
      <c r="D3134" s="68"/>
      <c r="E3134" s="69"/>
      <c r="F3134" s="69"/>
      <c r="G3134" s="65"/>
      <c r="H3134" s="65"/>
      <c r="I3134" s="70"/>
      <c r="J3134" s="71"/>
      <c r="K3134" s="71"/>
      <c r="L3134" s="72" t="str">
        <f>IFERROR(IF(G3134="","",VLOOKUP($G3134,[1]基础信息!$B:$C,2,FALSE)+SUMIF(G$8:G3134,G3134,J$8:J3134)-SUMIF(G$8:G3134,G3134,K$8:K3134)+SUMIFS([1]内部转账!$G:$G,[1]内部转账!$C:$C,"&lt;="&amp;$D3134,[1]内部转账!$E:$E,$G3134)-SUMIFS([1]内部转账!$G:$G,[1]内部转账!$C:$C,"&lt;="&amp;$D3134,[1]内部转账!$F:$F,$G3134)),"")</f>
        <v/>
      </c>
      <c r="M3134" s="64"/>
      <c r="N3134" s="69"/>
      <c r="O3134" s="64"/>
      <c r="P3134" s="64"/>
      <c r="Q3134" s="69"/>
      <c r="R3134" s="69"/>
      <c r="S3134" s="69"/>
    </row>
    <row r="3135" s="2" customFormat="1" ht="24.95" customHeight="1" spans="1:19">
      <c r="A3135" s="15"/>
      <c r="B3135" s="55"/>
      <c r="C3135" s="56"/>
      <c r="D3135" s="68"/>
      <c r="E3135" s="69"/>
      <c r="F3135" s="69"/>
      <c r="G3135" s="65"/>
      <c r="H3135" s="65"/>
      <c r="I3135" s="70"/>
      <c r="J3135" s="71"/>
      <c r="K3135" s="71"/>
      <c r="L3135" s="72" t="str">
        <f>IFERROR(IF(G3135="","",VLOOKUP($G3135,[1]基础信息!$B:$C,2,FALSE)+SUMIF(G$8:G3135,G3135,J$8:J3135)-SUMIF(G$8:G3135,G3135,K$8:K3135)+SUMIFS([1]内部转账!$G:$G,[1]内部转账!$C:$C,"&lt;="&amp;$D3135,[1]内部转账!$E:$E,$G3135)-SUMIFS([1]内部转账!$G:$G,[1]内部转账!$C:$C,"&lt;="&amp;$D3135,[1]内部转账!$F:$F,$G3135)),"")</f>
        <v/>
      </c>
      <c r="M3135" s="64"/>
      <c r="N3135" s="69"/>
      <c r="O3135" s="64"/>
      <c r="P3135" s="64"/>
      <c r="Q3135" s="69"/>
      <c r="R3135" s="69"/>
      <c r="S3135" s="69"/>
    </row>
    <row r="3136" s="2" customFormat="1" ht="24.95" customHeight="1" spans="1:19">
      <c r="A3136" s="15"/>
      <c r="B3136" s="55"/>
      <c r="C3136" s="56"/>
      <c r="D3136" s="68"/>
      <c r="E3136" s="69"/>
      <c r="F3136" s="69"/>
      <c r="G3136" s="65"/>
      <c r="H3136" s="65"/>
      <c r="I3136" s="70"/>
      <c r="J3136" s="71"/>
      <c r="K3136" s="71"/>
      <c r="L3136" s="72" t="str">
        <f>IFERROR(IF(G3136="","",VLOOKUP($G3136,[1]基础信息!$B:$C,2,FALSE)+SUMIF(G$8:G3136,G3136,J$8:J3136)-SUMIF(G$8:G3136,G3136,K$8:K3136)+SUMIFS([1]内部转账!$G:$G,[1]内部转账!$C:$C,"&lt;="&amp;$D3136,[1]内部转账!$E:$E,$G3136)-SUMIFS([1]内部转账!$G:$G,[1]内部转账!$C:$C,"&lt;="&amp;$D3136,[1]内部转账!$F:$F,$G3136)),"")</f>
        <v/>
      </c>
      <c r="M3136" s="64"/>
      <c r="N3136" s="69"/>
      <c r="O3136" s="64"/>
      <c r="P3136" s="64"/>
      <c r="Q3136" s="69"/>
      <c r="R3136" s="69"/>
      <c r="S3136" s="69"/>
    </row>
    <row r="3137" s="2" customFormat="1" ht="24.95" customHeight="1" spans="1:19">
      <c r="A3137" s="15"/>
      <c r="B3137" s="55"/>
      <c r="C3137" s="56"/>
      <c r="D3137" s="68"/>
      <c r="E3137" s="69"/>
      <c r="F3137" s="69"/>
      <c r="G3137" s="65"/>
      <c r="H3137" s="65"/>
      <c r="I3137" s="70"/>
      <c r="J3137" s="71"/>
      <c r="K3137" s="71"/>
      <c r="L3137" s="72" t="str">
        <f>IFERROR(IF(G3137="","",VLOOKUP($G3137,[1]基础信息!$B:$C,2,FALSE)+SUMIF(G$8:G3137,G3137,J$8:J3137)-SUMIF(G$8:G3137,G3137,K$8:K3137)+SUMIFS([1]内部转账!$G:$G,[1]内部转账!$C:$C,"&lt;="&amp;$D3137,[1]内部转账!$E:$E,$G3137)-SUMIFS([1]内部转账!$G:$G,[1]内部转账!$C:$C,"&lt;="&amp;$D3137,[1]内部转账!$F:$F,$G3137)),"")</f>
        <v/>
      </c>
      <c r="M3137" s="64"/>
      <c r="N3137" s="69"/>
      <c r="O3137" s="64"/>
      <c r="P3137" s="64"/>
      <c r="Q3137" s="69"/>
      <c r="R3137" s="69"/>
      <c r="S3137" s="69"/>
    </row>
    <row r="3138" s="2" customFormat="1" ht="24.95" customHeight="1" spans="1:19">
      <c r="A3138" s="15"/>
      <c r="B3138" s="55"/>
      <c r="C3138" s="56"/>
      <c r="D3138" s="68"/>
      <c r="E3138" s="69"/>
      <c r="F3138" s="69"/>
      <c r="G3138" s="65"/>
      <c r="H3138" s="65"/>
      <c r="I3138" s="70"/>
      <c r="J3138" s="71"/>
      <c r="K3138" s="71"/>
      <c r="L3138" s="72" t="str">
        <f>IFERROR(IF(G3138="","",VLOOKUP($G3138,[1]基础信息!$B:$C,2,FALSE)+SUMIF(G$8:G3138,G3138,J$8:J3138)-SUMIF(G$8:G3138,G3138,K$8:K3138)+SUMIFS([1]内部转账!$G:$G,[1]内部转账!$C:$C,"&lt;="&amp;$D3138,[1]内部转账!$E:$E,$G3138)-SUMIFS([1]内部转账!$G:$G,[1]内部转账!$C:$C,"&lt;="&amp;$D3138,[1]内部转账!$F:$F,$G3138)),"")</f>
        <v/>
      </c>
      <c r="M3138" s="64"/>
      <c r="N3138" s="69"/>
      <c r="O3138" s="64"/>
      <c r="P3138" s="64"/>
      <c r="Q3138" s="69"/>
      <c r="R3138" s="69"/>
      <c r="S3138" s="69"/>
    </row>
    <row r="3139" s="2" customFormat="1" ht="24.95" customHeight="1" spans="1:19">
      <c r="A3139" s="15"/>
      <c r="B3139" s="55"/>
      <c r="C3139" s="56"/>
      <c r="D3139" s="68"/>
      <c r="E3139" s="69"/>
      <c r="F3139" s="69"/>
      <c r="G3139" s="65"/>
      <c r="H3139" s="65"/>
      <c r="I3139" s="70"/>
      <c r="J3139" s="71"/>
      <c r="K3139" s="71"/>
      <c r="L3139" s="72" t="str">
        <f>IFERROR(IF(G3139="","",VLOOKUP($G3139,[1]基础信息!$B:$C,2,FALSE)+SUMIF(G$8:G3139,G3139,J$8:J3139)-SUMIF(G$8:G3139,G3139,K$8:K3139)+SUMIFS([1]内部转账!$G:$G,[1]内部转账!$C:$C,"&lt;="&amp;$D3139,[1]内部转账!$E:$E,$G3139)-SUMIFS([1]内部转账!$G:$G,[1]内部转账!$C:$C,"&lt;="&amp;$D3139,[1]内部转账!$F:$F,$G3139)),"")</f>
        <v/>
      </c>
      <c r="M3139" s="64"/>
      <c r="N3139" s="69"/>
      <c r="O3139" s="64"/>
      <c r="P3139" s="64"/>
      <c r="Q3139" s="69"/>
      <c r="R3139" s="69"/>
      <c r="S3139" s="69"/>
    </row>
    <row r="3140" s="2" customFormat="1" ht="24.95" customHeight="1" spans="1:19">
      <c r="A3140" s="15"/>
      <c r="B3140" s="55"/>
      <c r="C3140" s="56"/>
      <c r="D3140" s="68"/>
      <c r="E3140" s="69"/>
      <c r="F3140" s="69"/>
      <c r="G3140" s="65"/>
      <c r="H3140" s="65"/>
      <c r="I3140" s="70"/>
      <c r="J3140" s="71"/>
      <c r="K3140" s="71"/>
      <c r="L3140" s="72" t="str">
        <f>IFERROR(IF(G3140="","",VLOOKUP($G3140,[1]基础信息!$B:$C,2,FALSE)+SUMIF(G$8:G3140,G3140,J$8:J3140)-SUMIF(G$8:G3140,G3140,K$8:K3140)+SUMIFS([1]内部转账!$G:$G,[1]内部转账!$C:$C,"&lt;="&amp;$D3140,[1]内部转账!$E:$E,$G3140)-SUMIFS([1]内部转账!$G:$G,[1]内部转账!$C:$C,"&lt;="&amp;$D3140,[1]内部转账!$F:$F,$G3140)),"")</f>
        <v/>
      </c>
      <c r="M3140" s="64"/>
      <c r="N3140" s="69"/>
      <c r="O3140" s="64"/>
      <c r="P3140" s="64"/>
      <c r="Q3140" s="69"/>
      <c r="R3140" s="69"/>
      <c r="S3140" s="69"/>
    </row>
    <row r="3141" s="2" customFormat="1" ht="24.95" customHeight="1" spans="1:19">
      <c r="A3141" s="15"/>
      <c r="B3141" s="55"/>
      <c r="C3141" s="56"/>
      <c r="D3141" s="68"/>
      <c r="E3141" s="69"/>
      <c r="F3141" s="69"/>
      <c r="G3141" s="65"/>
      <c r="H3141" s="65"/>
      <c r="I3141" s="70"/>
      <c r="J3141" s="71"/>
      <c r="K3141" s="71"/>
      <c r="L3141" s="72" t="str">
        <f>IFERROR(IF(G3141="","",VLOOKUP($G3141,[1]基础信息!$B:$C,2,FALSE)+SUMIF(G$8:G3141,G3141,J$8:J3141)-SUMIF(G$8:G3141,G3141,K$8:K3141)+SUMIFS([1]内部转账!$G:$G,[1]内部转账!$C:$C,"&lt;="&amp;$D3141,[1]内部转账!$E:$E,$G3141)-SUMIFS([1]内部转账!$G:$G,[1]内部转账!$C:$C,"&lt;="&amp;$D3141,[1]内部转账!$F:$F,$G3141)),"")</f>
        <v/>
      </c>
      <c r="M3141" s="64"/>
      <c r="N3141" s="69"/>
      <c r="O3141" s="64"/>
      <c r="P3141" s="64"/>
      <c r="Q3141" s="69"/>
      <c r="R3141" s="69"/>
      <c r="S3141" s="69"/>
    </row>
    <row r="3142" s="2" customFormat="1" ht="24.95" customHeight="1" spans="1:19">
      <c r="A3142" s="15"/>
      <c r="B3142" s="55"/>
      <c r="C3142" s="56"/>
      <c r="D3142" s="68"/>
      <c r="E3142" s="69"/>
      <c r="F3142" s="69"/>
      <c r="G3142" s="65"/>
      <c r="H3142" s="65"/>
      <c r="I3142" s="70"/>
      <c r="J3142" s="71"/>
      <c r="K3142" s="71"/>
      <c r="L3142" s="72" t="str">
        <f>IFERROR(IF(G3142="","",VLOOKUP($G3142,[1]基础信息!$B:$C,2,FALSE)+SUMIF(G$8:G3142,G3142,J$8:J3142)-SUMIF(G$8:G3142,G3142,K$8:K3142)+SUMIFS([1]内部转账!$G:$G,[1]内部转账!$C:$C,"&lt;="&amp;$D3142,[1]内部转账!$E:$E,$G3142)-SUMIFS([1]内部转账!$G:$G,[1]内部转账!$C:$C,"&lt;="&amp;$D3142,[1]内部转账!$F:$F,$G3142)),"")</f>
        <v/>
      </c>
      <c r="M3142" s="64"/>
      <c r="N3142" s="69"/>
      <c r="O3142" s="64"/>
      <c r="P3142" s="64"/>
      <c r="Q3142" s="69"/>
      <c r="R3142" s="69"/>
      <c r="S3142" s="69"/>
    </row>
    <row r="3143" s="2" customFormat="1" ht="24.95" customHeight="1" spans="1:19">
      <c r="A3143" s="15"/>
      <c r="B3143" s="55"/>
      <c r="C3143" s="56"/>
      <c r="D3143" s="68"/>
      <c r="E3143" s="69"/>
      <c r="F3143" s="69"/>
      <c r="G3143" s="65"/>
      <c r="H3143" s="65"/>
      <c r="I3143" s="70"/>
      <c r="J3143" s="71"/>
      <c r="K3143" s="71"/>
      <c r="L3143" s="72" t="str">
        <f>IFERROR(IF(G3143="","",VLOOKUP($G3143,[1]基础信息!$B:$C,2,FALSE)+SUMIF(G$8:G3143,G3143,J$8:J3143)-SUMIF(G$8:G3143,G3143,K$8:K3143)+SUMIFS([1]内部转账!$G:$G,[1]内部转账!$C:$C,"&lt;="&amp;$D3143,[1]内部转账!$E:$E,$G3143)-SUMIFS([1]内部转账!$G:$G,[1]内部转账!$C:$C,"&lt;="&amp;$D3143,[1]内部转账!$F:$F,$G3143)),"")</f>
        <v/>
      </c>
      <c r="M3143" s="64"/>
      <c r="N3143" s="69"/>
      <c r="O3143" s="64"/>
      <c r="P3143" s="64"/>
      <c r="Q3143" s="69"/>
      <c r="R3143" s="69"/>
      <c r="S3143" s="69"/>
    </row>
    <row r="3144" s="2" customFormat="1" ht="24.95" customHeight="1" spans="1:19">
      <c r="A3144" s="15"/>
      <c r="B3144" s="55"/>
      <c r="C3144" s="56"/>
      <c r="D3144" s="68"/>
      <c r="E3144" s="69"/>
      <c r="F3144" s="69"/>
      <c r="G3144" s="65"/>
      <c r="H3144" s="65"/>
      <c r="I3144" s="70"/>
      <c r="J3144" s="71"/>
      <c r="K3144" s="71"/>
      <c r="L3144" s="72" t="str">
        <f>IFERROR(IF(G3144="","",VLOOKUP($G3144,[1]基础信息!$B:$C,2,FALSE)+SUMIF(G$8:G3144,G3144,J$8:J3144)-SUMIF(G$8:G3144,G3144,K$8:K3144)+SUMIFS([1]内部转账!$G:$G,[1]内部转账!$C:$C,"&lt;="&amp;$D3144,[1]内部转账!$E:$E,$G3144)-SUMIFS([1]内部转账!$G:$G,[1]内部转账!$C:$C,"&lt;="&amp;$D3144,[1]内部转账!$F:$F,$G3144)),"")</f>
        <v/>
      </c>
      <c r="M3144" s="64"/>
      <c r="N3144" s="69"/>
      <c r="O3144" s="64"/>
      <c r="P3144" s="64"/>
      <c r="Q3144" s="69"/>
      <c r="R3144" s="69"/>
      <c r="S3144" s="69"/>
    </row>
    <row r="3145" s="2" customFormat="1" ht="24.95" customHeight="1" spans="1:19">
      <c r="A3145" s="15"/>
      <c r="B3145" s="55"/>
      <c r="C3145" s="56"/>
      <c r="D3145" s="68"/>
      <c r="E3145" s="69"/>
      <c r="F3145" s="69"/>
      <c r="G3145" s="65"/>
      <c r="H3145" s="65"/>
      <c r="I3145" s="70"/>
      <c r="J3145" s="71"/>
      <c r="K3145" s="71"/>
      <c r="L3145" s="72" t="str">
        <f>IFERROR(IF(G3145="","",VLOOKUP($G3145,[1]基础信息!$B:$C,2,FALSE)+SUMIF(G$8:G3145,G3145,J$8:J3145)-SUMIF(G$8:G3145,G3145,K$8:K3145)+SUMIFS([1]内部转账!$G:$G,[1]内部转账!$C:$C,"&lt;="&amp;$D3145,[1]内部转账!$E:$E,$G3145)-SUMIFS([1]内部转账!$G:$G,[1]内部转账!$C:$C,"&lt;="&amp;$D3145,[1]内部转账!$F:$F,$G3145)),"")</f>
        <v/>
      </c>
      <c r="M3145" s="64"/>
      <c r="N3145" s="69"/>
      <c r="O3145" s="64"/>
      <c r="P3145" s="64"/>
      <c r="Q3145" s="69"/>
      <c r="R3145" s="69"/>
      <c r="S3145" s="69"/>
    </row>
    <row r="3146" s="2" customFormat="1" ht="24.95" customHeight="1" spans="1:19">
      <c r="A3146" s="15"/>
      <c r="B3146" s="55"/>
      <c r="C3146" s="56"/>
      <c r="D3146" s="68"/>
      <c r="E3146" s="69"/>
      <c r="F3146" s="69"/>
      <c r="G3146" s="65"/>
      <c r="H3146" s="65"/>
      <c r="I3146" s="70"/>
      <c r="J3146" s="71"/>
      <c r="K3146" s="71"/>
      <c r="L3146" s="72" t="str">
        <f>IFERROR(IF(G3146="","",VLOOKUP($G3146,[1]基础信息!$B:$C,2,FALSE)+SUMIF(G$8:G3146,G3146,J$8:J3146)-SUMIF(G$8:G3146,G3146,K$8:K3146)+SUMIFS([1]内部转账!$G:$G,[1]内部转账!$C:$C,"&lt;="&amp;$D3146,[1]内部转账!$E:$E,$G3146)-SUMIFS([1]内部转账!$G:$G,[1]内部转账!$C:$C,"&lt;="&amp;$D3146,[1]内部转账!$F:$F,$G3146)),"")</f>
        <v/>
      </c>
      <c r="M3146" s="64"/>
      <c r="N3146" s="69"/>
      <c r="O3146" s="64"/>
      <c r="P3146" s="64"/>
      <c r="Q3146" s="69"/>
      <c r="R3146" s="69"/>
      <c r="S3146" s="69"/>
    </row>
    <row r="3147" s="2" customFormat="1" ht="24.95" customHeight="1" spans="1:19">
      <c r="A3147" s="15"/>
      <c r="B3147" s="55"/>
      <c r="C3147" s="56"/>
      <c r="D3147" s="68"/>
      <c r="E3147" s="69"/>
      <c r="F3147" s="69"/>
      <c r="G3147" s="65"/>
      <c r="H3147" s="65"/>
      <c r="I3147" s="70"/>
      <c r="J3147" s="71"/>
      <c r="K3147" s="71"/>
      <c r="L3147" s="72" t="str">
        <f>IFERROR(IF(G3147="","",VLOOKUP($G3147,[1]基础信息!$B:$C,2,FALSE)+SUMIF(G$8:G3147,G3147,J$8:J3147)-SUMIF(G$8:G3147,G3147,K$8:K3147)+SUMIFS([1]内部转账!$G:$G,[1]内部转账!$C:$C,"&lt;="&amp;$D3147,[1]内部转账!$E:$E,$G3147)-SUMIFS([1]内部转账!$G:$G,[1]内部转账!$C:$C,"&lt;="&amp;$D3147,[1]内部转账!$F:$F,$G3147)),"")</f>
        <v/>
      </c>
      <c r="M3147" s="64"/>
      <c r="N3147" s="69"/>
      <c r="O3147" s="64"/>
      <c r="P3147" s="64"/>
      <c r="Q3147" s="69"/>
      <c r="R3147" s="69"/>
      <c r="S3147" s="69"/>
    </row>
    <row r="3148" s="2" customFormat="1" ht="24.95" customHeight="1" spans="1:19">
      <c r="A3148" s="15"/>
      <c r="B3148" s="55"/>
      <c r="C3148" s="56"/>
      <c r="D3148" s="68"/>
      <c r="E3148" s="69"/>
      <c r="F3148" s="69"/>
      <c r="G3148" s="65"/>
      <c r="H3148" s="65"/>
      <c r="I3148" s="70"/>
      <c r="J3148" s="71"/>
      <c r="K3148" s="71"/>
      <c r="L3148" s="72" t="str">
        <f>IFERROR(IF(G3148="","",VLOOKUP($G3148,[1]基础信息!$B:$C,2,FALSE)+SUMIF(G$8:G3148,G3148,J$8:J3148)-SUMIF(G$8:G3148,G3148,K$8:K3148)+SUMIFS([1]内部转账!$G:$G,[1]内部转账!$C:$C,"&lt;="&amp;$D3148,[1]内部转账!$E:$E,$G3148)-SUMIFS([1]内部转账!$G:$G,[1]内部转账!$C:$C,"&lt;="&amp;$D3148,[1]内部转账!$F:$F,$G3148)),"")</f>
        <v/>
      </c>
      <c r="M3148" s="64"/>
      <c r="N3148" s="69"/>
      <c r="O3148" s="64"/>
      <c r="P3148" s="64"/>
      <c r="Q3148" s="69"/>
      <c r="R3148" s="69"/>
      <c r="S3148" s="69"/>
    </row>
    <row r="3149" s="2" customFormat="1" ht="24.95" customHeight="1" spans="1:19">
      <c r="A3149" s="15"/>
      <c r="B3149" s="55"/>
      <c r="C3149" s="56"/>
      <c r="D3149" s="68"/>
      <c r="E3149" s="69"/>
      <c r="F3149" s="69"/>
      <c r="G3149" s="65"/>
      <c r="H3149" s="65"/>
      <c r="I3149" s="70"/>
      <c r="J3149" s="71"/>
      <c r="K3149" s="71"/>
      <c r="L3149" s="72" t="str">
        <f>IFERROR(IF(G3149="","",VLOOKUP($G3149,[1]基础信息!$B:$C,2,FALSE)+SUMIF(G$8:G3149,G3149,J$8:J3149)-SUMIF(G$8:G3149,G3149,K$8:K3149)+SUMIFS([1]内部转账!$G:$G,[1]内部转账!$C:$C,"&lt;="&amp;$D3149,[1]内部转账!$E:$E,$G3149)-SUMIFS([1]内部转账!$G:$G,[1]内部转账!$C:$C,"&lt;="&amp;$D3149,[1]内部转账!$F:$F,$G3149)),"")</f>
        <v/>
      </c>
      <c r="M3149" s="64"/>
      <c r="N3149" s="69"/>
      <c r="O3149" s="64"/>
      <c r="P3149" s="64"/>
      <c r="Q3149" s="69"/>
      <c r="R3149" s="69"/>
      <c r="S3149" s="69"/>
    </row>
    <row r="3150" s="2" customFormat="1" ht="24.95" customHeight="1" spans="1:19">
      <c r="A3150" s="15"/>
      <c r="B3150" s="55"/>
      <c r="C3150" s="56"/>
      <c r="D3150" s="68"/>
      <c r="E3150" s="69"/>
      <c r="F3150" s="69"/>
      <c r="G3150" s="65"/>
      <c r="H3150" s="65"/>
      <c r="I3150" s="70"/>
      <c r="J3150" s="71"/>
      <c r="K3150" s="71"/>
      <c r="L3150" s="72" t="str">
        <f>IFERROR(IF(G3150="","",VLOOKUP($G3150,[1]基础信息!$B:$C,2,FALSE)+SUMIF(G$8:G3150,G3150,J$8:J3150)-SUMIF(G$8:G3150,G3150,K$8:K3150)+SUMIFS([1]内部转账!$G:$G,[1]内部转账!$C:$C,"&lt;="&amp;$D3150,[1]内部转账!$E:$E,$G3150)-SUMIFS([1]内部转账!$G:$G,[1]内部转账!$C:$C,"&lt;="&amp;$D3150,[1]内部转账!$F:$F,$G3150)),"")</f>
        <v/>
      </c>
      <c r="M3150" s="64"/>
      <c r="N3150" s="69"/>
      <c r="O3150" s="64"/>
      <c r="P3150" s="64"/>
      <c r="Q3150" s="69"/>
      <c r="R3150" s="69"/>
      <c r="S3150" s="69"/>
    </row>
    <row r="3151" s="2" customFormat="1" ht="24.95" customHeight="1" spans="1:19">
      <c r="A3151" s="15"/>
      <c r="B3151" s="55"/>
      <c r="C3151" s="56"/>
      <c r="D3151" s="68"/>
      <c r="E3151" s="69"/>
      <c r="F3151" s="69"/>
      <c r="G3151" s="65"/>
      <c r="H3151" s="65"/>
      <c r="I3151" s="70"/>
      <c r="J3151" s="71"/>
      <c r="K3151" s="71"/>
      <c r="L3151" s="72" t="str">
        <f>IFERROR(IF(G3151="","",VLOOKUP($G3151,[1]基础信息!$B:$C,2,FALSE)+SUMIF(G$8:G3151,G3151,J$8:J3151)-SUMIF(G$8:G3151,G3151,K$8:K3151)+SUMIFS([1]内部转账!$G:$G,[1]内部转账!$C:$C,"&lt;="&amp;$D3151,[1]内部转账!$E:$E,$G3151)-SUMIFS([1]内部转账!$G:$G,[1]内部转账!$C:$C,"&lt;="&amp;$D3151,[1]内部转账!$F:$F,$G3151)),"")</f>
        <v/>
      </c>
      <c r="M3151" s="64"/>
      <c r="N3151" s="69"/>
      <c r="O3151" s="64"/>
      <c r="P3151" s="64"/>
      <c r="Q3151" s="69"/>
      <c r="R3151" s="69"/>
      <c r="S3151" s="69"/>
    </row>
    <row r="3152" s="2" customFormat="1" ht="24.95" customHeight="1" spans="1:19">
      <c r="A3152" s="15"/>
      <c r="B3152" s="55"/>
      <c r="C3152" s="56"/>
      <c r="D3152" s="68"/>
      <c r="E3152" s="69"/>
      <c r="F3152" s="69"/>
      <c r="G3152" s="65"/>
      <c r="H3152" s="65"/>
      <c r="I3152" s="70"/>
      <c r="J3152" s="71"/>
      <c r="K3152" s="71"/>
      <c r="L3152" s="72" t="str">
        <f>IFERROR(IF(G3152="","",VLOOKUP($G3152,[1]基础信息!$B:$C,2,FALSE)+SUMIF(G$8:G3152,G3152,J$8:J3152)-SUMIF(G$8:G3152,G3152,K$8:K3152)+SUMIFS([1]内部转账!$G:$G,[1]内部转账!$C:$C,"&lt;="&amp;$D3152,[1]内部转账!$E:$E,$G3152)-SUMIFS([1]内部转账!$G:$G,[1]内部转账!$C:$C,"&lt;="&amp;$D3152,[1]内部转账!$F:$F,$G3152)),"")</f>
        <v/>
      </c>
      <c r="M3152" s="64"/>
      <c r="N3152" s="69"/>
      <c r="O3152" s="64"/>
      <c r="P3152" s="64"/>
      <c r="Q3152" s="69"/>
      <c r="R3152" s="69"/>
      <c r="S3152" s="69"/>
    </row>
    <row r="3153" s="2" customFormat="1" ht="24.95" customHeight="1" spans="1:19">
      <c r="A3153" s="15"/>
      <c r="B3153" s="55"/>
      <c r="C3153" s="56"/>
      <c r="D3153" s="68"/>
      <c r="E3153" s="69"/>
      <c r="F3153" s="69"/>
      <c r="G3153" s="65"/>
      <c r="H3153" s="65"/>
      <c r="I3153" s="70"/>
      <c r="J3153" s="71"/>
      <c r="K3153" s="71"/>
      <c r="L3153" s="72" t="str">
        <f>IFERROR(IF(G3153="","",VLOOKUP($G3153,[1]基础信息!$B:$C,2,FALSE)+SUMIF(G$8:G3153,G3153,J$8:J3153)-SUMIF(G$8:G3153,G3153,K$8:K3153)+SUMIFS([1]内部转账!$G:$G,[1]内部转账!$C:$C,"&lt;="&amp;$D3153,[1]内部转账!$E:$E,$G3153)-SUMIFS([1]内部转账!$G:$G,[1]内部转账!$C:$C,"&lt;="&amp;$D3153,[1]内部转账!$F:$F,$G3153)),"")</f>
        <v/>
      </c>
      <c r="M3153" s="64"/>
      <c r="N3153" s="69"/>
      <c r="O3153" s="64"/>
      <c r="P3153" s="64"/>
      <c r="Q3153" s="69"/>
      <c r="R3153" s="69"/>
      <c r="S3153" s="69"/>
    </row>
    <row r="3154" s="2" customFormat="1" ht="24.95" customHeight="1" spans="1:19">
      <c r="A3154" s="15"/>
      <c r="B3154" s="55"/>
      <c r="C3154" s="56"/>
      <c r="D3154" s="68"/>
      <c r="E3154" s="69"/>
      <c r="F3154" s="69"/>
      <c r="G3154" s="65"/>
      <c r="H3154" s="65"/>
      <c r="I3154" s="70"/>
      <c r="J3154" s="71"/>
      <c r="K3154" s="71"/>
      <c r="L3154" s="72" t="str">
        <f>IFERROR(IF(G3154="","",VLOOKUP($G3154,[1]基础信息!$B:$C,2,FALSE)+SUMIF(G$8:G3154,G3154,J$8:J3154)-SUMIF(G$8:G3154,G3154,K$8:K3154)+SUMIFS([1]内部转账!$G:$G,[1]内部转账!$C:$C,"&lt;="&amp;$D3154,[1]内部转账!$E:$E,$G3154)-SUMIFS([1]内部转账!$G:$G,[1]内部转账!$C:$C,"&lt;="&amp;$D3154,[1]内部转账!$F:$F,$G3154)),"")</f>
        <v/>
      </c>
      <c r="M3154" s="64"/>
      <c r="N3154" s="69"/>
      <c r="O3154" s="64"/>
      <c r="P3154" s="64"/>
      <c r="Q3154" s="69"/>
      <c r="R3154" s="69"/>
      <c r="S3154" s="69"/>
    </row>
    <row r="3155" s="2" customFormat="1" ht="24.95" customHeight="1" spans="1:19">
      <c r="A3155" s="15"/>
      <c r="B3155" s="55"/>
      <c r="C3155" s="56"/>
      <c r="D3155" s="68"/>
      <c r="E3155" s="69"/>
      <c r="F3155" s="69"/>
      <c r="G3155" s="65"/>
      <c r="H3155" s="65"/>
      <c r="I3155" s="70"/>
      <c r="J3155" s="71"/>
      <c r="K3155" s="71"/>
      <c r="L3155" s="72" t="str">
        <f>IFERROR(IF(G3155="","",VLOOKUP($G3155,[1]基础信息!$B:$C,2,FALSE)+SUMIF(G$8:G3155,G3155,J$8:J3155)-SUMIF(G$8:G3155,G3155,K$8:K3155)+SUMIFS([1]内部转账!$G:$G,[1]内部转账!$C:$C,"&lt;="&amp;$D3155,[1]内部转账!$E:$E,$G3155)-SUMIFS([1]内部转账!$G:$G,[1]内部转账!$C:$C,"&lt;="&amp;$D3155,[1]内部转账!$F:$F,$G3155)),"")</f>
        <v/>
      </c>
      <c r="M3155" s="64"/>
      <c r="N3155" s="69"/>
      <c r="O3155" s="64"/>
      <c r="P3155" s="64"/>
      <c r="Q3155" s="69"/>
      <c r="R3155" s="69"/>
      <c r="S3155" s="69"/>
    </row>
    <row r="3156" s="2" customFormat="1" ht="24.95" customHeight="1" spans="1:19">
      <c r="A3156" s="15"/>
      <c r="B3156" s="55"/>
      <c r="C3156" s="56"/>
      <c r="D3156" s="68"/>
      <c r="E3156" s="69"/>
      <c r="F3156" s="69"/>
      <c r="G3156" s="65"/>
      <c r="H3156" s="65"/>
      <c r="I3156" s="70"/>
      <c r="J3156" s="71"/>
      <c r="K3156" s="71"/>
      <c r="L3156" s="72" t="str">
        <f>IFERROR(IF(G3156="","",VLOOKUP($G3156,[1]基础信息!$B:$C,2,FALSE)+SUMIF(G$8:G3156,G3156,J$8:J3156)-SUMIF(G$8:G3156,G3156,K$8:K3156)+SUMIFS([1]内部转账!$G:$G,[1]内部转账!$C:$C,"&lt;="&amp;$D3156,[1]内部转账!$E:$E,$G3156)-SUMIFS([1]内部转账!$G:$G,[1]内部转账!$C:$C,"&lt;="&amp;$D3156,[1]内部转账!$F:$F,$G3156)),"")</f>
        <v/>
      </c>
      <c r="M3156" s="64"/>
      <c r="N3156" s="69"/>
      <c r="O3156" s="64"/>
      <c r="P3156" s="64"/>
      <c r="Q3156" s="69"/>
      <c r="R3156" s="69"/>
      <c r="S3156" s="69"/>
    </row>
    <row r="3157" s="2" customFormat="1" ht="24.95" customHeight="1" spans="1:19">
      <c r="A3157" s="15"/>
      <c r="B3157" s="55"/>
      <c r="C3157" s="56"/>
      <c r="D3157" s="68"/>
      <c r="E3157" s="69"/>
      <c r="F3157" s="69"/>
      <c r="G3157" s="65"/>
      <c r="H3157" s="65"/>
      <c r="I3157" s="70"/>
      <c r="J3157" s="71"/>
      <c r="K3157" s="71"/>
      <c r="L3157" s="72" t="str">
        <f>IFERROR(IF(G3157="","",VLOOKUP($G3157,[1]基础信息!$B:$C,2,FALSE)+SUMIF(G$8:G3157,G3157,J$8:J3157)-SUMIF(G$8:G3157,G3157,K$8:K3157)+SUMIFS([1]内部转账!$G:$G,[1]内部转账!$C:$C,"&lt;="&amp;$D3157,[1]内部转账!$E:$E,$G3157)-SUMIFS([1]内部转账!$G:$G,[1]内部转账!$C:$C,"&lt;="&amp;$D3157,[1]内部转账!$F:$F,$G3157)),"")</f>
        <v/>
      </c>
      <c r="M3157" s="64"/>
      <c r="N3157" s="69"/>
      <c r="O3157" s="64"/>
      <c r="P3157" s="64"/>
      <c r="Q3157" s="69"/>
      <c r="R3157" s="69"/>
      <c r="S3157" s="69"/>
    </row>
    <row r="3158" s="2" customFormat="1" ht="24.95" customHeight="1" spans="1:19">
      <c r="A3158" s="15"/>
      <c r="B3158" s="55"/>
      <c r="C3158" s="56"/>
      <c r="D3158" s="68"/>
      <c r="E3158" s="69"/>
      <c r="F3158" s="69"/>
      <c r="G3158" s="65"/>
      <c r="H3158" s="65"/>
      <c r="I3158" s="70"/>
      <c r="J3158" s="71"/>
      <c r="K3158" s="71"/>
      <c r="L3158" s="72" t="str">
        <f>IFERROR(IF(G3158="","",VLOOKUP($G3158,[1]基础信息!$B:$C,2,FALSE)+SUMIF(G$8:G3158,G3158,J$8:J3158)-SUMIF(G$8:G3158,G3158,K$8:K3158)+SUMIFS([1]内部转账!$G:$G,[1]内部转账!$C:$C,"&lt;="&amp;$D3158,[1]内部转账!$E:$E,$G3158)-SUMIFS([1]内部转账!$G:$G,[1]内部转账!$C:$C,"&lt;="&amp;$D3158,[1]内部转账!$F:$F,$G3158)),"")</f>
        <v/>
      </c>
      <c r="M3158" s="64"/>
      <c r="N3158" s="69"/>
      <c r="O3158" s="64"/>
      <c r="P3158" s="64"/>
      <c r="Q3158" s="69"/>
      <c r="R3158" s="69"/>
      <c r="S3158" s="69"/>
    </row>
    <row r="3159" s="2" customFormat="1" ht="24.95" customHeight="1" spans="1:19">
      <c r="A3159" s="15"/>
      <c r="B3159" s="55"/>
      <c r="C3159" s="56"/>
      <c r="D3159" s="68"/>
      <c r="E3159" s="69"/>
      <c r="F3159" s="69"/>
      <c r="G3159" s="65"/>
      <c r="H3159" s="65"/>
      <c r="I3159" s="70"/>
      <c r="J3159" s="71"/>
      <c r="K3159" s="71"/>
      <c r="L3159" s="72" t="str">
        <f>IFERROR(IF(G3159="","",VLOOKUP($G3159,[1]基础信息!$B:$C,2,FALSE)+SUMIF(G$8:G3159,G3159,J$8:J3159)-SUMIF(G$8:G3159,G3159,K$8:K3159)+SUMIFS([1]内部转账!$G:$G,[1]内部转账!$C:$C,"&lt;="&amp;$D3159,[1]内部转账!$E:$E,$G3159)-SUMIFS([1]内部转账!$G:$G,[1]内部转账!$C:$C,"&lt;="&amp;$D3159,[1]内部转账!$F:$F,$G3159)),"")</f>
        <v/>
      </c>
      <c r="M3159" s="64"/>
      <c r="N3159" s="69"/>
      <c r="O3159" s="64"/>
      <c r="P3159" s="64"/>
      <c r="Q3159" s="69"/>
      <c r="R3159" s="69"/>
      <c r="S3159" s="69"/>
    </row>
    <row r="3160" s="2" customFormat="1" ht="24.95" customHeight="1" spans="1:19">
      <c r="A3160" s="15"/>
      <c r="B3160" s="55"/>
      <c r="C3160" s="56"/>
      <c r="D3160" s="68"/>
      <c r="E3160" s="69"/>
      <c r="F3160" s="69"/>
      <c r="G3160" s="65"/>
      <c r="H3160" s="65"/>
      <c r="I3160" s="70"/>
      <c r="J3160" s="71"/>
      <c r="K3160" s="71"/>
      <c r="L3160" s="72" t="str">
        <f>IFERROR(IF(G3160="","",VLOOKUP($G3160,[1]基础信息!$B:$C,2,FALSE)+SUMIF(G$8:G3160,G3160,J$8:J3160)-SUMIF(G$8:G3160,G3160,K$8:K3160)+SUMIFS([1]内部转账!$G:$G,[1]内部转账!$C:$C,"&lt;="&amp;$D3160,[1]内部转账!$E:$E,$G3160)-SUMIFS([1]内部转账!$G:$G,[1]内部转账!$C:$C,"&lt;="&amp;$D3160,[1]内部转账!$F:$F,$G3160)),"")</f>
        <v/>
      </c>
      <c r="M3160" s="64"/>
      <c r="N3160" s="69"/>
      <c r="O3160" s="64"/>
      <c r="P3160" s="64"/>
      <c r="Q3160" s="69"/>
      <c r="R3160" s="69"/>
      <c r="S3160" s="69"/>
    </row>
    <row r="3161" s="2" customFormat="1" ht="24.95" customHeight="1" spans="1:19">
      <c r="A3161" s="15"/>
      <c r="B3161" s="55"/>
      <c r="C3161" s="56"/>
      <c r="D3161" s="68"/>
      <c r="E3161" s="69"/>
      <c r="F3161" s="69"/>
      <c r="G3161" s="65"/>
      <c r="H3161" s="65"/>
      <c r="I3161" s="70"/>
      <c r="J3161" s="71"/>
      <c r="K3161" s="71"/>
      <c r="L3161" s="72" t="str">
        <f>IFERROR(IF(G3161="","",VLOOKUP($G3161,[1]基础信息!$B:$C,2,FALSE)+SUMIF(G$8:G3161,G3161,J$8:J3161)-SUMIF(G$8:G3161,G3161,K$8:K3161)+SUMIFS([1]内部转账!$G:$G,[1]内部转账!$C:$C,"&lt;="&amp;$D3161,[1]内部转账!$E:$E,$G3161)-SUMIFS([1]内部转账!$G:$G,[1]内部转账!$C:$C,"&lt;="&amp;$D3161,[1]内部转账!$F:$F,$G3161)),"")</f>
        <v/>
      </c>
      <c r="M3161" s="64"/>
      <c r="N3161" s="69"/>
      <c r="O3161" s="64"/>
      <c r="P3161" s="64"/>
      <c r="Q3161" s="69"/>
      <c r="R3161" s="69"/>
      <c r="S3161" s="69"/>
    </row>
    <row r="3162" s="2" customFormat="1" ht="24.95" customHeight="1" spans="1:19">
      <c r="A3162" s="15"/>
      <c r="B3162" s="55"/>
      <c r="C3162" s="56"/>
      <c r="D3162" s="68"/>
      <c r="E3162" s="69"/>
      <c r="F3162" s="69"/>
      <c r="G3162" s="65"/>
      <c r="H3162" s="65"/>
      <c r="I3162" s="70"/>
      <c r="J3162" s="71"/>
      <c r="K3162" s="71"/>
      <c r="L3162" s="72" t="str">
        <f>IFERROR(IF(G3162="","",VLOOKUP($G3162,[1]基础信息!$B:$C,2,FALSE)+SUMIF(G$8:G3162,G3162,J$8:J3162)-SUMIF(G$8:G3162,G3162,K$8:K3162)+SUMIFS([1]内部转账!$G:$G,[1]内部转账!$C:$C,"&lt;="&amp;$D3162,[1]内部转账!$E:$E,$G3162)-SUMIFS([1]内部转账!$G:$G,[1]内部转账!$C:$C,"&lt;="&amp;$D3162,[1]内部转账!$F:$F,$G3162)),"")</f>
        <v/>
      </c>
      <c r="M3162" s="64"/>
      <c r="N3162" s="69"/>
      <c r="O3162" s="64"/>
      <c r="P3162" s="64"/>
      <c r="Q3162" s="69"/>
      <c r="R3162" s="69"/>
      <c r="S3162" s="69"/>
    </row>
    <row r="3163" s="2" customFormat="1" ht="24.95" customHeight="1" spans="1:19">
      <c r="A3163" s="15"/>
      <c r="B3163" s="55"/>
      <c r="C3163" s="56"/>
      <c r="D3163" s="68"/>
      <c r="E3163" s="69"/>
      <c r="F3163" s="69"/>
      <c r="G3163" s="65"/>
      <c r="H3163" s="65"/>
      <c r="I3163" s="70"/>
      <c r="J3163" s="71"/>
      <c r="K3163" s="71"/>
      <c r="L3163" s="72" t="str">
        <f>IFERROR(IF(G3163="","",VLOOKUP($G3163,[1]基础信息!$B:$C,2,FALSE)+SUMIF(G$8:G3163,G3163,J$8:J3163)-SUMIF(G$8:G3163,G3163,K$8:K3163)+SUMIFS([1]内部转账!$G:$G,[1]内部转账!$C:$C,"&lt;="&amp;$D3163,[1]内部转账!$E:$E,$G3163)-SUMIFS([1]内部转账!$G:$G,[1]内部转账!$C:$C,"&lt;="&amp;$D3163,[1]内部转账!$F:$F,$G3163)),"")</f>
        <v/>
      </c>
      <c r="M3163" s="64"/>
      <c r="N3163" s="69"/>
      <c r="O3163" s="64"/>
      <c r="P3163" s="64"/>
      <c r="Q3163" s="69"/>
      <c r="R3163" s="69"/>
      <c r="S3163" s="69"/>
    </row>
    <row r="3164" s="2" customFormat="1" ht="24.95" customHeight="1" spans="1:19">
      <c r="A3164" s="15"/>
      <c r="B3164" s="55"/>
      <c r="C3164" s="56"/>
      <c r="D3164" s="68"/>
      <c r="E3164" s="69"/>
      <c r="F3164" s="69"/>
      <c r="G3164" s="65"/>
      <c r="H3164" s="65"/>
      <c r="I3164" s="70"/>
      <c r="J3164" s="71"/>
      <c r="K3164" s="71"/>
      <c r="L3164" s="72" t="str">
        <f>IFERROR(IF(G3164="","",VLOOKUP($G3164,[1]基础信息!$B:$C,2,FALSE)+SUMIF(G$8:G3164,G3164,J$8:J3164)-SUMIF(G$8:G3164,G3164,K$8:K3164)+SUMIFS([1]内部转账!$G:$G,[1]内部转账!$C:$C,"&lt;="&amp;$D3164,[1]内部转账!$E:$E,$G3164)-SUMIFS([1]内部转账!$G:$G,[1]内部转账!$C:$C,"&lt;="&amp;$D3164,[1]内部转账!$F:$F,$G3164)),"")</f>
        <v/>
      </c>
      <c r="M3164" s="64"/>
      <c r="N3164" s="69"/>
      <c r="O3164" s="64"/>
      <c r="P3164" s="64"/>
      <c r="Q3164" s="69"/>
      <c r="R3164" s="69"/>
      <c r="S3164" s="69"/>
    </row>
    <row r="3165" s="2" customFormat="1" ht="24.95" customHeight="1" spans="1:19">
      <c r="A3165" s="15"/>
      <c r="B3165" s="55"/>
      <c r="C3165" s="56"/>
      <c r="D3165" s="68"/>
      <c r="E3165" s="69"/>
      <c r="F3165" s="69"/>
      <c r="G3165" s="65"/>
      <c r="H3165" s="65"/>
      <c r="I3165" s="70"/>
      <c r="J3165" s="71"/>
      <c r="K3165" s="71"/>
      <c r="L3165" s="72" t="str">
        <f>IFERROR(IF(G3165="","",VLOOKUP($G3165,[1]基础信息!$B:$C,2,FALSE)+SUMIF(G$8:G3165,G3165,J$8:J3165)-SUMIF(G$8:G3165,G3165,K$8:K3165)+SUMIFS([1]内部转账!$G:$G,[1]内部转账!$C:$C,"&lt;="&amp;$D3165,[1]内部转账!$E:$E,$G3165)-SUMIFS([1]内部转账!$G:$G,[1]内部转账!$C:$C,"&lt;="&amp;$D3165,[1]内部转账!$F:$F,$G3165)),"")</f>
        <v/>
      </c>
      <c r="M3165" s="64"/>
      <c r="N3165" s="69"/>
      <c r="O3165" s="64"/>
      <c r="P3165" s="64"/>
      <c r="Q3165" s="69"/>
      <c r="R3165" s="69"/>
      <c r="S3165" s="69"/>
    </row>
    <row r="3166" s="2" customFormat="1" ht="24.95" customHeight="1" spans="1:19">
      <c r="A3166" s="15"/>
      <c r="B3166" s="55"/>
      <c r="C3166" s="56"/>
      <c r="D3166" s="68"/>
      <c r="E3166" s="69"/>
      <c r="F3166" s="69"/>
      <c r="G3166" s="65"/>
      <c r="H3166" s="65"/>
      <c r="I3166" s="70"/>
      <c r="J3166" s="71"/>
      <c r="K3166" s="71"/>
      <c r="L3166" s="72" t="str">
        <f>IFERROR(IF(G3166="","",VLOOKUP($G3166,[1]基础信息!$B:$C,2,FALSE)+SUMIF(G$8:G3166,G3166,J$8:J3166)-SUMIF(G$8:G3166,G3166,K$8:K3166)+SUMIFS([1]内部转账!$G:$G,[1]内部转账!$C:$C,"&lt;="&amp;$D3166,[1]内部转账!$E:$E,$G3166)-SUMIFS([1]内部转账!$G:$G,[1]内部转账!$C:$C,"&lt;="&amp;$D3166,[1]内部转账!$F:$F,$G3166)),"")</f>
        <v/>
      </c>
      <c r="M3166" s="64"/>
      <c r="N3166" s="69"/>
      <c r="O3166" s="64"/>
      <c r="P3166" s="64"/>
      <c r="Q3166" s="69"/>
      <c r="R3166" s="69"/>
      <c r="S3166" s="69"/>
    </row>
    <row r="3167" s="2" customFormat="1" ht="24.95" customHeight="1" spans="1:19">
      <c r="A3167" s="15"/>
      <c r="B3167" s="55"/>
      <c r="C3167" s="56"/>
      <c r="D3167" s="68"/>
      <c r="E3167" s="69"/>
      <c r="F3167" s="69"/>
      <c r="G3167" s="65"/>
      <c r="H3167" s="65"/>
      <c r="I3167" s="70"/>
      <c r="J3167" s="71"/>
      <c r="K3167" s="71"/>
      <c r="L3167" s="72" t="str">
        <f>IFERROR(IF(G3167="","",VLOOKUP($G3167,[1]基础信息!$B:$C,2,FALSE)+SUMIF(G$8:G3167,G3167,J$8:J3167)-SUMIF(G$8:G3167,G3167,K$8:K3167)+SUMIFS([1]内部转账!$G:$G,[1]内部转账!$C:$C,"&lt;="&amp;$D3167,[1]内部转账!$E:$E,$G3167)-SUMIFS([1]内部转账!$G:$G,[1]内部转账!$C:$C,"&lt;="&amp;$D3167,[1]内部转账!$F:$F,$G3167)),"")</f>
        <v/>
      </c>
      <c r="M3167" s="64"/>
      <c r="N3167" s="69"/>
      <c r="O3167" s="64"/>
      <c r="P3167" s="64"/>
      <c r="Q3167" s="69"/>
      <c r="R3167" s="69"/>
      <c r="S3167" s="69"/>
    </row>
    <row r="3168" s="2" customFormat="1" ht="24.95" customHeight="1" spans="1:19">
      <c r="A3168" s="15"/>
      <c r="B3168" s="55"/>
      <c r="C3168" s="56"/>
      <c r="D3168" s="68"/>
      <c r="E3168" s="69"/>
      <c r="F3168" s="69"/>
      <c r="G3168" s="65"/>
      <c r="H3168" s="65"/>
      <c r="I3168" s="70"/>
      <c r="J3168" s="71"/>
      <c r="K3168" s="71"/>
      <c r="L3168" s="72" t="str">
        <f>IFERROR(IF(G3168="","",VLOOKUP($G3168,[1]基础信息!$B:$C,2,FALSE)+SUMIF(G$8:G3168,G3168,J$8:J3168)-SUMIF(G$8:G3168,G3168,K$8:K3168)+SUMIFS([1]内部转账!$G:$G,[1]内部转账!$C:$C,"&lt;="&amp;$D3168,[1]内部转账!$E:$E,$G3168)-SUMIFS([1]内部转账!$G:$G,[1]内部转账!$C:$C,"&lt;="&amp;$D3168,[1]内部转账!$F:$F,$G3168)),"")</f>
        <v/>
      </c>
      <c r="M3168" s="64"/>
      <c r="N3168" s="69"/>
      <c r="O3168" s="64"/>
      <c r="P3168" s="64"/>
      <c r="Q3168" s="69"/>
      <c r="R3168" s="69"/>
      <c r="S3168" s="69"/>
    </row>
    <row r="3169" s="2" customFormat="1" ht="24.95" customHeight="1" spans="1:19">
      <c r="A3169" s="15"/>
      <c r="B3169" s="55"/>
      <c r="C3169" s="56"/>
      <c r="D3169" s="68"/>
      <c r="E3169" s="69"/>
      <c r="F3169" s="69"/>
      <c r="G3169" s="65"/>
      <c r="H3169" s="65"/>
      <c r="I3169" s="70"/>
      <c r="J3169" s="71"/>
      <c r="K3169" s="71"/>
      <c r="L3169" s="72" t="str">
        <f>IFERROR(IF(G3169="","",VLOOKUP($G3169,[1]基础信息!$B:$C,2,FALSE)+SUMIF(G$8:G3169,G3169,J$8:J3169)-SUMIF(G$8:G3169,G3169,K$8:K3169)+SUMIFS([1]内部转账!$G:$G,[1]内部转账!$C:$C,"&lt;="&amp;$D3169,[1]内部转账!$E:$E,$G3169)-SUMIFS([1]内部转账!$G:$G,[1]内部转账!$C:$C,"&lt;="&amp;$D3169,[1]内部转账!$F:$F,$G3169)),"")</f>
        <v/>
      </c>
      <c r="M3169" s="64"/>
      <c r="N3169" s="69"/>
      <c r="O3169" s="64"/>
      <c r="P3169" s="64"/>
      <c r="Q3169" s="69"/>
      <c r="R3169" s="69"/>
      <c r="S3169" s="69"/>
    </row>
    <row r="3170" s="2" customFormat="1" ht="24.95" customHeight="1" spans="1:19">
      <c r="A3170" s="15"/>
      <c r="B3170" s="55"/>
      <c r="C3170" s="56"/>
      <c r="D3170" s="68"/>
      <c r="E3170" s="69"/>
      <c r="F3170" s="69"/>
      <c r="G3170" s="65"/>
      <c r="H3170" s="65"/>
      <c r="I3170" s="70"/>
      <c r="J3170" s="71"/>
      <c r="K3170" s="71"/>
      <c r="L3170" s="72" t="str">
        <f>IFERROR(IF(G3170="","",VLOOKUP($G3170,[1]基础信息!$B:$C,2,FALSE)+SUMIF(G$8:G3170,G3170,J$8:J3170)-SUMIF(G$8:G3170,G3170,K$8:K3170)+SUMIFS([1]内部转账!$G:$G,[1]内部转账!$C:$C,"&lt;="&amp;$D3170,[1]内部转账!$E:$E,$G3170)-SUMIFS([1]内部转账!$G:$G,[1]内部转账!$C:$C,"&lt;="&amp;$D3170,[1]内部转账!$F:$F,$G3170)),"")</f>
        <v/>
      </c>
      <c r="M3170" s="64"/>
      <c r="N3170" s="69"/>
      <c r="O3170" s="64"/>
      <c r="P3170" s="64"/>
      <c r="Q3170" s="69"/>
      <c r="R3170" s="69"/>
      <c r="S3170" s="69"/>
    </row>
    <row r="3171" s="2" customFormat="1" ht="24.95" customHeight="1" spans="1:19">
      <c r="A3171" s="15"/>
      <c r="B3171" s="55"/>
      <c r="C3171" s="56"/>
      <c r="D3171" s="68"/>
      <c r="E3171" s="69"/>
      <c r="F3171" s="69"/>
      <c r="G3171" s="65"/>
      <c r="H3171" s="65"/>
      <c r="I3171" s="70"/>
      <c r="J3171" s="71"/>
      <c r="K3171" s="71"/>
      <c r="L3171" s="72" t="str">
        <f>IFERROR(IF(G3171="","",VLOOKUP($G3171,[1]基础信息!$B:$C,2,FALSE)+SUMIF(G$8:G3171,G3171,J$8:J3171)-SUMIF(G$8:G3171,G3171,K$8:K3171)+SUMIFS([1]内部转账!$G:$G,[1]内部转账!$C:$C,"&lt;="&amp;$D3171,[1]内部转账!$E:$E,$G3171)-SUMIFS([1]内部转账!$G:$G,[1]内部转账!$C:$C,"&lt;="&amp;$D3171,[1]内部转账!$F:$F,$G3171)),"")</f>
        <v/>
      </c>
      <c r="M3171" s="64"/>
      <c r="N3171" s="69"/>
      <c r="O3171" s="64"/>
      <c r="P3171" s="64"/>
      <c r="Q3171" s="69"/>
      <c r="R3171" s="69"/>
      <c r="S3171" s="69"/>
    </row>
    <row r="3172" s="2" customFormat="1" ht="24.95" customHeight="1" spans="1:19">
      <c r="A3172" s="15"/>
      <c r="B3172" s="55"/>
      <c r="C3172" s="56"/>
      <c r="D3172" s="68"/>
      <c r="E3172" s="69"/>
      <c r="F3172" s="69"/>
      <c r="G3172" s="65"/>
      <c r="H3172" s="65"/>
      <c r="I3172" s="70"/>
      <c r="J3172" s="71"/>
      <c r="K3172" s="71"/>
      <c r="L3172" s="72" t="str">
        <f>IFERROR(IF(G3172="","",VLOOKUP($G3172,[1]基础信息!$B:$C,2,FALSE)+SUMIF(G$8:G3172,G3172,J$8:J3172)-SUMIF(G$8:G3172,G3172,K$8:K3172)+SUMIFS([1]内部转账!$G:$G,[1]内部转账!$C:$C,"&lt;="&amp;$D3172,[1]内部转账!$E:$E,$G3172)-SUMIFS([1]内部转账!$G:$G,[1]内部转账!$C:$C,"&lt;="&amp;$D3172,[1]内部转账!$F:$F,$G3172)),"")</f>
        <v/>
      </c>
      <c r="M3172" s="64"/>
      <c r="N3172" s="69"/>
      <c r="O3172" s="64"/>
      <c r="P3172" s="64"/>
      <c r="Q3172" s="69"/>
      <c r="R3172" s="69"/>
      <c r="S3172" s="69"/>
    </row>
    <row r="3173" s="2" customFormat="1" ht="24.95" customHeight="1" spans="1:19">
      <c r="A3173" s="15"/>
      <c r="B3173" s="55"/>
      <c r="C3173" s="56"/>
      <c r="D3173" s="68"/>
      <c r="E3173" s="69"/>
      <c r="F3173" s="69"/>
      <c r="G3173" s="65"/>
      <c r="H3173" s="65"/>
      <c r="I3173" s="70"/>
      <c r="J3173" s="71"/>
      <c r="K3173" s="71"/>
      <c r="L3173" s="72" t="str">
        <f>IFERROR(IF(G3173="","",VLOOKUP($G3173,[1]基础信息!$B:$C,2,FALSE)+SUMIF(G$8:G3173,G3173,J$8:J3173)-SUMIF(G$8:G3173,G3173,K$8:K3173)+SUMIFS([1]内部转账!$G:$G,[1]内部转账!$C:$C,"&lt;="&amp;$D3173,[1]内部转账!$E:$E,$G3173)-SUMIFS([1]内部转账!$G:$G,[1]内部转账!$C:$C,"&lt;="&amp;$D3173,[1]内部转账!$F:$F,$G3173)),"")</f>
        <v/>
      </c>
      <c r="M3173" s="64"/>
      <c r="N3173" s="69"/>
      <c r="O3173" s="64"/>
      <c r="P3173" s="64"/>
      <c r="Q3173" s="69"/>
      <c r="R3173" s="69"/>
      <c r="S3173" s="69"/>
    </row>
    <row r="3174" s="2" customFormat="1" ht="24.95" customHeight="1" spans="1:19">
      <c r="A3174" s="15"/>
      <c r="B3174" s="55"/>
      <c r="C3174" s="56"/>
      <c r="D3174" s="68"/>
      <c r="E3174" s="69"/>
      <c r="F3174" s="69"/>
      <c r="G3174" s="65"/>
      <c r="H3174" s="65"/>
      <c r="I3174" s="70"/>
      <c r="J3174" s="71"/>
      <c r="K3174" s="71"/>
      <c r="L3174" s="72" t="str">
        <f>IFERROR(IF(G3174="","",VLOOKUP($G3174,[1]基础信息!$B:$C,2,FALSE)+SUMIF(G$8:G3174,G3174,J$8:J3174)-SUMIF(G$8:G3174,G3174,K$8:K3174)+SUMIFS([1]内部转账!$G:$G,[1]内部转账!$C:$C,"&lt;="&amp;$D3174,[1]内部转账!$E:$E,$G3174)-SUMIFS([1]内部转账!$G:$G,[1]内部转账!$C:$C,"&lt;="&amp;$D3174,[1]内部转账!$F:$F,$G3174)),"")</f>
        <v/>
      </c>
      <c r="M3174" s="64"/>
      <c r="N3174" s="69"/>
      <c r="O3174" s="64"/>
      <c r="P3174" s="64"/>
      <c r="Q3174" s="69"/>
      <c r="R3174" s="69"/>
      <c r="S3174" s="69"/>
    </row>
    <row r="3175" s="2" customFormat="1" ht="24.95" customHeight="1" spans="1:19">
      <c r="A3175" s="15"/>
      <c r="B3175" s="55"/>
      <c r="C3175" s="56"/>
      <c r="D3175" s="68"/>
      <c r="E3175" s="69"/>
      <c r="F3175" s="69"/>
      <c r="G3175" s="65"/>
      <c r="H3175" s="65"/>
      <c r="I3175" s="70"/>
      <c r="J3175" s="71"/>
      <c r="K3175" s="71"/>
      <c r="L3175" s="72" t="str">
        <f>IFERROR(IF(G3175="","",VLOOKUP($G3175,[1]基础信息!$B:$C,2,FALSE)+SUMIF(G$8:G3175,G3175,J$8:J3175)-SUMIF(G$8:G3175,G3175,K$8:K3175)+SUMIFS([1]内部转账!$G:$G,[1]内部转账!$C:$C,"&lt;="&amp;$D3175,[1]内部转账!$E:$E,$G3175)-SUMIFS([1]内部转账!$G:$G,[1]内部转账!$C:$C,"&lt;="&amp;$D3175,[1]内部转账!$F:$F,$G3175)),"")</f>
        <v/>
      </c>
      <c r="M3175" s="64"/>
      <c r="N3175" s="69"/>
      <c r="O3175" s="64"/>
      <c r="P3175" s="64"/>
      <c r="Q3175" s="69"/>
      <c r="R3175" s="69"/>
      <c r="S3175" s="69"/>
    </row>
    <row r="3176" s="2" customFormat="1" ht="24.95" customHeight="1" spans="1:19">
      <c r="A3176" s="15"/>
      <c r="B3176" s="55"/>
      <c r="C3176" s="56"/>
      <c r="D3176" s="68"/>
      <c r="E3176" s="69"/>
      <c r="F3176" s="69"/>
      <c r="G3176" s="65"/>
      <c r="H3176" s="65"/>
      <c r="I3176" s="70"/>
      <c r="J3176" s="71"/>
      <c r="K3176" s="71"/>
      <c r="L3176" s="72" t="str">
        <f>IFERROR(IF(G3176="","",VLOOKUP($G3176,[1]基础信息!$B:$C,2,FALSE)+SUMIF(G$8:G3176,G3176,J$8:J3176)-SUMIF(G$8:G3176,G3176,K$8:K3176)+SUMIFS([1]内部转账!$G:$G,[1]内部转账!$C:$C,"&lt;="&amp;$D3176,[1]内部转账!$E:$E,$G3176)-SUMIFS([1]内部转账!$G:$G,[1]内部转账!$C:$C,"&lt;="&amp;$D3176,[1]内部转账!$F:$F,$G3176)),"")</f>
        <v/>
      </c>
      <c r="M3176" s="64"/>
      <c r="N3176" s="69"/>
      <c r="O3176" s="64"/>
      <c r="P3176" s="64"/>
      <c r="Q3176" s="69"/>
      <c r="R3176" s="69"/>
      <c r="S3176" s="69"/>
    </row>
    <row r="3177" s="2" customFormat="1" ht="24.95" customHeight="1" spans="1:19">
      <c r="A3177" s="15"/>
      <c r="B3177" s="55"/>
      <c r="C3177" s="56"/>
      <c r="D3177" s="68"/>
      <c r="E3177" s="69"/>
      <c r="F3177" s="69"/>
      <c r="G3177" s="65"/>
      <c r="H3177" s="65"/>
      <c r="I3177" s="70"/>
      <c r="J3177" s="71"/>
      <c r="K3177" s="71"/>
      <c r="L3177" s="72" t="str">
        <f>IFERROR(IF(G3177="","",VLOOKUP($G3177,[1]基础信息!$B:$C,2,FALSE)+SUMIF(G$8:G3177,G3177,J$8:J3177)-SUMIF(G$8:G3177,G3177,K$8:K3177)+SUMIFS([1]内部转账!$G:$G,[1]内部转账!$C:$C,"&lt;="&amp;$D3177,[1]内部转账!$E:$E,$G3177)-SUMIFS([1]内部转账!$G:$G,[1]内部转账!$C:$C,"&lt;="&amp;$D3177,[1]内部转账!$F:$F,$G3177)),"")</f>
        <v/>
      </c>
      <c r="M3177" s="64"/>
      <c r="N3177" s="69"/>
      <c r="O3177" s="64"/>
      <c r="P3177" s="64"/>
      <c r="Q3177" s="69"/>
      <c r="R3177" s="69"/>
      <c r="S3177" s="69"/>
    </row>
    <row r="3178" s="2" customFormat="1" ht="24.95" customHeight="1" spans="1:19">
      <c r="A3178" s="15"/>
      <c r="B3178" s="55"/>
      <c r="C3178" s="56"/>
      <c r="D3178" s="68"/>
      <c r="E3178" s="69"/>
      <c r="F3178" s="69"/>
      <c r="G3178" s="65"/>
      <c r="H3178" s="65"/>
      <c r="I3178" s="70"/>
      <c r="J3178" s="71"/>
      <c r="K3178" s="71"/>
      <c r="L3178" s="72" t="str">
        <f>IFERROR(IF(G3178="","",VLOOKUP($G3178,[1]基础信息!$B:$C,2,FALSE)+SUMIF(G$8:G3178,G3178,J$8:J3178)-SUMIF(G$8:G3178,G3178,K$8:K3178)+SUMIFS([1]内部转账!$G:$G,[1]内部转账!$C:$C,"&lt;="&amp;$D3178,[1]内部转账!$E:$E,$G3178)-SUMIFS([1]内部转账!$G:$G,[1]内部转账!$C:$C,"&lt;="&amp;$D3178,[1]内部转账!$F:$F,$G3178)),"")</f>
        <v/>
      </c>
      <c r="M3178" s="64"/>
      <c r="N3178" s="69"/>
      <c r="O3178" s="64"/>
      <c r="P3178" s="64"/>
      <c r="Q3178" s="69"/>
      <c r="R3178" s="69"/>
      <c r="S3178" s="69"/>
    </row>
    <row r="3179" s="2" customFormat="1" ht="24.95" customHeight="1" spans="1:19">
      <c r="A3179" s="15"/>
      <c r="B3179" s="55"/>
      <c r="C3179" s="56"/>
      <c r="D3179" s="68"/>
      <c r="E3179" s="69"/>
      <c r="F3179" s="69"/>
      <c r="G3179" s="65"/>
      <c r="H3179" s="65"/>
      <c r="I3179" s="70"/>
      <c r="J3179" s="71"/>
      <c r="K3179" s="71"/>
      <c r="L3179" s="72" t="str">
        <f>IFERROR(IF(G3179="","",VLOOKUP($G3179,[1]基础信息!$B:$C,2,FALSE)+SUMIF(G$8:G3179,G3179,J$8:J3179)-SUMIF(G$8:G3179,G3179,K$8:K3179)+SUMIFS([1]内部转账!$G:$G,[1]内部转账!$C:$C,"&lt;="&amp;$D3179,[1]内部转账!$E:$E,$G3179)-SUMIFS([1]内部转账!$G:$G,[1]内部转账!$C:$C,"&lt;="&amp;$D3179,[1]内部转账!$F:$F,$G3179)),"")</f>
        <v/>
      </c>
      <c r="M3179" s="64"/>
      <c r="N3179" s="69"/>
      <c r="O3179" s="64"/>
      <c r="P3179" s="64"/>
      <c r="Q3179" s="69"/>
      <c r="R3179" s="69"/>
      <c r="S3179" s="69"/>
    </row>
    <row r="3180" s="2" customFormat="1" ht="24.95" customHeight="1" spans="1:19">
      <c r="A3180" s="15"/>
      <c r="B3180" s="55"/>
      <c r="C3180" s="56"/>
      <c r="D3180" s="68"/>
      <c r="E3180" s="69"/>
      <c r="F3180" s="69"/>
      <c r="G3180" s="65"/>
      <c r="H3180" s="65"/>
      <c r="I3180" s="70"/>
      <c r="J3180" s="71"/>
      <c r="K3180" s="71"/>
      <c r="L3180" s="72" t="str">
        <f>IFERROR(IF(G3180="","",VLOOKUP($G3180,[1]基础信息!$B:$C,2,FALSE)+SUMIF(G$8:G3180,G3180,J$8:J3180)-SUMIF(G$8:G3180,G3180,K$8:K3180)+SUMIFS([1]内部转账!$G:$G,[1]内部转账!$C:$C,"&lt;="&amp;$D3180,[1]内部转账!$E:$E,$G3180)-SUMIFS([1]内部转账!$G:$G,[1]内部转账!$C:$C,"&lt;="&amp;$D3180,[1]内部转账!$F:$F,$G3180)),"")</f>
        <v/>
      </c>
      <c r="M3180" s="64"/>
      <c r="N3180" s="69"/>
      <c r="O3180" s="64"/>
      <c r="P3180" s="64"/>
      <c r="Q3180" s="69"/>
      <c r="R3180" s="69"/>
      <c r="S3180" s="69"/>
    </row>
    <row r="3181" s="2" customFormat="1" ht="24.95" customHeight="1" spans="1:19">
      <c r="A3181" s="15"/>
      <c r="B3181" s="55"/>
      <c r="C3181" s="56"/>
      <c r="D3181" s="68"/>
      <c r="E3181" s="69"/>
      <c r="F3181" s="69"/>
      <c r="G3181" s="65"/>
      <c r="H3181" s="65"/>
      <c r="I3181" s="70"/>
      <c r="J3181" s="71"/>
      <c r="K3181" s="71"/>
      <c r="L3181" s="72" t="str">
        <f>IFERROR(IF(G3181="","",VLOOKUP($G3181,[1]基础信息!$B:$C,2,FALSE)+SUMIF(G$8:G3181,G3181,J$8:J3181)-SUMIF(G$8:G3181,G3181,K$8:K3181)+SUMIFS([1]内部转账!$G:$G,[1]内部转账!$C:$C,"&lt;="&amp;$D3181,[1]内部转账!$E:$E,$G3181)-SUMIFS([1]内部转账!$G:$G,[1]内部转账!$C:$C,"&lt;="&amp;$D3181,[1]内部转账!$F:$F,$G3181)),"")</f>
        <v/>
      </c>
      <c r="M3181" s="64"/>
      <c r="N3181" s="69"/>
      <c r="O3181" s="64"/>
      <c r="P3181" s="64"/>
      <c r="Q3181" s="69"/>
      <c r="R3181" s="69"/>
      <c r="S3181" s="69"/>
    </row>
    <row r="3182" s="2" customFormat="1" ht="24.95" customHeight="1" spans="1:19">
      <c r="A3182" s="15"/>
      <c r="B3182" s="55"/>
      <c r="C3182" s="56"/>
      <c r="D3182" s="68"/>
      <c r="E3182" s="69"/>
      <c r="F3182" s="69"/>
      <c r="G3182" s="65"/>
      <c r="H3182" s="65"/>
      <c r="I3182" s="70"/>
      <c r="J3182" s="71"/>
      <c r="K3182" s="71"/>
      <c r="L3182" s="72" t="str">
        <f>IFERROR(IF(G3182="","",VLOOKUP($G3182,[1]基础信息!$B:$C,2,FALSE)+SUMIF(G$8:G3182,G3182,J$8:J3182)-SUMIF(G$8:G3182,G3182,K$8:K3182)+SUMIFS([1]内部转账!$G:$G,[1]内部转账!$C:$C,"&lt;="&amp;$D3182,[1]内部转账!$E:$E,$G3182)-SUMIFS([1]内部转账!$G:$G,[1]内部转账!$C:$C,"&lt;="&amp;$D3182,[1]内部转账!$F:$F,$G3182)),"")</f>
        <v/>
      </c>
      <c r="M3182" s="64"/>
      <c r="N3182" s="69"/>
      <c r="O3182" s="64"/>
      <c r="P3182" s="64"/>
      <c r="Q3182" s="69"/>
      <c r="R3182" s="69"/>
      <c r="S3182" s="69"/>
    </row>
    <row r="3183" s="2" customFormat="1" ht="24.95" customHeight="1" spans="1:19">
      <c r="A3183" s="15"/>
      <c r="B3183" s="55"/>
      <c r="C3183" s="56"/>
      <c r="D3183" s="68"/>
      <c r="E3183" s="69"/>
      <c r="F3183" s="69"/>
      <c r="G3183" s="65"/>
      <c r="H3183" s="65"/>
      <c r="I3183" s="70"/>
      <c r="J3183" s="71"/>
      <c r="K3183" s="71"/>
      <c r="L3183" s="72" t="str">
        <f>IFERROR(IF(G3183="","",VLOOKUP($G3183,[1]基础信息!$B:$C,2,FALSE)+SUMIF(G$8:G3183,G3183,J$8:J3183)-SUMIF(G$8:G3183,G3183,K$8:K3183)+SUMIFS([1]内部转账!$G:$G,[1]内部转账!$C:$C,"&lt;="&amp;$D3183,[1]内部转账!$E:$E,$G3183)-SUMIFS([1]内部转账!$G:$G,[1]内部转账!$C:$C,"&lt;="&amp;$D3183,[1]内部转账!$F:$F,$G3183)),"")</f>
        <v/>
      </c>
      <c r="M3183" s="64"/>
      <c r="N3183" s="69"/>
      <c r="O3183" s="64"/>
      <c r="P3183" s="64"/>
      <c r="Q3183" s="69"/>
      <c r="R3183" s="69"/>
      <c r="S3183" s="69"/>
    </row>
    <row r="3184" s="2" customFormat="1" ht="24.95" customHeight="1" spans="1:19">
      <c r="A3184" s="15"/>
      <c r="B3184" s="55"/>
      <c r="C3184" s="56"/>
      <c r="D3184" s="68"/>
      <c r="E3184" s="69"/>
      <c r="F3184" s="69"/>
      <c r="G3184" s="65"/>
      <c r="H3184" s="65"/>
      <c r="I3184" s="70"/>
      <c r="J3184" s="71"/>
      <c r="K3184" s="71"/>
      <c r="L3184" s="72" t="str">
        <f>IFERROR(IF(G3184="","",VLOOKUP($G3184,[1]基础信息!$B:$C,2,FALSE)+SUMIF(G$8:G3184,G3184,J$8:J3184)-SUMIF(G$8:G3184,G3184,K$8:K3184)+SUMIFS([1]内部转账!$G:$G,[1]内部转账!$C:$C,"&lt;="&amp;$D3184,[1]内部转账!$E:$E,$G3184)-SUMIFS([1]内部转账!$G:$G,[1]内部转账!$C:$C,"&lt;="&amp;$D3184,[1]内部转账!$F:$F,$G3184)),"")</f>
        <v/>
      </c>
      <c r="M3184" s="64"/>
      <c r="N3184" s="69"/>
      <c r="O3184" s="64"/>
      <c r="P3184" s="64"/>
      <c r="Q3184" s="69"/>
      <c r="R3184" s="69"/>
      <c r="S3184" s="69"/>
    </row>
    <row r="3185" s="2" customFormat="1" ht="24.95" customHeight="1" spans="1:19">
      <c r="A3185" s="15"/>
      <c r="B3185" s="55"/>
      <c r="C3185" s="56"/>
      <c r="D3185" s="68"/>
      <c r="E3185" s="69"/>
      <c r="F3185" s="69"/>
      <c r="G3185" s="65"/>
      <c r="H3185" s="65"/>
      <c r="I3185" s="70"/>
      <c r="J3185" s="71"/>
      <c r="K3185" s="71"/>
      <c r="L3185" s="72" t="str">
        <f>IFERROR(IF(G3185="","",VLOOKUP($G3185,[1]基础信息!$B:$C,2,FALSE)+SUMIF(G$8:G3185,G3185,J$8:J3185)-SUMIF(G$8:G3185,G3185,K$8:K3185)+SUMIFS([1]内部转账!$G:$G,[1]内部转账!$C:$C,"&lt;="&amp;$D3185,[1]内部转账!$E:$E,$G3185)-SUMIFS([1]内部转账!$G:$G,[1]内部转账!$C:$C,"&lt;="&amp;$D3185,[1]内部转账!$F:$F,$G3185)),"")</f>
        <v/>
      </c>
      <c r="M3185" s="64"/>
      <c r="N3185" s="69"/>
      <c r="O3185" s="64"/>
      <c r="P3185" s="64"/>
      <c r="Q3185" s="69"/>
      <c r="R3185" s="69"/>
      <c r="S3185" s="69"/>
    </row>
    <row r="3186" s="2" customFormat="1" ht="24.95" customHeight="1" spans="1:19">
      <c r="A3186" s="15"/>
      <c r="B3186" s="55"/>
      <c r="C3186" s="56"/>
      <c r="D3186" s="68"/>
      <c r="E3186" s="69"/>
      <c r="F3186" s="69"/>
      <c r="G3186" s="65"/>
      <c r="H3186" s="65"/>
      <c r="I3186" s="70"/>
      <c r="J3186" s="71"/>
      <c r="K3186" s="71"/>
      <c r="L3186" s="72" t="str">
        <f>IFERROR(IF(G3186="","",VLOOKUP($G3186,[1]基础信息!$B:$C,2,FALSE)+SUMIF(G$8:G3186,G3186,J$8:J3186)-SUMIF(G$8:G3186,G3186,K$8:K3186)+SUMIFS([1]内部转账!$G:$G,[1]内部转账!$C:$C,"&lt;="&amp;$D3186,[1]内部转账!$E:$E,$G3186)-SUMIFS([1]内部转账!$G:$G,[1]内部转账!$C:$C,"&lt;="&amp;$D3186,[1]内部转账!$F:$F,$G3186)),"")</f>
        <v/>
      </c>
      <c r="M3186" s="64"/>
      <c r="N3186" s="69"/>
      <c r="O3186" s="64"/>
      <c r="P3186" s="64"/>
      <c r="Q3186" s="69"/>
      <c r="R3186" s="69"/>
      <c r="S3186" s="69"/>
    </row>
    <row r="3187" s="2" customFormat="1" ht="24.95" customHeight="1" spans="1:19">
      <c r="A3187" s="15"/>
      <c r="B3187" s="55"/>
      <c r="C3187" s="56"/>
      <c r="D3187" s="68"/>
      <c r="E3187" s="69"/>
      <c r="F3187" s="69"/>
      <c r="G3187" s="65"/>
      <c r="H3187" s="65"/>
      <c r="I3187" s="70"/>
      <c r="J3187" s="71"/>
      <c r="K3187" s="71"/>
      <c r="L3187" s="72" t="str">
        <f>IFERROR(IF(G3187="","",VLOOKUP($G3187,[1]基础信息!$B:$C,2,FALSE)+SUMIF(G$8:G3187,G3187,J$8:J3187)-SUMIF(G$8:G3187,G3187,K$8:K3187)+SUMIFS([1]内部转账!$G:$G,[1]内部转账!$C:$C,"&lt;="&amp;$D3187,[1]内部转账!$E:$E,$G3187)-SUMIFS([1]内部转账!$G:$G,[1]内部转账!$C:$C,"&lt;="&amp;$D3187,[1]内部转账!$F:$F,$G3187)),"")</f>
        <v/>
      </c>
      <c r="M3187" s="64"/>
      <c r="N3187" s="69"/>
      <c r="O3187" s="64"/>
      <c r="P3187" s="64"/>
      <c r="Q3187" s="69"/>
      <c r="R3187" s="69"/>
      <c r="S3187" s="69"/>
    </row>
    <row r="3188" s="2" customFormat="1" ht="24.95" customHeight="1" spans="1:19">
      <c r="A3188" s="15"/>
      <c r="B3188" s="55"/>
      <c r="C3188" s="56"/>
      <c r="D3188" s="68"/>
      <c r="E3188" s="69"/>
      <c r="F3188" s="69"/>
      <c r="G3188" s="65"/>
      <c r="H3188" s="65"/>
      <c r="I3188" s="70"/>
      <c r="J3188" s="71"/>
      <c r="K3188" s="71"/>
      <c r="L3188" s="72" t="str">
        <f>IFERROR(IF(G3188="","",VLOOKUP($G3188,[1]基础信息!$B:$C,2,FALSE)+SUMIF(G$8:G3188,G3188,J$8:J3188)-SUMIF(G$8:G3188,G3188,K$8:K3188)+SUMIFS([1]内部转账!$G:$G,[1]内部转账!$C:$C,"&lt;="&amp;$D3188,[1]内部转账!$E:$E,$G3188)-SUMIFS([1]内部转账!$G:$G,[1]内部转账!$C:$C,"&lt;="&amp;$D3188,[1]内部转账!$F:$F,$G3188)),"")</f>
        <v/>
      </c>
      <c r="M3188" s="64"/>
      <c r="N3188" s="69"/>
      <c r="O3188" s="64"/>
      <c r="P3188" s="64"/>
      <c r="Q3188" s="69"/>
      <c r="R3188" s="69"/>
      <c r="S3188" s="69"/>
    </row>
    <row r="3189" s="2" customFormat="1" ht="24.95" customHeight="1" spans="1:19">
      <c r="A3189" s="15"/>
      <c r="B3189" s="55"/>
      <c r="C3189" s="56"/>
      <c r="D3189" s="68"/>
      <c r="E3189" s="69"/>
      <c r="F3189" s="69"/>
      <c r="G3189" s="65"/>
      <c r="H3189" s="65"/>
      <c r="I3189" s="70"/>
      <c r="J3189" s="71"/>
      <c r="K3189" s="71"/>
      <c r="L3189" s="72" t="str">
        <f>IFERROR(IF(G3189="","",VLOOKUP($G3189,[1]基础信息!$B:$C,2,FALSE)+SUMIF(G$8:G3189,G3189,J$8:J3189)-SUMIF(G$8:G3189,G3189,K$8:K3189)+SUMIFS([1]内部转账!$G:$G,[1]内部转账!$C:$C,"&lt;="&amp;$D3189,[1]内部转账!$E:$E,$G3189)-SUMIFS([1]内部转账!$G:$G,[1]内部转账!$C:$C,"&lt;="&amp;$D3189,[1]内部转账!$F:$F,$G3189)),"")</f>
        <v/>
      </c>
      <c r="M3189" s="64"/>
      <c r="N3189" s="69"/>
      <c r="O3189" s="64"/>
      <c r="P3189" s="64"/>
      <c r="Q3189" s="69"/>
      <c r="R3189" s="69"/>
      <c r="S3189" s="69"/>
    </row>
    <row r="3190" s="2" customFormat="1" ht="24.95" customHeight="1" spans="1:19">
      <c r="A3190" s="15"/>
      <c r="B3190" s="55"/>
      <c r="C3190" s="56"/>
      <c r="D3190" s="68"/>
      <c r="E3190" s="69"/>
      <c r="F3190" s="69"/>
      <c r="G3190" s="65"/>
      <c r="H3190" s="65"/>
      <c r="I3190" s="70"/>
      <c r="J3190" s="71"/>
      <c r="K3190" s="71"/>
      <c r="L3190" s="72" t="str">
        <f>IFERROR(IF(G3190="","",VLOOKUP($G3190,[1]基础信息!$B:$C,2,FALSE)+SUMIF(G$8:G3190,G3190,J$8:J3190)-SUMIF(G$8:G3190,G3190,K$8:K3190)+SUMIFS([1]内部转账!$G:$G,[1]内部转账!$C:$C,"&lt;="&amp;$D3190,[1]内部转账!$E:$E,$G3190)-SUMIFS([1]内部转账!$G:$G,[1]内部转账!$C:$C,"&lt;="&amp;$D3190,[1]内部转账!$F:$F,$G3190)),"")</f>
        <v/>
      </c>
      <c r="M3190" s="64"/>
      <c r="N3190" s="69"/>
      <c r="O3190" s="64"/>
      <c r="P3190" s="64"/>
      <c r="Q3190" s="69"/>
      <c r="R3190" s="69"/>
      <c r="S3190" s="69"/>
    </row>
    <row r="3191" s="2" customFormat="1" ht="24.95" customHeight="1" spans="1:19">
      <c r="A3191" s="15"/>
      <c r="B3191" s="55"/>
      <c r="C3191" s="56"/>
      <c r="D3191" s="68"/>
      <c r="E3191" s="69"/>
      <c r="F3191" s="69"/>
      <c r="G3191" s="65"/>
      <c r="H3191" s="65"/>
      <c r="I3191" s="70"/>
      <c r="J3191" s="71"/>
      <c r="K3191" s="71"/>
      <c r="L3191" s="72" t="str">
        <f>IFERROR(IF(G3191="","",VLOOKUP($G3191,[1]基础信息!$B:$C,2,FALSE)+SUMIF(G$8:G3191,G3191,J$8:J3191)-SUMIF(G$8:G3191,G3191,K$8:K3191)+SUMIFS([1]内部转账!$G:$G,[1]内部转账!$C:$C,"&lt;="&amp;$D3191,[1]内部转账!$E:$E,$G3191)-SUMIFS([1]内部转账!$G:$G,[1]内部转账!$C:$C,"&lt;="&amp;$D3191,[1]内部转账!$F:$F,$G3191)),"")</f>
        <v/>
      </c>
      <c r="M3191" s="64"/>
      <c r="N3191" s="69"/>
      <c r="O3191" s="64"/>
      <c r="P3191" s="64"/>
      <c r="Q3191" s="69"/>
      <c r="R3191" s="69"/>
      <c r="S3191" s="69"/>
    </row>
    <row r="3192" s="2" customFormat="1" ht="24.95" customHeight="1" spans="1:19">
      <c r="A3192" s="15"/>
      <c r="B3192" s="55"/>
      <c r="C3192" s="56"/>
      <c r="D3192" s="68"/>
      <c r="E3192" s="69"/>
      <c r="F3192" s="69"/>
      <c r="G3192" s="65"/>
      <c r="H3192" s="65"/>
      <c r="I3192" s="70"/>
      <c r="J3192" s="71"/>
      <c r="K3192" s="71"/>
      <c r="L3192" s="72" t="str">
        <f>IFERROR(IF(G3192="","",VLOOKUP($G3192,[1]基础信息!$B:$C,2,FALSE)+SUMIF(G$8:G3192,G3192,J$8:J3192)-SUMIF(G$8:G3192,G3192,K$8:K3192)+SUMIFS([1]内部转账!$G:$G,[1]内部转账!$C:$C,"&lt;="&amp;$D3192,[1]内部转账!$E:$E,$G3192)-SUMIFS([1]内部转账!$G:$G,[1]内部转账!$C:$C,"&lt;="&amp;$D3192,[1]内部转账!$F:$F,$G3192)),"")</f>
        <v/>
      </c>
      <c r="M3192" s="64"/>
      <c r="N3192" s="69"/>
      <c r="O3192" s="64"/>
      <c r="P3192" s="64"/>
      <c r="Q3192" s="69"/>
      <c r="R3192" s="69"/>
      <c r="S3192" s="69"/>
    </row>
    <row r="3193" s="2" customFormat="1" ht="24.95" customHeight="1" spans="1:19">
      <c r="A3193" s="15"/>
      <c r="B3193" s="55"/>
      <c r="C3193" s="56"/>
      <c r="D3193" s="68"/>
      <c r="E3193" s="69"/>
      <c r="F3193" s="69"/>
      <c r="G3193" s="65"/>
      <c r="H3193" s="65"/>
      <c r="I3193" s="70"/>
      <c r="J3193" s="71"/>
      <c r="K3193" s="71"/>
      <c r="L3193" s="72" t="str">
        <f>IFERROR(IF(G3193="","",VLOOKUP($G3193,[1]基础信息!$B:$C,2,FALSE)+SUMIF(G$8:G3193,G3193,J$8:J3193)-SUMIF(G$8:G3193,G3193,K$8:K3193)+SUMIFS([1]内部转账!$G:$G,[1]内部转账!$C:$C,"&lt;="&amp;$D3193,[1]内部转账!$E:$E,$G3193)-SUMIFS([1]内部转账!$G:$G,[1]内部转账!$C:$C,"&lt;="&amp;$D3193,[1]内部转账!$F:$F,$G3193)),"")</f>
        <v/>
      </c>
      <c r="M3193" s="64"/>
      <c r="N3193" s="69"/>
      <c r="O3193" s="64"/>
      <c r="P3193" s="64"/>
      <c r="Q3193" s="69"/>
      <c r="R3193" s="69"/>
      <c r="S3193" s="69"/>
    </row>
    <row r="3194" s="2" customFormat="1" ht="24.95" customHeight="1" spans="1:19">
      <c r="A3194" s="15"/>
      <c r="B3194" s="55"/>
      <c r="C3194" s="56"/>
      <c r="D3194" s="68"/>
      <c r="E3194" s="69"/>
      <c r="F3194" s="69"/>
      <c r="G3194" s="65"/>
      <c r="H3194" s="65"/>
      <c r="I3194" s="70"/>
      <c r="J3194" s="71"/>
      <c r="K3194" s="71"/>
      <c r="L3194" s="72" t="str">
        <f>IFERROR(IF(G3194="","",VLOOKUP($G3194,[1]基础信息!$B:$C,2,FALSE)+SUMIF(G$8:G3194,G3194,J$8:J3194)-SUMIF(G$8:G3194,G3194,K$8:K3194)+SUMIFS([1]内部转账!$G:$G,[1]内部转账!$C:$C,"&lt;="&amp;$D3194,[1]内部转账!$E:$E,$G3194)-SUMIFS([1]内部转账!$G:$G,[1]内部转账!$C:$C,"&lt;="&amp;$D3194,[1]内部转账!$F:$F,$G3194)),"")</f>
        <v/>
      </c>
      <c r="M3194" s="64"/>
      <c r="N3194" s="69"/>
      <c r="O3194" s="64"/>
      <c r="P3194" s="64"/>
      <c r="Q3194" s="69"/>
      <c r="R3194" s="69"/>
      <c r="S3194" s="69"/>
    </row>
    <row r="3195" s="2" customFormat="1" ht="24.95" customHeight="1" spans="1:19">
      <c r="A3195" s="15"/>
      <c r="B3195" s="55"/>
      <c r="C3195" s="56"/>
      <c r="D3195" s="68"/>
      <c r="E3195" s="69"/>
      <c r="F3195" s="69"/>
      <c r="G3195" s="65"/>
      <c r="H3195" s="65"/>
      <c r="I3195" s="70"/>
      <c r="J3195" s="71"/>
      <c r="K3195" s="71"/>
      <c r="L3195" s="72" t="str">
        <f>IFERROR(IF(G3195="","",VLOOKUP($G3195,[1]基础信息!$B:$C,2,FALSE)+SUMIF(G$8:G3195,G3195,J$8:J3195)-SUMIF(G$8:G3195,G3195,K$8:K3195)+SUMIFS([1]内部转账!$G:$G,[1]内部转账!$C:$C,"&lt;="&amp;$D3195,[1]内部转账!$E:$E,$G3195)-SUMIFS([1]内部转账!$G:$G,[1]内部转账!$C:$C,"&lt;="&amp;$D3195,[1]内部转账!$F:$F,$G3195)),"")</f>
        <v/>
      </c>
      <c r="M3195" s="64"/>
      <c r="N3195" s="69"/>
      <c r="O3195" s="64"/>
      <c r="P3195" s="64"/>
      <c r="Q3195" s="69"/>
      <c r="R3195" s="69"/>
      <c r="S3195" s="69"/>
    </row>
    <row r="3196" s="2" customFormat="1" ht="24.95" customHeight="1" spans="1:19">
      <c r="A3196" s="15"/>
      <c r="B3196" s="55"/>
      <c r="C3196" s="56"/>
      <c r="D3196" s="68"/>
      <c r="E3196" s="69"/>
      <c r="F3196" s="69"/>
      <c r="G3196" s="65"/>
      <c r="H3196" s="65"/>
      <c r="I3196" s="70"/>
      <c r="J3196" s="71"/>
      <c r="K3196" s="71"/>
      <c r="L3196" s="72" t="str">
        <f>IFERROR(IF(G3196="","",VLOOKUP($G3196,[1]基础信息!$B:$C,2,FALSE)+SUMIF(G$8:G3196,G3196,J$8:J3196)-SUMIF(G$8:G3196,G3196,K$8:K3196)+SUMIFS([1]内部转账!$G:$G,[1]内部转账!$C:$C,"&lt;="&amp;$D3196,[1]内部转账!$E:$E,$G3196)-SUMIFS([1]内部转账!$G:$G,[1]内部转账!$C:$C,"&lt;="&amp;$D3196,[1]内部转账!$F:$F,$G3196)),"")</f>
        <v/>
      </c>
      <c r="M3196" s="64"/>
      <c r="N3196" s="69"/>
      <c r="O3196" s="64"/>
      <c r="P3196" s="64"/>
      <c r="Q3196" s="69"/>
      <c r="R3196" s="69"/>
      <c r="S3196" s="69"/>
    </row>
    <row r="3197" s="2" customFormat="1" ht="24.95" customHeight="1" spans="1:19">
      <c r="A3197" s="15"/>
      <c r="B3197" s="55"/>
      <c r="C3197" s="56"/>
      <c r="D3197" s="68"/>
      <c r="E3197" s="69"/>
      <c r="F3197" s="69"/>
      <c r="G3197" s="65"/>
      <c r="H3197" s="65"/>
      <c r="I3197" s="70"/>
      <c r="J3197" s="71"/>
      <c r="K3197" s="71"/>
      <c r="L3197" s="72" t="str">
        <f>IFERROR(IF(G3197="","",VLOOKUP($G3197,[1]基础信息!$B:$C,2,FALSE)+SUMIF(G$8:G3197,G3197,J$8:J3197)-SUMIF(G$8:G3197,G3197,K$8:K3197)+SUMIFS([1]内部转账!$G:$G,[1]内部转账!$C:$C,"&lt;="&amp;$D3197,[1]内部转账!$E:$E,$G3197)-SUMIFS([1]内部转账!$G:$G,[1]内部转账!$C:$C,"&lt;="&amp;$D3197,[1]内部转账!$F:$F,$G3197)),"")</f>
        <v/>
      </c>
      <c r="M3197" s="64"/>
      <c r="N3197" s="69"/>
      <c r="O3197" s="64"/>
      <c r="P3197" s="64"/>
      <c r="Q3197" s="69"/>
      <c r="R3197" s="69"/>
      <c r="S3197" s="69"/>
    </row>
    <row r="3198" s="2" customFormat="1" ht="24.95" customHeight="1" spans="1:19">
      <c r="A3198" s="15"/>
      <c r="B3198" s="55"/>
      <c r="C3198" s="56"/>
      <c r="D3198" s="68"/>
      <c r="E3198" s="69"/>
      <c r="F3198" s="69"/>
      <c r="G3198" s="65"/>
      <c r="H3198" s="65"/>
      <c r="I3198" s="70"/>
      <c r="J3198" s="71"/>
      <c r="K3198" s="71"/>
      <c r="L3198" s="72" t="str">
        <f>IFERROR(IF(G3198="","",VLOOKUP($G3198,[1]基础信息!$B:$C,2,FALSE)+SUMIF(G$8:G3198,G3198,J$8:J3198)-SUMIF(G$8:G3198,G3198,K$8:K3198)+SUMIFS([1]内部转账!$G:$G,[1]内部转账!$C:$C,"&lt;="&amp;$D3198,[1]内部转账!$E:$E,$G3198)-SUMIFS([1]内部转账!$G:$G,[1]内部转账!$C:$C,"&lt;="&amp;$D3198,[1]内部转账!$F:$F,$G3198)),"")</f>
        <v/>
      </c>
      <c r="M3198" s="64"/>
      <c r="N3198" s="69"/>
      <c r="O3198" s="64"/>
      <c r="P3198" s="64"/>
      <c r="Q3198" s="69"/>
      <c r="R3198" s="69"/>
      <c r="S3198" s="69"/>
    </row>
    <row r="3199" s="2" customFormat="1" ht="24.95" customHeight="1" spans="1:19">
      <c r="A3199" s="15"/>
      <c r="B3199" s="55"/>
      <c r="C3199" s="56"/>
      <c r="D3199" s="68"/>
      <c r="E3199" s="69"/>
      <c r="F3199" s="69"/>
      <c r="G3199" s="65"/>
      <c r="H3199" s="65"/>
      <c r="I3199" s="70"/>
      <c r="J3199" s="71"/>
      <c r="K3199" s="71"/>
      <c r="L3199" s="72" t="str">
        <f>IFERROR(IF(G3199="","",VLOOKUP($G3199,[1]基础信息!$B:$C,2,FALSE)+SUMIF(G$8:G3199,G3199,J$8:J3199)-SUMIF(G$8:G3199,G3199,K$8:K3199)+SUMIFS([1]内部转账!$G:$G,[1]内部转账!$C:$C,"&lt;="&amp;$D3199,[1]内部转账!$E:$E,$G3199)-SUMIFS([1]内部转账!$G:$G,[1]内部转账!$C:$C,"&lt;="&amp;$D3199,[1]内部转账!$F:$F,$G3199)),"")</f>
        <v/>
      </c>
      <c r="M3199" s="64"/>
      <c r="N3199" s="69"/>
      <c r="O3199" s="64"/>
      <c r="P3199" s="64"/>
      <c r="Q3199" s="69"/>
      <c r="R3199" s="69"/>
      <c r="S3199" s="69"/>
    </row>
    <row r="3200" s="2" customFormat="1" ht="24.95" customHeight="1" spans="1:19">
      <c r="A3200" s="15"/>
      <c r="B3200" s="55"/>
      <c r="C3200" s="56"/>
      <c r="D3200" s="68"/>
      <c r="E3200" s="69"/>
      <c r="F3200" s="69"/>
      <c r="G3200" s="65"/>
      <c r="H3200" s="65"/>
      <c r="I3200" s="70"/>
      <c r="J3200" s="71"/>
      <c r="K3200" s="71"/>
      <c r="L3200" s="72" t="str">
        <f>IFERROR(IF(G3200="","",VLOOKUP($G3200,[1]基础信息!$B:$C,2,FALSE)+SUMIF(G$8:G3200,G3200,J$8:J3200)-SUMIF(G$8:G3200,G3200,K$8:K3200)+SUMIFS([1]内部转账!$G:$G,[1]内部转账!$C:$C,"&lt;="&amp;$D3200,[1]内部转账!$E:$E,$G3200)-SUMIFS([1]内部转账!$G:$G,[1]内部转账!$C:$C,"&lt;="&amp;$D3200,[1]内部转账!$F:$F,$G3200)),"")</f>
        <v/>
      </c>
      <c r="M3200" s="64"/>
      <c r="N3200" s="69"/>
      <c r="O3200" s="64"/>
      <c r="P3200" s="64"/>
      <c r="Q3200" s="69"/>
      <c r="R3200" s="69"/>
      <c r="S3200" s="69"/>
    </row>
    <row r="3201" s="2" customFormat="1" ht="24.95" customHeight="1" spans="1:19">
      <c r="A3201" s="15"/>
      <c r="B3201" s="55"/>
      <c r="C3201" s="56"/>
      <c r="D3201" s="68"/>
      <c r="E3201" s="69"/>
      <c r="F3201" s="69"/>
      <c r="G3201" s="65"/>
      <c r="H3201" s="65"/>
      <c r="I3201" s="70"/>
      <c r="J3201" s="71"/>
      <c r="K3201" s="71"/>
      <c r="L3201" s="72" t="str">
        <f>IFERROR(IF(G3201="","",VLOOKUP($G3201,[1]基础信息!$B:$C,2,FALSE)+SUMIF(G$8:G3201,G3201,J$8:J3201)-SUMIF(G$8:G3201,G3201,K$8:K3201)+SUMIFS([1]内部转账!$G:$G,[1]内部转账!$C:$C,"&lt;="&amp;$D3201,[1]内部转账!$E:$E,$G3201)-SUMIFS([1]内部转账!$G:$G,[1]内部转账!$C:$C,"&lt;="&amp;$D3201,[1]内部转账!$F:$F,$G3201)),"")</f>
        <v/>
      </c>
      <c r="M3201" s="64"/>
      <c r="N3201" s="69"/>
      <c r="O3201" s="64"/>
      <c r="P3201" s="64"/>
      <c r="Q3201" s="69"/>
      <c r="R3201" s="69"/>
      <c r="S3201" s="69"/>
    </row>
    <row r="3202" s="2" customFormat="1" ht="24.95" customHeight="1" spans="1:19">
      <c r="A3202" s="15"/>
      <c r="B3202" s="55"/>
      <c r="C3202" s="56"/>
      <c r="D3202" s="68"/>
      <c r="E3202" s="69"/>
      <c r="F3202" s="69"/>
      <c r="G3202" s="65"/>
      <c r="H3202" s="65"/>
      <c r="I3202" s="70"/>
      <c r="J3202" s="71"/>
      <c r="K3202" s="71"/>
      <c r="L3202" s="72" t="str">
        <f>IFERROR(IF(G3202="","",VLOOKUP($G3202,[1]基础信息!$B:$C,2,FALSE)+SUMIF(G$8:G3202,G3202,J$8:J3202)-SUMIF(G$8:G3202,G3202,K$8:K3202)+SUMIFS([1]内部转账!$G:$G,[1]内部转账!$C:$C,"&lt;="&amp;$D3202,[1]内部转账!$E:$E,$G3202)-SUMIFS([1]内部转账!$G:$G,[1]内部转账!$C:$C,"&lt;="&amp;$D3202,[1]内部转账!$F:$F,$G3202)),"")</f>
        <v/>
      </c>
      <c r="M3202" s="64"/>
      <c r="N3202" s="69"/>
      <c r="O3202" s="64"/>
      <c r="P3202" s="64"/>
      <c r="Q3202" s="69"/>
      <c r="R3202" s="69"/>
      <c r="S3202" s="69"/>
    </row>
    <row r="3203" s="2" customFormat="1" ht="24.95" customHeight="1" spans="1:19">
      <c r="A3203" s="15"/>
      <c r="B3203" s="55"/>
      <c r="C3203" s="56"/>
      <c r="D3203" s="68"/>
      <c r="E3203" s="69"/>
      <c r="F3203" s="69"/>
      <c r="G3203" s="65"/>
      <c r="H3203" s="65"/>
      <c r="I3203" s="70"/>
      <c r="J3203" s="71"/>
      <c r="K3203" s="71"/>
      <c r="L3203" s="72" t="str">
        <f>IFERROR(IF(G3203="","",VLOOKUP($G3203,[1]基础信息!$B:$C,2,FALSE)+SUMIF(G$8:G3203,G3203,J$8:J3203)-SUMIF(G$8:G3203,G3203,K$8:K3203)+SUMIFS([1]内部转账!$G:$G,[1]内部转账!$C:$C,"&lt;="&amp;$D3203,[1]内部转账!$E:$E,$G3203)-SUMIFS([1]内部转账!$G:$G,[1]内部转账!$C:$C,"&lt;="&amp;$D3203,[1]内部转账!$F:$F,$G3203)),"")</f>
        <v/>
      </c>
      <c r="M3203" s="64"/>
      <c r="N3203" s="69"/>
      <c r="O3203" s="64"/>
      <c r="P3203" s="64"/>
      <c r="Q3203" s="69"/>
      <c r="R3203" s="69"/>
      <c r="S3203" s="69"/>
    </row>
    <row r="3204" s="2" customFormat="1" ht="24.95" customHeight="1" spans="1:19">
      <c r="A3204" s="15"/>
      <c r="B3204" s="55"/>
      <c r="C3204" s="56"/>
      <c r="D3204" s="68"/>
      <c r="E3204" s="69"/>
      <c r="F3204" s="69"/>
      <c r="G3204" s="65"/>
      <c r="H3204" s="65"/>
      <c r="I3204" s="70"/>
      <c r="J3204" s="71"/>
      <c r="K3204" s="71"/>
      <c r="L3204" s="72" t="str">
        <f>IFERROR(IF(G3204="","",VLOOKUP($G3204,[1]基础信息!$B:$C,2,FALSE)+SUMIF(G$8:G3204,G3204,J$8:J3204)-SUMIF(G$8:G3204,G3204,K$8:K3204)+SUMIFS([1]内部转账!$G:$G,[1]内部转账!$C:$C,"&lt;="&amp;$D3204,[1]内部转账!$E:$E,$G3204)-SUMIFS([1]内部转账!$G:$G,[1]内部转账!$C:$C,"&lt;="&amp;$D3204,[1]内部转账!$F:$F,$G3204)),"")</f>
        <v/>
      </c>
      <c r="M3204" s="64"/>
      <c r="N3204" s="69"/>
      <c r="O3204" s="64"/>
      <c r="P3204" s="64"/>
      <c r="Q3204" s="69"/>
      <c r="R3204" s="69"/>
      <c r="S3204" s="69"/>
    </row>
    <row r="3205" s="2" customFormat="1" ht="24.95" customHeight="1" spans="1:19">
      <c r="A3205" s="15"/>
      <c r="B3205" s="55"/>
      <c r="C3205" s="56"/>
      <c r="D3205" s="68"/>
      <c r="E3205" s="69"/>
      <c r="F3205" s="69"/>
      <c r="G3205" s="65"/>
      <c r="H3205" s="65"/>
      <c r="I3205" s="70"/>
      <c r="J3205" s="71"/>
      <c r="K3205" s="71"/>
      <c r="L3205" s="72" t="str">
        <f>IFERROR(IF(G3205="","",VLOOKUP($G3205,[1]基础信息!$B:$C,2,FALSE)+SUMIF(G$8:G3205,G3205,J$8:J3205)-SUMIF(G$8:G3205,G3205,K$8:K3205)+SUMIFS([1]内部转账!$G:$G,[1]内部转账!$C:$C,"&lt;="&amp;$D3205,[1]内部转账!$E:$E,$G3205)-SUMIFS([1]内部转账!$G:$G,[1]内部转账!$C:$C,"&lt;="&amp;$D3205,[1]内部转账!$F:$F,$G3205)),"")</f>
        <v/>
      </c>
      <c r="M3205" s="64"/>
      <c r="N3205" s="69"/>
      <c r="O3205" s="64"/>
      <c r="P3205" s="64"/>
      <c r="Q3205" s="69"/>
      <c r="R3205" s="69"/>
      <c r="S3205" s="69"/>
    </row>
    <row r="3206" s="2" customFormat="1" ht="24.95" customHeight="1" spans="1:19">
      <c r="A3206" s="15"/>
      <c r="B3206" s="55"/>
      <c r="C3206" s="56"/>
      <c r="D3206" s="68"/>
      <c r="E3206" s="69"/>
      <c r="F3206" s="69"/>
      <c r="G3206" s="65"/>
      <c r="H3206" s="65"/>
      <c r="I3206" s="70"/>
      <c r="J3206" s="71"/>
      <c r="K3206" s="71"/>
      <c r="L3206" s="72" t="str">
        <f>IFERROR(IF(G3206="","",VLOOKUP($G3206,[1]基础信息!$B:$C,2,FALSE)+SUMIF(G$8:G3206,G3206,J$8:J3206)-SUMIF(G$8:G3206,G3206,K$8:K3206)+SUMIFS([1]内部转账!$G:$G,[1]内部转账!$C:$C,"&lt;="&amp;$D3206,[1]内部转账!$E:$E,$G3206)-SUMIFS([1]内部转账!$G:$G,[1]内部转账!$C:$C,"&lt;="&amp;$D3206,[1]内部转账!$F:$F,$G3206)),"")</f>
        <v/>
      </c>
      <c r="M3206" s="64"/>
      <c r="N3206" s="69"/>
      <c r="O3206" s="64"/>
      <c r="P3206" s="64"/>
      <c r="Q3206" s="69"/>
      <c r="R3206" s="69"/>
      <c r="S3206" s="69"/>
    </row>
    <row r="3207" s="2" customFormat="1" ht="24.95" customHeight="1" spans="1:19">
      <c r="A3207" s="15"/>
      <c r="B3207" s="55"/>
      <c r="C3207" s="56"/>
      <c r="D3207" s="68"/>
      <c r="E3207" s="69"/>
      <c r="F3207" s="69"/>
      <c r="G3207" s="65"/>
      <c r="H3207" s="65"/>
      <c r="I3207" s="70"/>
      <c r="J3207" s="71"/>
      <c r="K3207" s="71"/>
      <c r="L3207" s="72" t="str">
        <f>IFERROR(IF(G3207="","",VLOOKUP($G3207,[1]基础信息!$B:$C,2,FALSE)+SUMIF(G$8:G3207,G3207,J$8:J3207)-SUMIF(G$8:G3207,G3207,K$8:K3207)+SUMIFS([1]内部转账!$G:$G,[1]内部转账!$C:$C,"&lt;="&amp;$D3207,[1]内部转账!$E:$E,$G3207)-SUMIFS([1]内部转账!$G:$G,[1]内部转账!$C:$C,"&lt;="&amp;$D3207,[1]内部转账!$F:$F,$G3207)),"")</f>
        <v/>
      </c>
      <c r="M3207" s="64"/>
      <c r="N3207" s="69"/>
      <c r="O3207" s="64"/>
      <c r="P3207" s="64"/>
      <c r="Q3207" s="69"/>
      <c r="R3207" s="69"/>
      <c r="S3207" s="69"/>
    </row>
    <row r="3208" s="2" customFormat="1" ht="24.95" customHeight="1" spans="1:19">
      <c r="A3208" s="15"/>
      <c r="B3208" s="55"/>
      <c r="C3208" s="56"/>
      <c r="D3208" s="68"/>
      <c r="E3208" s="69"/>
      <c r="F3208" s="69"/>
      <c r="G3208" s="65"/>
      <c r="H3208" s="65"/>
      <c r="I3208" s="70"/>
      <c r="J3208" s="71"/>
      <c r="K3208" s="71"/>
      <c r="L3208" s="72" t="str">
        <f>IFERROR(IF(G3208="","",VLOOKUP($G3208,[1]基础信息!$B:$C,2,FALSE)+SUMIF(G$8:G3208,G3208,J$8:J3208)-SUMIF(G$8:G3208,G3208,K$8:K3208)+SUMIFS([1]内部转账!$G:$G,[1]内部转账!$C:$C,"&lt;="&amp;$D3208,[1]内部转账!$E:$E,$G3208)-SUMIFS([1]内部转账!$G:$G,[1]内部转账!$C:$C,"&lt;="&amp;$D3208,[1]内部转账!$F:$F,$G3208)),"")</f>
        <v/>
      </c>
      <c r="M3208" s="64"/>
      <c r="N3208" s="69"/>
      <c r="O3208" s="64"/>
      <c r="P3208" s="64"/>
      <c r="Q3208" s="69"/>
      <c r="R3208" s="69"/>
      <c r="S3208" s="69"/>
    </row>
    <row r="3209" s="2" customFormat="1" ht="24.95" customHeight="1" spans="1:19">
      <c r="A3209" s="15"/>
      <c r="B3209" s="55"/>
      <c r="C3209" s="56"/>
      <c r="D3209" s="68"/>
      <c r="E3209" s="69"/>
      <c r="F3209" s="69"/>
      <c r="G3209" s="65"/>
      <c r="H3209" s="65"/>
      <c r="I3209" s="70"/>
      <c r="J3209" s="71"/>
      <c r="K3209" s="71"/>
      <c r="L3209" s="72" t="str">
        <f>IFERROR(IF(G3209="","",VLOOKUP($G3209,[1]基础信息!$B:$C,2,FALSE)+SUMIF(G$8:G3209,G3209,J$8:J3209)-SUMIF(G$8:G3209,G3209,K$8:K3209)+SUMIFS([1]内部转账!$G:$G,[1]内部转账!$C:$C,"&lt;="&amp;$D3209,[1]内部转账!$E:$E,$G3209)-SUMIFS([1]内部转账!$G:$G,[1]内部转账!$C:$C,"&lt;="&amp;$D3209,[1]内部转账!$F:$F,$G3209)),"")</f>
        <v/>
      </c>
      <c r="M3209" s="64"/>
      <c r="N3209" s="69"/>
      <c r="O3209" s="64"/>
      <c r="P3209" s="64"/>
      <c r="Q3209" s="69"/>
      <c r="R3209" s="69"/>
      <c r="S3209" s="69"/>
    </row>
    <row r="3210" s="2" customFormat="1" ht="24.95" customHeight="1" spans="1:19">
      <c r="A3210" s="15"/>
      <c r="B3210" s="55"/>
      <c r="C3210" s="56"/>
      <c r="D3210" s="68"/>
      <c r="E3210" s="69"/>
      <c r="F3210" s="69"/>
      <c r="G3210" s="65"/>
      <c r="H3210" s="65"/>
      <c r="I3210" s="70"/>
      <c r="J3210" s="71"/>
      <c r="K3210" s="71"/>
      <c r="L3210" s="72" t="str">
        <f>IFERROR(IF(G3210="","",VLOOKUP($G3210,[1]基础信息!$B:$C,2,FALSE)+SUMIF(G$8:G3210,G3210,J$8:J3210)-SUMIF(G$8:G3210,G3210,K$8:K3210)+SUMIFS([1]内部转账!$G:$G,[1]内部转账!$C:$C,"&lt;="&amp;$D3210,[1]内部转账!$E:$E,$G3210)-SUMIFS([1]内部转账!$G:$G,[1]内部转账!$C:$C,"&lt;="&amp;$D3210,[1]内部转账!$F:$F,$G3210)),"")</f>
        <v/>
      </c>
      <c r="M3210" s="64"/>
      <c r="N3210" s="69"/>
      <c r="O3210" s="64"/>
      <c r="P3210" s="64"/>
      <c r="Q3210" s="69"/>
      <c r="R3210" s="69"/>
      <c r="S3210" s="69"/>
    </row>
    <row r="3211" s="2" customFormat="1" ht="24.95" customHeight="1" spans="1:19">
      <c r="A3211" s="15"/>
      <c r="B3211" s="55"/>
      <c r="C3211" s="56"/>
      <c r="D3211" s="68"/>
      <c r="E3211" s="69"/>
      <c r="F3211" s="69"/>
      <c r="G3211" s="65"/>
      <c r="H3211" s="65"/>
      <c r="I3211" s="70"/>
      <c r="J3211" s="71"/>
      <c r="K3211" s="71"/>
      <c r="L3211" s="72" t="str">
        <f>IFERROR(IF(G3211="","",VLOOKUP($G3211,[1]基础信息!$B:$C,2,FALSE)+SUMIF(G$8:G3211,G3211,J$8:J3211)-SUMIF(G$8:G3211,G3211,K$8:K3211)+SUMIFS([1]内部转账!$G:$G,[1]内部转账!$C:$C,"&lt;="&amp;$D3211,[1]内部转账!$E:$E,$G3211)-SUMIFS([1]内部转账!$G:$G,[1]内部转账!$C:$C,"&lt;="&amp;$D3211,[1]内部转账!$F:$F,$G3211)),"")</f>
        <v/>
      </c>
      <c r="M3211" s="64"/>
      <c r="N3211" s="69"/>
      <c r="O3211" s="64"/>
      <c r="P3211" s="64"/>
      <c r="Q3211" s="69"/>
      <c r="R3211" s="69"/>
      <c r="S3211" s="69"/>
    </row>
    <row r="3212" s="2" customFormat="1" ht="24.95" customHeight="1" spans="1:19">
      <c r="A3212" s="15"/>
      <c r="B3212" s="55"/>
      <c r="C3212" s="56"/>
      <c r="D3212" s="68"/>
      <c r="E3212" s="69"/>
      <c r="F3212" s="69"/>
      <c r="G3212" s="65"/>
      <c r="H3212" s="65"/>
      <c r="I3212" s="70"/>
      <c r="J3212" s="71"/>
      <c r="K3212" s="71"/>
      <c r="L3212" s="72" t="str">
        <f>IFERROR(IF(G3212="","",VLOOKUP($G3212,[1]基础信息!$B:$C,2,FALSE)+SUMIF(G$8:G3212,G3212,J$8:J3212)-SUMIF(G$8:G3212,G3212,K$8:K3212)+SUMIFS([1]内部转账!$G:$G,[1]内部转账!$C:$C,"&lt;="&amp;$D3212,[1]内部转账!$E:$E,$G3212)-SUMIFS([1]内部转账!$G:$G,[1]内部转账!$C:$C,"&lt;="&amp;$D3212,[1]内部转账!$F:$F,$G3212)),"")</f>
        <v/>
      </c>
      <c r="M3212" s="64"/>
      <c r="N3212" s="69"/>
      <c r="O3212" s="64"/>
      <c r="P3212" s="64"/>
      <c r="Q3212" s="69"/>
      <c r="R3212" s="69"/>
      <c r="S3212" s="69"/>
    </row>
    <row r="3213" s="2" customFormat="1" ht="24.95" customHeight="1" spans="1:19">
      <c r="A3213" s="15"/>
      <c r="B3213" s="55"/>
      <c r="C3213" s="56"/>
      <c r="D3213" s="68"/>
      <c r="E3213" s="69"/>
      <c r="F3213" s="69"/>
      <c r="G3213" s="65"/>
      <c r="H3213" s="65"/>
      <c r="I3213" s="70"/>
      <c r="J3213" s="71"/>
      <c r="K3213" s="71"/>
      <c r="L3213" s="72" t="str">
        <f>IFERROR(IF(G3213="","",VLOOKUP($G3213,[1]基础信息!$B:$C,2,FALSE)+SUMIF(G$8:G3213,G3213,J$8:J3213)-SUMIF(G$8:G3213,G3213,K$8:K3213)+SUMIFS([1]内部转账!$G:$G,[1]内部转账!$C:$C,"&lt;="&amp;$D3213,[1]内部转账!$E:$E,$G3213)-SUMIFS([1]内部转账!$G:$G,[1]内部转账!$C:$C,"&lt;="&amp;$D3213,[1]内部转账!$F:$F,$G3213)),"")</f>
        <v/>
      </c>
      <c r="M3213" s="64"/>
      <c r="N3213" s="69"/>
      <c r="O3213" s="64"/>
      <c r="P3213" s="64"/>
      <c r="Q3213" s="69"/>
      <c r="R3213" s="69"/>
      <c r="S3213" s="69"/>
    </row>
    <row r="3214" s="2" customFormat="1" ht="24.95" customHeight="1" spans="1:19">
      <c r="A3214" s="15"/>
      <c r="B3214" s="55"/>
      <c r="C3214" s="56"/>
      <c r="D3214" s="68"/>
      <c r="E3214" s="69"/>
      <c r="F3214" s="69"/>
      <c r="G3214" s="65"/>
      <c r="H3214" s="65"/>
      <c r="I3214" s="70"/>
      <c r="J3214" s="71"/>
      <c r="K3214" s="71"/>
      <c r="L3214" s="72" t="str">
        <f>IFERROR(IF(G3214="","",VLOOKUP($G3214,[1]基础信息!$B:$C,2,FALSE)+SUMIF(G$8:G3214,G3214,J$8:J3214)-SUMIF(G$8:G3214,G3214,K$8:K3214)+SUMIFS([1]内部转账!$G:$G,[1]内部转账!$C:$C,"&lt;="&amp;$D3214,[1]内部转账!$E:$E,$G3214)-SUMIFS([1]内部转账!$G:$G,[1]内部转账!$C:$C,"&lt;="&amp;$D3214,[1]内部转账!$F:$F,$G3214)),"")</f>
        <v/>
      </c>
      <c r="M3214" s="64"/>
      <c r="N3214" s="69"/>
      <c r="O3214" s="64"/>
      <c r="P3214" s="64"/>
      <c r="Q3214" s="69"/>
      <c r="R3214" s="69"/>
      <c r="S3214" s="69"/>
    </row>
    <row r="3215" s="2" customFormat="1" ht="24.95" customHeight="1" spans="1:19">
      <c r="A3215" s="15"/>
      <c r="B3215" s="55"/>
      <c r="C3215" s="56"/>
      <c r="D3215" s="68"/>
      <c r="E3215" s="69"/>
      <c r="F3215" s="69"/>
      <c r="G3215" s="65"/>
      <c r="H3215" s="65"/>
      <c r="I3215" s="70"/>
      <c r="J3215" s="71"/>
      <c r="K3215" s="71"/>
      <c r="L3215" s="72" t="str">
        <f>IFERROR(IF(G3215="","",VLOOKUP($G3215,[1]基础信息!$B:$C,2,FALSE)+SUMIF(G$8:G3215,G3215,J$8:J3215)-SUMIF(G$8:G3215,G3215,K$8:K3215)+SUMIFS([1]内部转账!$G:$G,[1]内部转账!$C:$C,"&lt;="&amp;$D3215,[1]内部转账!$E:$E,$G3215)-SUMIFS([1]内部转账!$G:$G,[1]内部转账!$C:$C,"&lt;="&amp;$D3215,[1]内部转账!$F:$F,$G3215)),"")</f>
        <v/>
      </c>
      <c r="M3215" s="64"/>
      <c r="N3215" s="69"/>
      <c r="O3215" s="64"/>
      <c r="P3215" s="64"/>
      <c r="Q3215" s="69"/>
      <c r="R3215" s="69"/>
      <c r="S3215" s="69"/>
    </row>
    <row r="3216" s="2" customFormat="1" ht="24.95" customHeight="1" spans="1:19">
      <c r="A3216" s="15"/>
      <c r="B3216" s="55"/>
      <c r="C3216" s="56"/>
      <c r="D3216" s="68"/>
      <c r="E3216" s="69"/>
      <c r="F3216" s="69"/>
      <c r="G3216" s="65"/>
      <c r="H3216" s="65"/>
      <c r="I3216" s="70"/>
      <c r="J3216" s="71"/>
      <c r="K3216" s="71"/>
      <c r="L3216" s="72" t="str">
        <f>IFERROR(IF(G3216="","",VLOOKUP($G3216,[1]基础信息!$B:$C,2,FALSE)+SUMIF(G$8:G3216,G3216,J$8:J3216)-SUMIF(G$8:G3216,G3216,K$8:K3216)+SUMIFS([1]内部转账!$G:$G,[1]内部转账!$C:$C,"&lt;="&amp;$D3216,[1]内部转账!$E:$E,$G3216)-SUMIFS([1]内部转账!$G:$G,[1]内部转账!$C:$C,"&lt;="&amp;$D3216,[1]内部转账!$F:$F,$G3216)),"")</f>
        <v/>
      </c>
      <c r="M3216" s="64"/>
      <c r="N3216" s="69"/>
      <c r="O3216" s="64"/>
      <c r="P3216" s="64"/>
      <c r="Q3216" s="69"/>
      <c r="R3216" s="69"/>
      <c r="S3216" s="69"/>
    </row>
    <row r="3217" s="2" customFormat="1" ht="24.95" customHeight="1" spans="1:19">
      <c r="A3217" s="15"/>
      <c r="B3217" s="55"/>
      <c r="C3217" s="56"/>
      <c r="D3217" s="68"/>
      <c r="E3217" s="69"/>
      <c r="F3217" s="69"/>
      <c r="G3217" s="65"/>
      <c r="H3217" s="65"/>
      <c r="I3217" s="70"/>
      <c r="J3217" s="71"/>
      <c r="K3217" s="71"/>
      <c r="L3217" s="72" t="str">
        <f>IFERROR(IF(G3217="","",VLOOKUP($G3217,[1]基础信息!$B:$C,2,FALSE)+SUMIF(G$8:G3217,G3217,J$8:J3217)-SUMIF(G$8:G3217,G3217,K$8:K3217)+SUMIFS([1]内部转账!$G:$G,[1]内部转账!$C:$C,"&lt;="&amp;$D3217,[1]内部转账!$E:$E,$G3217)-SUMIFS([1]内部转账!$G:$G,[1]内部转账!$C:$C,"&lt;="&amp;$D3217,[1]内部转账!$F:$F,$G3217)),"")</f>
        <v/>
      </c>
      <c r="M3217" s="64"/>
      <c r="N3217" s="69"/>
      <c r="O3217" s="64"/>
      <c r="P3217" s="64"/>
      <c r="Q3217" s="69"/>
      <c r="R3217" s="69"/>
      <c r="S3217" s="69"/>
    </row>
    <row r="3218" s="2" customFormat="1" ht="24.95" customHeight="1" spans="1:19">
      <c r="A3218" s="15"/>
      <c r="B3218" s="55"/>
      <c r="C3218" s="56"/>
      <c r="D3218" s="68"/>
      <c r="E3218" s="69"/>
      <c r="F3218" s="69"/>
      <c r="G3218" s="65"/>
      <c r="H3218" s="65"/>
      <c r="I3218" s="70"/>
      <c r="J3218" s="71"/>
      <c r="K3218" s="71"/>
      <c r="L3218" s="72" t="str">
        <f>IFERROR(IF(G3218="","",VLOOKUP($G3218,[1]基础信息!$B:$C,2,FALSE)+SUMIF(G$8:G3218,G3218,J$8:J3218)-SUMIF(G$8:G3218,G3218,K$8:K3218)+SUMIFS([1]内部转账!$G:$G,[1]内部转账!$C:$C,"&lt;="&amp;$D3218,[1]内部转账!$E:$E,$G3218)-SUMIFS([1]内部转账!$G:$G,[1]内部转账!$C:$C,"&lt;="&amp;$D3218,[1]内部转账!$F:$F,$G3218)),"")</f>
        <v/>
      </c>
      <c r="M3218" s="64"/>
      <c r="N3218" s="69"/>
      <c r="O3218" s="64"/>
      <c r="P3218" s="64"/>
      <c r="Q3218" s="69"/>
      <c r="R3218" s="69"/>
      <c r="S3218" s="69"/>
    </row>
    <row r="3219" s="2" customFormat="1" ht="24.95" customHeight="1" spans="1:19">
      <c r="A3219" s="15"/>
      <c r="B3219" s="55"/>
      <c r="C3219" s="56"/>
      <c r="D3219" s="68"/>
      <c r="E3219" s="69"/>
      <c r="F3219" s="69"/>
      <c r="G3219" s="65"/>
      <c r="H3219" s="65"/>
      <c r="I3219" s="70"/>
      <c r="J3219" s="71"/>
      <c r="K3219" s="71"/>
      <c r="L3219" s="72" t="str">
        <f>IFERROR(IF(G3219="","",VLOOKUP($G3219,[1]基础信息!$B:$C,2,FALSE)+SUMIF(G$8:G3219,G3219,J$8:J3219)-SUMIF(G$8:G3219,G3219,K$8:K3219)+SUMIFS([1]内部转账!$G:$G,[1]内部转账!$C:$C,"&lt;="&amp;$D3219,[1]内部转账!$E:$E,$G3219)-SUMIFS([1]内部转账!$G:$G,[1]内部转账!$C:$C,"&lt;="&amp;$D3219,[1]内部转账!$F:$F,$G3219)),"")</f>
        <v/>
      </c>
      <c r="M3219" s="64"/>
      <c r="N3219" s="69"/>
      <c r="O3219" s="64"/>
      <c r="P3219" s="64"/>
      <c r="Q3219" s="69"/>
      <c r="R3219" s="69"/>
      <c r="S3219" s="69"/>
    </row>
    <row r="3220" s="2" customFormat="1" ht="24.95" customHeight="1" spans="1:19">
      <c r="A3220" s="15"/>
      <c r="B3220" s="55"/>
      <c r="C3220" s="56"/>
      <c r="D3220" s="68"/>
      <c r="E3220" s="69"/>
      <c r="F3220" s="69"/>
      <c r="G3220" s="65"/>
      <c r="H3220" s="65"/>
      <c r="I3220" s="70"/>
      <c r="J3220" s="71"/>
      <c r="K3220" s="71"/>
      <c r="L3220" s="72" t="str">
        <f>IFERROR(IF(G3220="","",VLOOKUP($G3220,[1]基础信息!$B:$C,2,FALSE)+SUMIF(G$8:G3220,G3220,J$8:J3220)-SUMIF(G$8:G3220,G3220,K$8:K3220)+SUMIFS([1]内部转账!$G:$G,[1]内部转账!$C:$C,"&lt;="&amp;$D3220,[1]内部转账!$E:$E,$G3220)-SUMIFS([1]内部转账!$G:$G,[1]内部转账!$C:$C,"&lt;="&amp;$D3220,[1]内部转账!$F:$F,$G3220)),"")</f>
        <v/>
      </c>
      <c r="M3220" s="64"/>
      <c r="N3220" s="69"/>
      <c r="O3220" s="64"/>
      <c r="P3220" s="64"/>
      <c r="Q3220" s="69"/>
      <c r="R3220" s="69"/>
      <c r="S3220" s="69"/>
    </row>
    <row r="3221" s="2" customFormat="1" ht="24.95" customHeight="1" spans="1:19">
      <c r="A3221" s="15"/>
      <c r="B3221" s="55"/>
      <c r="C3221" s="56"/>
      <c r="D3221" s="68"/>
      <c r="E3221" s="69"/>
      <c r="F3221" s="69"/>
      <c r="G3221" s="65"/>
      <c r="H3221" s="65"/>
      <c r="I3221" s="70"/>
      <c r="J3221" s="71"/>
      <c r="K3221" s="71"/>
      <c r="L3221" s="72" t="str">
        <f>IFERROR(IF(G3221="","",VLOOKUP($G3221,[1]基础信息!$B:$C,2,FALSE)+SUMIF(G$8:G3221,G3221,J$8:J3221)-SUMIF(G$8:G3221,G3221,K$8:K3221)+SUMIFS([1]内部转账!$G:$G,[1]内部转账!$C:$C,"&lt;="&amp;$D3221,[1]内部转账!$E:$E,$G3221)-SUMIFS([1]内部转账!$G:$G,[1]内部转账!$C:$C,"&lt;="&amp;$D3221,[1]内部转账!$F:$F,$G3221)),"")</f>
        <v/>
      </c>
      <c r="M3221" s="64"/>
      <c r="N3221" s="69"/>
      <c r="O3221" s="64"/>
      <c r="P3221" s="64"/>
      <c r="Q3221" s="69"/>
      <c r="R3221" s="69"/>
      <c r="S3221" s="69"/>
    </row>
    <row r="3222" s="2" customFormat="1" ht="24.95" customHeight="1" spans="1:19">
      <c r="A3222" s="15"/>
      <c r="B3222" s="55"/>
      <c r="C3222" s="56"/>
      <c r="D3222" s="68"/>
      <c r="E3222" s="69"/>
      <c r="F3222" s="69"/>
      <c r="G3222" s="65"/>
      <c r="H3222" s="65"/>
      <c r="I3222" s="70"/>
      <c r="J3222" s="71"/>
      <c r="K3222" s="71"/>
      <c r="L3222" s="72" t="str">
        <f>IFERROR(IF(G3222="","",VLOOKUP($G3222,[1]基础信息!$B:$C,2,FALSE)+SUMIF(G$8:G3222,G3222,J$8:J3222)-SUMIF(G$8:G3222,G3222,K$8:K3222)+SUMIFS([1]内部转账!$G:$G,[1]内部转账!$C:$C,"&lt;="&amp;$D3222,[1]内部转账!$E:$E,$G3222)-SUMIFS([1]内部转账!$G:$G,[1]内部转账!$C:$C,"&lt;="&amp;$D3222,[1]内部转账!$F:$F,$G3222)),"")</f>
        <v/>
      </c>
      <c r="M3222" s="64"/>
      <c r="N3222" s="69"/>
      <c r="O3222" s="64"/>
      <c r="P3222" s="64"/>
      <c r="Q3222" s="69"/>
      <c r="R3222" s="69"/>
      <c r="S3222" s="69"/>
    </row>
    <row r="3223" s="2" customFormat="1" ht="24.95" customHeight="1" spans="1:19">
      <c r="A3223" s="15"/>
      <c r="B3223" s="55"/>
      <c r="C3223" s="56"/>
      <c r="D3223" s="68"/>
      <c r="E3223" s="69"/>
      <c r="F3223" s="69"/>
      <c r="G3223" s="65"/>
      <c r="H3223" s="65"/>
      <c r="I3223" s="70"/>
      <c r="J3223" s="71"/>
      <c r="K3223" s="71"/>
      <c r="L3223" s="72" t="str">
        <f>IFERROR(IF(G3223="","",VLOOKUP($G3223,[1]基础信息!$B:$C,2,FALSE)+SUMIF(G$8:G3223,G3223,J$8:J3223)-SUMIF(G$8:G3223,G3223,K$8:K3223)+SUMIFS([1]内部转账!$G:$G,[1]内部转账!$C:$C,"&lt;="&amp;$D3223,[1]内部转账!$E:$E,$G3223)-SUMIFS([1]内部转账!$G:$G,[1]内部转账!$C:$C,"&lt;="&amp;$D3223,[1]内部转账!$F:$F,$G3223)),"")</f>
        <v/>
      </c>
      <c r="M3223" s="64"/>
      <c r="N3223" s="69"/>
      <c r="O3223" s="64"/>
      <c r="P3223" s="64"/>
      <c r="Q3223" s="69"/>
      <c r="R3223" s="69"/>
      <c r="S3223" s="69"/>
    </row>
    <row r="3224" s="2" customFormat="1" ht="24.95" customHeight="1" spans="1:19">
      <c r="A3224" s="15"/>
      <c r="B3224" s="55"/>
      <c r="C3224" s="56"/>
      <c r="D3224" s="68"/>
      <c r="E3224" s="69"/>
      <c r="F3224" s="69"/>
      <c r="G3224" s="65"/>
      <c r="H3224" s="65"/>
      <c r="I3224" s="70"/>
      <c r="J3224" s="71"/>
      <c r="K3224" s="71"/>
      <c r="L3224" s="72" t="str">
        <f>IFERROR(IF(G3224="","",VLOOKUP($G3224,[1]基础信息!$B:$C,2,FALSE)+SUMIF(G$8:G3224,G3224,J$8:J3224)-SUMIF(G$8:G3224,G3224,K$8:K3224)+SUMIFS([1]内部转账!$G:$G,[1]内部转账!$C:$C,"&lt;="&amp;$D3224,[1]内部转账!$E:$E,$G3224)-SUMIFS([1]内部转账!$G:$G,[1]内部转账!$C:$C,"&lt;="&amp;$D3224,[1]内部转账!$F:$F,$G3224)),"")</f>
        <v/>
      </c>
      <c r="M3224" s="64"/>
      <c r="N3224" s="69"/>
      <c r="O3224" s="64"/>
      <c r="P3224" s="64"/>
      <c r="Q3224" s="69"/>
      <c r="R3224" s="69"/>
      <c r="S3224" s="69"/>
    </row>
    <row r="3225" s="2" customFormat="1" ht="24.95" customHeight="1" spans="1:19">
      <c r="A3225" s="15"/>
      <c r="B3225" s="55"/>
      <c r="C3225" s="56"/>
      <c r="D3225" s="68"/>
      <c r="E3225" s="69"/>
      <c r="F3225" s="69"/>
      <c r="G3225" s="65"/>
      <c r="H3225" s="65"/>
      <c r="I3225" s="70"/>
      <c r="J3225" s="71"/>
      <c r="K3225" s="71"/>
      <c r="L3225" s="72" t="str">
        <f>IFERROR(IF(G3225="","",VLOOKUP($G3225,[1]基础信息!$B:$C,2,FALSE)+SUMIF(G$8:G3225,G3225,J$8:J3225)-SUMIF(G$8:G3225,G3225,K$8:K3225)+SUMIFS([1]内部转账!$G:$G,[1]内部转账!$C:$C,"&lt;="&amp;$D3225,[1]内部转账!$E:$E,$G3225)-SUMIFS([1]内部转账!$G:$G,[1]内部转账!$C:$C,"&lt;="&amp;$D3225,[1]内部转账!$F:$F,$G3225)),"")</f>
        <v/>
      </c>
      <c r="M3225" s="64"/>
      <c r="N3225" s="69"/>
      <c r="O3225" s="64"/>
      <c r="P3225" s="64"/>
      <c r="Q3225" s="69"/>
      <c r="R3225" s="69"/>
      <c r="S3225" s="69"/>
    </row>
    <row r="3226" s="2" customFormat="1" ht="24.95" customHeight="1" spans="1:19">
      <c r="A3226" s="15"/>
      <c r="B3226" s="55"/>
      <c r="C3226" s="56"/>
      <c r="D3226" s="68"/>
      <c r="E3226" s="69"/>
      <c r="F3226" s="69"/>
      <c r="G3226" s="65"/>
      <c r="H3226" s="65"/>
      <c r="I3226" s="70"/>
      <c r="J3226" s="71"/>
      <c r="K3226" s="71"/>
      <c r="L3226" s="72" t="str">
        <f>IFERROR(IF(G3226="","",VLOOKUP($G3226,[1]基础信息!$B:$C,2,FALSE)+SUMIF(G$8:G3226,G3226,J$8:J3226)-SUMIF(G$8:G3226,G3226,K$8:K3226)+SUMIFS([1]内部转账!$G:$G,[1]内部转账!$C:$C,"&lt;="&amp;$D3226,[1]内部转账!$E:$E,$G3226)-SUMIFS([1]内部转账!$G:$G,[1]内部转账!$C:$C,"&lt;="&amp;$D3226,[1]内部转账!$F:$F,$G3226)),"")</f>
        <v/>
      </c>
      <c r="M3226" s="64"/>
      <c r="N3226" s="69"/>
      <c r="O3226" s="64"/>
      <c r="P3226" s="64"/>
      <c r="Q3226" s="69"/>
      <c r="R3226" s="69"/>
      <c r="S3226" s="69"/>
    </row>
    <row r="3227" s="2" customFormat="1" ht="24.95" customHeight="1" spans="1:19">
      <c r="A3227" s="15"/>
      <c r="B3227" s="55"/>
      <c r="C3227" s="56"/>
      <c r="D3227" s="68"/>
      <c r="E3227" s="69"/>
      <c r="F3227" s="69"/>
      <c r="G3227" s="65"/>
      <c r="H3227" s="65"/>
      <c r="I3227" s="70"/>
      <c r="J3227" s="71"/>
      <c r="K3227" s="71"/>
      <c r="L3227" s="72" t="str">
        <f>IFERROR(IF(G3227="","",VLOOKUP($G3227,[1]基础信息!$B:$C,2,FALSE)+SUMIF(G$8:G3227,G3227,J$8:J3227)-SUMIF(G$8:G3227,G3227,K$8:K3227)+SUMIFS([1]内部转账!$G:$G,[1]内部转账!$C:$C,"&lt;="&amp;$D3227,[1]内部转账!$E:$E,$G3227)-SUMIFS([1]内部转账!$G:$G,[1]内部转账!$C:$C,"&lt;="&amp;$D3227,[1]内部转账!$F:$F,$G3227)),"")</f>
        <v/>
      </c>
      <c r="M3227" s="64"/>
      <c r="N3227" s="69"/>
      <c r="O3227" s="64"/>
      <c r="P3227" s="64"/>
      <c r="Q3227" s="69"/>
      <c r="R3227" s="69"/>
      <c r="S3227" s="69"/>
    </row>
    <row r="3228" s="2" customFormat="1" ht="24.95" customHeight="1" spans="1:19">
      <c r="A3228" s="15"/>
      <c r="B3228" s="55"/>
      <c r="C3228" s="56"/>
      <c r="D3228" s="68"/>
      <c r="E3228" s="69"/>
      <c r="F3228" s="69"/>
      <c r="G3228" s="65"/>
      <c r="H3228" s="65"/>
      <c r="I3228" s="70"/>
      <c r="J3228" s="71"/>
      <c r="K3228" s="71"/>
      <c r="L3228" s="72" t="str">
        <f>IFERROR(IF(G3228="","",VLOOKUP($G3228,[1]基础信息!$B:$C,2,FALSE)+SUMIF(G$8:G3228,G3228,J$8:J3228)-SUMIF(G$8:G3228,G3228,K$8:K3228)+SUMIFS([1]内部转账!$G:$G,[1]内部转账!$C:$C,"&lt;="&amp;$D3228,[1]内部转账!$E:$E,$G3228)-SUMIFS([1]内部转账!$G:$G,[1]内部转账!$C:$C,"&lt;="&amp;$D3228,[1]内部转账!$F:$F,$G3228)),"")</f>
        <v/>
      </c>
      <c r="M3228" s="64"/>
      <c r="N3228" s="69"/>
      <c r="O3228" s="64"/>
      <c r="P3228" s="64"/>
      <c r="Q3228" s="69"/>
      <c r="R3228" s="69"/>
      <c r="S3228" s="69"/>
    </row>
    <row r="3229" s="2" customFormat="1" ht="24.95" customHeight="1" spans="1:19">
      <c r="A3229" s="15"/>
      <c r="B3229" s="55"/>
      <c r="C3229" s="56"/>
      <c r="D3229" s="68"/>
      <c r="E3229" s="69"/>
      <c r="F3229" s="69"/>
      <c r="G3229" s="65"/>
      <c r="H3229" s="65"/>
      <c r="I3229" s="70"/>
      <c r="J3229" s="71"/>
      <c r="K3229" s="71"/>
      <c r="L3229" s="72" t="str">
        <f>IFERROR(IF(G3229="","",VLOOKUP($G3229,[1]基础信息!$B:$C,2,FALSE)+SUMIF(G$8:G3229,G3229,J$8:J3229)-SUMIF(G$8:G3229,G3229,K$8:K3229)+SUMIFS([1]内部转账!$G:$G,[1]内部转账!$C:$C,"&lt;="&amp;$D3229,[1]内部转账!$E:$E,$G3229)-SUMIFS([1]内部转账!$G:$G,[1]内部转账!$C:$C,"&lt;="&amp;$D3229,[1]内部转账!$F:$F,$G3229)),"")</f>
        <v/>
      </c>
      <c r="M3229" s="64"/>
      <c r="N3229" s="69"/>
      <c r="O3229" s="64"/>
      <c r="P3229" s="64"/>
      <c r="Q3229" s="69"/>
      <c r="R3229" s="69"/>
      <c r="S3229" s="69"/>
    </row>
    <row r="3230" s="2" customFormat="1" ht="24.95" customHeight="1" spans="1:19">
      <c r="A3230" s="15"/>
      <c r="B3230" s="55"/>
      <c r="C3230" s="56"/>
      <c r="D3230" s="68"/>
      <c r="E3230" s="69"/>
      <c r="F3230" s="69"/>
      <c r="G3230" s="65"/>
      <c r="H3230" s="65"/>
      <c r="I3230" s="70"/>
      <c r="J3230" s="71"/>
      <c r="K3230" s="71"/>
      <c r="L3230" s="72" t="str">
        <f>IFERROR(IF(G3230="","",VLOOKUP($G3230,[1]基础信息!$B:$C,2,FALSE)+SUMIF(G$8:G3230,G3230,J$8:J3230)-SUMIF(G$8:G3230,G3230,K$8:K3230)+SUMIFS([1]内部转账!$G:$G,[1]内部转账!$C:$C,"&lt;="&amp;$D3230,[1]内部转账!$E:$E,$G3230)-SUMIFS([1]内部转账!$G:$G,[1]内部转账!$C:$C,"&lt;="&amp;$D3230,[1]内部转账!$F:$F,$G3230)),"")</f>
        <v/>
      </c>
      <c r="M3230" s="64"/>
      <c r="N3230" s="69"/>
      <c r="O3230" s="64"/>
      <c r="P3230" s="64"/>
      <c r="Q3230" s="69"/>
      <c r="R3230" s="69"/>
      <c r="S3230" s="69"/>
    </row>
    <row r="3231" s="2" customFormat="1" ht="24.95" customHeight="1" spans="1:19">
      <c r="A3231" s="15"/>
      <c r="B3231" s="55"/>
      <c r="C3231" s="56"/>
      <c r="D3231" s="68"/>
      <c r="E3231" s="69"/>
      <c r="F3231" s="69"/>
      <c r="G3231" s="65"/>
      <c r="H3231" s="65"/>
      <c r="I3231" s="70"/>
      <c r="J3231" s="71"/>
      <c r="K3231" s="71"/>
      <c r="L3231" s="72" t="str">
        <f>IFERROR(IF(G3231="","",VLOOKUP($G3231,[1]基础信息!$B:$C,2,FALSE)+SUMIF(G$8:G3231,G3231,J$8:J3231)-SUMIF(G$8:G3231,G3231,K$8:K3231)+SUMIFS([1]内部转账!$G:$G,[1]内部转账!$C:$C,"&lt;="&amp;$D3231,[1]内部转账!$E:$E,$G3231)-SUMIFS([1]内部转账!$G:$G,[1]内部转账!$C:$C,"&lt;="&amp;$D3231,[1]内部转账!$F:$F,$G3231)),"")</f>
        <v/>
      </c>
      <c r="M3231" s="64"/>
      <c r="N3231" s="69"/>
      <c r="O3231" s="64"/>
      <c r="P3231" s="64"/>
      <c r="Q3231" s="69"/>
      <c r="R3231" s="69"/>
      <c r="S3231" s="69"/>
    </row>
    <row r="3232" s="2" customFormat="1" ht="24.95" customHeight="1" spans="1:19">
      <c r="A3232" s="15"/>
      <c r="B3232" s="55"/>
      <c r="C3232" s="56"/>
      <c r="D3232" s="68"/>
      <c r="E3232" s="69"/>
      <c r="F3232" s="69"/>
      <c r="G3232" s="65"/>
      <c r="H3232" s="65"/>
      <c r="I3232" s="70"/>
      <c r="J3232" s="71"/>
      <c r="K3232" s="71"/>
      <c r="L3232" s="72" t="str">
        <f>IFERROR(IF(G3232="","",VLOOKUP($G3232,[1]基础信息!$B:$C,2,FALSE)+SUMIF(G$8:G3232,G3232,J$8:J3232)-SUMIF(G$8:G3232,G3232,K$8:K3232)+SUMIFS([1]内部转账!$G:$G,[1]内部转账!$C:$C,"&lt;="&amp;$D3232,[1]内部转账!$E:$E,$G3232)-SUMIFS([1]内部转账!$G:$G,[1]内部转账!$C:$C,"&lt;="&amp;$D3232,[1]内部转账!$F:$F,$G3232)),"")</f>
        <v/>
      </c>
      <c r="M3232" s="64"/>
      <c r="N3232" s="69"/>
      <c r="O3232" s="64"/>
      <c r="P3232" s="64"/>
      <c r="Q3232" s="69"/>
      <c r="R3232" s="69"/>
      <c r="S3232" s="69"/>
    </row>
    <row r="3233" s="2" customFormat="1" ht="24.95" customHeight="1" spans="1:19">
      <c r="A3233" s="15"/>
      <c r="B3233" s="55"/>
      <c r="C3233" s="56"/>
      <c r="D3233" s="68"/>
      <c r="E3233" s="69"/>
      <c r="F3233" s="69"/>
      <c r="G3233" s="65"/>
      <c r="H3233" s="65"/>
      <c r="I3233" s="70"/>
      <c r="J3233" s="71"/>
      <c r="K3233" s="71"/>
      <c r="L3233" s="72" t="str">
        <f>IFERROR(IF(G3233="","",VLOOKUP($G3233,[1]基础信息!$B:$C,2,FALSE)+SUMIF(G$8:G3233,G3233,J$8:J3233)-SUMIF(G$8:G3233,G3233,K$8:K3233)+SUMIFS([1]内部转账!$G:$G,[1]内部转账!$C:$C,"&lt;="&amp;$D3233,[1]内部转账!$E:$E,$G3233)-SUMIFS([1]内部转账!$G:$G,[1]内部转账!$C:$C,"&lt;="&amp;$D3233,[1]内部转账!$F:$F,$G3233)),"")</f>
        <v/>
      </c>
      <c r="M3233" s="64"/>
      <c r="N3233" s="69"/>
      <c r="O3233" s="64"/>
      <c r="P3233" s="64"/>
      <c r="Q3233" s="69"/>
      <c r="R3233" s="69"/>
      <c r="S3233" s="69"/>
    </row>
    <row r="3234" s="2" customFormat="1" ht="24.95" customHeight="1" spans="1:19">
      <c r="A3234" s="15"/>
      <c r="B3234" s="55"/>
      <c r="C3234" s="56"/>
      <c r="D3234" s="68"/>
      <c r="E3234" s="69"/>
      <c r="F3234" s="69"/>
      <c r="G3234" s="65"/>
      <c r="H3234" s="65"/>
      <c r="I3234" s="70"/>
      <c r="J3234" s="71"/>
      <c r="K3234" s="71"/>
      <c r="L3234" s="72" t="str">
        <f>IFERROR(IF(G3234="","",VLOOKUP($G3234,[1]基础信息!$B:$C,2,FALSE)+SUMIF(G$8:G3234,G3234,J$8:J3234)-SUMIF(G$8:G3234,G3234,K$8:K3234)+SUMIFS([1]内部转账!$G:$G,[1]内部转账!$C:$C,"&lt;="&amp;$D3234,[1]内部转账!$E:$E,$G3234)-SUMIFS([1]内部转账!$G:$G,[1]内部转账!$C:$C,"&lt;="&amp;$D3234,[1]内部转账!$F:$F,$G3234)),"")</f>
        <v/>
      </c>
      <c r="M3234" s="64"/>
      <c r="N3234" s="69"/>
      <c r="O3234" s="64"/>
      <c r="P3234" s="64"/>
      <c r="Q3234" s="69"/>
      <c r="R3234" s="69"/>
      <c r="S3234" s="69"/>
    </row>
    <row r="3235" s="2" customFormat="1" ht="24.95" customHeight="1" spans="1:19">
      <c r="A3235" s="15"/>
      <c r="B3235" s="55"/>
      <c r="C3235" s="56"/>
      <c r="D3235" s="68"/>
      <c r="E3235" s="69"/>
      <c r="F3235" s="69"/>
      <c r="G3235" s="65"/>
      <c r="H3235" s="65"/>
      <c r="I3235" s="70"/>
      <c r="J3235" s="71"/>
      <c r="K3235" s="71"/>
      <c r="L3235" s="72" t="str">
        <f>IFERROR(IF(G3235="","",VLOOKUP($G3235,[1]基础信息!$B:$C,2,FALSE)+SUMIF(G$8:G3235,G3235,J$8:J3235)-SUMIF(G$8:G3235,G3235,K$8:K3235)+SUMIFS([1]内部转账!$G:$G,[1]内部转账!$C:$C,"&lt;="&amp;$D3235,[1]内部转账!$E:$E,$G3235)-SUMIFS([1]内部转账!$G:$G,[1]内部转账!$C:$C,"&lt;="&amp;$D3235,[1]内部转账!$F:$F,$G3235)),"")</f>
        <v/>
      </c>
      <c r="M3235" s="64"/>
      <c r="N3235" s="69"/>
      <c r="O3235" s="64"/>
      <c r="P3235" s="64"/>
      <c r="Q3235" s="69"/>
      <c r="R3235" s="69"/>
      <c r="S3235" s="69"/>
    </row>
    <row r="3236" s="2" customFormat="1" ht="24.95" customHeight="1" spans="1:19">
      <c r="A3236" s="15"/>
      <c r="B3236" s="55"/>
      <c r="C3236" s="56"/>
      <c r="D3236" s="68"/>
      <c r="E3236" s="69"/>
      <c r="F3236" s="69"/>
      <c r="G3236" s="65"/>
      <c r="H3236" s="65"/>
      <c r="I3236" s="70"/>
      <c r="J3236" s="71"/>
      <c r="K3236" s="71"/>
      <c r="L3236" s="72" t="str">
        <f>IFERROR(IF(G3236="","",VLOOKUP($G3236,[1]基础信息!$B:$C,2,FALSE)+SUMIF(G$8:G3236,G3236,J$8:J3236)-SUMIF(G$8:G3236,G3236,K$8:K3236)+SUMIFS([1]内部转账!$G:$G,[1]内部转账!$C:$C,"&lt;="&amp;$D3236,[1]内部转账!$E:$E,$G3236)-SUMIFS([1]内部转账!$G:$G,[1]内部转账!$C:$C,"&lt;="&amp;$D3236,[1]内部转账!$F:$F,$G3236)),"")</f>
        <v/>
      </c>
      <c r="M3236" s="64"/>
      <c r="N3236" s="69"/>
      <c r="O3236" s="64"/>
      <c r="P3236" s="64"/>
      <c r="Q3236" s="69"/>
      <c r="R3236" s="69"/>
      <c r="S3236" s="69"/>
    </row>
    <row r="3237" s="2" customFormat="1" ht="24.95" customHeight="1" spans="1:19">
      <c r="A3237" s="15"/>
      <c r="B3237" s="55"/>
      <c r="C3237" s="56"/>
      <c r="D3237" s="68"/>
      <c r="E3237" s="69"/>
      <c r="F3237" s="69"/>
      <c r="G3237" s="65"/>
      <c r="H3237" s="65"/>
      <c r="I3237" s="70"/>
      <c r="J3237" s="71"/>
      <c r="K3237" s="71"/>
      <c r="L3237" s="72" t="str">
        <f>IFERROR(IF(G3237="","",VLOOKUP($G3237,[1]基础信息!$B:$C,2,FALSE)+SUMIF(G$8:G3237,G3237,J$8:J3237)-SUMIF(G$8:G3237,G3237,K$8:K3237)+SUMIFS([1]内部转账!$G:$G,[1]内部转账!$C:$C,"&lt;="&amp;$D3237,[1]内部转账!$E:$E,$G3237)-SUMIFS([1]内部转账!$G:$G,[1]内部转账!$C:$C,"&lt;="&amp;$D3237,[1]内部转账!$F:$F,$G3237)),"")</f>
        <v/>
      </c>
      <c r="M3237" s="64"/>
      <c r="N3237" s="69"/>
      <c r="O3237" s="64"/>
      <c r="P3237" s="64"/>
      <c r="Q3237" s="69"/>
      <c r="R3237" s="69"/>
      <c r="S3237" s="69"/>
    </row>
    <row r="3238" s="2" customFormat="1" ht="24.95" customHeight="1" spans="1:19">
      <c r="A3238" s="15"/>
      <c r="B3238" s="55"/>
      <c r="C3238" s="56"/>
      <c r="D3238" s="68"/>
      <c r="E3238" s="69"/>
      <c r="F3238" s="69"/>
      <c r="G3238" s="65"/>
      <c r="H3238" s="65"/>
      <c r="I3238" s="70"/>
      <c r="J3238" s="71"/>
      <c r="K3238" s="71"/>
      <c r="L3238" s="72" t="str">
        <f>IFERROR(IF(G3238="","",VLOOKUP($G3238,[1]基础信息!$B:$C,2,FALSE)+SUMIF(G$8:G3238,G3238,J$8:J3238)-SUMIF(G$8:G3238,G3238,K$8:K3238)+SUMIFS([1]内部转账!$G:$G,[1]内部转账!$C:$C,"&lt;="&amp;$D3238,[1]内部转账!$E:$E,$G3238)-SUMIFS([1]内部转账!$G:$G,[1]内部转账!$C:$C,"&lt;="&amp;$D3238,[1]内部转账!$F:$F,$G3238)),"")</f>
        <v/>
      </c>
      <c r="M3238" s="64"/>
      <c r="N3238" s="69"/>
      <c r="O3238" s="64"/>
      <c r="P3238" s="64"/>
      <c r="Q3238" s="69"/>
      <c r="R3238" s="69"/>
      <c r="S3238" s="69"/>
    </row>
    <row r="3239" s="2" customFormat="1" ht="24.95" customHeight="1" spans="1:19">
      <c r="A3239" s="15"/>
      <c r="B3239" s="55"/>
      <c r="C3239" s="56"/>
      <c r="D3239" s="68"/>
      <c r="E3239" s="69"/>
      <c r="F3239" s="69"/>
      <c r="G3239" s="65"/>
      <c r="H3239" s="65"/>
      <c r="I3239" s="70"/>
      <c r="J3239" s="71"/>
      <c r="K3239" s="71"/>
      <c r="L3239" s="72" t="str">
        <f>IFERROR(IF(G3239="","",VLOOKUP($G3239,[1]基础信息!$B:$C,2,FALSE)+SUMIF(G$8:G3239,G3239,J$8:J3239)-SUMIF(G$8:G3239,G3239,K$8:K3239)+SUMIFS([1]内部转账!$G:$G,[1]内部转账!$C:$C,"&lt;="&amp;$D3239,[1]内部转账!$E:$E,$G3239)-SUMIFS([1]内部转账!$G:$G,[1]内部转账!$C:$C,"&lt;="&amp;$D3239,[1]内部转账!$F:$F,$G3239)),"")</f>
        <v/>
      </c>
      <c r="M3239" s="64"/>
      <c r="N3239" s="69"/>
      <c r="O3239" s="64"/>
      <c r="P3239" s="64"/>
      <c r="Q3239" s="69"/>
      <c r="R3239" s="69"/>
      <c r="S3239" s="69"/>
    </row>
    <row r="3240" s="2" customFormat="1" ht="24.95" customHeight="1" spans="1:19">
      <c r="A3240" s="15"/>
      <c r="B3240" s="55"/>
      <c r="C3240" s="56"/>
      <c r="D3240" s="68"/>
      <c r="E3240" s="69"/>
      <c r="F3240" s="69"/>
      <c r="G3240" s="65"/>
      <c r="H3240" s="65"/>
      <c r="I3240" s="70"/>
      <c r="J3240" s="71"/>
      <c r="K3240" s="71"/>
      <c r="L3240" s="72" t="str">
        <f>IFERROR(IF(G3240="","",VLOOKUP($G3240,[1]基础信息!$B:$C,2,FALSE)+SUMIF(G$8:G3240,G3240,J$8:J3240)-SUMIF(G$8:G3240,G3240,K$8:K3240)+SUMIFS([1]内部转账!$G:$G,[1]内部转账!$C:$C,"&lt;="&amp;$D3240,[1]内部转账!$E:$E,$G3240)-SUMIFS([1]内部转账!$G:$G,[1]内部转账!$C:$C,"&lt;="&amp;$D3240,[1]内部转账!$F:$F,$G3240)),"")</f>
        <v/>
      </c>
      <c r="M3240" s="64"/>
      <c r="N3240" s="69"/>
      <c r="O3240" s="64"/>
      <c r="P3240" s="64"/>
      <c r="Q3240" s="69"/>
      <c r="R3240" s="69"/>
      <c r="S3240" s="69"/>
    </row>
    <row r="3241" s="2" customFormat="1" ht="24.95" customHeight="1" spans="1:19">
      <c r="A3241" s="15"/>
      <c r="B3241" s="55"/>
      <c r="C3241" s="56"/>
      <c r="D3241" s="68"/>
      <c r="E3241" s="69"/>
      <c r="F3241" s="69"/>
      <c r="G3241" s="65"/>
      <c r="H3241" s="65"/>
      <c r="I3241" s="70"/>
      <c r="J3241" s="71"/>
      <c r="K3241" s="71"/>
      <c r="L3241" s="72" t="str">
        <f>IFERROR(IF(G3241="","",VLOOKUP($G3241,[1]基础信息!$B:$C,2,FALSE)+SUMIF(G$8:G3241,G3241,J$8:J3241)-SUMIF(G$8:G3241,G3241,K$8:K3241)+SUMIFS([1]内部转账!$G:$G,[1]内部转账!$C:$C,"&lt;="&amp;$D3241,[1]内部转账!$E:$E,$G3241)-SUMIFS([1]内部转账!$G:$G,[1]内部转账!$C:$C,"&lt;="&amp;$D3241,[1]内部转账!$F:$F,$G3241)),"")</f>
        <v/>
      </c>
      <c r="M3241" s="64"/>
      <c r="N3241" s="69"/>
      <c r="O3241" s="64"/>
      <c r="P3241" s="64"/>
      <c r="Q3241" s="69"/>
      <c r="R3241" s="69"/>
      <c r="S3241" s="69"/>
    </row>
    <row r="3242" s="2" customFormat="1" ht="24.95" customHeight="1" spans="1:19">
      <c r="A3242" s="15"/>
      <c r="B3242" s="55"/>
      <c r="C3242" s="56"/>
      <c r="D3242" s="68"/>
      <c r="E3242" s="69"/>
      <c r="F3242" s="69"/>
      <c r="G3242" s="65"/>
      <c r="H3242" s="65"/>
      <c r="I3242" s="70"/>
      <c r="J3242" s="71"/>
      <c r="K3242" s="71"/>
      <c r="L3242" s="72" t="str">
        <f>IFERROR(IF(G3242="","",VLOOKUP($G3242,[1]基础信息!$B:$C,2,FALSE)+SUMIF(G$8:G3242,G3242,J$8:J3242)-SUMIF(G$8:G3242,G3242,K$8:K3242)+SUMIFS([1]内部转账!$G:$G,[1]内部转账!$C:$C,"&lt;="&amp;$D3242,[1]内部转账!$E:$E,$G3242)-SUMIFS([1]内部转账!$G:$G,[1]内部转账!$C:$C,"&lt;="&amp;$D3242,[1]内部转账!$F:$F,$G3242)),"")</f>
        <v/>
      </c>
      <c r="M3242" s="64"/>
      <c r="N3242" s="69"/>
      <c r="O3242" s="64"/>
      <c r="P3242" s="64"/>
      <c r="Q3242" s="69"/>
      <c r="R3242" s="69"/>
      <c r="S3242" s="69"/>
    </row>
    <row r="3243" s="2" customFormat="1" ht="24.95" customHeight="1" spans="1:19">
      <c r="A3243" s="15"/>
      <c r="B3243" s="55"/>
      <c r="C3243" s="56"/>
      <c r="D3243" s="68"/>
      <c r="E3243" s="69"/>
      <c r="F3243" s="69"/>
      <c r="G3243" s="65"/>
      <c r="H3243" s="65"/>
      <c r="I3243" s="70"/>
      <c r="J3243" s="71"/>
      <c r="K3243" s="71"/>
      <c r="L3243" s="72" t="str">
        <f>IFERROR(IF(G3243="","",VLOOKUP($G3243,[1]基础信息!$B:$C,2,FALSE)+SUMIF(G$8:G3243,G3243,J$8:J3243)-SUMIF(G$8:G3243,G3243,K$8:K3243)+SUMIFS([1]内部转账!$G:$G,[1]内部转账!$C:$C,"&lt;="&amp;$D3243,[1]内部转账!$E:$E,$G3243)-SUMIFS([1]内部转账!$G:$G,[1]内部转账!$C:$C,"&lt;="&amp;$D3243,[1]内部转账!$F:$F,$G3243)),"")</f>
        <v/>
      </c>
      <c r="M3243" s="64"/>
      <c r="N3243" s="69"/>
      <c r="O3243" s="64"/>
      <c r="P3243" s="64"/>
      <c r="Q3243" s="69"/>
      <c r="R3243" s="69"/>
      <c r="S3243" s="69"/>
    </row>
    <row r="3244" s="2" customFormat="1" ht="24.95" customHeight="1" spans="1:19">
      <c r="A3244" s="15"/>
      <c r="B3244" s="55"/>
      <c r="C3244" s="56"/>
      <c r="D3244" s="68"/>
      <c r="E3244" s="69"/>
      <c r="F3244" s="69"/>
      <c r="G3244" s="65"/>
      <c r="H3244" s="65"/>
      <c r="I3244" s="70"/>
      <c r="J3244" s="71"/>
      <c r="K3244" s="71"/>
      <c r="L3244" s="72" t="str">
        <f>IFERROR(IF(G3244="","",VLOOKUP($G3244,[1]基础信息!$B:$C,2,FALSE)+SUMIF(G$8:G3244,G3244,J$8:J3244)-SUMIF(G$8:G3244,G3244,K$8:K3244)+SUMIFS([1]内部转账!$G:$G,[1]内部转账!$C:$C,"&lt;="&amp;$D3244,[1]内部转账!$E:$E,$G3244)-SUMIFS([1]内部转账!$G:$G,[1]内部转账!$C:$C,"&lt;="&amp;$D3244,[1]内部转账!$F:$F,$G3244)),"")</f>
        <v/>
      </c>
      <c r="M3244" s="64"/>
      <c r="N3244" s="69"/>
      <c r="O3244" s="64"/>
      <c r="P3244" s="64"/>
      <c r="Q3244" s="69"/>
      <c r="R3244" s="69"/>
      <c r="S3244" s="69"/>
    </row>
    <row r="3245" s="2" customFormat="1" ht="24.95" customHeight="1" spans="1:19">
      <c r="A3245" s="15"/>
      <c r="B3245" s="55"/>
      <c r="C3245" s="56"/>
      <c r="D3245" s="68"/>
      <c r="E3245" s="69"/>
      <c r="F3245" s="69"/>
      <c r="G3245" s="65"/>
      <c r="H3245" s="65"/>
      <c r="I3245" s="70"/>
      <c r="J3245" s="71"/>
      <c r="K3245" s="71"/>
      <c r="L3245" s="72" t="str">
        <f>IFERROR(IF(G3245="","",VLOOKUP($G3245,[1]基础信息!$B:$C,2,FALSE)+SUMIF(G$8:G3245,G3245,J$8:J3245)-SUMIF(G$8:G3245,G3245,K$8:K3245)+SUMIFS([1]内部转账!$G:$G,[1]内部转账!$C:$C,"&lt;="&amp;$D3245,[1]内部转账!$E:$E,$G3245)-SUMIFS([1]内部转账!$G:$G,[1]内部转账!$C:$C,"&lt;="&amp;$D3245,[1]内部转账!$F:$F,$G3245)),"")</f>
        <v/>
      </c>
      <c r="M3245" s="64"/>
      <c r="N3245" s="69"/>
      <c r="O3245" s="64"/>
      <c r="P3245" s="64"/>
      <c r="Q3245" s="69"/>
      <c r="R3245" s="69"/>
      <c r="S3245" s="69"/>
    </row>
    <row r="3246" s="2" customFormat="1" ht="24.95" customHeight="1" spans="1:19">
      <c r="A3246" s="15"/>
      <c r="B3246" s="55"/>
      <c r="C3246" s="56"/>
      <c r="D3246" s="68"/>
      <c r="E3246" s="69"/>
      <c r="F3246" s="69"/>
      <c r="G3246" s="65"/>
      <c r="H3246" s="65"/>
      <c r="I3246" s="70"/>
      <c r="J3246" s="71"/>
      <c r="K3246" s="71"/>
      <c r="L3246" s="72" t="str">
        <f>IFERROR(IF(G3246="","",VLOOKUP($G3246,[1]基础信息!$B:$C,2,FALSE)+SUMIF(G$8:G3246,G3246,J$8:J3246)-SUMIF(G$8:G3246,G3246,K$8:K3246)+SUMIFS([1]内部转账!$G:$G,[1]内部转账!$C:$C,"&lt;="&amp;$D3246,[1]内部转账!$E:$E,$G3246)-SUMIFS([1]内部转账!$G:$G,[1]内部转账!$C:$C,"&lt;="&amp;$D3246,[1]内部转账!$F:$F,$G3246)),"")</f>
        <v/>
      </c>
      <c r="M3246" s="64"/>
      <c r="N3246" s="69"/>
      <c r="O3246" s="64"/>
      <c r="P3246" s="64"/>
      <c r="Q3246" s="69"/>
      <c r="R3246" s="69"/>
      <c r="S3246" s="69"/>
    </row>
    <row r="3247" s="2" customFormat="1" ht="24.95" customHeight="1" spans="1:19">
      <c r="A3247" s="15"/>
      <c r="B3247" s="55"/>
      <c r="C3247" s="56"/>
      <c r="D3247" s="68"/>
      <c r="E3247" s="69"/>
      <c r="F3247" s="69"/>
      <c r="G3247" s="65"/>
      <c r="H3247" s="65"/>
      <c r="I3247" s="70"/>
      <c r="J3247" s="71"/>
      <c r="K3247" s="71"/>
      <c r="L3247" s="72" t="str">
        <f>IFERROR(IF(G3247="","",VLOOKUP($G3247,[1]基础信息!$B:$C,2,FALSE)+SUMIF(G$8:G3247,G3247,J$8:J3247)-SUMIF(G$8:G3247,G3247,K$8:K3247)+SUMIFS([1]内部转账!$G:$G,[1]内部转账!$C:$C,"&lt;="&amp;$D3247,[1]内部转账!$E:$E,$G3247)-SUMIFS([1]内部转账!$G:$G,[1]内部转账!$C:$C,"&lt;="&amp;$D3247,[1]内部转账!$F:$F,$G3247)),"")</f>
        <v/>
      </c>
      <c r="M3247" s="64"/>
      <c r="N3247" s="69"/>
      <c r="O3247" s="64"/>
      <c r="P3247" s="64"/>
      <c r="Q3247" s="69"/>
      <c r="R3247" s="69"/>
      <c r="S3247" s="69"/>
    </row>
    <row r="3248" s="2" customFormat="1" ht="24.95" customHeight="1" spans="1:19">
      <c r="A3248" s="15"/>
      <c r="B3248" s="55"/>
      <c r="C3248" s="56"/>
      <c r="D3248" s="68"/>
      <c r="E3248" s="69"/>
      <c r="F3248" s="69"/>
      <c r="G3248" s="65"/>
      <c r="H3248" s="65"/>
      <c r="I3248" s="70"/>
      <c r="J3248" s="71"/>
      <c r="K3248" s="71"/>
      <c r="L3248" s="72" t="str">
        <f>IFERROR(IF(G3248="","",VLOOKUP($G3248,[1]基础信息!$B:$C,2,FALSE)+SUMIF(G$8:G3248,G3248,J$8:J3248)-SUMIF(G$8:G3248,G3248,K$8:K3248)+SUMIFS([1]内部转账!$G:$G,[1]内部转账!$C:$C,"&lt;="&amp;$D3248,[1]内部转账!$E:$E,$G3248)-SUMIFS([1]内部转账!$G:$G,[1]内部转账!$C:$C,"&lt;="&amp;$D3248,[1]内部转账!$F:$F,$G3248)),"")</f>
        <v/>
      </c>
      <c r="M3248" s="64"/>
      <c r="N3248" s="69"/>
      <c r="O3248" s="64"/>
      <c r="P3248" s="64"/>
      <c r="Q3248" s="69"/>
      <c r="R3248" s="69"/>
      <c r="S3248" s="69"/>
    </row>
    <row r="3249" s="2" customFormat="1" ht="24.95" customHeight="1" spans="1:19">
      <c r="A3249" s="15"/>
      <c r="B3249" s="55"/>
      <c r="C3249" s="56"/>
      <c r="D3249" s="68"/>
      <c r="E3249" s="69"/>
      <c r="F3249" s="69"/>
      <c r="G3249" s="65"/>
      <c r="H3249" s="65"/>
      <c r="I3249" s="70"/>
      <c r="J3249" s="71"/>
      <c r="K3249" s="71"/>
      <c r="L3249" s="72" t="str">
        <f>IFERROR(IF(G3249="","",VLOOKUP($G3249,[1]基础信息!$B:$C,2,FALSE)+SUMIF(G$8:G3249,G3249,J$8:J3249)-SUMIF(G$8:G3249,G3249,K$8:K3249)+SUMIFS([1]内部转账!$G:$G,[1]内部转账!$C:$C,"&lt;="&amp;$D3249,[1]内部转账!$E:$E,$G3249)-SUMIFS([1]内部转账!$G:$G,[1]内部转账!$C:$C,"&lt;="&amp;$D3249,[1]内部转账!$F:$F,$G3249)),"")</f>
        <v/>
      </c>
      <c r="M3249" s="64"/>
      <c r="N3249" s="69"/>
      <c r="O3249" s="64"/>
      <c r="P3249" s="64"/>
      <c r="Q3249" s="69"/>
      <c r="R3249" s="69"/>
      <c r="S3249" s="69"/>
    </row>
    <row r="3250" s="2" customFormat="1" ht="24.95" customHeight="1" spans="1:19">
      <c r="A3250" s="15"/>
      <c r="B3250" s="55"/>
      <c r="C3250" s="56"/>
      <c r="D3250" s="68"/>
      <c r="E3250" s="69"/>
      <c r="F3250" s="69"/>
      <c r="G3250" s="65"/>
      <c r="H3250" s="65"/>
      <c r="I3250" s="70"/>
      <c r="J3250" s="71"/>
      <c r="K3250" s="71"/>
      <c r="L3250" s="72" t="str">
        <f>IFERROR(IF(G3250="","",VLOOKUP($G3250,[1]基础信息!$B:$C,2,FALSE)+SUMIF(G$8:G3250,G3250,J$8:J3250)-SUMIF(G$8:G3250,G3250,K$8:K3250)+SUMIFS([1]内部转账!$G:$G,[1]内部转账!$C:$C,"&lt;="&amp;$D3250,[1]内部转账!$E:$E,$G3250)-SUMIFS([1]内部转账!$G:$G,[1]内部转账!$C:$C,"&lt;="&amp;$D3250,[1]内部转账!$F:$F,$G3250)),"")</f>
        <v/>
      </c>
      <c r="M3250" s="64"/>
      <c r="N3250" s="69"/>
      <c r="O3250" s="64"/>
      <c r="P3250" s="64"/>
      <c r="Q3250" s="69"/>
      <c r="R3250" s="69"/>
      <c r="S3250" s="69"/>
    </row>
    <row r="3251" s="2" customFormat="1" ht="24.95" customHeight="1" spans="1:19">
      <c r="A3251" s="15"/>
      <c r="B3251" s="55"/>
      <c r="C3251" s="56"/>
      <c r="D3251" s="68"/>
      <c r="E3251" s="69"/>
      <c r="F3251" s="69"/>
      <c r="G3251" s="65"/>
      <c r="H3251" s="65"/>
      <c r="I3251" s="70"/>
      <c r="J3251" s="71"/>
      <c r="K3251" s="71"/>
      <c r="L3251" s="72" t="str">
        <f>IFERROR(IF(G3251="","",VLOOKUP($G3251,[1]基础信息!$B:$C,2,FALSE)+SUMIF(G$8:G3251,G3251,J$8:J3251)-SUMIF(G$8:G3251,G3251,K$8:K3251)+SUMIFS([1]内部转账!$G:$G,[1]内部转账!$C:$C,"&lt;="&amp;$D3251,[1]内部转账!$E:$E,$G3251)-SUMIFS([1]内部转账!$G:$G,[1]内部转账!$C:$C,"&lt;="&amp;$D3251,[1]内部转账!$F:$F,$G3251)),"")</f>
        <v/>
      </c>
      <c r="M3251" s="64"/>
      <c r="N3251" s="69"/>
      <c r="O3251" s="64"/>
      <c r="P3251" s="64"/>
      <c r="Q3251" s="69"/>
      <c r="R3251" s="69"/>
      <c r="S3251" s="69"/>
    </row>
    <row r="3252" s="2" customFormat="1" ht="24.95" customHeight="1" spans="1:19">
      <c r="A3252" s="15"/>
      <c r="B3252" s="55"/>
      <c r="C3252" s="56"/>
      <c r="D3252" s="68"/>
      <c r="E3252" s="69"/>
      <c r="F3252" s="69"/>
      <c r="G3252" s="65"/>
      <c r="H3252" s="65"/>
      <c r="I3252" s="70"/>
      <c r="J3252" s="71"/>
      <c r="K3252" s="71"/>
      <c r="L3252" s="72" t="str">
        <f>IFERROR(IF(G3252="","",VLOOKUP($G3252,[1]基础信息!$B:$C,2,FALSE)+SUMIF(G$8:G3252,G3252,J$8:J3252)-SUMIF(G$8:G3252,G3252,K$8:K3252)+SUMIFS([1]内部转账!$G:$G,[1]内部转账!$C:$C,"&lt;="&amp;$D3252,[1]内部转账!$E:$E,$G3252)-SUMIFS([1]内部转账!$G:$G,[1]内部转账!$C:$C,"&lt;="&amp;$D3252,[1]内部转账!$F:$F,$G3252)),"")</f>
        <v/>
      </c>
      <c r="M3252" s="64"/>
      <c r="N3252" s="69"/>
      <c r="O3252" s="64"/>
      <c r="P3252" s="64"/>
      <c r="Q3252" s="69"/>
      <c r="R3252" s="69"/>
      <c r="S3252" s="69"/>
    </row>
    <row r="3253" s="2" customFormat="1" ht="24.95" customHeight="1" spans="1:19">
      <c r="A3253" s="15"/>
      <c r="B3253" s="55"/>
      <c r="C3253" s="56"/>
      <c r="D3253" s="68"/>
      <c r="E3253" s="69"/>
      <c r="F3253" s="69"/>
      <c r="G3253" s="65"/>
      <c r="H3253" s="65"/>
      <c r="I3253" s="70"/>
      <c r="J3253" s="71"/>
      <c r="K3253" s="71"/>
      <c r="L3253" s="72" t="str">
        <f>IFERROR(IF(G3253="","",VLOOKUP($G3253,[1]基础信息!$B:$C,2,FALSE)+SUMIF(G$8:G3253,G3253,J$8:J3253)-SUMIF(G$8:G3253,G3253,K$8:K3253)+SUMIFS([1]内部转账!$G:$G,[1]内部转账!$C:$C,"&lt;="&amp;$D3253,[1]内部转账!$E:$E,$G3253)-SUMIFS([1]内部转账!$G:$G,[1]内部转账!$C:$C,"&lt;="&amp;$D3253,[1]内部转账!$F:$F,$G3253)),"")</f>
        <v/>
      </c>
      <c r="M3253" s="64"/>
      <c r="N3253" s="69"/>
      <c r="O3253" s="64"/>
      <c r="P3253" s="64"/>
      <c r="Q3253" s="69"/>
      <c r="R3253" s="69"/>
      <c r="S3253" s="69"/>
    </row>
    <row r="3254" s="2" customFormat="1" ht="24.95" customHeight="1" spans="1:19">
      <c r="A3254" s="15"/>
      <c r="B3254" s="55"/>
      <c r="C3254" s="56"/>
      <c r="D3254" s="68"/>
      <c r="E3254" s="69"/>
      <c r="F3254" s="69"/>
      <c r="G3254" s="65"/>
      <c r="H3254" s="65"/>
      <c r="I3254" s="70"/>
      <c r="J3254" s="71"/>
      <c r="K3254" s="71"/>
      <c r="L3254" s="72" t="str">
        <f>IFERROR(IF(G3254="","",VLOOKUP($G3254,[1]基础信息!$B:$C,2,FALSE)+SUMIF(G$8:G3254,G3254,J$8:J3254)-SUMIF(G$8:G3254,G3254,K$8:K3254)+SUMIFS([1]内部转账!$G:$G,[1]内部转账!$C:$C,"&lt;="&amp;$D3254,[1]内部转账!$E:$E,$G3254)-SUMIFS([1]内部转账!$G:$G,[1]内部转账!$C:$C,"&lt;="&amp;$D3254,[1]内部转账!$F:$F,$G3254)),"")</f>
        <v/>
      </c>
      <c r="M3254" s="64"/>
      <c r="N3254" s="69"/>
      <c r="O3254" s="64"/>
      <c r="P3254" s="64"/>
      <c r="Q3254" s="69"/>
      <c r="R3254" s="69"/>
      <c r="S3254" s="69"/>
    </row>
    <row r="3255" s="2" customFormat="1" ht="24.95" customHeight="1" spans="1:19">
      <c r="A3255" s="15"/>
      <c r="B3255" s="55"/>
      <c r="C3255" s="56"/>
      <c r="D3255" s="68"/>
      <c r="E3255" s="69"/>
      <c r="F3255" s="69"/>
      <c r="G3255" s="65"/>
      <c r="H3255" s="65"/>
      <c r="I3255" s="70"/>
      <c r="J3255" s="71"/>
      <c r="K3255" s="71"/>
      <c r="L3255" s="72" t="str">
        <f>IFERROR(IF(G3255="","",VLOOKUP($G3255,[1]基础信息!$B:$C,2,FALSE)+SUMIF(G$8:G3255,G3255,J$8:J3255)-SUMIF(G$8:G3255,G3255,K$8:K3255)+SUMIFS([1]内部转账!$G:$G,[1]内部转账!$C:$C,"&lt;="&amp;$D3255,[1]内部转账!$E:$E,$G3255)-SUMIFS([1]内部转账!$G:$G,[1]内部转账!$C:$C,"&lt;="&amp;$D3255,[1]内部转账!$F:$F,$G3255)),"")</f>
        <v/>
      </c>
      <c r="M3255" s="64"/>
      <c r="N3255" s="69"/>
      <c r="O3255" s="64"/>
      <c r="P3255" s="64"/>
      <c r="Q3255" s="69"/>
      <c r="R3255" s="69"/>
      <c r="S3255" s="69"/>
    </row>
    <row r="3256" s="2" customFormat="1" ht="24.95" customHeight="1" spans="1:19">
      <c r="A3256" s="15"/>
      <c r="B3256" s="55"/>
      <c r="C3256" s="56"/>
      <c r="D3256" s="68"/>
      <c r="E3256" s="69"/>
      <c r="F3256" s="69"/>
      <c r="G3256" s="65"/>
      <c r="H3256" s="65"/>
      <c r="I3256" s="70"/>
      <c r="J3256" s="71"/>
      <c r="K3256" s="71"/>
      <c r="L3256" s="72" t="str">
        <f>IFERROR(IF(G3256="","",VLOOKUP($G3256,[1]基础信息!$B:$C,2,FALSE)+SUMIF(G$8:G3256,G3256,J$8:J3256)-SUMIF(G$8:G3256,G3256,K$8:K3256)+SUMIFS([1]内部转账!$G:$G,[1]内部转账!$C:$C,"&lt;="&amp;$D3256,[1]内部转账!$E:$E,$G3256)-SUMIFS([1]内部转账!$G:$G,[1]内部转账!$C:$C,"&lt;="&amp;$D3256,[1]内部转账!$F:$F,$G3256)),"")</f>
        <v/>
      </c>
      <c r="M3256" s="64"/>
      <c r="N3256" s="69"/>
      <c r="O3256" s="64"/>
      <c r="P3256" s="64"/>
      <c r="Q3256" s="69"/>
      <c r="R3256" s="69"/>
      <c r="S3256" s="69"/>
    </row>
    <row r="3257" s="2" customFormat="1" ht="24.95" customHeight="1" spans="1:19">
      <c r="A3257" s="15"/>
      <c r="B3257" s="55"/>
      <c r="C3257" s="56"/>
      <c r="D3257" s="68"/>
      <c r="E3257" s="69"/>
      <c r="F3257" s="69"/>
      <c r="G3257" s="65"/>
      <c r="H3257" s="65"/>
      <c r="I3257" s="70"/>
      <c r="J3257" s="71"/>
      <c r="K3257" s="71"/>
      <c r="L3257" s="72" t="str">
        <f>IFERROR(IF(G3257="","",VLOOKUP($G3257,[1]基础信息!$B:$C,2,FALSE)+SUMIF(G$8:G3257,G3257,J$8:J3257)-SUMIF(G$8:G3257,G3257,K$8:K3257)+SUMIFS([1]内部转账!$G:$G,[1]内部转账!$C:$C,"&lt;="&amp;$D3257,[1]内部转账!$E:$E,$G3257)-SUMIFS([1]内部转账!$G:$G,[1]内部转账!$C:$C,"&lt;="&amp;$D3257,[1]内部转账!$F:$F,$G3257)),"")</f>
        <v/>
      </c>
      <c r="M3257" s="64"/>
      <c r="N3257" s="69"/>
      <c r="O3257" s="64"/>
      <c r="P3257" s="64"/>
      <c r="Q3257" s="69"/>
      <c r="R3257" s="69"/>
      <c r="S3257" s="69"/>
    </row>
    <row r="3258" s="2" customFormat="1" ht="24.95" customHeight="1" spans="1:19">
      <c r="A3258" s="15"/>
      <c r="B3258" s="55"/>
      <c r="C3258" s="56"/>
      <c r="D3258" s="68"/>
      <c r="E3258" s="69"/>
      <c r="F3258" s="69"/>
      <c r="G3258" s="65"/>
      <c r="H3258" s="65"/>
      <c r="I3258" s="70"/>
      <c r="J3258" s="71"/>
      <c r="K3258" s="71"/>
      <c r="L3258" s="72" t="str">
        <f>IFERROR(IF(G3258="","",VLOOKUP($G3258,[1]基础信息!$B:$C,2,FALSE)+SUMIF(G$8:G3258,G3258,J$8:J3258)-SUMIF(G$8:G3258,G3258,K$8:K3258)+SUMIFS([1]内部转账!$G:$G,[1]内部转账!$C:$C,"&lt;="&amp;$D3258,[1]内部转账!$E:$E,$G3258)-SUMIFS([1]内部转账!$G:$G,[1]内部转账!$C:$C,"&lt;="&amp;$D3258,[1]内部转账!$F:$F,$G3258)),"")</f>
        <v/>
      </c>
      <c r="M3258" s="64"/>
      <c r="N3258" s="69"/>
      <c r="O3258" s="64"/>
      <c r="P3258" s="64"/>
      <c r="Q3258" s="69"/>
      <c r="R3258" s="69"/>
      <c r="S3258" s="69"/>
    </row>
    <row r="3259" s="2" customFormat="1" ht="24.95" customHeight="1" spans="1:19">
      <c r="A3259" s="15"/>
      <c r="B3259" s="55"/>
      <c r="C3259" s="56"/>
      <c r="D3259" s="68"/>
      <c r="E3259" s="69"/>
      <c r="F3259" s="69"/>
      <c r="G3259" s="65"/>
      <c r="H3259" s="65"/>
      <c r="I3259" s="70"/>
      <c r="J3259" s="71"/>
      <c r="K3259" s="71"/>
      <c r="L3259" s="72" t="str">
        <f>IFERROR(IF(G3259="","",VLOOKUP($G3259,[1]基础信息!$B:$C,2,FALSE)+SUMIF(G$8:G3259,G3259,J$8:J3259)-SUMIF(G$8:G3259,G3259,K$8:K3259)+SUMIFS([1]内部转账!$G:$G,[1]内部转账!$C:$C,"&lt;="&amp;$D3259,[1]内部转账!$E:$E,$G3259)-SUMIFS([1]内部转账!$G:$G,[1]内部转账!$C:$C,"&lt;="&amp;$D3259,[1]内部转账!$F:$F,$G3259)),"")</f>
        <v/>
      </c>
      <c r="M3259" s="64"/>
      <c r="N3259" s="69"/>
      <c r="O3259" s="64"/>
      <c r="P3259" s="64"/>
      <c r="Q3259" s="69"/>
      <c r="R3259" s="69"/>
      <c r="S3259" s="69"/>
    </row>
    <row r="3260" s="2" customFormat="1" ht="24.95" customHeight="1" spans="1:19">
      <c r="A3260" s="15"/>
      <c r="B3260" s="55"/>
      <c r="C3260" s="56"/>
      <c r="D3260" s="68"/>
      <c r="E3260" s="69"/>
      <c r="F3260" s="69"/>
      <c r="G3260" s="65"/>
      <c r="H3260" s="65"/>
      <c r="I3260" s="70"/>
      <c r="J3260" s="71"/>
      <c r="K3260" s="71"/>
      <c r="L3260" s="72" t="str">
        <f>IFERROR(IF(G3260="","",VLOOKUP($G3260,[1]基础信息!$B:$C,2,FALSE)+SUMIF(G$8:G3260,G3260,J$8:J3260)-SUMIF(G$8:G3260,G3260,K$8:K3260)+SUMIFS([1]内部转账!$G:$G,[1]内部转账!$C:$C,"&lt;="&amp;$D3260,[1]内部转账!$E:$E,$G3260)-SUMIFS([1]内部转账!$G:$G,[1]内部转账!$C:$C,"&lt;="&amp;$D3260,[1]内部转账!$F:$F,$G3260)),"")</f>
        <v/>
      </c>
      <c r="M3260" s="64"/>
      <c r="N3260" s="69"/>
      <c r="O3260" s="64"/>
      <c r="P3260" s="64"/>
      <c r="Q3260" s="69"/>
      <c r="R3260" s="69"/>
      <c r="S3260" s="69"/>
    </row>
    <row r="3261" s="2" customFormat="1" ht="24.95" customHeight="1" spans="1:19">
      <c r="A3261" s="15"/>
      <c r="B3261" s="55"/>
      <c r="C3261" s="56"/>
      <c r="D3261" s="68"/>
      <c r="E3261" s="69"/>
      <c r="F3261" s="69"/>
      <c r="G3261" s="65"/>
      <c r="H3261" s="65"/>
      <c r="I3261" s="70"/>
      <c r="J3261" s="71"/>
      <c r="K3261" s="71"/>
      <c r="L3261" s="72" t="str">
        <f>IFERROR(IF(G3261="","",VLOOKUP($G3261,[1]基础信息!$B:$C,2,FALSE)+SUMIF(G$8:G3261,G3261,J$8:J3261)-SUMIF(G$8:G3261,G3261,K$8:K3261)+SUMIFS([1]内部转账!$G:$G,[1]内部转账!$C:$C,"&lt;="&amp;$D3261,[1]内部转账!$E:$E,$G3261)-SUMIFS([1]内部转账!$G:$G,[1]内部转账!$C:$C,"&lt;="&amp;$D3261,[1]内部转账!$F:$F,$G3261)),"")</f>
        <v/>
      </c>
      <c r="M3261" s="64"/>
      <c r="N3261" s="69"/>
      <c r="O3261" s="64"/>
      <c r="P3261" s="64"/>
      <c r="Q3261" s="69"/>
      <c r="R3261" s="69"/>
      <c r="S3261" s="69"/>
    </row>
    <row r="3262" s="2" customFormat="1" ht="24.95" customHeight="1" spans="1:19">
      <c r="A3262" s="15"/>
      <c r="B3262" s="55"/>
      <c r="C3262" s="56"/>
      <c r="D3262" s="68"/>
      <c r="E3262" s="69"/>
      <c r="F3262" s="69"/>
      <c r="G3262" s="65"/>
      <c r="H3262" s="65"/>
      <c r="I3262" s="70"/>
      <c r="J3262" s="71"/>
      <c r="K3262" s="71"/>
      <c r="L3262" s="72" t="str">
        <f>IFERROR(IF(G3262="","",VLOOKUP($G3262,[1]基础信息!$B:$C,2,FALSE)+SUMIF(G$8:G3262,G3262,J$8:J3262)-SUMIF(G$8:G3262,G3262,K$8:K3262)+SUMIFS([1]内部转账!$G:$G,[1]内部转账!$C:$C,"&lt;="&amp;$D3262,[1]内部转账!$E:$E,$G3262)-SUMIFS([1]内部转账!$G:$G,[1]内部转账!$C:$C,"&lt;="&amp;$D3262,[1]内部转账!$F:$F,$G3262)),"")</f>
        <v/>
      </c>
      <c r="M3262" s="64"/>
      <c r="N3262" s="69"/>
      <c r="O3262" s="64"/>
      <c r="P3262" s="64"/>
      <c r="Q3262" s="69"/>
      <c r="R3262" s="69"/>
      <c r="S3262" s="69"/>
    </row>
    <row r="3263" s="2" customFormat="1" ht="24.95" customHeight="1" spans="1:19">
      <c r="A3263" s="15"/>
      <c r="B3263" s="55"/>
      <c r="C3263" s="56"/>
      <c r="D3263" s="68"/>
      <c r="E3263" s="69"/>
      <c r="F3263" s="69"/>
      <c r="G3263" s="65"/>
      <c r="H3263" s="65"/>
      <c r="I3263" s="70"/>
      <c r="J3263" s="71"/>
      <c r="K3263" s="71"/>
      <c r="L3263" s="72" t="str">
        <f>IFERROR(IF(G3263="","",VLOOKUP($G3263,[1]基础信息!$B:$C,2,FALSE)+SUMIF(G$8:G3263,G3263,J$8:J3263)-SUMIF(G$8:G3263,G3263,K$8:K3263)+SUMIFS([1]内部转账!$G:$G,[1]内部转账!$C:$C,"&lt;="&amp;$D3263,[1]内部转账!$E:$E,$G3263)-SUMIFS([1]内部转账!$G:$G,[1]内部转账!$C:$C,"&lt;="&amp;$D3263,[1]内部转账!$F:$F,$G3263)),"")</f>
        <v/>
      </c>
      <c r="M3263" s="64"/>
      <c r="N3263" s="69"/>
      <c r="O3263" s="64"/>
      <c r="P3263" s="64"/>
      <c r="Q3263" s="69"/>
      <c r="R3263" s="69"/>
      <c r="S3263" s="69"/>
    </row>
    <row r="3264" s="2" customFormat="1" ht="24.95" customHeight="1" spans="1:19">
      <c r="A3264" s="15"/>
      <c r="B3264" s="55"/>
      <c r="C3264" s="56"/>
      <c r="D3264" s="68"/>
      <c r="E3264" s="69"/>
      <c r="F3264" s="69"/>
      <c r="G3264" s="65"/>
      <c r="H3264" s="65"/>
      <c r="I3264" s="70"/>
      <c r="J3264" s="71"/>
      <c r="K3264" s="71"/>
      <c r="L3264" s="72" t="str">
        <f>IFERROR(IF(G3264="","",VLOOKUP($G3264,[1]基础信息!$B:$C,2,FALSE)+SUMIF(G$8:G3264,G3264,J$8:J3264)-SUMIF(G$8:G3264,G3264,K$8:K3264)+SUMIFS([1]内部转账!$G:$G,[1]内部转账!$C:$C,"&lt;="&amp;$D3264,[1]内部转账!$E:$E,$G3264)-SUMIFS([1]内部转账!$G:$G,[1]内部转账!$C:$C,"&lt;="&amp;$D3264,[1]内部转账!$F:$F,$G3264)),"")</f>
        <v/>
      </c>
      <c r="M3264" s="64"/>
      <c r="N3264" s="69"/>
      <c r="O3264" s="64"/>
      <c r="P3264" s="64"/>
      <c r="Q3264" s="69"/>
      <c r="R3264" s="69"/>
      <c r="S3264" s="69"/>
    </row>
    <row r="3265" s="2" customFormat="1" ht="24.95" customHeight="1" spans="1:19">
      <c r="A3265" s="15"/>
      <c r="B3265" s="55"/>
      <c r="C3265" s="56"/>
      <c r="D3265" s="68"/>
      <c r="E3265" s="69"/>
      <c r="F3265" s="69"/>
      <c r="G3265" s="65"/>
      <c r="H3265" s="65"/>
      <c r="I3265" s="70"/>
      <c r="J3265" s="71"/>
      <c r="K3265" s="71"/>
      <c r="L3265" s="72" t="str">
        <f>IFERROR(IF(G3265="","",VLOOKUP($G3265,[1]基础信息!$B:$C,2,FALSE)+SUMIF(G$8:G3265,G3265,J$8:J3265)-SUMIF(G$8:G3265,G3265,K$8:K3265)+SUMIFS([1]内部转账!$G:$G,[1]内部转账!$C:$C,"&lt;="&amp;$D3265,[1]内部转账!$E:$E,$G3265)-SUMIFS([1]内部转账!$G:$G,[1]内部转账!$C:$C,"&lt;="&amp;$D3265,[1]内部转账!$F:$F,$G3265)),"")</f>
        <v/>
      </c>
      <c r="M3265" s="64"/>
      <c r="N3265" s="69"/>
      <c r="O3265" s="64"/>
      <c r="P3265" s="64"/>
      <c r="Q3265" s="69"/>
      <c r="R3265" s="69"/>
      <c r="S3265" s="69"/>
    </row>
    <row r="3266" s="2" customFormat="1" ht="24.95" customHeight="1" spans="1:19">
      <c r="A3266" s="15"/>
      <c r="B3266" s="55"/>
      <c r="C3266" s="56"/>
      <c r="D3266" s="68"/>
      <c r="E3266" s="69"/>
      <c r="F3266" s="69"/>
      <c r="G3266" s="65"/>
      <c r="H3266" s="65"/>
      <c r="I3266" s="70"/>
      <c r="J3266" s="71"/>
      <c r="K3266" s="71"/>
      <c r="L3266" s="72" t="str">
        <f>IFERROR(IF(G3266="","",VLOOKUP($G3266,[1]基础信息!$B:$C,2,FALSE)+SUMIF(G$8:G3266,G3266,J$8:J3266)-SUMIF(G$8:G3266,G3266,K$8:K3266)+SUMIFS([1]内部转账!$G:$G,[1]内部转账!$C:$C,"&lt;="&amp;$D3266,[1]内部转账!$E:$E,$G3266)-SUMIFS([1]内部转账!$G:$G,[1]内部转账!$C:$C,"&lt;="&amp;$D3266,[1]内部转账!$F:$F,$G3266)),"")</f>
        <v/>
      </c>
      <c r="M3266" s="64"/>
      <c r="N3266" s="69"/>
      <c r="O3266" s="64"/>
      <c r="P3266" s="64"/>
      <c r="Q3266" s="69"/>
      <c r="R3266" s="69"/>
      <c r="S3266" s="69"/>
    </row>
    <row r="3267" s="2" customFormat="1" ht="24.95" customHeight="1" spans="1:19">
      <c r="A3267" s="15"/>
      <c r="B3267" s="55"/>
      <c r="C3267" s="56"/>
      <c r="D3267" s="68"/>
      <c r="E3267" s="69"/>
      <c r="F3267" s="69"/>
      <c r="G3267" s="65"/>
      <c r="H3267" s="65"/>
      <c r="I3267" s="70"/>
      <c r="J3267" s="71"/>
      <c r="K3267" s="71"/>
      <c r="L3267" s="72" t="str">
        <f>IFERROR(IF(G3267="","",VLOOKUP($G3267,[1]基础信息!$B:$C,2,FALSE)+SUMIF(G$8:G3267,G3267,J$8:J3267)-SUMIF(G$8:G3267,G3267,K$8:K3267)+SUMIFS([1]内部转账!$G:$G,[1]内部转账!$C:$C,"&lt;="&amp;$D3267,[1]内部转账!$E:$E,$G3267)-SUMIFS([1]内部转账!$G:$G,[1]内部转账!$C:$C,"&lt;="&amp;$D3267,[1]内部转账!$F:$F,$G3267)),"")</f>
        <v/>
      </c>
      <c r="M3267" s="64"/>
      <c r="N3267" s="69"/>
      <c r="O3267" s="64"/>
      <c r="P3267" s="64"/>
      <c r="Q3267" s="69"/>
      <c r="R3267" s="69"/>
      <c r="S3267" s="69"/>
    </row>
    <row r="3268" s="2" customFormat="1" ht="24.95" customHeight="1" spans="1:19">
      <c r="A3268" s="15"/>
      <c r="B3268" s="55"/>
      <c r="C3268" s="56"/>
      <c r="D3268" s="68"/>
      <c r="E3268" s="69"/>
      <c r="F3268" s="69"/>
      <c r="G3268" s="65"/>
      <c r="H3268" s="65"/>
      <c r="I3268" s="70"/>
      <c r="J3268" s="71"/>
      <c r="K3268" s="71"/>
      <c r="L3268" s="72" t="str">
        <f>IFERROR(IF(G3268="","",VLOOKUP($G3268,[1]基础信息!$B:$C,2,FALSE)+SUMIF(G$8:G3268,G3268,J$8:J3268)-SUMIF(G$8:G3268,G3268,K$8:K3268)+SUMIFS([1]内部转账!$G:$G,[1]内部转账!$C:$C,"&lt;="&amp;$D3268,[1]内部转账!$E:$E,$G3268)-SUMIFS([1]内部转账!$G:$G,[1]内部转账!$C:$C,"&lt;="&amp;$D3268,[1]内部转账!$F:$F,$G3268)),"")</f>
        <v/>
      </c>
      <c r="M3268" s="64"/>
      <c r="N3268" s="69"/>
      <c r="O3268" s="64"/>
      <c r="P3268" s="64"/>
      <c r="Q3268" s="69"/>
      <c r="R3268" s="69"/>
      <c r="S3268" s="69"/>
    </row>
    <row r="3269" s="2" customFormat="1" ht="24.95" customHeight="1" spans="1:19">
      <c r="A3269" s="15"/>
      <c r="B3269" s="55"/>
      <c r="C3269" s="56"/>
      <c r="D3269" s="68"/>
      <c r="E3269" s="69"/>
      <c r="F3269" s="69"/>
      <c r="G3269" s="65"/>
      <c r="H3269" s="65"/>
      <c r="I3269" s="70"/>
      <c r="J3269" s="71"/>
      <c r="K3269" s="71"/>
      <c r="L3269" s="72" t="str">
        <f>IFERROR(IF(G3269="","",VLOOKUP($G3269,[1]基础信息!$B:$C,2,FALSE)+SUMIF(G$8:G3269,G3269,J$8:J3269)-SUMIF(G$8:G3269,G3269,K$8:K3269)+SUMIFS([1]内部转账!$G:$G,[1]内部转账!$C:$C,"&lt;="&amp;$D3269,[1]内部转账!$E:$E,$G3269)-SUMIFS([1]内部转账!$G:$G,[1]内部转账!$C:$C,"&lt;="&amp;$D3269,[1]内部转账!$F:$F,$G3269)),"")</f>
        <v/>
      </c>
      <c r="M3269" s="64"/>
      <c r="N3269" s="69"/>
      <c r="O3269" s="64"/>
      <c r="P3269" s="64"/>
      <c r="Q3269" s="69"/>
      <c r="R3269" s="69"/>
      <c r="S3269" s="69"/>
    </row>
    <row r="3270" s="2" customFormat="1" ht="24.95" customHeight="1" spans="1:19">
      <c r="A3270" s="15"/>
      <c r="B3270" s="55"/>
      <c r="C3270" s="56"/>
      <c r="D3270" s="68"/>
      <c r="E3270" s="69"/>
      <c r="F3270" s="69"/>
      <c r="G3270" s="65"/>
      <c r="H3270" s="65"/>
      <c r="I3270" s="70"/>
      <c r="J3270" s="71"/>
      <c r="K3270" s="71"/>
      <c r="L3270" s="72" t="str">
        <f>IFERROR(IF(G3270="","",VLOOKUP($G3270,[1]基础信息!$B:$C,2,FALSE)+SUMIF(G$8:G3270,G3270,J$8:J3270)-SUMIF(G$8:G3270,G3270,K$8:K3270)+SUMIFS([1]内部转账!$G:$G,[1]内部转账!$C:$C,"&lt;="&amp;$D3270,[1]内部转账!$E:$E,$G3270)-SUMIFS([1]内部转账!$G:$G,[1]内部转账!$C:$C,"&lt;="&amp;$D3270,[1]内部转账!$F:$F,$G3270)),"")</f>
        <v/>
      </c>
      <c r="M3270" s="64"/>
      <c r="N3270" s="69"/>
      <c r="O3270" s="64"/>
      <c r="P3270" s="64"/>
      <c r="Q3270" s="69"/>
      <c r="R3270" s="69"/>
      <c r="S3270" s="69"/>
    </row>
    <row r="3271" s="2" customFormat="1" ht="24.95" customHeight="1" spans="1:19">
      <c r="A3271" s="15"/>
      <c r="B3271" s="55"/>
      <c r="C3271" s="56"/>
      <c r="D3271" s="68"/>
      <c r="E3271" s="69"/>
      <c r="F3271" s="69"/>
      <c r="G3271" s="65"/>
      <c r="H3271" s="65"/>
      <c r="I3271" s="70"/>
      <c r="J3271" s="71"/>
      <c r="K3271" s="71"/>
      <c r="L3271" s="72" t="str">
        <f>IFERROR(IF(G3271="","",VLOOKUP($G3271,[1]基础信息!$B:$C,2,FALSE)+SUMIF(G$8:G3271,G3271,J$8:J3271)-SUMIF(G$8:G3271,G3271,K$8:K3271)+SUMIFS([1]内部转账!$G:$G,[1]内部转账!$C:$C,"&lt;="&amp;$D3271,[1]内部转账!$E:$E,$G3271)-SUMIFS([1]内部转账!$G:$G,[1]内部转账!$C:$C,"&lt;="&amp;$D3271,[1]内部转账!$F:$F,$G3271)),"")</f>
        <v/>
      </c>
      <c r="M3271" s="64"/>
      <c r="N3271" s="69"/>
      <c r="O3271" s="64"/>
      <c r="P3271" s="64"/>
      <c r="Q3271" s="69"/>
      <c r="R3271" s="69"/>
      <c r="S3271" s="69"/>
    </row>
    <row r="3272" s="2" customFormat="1" ht="24.95" customHeight="1" spans="1:19">
      <c r="A3272" s="15"/>
      <c r="B3272" s="55"/>
      <c r="C3272" s="56"/>
      <c r="D3272" s="68"/>
      <c r="E3272" s="69"/>
      <c r="F3272" s="69"/>
      <c r="G3272" s="65"/>
      <c r="H3272" s="65"/>
      <c r="I3272" s="70"/>
      <c r="J3272" s="71"/>
      <c r="K3272" s="71"/>
      <c r="L3272" s="72" t="str">
        <f>IFERROR(IF(G3272="","",VLOOKUP($G3272,[1]基础信息!$B:$C,2,FALSE)+SUMIF(G$8:G3272,G3272,J$8:J3272)-SUMIF(G$8:G3272,G3272,K$8:K3272)+SUMIFS([1]内部转账!$G:$G,[1]内部转账!$C:$C,"&lt;="&amp;$D3272,[1]内部转账!$E:$E,$G3272)-SUMIFS([1]内部转账!$G:$G,[1]内部转账!$C:$C,"&lt;="&amp;$D3272,[1]内部转账!$F:$F,$G3272)),"")</f>
        <v/>
      </c>
      <c r="M3272" s="64"/>
      <c r="N3272" s="69"/>
      <c r="O3272" s="64"/>
      <c r="P3272" s="64"/>
      <c r="Q3272" s="69"/>
      <c r="R3272" s="69"/>
      <c r="S3272" s="69"/>
    </row>
    <row r="3273" s="2" customFormat="1" ht="24.95" customHeight="1" spans="1:19">
      <c r="A3273" s="15"/>
      <c r="B3273" s="55"/>
      <c r="C3273" s="56"/>
      <c r="D3273" s="68"/>
      <c r="E3273" s="69"/>
      <c r="F3273" s="69"/>
      <c r="G3273" s="65"/>
      <c r="H3273" s="65"/>
      <c r="I3273" s="70"/>
      <c r="J3273" s="71"/>
      <c r="K3273" s="71"/>
      <c r="L3273" s="72" t="str">
        <f>IFERROR(IF(G3273="","",VLOOKUP($G3273,[1]基础信息!$B:$C,2,FALSE)+SUMIF(G$8:G3273,G3273,J$8:J3273)-SUMIF(G$8:G3273,G3273,K$8:K3273)+SUMIFS([1]内部转账!$G:$G,[1]内部转账!$C:$C,"&lt;="&amp;$D3273,[1]内部转账!$E:$E,$G3273)-SUMIFS([1]内部转账!$G:$G,[1]内部转账!$C:$C,"&lt;="&amp;$D3273,[1]内部转账!$F:$F,$G3273)),"")</f>
        <v/>
      </c>
      <c r="M3273" s="64"/>
      <c r="N3273" s="69"/>
      <c r="O3273" s="64"/>
      <c r="P3273" s="64"/>
      <c r="Q3273" s="69"/>
      <c r="R3273" s="69"/>
      <c r="S3273" s="69"/>
    </row>
    <row r="3274" s="2" customFormat="1" ht="24.95" customHeight="1" spans="1:19">
      <c r="A3274" s="15"/>
      <c r="B3274" s="55"/>
      <c r="C3274" s="56"/>
      <c r="D3274" s="68"/>
      <c r="E3274" s="69"/>
      <c r="F3274" s="69"/>
      <c r="G3274" s="65"/>
      <c r="H3274" s="65"/>
      <c r="I3274" s="70"/>
      <c r="J3274" s="71"/>
      <c r="K3274" s="71"/>
      <c r="L3274" s="72" t="str">
        <f>IFERROR(IF(G3274="","",VLOOKUP($G3274,[1]基础信息!$B:$C,2,FALSE)+SUMIF(G$8:G3274,G3274,J$8:J3274)-SUMIF(G$8:G3274,G3274,K$8:K3274)+SUMIFS([1]内部转账!$G:$G,[1]内部转账!$C:$C,"&lt;="&amp;$D3274,[1]内部转账!$E:$E,$G3274)-SUMIFS([1]内部转账!$G:$G,[1]内部转账!$C:$C,"&lt;="&amp;$D3274,[1]内部转账!$F:$F,$G3274)),"")</f>
        <v/>
      </c>
      <c r="M3274" s="64"/>
      <c r="N3274" s="69"/>
      <c r="O3274" s="64"/>
      <c r="P3274" s="64"/>
      <c r="Q3274" s="69"/>
      <c r="R3274" s="69"/>
      <c r="S3274" s="69"/>
    </row>
    <row r="3275" s="2" customFormat="1" ht="24.95" customHeight="1" spans="1:19">
      <c r="A3275" s="15"/>
      <c r="B3275" s="55"/>
      <c r="C3275" s="56"/>
      <c r="D3275" s="68"/>
      <c r="E3275" s="69"/>
      <c r="F3275" s="69"/>
      <c r="G3275" s="65"/>
      <c r="H3275" s="65"/>
      <c r="I3275" s="70"/>
      <c r="J3275" s="71"/>
      <c r="K3275" s="71"/>
      <c r="L3275" s="72" t="str">
        <f>IFERROR(IF(G3275="","",VLOOKUP($G3275,[1]基础信息!$B:$C,2,FALSE)+SUMIF(G$8:G3275,G3275,J$8:J3275)-SUMIF(G$8:G3275,G3275,K$8:K3275)+SUMIFS([1]内部转账!$G:$G,[1]内部转账!$C:$C,"&lt;="&amp;$D3275,[1]内部转账!$E:$E,$G3275)-SUMIFS([1]内部转账!$G:$G,[1]内部转账!$C:$C,"&lt;="&amp;$D3275,[1]内部转账!$F:$F,$G3275)),"")</f>
        <v/>
      </c>
      <c r="M3275" s="64"/>
      <c r="N3275" s="69"/>
      <c r="O3275" s="64"/>
      <c r="P3275" s="64"/>
      <c r="Q3275" s="69"/>
      <c r="R3275" s="69"/>
      <c r="S3275" s="69"/>
    </row>
    <row r="3276" s="2" customFormat="1" ht="24.95" customHeight="1" spans="1:19">
      <c r="A3276" s="15"/>
      <c r="B3276" s="55"/>
      <c r="C3276" s="56"/>
      <c r="D3276" s="68"/>
      <c r="E3276" s="69"/>
      <c r="F3276" s="69"/>
      <c r="G3276" s="65"/>
      <c r="H3276" s="65"/>
      <c r="I3276" s="70"/>
      <c r="J3276" s="71"/>
      <c r="K3276" s="71"/>
      <c r="L3276" s="72" t="str">
        <f>IFERROR(IF(G3276="","",VLOOKUP($G3276,[1]基础信息!$B:$C,2,FALSE)+SUMIF(G$8:G3276,G3276,J$8:J3276)-SUMIF(G$8:G3276,G3276,K$8:K3276)+SUMIFS([1]内部转账!$G:$G,[1]内部转账!$C:$C,"&lt;="&amp;$D3276,[1]内部转账!$E:$E,$G3276)-SUMIFS([1]内部转账!$G:$G,[1]内部转账!$C:$C,"&lt;="&amp;$D3276,[1]内部转账!$F:$F,$G3276)),"")</f>
        <v/>
      </c>
      <c r="M3276" s="64"/>
      <c r="N3276" s="69"/>
      <c r="O3276" s="64"/>
      <c r="P3276" s="64"/>
      <c r="Q3276" s="69"/>
      <c r="R3276" s="69"/>
      <c r="S3276" s="69"/>
    </row>
    <row r="3277" s="2" customFormat="1" ht="24.95" customHeight="1" spans="1:19">
      <c r="A3277" s="15"/>
      <c r="B3277" s="55"/>
      <c r="C3277" s="56"/>
      <c r="D3277" s="68"/>
      <c r="E3277" s="69"/>
      <c r="F3277" s="69"/>
      <c r="G3277" s="65"/>
      <c r="H3277" s="65"/>
      <c r="I3277" s="70"/>
      <c r="J3277" s="71"/>
      <c r="K3277" s="71"/>
      <c r="L3277" s="72" t="str">
        <f>IFERROR(IF(G3277="","",VLOOKUP($G3277,[1]基础信息!$B:$C,2,FALSE)+SUMIF(G$8:G3277,G3277,J$8:J3277)-SUMIF(G$8:G3277,G3277,K$8:K3277)+SUMIFS([1]内部转账!$G:$G,[1]内部转账!$C:$C,"&lt;="&amp;$D3277,[1]内部转账!$E:$E,$G3277)-SUMIFS([1]内部转账!$G:$G,[1]内部转账!$C:$C,"&lt;="&amp;$D3277,[1]内部转账!$F:$F,$G3277)),"")</f>
        <v/>
      </c>
      <c r="M3277" s="64"/>
      <c r="N3277" s="69"/>
      <c r="O3277" s="64"/>
      <c r="P3277" s="64"/>
      <c r="Q3277" s="69"/>
      <c r="R3277" s="69"/>
      <c r="S3277" s="69"/>
    </row>
    <row r="3278" s="2" customFormat="1" ht="24.95" customHeight="1" spans="1:19">
      <c r="A3278" s="15"/>
      <c r="B3278" s="55"/>
      <c r="C3278" s="56"/>
      <c r="D3278" s="68"/>
      <c r="E3278" s="69"/>
      <c r="F3278" s="69"/>
      <c r="G3278" s="65"/>
      <c r="H3278" s="65"/>
      <c r="I3278" s="70"/>
      <c r="J3278" s="71"/>
      <c r="K3278" s="71"/>
      <c r="L3278" s="72" t="str">
        <f>IFERROR(IF(G3278="","",VLOOKUP($G3278,[1]基础信息!$B:$C,2,FALSE)+SUMIF(G$8:G3278,G3278,J$8:J3278)-SUMIF(G$8:G3278,G3278,K$8:K3278)+SUMIFS([1]内部转账!$G:$G,[1]内部转账!$C:$C,"&lt;="&amp;$D3278,[1]内部转账!$E:$E,$G3278)-SUMIFS([1]内部转账!$G:$G,[1]内部转账!$C:$C,"&lt;="&amp;$D3278,[1]内部转账!$F:$F,$G3278)),"")</f>
        <v/>
      </c>
      <c r="M3278" s="64"/>
      <c r="N3278" s="69"/>
      <c r="O3278" s="64"/>
      <c r="P3278" s="64"/>
      <c r="Q3278" s="69"/>
      <c r="R3278" s="69"/>
      <c r="S3278" s="69"/>
    </row>
    <row r="3279" s="2" customFormat="1" ht="24.95" customHeight="1" spans="1:19">
      <c r="A3279" s="15"/>
      <c r="B3279" s="55"/>
      <c r="C3279" s="56"/>
      <c r="D3279" s="68"/>
      <c r="E3279" s="69"/>
      <c r="F3279" s="69"/>
      <c r="G3279" s="65"/>
      <c r="H3279" s="65"/>
      <c r="I3279" s="70"/>
      <c r="J3279" s="71"/>
      <c r="K3279" s="71"/>
      <c r="L3279" s="72" t="str">
        <f>IFERROR(IF(G3279="","",VLOOKUP($G3279,[1]基础信息!$B:$C,2,FALSE)+SUMIF(G$8:G3279,G3279,J$8:J3279)-SUMIF(G$8:G3279,G3279,K$8:K3279)+SUMIFS([1]内部转账!$G:$G,[1]内部转账!$C:$C,"&lt;="&amp;$D3279,[1]内部转账!$E:$E,$G3279)-SUMIFS([1]内部转账!$G:$G,[1]内部转账!$C:$C,"&lt;="&amp;$D3279,[1]内部转账!$F:$F,$G3279)),"")</f>
        <v/>
      </c>
      <c r="M3279" s="64"/>
      <c r="N3279" s="69"/>
      <c r="O3279" s="64"/>
      <c r="P3279" s="64"/>
      <c r="Q3279" s="69"/>
      <c r="R3279" s="69"/>
      <c r="S3279" s="69"/>
    </row>
    <row r="3280" s="2" customFormat="1" ht="24.95" customHeight="1" spans="1:19">
      <c r="A3280" s="15"/>
      <c r="B3280" s="55"/>
      <c r="C3280" s="56"/>
      <c r="D3280" s="68"/>
      <c r="E3280" s="69"/>
      <c r="F3280" s="69"/>
      <c r="G3280" s="65"/>
      <c r="H3280" s="65"/>
      <c r="I3280" s="70"/>
      <c r="J3280" s="71"/>
      <c r="K3280" s="71"/>
      <c r="L3280" s="72" t="str">
        <f>IFERROR(IF(G3280="","",VLOOKUP($G3280,[1]基础信息!$B:$C,2,FALSE)+SUMIF(G$8:G3280,G3280,J$8:J3280)-SUMIF(G$8:G3280,G3280,K$8:K3280)+SUMIFS([1]内部转账!$G:$G,[1]内部转账!$C:$C,"&lt;="&amp;$D3280,[1]内部转账!$E:$E,$G3280)-SUMIFS([1]内部转账!$G:$G,[1]内部转账!$C:$C,"&lt;="&amp;$D3280,[1]内部转账!$F:$F,$G3280)),"")</f>
        <v/>
      </c>
      <c r="M3280" s="64"/>
      <c r="N3280" s="69"/>
      <c r="O3280" s="64"/>
      <c r="P3280" s="64"/>
      <c r="Q3280" s="69"/>
      <c r="R3280" s="69"/>
      <c r="S3280" s="69"/>
    </row>
    <row r="3281" s="2" customFormat="1" ht="24.95" customHeight="1" spans="1:19">
      <c r="A3281" s="15"/>
      <c r="B3281" s="55"/>
      <c r="C3281" s="56"/>
      <c r="D3281" s="68"/>
      <c r="E3281" s="69"/>
      <c r="F3281" s="69"/>
      <c r="G3281" s="65"/>
      <c r="H3281" s="65"/>
      <c r="I3281" s="70"/>
      <c r="J3281" s="71"/>
      <c r="K3281" s="71"/>
      <c r="L3281" s="72" t="str">
        <f>IFERROR(IF(G3281="","",VLOOKUP($G3281,[1]基础信息!$B:$C,2,FALSE)+SUMIF(G$8:G3281,G3281,J$8:J3281)-SUMIF(G$8:G3281,G3281,K$8:K3281)+SUMIFS([1]内部转账!$G:$G,[1]内部转账!$C:$C,"&lt;="&amp;$D3281,[1]内部转账!$E:$E,$G3281)-SUMIFS([1]内部转账!$G:$G,[1]内部转账!$C:$C,"&lt;="&amp;$D3281,[1]内部转账!$F:$F,$G3281)),"")</f>
        <v/>
      </c>
      <c r="M3281" s="64"/>
      <c r="N3281" s="69"/>
      <c r="O3281" s="64"/>
      <c r="P3281" s="64"/>
      <c r="Q3281" s="69"/>
      <c r="R3281" s="69"/>
      <c r="S3281" s="69"/>
    </row>
    <row r="3282" s="2" customFormat="1" ht="24.95" customHeight="1" spans="1:19">
      <c r="A3282" s="15"/>
      <c r="B3282" s="55"/>
      <c r="C3282" s="56"/>
      <c r="D3282" s="68"/>
      <c r="E3282" s="69"/>
      <c r="F3282" s="69"/>
      <c r="G3282" s="65"/>
      <c r="H3282" s="65"/>
      <c r="I3282" s="70"/>
      <c r="J3282" s="71"/>
      <c r="K3282" s="71"/>
      <c r="L3282" s="72" t="str">
        <f>IFERROR(IF(G3282="","",VLOOKUP($G3282,[1]基础信息!$B:$C,2,FALSE)+SUMIF(G$8:G3282,G3282,J$8:J3282)-SUMIF(G$8:G3282,G3282,K$8:K3282)+SUMIFS([1]内部转账!$G:$G,[1]内部转账!$C:$C,"&lt;="&amp;$D3282,[1]内部转账!$E:$E,$G3282)-SUMIFS([1]内部转账!$G:$G,[1]内部转账!$C:$C,"&lt;="&amp;$D3282,[1]内部转账!$F:$F,$G3282)),"")</f>
        <v/>
      </c>
      <c r="M3282" s="64"/>
      <c r="N3282" s="69"/>
      <c r="O3282" s="64"/>
      <c r="P3282" s="64"/>
      <c r="Q3282" s="69"/>
      <c r="R3282" s="69"/>
      <c r="S3282" s="69"/>
    </row>
    <row r="3283" s="2" customFormat="1" ht="24.95" customHeight="1" spans="1:19">
      <c r="A3283" s="15"/>
      <c r="B3283" s="55"/>
      <c r="C3283" s="56"/>
      <c r="D3283" s="68"/>
      <c r="E3283" s="69"/>
      <c r="F3283" s="69"/>
      <c r="G3283" s="65"/>
      <c r="H3283" s="65"/>
      <c r="I3283" s="70"/>
      <c r="J3283" s="71"/>
      <c r="K3283" s="71"/>
      <c r="L3283" s="72" t="str">
        <f>IFERROR(IF(G3283="","",VLOOKUP($G3283,[1]基础信息!$B:$C,2,FALSE)+SUMIF(G$8:G3283,G3283,J$8:J3283)-SUMIF(G$8:G3283,G3283,K$8:K3283)+SUMIFS([1]内部转账!$G:$G,[1]内部转账!$C:$C,"&lt;="&amp;$D3283,[1]内部转账!$E:$E,$G3283)-SUMIFS([1]内部转账!$G:$G,[1]内部转账!$C:$C,"&lt;="&amp;$D3283,[1]内部转账!$F:$F,$G3283)),"")</f>
        <v/>
      </c>
      <c r="M3283" s="64"/>
      <c r="N3283" s="69"/>
      <c r="O3283" s="64"/>
      <c r="P3283" s="64"/>
      <c r="Q3283" s="69"/>
      <c r="R3283" s="69"/>
      <c r="S3283" s="69"/>
    </row>
    <row r="3284" s="2" customFormat="1" ht="24.95" customHeight="1" spans="1:19">
      <c r="A3284" s="15"/>
      <c r="B3284" s="55"/>
      <c r="C3284" s="56"/>
      <c r="D3284" s="68"/>
      <c r="E3284" s="69"/>
      <c r="F3284" s="69"/>
      <c r="G3284" s="65"/>
      <c r="H3284" s="65"/>
      <c r="I3284" s="70"/>
      <c r="J3284" s="71"/>
      <c r="K3284" s="71"/>
      <c r="L3284" s="72" t="str">
        <f>IFERROR(IF(G3284="","",VLOOKUP($G3284,[1]基础信息!$B:$C,2,FALSE)+SUMIF(G$8:G3284,G3284,J$8:J3284)-SUMIF(G$8:G3284,G3284,K$8:K3284)+SUMIFS([1]内部转账!$G:$G,[1]内部转账!$C:$C,"&lt;="&amp;$D3284,[1]内部转账!$E:$E,$G3284)-SUMIFS([1]内部转账!$G:$G,[1]内部转账!$C:$C,"&lt;="&amp;$D3284,[1]内部转账!$F:$F,$G3284)),"")</f>
        <v/>
      </c>
      <c r="M3284" s="64"/>
      <c r="N3284" s="69"/>
      <c r="O3284" s="64"/>
      <c r="P3284" s="64"/>
      <c r="Q3284" s="69"/>
      <c r="R3284" s="69"/>
      <c r="S3284" s="69"/>
    </row>
    <row r="3285" s="2" customFormat="1" ht="24.95" customHeight="1" spans="1:19">
      <c r="A3285" s="15"/>
      <c r="B3285" s="55"/>
      <c r="C3285" s="56"/>
      <c r="D3285" s="68"/>
      <c r="E3285" s="69"/>
      <c r="F3285" s="69"/>
      <c r="G3285" s="65"/>
      <c r="H3285" s="65"/>
      <c r="I3285" s="70"/>
      <c r="J3285" s="71"/>
      <c r="K3285" s="71"/>
      <c r="L3285" s="72" t="str">
        <f>IFERROR(IF(G3285="","",VLOOKUP($G3285,[1]基础信息!$B:$C,2,FALSE)+SUMIF(G$8:G3285,G3285,J$8:J3285)-SUMIF(G$8:G3285,G3285,K$8:K3285)+SUMIFS([1]内部转账!$G:$G,[1]内部转账!$C:$C,"&lt;="&amp;$D3285,[1]内部转账!$E:$E,$G3285)-SUMIFS([1]内部转账!$G:$G,[1]内部转账!$C:$C,"&lt;="&amp;$D3285,[1]内部转账!$F:$F,$G3285)),"")</f>
        <v/>
      </c>
      <c r="M3285" s="64"/>
      <c r="N3285" s="69"/>
      <c r="O3285" s="64"/>
      <c r="P3285" s="64"/>
      <c r="Q3285" s="69"/>
      <c r="R3285" s="69"/>
      <c r="S3285" s="69"/>
    </row>
    <row r="3286" s="2" customFormat="1" ht="24.95" customHeight="1" spans="1:19">
      <c r="A3286" s="15"/>
      <c r="B3286" s="55"/>
      <c r="C3286" s="56"/>
      <c r="D3286" s="68"/>
      <c r="E3286" s="69"/>
      <c r="F3286" s="69"/>
      <c r="G3286" s="65"/>
      <c r="H3286" s="65"/>
      <c r="I3286" s="70"/>
      <c r="J3286" s="71"/>
      <c r="K3286" s="71"/>
      <c r="L3286" s="72" t="str">
        <f>IFERROR(IF(G3286="","",VLOOKUP($G3286,[1]基础信息!$B:$C,2,FALSE)+SUMIF(G$8:G3286,G3286,J$8:J3286)-SUMIF(G$8:G3286,G3286,K$8:K3286)+SUMIFS([1]内部转账!$G:$G,[1]内部转账!$C:$C,"&lt;="&amp;$D3286,[1]内部转账!$E:$E,$G3286)-SUMIFS([1]内部转账!$G:$G,[1]内部转账!$C:$C,"&lt;="&amp;$D3286,[1]内部转账!$F:$F,$G3286)),"")</f>
        <v/>
      </c>
      <c r="M3286" s="64"/>
      <c r="N3286" s="69"/>
      <c r="O3286" s="64"/>
      <c r="P3286" s="64"/>
      <c r="Q3286" s="69"/>
      <c r="R3286" s="69"/>
      <c r="S3286" s="69"/>
    </row>
    <row r="3287" s="2" customFormat="1" ht="24.95" customHeight="1" spans="1:19">
      <c r="A3287" s="15"/>
      <c r="B3287" s="55"/>
      <c r="C3287" s="56"/>
      <c r="D3287" s="68"/>
      <c r="E3287" s="69"/>
      <c r="F3287" s="69"/>
      <c r="G3287" s="65"/>
      <c r="H3287" s="65"/>
      <c r="I3287" s="70"/>
      <c r="J3287" s="71"/>
      <c r="K3287" s="71"/>
      <c r="L3287" s="72" t="str">
        <f>IFERROR(IF(G3287="","",VLOOKUP($G3287,[1]基础信息!$B:$C,2,FALSE)+SUMIF(G$8:G3287,G3287,J$8:J3287)-SUMIF(G$8:G3287,G3287,K$8:K3287)+SUMIFS([1]内部转账!$G:$G,[1]内部转账!$C:$C,"&lt;="&amp;$D3287,[1]内部转账!$E:$E,$G3287)-SUMIFS([1]内部转账!$G:$G,[1]内部转账!$C:$C,"&lt;="&amp;$D3287,[1]内部转账!$F:$F,$G3287)),"")</f>
        <v/>
      </c>
      <c r="M3287" s="64"/>
      <c r="N3287" s="69"/>
      <c r="O3287" s="64"/>
      <c r="P3287" s="64"/>
      <c r="Q3287" s="69"/>
      <c r="R3287" s="69"/>
      <c r="S3287" s="69"/>
    </row>
    <row r="3288" s="2" customFormat="1" ht="24.95" customHeight="1" spans="1:19">
      <c r="A3288" s="15"/>
      <c r="B3288" s="55"/>
      <c r="C3288" s="56"/>
      <c r="D3288" s="68"/>
      <c r="E3288" s="69"/>
      <c r="F3288" s="69"/>
      <c r="G3288" s="65"/>
      <c r="H3288" s="65"/>
      <c r="I3288" s="70"/>
      <c r="J3288" s="71"/>
      <c r="K3288" s="71"/>
      <c r="L3288" s="72" t="str">
        <f>IFERROR(IF(G3288="","",VLOOKUP($G3288,[1]基础信息!$B:$C,2,FALSE)+SUMIF(G$8:G3288,G3288,J$8:J3288)-SUMIF(G$8:G3288,G3288,K$8:K3288)+SUMIFS([1]内部转账!$G:$G,[1]内部转账!$C:$C,"&lt;="&amp;$D3288,[1]内部转账!$E:$E,$G3288)-SUMIFS([1]内部转账!$G:$G,[1]内部转账!$C:$C,"&lt;="&amp;$D3288,[1]内部转账!$F:$F,$G3288)),"")</f>
        <v/>
      </c>
      <c r="M3288" s="64"/>
      <c r="N3288" s="69"/>
      <c r="O3288" s="64"/>
      <c r="P3288" s="64"/>
      <c r="Q3288" s="69"/>
      <c r="R3288" s="69"/>
      <c r="S3288" s="69"/>
    </row>
    <row r="3289" s="2" customFormat="1" ht="24.95" customHeight="1" spans="1:19">
      <c r="A3289" s="15"/>
      <c r="B3289" s="55"/>
      <c r="C3289" s="56"/>
      <c r="D3289" s="68"/>
      <c r="E3289" s="69"/>
      <c r="F3289" s="69"/>
      <c r="G3289" s="65"/>
      <c r="H3289" s="65"/>
      <c r="I3289" s="70"/>
      <c r="J3289" s="71"/>
      <c r="K3289" s="71"/>
      <c r="L3289" s="72" t="str">
        <f>IFERROR(IF(G3289="","",VLOOKUP($G3289,[1]基础信息!$B:$C,2,FALSE)+SUMIF(G$8:G3289,G3289,J$8:J3289)-SUMIF(G$8:G3289,G3289,K$8:K3289)+SUMIFS([1]内部转账!$G:$G,[1]内部转账!$C:$C,"&lt;="&amp;$D3289,[1]内部转账!$E:$E,$G3289)-SUMIFS([1]内部转账!$G:$G,[1]内部转账!$C:$C,"&lt;="&amp;$D3289,[1]内部转账!$F:$F,$G3289)),"")</f>
        <v/>
      </c>
      <c r="M3289" s="64"/>
      <c r="N3289" s="69"/>
      <c r="O3289" s="64"/>
      <c r="P3289" s="64"/>
      <c r="Q3289" s="69"/>
      <c r="R3289" s="69"/>
      <c r="S3289" s="69"/>
    </row>
    <row r="3290" s="2" customFormat="1" ht="24.95" customHeight="1" spans="1:19">
      <c r="A3290" s="15"/>
      <c r="B3290" s="55"/>
      <c r="C3290" s="56"/>
      <c r="D3290" s="68"/>
      <c r="E3290" s="69"/>
      <c r="F3290" s="69"/>
      <c r="G3290" s="65"/>
      <c r="H3290" s="65"/>
      <c r="I3290" s="70"/>
      <c r="J3290" s="71"/>
      <c r="K3290" s="71"/>
      <c r="L3290" s="72" t="str">
        <f>IFERROR(IF(G3290="","",VLOOKUP($G3290,[1]基础信息!$B:$C,2,FALSE)+SUMIF(G$8:G3290,G3290,J$8:J3290)-SUMIF(G$8:G3290,G3290,K$8:K3290)+SUMIFS([1]内部转账!$G:$G,[1]内部转账!$C:$C,"&lt;="&amp;$D3290,[1]内部转账!$E:$E,$G3290)-SUMIFS([1]内部转账!$G:$G,[1]内部转账!$C:$C,"&lt;="&amp;$D3290,[1]内部转账!$F:$F,$G3290)),"")</f>
        <v/>
      </c>
      <c r="M3290" s="64"/>
      <c r="N3290" s="69"/>
      <c r="O3290" s="64"/>
      <c r="P3290" s="64"/>
      <c r="Q3290" s="69"/>
      <c r="R3290" s="69"/>
      <c r="S3290" s="69"/>
    </row>
    <row r="3291" s="2" customFormat="1" ht="24.95" customHeight="1" spans="1:19">
      <c r="A3291" s="15"/>
      <c r="B3291" s="55"/>
      <c r="C3291" s="56"/>
      <c r="D3291" s="68"/>
      <c r="E3291" s="69"/>
      <c r="F3291" s="69"/>
      <c r="G3291" s="65"/>
      <c r="H3291" s="65"/>
      <c r="I3291" s="70"/>
      <c r="J3291" s="71"/>
      <c r="K3291" s="71"/>
      <c r="L3291" s="72" t="str">
        <f>IFERROR(IF(G3291="","",VLOOKUP($G3291,[1]基础信息!$B:$C,2,FALSE)+SUMIF(G$8:G3291,G3291,J$8:J3291)-SUMIF(G$8:G3291,G3291,K$8:K3291)+SUMIFS([1]内部转账!$G:$G,[1]内部转账!$C:$C,"&lt;="&amp;$D3291,[1]内部转账!$E:$E,$G3291)-SUMIFS([1]内部转账!$G:$G,[1]内部转账!$C:$C,"&lt;="&amp;$D3291,[1]内部转账!$F:$F,$G3291)),"")</f>
        <v/>
      </c>
      <c r="M3291" s="64"/>
      <c r="N3291" s="69"/>
      <c r="O3291" s="64"/>
      <c r="P3291" s="64"/>
      <c r="Q3291" s="69"/>
      <c r="R3291" s="69"/>
      <c r="S3291" s="69"/>
    </row>
    <row r="3292" s="2" customFormat="1" ht="24.95" customHeight="1" spans="1:19">
      <c r="A3292" s="15"/>
      <c r="B3292" s="55"/>
      <c r="C3292" s="56"/>
      <c r="D3292" s="68"/>
      <c r="E3292" s="69"/>
      <c r="F3292" s="69"/>
      <c r="G3292" s="65"/>
      <c r="H3292" s="65"/>
      <c r="I3292" s="70"/>
      <c r="J3292" s="71"/>
      <c r="K3292" s="71"/>
      <c r="L3292" s="72" t="str">
        <f>IFERROR(IF(G3292="","",VLOOKUP($G3292,[1]基础信息!$B:$C,2,FALSE)+SUMIF(G$8:G3292,G3292,J$8:J3292)-SUMIF(G$8:G3292,G3292,K$8:K3292)+SUMIFS([1]内部转账!$G:$G,[1]内部转账!$C:$C,"&lt;="&amp;$D3292,[1]内部转账!$E:$E,$G3292)-SUMIFS([1]内部转账!$G:$G,[1]内部转账!$C:$C,"&lt;="&amp;$D3292,[1]内部转账!$F:$F,$G3292)),"")</f>
        <v/>
      </c>
      <c r="M3292" s="64"/>
      <c r="N3292" s="69"/>
      <c r="O3292" s="64"/>
      <c r="P3292" s="64"/>
      <c r="Q3292" s="69"/>
      <c r="R3292" s="69"/>
      <c r="S3292" s="69"/>
    </row>
    <row r="3293" s="2" customFormat="1" ht="24.95" customHeight="1" spans="1:19">
      <c r="A3293" s="15"/>
      <c r="B3293" s="55"/>
      <c r="C3293" s="56"/>
      <c r="D3293" s="68"/>
      <c r="E3293" s="69"/>
      <c r="F3293" s="69"/>
      <c r="G3293" s="65"/>
      <c r="H3293" s="65"/>
      <c r="I3293" s="70"/>
      <c r="J3293" s="71"/>
      <c r="K3293" s="71"/>
      <c r="L3293" s="72" t="str">
        <f>IFERROR(IF(G3293="","",VLOOKUP($G3293,[1]基础信息!$B:$C,2,FALSE)+SUMIF(G$8:G3293,G3293,J$8:J3293)-SUMIF(G$8:G3293,G3293,K$8:K3293)+SUMIFS([1]内部转账!$G:$G,[1]内部转账!$C:$C,"&lt;="&amp;$D3293,[1]内部转账!$E:$E,$G3293)-SUMIFS([1]内部转账!$G:$G,[1]内部转账!$C:$C,"&lt;="&amp;$D3293,[1]内部转账!$F:$F,$G3293)),"")</f>
        <v/>
      </c>
      <c r="M3293" s="64"/>
      <c r="N3293" s="69"/>
      <c r="O3293" s="64"/>
      <c r="P3293" s="64"/>
      <c r="Q3293" s="69"/>
      <c r="R3293" s="69"/>
      <c r="S3293" s="69"/>
    </row>
    <row r="3294" s="2" customFormat="1" ht="24.95" customHeight="1" spans="1:19">
      <c r="A3294" s="15"/>
      <c r="B3294" s="55"/>
      <c r="C3294" s="56"/>
      <c r="D3294" s="68"/>
      <c r="E3294" s="69"/>
      <c r="F3294" s="69"/>
      <c r="G3294" s="65"/>
      <c r="H3294" s="65"/>
      <c r="I3294" s="70"/>
      <c r="J3294" s="71"/>
      <c r="K3294" s="71"/>
      <c r="L3294" s="72" t="str">
        <f>IFERROR(IF(G3294="","",VLOOKUP($G3294,[1]基础信息!$B:$C,2,FALSE)+SUMIF(G$8:G3294,G3294,J$8:J3294)-SUMIF(G$8:G3294,G3294,K$8:K3294)+SUMIFS([1]内部转账!$G:$G,[1]内部转账!$C:$C,"&lt;="&amp;$D3294,[1]内部转账!$E:$E,$G3294)-SUMIFS([1]内部转账!$G:$G,[1]内部转账!$C:$C,"&lt;="&amp;$D3294,[1]内部转账!$F:$F,$G3294)),"")</f>
        <v/>
      </c>
      <c r="M3294" s="64"/>
      <c r="N3294" s="69"/>
      <c r="O3294" s="64"/>
      <c r="P3294" s="64"/>
      <c r="Q3294" s="69"/>
      <c r="R3294" s="69"/>
      <c r="S3294" s="69"/>
    </row>
    <row r="3295" s="2" customFormat="1" ht="24.95" customHeight="1" spans="1:19">
      <c r="A3295" s="15"/>
      <c r="B3295" s="55"/>
      <c r="C3295" s="56"/>
      <c r="D3295" s="68"/>
      <c r="E3295" s="69"/>
      <c r="F3295" s="69"/>
      <c r="G3295" s="65"/>
      <c r="H3295" s="65"/>
      <c r="I3295" s="70"/>
      <c r="J3295" s="71"/>
      <c r="K3295" s="71"/>
      <c r="L3295" s="72" t="str">
        <f>IFERROR(IF(G3295="","",VLOOKUP($G3295,[1]基础信息!$B:$C,2,FALSE)+SUMIF(G$8:G3295,G3295,J$8:J3295)-SUMIF(G$8:G3295,G3295,K$8:K3295)+SUMIFS([1]内部转账!$G:$G,[1]内部转账!$C:$C,"&lt;="&amp;$D3295,[1]内部转账!$E:$E,$G3295)-SUMIFS([1]内部转账!$G:$G,[1]内部转账!$C:$C,"&lt;="&amp;$D3295,[1]内部转账!$F:$F,$G3295)),"")</f>
        <v/>
      </c>
      <c r="M3295" s="64"/>
      <c r="N3295" s="69"/>
      <c r="O3295" s="64"/>
      <c r="P3295" s="64"/>
      <c r="Q3295" s="69"/>
      <c r="R3295" s="69"/>
      <c r="S3295" s="69"/>
    </row>
    <row r="3296" s="2" customFormat="1" ht="24.95" customHeight="1" spans="1:19">
      <c r="A3296" s="15"/>
      <c r="B3296" s="55"/>
      <c r="C3296" s="56"/>
      <c r="D3296" s="68"/>
      <c r="E3296" s="69"/>
      <c r="F3296" s="69"/>
      <c r="G3296" s="65"/>
      <c r="H3296" s="65"/>
      <c r="I3296" s="70"/>
      <c r="J3296" s="71"/>
      <c r="K3296" s="71"/>
      <c r="L3296" s="72" t="str">
        <f>IFERROR(IF(G3296="","",VLOOKUP($G3296,[1]基础信息!$B:$C,2,FALSE)+SUMIF(G$8:G3296,G3296,J$8:J3296)-SUMIF(G$8:G3296,G3296,K$8:K3296)+SUMIFS([1]内部转账!$G:$G,[1]内部转账!$C:$C,"&lt;="&amp;$D3296,[1]内部转账!$E:$E,$G3296)-SUMIFS([1]内部转账!$G:$G,[1]内部转账!$C:$C,"&lt;="&amp;$D3296,[1]内部转账!$F:$F,$G3296)),"")</f>
        <v/>
      </c>
      <c r="M3296" s="64"/>
      <c r="N3296" s="69"/>
      <c r="O3296" s="64"/>
      <c r="P3296" s="64"/>
      <c r="Q3296" s="69"/>
      <c r="R3296" s="69"/>
      <c r="S3296" s="69"/>
    </row>
    <row r="3297" s="2" customFormat="1" ht="24.95" customHeight="1" spans="1:19">
      <c r="A3297" s="15"/>
      <c r="B3297" s="55"/>
      <c r="C3297" s="56"/>
      <c r="D3297" s="68"/>
      <c r="E3297" s="69"/>
      <c r="F3297" s="69"/>
      <c r="G3297" s="65"/>
      <c r="H3297" s="65"/>
      <c r="I3297" s="70"/>
      <c r="J3297" s="71"/>
      <c r="K3297" s="71"/>
      <c r="L3297" s="72" t="str">
        <f>IFERROR(IF(G3297="","",VLOOKUP($G3297,[1]基础信息!$B:$C,2,FALSE)+SUMIF(G$8:G3297,G3297,J$8:J3297)-SUMIF(G$8:G3297,G3297,K$8:K3297)+SUMIFS([1]内部转账!$G:$G,[1]内部转账!$C:$C,"&lt;="&amp;$D3297,[1]内部转账!$E:$E,$G3297)-SUMIFS([1]内部转账!$G:$G,[1]内部转账!$C:$C,"&lt;="&amp;$D3297,[1]内部转账!$F:$F,$G3297)),"")</f>
        <v/>
      </c>
      <c r="M3297" s="64"/>
      <c r="N3297" s="69"/>
      <c r="O3297" s="64"/>
      <c r="P3297" s="64"/>
      <c r="Q3297" s="69"/>
      <c r="R3297" s="69"/>
      <c r="S3297" s="69"/>
    </row>
    <row r="3298" s="2" customFormat="1" ht="24.95" customHeight="1" spans="1:19">
      <c r="A3298" s="15"/>
      <c r="B3298" s="55"/>
      <c r="C3298" s="56"/>
      <c r="D3298" s="68"/>
      <c r="E3298" s="69"/>
      <c r="F3298" s="69"/>
      <c r="G3298" s="65"/>
      <c r="H3298" s="65"/>
      <c r="I3298" s="70"/>
      <c r="J3298" s="71"/>
      <c r="K3298" s="71"/>
      <c r="L3298" s="72" t="str">
        <f>IFERROR(IF(G3298="","",VLOOKUP($G3298,[1]基础信息!$B:$C,2,FALSE)+SUMIF(G$8:G3298,G3298,J$8:J3298)-SUMIF(G$8:G3298,G3298,K$8:K3298)+SUMIFS([1]内部转账!$G:$G,[1]内部转账!$C:$C,"&lt;="&amp;$D3298,[1]内部转账!$E:$E,$G3298)-SUMIFS([1]内部转账!$G:$G,[1]内部转账!$C:$C,"&lt;="&amp;$D3298,[1]内部转账!$F:$F,$G3298)),"")</f>
        <v/>
      </c>
      <c r="M3298" s="64"/>
      <c r="N3298" s="69"/>
      <c r="O3298" s="64"/>
      <c r="P3298" s="64"/>
      <c r="Q3298" s="69"/>
      <c r="R3298" s="69"/>
      <c r="S3298" s="69"/>
    </row>
    <row r="3299" s="2" customFormat="1" ht="24.95" customHeight="1" spans="1:19">
      <c r="A3299" s="15"/>
      <c r="B3299" s="55"/>
      <c r="C3299" s="56"/>
      <c r="D3299" s="68"/>
      <c r="E3299" s="69"/>
      <c r="F3299" s="69"/>
      <c r="G3299" s="65"/>
      <c r="H3299" s="65"/>
      <c r="I3299" s="70"/>
      <c r="J3299" s="71"/>
      <c r="K3299" s="71"/>
      <c r="L3299" s="72" t="str">
        <f>IFERROR(IF(G3299="","",VLOOKUP($G3299,[1]基础信息!$B:$C,2,FALSE)+SUMIF(G$8:G3299,G3299,J$8:J3299)-SUMIF(G$8:G3299,G3299,K$8:K3299)+SUMIFS([1]内部转账!$G:$G,[1]内部转账!$C:$C,"&lt;="&amp;$D3299,[1]内部转账!$E:$E,$G3299)-SUMIFS([1]内部转账!$G:$G,[1]内部转账!$C:$C,"&lt;="&amp;$D3299,[1]内部转账!$F:$F,$G3299)),"")</f>
        <v/>
      </c>
      <c r="M3299" s="64"/>
      <c r="N3299" s="69"/>
      <c r="O3299" s="64"/>
      <c r="P3299" s="64"/>
      <c r="Q3299" s="69"/>
      <c r="R3299" s="69"/>
      <c r="S3299" s="69"/>
    </row>
    <row r="3300" s="2" customFormat="1" ht="24.95" customHeight="1" spans="1:19">
      <c r="A3300" s="15"/>
      <c r="B3300" s="55"/>
      <c r="C3300" s="56"/>
      <c r="D3300" s="68"/>
      <c r="E3300" s="69"/>
      <c r="F3300" s="69"/>
      <c r="G3300" s="65"/>
      <c r="H3300" s="65"/>
      <c r="I3300" s="70"/>
      <c r="J3300" s="71"/>
      <c r="K3300" s="71"/>
      <c r="L3300" s="72" t="str">
        <f>IFERROR(IF(G3300="","",VLOOKUP($G3300,[1]基础信息!$B:$C,2,FALSE)+SUMIF(G$8:G3300,G3300,J$8:J3300)-SUMIF(G$8:G3300,G3300,K$8:K3300)+SUMIFS([1]内部转账!$G:$G,[1]内部转账!$C:$C,"&lt;="&amp;$D3300,[1]内部转账!$E:$E,$G3300)-SUMIFS([1]内部转账!$G:$G,[1]内部转账!$C:$C,"&lt;="&amp;$D3300,[1]内部转账!$F:$F,$G3300)),"")</f>
        <v/>
      </c>
      <c r="M3300" s="64"/>
      <c r="N3300" s="69"/>
      <c r="O3300" s="64"/>
      <c r="P3300" s="64"/>
      <c r="Q3300" s="69"/>
      <c r="R3300" s="69"/>
      <c r="S3300" s="69"/>
    </row>
    <row r="3301" s="2" customFormat="1" ht="24.95" customHeight="1" spans="1:19">
      <c r="A3301" s="15"/>
      <c r="B3301" s="55"/>
      <c r="C3301" s="56"/>
      <c r="D3301" s="68"/>
      <c r="E3301" s="69"/>
      <c r="F3301" s="69"/>
      <c r="G3301" s="65"/>
      <c r="H3301" s="65"/>
      <c r="I3301" s="70"/>
      <c r="J3301" s="71"/>
      <c r="K3301" s="71"/>
      <c r="L3301" s="72" t="str">
        <f>IFERROR(IF(G3301="","",VLOOKUP($G3301,[1]基础信息!$B:$C,2,FALSE)+SUMIF(G$8:G3301,G3301,J$8:J3301)-SUMIF(G$8:G3301,G3301,K$8:K3301)+SUMIFS([1]内部转账!$G:$G,[1]内部转账!$C:$C,"&lt;="&amp;$D3301,[1]内部转账!$E:$E,$G3301)-SUMIFS([1]内部转账!$G:$G,[1]内部转账!$C:$C,"&lt;="&amp;$D3301,[1]内部转账!$F:$F,$G3301)),"")</f>
        <v/>
      </c>
      <c r="M3301" s="64"/>
      <c r="N3301" s="69"/>
      <c r="O3301" s="64"/>
      <c r="P3301" s="64"/>
      <c r="Q3301" s="69"/>
      <c r="R3301" s="69"/>
      <c r="S3301" s="69"/>
    </row>
    <row r="3302" s="2" customFormat="1" ht="24.95" customHeight="1" spans="1:19">
      <c r="A3302" s="15"/>
      <c r="B3302" s="55"/>
      <c r="C3302" s="56"/>
      <c r="D3302" s="68"/>
      <c r="E3302" s="69"/>
      <c r="F3302" s="69"/>
      <c r="G3302" s="65"/>
      <c r="H3302" s="65"/>
      <c r="I3302" s="70"/>
      <c r="J3302" s="71"/>
      <c r="K3302" s="71"/>
      <c r="L3302" s="72" t="str">
        <f>IFERROR(IF(G3302="","",VLOOKUP($G3302,[1]基础信息!$B:$C,2,FALSE)+SUMIF(G$8:G3302,G3302,J$8:J3302)-SUMIF(G$8:G3302,G3302,K$8:K3302)+SUMIFS([1]内部转账!$G:$G,[1]内部转账!$C:$C,"&lt;="&amp;$D3302,[1]内部转账!$E:$E,$G3302)-SUMIFS([1]内部转账!$G:$G,[1]内部转账!$C:$C,"&lt;="&amp;$D3302,[1]内部转账!$F:$F,$G3302)),"")</f>
        <v/>
      </c>
      <c r="M3302" s="64"/>
      <c r="N3302" s="69"/>
      <c r="O3302" s="64"/>
      <c r="P3302" s="64"/>
      <c r="Q3302" s="69"/>
      <c r="R3302" s="69"/>
      <c r="S3302" s="69"/>
    </row>
    <row r="3303" s="2" customFormat="1" ht="24.95" customHeight="1" spans="1:19">
      <c r="A3303" s="15"/>
      <c r="B3303" s="55"/>
      <c r="C3303" s="56"/>
      <c r="D3303" s="68"/>
      <c r="E3303" s="69"/>
      <c r="F3303" s="69"/>
      <c r="G3303" s="65"/>
      <c r="H3303" s="65"/>
      <c r="I3303" s="70"/>
      <c r="J3303" s="71"/>
      <c r="K3303" s="71"/>
      <c r="L3303" s="72" t="str">
        <f>IFERROR(IF(G3303="","",VLOOKUP($G3303,[1]基础信息!$B:$C,2,FALSE)+SUMIF(G$8:G3303,G3303,J$8:J3303)-SUMIF(G$8:G3303,G3303,K$8:K3303)+SUMIFS([1]内部转账!$G:$G,[1]内部转账!$C:$C,"&lt;="&amp;$D3303,[1]内部转账!$E:$E,$G3303)-SUMIFS([1]内部转账!$G:$G,[1]内部转账!$C:$C,"&lt;="&amp;$D3303,[1]内部转账!$F:$F,$G3303)),"")</f>
        <v/>
      </c>
      <c r="M3303" s="64"/>
      <c r="N3303" s="69"/>
      <c r="O3303" s="64"/>
      <c r="P3303" s="64"/>
      <c r="Q3303" s="69"/>
      <c r="R3303" s="69"/>
      <c r="S3303" s="69"/>
    </row>
    <row r="3304" s="2" customFormat="1" ht="24.95" customHeight="1" spans="1:19">
      <c r="A3304" s="15"/>
      <c r="B3304" s="55"/>
      <c r="C3304" s="56"/>
      <c r="D3304" s="68"/>
      <c r="E3304" s="69"/>
      <c r="F3304" s="69"/>
      <c r="G3304" s="65"/>
      <c r="H3304" s="65"/>
      <c r="I3304" s="70"/>
      <c r="J3304" s="71"/>
      <c r="K3304" s="71"/>
      <c r="L3304" s="72" t="str">
        <f>IFERROR(IF(G3304="","",VLOOKUP($G3304,[1]基础信息!$B:$C,2,FALSE)+SUMIF(G$8:G3304,G3304,J$8:J3304)-SUMIF(G$8:G3304,G3304,K$8:K3304)+SUMIFS([1]内部转账!$G:$G,[1]内部转账!$C:$C,"&lt;="&amp;$D3304,[1]内部转账!$E:$E,$G3304)-SUMIFS([1]内部转账!$G:$G,[1]内部转账!$C:$C,"&lt;="&amp;$D3304,[1]内部转账!$F:$F,$G3304)),"")</f>
        <v/>
      </c>
      <c r="M3304" s="64"/>
      <c r="N3304" s="69"/>
      <c r="O3304" s="64"/>
      <c r="P3304" s="64"/>
      <c r="Q3304" s="69"/>
      <c r="R3304" s="69"/>
      <c r="S3304" s="69"/>
    </row>
    <row r="3305" s="2" customFormat="1" ht="24.95" customHeight="1" spans="1:19">
      <c r="A3305" s="15"/>
      <c r="B3305" s="55"/>
      <c r="C3305" s="56"/>
      <c r="D3305" s="68"/>
      <c r="E3305" s="69"/>
      <c r="F3305" s="69"/>
      <c r="G3305" s="65"/>
      <c r="H3305" s="65"/>
      <c r="I3305" s="70"/>
      <c r="J3305" s="71"/>
      <c r="K3305" s="71"/>
      <c r="L3305" s="72" t="str">
        <f>IFERROR(IF(G3305="","",VLOOKUP($G3305,[1]基础信息!$B:$C,2,FALSE)+SUMIF(G$8:G3305,G3305,J$8:J3305)-SUMIF(G$8:G3305,G3305,K$8:K3305)+SUMIFS([1]内部转账!$G:$G,[1]内部转账!$C:$C,"&lt;="&amp;$D3305,[1]内部转账!$E:$E,$G3305)-SUMIFS([1]内部转账!$G:$G,[1]内部转账!$C:$C,"&lt;="&amp;$D3305,[1]内部转账!$F:$F,$G3305)),"")</f>
        <v/>
      </c>
      <c r="M3305" s="64"/>
      <c r="N3305" s="69"/>
      <c r="O3305" s="64"/>
      <c r="P3305" s="64"/>
      <c r="Q3305" s="69"/>
      <c r="R3305" s="69"/>
      <c r="S3305" s="69"/>
    </row>
    <row r="3306" s="2" customFormat="1" ht="24.95" customHeight="1" spans="1:19">
      <c r="A3306" s="15"/>
      <c r="B3306" s="55"/>
      <c r="C3306" s="56"/>
      <c r="D3306" s="68"/>
      <c r="E3306" s="69"/>
      <c r="F3306" s="69"/>
      <c r="G3306" s="65"/>
      <c r="H3306" s="65"/>
      <c r="I3306" s="70"/>
      <c r="J3306" s="71"/>
      <c r="K3306" s="71"/>
      <c r="L3306" s="72" t="str">
        <f>IFERROR(IF(G3306="","",VLOOKUP($G3306,[1]基础信息!$B:$C,2,FALSE)+SUMIF(G$8:G3306,G3306,J$8:J3306)-SUMIF(G$8:G3306,G3306,K$8:K3306)+SUMIFS([1]内部转账!$G:$G,[1]内部转账!$C:$C,"&lt;="&amp;$D3306,[1]内部转账!$E:$E,$G3306)-SUMIFS([1]内部转账!$G:$G,[1]内部转账!$C:$C,"&lt;="&amp;$D3306,[1]内部转账!$F:$F,$G3306)),"")</f>
        <v/>
      </c>
      <c r="M3306" s="64"/>
      <c r="N3306" s="69"/>
      <c r="O3306" s="64"/>
      <c r="P3306" s="64"/>
      <c r="Q3306" s="69"/>
      <c r="R3306" s="69"/>
      <c r="S3306" s="69"/>
    </row>
    <row r="3307" s="2" customFormat="1" ht="24.95" customHeight="1" spans="1:19">
      <c r="A3307" s="15"/>
      <c r="B3307" s="55"/>
      <c r="C3307" s="56"/>
      <c r="D3307" s="68"/>
      <c r="E3307" s="69"/>
      <c r="F3307" s="69"/>
      <c r="G3307" s="65"/>
      <c r="H3307" s="65"/>
      <c r="I3307" s="70"/>
      <c r="J3307" s="71"/>
      <c r="K3307" s="71"/>
      <c r="L3307" s="72" t="str">
        <f>IFERROR(IF(G3307="","",VLOOKUP($G3307,[1]基础信息!$B:$C,2,FALSE)+SUMIF(G$8:G3307,G3307,J$8:J3307)-SUMIF(G$8:G3307,G3307,K$8:K3307)+SUMIFS([1]内部转账!$G:$G,[1]内部转账!$C:$C,"&lt;="&amp;$D3307,[1]内部转账!$E:$E,$G3307)-SUMIFS([1]内部转账!$G:$G,[1]内部转账!$C:$C,"&lt;="&amp;$D3307,[1]内部转账!$F:$F,$G3307)),"")</f>
        <v/>
      </c>
      <c r="M3307" s="64"/>
      <c r="N3307" s="69"/>
      <c r="O3307" s="64"/>
      <c r="P3307" s="64"/>
      <c r="Q3307" s="69"/>
      <c r="R3307" s="69"/>
      <c r="S3307" s="69"/>
    </row>
    <row r="3308" s="2" customFormat="1" ht="24.95" customHeight="1" spans="1:19">
      <c r="A3308" s="15"/>
      <c r="B3308" s="55"/>
      <c r="C3308" s="56"/>
      <c r="D3308" s="68"/>
      <c r="E3308" s="69"/>
      <c r="F3308" s="69"/>
      <c r="G3308" s="65"/>
      <c r="H3308" s="65"/>
      <c r="I3308" s="70"/>
      <c r="J3308" s="71"/>
      <c r="K3308" s="71"/>
      <c r="L3308" s="72" t="str">
        <f>IFERROR(IF(G3308="","",VLOOKUP($G3308,[1]基础信息!$B:$C,2,FALSE)+SUMIF(G$8:G3308,G3308,J$8:J3308)-SUMIF(G$8:G3308,G3308,K$8:K3308)+SUMIFS([1]内部转账!$G:$G,[1]内部转账!$C:$C,"&lt;="&amp;$D3308,[1]内部转账!$E:$E,$G3308)-SUMIFS([1]内部转账!$G:$G,[1]内部转账!$C:$C,"&lt;="&amp;$D3308,[1]内部转账!$F:$F,$G3308)),"")</f>
        <v/>
      </c>
      <c r="M3308" s="64"/>
      <c r="N3308" s="69"/>
      <c r="O3308" s="64"/>
      <c r="P3308" s="64"/>
      <c r="Q3308" s="69"/>
      <c r="R3308" s="69"/>
      <c r="S3308" s="69"/>
    </row>
    <row r="3309" s="2" customFormat="1" ht="24.95" customHeight="1" spans="1:19">
      <c r="A3309" s="15"/>
      <c r="B3309" s="55"/>
      <c r="C3309" s="56"/>
      <c r="D3309" s="68"/>
      <c r="E3309" s="69"/>
      <c r="F3309" s="69"/>
      <c r="G3309" s="65"/>
      <c r="H3309" s="65"/>
      <c r="I3309" s="70"/>
      <c r="J3309" s="71"/>
      <c r="K3309" s="71"/>
      <c r="L3309" s="72" t="str">
        <f>IFERROR(IF(G3309="","",VLOOKUP($G3309,[1]基础信息!$B:$C,2,FALSE)+SUMIF(G$8:G3309,G3309,J$8:J3309)-SUMIF(G$8:G3309,G3309,K$8:K3309)+SUMIFS([1]内部转账!$G:$G,[1]内部转账!$C:$C,"&lt;="&amp;$D3309,[1]内部转账!$E:$E,$G3309)-SUMIFS([1]内部转账!$G:$G,[1]内部转账!$C:$C,"&lt;="&amp;$D3309,[1]内部转账!$F:$F,$G3309)),"")</f>
        <v/>
      </c>
      <c r="M3309" s="64"/>
      <c r="N3309" s="69"/>
      <c r="O3309" s="64"/>
      <c r="P3309" s="64"/>
      <c r="Q3309" s="69"/>
      <c r="R3309" s="69"/>
      <c r="S3309" s="69"/>
    </row>
    <row r="3310" s="2" customFormat="1" ht="24.95" customHeight="1" spans="1:19">
      <c r="A3310" s="15"/>
      <c r="B3310" s="55"/>
      <c r="C3310" s="56"/>
      <c r="D3310" s="68"/>
      <c r="E3310" s="69"/>
      <c r="F3310" s="69"/>
      <c r="G3310" s="65"/>
      <c r="H3310" s="65"/>
      <c r="I3310" s="70"/>
      <c r="J3310" s="71"/>
      <c r="K3310" s="71"/>
      <c r="L3310" s="72" t="str">
        <f>IFERROR(IF(G3310="","",VLOOKUP($G3310,[1]基础信息!$B:$C,2,FALSE)+SUMIF(G$8:G3310,G3310,J$8:J3310)-SUMIF(G$8:G3310,G3310,K$8:K3310)+SUMIFS([1]内部转账!$G:$G,[1]内部转账!$C:$C,"&lt;="&amp;$D3310,[1]内部转账!$E:$E,$G3310)-SUMIFS([1]内部转账!$G:$G,[1]内部转账!$C:$C,"&lt;="&amp;$D3310,[1]内部转账!$F:$F,$G3310)),"")</f>
        <v/>
      </c>
      <c r="M3310" s="64"/>
      <c r="N3310" s="69"/>
      <c r="O3310" s="64"/>
      <c r="P3310" s="64"/>
      <c r="Q3310" s="69"/>
      <c r="R3310" s="69"/>
      <c r="S3310" s="69"/>
    </row>
    <row r="3311" s="2" customFormat="1" ht="24.95" customHeight="1" spans="1:19">
      <c r="A3311" s="15"/>
      <c r="B3311" s="55"/>
      <c r="C3311" s="56"/>
      <c r="D3311" s="68"/>
      <c r="E3311" s="69"/>
      <c r="F3311" s="69"/>
      <c r="G3311" s="65"/>
      <c r="H3311" s="65"/>
      <c r="I3311" s="70"/>
      <c r="J3311" s="71"/>
      <c r="K3311" s="71"/>
      <c r="L3311" s="72" t="str">
        <f>IFERROR(IF(G3311="","",VLOOKUP($G3311,[1]基础信息!$B:$C,2,FALSE)+SUMIF(G$8:G3311,G3311,J$8:J3311)-SUMIF(G$8:G3311,G3311,K$8:K3311)+SUMIFS([1]内部转账!$G:$G,[1]内部转账!$C:$C,"&lt;="&amp;$D3311,[1]内部转账!$E:$E,$G3311)-SUMIFS([1]内部转账!$G:$G,[1]内部转账!$C:$C,"&lt;="&amp;$D3311,[1]内部转账!$F:$F,$G3311)),"")</f>
        <v/>
      </c>
      <c r="M3311" s="64"/>
      <c r="N3311" s="69"/>
      <c r="O3311" s="64"/>
      <c r="P3311" s="64"/>
      <c r="Q3311" s="69"/>
      <c r="R3311" s="69"/>
      <c r="S3311" s="69"/>
    </row>
    <row r="3312" s="2" customFormat="1" ht="24.95" customHeight="1" spans="1:19">
      <c r="A3312" s="15"/>
      <c r="B3312" s="55"/>
      <c r="C3312" s="56"/>
      <c r="D3312" s="68"/>
      <c r="E3312" s="69"/>
      <c r="F3312" s="69"/>
      <c r="G3312" s="65"/>
      <c r="H3312" s="65"/>
      <c r="I3312" s="70"/>
      <c r="J3312" s="71"/>
      <c r="K3312" s="71"/>
      <c r="L3312" s="72" t="str">
        <f>IFERROR(IF(G3312="","",VLOOKUP($G3312,[1]基础信息!$B:$C,2,FALSE)+SUMIF(G$8:G3312,G3312,J$8:J3312)-SUMIF(G$8:G3312,G3312,K$8:K3312)+SUMIFS([1]内部转账!$G:$G,[1]内部转账!$C:$C,"&lt;="&amp;$D3312,[1]内部转账!$E:$E,$G3312)-SUMIFS([1]内部转账!$G:$G,[1]内部转账!$C:$C,"&lt;="&amp;$D3312,[1]内部转账!$F:$F,$G3312)),"")</f>
        <v/>
      </c>
      <c r="M3312" s="64"/>
      <c r="N3312" s="69"/>
      <c r="O3312" s="64"/>
      <c r="P3312" s="64"/>
      <c r="Q3312" s="69"/>
      <c r="R3312" s="69"/>
      <c r="S3312" s="69"/>
    </row>
    <row r="3313" s="2" customFormat="1" ht="24.95" customHeight="1" spans="1:19">
      <c r="A3313" s="15"/>
      <c r="B3313" s="55"/>
      <c r="C3313" s="56"/>
      <c r="D3313" s="68"/>
      <c r="E3313" s="69"/>
      <c r="F3313" s="69"/>
      <c r="G3313" s="65"/>
      <c r="H3313" s="65"/>
      <c r="I3313" s="70"/>
      <c r="J3313" s="71"/>
      <c r="K3313" s="71"/>
      <c r="L3313" s="72" t="str">
        <f>IFERROR(IF(G3313="","",VLOOKUP($G3313,[1]基础信息!$B:$C,2,FALSE)+SUMIF(G$8:G3313,G3313,J$8:J3313)-SUMIF(G$8:G3313,G3313,K$8:K3313)+SUMIFS([1]内部转账!$G:$G,[1]内部转账!$C:$C,"&lt;="&amp;$D3313,[1]内部转账!$E:$E,$G3313)-SUMIFS([1]内部转账!$G:$G,[1]内部转账!$C:$C,"&lt;="&amp;$D3313,[1]内部转账!$F:$F,$G3313)),"")</f>
        <v/>
      </c>
      <c r="M3313" s="64"/>
      <c r="N3313" s="69"/>
      <c r="O3313" s="64"/>
      <c r="P3313" s="64"/>
      <c r="Q3313" s="69"/>
      <c r="R3313" s="69"/>
      <c r="S3313" s="69"/>
    </row>
    <row r="3314" s="2" customFormat="1" ht="24.95" customHeight="1" spans="1:19">
      <c r="A3314" s="15"/>
      <c r="B3314" s="55"/>
      <c r="C3314" s="56"/>
      <c r="D3314" s="68"/>
      <c r="E3314" s="69"/>
      <c r="F3314" s="69"/>
      <c r="G3314" s="65"/>
      <c r="H3314" s="65"/>
      <c r="I3314" s="70"/>
      <c r="J3314" s="71"/>
      <c r="K3314" s="71"/>
      <c r="L3314" s="72" t="str">
        <f>IFERROR(IF(G3314="","",VLOOKUP($G3314,[1]基础信息!$B:$C,2,FALSE)+SUMIF(G$8:G3314,G3314,J$8:J3314)-SUMIF(G$8:G3314,G3314,K$8:K3314)+SUMIFS([1]内部转账!$G:$G,[1]内部转账!$C:$C,"&lt;="&amp;$D3314,[1]内部转账!$E:$E,$G3314)-SUMIFS([1]内部转账!$G:$G,[1]内部转账!$C:$C,"&lt;="&amp;$D3314,[1]内部转账!$F:$F,$G3314)),"")</f>
        <v/>
      </c>
      <c r="M3314" s="64"/>
      <c r="N3314" s="69"/>
      <c r="O3314" s="64"/>
      <c r="P3314" s="64"/>
      <c r="Q3314" s="69"/>
      <c r="R3314" s="69"/>
      <c r="S3314" s="69"/>
    </row>
    <row r="3315" s="2" customFormat="1" ht="24.95" customHeight="1" spans="1:19">
      <c r="A3315" s="15"/>
      <c r="B3315" s="55"/>
      <c r="C3315" s="56"/>
      <c r="D3315" s="68"/>
      <c r="E3315" s="69"/>
      <c r="F3315" s="69"/>
      <c r="G3315" s="65"/>
      <c r="H3315" s="65"/>
      <c r="I3315" s="70"/>
      <c r="J3315" s="71"/>
      <c r="K3315" s="71"/>
      <c r="L3315" s="72" t="str">
        <f>IFERROR(IF(G3315="","",VLOOKUP($G3315,[1]基础信息!$B:$C,2,FALSE)+SUMIF(G$8:G3315,G3315,J$8:J3315)-SUMIF(G$8:G3315,G3315,K$8:K3315)+SUMIFS([1]内部转账!$G:$G,[1]内部转账!$C:$C,"&lt;="&amp;$D3315,[1]内部转账!$E:$E,$G3315)-SUMIFS([1]内部转账!$G:$G,[1]内部转账!$C:$C,"&lt;="&amp;$D3315,[1]内部转账!$F:$F,$G3315)),"")</f>
        <v/>
      </c>
      <c r="M3315" s="64"/>
      <c r="N3315" s="69"/>
      <c r="O3315" s="64"/>
      <c r="P3315" s="64"/>
      <c r="Q3315" s="69"/>
      <c r="R3315" s="69"/>
      <c r="S3315" s="69"/>
    </row>
    <row r="3316" s="2" customFormat="1" ht="24.95" customHeight="1" spans="1:19">
      <c r="A3316" s="15"/>
      <c r="B3316" s="55"/>
      <c r="C3316" s="56"/>
      <c r="D3316" s="68"/>
      <c r="E3316" s="69"/>
      <c r="F3316" s="69"/>
      <c r="G3316" s="65"/>
      <c r="H3316" s="65"/>
      <c r="I3316" s="70"/>
      <c r="J3316" s="71"/>
      <c r="K3316" s="71"/>
      <c r="L3316" s="72" t="str">
        <f>IFERROR(IF(G3316="","",VLOOKUP($G3316,[1]基础信息!$B:$C,2,FALSE)+SUMIF(G$8:G3316,G3316,J$8:J3316)-SUMIF(G$8:G3316,G3316,K$8:K3316)+SUMIFS([1]内部转账!$G:$G,[1]内部转账!$C:$C,"&lt;="&amp;$D3316,[1]内部转账!$E:$E,$G3316)-SUMIFS([1]内部转账!$G:$G,[1]内部转账!$C:$C,"&lt;="&amp;$D3316,[1]内部转账!$F:$F,$G3316)),"")</f>
        <v/>
      </c>
      <c r="M3316" s="64"/>
      <c r="N3316" s="69"/>
      <c r="O3316" s="64"/>
      <c r="P3316" s="64"/>
      <c r="Q3316" s="69"/>
      <c r="R3316" s="69"/>
      <c r="S3316" s="69"/>
    </row>
    <row r="3317" s="2" customFormat="1" ht="24.95" customHeight="1" spans="1:19">
      <c r="A3317" s="15"/>
      <c r="B3317" s="55"/>
      <c r="C3317" s="56"/>
      <c r="D3317" s="68"/>
      <c r="E3317" s="69"/>
      <c r="F3317" s="69"/>
      <c r="G3317" s="65"/>
      <c r="H3317" s="65"/>
      <c r="I3317" s="70"/>
      <c r="J3317" s="71"/>
      <c r="K3317" s="71"/>
      <c r="L3317" s="72" t="str">
        <f>IFERROR(IF(G3317="","",VLOOKUP($G3317,[1]基础信息!$B:$C,2,FALSE)+SUMIF(G$8:G3317,G3317,J$8:J3317)-SUMIF(G$8:G3317,G3317,K$8:K3317)+SUMIFS([1]内部转账!$G:$G,[1]内部转账!$C:$C,"&lt;="&amp;$D3317,[1]内部转账!$E:$E,$G3317)-SUMIFS([1]内部转账!$G:$G,[1]内部转账!$C:$C,"&lt;="&amp;$D3317,[1]内部转账!$F:$F,$G3317)),"")</f>
        <v/>
      </c>
      <c r="M3317" s="64"/>
      <c r="N3317" s="69"/>
      <c r="O3317" s="64"/>
      <c r="P3317" s="64"/>
      <c r="Q3317" s="69"/>
      <c r="R3317" s="69"/>
      <c r="S3317" s="69"/>
    </row>
    <row r="3318" s="2" customFormat="1" ht="24.95" customHeight="1" spans="1:19">
      <c r="A3318" s="15"/>
      <c r="B3318" s="55"/>
      <c r="C3318" s="56"/>
      <c r="D3318" s="68"/>
      <c r="E3318" s="69"/>
      <c r="F3318" s="69"/>
      <c r="G3318" s="65"/>
      <c r="H3318" s="65"/>
      <c r="I3318" s="70"/>
      <c r="J3318" s="71"/>
      <c r="K3318" s="71"/>
      <c r="L3318" s="72" t="str">
        <f>IFERROR(IF(G3318="","",VLOOKUP($G3318,[1]基础信息!$B:$C,2,FALSE)+SUMIF(G$8:G3318,G3318,J$8:J3318)-SUMIF(G$8:G3318,G3318,K$8:K3318)+SUMIFS([1]内部转账!$G:$G,[1]内部转账!$C:$C,"&lt;="&amp;$D3318,[1]内部转账!$E:$E,$G3318)-SUMIFS([1]内部转账!$G:$G,[1]内部转账!$C:$C,"&lt;="&amp;$D3318,[1]内部转账!$F:$F,$G3318)),"")</f>
        <v/>
      </c>
      <c r="M3318" s="64"/>
      <c r="N3318" s="69"/>
      <c r="O3318" s="64"/>
      <c r="P3318" s="64"/>
      <c r="Q3318" s="69"/>
      <c r="R3318" s="69"/>
      <c r="S3318" s="69"/>
    </row>
    <row r="3319" s="2" customFormat="1" ht="24.95" customHeight="1" spans="1:19">
      <c r="A3319" s="15"/>
      <c r="B3319" s="55"/>
      <c r="C3319" s="56"/>
      <c r="D3319" s="68"/>
      <c r="E3319" s="69"/>
      <c r="F3319" s="69"/>
      <c r="G3319" s="65"/>
      <c r="H3319" s="65"/>
      <c r="I3319" s="70"/>
      <c r="J3319" s="71"/>
      <c r="K3319" s="71"/>
      <c r="L3319" s="72" t="str">
        <f>IFERROR(IF(G3319="","",VLOOKUP($G3319,[1]基础信息!$B:$C,2,FALSE)+SUMIF(G$8:G3319,G3319,J$8:J3319)-SUMIF(G$8:G3319,G3319,K$8:K3319)+SUMIFS([1]内部转账!$G:$G,[1]内部转账!$C:$C,"&lt;="&amp;$D3319,[1]内部转账!$E:$E,$G3319)-SUMIFS([1]内部转账!$G:$G,[1]内部转账!$C:$C,"&lt;="&amp;$D3319,[1]内部转账!$F:$F,$G3319)),"")</f>
        <v/>
      </c>
      <c r="M3319" s="64"/>
      <c r="N3319" s="69"/>
      <c r="O3319" s="64"/>
      <c r="P3319" s="64"/>
      <c r="Q3319" s="69"/>
      <c r="R3319" s="69"/>
      <c r="S3319" s="69"/>
    </row>
    <row r="3320" s="2" customFormat="1" ht="24.95" customHeight="1" spans="1:19">
      <c r="A3320" s="15"/>
      <c r="B3320" s="55"/>
      <c r="C3320" s="56"/>
      <c r="D3320" s="68"/>
      <c r="E3320" s="69"/>
      <c r="F3320" s="69"/>
      <c r="G3320" s="65"/>
      <c r="H3320" s="65"/>
      <c r="I3320" s="70"/>
      <c r="J3320" s="71"/>
      <c r="K3320" s="71"/>
      <c r="L3320" s="72" t="str">
        <f>IFERROR(IF(G3320="","",VLOOKUP($G3320,[1]基础信息!$B:$C,2,FALSE)+SUMIF(G$8:G3320,G3320,J$8:J3320)-SUMIF(G$8:G3320,G3320,K$8:K3320)+SUMIFS([1]内部转账!$G:$G,[1]内部转账!$C:$C,"&lt;="&amp;$D3320,[1]内部转账!$E:$E,$G3320)-SUMIFS([1]内部转账!$G:$G,[1]内部转账!$C:$C,"&lt;="&amp;$D3320,[1]内部转账!$F:$F,$G3320)),"")</f>
        <v/>
      </c>
      <c r="M3320" s="64"/>
      <c r="N3320" s="69"/>
      <c r="O3320" s="64"/>
      <c r="P3320" s="64"/>
      <c r="Q3320" s="69"/>
      <c r="R3320" s="69"/>
      <c r="S3320" s="69"/>
    </row>
    <row r="3321" s="2" customFormat="1" ht="24.95" customHeight="1" spans="1:19">
      <c r="A3321" s="15"/>
      <c r="B3321" s="55"/>
      <c r="C3321" s="56"/>
      <c r="D3321" s="68"/>
      <c r="E3321" s="69"/>
      <c r="F3321" s="69"/>
      <c r="G3321" s="65"/>
      <c r="H3321" s="65"/>
      <c r="I3321" s="70"/>
      <c r="J3321" s="71"/>
      <c r="K3321" s="71"/>
      <c r="L3321" s="72" t="str">
        <f>IFERROR(IF(G3321="","",VLOOKUP($G3321,[1]基础信息!$B:$C,2,FALSE)+SUMIF(G$8:G3321,G3321,J$8:J3321)-SUMIF(G$8:G3321,G3321,K$8:K3321)+SUMIFS([1]内部转账!$G:$G,[1]内部转账!$C:$C,"&lt;="&amp;$D3321,[1]内部转账!$E:$E,$G3321)-SUMIFS([1]内部转账!$G:$G,[1]内部转账!$C:$C,"&lt;="&amp;$D3321,[1]内部转账!$F:$F,$G3321)),"")</f>
        <v/>
      </c>
      <c r="M3321" s="64"/>
      <c r="N3321" s="69"/>
      <c r="O3321" s="64"/>
      <c r="P3321" s="64"/>
      <c r="Q3321" s="69"/>
      <c r="R3321" s="69"/>
      <c r="S3321" s="69"/>
    </row>
    <row r="3322" s="2" customFormat="1" ht="24.95" customHeight="1" spans="1:19">
      <c r="A3322" s="15"/>
      <c r="B3322" s="55"/>
      <c r="C3322" s="56"/>
      <c r="D3322" s="68"/>
      <c r="E3322" s="69"/>
      <c r="F3322" s="69"/>
      <c r="G3322" s="65"/>
      <c r="H3322" s="65"/>
      <c r="I3322" s="70"/>
      <c r="J3322" s="71"/>
      <c r="K3322" s="71"/>
      <c r="L3322" s="72" t="str">
        <f>IFERROR(IF(G3322="","",VLOOKUP($G3322,[1]基础信息!$B:$C,2,FALSE)+SUMIF(G$8:G3322,G3322,J$8:J3322)-SUMIF(G$8:G3322,G3322,K$8:K3322)+SUMIFS([1]内部转账!$G:$G,[1]内部转账!$C:$C,"&lt;="&amp;$D3322,[1]内部转账!$E:$E,$G3322)-SUMIFS([1]内部转账!$G:$G,[1]内部转账!$C:$C,"&lt;="&amp;$D3322,[1]内部转账!$F:$F,$G3322)),"")</f>
        <v/>
      </c>
      <c r="M3322" s="64"/>
      <c r="N3322" s="69"/>
      <c r="O3322" s="64"/>
      <c r="P3322" s="64"/>
      <c r="Q3322" s="69"/>
      <c r="R3322" s="69"/>
      <c r="S3322" s="69"/>
    </row>
    <row r="3323" s="2" customFormat="1" ht="24.95" customHeight="1" spans="1:19">
      <c r="A3323" s="15"/>
      <c r="B3323" s="55"/>
      <c r="C3323" s="56"/>
      <c r="D3323" s="68"/>
      <c r="E3323" s="69"/>
      <c r="F3323" s="69"/>
      <c r="G3323" s="65"/>
      <c r="H3323" s="65"/>
      <c r="I3323" s="70"/>
      <c r="J3323" s="71"/>
      <c r="K3323" s="71"/>
      <c r="L3323" s="72" t="str">
        <f>IFERROR(IF(G3323="","",VLOOKUP($G3323,[1]基础信息!$B:$C,2,FALSE)+SUMIF(G$8:G3323,G3323,J$8:J3323)-SUMIF(G$8:G3323,G3323,K$8:K3323)+SUMIFS([1]内部转账!$G:$G,[1]内部转账!$C:$C,"&lt;="&amp;$D3323,[1]内部转账!$E:$E,$G3323)-SUMIFS([1]内部转账!$G:$G,[1]内部转账!$C:$C,"&lt;="&amp;$D3323,[1]内部转账!$F:$F,$G3323)),"")</f>
        <v/>
      </c>
      <c r="M3323" s="64"/>
      <c r="N3323" s="69"/>
      <c r="O3323" s="64"/>
      <c r="P3323" s="64"/>
      <c r="Q3323" s="69"/>
      <c r="R3323" s="69"/>
      <c r="S3323" s="69"/>
    </row>
    <row r="3324" s="2" customFormat="1" ht="24.95" customHeight="1" spans="1:19">
      <c r="A3324" s="15"/>
      <c r="B3324" s="55"/>
      <c r="C3324" s="56"/>
      <c r="D3324" s="68"/>
      <c r="E3324" s="69"/>
      <c r="F3324" s="69"/>
      <c r="G3324" s="65"/>
      <c r="H3324" s="65"/>
      <c r="I3324" s="70"/>
      <c r="J3324" s="71"/>
      <c r="K3324" s="71"/>
      <c r="L3324" s="72" t="str">
        <f>IFERROR(IF(G3324="","",VLOOKUP($G3324,[1]基础信息!$B:$C,2,FALSE)+SUMIF(G$8:G3324,G3324,J$8:J3324)-SUMIF(G$8:G3324,G3324,K$8:K3324)+SUMIFS([1]内部转账!$G:$G,[1]内部转账!$C:$C,"&lt;="&amp;$D3324,[1]内部转账!$E:$E,$G3324)-SUMIFS([1]内部转账!$G:$G,[1]内部转账!$C:$C,"&lt;="&amp;$D3324,[1]内部转账!$F:$F,$G3324)),"")</f>
        <v/>
      </c>
      <c r="M3324" s="64"/>
      <c r="N3324" s="69"/>
      <c r="O3324" s="64"/>
      <c r="P3324" s="64"/>
      <c r="Q3324" s="69"/>
      <c r="R3324" s="69"/>
      <c r="S3324" s="69"/>
    </row>
    <row r="3325" s="2" customFormat="1" ht="24.95" customHeight="1" spans="1:19">
      <c r="A3325" s="15"/>
      <c r="B3325" s="55"/>
      <c r="C3325" s="56"/>
      <c r="D3325" s="68"/>
      <c r="E3325" s="69"/>
      <c r="F3325" s="69"/>
      <c r="G3325" s="65"/>
      <c r="H3325" s="65"/>
      <c r="I3325" s="70"/>
      <c r="J3325" s="71"/>
      <c r="K3325" s="71"/>
      <c r="L3325" s="72" t="str">
        <f>IFERROR(IF(G3325="","",VLOOKUP($G3325,[1]基础信息!$B:$C,2,FALSE)+SUMIF(G$8:G3325,G3325,J$8:J3325)-SUMIF(G$8:G3325,G3325,K$8:K3325)+SUMIFS([1]内部转账!$G:$G,[1]内部转账!$C:$C,"&lt;="&amp;$D3325,[1]内部转账!$E:$E,$G3325)-SUMIFS([1]内部转账!$G:$G,[1]内部转账!$C:$C,"&lt;="&amp;$D3325,[1]内部转账!$F:$F,$G3325)),"")</f>
        <v/>
      </c>
      <c r="M3325" s="64"/>
      <c r="N3325" s="69"/>
      <c r="O3325" s="64"/>
      <c r="P3325" s="64"/>
      <c r="Q3325" s="69"/>
      <c r="R3325" s="69"/>
      <c r="S3325" s="69"/>
    </row>
    <row r="3326" s="2" customFormat="1" ht="24.95" customHeight="1" spans="1:19">
      <c r="A3326" s="15"/>
      <c r="B3326" s="55"/>
      <c r="C3326" s="56"/>
      <c r="D3326" s="68"/>
      <c r="E3326" s="69"/>
      <c r="F3326" s="69"/>
      <c r="G3326" s="65"/>
      <c r="H3326" s="65"/>
      <c r="I3326" s="70"/>
      <c r="J3326" s="71"/>
      <c r="K3326" s="71"/>
      <c r="L3326" s="72" t="str">
        <f>IFERROR(IF(G3326="","",VLOOKUP($G3326,[1]基础信息!$B:$C,2,FALSE)+SUMIF(G$8:G3326,G3326,J$8:J3326)-SUMIF(G$8:G3326,G3326,K$8:K3326)+SUMIFS([1]内部转账!$G:$G,[1]内部转账!$C:$C,"&lt;="&amp;$D3326,[1]内部转账!$E:$E,$G3326)-SUMIFS([1]内部转账!$G:$G,[1]内部转账!$C:$C,"&lt;="&amp;$D3326,[1]内部转账!$F:$F,$G3326)),"")</f>
        <v/>
      </c>
      <c r="M3326" s="64"/>
      <c r="N3326" s="69"/>
      <c r="O3326" s="64"/>
      <c r="P3326" s="64"/>
      <c r="Q3326" s="69"/>
      <c r="R3326" s="69"/>
      <c r="S3326" s="69"/>
    </row>
    <row r="3327" s="2" customFormat="1" ht="24.95" customHeight="1" spans="1:19">
      <c r="A3327" s="15"/>
      <c r="B3327" s="55"/>
      <c r="C3327" s="56"/>
      <c r="D3327" s="68"/>
      <c r="E3327" s="69"/>
      <c r="F3327" s="69"/>
      <c r="G3327" s="65"/>
      <c r="H3327" s="65"/>
      <c r="I3327" s="70"/>
      <c r="J3327" s="71"/>
      <c r="K3327" s="71"/>
      <c r="L3327" s="72" t="str">
        <f>IFERROR(IF(G3327="","",VLOOKUP($G3327,[1]基础信息!$B:$C,2,FALSE)+SUMIF(G$8:G3327,G3327,J$8:J3327)-SUMIF(G$8:G3327,G3327,K$8:K3327)+SUMIFS([1]内部转账!$G:$G,[1]内部转账!$C:$C,"&lt;="&amp;$D3327,[1]内部转账!$E:$E,$G3327)-SUMIFS([1]内部转账!$G:$G,[1]内部转账!$C:$C,"&lt;="&amp;$D3327,[1]内部转账!$F:$F,$G3327)),"")</f>
        <v/>
      </c>
      <c r="M3327" s="64"/>
      <c r="N3327" s="69"/>
      <c r="O3327" s="64"/>
      <c r="P3327" s="64"/>
      <c r="Q3327" s="69"/>
      <c r="R3327" s="69"/>
      <c r="S3327" s="69"/>
    </row>
    <row r="3328" s="2" customFormat="1" ht="24.95" customHeight="1" spans="1:19">
      <c r="A3328" s="15"/>
      <c r="B3328" s="55"/>
      <c r="C3328" s="56"/>
      <c r="D3328" s="68"/>
      <c r="E3328" s="69"/>
      <c r="F3328" s="69"/>
      <c r="G3328" s="65"/>
      <c r="H3328" s="65"/>
      <c r="I3328" s="70"/>
      <c r="J3328" s="71"/>
      <c r="K3328" s="71"/>
      <c r="L3328" s="72" t="str">
        <f>IFERROR(IF(G3328="","",VLOOKUP($G3328,[1]基础信息!$B:$C,2,FALSE)+SUMIF(G$8:G3328,G3328,J$8:J3328)-SUMIF(G$8:G3328,G3328,K$8:K3328)+SUMIFS([1]内部转账!$G:$G,[1]内部转账!$C:$C,"&lt;="&amp;$D3328,[1]内部转账!$E:$E,$G3328)-SUMIFS([1]内部转账!$G:$G,[1]内部转账!$C:$C,"&lt;="&amp;$D3328,[1]内部转账!$F:$F,$G3328)),"")</f>
        <v/>
      </c>
      <c r="M3328" s="64"/>
      <c r="N3328" s="69"/>
      <c r="O3328" s="64"/>
      <c r="P3328" s="64"/>
      <c r="Q3328" s="69"/>
      <c r="R3328" s="69"/>
      <c r="S3328" s="69"/>
    </row>
    <row r="3329" s="2" customFormat="1" ht="24.95" customHeight="1" spans="1:19">
      <c r="A3329" s="15"/>
      <c r="B3329" s="55"/>
      <c r="C3329" s="56"/>
      <c r="D3329" s="68"/>
      <c r="E3329" s="69"/>
      <c r="F3329" s="69"/>
      <c r="G3329" s="65"/>
      <c r="H3329" s="65"/>
      <c r="I3329" s="70"/>
      <c r="J3329" s="71"/>
      <c r="K3329" s="71"/>
      <c r="L3329" s="72" t="str">
        <f>IFERROR(IF(G3329="","",VLOOKUP($G3329,[1]基础信息!$B:$C,2,FALSE)+SUMIF(G$8:G3329,G3329,J$8:J3329)-SUMIF(G$8:G3329,G3329,K$8:K3329)+SUMIFS([1]内部转账!$G:$G,[1]内部转账!$C:$C,"&lt;="&amp;$D3329,[1]内部转账!$E:$E,$G3329)-SUMIFS([1]内部转账!$G:$G,[1]内部转账!$C:$C,"&lt;="&amp;$D3329,[1]内部转账!$F:$F,$G3329)),"")</f>
        <v/>
      </c>
      <c r="M3329" s="64"/>
      <c r="N3329" s="69"/>
      <c r="O3329" s="64"/>
      <c r="P3329" s="64"/>
      <c r="Q3329" s="69"/>
      <c r="R3329" s="69"/>
      <c r="S3329" s="69"/>
    </row>
    <row r="3330" s="2" customFormat="1" ht="24.95" customHeight="1" spans="1:19">
      <c r="A3330" s="15"/>
      <c r="B3330" s="55"/>
      <c r="C3330" s="56"/>
      <c r="D3330" s="68"/>
      <c r="E3330" s="69"/>
      <c r="F3330" s="69"/>
      <c r="G3330" s="65"/>
      <c r="H3330" s="65"/>
      <c r="I3330" s="70"/>
      <c r="J3330" s="71"/>
      <c r="K3330" s="71"/>
      <c r="L3330" s="72" t="str">
        <f>IFERROR(IF(G3330="","",VLOOKUP($G3330,[1]基础信息!$B:$C,2,FALSE)+SUMIF(G$8:G3330,G3330,J$8:J3330)-SUMIF(G$8:G3330,G3330,K$8:K3330)+SUMIFS([1]内部转账!$G:$G,[1]内部转账!$C:$C,"&lt;="&amp;$D3330,[1]内部转账!$E:$E,$G3330)-SUMIFS([1]内部转账!$G:$G,[1]内部转账!$C:$C,"&lt;="&amp;$D3330,[1]内部转账!$F:$F,$G3330)),"")</f>
        <v/>
      </c>
      <c r="M3330" s="64"/>
      <c r="N3330" s="69"/>
      <c r="O3330" s="64"/>
      <c r="P3330" s="64"/>
      <c r="Q3330" s="69"/>
      <c r="R3330" s="69"/>
      <c r="S3330" s="69"/>
    </row>
    <row r="3331" s="2" customFormat="1" ht="24.95" customHeight="1" spans="1:19">
      <c r="A3331" s="15"/>
      <c r="B3331" s="55"/>
      <c r="C3331" s="56"/>
      <c r="D3331" s="68"/>
      <c r="E3331" s="69"/>
      <c r="F3331" s="69"/>
      <c r="G3331" s="65"/>
      <c r="H3331" s="65"/>
      <c r="I3331" s="70"/>
      <c r="J3331" s="71"/>
      <c r="K3331" s="71"/>
      <c r="L3331" s="72" t="str">
        <f>IFERROR(IF(G3331="","",VLOOKUP($G3331,[1]基础信息!$B:$C,2,FALSE)+SUMIF(G$8:G3331,G3331,J$8:J3331)-SUMIF(G$8:G3331,G3331,K$8:K3331)+SUMIFS([1]内部转账!$G:$G,[1]内部转账!$C:$C,"&lt;="&amp;$D3331,[1]内部转账!$E:$E,$G3331)-SUMIFS([1]内部转账!$G:$G,[1]内部转账!$C:$C,"&lt;="&amp;$D3331,[1]内部转账!$F:$F,$G3331)),"")</f>
        <v/>
      </c>
      <c r="M3331" s="64"/>
      <c r="N3331" s="69"/>
      <c r="O3331" s="64"/>
      <c r="P3331" s="64"/>
      <c r="Q3331" s="69"/>
      <c r="R3331" s="69"/>
      <c r="S3331" s="69"/>
    </row>
    <row r="3332" s="2" customFormat="1" ht="24.95" customHeight="1" spans="1:19">
      <c r="A3332" s="15"/>
      <c r="B3332" s="55"/>
      <c r="C3332" s="56"/>
      <c r="D3332" s="68"/>
      <c r="E3332" s="69"/>
      <c r="F3332" s="69"/>
      <c r="G3332" s="65"/>
      <c r="H3332" s="65"/>
      <c r="I3332" s="70"/>
      <c r="J3332" s="71"/>
      <c r="K3332" s="71"/>
      <c r="L3332" s="72" t="str">
        <f>IFERROR(IF(G3332="","",VLOOKUP($G3332,[1]基础信息!$B:$C,2,FALSE)+SUMIF(G$8:G3332,G3332,J$8:J3332)-SUMIF(G$8:G3332,G3332,K$8:K3332)+SUMIFS([1]内部转账!$G:$G,[1]内部转账!$C:$C,"&lt;="&amp;$D3332,[1]内部转账!$E:$E,$G3332)-SUMIFS([1]内部转账!$G:$G,[1]内部转账!$C:$C,"&lt;="&amp;$D3332,[1]内部转账!$F:$F,$G3332)),"")</f>
        <v/>
      </c>
      <c r="M3332" s="64"/>
      <c r="N3332" s="69"/>
      <c r="O3332" s="64"/>
      <c r="P3332" s="64"/>
      <c r="Q3332" s="69"/>
      <c r="R3332" s="69"/>
      <c r="S3332" s="69"/>
    </row>
    <row r="3333" s="2" customFormat="1" ht="24.95" customHeight="1" spans="1:19">
      <c r="A3333" s="15"/>
      <c r="B3333" s="55"/>
      <c r="C3333" s="56"/>
      <c r="D3333" s="68"/>
      <c r="E3333" s="69"/>
      <c r="F3333" s="69"/>
      <c r="G3333" s="65"/>
      <c r="H3333" s="65"/>
      <c r="I3333" s="70"/>
      <c r="J3333" s="71"/>
      <c r="K3333" s="71"/>
      <c r="L3333" s="72" t="str">
        <f>IFERROR(IF(G3333="","",VLOOKUP($G3333,[1]基础信息!$B:$C,2,FALSE)+SUMIF(G$8:G3333,G3333,J$8:J3333)-SUMIF(G$8:G3333,G3333,K$8:K3333)+SUMIFS([1]内部转账!$G:$G,[1]内部转账!$C:$C,"&lt;="&amp;$D3333,[1]内部转账!$E:$E,$G3333)-SUMIFS([1]内部转账!$G:$G,[1]内部转账!$C:$C,"&lt;="&amp;$D3333,[1]内部转账!$F:$F,$G3333)),"")</f>
        <v/>
      </c>
      <c r="M3333" s="64"/>
      <c r="N3333" s="69"/>
      <c r="O3333" s="64"/>
      <c r="P3333" s="64"/>
      <c r="Q3333" s="69"/>
      <c r="R3333" s="69"/>
      <c r="S3333" s="69"/>
    </row>
    <row r="3334" s="2" customFormat="1" ht="24.95" customHeight="1" spans="1:19">
      <c r="A3334" s="15"/>
      <c r="B3334" s="55"/>
      <c r="C3334" s="56"/>
      <c r="D3334" s="68"/>
      <c r="E3334" s="69"/>
      <c r="F3334" s="69"/>
      <c r="G3334" s="65"/>
      <c r="H3334" s="65"/>
      <c r="I3334" s="70"/>
      <c r="J3334" s="71"/>
      <c r="K3334" s="71"/>
      <c r="L3334" s="72" t="str">
        <f>IFERROR(IF(G3334="","",VLOOKUP($G3334,[1]基础信息!$B:$C,2,FALSE)+SUMIF(G$8:G3334,G3334,J$8:J3334)-SUMIF(G$8:G3334,G3334,K$8:K3334)+SUMIFS([1]内部转账!$G:$G,[1]内部转账!$C:$C,"&lt;="&amp;$D3334,[1]内部转账!$E:$E,$G3334)-SUMIFS([1]内部转账!$G:$G,[1]内部转账!$C:$C,"&lt;="&amp;$D3334,[1]内部转账!$F:$F,$G3334)),"")</f>
        <v/>
      </c>
      <c r="M3334" s="64"/>
      <c r="N3334" s="69"/>
      <c r="O3334" s="64"/>
      <c r="P3334" s="64"/>
      <c r="Q3334" s="69"/>
      <c r="R3334" s="69"/>
      <c r="S3334" s="69"/>
    </row>
    <row r="3335" s="2" customFormat="1" ht="24.95" customHeight="1" spans="1:19">
      <c r="A3335" s="15"/>
      <c r="B3335" s="55"/>
      <c r="C3335" s="56"/>
      <c r="D3335" s="68"/>
      <c r="E3335" s="69"/>
      <c r="F3335" s="69"/>
      <c r="G3335" s="65"/>
      <c r="H3335" s="65"/>
      <c r="I3335" s="70"/>
      <c r="J3335" s="71"/>
      <c r="K3335" s="71"/>
      <c r="L3335" s="72" t="str">
        <f>IFERROR(IF(G3335="","",VLOOKUP($G3335,[1]基础信息!$B:$C,2,FALSE)+SUMIF(G$8:G3335,G3335,J$8:J3335)-SUMIF(G$8:G3335,G3335,K$8:K3335)+SUMIFS([1]内部转账!$G:$G,[1]内部转账!$C:$C,"&lt;="&amp;$D3335,[1]内部转账!$E:$E,$G3335)-SUMIFS([1]内部转账!$G:$G,[1]内部转账!$C:$C,"&lt;="&amp;$D3335,[1]内部转账!$F:$F,$G3335)),"")</f>
        <v/>
      </c>
      <c r="M3335" s="64"/>
      <c r="N3335" s="69"/>
      <c r="O3335" s="64"/>
      <c r="P3335" s="64"/>
      <c r="Q3335" s="69"/>
      <c r="R3335" s="69"/>
      <c r="S3335" s="69"/>
    </row>
    <row r="3336" s="2" customFormat="1" ht="24.95" customHeight="1" spans="1:19">
      <c r="A3336" s="15"/>
      <c r="B3336" s="55"/>
      <c r="C3336" s="56"/>
      <c r="D3336" s="68"/>
      <c r="E3336" s="69"/>
      <c r="F3336" s="69"/>
      <c r="G3336" s="65"/>
      <c r="H3336" s="65"/>
      <c r="I3336" s="70"/>
      <c r="J3336" s="71"/>
      <c r="K3336" s="71"/>
      <c r="L3336" s="72" t="str">
        <f>IFERROR(IF(G3336="","",VLOOKUP($G3336,[1]基础信息!$B:$C,2,FALSE)+SUMIF(G$8:G3336,G3336,J$8:J3336)-SUMIF(G$8:G3336,G3336,K$8:K3336)+SUMIFS([1]内部转账!$G:$G,[1]内部转账!$C:$C,"&lt;="&amp;$D3336,[1]内部转账!$E:$E,$G3336)-SUMIFS([1]内部转账!$G:$G,[1]内部转账!$C:$C,"&lt;="&amp;$D3336,[1]内部转账!$F:$F,$G3336)),"")</f>
        <v/>
      </c>
      <c r="M3336" s="64"/>
      <c r="N3336" s="69"/>
      <c r="O3336" s="64"/>
      <c r="P3336" s="64"/>
      <c r="Q3336" s="69"/>
      <c r="R3336" s="69"/>
      <c r="S3336" s="69"/>
    </row>
    <row r="3337" s="2" customFormat="1" ht="24.95" customHeight="1" spans="1:19">
      <c r="A3337" s="15"/>
      <c r="B3337" s="55"/>
      <c r="C3337" s="56"/>
      <c r="D3337" s="68"/>
      <c r="E3337" s="69"/>
      <c r="F3337" s="69"/>
      <c r="G3337" s="65"/>
      <c r="H3337" s="65"/>
      <c r="I3337" s="70"/>
      <c r="J3337" s="71"/>
      <c r="K3337" s="71"/>
      <c r="L3337" s="72" t="str">
        <f>IFERROR(IF(G3337="","",VLOOKUP($G3337,[1]基础信息!$B:$C,2,FALSE)+SUMIF(G$8:G3337,G3337,J$8:J3337)-SUMIF(G$8:G3337,G3337,K$8:K3337)+SUMIFS([1]内部转账!$G:$G,[1]内部转账!$C:$C,"&lt;="&amp;$D3337,[1]内部转账!$E:$E,$G3337)-SUMIFS([1]内部转账!$G:$G,[1]内部转账!$C:$C,"&lt;="&amp;$D3337,[1]内部转账!$F:$F,$G3337)),"")</f>
        <v/>
      </c>
      <c r="M3337" s="64"/>
      <c r="N3337" s="69"/>
      <c r="O3337" s="64"/>
      <c r="P3337" s="64"/>
      <c r="Q3337" s="69"/>
      <c r="R3337" s="69"/>
      <c r="S3337" s="69"/>
    </row>
    <row r="3338" s="2" customFormat="1" ht="24.95" customHeight="1" spans="1:19">
      <c r="A3338" s="15"/>
      <c r="B3338" s="55"/>
      <c r="C3338" s="56"/>
      <c r="D3338" s="68"/>
      <c r="E3338" s="69"/>
      <c r="F3338" s="69"/>
      <c r="G3338" s="65"/>
      <c r="H3338" s="65"/>
      <c r="I3338" s="70"/>
      <c r="J3338" s="71"/>
      <c r="K3338" s="71"/>
      <c r="L3338" s="72" t="str">
        <f>IFERROR(IF(G3338="","",VLOOKUP($G3338,[1]基础信息!$B:$C,2,FALSE)+SUMIF(G$8:G3338,G3338,J$8:J3338)-SUMIF(G$8:G3338,G3338,K$8:K3338)+SUMIFS([1]内部转账!$G:$G,[1]内部转账!$C:$C,"&lt;="&amp;$D3338,[1]内部转账!$E:$E,$G3338)-SUMIFS([1]内部转账!$G:$G,[1]内部转账!$C:$C,"&lt;="&amp;$D3338,[1]内部转账!$F:$F,$G3338)),"")</f>
        <v/>
      </c>
      <c r="M3338" s="64"/>
      <c r="N3338" s="69"/>
      <c r="O3338" s="64"/>
      <c r="P3338" s="64"/>
      <c r="Q3338" s="69"/>
      <c r="R3338" s="69"/>
      <c r="S3338" s="69"/>
    </row>
    <row r="3339" s="2" customFormat="1" ht="24.95" customHeight="1" spans="1:19">
      <c r="A3339" s="15"/>
      <c r="B3339" s="55"/>
      <c r="C3339" s="56"/>
      <c r="D3339" s="68"/>
      <c r="E3339" s="69"/>
      <c r="F3339" s="69"/>
      <c r="G3339" s="65"/>
      <c r="H3339" s="65"/>
      <c r="I3339" s="70"/>
      <c r="J3339" s="71"/>
      <c r="K3339" s="71"/>
      <c r="L3339" s="72" t="str">
        <f>IFERROR(IF(G3339="","",VLOOKUP($G3339,[1]基础信息!$B:$C,2,FALSE)+SUMIF(G$8:G3339,G3339,J$8:J3339)-SUMIF(G$8:G3339,G3339,K$8:K3339)+SUMIFS([1]内部转账!$G:$G,[1]内部转账!$C:$C,"&lt;="&amp;$D3339,[1]内部转账!$E:$E,$G3339)-SUMIFS([1]内部转账!$G:$G,[1]内部转账!$C:$C,"&lt;="&amp;$D3339,[1]内部转账!$F:$F,$G3339)),"")</f>
        <v/>
      </c>
      <c r="M3339" s="64"/>
      <c r="N3339" s="69"/>
      <c r="O3339" s="64"/>
      <c r="P3339" s="64"/>
      <c r="Q3339" s="69"/>
      <c r="R3339" s="69"/>
      <c r="S3339" s="69"/>
    </row>
    <row r="3340" s="2" customFormat="1" ht="24.95" customHeight="1" spans="1:19">
      <c r="A3340" s="15"/>
      <c r="B3340" s="55"/>
      <c r="C3340" s="56"/>
      <c r="D3340" s="68"/>
      <c r="E3340" s="69"/>
      <c r="F3340" s="69"/>
      <c r="G3340" s="65"/>
      <c r="H3340" s="65"/>
      <c r="I3340" s="70"/>
      <c r="J3340" s="71"/>
      <c r="K3340" s="71"/>
      <c r="L3340" s="72" t="str">
        <f>IFERROR(IF(G3340="","",VLOOKUP($G3340,[1]基础信息!$B:$C,2,FALSE)+SUMIF(G$8:G3340,G3340,J$8:J3340)-SUMIF(G$8:G3340,G3340,K$8:K3340)+SUMIFS([1]内部转账!$G:$G,[1]内部转账!$C:$C,"&lt;="&amp;$D3340,[1]内部转账!$E:$E,$G3340)-SUMIFS([1]内部转账!$G:$G,[1]内部转账!$C:$C,"&lt;="&amp;$D3340,[1]内部转账!$F:$F,$G3340)),"")</f>
        <v/>
      </c>
      <c r="M3340" s="64"/>
      <c r="N3340" s="69"/>
      <c r="O3340" s="64"/>
      <c r="P3340" s="64"/>
      <c r="Q3340" s="69"/>
      <c r="R3340" s="69"/>
      <c r="S3340" s="69"/>
    </row>
    <row r="3341" s="2" customFormat="1" ht="24.95" customHeight="1" spans="1:19">
      <c r="A3341" s="15"/>
      <c r="B3341" s="55"/>
      <c r="C3341" s="56"/>
      <c r="D3341" s="68"/>
      <c r="E3341" s="69"/>
      <c r="F3341" s="69"/>
      <c r="G3341" s="65"/>
      <c r="H3341" s="65"/>
      <c r="I3341" s="70"/>
      <c r="J3341" s="71"/>
      <c r="K3341" s="71"/>
      <c r="L3341" s="72" t="str">
        <f>IFERROR(IF(G3341="","",VLOOKUP($G3341,[1]基础信息!$B:$C,2,FALSE)+SUMIF(G$8:G3341,G3341,J$8:J3341)-SUMIF(G$8:G3341,G3341,K$8:K3341)+SUMIFS([1]内部转账!$G:$G,[1]内部转账!$C:$C,"&lt;="&amp;$D3341,[1]内部转账!$E:$E,$G3341)-SUMIFS([1]内部转账!$G:$G,[1]内部转账!$C:$C,"&lt;="&amp;$D3341,[1]内部转账!$F:$F,$G3341)),"")</f>
        <v/>
      </c>
      <c r="M3341" s="64"/>
      <c r="N3341" s="69"/>
      <c r="O3341" s="64"/>
      <c r="P3341" s="64"/>
      <c r="Q3341" s="69"/>
      <c r="R3341" s="69"/>
      <c r="S3341" s="69"/>
    </row>
    <row r="3342" s="2" customFormat="1" ht="24.95" customHeight="1" spans="1:19">
      <c r="A3342" s="15"/>
      <c r="B3342" s="55"/>
      <c r="C3342" s="56"/>
      <c r="D3342" s="68"/>
      <c r="E3342" s="69"/>
      <c r="F3342" s="69"/>
      <c r="G3342" s="65"/>
      <c r="H3342" s="65"/>
      <c r="I3342" s="70"/>
      <c r="J3342" s="71"/>
      <c r="K3342" s="71"/>
      <c r="L3342" s="72" t="str">
        <f>IFERROR(IF(G3342="","",VLOOKUP($G3342,[1]基础信息!$B:$C,2,FALSE)+SUMIF(G$8:G3342,G3342,J$8:J3342)-SUMIF(G$8:G3342,G3342,K$8:K3342)+SUMIFS([1]内部转账!$G:$G,[1]内部转账!$C:$C,"&lt;="&amp;$D3342,[1]内部转账!$E:$E,$G3342)-SUMIFS([1]内部转账!$G:$G,[1]内部转账!$C:$C,"&lt;="&amp;$D3342,[1]内部转账!$F:$F,$G3342)),"")</f>
        <v/>
      </c>
      <c r="M3342" s="64"/>
      <c r="N3342" s="69"/>
      <c r="O3342" s="64"/>
      <c r="P3342" s="64"/>
      <c r="Q3342" s="69"/>
      <c r="R3342" s="69"/>
      <c r="S3342" s="69"/>
    </row>
    <row r="3343" s="2" customFormat="1" ht="24.95" customHeight="1" spans="1:19">
      <c r="A3343" s="15"/>
      <c r="B3343" s="55"/>
      <c r="C3343" s="56"/>
      <c r="D3343" s="68"/>
      <c r="E3343" s="69"/>
      <c r="F3343" s="69"/>
      <c r="G3343" s="65"/>
      <c r="H3343" s="65"/>
      <c r="I3343" s="70"/>
      <c r="J3343" s="71"/>
      <c r="K3343" s="71"/>
      <c r="L3343" s="72" t="str">
        <f>IFERROR(IF(G3343="","",VLOOKUP($G3343,[1]基础信息!$B:$C,2,FALSE)+SUMIF(G$8:G3343,G3343,J$8:J3343)-SUMIF(G$8:G3343,G3343,K$8:K3343)+SUMIFS([1]内部转账!$G:$G,[1]内部转账!$C:$C,"&lt;="&amp;$D3343,[1]内部转账!$E:$E,$G3343)-SUMIFS([1]内部转账!$G:$G,[1]内部转账!$C:$C,"&lt;="&amp;$D3343,[1]内部转账!$F:$F,$G3343)),"")</f>
        <v/>
      </c>
      <c r="M3343" s="64"/>
      <c r="N3343" s="69"/>
      <c r="O3343" s="64"/>
      <c r="P3343" s="64"/>
      <c r="Q3343" s="69"/>
      <c r="R3343" s="69"/>
      <c r="S3343" s="69"/>
    </row>
    <row r="3344" s="2" customFormat="1" ht="24.95" customHeight="1" spans="1:19">
      <c r="A3344" s="15"/>
      <c r="B3344" s="55"/>
      <c r="C3344" s="56"/>
      <c r="D3344" s="68"/>
      <c r="E3344" s="69"/>
      <c r="F3344" s="69"/>
      <c r="G3344" s="65"/>
      <c r="H3344" s="65"/>
      <c r="I3344" s="70"/>
      <c r="J3344" s="71"/>
      <c r="K3344" s="71"/>
      <c r="L3344" s="72" t="str">
        <f>IFERROR(IF(G3344="","",VLOOKUP($G3344,[1]基础信息!$B:$C,2,FALSE)+SUMIF(G$8:G3344,G3344,J$8:J3344)-SUMIF(G$8:G3344,G3344,K$8:K3344)+SUMIFS([1]内部转账!$G:$G,[1]内部转账!$C:$C,"&lt;="&amp;$D3344,[1]内部转账!$E:$E,$G3344)-SUMIFS([1]内部转账!$G:$G,[1]内部转账!$C:$C,"&lt;="&amp;$D3344,[1]内部转账!$F:$F,$G3344)),"")</f>
        <v/>
      </c>
      <c r="M3344" s="64"/>
      <c r="N3344" s="69"/>
      <c r="O3344" s="64"/>
      <c r="P3344" s="64"/>
      <c r="Q3344" s="69"/>
      <c r="R3344" s="69"/>
      <c r="S3344" s="69"/>
    </row>
    <row r="3345" s="2" customFormat="1" ht="24.95" customHeight="1" spans="1:19">
      <c r="A3345" s="15"/>
      <c r="B3345" s="55"/>
      <c r="C3345" s="56"/>
      <c r="D3345" s="68"/>
      <c r="E3345" s="69"/>
      <c r="F3345" s="69"/>
      <c r="G3345" s="65"/>
      <c r="H3345" s="65"/>
      <c r="I3345" s="70"/>
      <c r="J3345" s="71"/>
      <c r="K3345" s="71"/>
      <c r="L3345" s="72" t="str">
        <f>IFERROR(IF(G3345="","",VLOOKUP($G3345,[1]基础信息!$B:$C,2,FALSE)+SUMIF(G$8:G3345,G3345,J$8:J3345)-SUMIF(G$8:G3345,G3345,K$8:K3345)+SUMIFS([1]内部转账!$G:$G,[1]内部转账!$C:$C,"&lt;="&amp;$D3345,[1]内部转账!$E:$E,$G3345)-SUMIFS([1]内部转账!$G:$G,[1]内部转账!$C:$C,"&lt;="&amp;$D3345,[1]内部转账!$F:$F,$G3345)),"")</f>
        <v/>
      </c>
      <c r="M3345" s="64"/>
      <c r="N3345" s="69"/>
      <c r="O3345" s="64"/>
      <c r="P3345" s="64"/>
      <c r="Q3345" s="69"/>
      <c r="R3345" s="69"/>
      <c r="S3345" s="69"/>
    </row>
    <row r="3346" s="2" customFormat="1" ht="24.95" customHeight="1" spans="1:19">
      <c r="A3346" s="15"/>
      <c r="B3346" s="55"/>
      <c r="C3346" s="56"/>
      <c r="D3346" s="68"/>
      <c r="E3346" s="69"/>
      <c r="F3346" s="69"/>
      <c r="G3346" s="65"/>
      <c r="H3346" s="65"/>
      <c r="I3346" s="70"/>
      <c r="J3346" s="71"/>
      <c r="K3346" s="71"/>
      <c r="L3346" s="72" t="str">
        <f>IFERROR(IF(G3346="","",VLOOKUP($G3346,[1]基础信息!$B:$C,2,FALSE)+SUMIF(G$8:G3346,G3346,J$8:J3346)-SUMIF(G$8:G3346,G3346,K$8:K3346)+SUMIFS([1]内部转账!$G:$G,[1]内部转账!$C:$C,"&lt;="&amp;$D3346,[1]内部转账!$E:$E,$G3346)-SUMIFS([1]内部转账!$G:$G,[1]内部转账!$C:$C,"&lt;="&amp;$D3346,[1]内部转账!$F:$F,$G3346)),"")</f>
        <v/>
      </c>
      <c r="M3346" s="64"/>
      <c r="N3346" s="69"/>
      <c r="O3346" s="64"/>
      <c r="P3346" s="64"/>
      <c r="Q3346" s="69"/>
      <c r="R3346" s="69"/>
      <c r="S3346" s="69"/>
    </row>
    <row r="3347" s="2" customFormat="1" ht="24.95" customHeight="1" spans="1:19">
      <c r="A3347" s="15"/>
      <c r="B3347" s="55"/>
      <c r="C3347" s="56"/>
      <c r="D3347" s="68"/>
      <c r="E3347" s="69"/>
      <c r="F3347" s="69"/>
      <c r="G3347" s="65"/>
      <c r="H3347" s="65"/>
      <c r="I3347" s="70"/>
      <c r="J3347" s="71"/>
      <c r="K3347" s="71"/>
      <c r="L3347" s="72" t="str">
        <f>IFERROR(IF(G3347="","",VLOOKUP($G3347,[1]基础信息!$B:$C,2,FALSE)+SUMIF(G$8:G3347,G3347,J$8:J3347)-SUMIF(G$8:G3347,G3347,K$8:K3347)+SUMIFS([1]内部转账!$G:$G,[1]内部转账!$C:$C,"&lt;="&amp;$D3347,[1]内部转账!$E:$E,$G3347)-SUMIFS([1]内部转账!$G:$G,[1]内部转账!$C:$C,"&lt;="&amp;$D3347,[1]内部转账!$F:$F,$G3347)),"")</f>
        <v/>
      </c>
      <c r="M3347" s="64"/>
      <c r="N3347" s="69"/>
      <c r="O3347" s="64"/>
      <c r="P3347" s="64"/>
      <c r="Q3347" s="69"/>
      <c r="R3347" s="69"/>
      <c r="S3347" s="69"/>
    </row>
    <row r="3348" s="2" customFormat="1" ht="24.95" customHeight="1" spans="1:19">
      <c r="A3348" s="15"/>
      <c r="B3348" s="55"/>
      <c r="C3348" s="56"/>
      <c r="D3348" s="68"/>
      <c r="E3348" s="69"/>
      <c r="F3348" s="69"/>
      <c r="G3348" s="65"/>
      <c r="H3348" s="65"/>
      <c r="I3348" s="70"/>
      <c r="J3348" s="71"/>
      <c r="K3348" s="71"/>
      <c r="L3348" s="72" t="str">
        <f>IFERROR(IF(G3348="","",VLOOKUP($G3348,[1]基础信息!$B:$C,2,FALSE)+SUMIF(G$8:G3348,G3348,J$8:J3348)-SUMIF(G$8:G3348,G3348,K$8:K3348)+SUMIFS([1]内部转账!$G:$G,[1]内部转账!$C:$C,"&lt;="&amp;$D3348,[1]内部转账!$E:$E,$G3348)-SUMIFS([1]内部转账!$G:$G,[1]内部转账!$C:$C,"&lt;="&amp;$D3348,[1]内部转账!$F:$F,$G3348)),"")</f>
        <v/>
      </c>
      <c r="M3348" s="64"/>
      <c r="N3348" s="69"/>
      <c r="O3348" s="64"/>
      <c r="P3348" s="64"/>
      <c r="Q3348" s="69"/>
      <c r="R3348" s="69"/>
      <c r="S3348" s="69"/>
    </row>
    <row r="3349" s="2" customFormat="1" ht="24.95" customHeight="1" spans="1:19">
      <c r="A3349" s="15"/>
      <c r="B3349" s="55"/>
      <c r="C3349" s="56"/>
      <c r="D3349" s="68"/>
      <c r="E3349" s="69"/>
      <c r="F3349" s="69"/>
      <c r="G3349" s="65"/>
      <c r="H3349" s="65"/>
      <c r="I3349" s="70"/>
      <c r="J3349" s="71"/>
      <c r="K3349" s="71"/>
      <c r="L3349" s="72" t="str">
        <f>IFERROR(IF(G3349="","",VLOOKUP($G3349,[1]基础信息!$B:$C,2,FALSE)+SUMIF(G$8:G3349,G3349,J$8:J3349)-SUMIF(G$8:G3349,G3349,K$8:K3349)+SUMIFS([1]内部转账!$G:$G,[1]内部转账!$C:$C,"&lt;="&amp;$D3349,[1]内部转账!$E:$E,$G3349)-SUMIFS([1]内部转账!$G:$G,[1]内部转账!$C:$C,"&lt;="&amp;$D3349,[1]内部转账!$F:$F,$G3349)),"")</f>
        <v/>
      </c>
      <c r="M3349" s="64"/>
      <c r="N3349" s="69"/>
      <c r="O3349" s="64"/>
      <c r="P3349" s="64"/>
      <c r="Q3349" s="69"/>
      <c r="R3349" s="69"/>
      <c r="S3349" s="69"/>
    </row>
    <row r="3350" s="2" customFormat="1" ht="24.95" customHeight="1" spans="1:19">
      <c r="A3350" s="15"/>
      <c r="B3350" s="55"/>
      <c r="C3350" s="56"/>
      <c r="D3350" s="68"/>
      <c r="E3350" s="69"/>
      <c r="F3350" s="69"/>
      <c r="G3350" s="65"/>
      <c r="H3350" s="65"/>
      <c r="I3350" s="70"/>
      <c r="J3350" s="71"/>
      <c r="K3350" s="71"/>
      <c r="L3350" s="72" t="str">
        <f>IFERROR(IF(G3350="","",VLOOKUP($G3350,[1]基础信息!$B:$C,2,FALSE)+SUMIF(G$8:G3350,G3350,J$8:J3350)-SUMIF(G$8:G3350,G3350,K$8:K3350)+SUMIFS([1]内部转账!$G:$G,[1]内部转账!$C:$C,"&lt;="&amp;$D3350,[1]内部转账!$E:$E,$G3350)-SUMIFS([1]内部转账!$G:$G,[1]内部转账!$C:$C,"&lt;="&amp;$D3350,[1]内部转账!$F:$F,$G3350)),"")</f>
        <v/>
      </c>
      <c r="M3350" s="64"/>
      <c r="N3350" s="69"/>
      <c r="O3350" s="64"/>
      <c r="P3350" s="64"/>
      <c r="Q3350" s="69"/>
      <c r="R3350" s="69"/>
      <c r="S3350" s="69"/>
    </row>
    <row r="3351" s="2" customFormat="1" ht="24.95" customHeight="1" spans="1:19">
      <c r="A3351" s="15"/>
      <c r="B3351" s="55"/>
      <c r="C3351" s="56"/>
      <c r="D3351" s="68"/>
      <c r="E3351" s="69"/>
      <c r="F3351" s="69"/>
      <c r="G3351" s="65"/>
      <c r="H3351" s="65"/>
      <c r="I3351" s="70"/>
      <c r="J3351" s="71"/>
      <c r="K3351" s="71"/>
      <c r="L3351" s="72" t="str">
        <f>IFERROR(IF(G3351="","",VLOOKUP($G3351,[1]基础信息!$B:$C,2,FALSE)+SUMIF(G$8:G3351,G3351,J$8:J3351)-SUMIF(G$8:G3351,G3351,K$8:K3351)+SUMIFS([1]内部转账!$G:$G,[1]内部转账!$C:$C,"&lt;="&amp;$D3351,[1]内部转账!$E:$E,$G3351)-SUMIFS([1]内部转账!$G:$G,[1]内部转账!$C:$C,"&lt;="&amp;$D3351,[1]内部转账!$F:$F,$G3351)),"")</f>
        <v/>
      </c>
      <c r="M3351" s="64"/>
      <c r="N3351" s="69"/>
      <c r="O3351" s="64"/>
      <c r="P3351" s="64"/>
      <c r="Q3351" s="69"/>
      <c r="R3351" s="69"/>
      <c r="S3351" s="69"/>
    </row>
    <row r="3352" s="2" customFormat="1" ht="24.95" customHeight="1" spans="1:19">
      <c r="A3352" s="15"/>
      <c r="B3352" s="55"/>
      <c r="C3352" s="56"/>
      <c r="D3352" s="68"/>
      <c r="E3352" s="69"/>
      <c r="F3352" s="69"/>
      <c r="G3352" s="65"/>
      <c r="H3352" s="65"/>
      <c r="I3352" s="70"/>
      <c r="J3352" s="71"/>
      <c r="K3352" s="71"/>
      <c r="L3352" s="72" t="str">
        <f>IFERROR(IF(G3352="","",VLOOKUP($G3352,[1]基础信息!$B:$C,2,FALSE)+SUMIF(G$8:G3352,G3352,J$8:J3352)-SUMIF(G$8:G3352,G3352,K$8:K3352)+SUMIFS([1]内部转账!$G:$G,[1]内部转账!$C:$C,"&lt;="&amp;$D3352,[1]内部转账!$E:$E,$G3352)-SUMIFS([1]内部转账!$G:$G,[1]内部转账!$C:$C,"&lt;="&amp;$D3352,[1]内部转账!$F:$F,$G3352)),"")</f>
        <v/>
      </c>
      <c r="M3352" s="64"/>
      <c r="N3352" s="69"/>
      <c r="O3352" s="64"/>
      <c r="P3352" s="64"/>
      <c r="Q3352" s="69"/>
      <c r="R3352" s="69"/>
      <c r="S3352" s="69"/>
    </row>
    <row r="3353" s="2" customFormat="1" ht="24.95" customHeight="1" spans="1:19">
      <c r="A3353" s="15"/>
      <c r="B3353" s="55"/>
      <c r="C3353" s="56"/>
      <c r="D3353" s="68"/>
      <c r="E3353" s="69"/>
      <c r="F3353" s="69"/>
      <c r="G3353" s="65"/>
      <c r="H3353" s="65"/>
      <c r="I3353" s="70"/>
      <c r="J3353" s="71"/>
      <c r="K3353" s="71"/>
      <c r="L3353" s="72" t="str">
        <f>IFERROR(IF(G3353="","",VLOOKUP($G3353,[1]基础信息!$B:$C,2,FALSE)+SUMIF(G$8:G3353,G3353,J$8:J3353)-SUMIF(G$8:G3353,G3353,K$8:K3353)+SUMIFS([1]内部转账!$G:$G,[1]内部转账!$C:$C,"&lt;="&amp;$D3353,[1]内部转账!$E:$E,$G3353)-SUMIFS([1]内部转账!$G:$G,[1]内部转账!$C:$C,"&lt;="&amp;$D3353,[1]内部转账!$F:$F,$G3353)),"")</f>
        <v/>
      </c>
      <c r="M3353" s="64"/>
      <c r="N3353" s="69"/>
      <c r="O3353" s="64"/>
      <c r="P3353" s="64"/>
      <c r="Q3353" s="69"/>
      <c r="R3353" s="69"/>
      <c r="S3353" s="69"/>
    </row>
    <row r="3354" s="2" customFormat="1" ht="24.95" customHeight="1" spans="1:19">
      <c r="A3354" s="15"/>
      <c r="B3354" s="55"/>
      <c r="C3354" s="56"/>
      <c r="D3354" s="68"/>
      <c r="E3354" s="69"/>
      <c r="F3354" s="69"/>
      <c r="G3354" s="65"/>
      <c r="H3354" s="65"/>
      <c r="I3354" s="70"/>
      <c r="J3354" s="71"/>
      <c r="K3354" s="71"/>
      <c r="L3354" s="72" t="str">
        <f>IFERROR(IF(G3354="","",VLOOKUP($G3354,[1]基础信息!$B:$C,2,FALSE)+SUMIF(G$8:G3354,G3354,J$8:J3354)-SUMIF(G$8:G3354,G3354,K$8:K3354)+SUMIFS([1]内部转账!$G:$G,[1]内部转账!$C:$C,"&lt;="&amp;$D3354,[1]内部转账!$E:$E,$G3354)-SUMIFS([1]内部转账!$G:$G,[1]内部转账!$C:$C,"&lt;="&amp;$D3354,[1]内部转账!$F:$F,$G3354)),"")</f>
        <v/>
      </c>
      <c r="M3354" s="64"/>
      <c r="N3354" s="69"/>
      <c r="O3354" s="64"/>
      <c r="P3354" s="64"/>
      <c r="Q3354" s="69"/>
      <c r="R3354" s="69"/>
      <c r="S3354" s="69"/>
    </row>
    <row r="3355" s="2" customFormat="1" ht="24.95" customHeight="1" spans="1:19">
      <c r="A3355" s="15"/>
      <c r="B3355" s="55"/>
      <c r="C3355" s="56"/>
      <c r="D3355" s="68"/>
      <c r="E3355" s="69"/>
      <c r="F3355" s="69"/>
      <c r="G3355" s="65"/>
      <c r="H3355" s="65"/>
      <c r="I3355" s="70"/>
      <c r="J3355" s="71"/>
      <c r="K3355" s="71"/>
      <c r="L3355" s="72" t="str">
        <f>IFERROR(IF(G3355="","",VLOOKUP($G3355,[1]基础信息!$B:$C,2,FALSE)+SUMIF(G$8:G3355,G3355,J$8:J3355)-SUMIF(G$8:G3355,G3355,K$8:K3355)+SUMIFS([1]内部转账!$G:$G,[1]内部转账!$C:$C,"&lt;="&amp;$D3355,[1]内部转账!$E:$E,$G3355)-SUMIFS([1]内部转账!$G:$G,[1]内部转账!$C:$C,"&lt;="&amp;$D3355,[1]内部转账!$F:$F,$G3355)),"")</f>
        <v/>
      </c>
      <c r="M3355" s="64"/>
      <c r="N3355" s="69"/>
      <c r="O3355" s="64"/>
      <c r="P3355" s="64"/>
      <c r="Q3355" s="69"/>
      <c r="R3355" s="69"/>
      <c r="S3355" s="69"/>
    </row>
    <row r="3356" s="2" customFormat="1" ht="24.95" customHeight="1" spans="1:19">
      <c r="A3356" s="15"/>
      <c r="B3356" s="55"/>
      <c r="C3356" s="56"/>
      <c r="D3356" s="68"/>
      <c r="E3356" s="69"/>
      <c r="F3356" s="69"/>
      <c r="G3356" s="65"/>
      <c r="H3356" s="65"/>
      <c r="I3356" s="70"/>
      <c r="J3356" s="71"/>
      <c r="K3356" s="71"/>
      <c r="L3356" s="72" t="str">
        <f>IFERROR(IF(G3356="","",VLOOKUP($G3356,[1]基础信息!$B:$C,2,FALSE)+SUMIF(G$8:G3356,G3356,J$8:J3356)-SUMIF(G$8:G3356,G3356,K$8:K3356)+SUMIFS([1]内部转账!$G:$G,[1]内部转账!$C:$C,"&lt;="&amp;$D3356,[1]内部转账!$E:$E,$G3356)-SUMIFS([1]内部转账!$G:$G,[1]内部转账!$C:$C,"&lt;="&amp;$D3356,[1]内部转账!$F:$F,$G3356)),"")</f>
        <v/>
      </c>
      <c r="M3356" s="64"/>
      <c r="N3356" s="69"/>
      <c r="O3356" s="64"/>
      <c r="P3356" s="64"/>
      <c r="Q3356" s="69"/>
      <c r="R3356" s="69"/>
      <c r="S3356" s="69"/>
    </row>
    <row r="3357" s="2" customFormat="1" ht="24.95" customHeight="1" spans="1:19">
      <c r="A3357" s="15"/>
      <c r="B3357" s="55"/>
      <c r="C3357" s="56"/>
      <c r="D3357" s="68"/>
      <c r="E3357" s="69"/>
      <c r="F3357" s="69"/>
      <c r="G3357" s="65"/>
      <c r="H3357" s="65"/>
      <c r="I3357" s="70"/>
      <c r="J3357" s="71"/>
      <c r="K3357" s="71"/>
      <c r="L3357" s="72" t="str">
        <f>IFERROR(IF(G3357="","",VLOOKUP($G3357,[1]基础信息!$B:$C,2,FALSE)+SUMIF(G$8:G3357,G3357,J$8:J3357)-SUMIF(G$8:G3357,G3357,K$8:K3357)+SUMIFS([1]内部转账!$G:$G,[1]内部转账!$C:$C,"&lt;="&amp;$D3357,[1]内部转账!$E:$E,$G3357)-SUMIFS([1]内部转账!$G:$G,[1]内部转账!$C:$C,"&lt;="&amp;$D3357,[1]内部转账!$F:$F,$G3357)),"")</f>
        <v/>
      </c>
      <c r="M3357" s="64"/>
      <c r="N3357" s="69"/>
      <c r="O3357" s="64"/>
      <c r="P3357" s="64"/>
      <c r="Q3357" s="69"/>
      <c r="R3357" s="69"/>
      <c r="S3357" s="69"/>
    </row>
    <row r="3358" s="2" customFormat="1" ht="24.95" customHeight="1" spans="1:19">
      <c r="A3358" s="15"/>
      <c r="B3358" s="55"/>
      <c r="C3358" s="56"/>
      <c r="D3358" s="68"/>
      <c r="E3358" s="69"/>
      <c r="F3358" s="69"/>
      <c r="G3358" s="65"/>
      <c r="H3358" s="65"/>
      <c r="I3358" s="70"/>
      <c r="J3358" s="71"/>
      <c r="K3358" s="71"/>
      <c r="L3358" s="72" t="str">
        <f>IFERROR(IF(G3358="","",VLOOKUP($G3358,[1]基础信息!$B:$C,2,FALSE)+SUMIF(G$8:G3358,G3358,J$8:J3358)-SUMIF(G$8:G3358,G3358,K$8:K3358)+SUMIFS([1]内部转账!$G:$G,[1]内部转账!$C:$C,"&lt;="&amp;$D3358,[1]内部转账!$E:$E,$G3358)-SUMIFS([1]内部转账!$G:$G,[1]内部转账!$C:$C,"&lt;="&amp;$D3358,[1]内部转账!$F:$F,$G3358)),"")</f>
        <v/>
      </c>
      <c r="M3358" s="64"/>
      <c r="N3358" s="69"/>
      <c r="O3358" s="64"/>
      <c r="P3358" s="64"/>
      <c r="Q3358" s="69"/>
      <c r="R3358" s="69"/>
      <c r="S3358" s="69"/>
    </row>
    <row r="3359" s="2" customFormat="1" ht="24.95" customHeight="1" spans="1:19">
      <c r="A3359" s="15"/>
      <c r="B3359" s="55"/>
      <c r="C3359" s="56"/>
      <c r="D3359" s="68"/>
      <c r="E3359" s="69"/>
      <c r="F3359" s="69"/>
      <c r="G3359" s="65"/>
      <c r="H3359" s="65"/>
      <c r="I3359" s="70"/>
      <c r="J3359" s="71"/>
      <c r="K3359" s="71"/>
      <c r="L3359" s="72" t="str">
        <f>IFERROR(IF(G3359="","",VLOOKUP($G3359,[1]基础信息!$B:$C,2,FALSE)+SUMIF(G$8:G3359,G3359,J$8:J3359)-SUMIF(G$8:G3359,G3359,K$8:K3359)+SUMIFS([1]内部转账!$G:$G,[1]内部转账!$C:$C,"&lt;="&amp;$D3359,[1]内部转账!$E:$E,$G3359)-SUMIFS([1]内部转账!$G:$G,[1]内部转账!$C:$C,"&lt;="&amp;$D3359,[1]内部转账!$F:$F,$G3359)),"")</f>
        <v/>
      </c>
      <c r="M3359" s="64"/>
      <c r="N3359" s="69"/>
      <c r="O3359" s="64"/>
      <c r="P3359" s="64"/>
      <c r="Q3359" s="69"/>
      <c r="R3359" s="69"/>
      <c r="S3359" s="69"/>
    </row>
    <row r="3360" s="2" customFormat="1" ht="24.95" customHeight="1" spans="1:19">
      <c r="A3360" s="15"/>
      <c r="B3360" s="55"/>
      <c r="C3360" s="56"/>
      <c r="D3360" s="68"/>
      <c r="E3360" s="69"/>
      <c r="F3360" s="69"/>
      <c r="G3360" s="65"/>
      <c r="H3360" s="65"/>
      <c r="I3360" s="70"/>
      <c r="J3360" s="71"/>
      <c r="K3360" s="71"/>
      <c r="L3360" s="72" t="str">
        <f>IFERROR(IF(G3360="","",VLOOKUP($G3360,[1]基础信息!$B:$C,2,FALSE)+SUMIF(G$8:G3360,G3360,J$8:J3360)-SUMIF(G$8:G3360,G3360,K$8:K3360)+SUMIFS([1]内部转账!$G:$G,[1]内部转账!$C:$C,"&lt;="&amp;$D3360,[1]内部转账!$E:$E,$G3360)-SUMIFS([1]内部转账!$G:$G,[1]内部转账!$C:$C,"&lt;="&amp;$D3360,[1]内部转账!$F:$F,$G3360)),"")</f>
        <v/>
      </c>
      <c r="M3360" s="64"/>
      <c r="N3360" s="69"/>
      <c r="O3360" s="64"/>
      <c r="P3360" s="64"/>
      <c r="Q3360" s="69"/>
      <c r="R3360" s="69"/>
      <c r="S3360" s="69"/>
    </row>
    <row r="3361" s="2" customFormat="1" ht="24.95" customHeight="1" spans="1:19">
      <c r="A3361" s="15"/>
      <c r="B3361" s="55"/>
      <c r="C3361" s="56"/>
      <c r="D3361" s="68"/>
      <c r="E3361" s="69"/>
      <c r="F3361" s="69"/>
      <c r="G3361" s="65"/>
      <c r="H3361" s="65"/>
      <c r="I3361" s="70"/>
      <c r="J3361" s="71"/>
      <c r="K3361" s="71"/>
      <c r="L3361" s="72" t="str">
        <f>IFERROR(IF(G3361="","",VLOOKUP($G3361,[1]基础信息!$B:$C,2,FALSE)+SUMIF(G$8:G3361,G3361,J$8:J3361)-SUMIF(G$8:G3361,G3361,K$8:K3361)+SUMIFS([1]内部转账!$G:$G,[1]内部转账!$C:$C,"&lt;="&amp;$D3361,[1]内部转账!$E:$E,$G3361)-SUMIFS([1]内部转账!$G:$G,[1]内部转账!$C:$C,"&lt;="&amp;$D3361,[1]内部转账!$F:$F,$G3361)),"")</f>
        <v/>
      </c>
      <c r="M3361" s="64"/>
      <c r="N3361" s="69"/>
      <c r="O3361" s="64"/>
      <c r="P3361" s="64"/>
      <c r="Q3361" s="69"/>
      <c r="R3361" s="69"/>
      <c r="S3361" s="69"/>
    </row>
    <row r="3362" s="2" customFormat="1" ht="24.95" customHeight="1" spans="1:19">
      <c r="A3362" s="15"/>
      <c r="B3362" s="55"/>
      <c r="C3362" s="56"/>
      <c r="D3362" s="68"/>
      <c r="E3362" s="69"/>
      <c r="F3362" s="69"/>
      <c r="G3362" s="65"/>
      <c r="H3362" s="65"/>
      <c r="I3362" s="70"/>
      <c r="J3362" s="71"/>
      <c r="K3362" s="71"/>
      <c r="L3362" s="72" t="str">
        <f>IFERROR(IF(G3362="","",VLOOKUP($G3362,[1]基础信息!$B:$C,2,FALSE)+SUMIF(G$8:G3362,G3362,J$8:J3362)-SUMIF(G$8:G3362,G3362,K$8:K3362)+SUMIFS([1]内部转账!$G:$G,[1]内部转账!$C:$C,"&lt;="&amp;$D3362,[1]内部转账!$E:$E,$G3362)-SUMIFS([1]内部转账!$G:$G,[1]内部转账!$C:$C,"&lt;="&amp;$D3362,[1]内部转账!$F:$F,$G3362)),"")</f>
        <v/>
      </c>
      <c r="M3362" s="64"/>
      <c r="N3362" s="69"/>
      <c r="O3362" s="64"/>
      <c r="P3362" s="64"/>
      <c r="Q3362" s="69"/>
      <c r="R3362" s="69"/>
      <c r="S3362" s="69"/>
    </row>
    <row r="3363" s="2" customFormat="1" ht="24.95" customHeight="1" spans="1:19">
      <c r="A3363" s="15"/>
      <c r="B3363" s="55"/>
      <c r="C3363" s="56"/>
      <c r="D3363" s="68"/>
      <c r="E3363" s="69"/>
      <c r="F3363" s="69"/>
      <c r="G3363" s="65"/>
      <c r="H3363" s="65"/>
      <c r="I3363" s="70"/>
      <c r="J3363" s="71"/>
      <c r="K3363" s="71"/>
      <c r="L3363" s="72" t="str">
        <f>IFERROR(IF(G3363="","",VLOOKUP($G3363,[1]基础信息!$B:$C,2,FALSE)+SUMIF(G$8:G3363,G3363,J$8:J3363)-SUMIF(G$8:G3363,G3363,K$8:K3363)+SUMIFS([1]内部转账!$G:$G,[1]内部转账!$C:$C,"&lt;="&amp;$D3363,[1]内部转账!$E:$E,$G3363)-SUMIFS([1]内部转账!$G:$G,[1]内部转账!$C:$C,"&lt;="&amp;$D3363,[1]内部转账!$F:$F,$G3363)),"")</f>
        <v/>
      </c>
      <c r="M3363" s="64"/>
      <c r="N3363" s="69"/>
      <c r="O3363" s="64"/>
      <c r="P3363" s="64"/>
      <c r="Q3363" s="69"/>
      <c r="R3363" s="69"/>
      <c r="S3363" s="69"/>
    </row>
    <row r="3364" s="2" customFormat="1" ht="24.95" customHeight="1" spans="1:19">
      <c r="A3364" s="15"/>
      <c r="B3364" s="55"/>
      <c r="C3364" s="56"/>
      <c r="D3364" s="68"/>
      <c r="E3364" s="69"/>
      <c r="F3364" s="69"/>
      <c r="G3364" s="65"/>
      <c r="H3364" s="65"/>
      <c r="I3364" s="70"/>
      <c r="J3364" s="71"/>
      <c r="K3364" s="71"/>
      <c r="L3364" s="72" t="str">
        <f>IFERROR(IF(G3364="","",VLOOKUP($G3364,[1]基础信息!$B:$C,2,FALSE)+SUMIF(G$8:G3364,G3364,J$8:J3364)-SUMIF(G$8:G3364,G3364,K$8:K3364)+SUMIFS([1]内部转账!$G:$G,[1]内部转账!$C:$C,"&lt;="&amp;$D3364,[1]内部转账!$E:$E,$G3364)-SUMIFS([1]内部转账!$G:$G,[1]内部转账!$C:$C,"&lt;="&amp;$D3364,[1]内部转账!$F:$F,$G3364)),"")</f>
        <v/>
      </c>
      <c r="M3364" s="64"/>
      <c r="N3364" s="69"/>
      <c r="O3364" s="64"/>
      <c r="P3364" s="64"/>
      <c r="Q3364" s="69"/>
      <c r="R3364" s="69"/>
      <c r="S3364" s="69"/>
    </row>
    <row r="3365" s="2" customFormat="1" ht="24.95" customHeight="1" spans="1:19">
      <c r="A3365" s="15"/>
      <c r="B3365" s="55"/>
      <c r="C3365" s="56"/>
      <c r="D3365" s="68"/>
      <c r="E3365" s="69"/>
      <c r="F3365" s="69"/>
      <c r="G3365" s="65"/>
      <c r="H3365" s="65"/>
      <c r="I3365" s="70"/>
      <c r="J3365" s="71"/>
      <c r="K3365" s="71"/>
      <c r="L3365" s="72" t="str">
        <f>IFERROR(IF(G3365="","",VLOOKUP($G3365,[1]基础信息!$B:$C,2,FALSE)+SUMIF(G$8:G3365,G3365,J$8:J3365)-SUMIF(G$8:G3365,G3365,K$8:K3365)+SUMIFS([1]内部转账!$G:$G,[1]内部转账!$C:$C,"&lt;="&amp;$D3365,[1]内部转账!$E:$E,$G3365)-SUMIFS([1]内部转账!$G:$G,[1]内部转账!$C:$C,"&lt;="&amp;$D3365,[1]内部转账!$F:$F,$G3365)),"")</f>
        <v/>
      </c>
      <c r="M3365" s="64"/>
      <c r="N3365" s="69"/>
      <c r="O3365" s="64"/>
      <c r="P3365" s="64"/>
      <c r="Q3365" s="69"/>
      <c r="R3365" s="69"/>
      <c r="S3365" s="69"/>
    </row>
    <row r="3366" s="2" customFormat="1" ht="24.95" customHeight="1" spans="1:19">
      <c r="A3366" s="15"/>
      <c r="B3366" s="55"/>
      <c r="C3366" s="56"/>
      <c r="D3366" s="68"/>
      <c r="E3366" s="69"/>
      <c r="F3366" s="69"/>
      <c r="G3366" s="65"/>
      <c r="H3366" s="65"/>
      <c r="I3366" s="70"/>
      <c r="J3366" s="71"/>
      <c r="K3366" s="71"/>
      <c r="L3366" s="72" t="str">
        <f>IFERROR(IF(G3366="","",VLOOKUP($G3366,[1]基础信息!$B:$C,2,FALSE)+SUMIF(G$8:G3366,G3366,J$8:J3366)-SUMIF(G$8:G3366,G3366,K$8:K3366)+SUMIFS([1]内部转账!$G:$G,[1]内部转账!$C:$C,"&lt;="&amp;$D3366,[1]内部转账!$E:$E,$G3366)-SUMIFS([1]内部转账!$G:$G,[1]内部转账!$C:$C,"&lt;="&amp;$D3366,[1]内部转账!$F:$F,$G3366)),"")</f>
        <v/>
      </c>
      <c r="M3366" s="64"/>
      <c r="N3366" s="69"/>
      <c r="O3366" s="64"/>
      <c r="P3366" s="64"/>
      <c r="Q3366" s="69"/>
      <c r="R3366" s="69"/>
      <c r="S3366" s="69"/>
    </row>
    <row r="3367" s="2" customFormat="1" ht="24.95" customHeight="1" spans="1:19">
      <c r="A3367" s="15"/>
      <c r="B3367" s="55"/>
      <c r="C3367" s="56"/>
      <c r="D3367" s="68"/>
      <c r="E3367" s="69"/>
      <c r="F3367" s="69"/>
      <c r="G3367" s="65"/>
      <c r="H3367" s="65"/>
      <c r="I3367" s="70"/>
      <c r="J3367" s="71"/>
      <c r="K3367" s="71"/>
      <c r="L3367" s="72" t="str">
        <f>IFERROR(IF(G3367="","",VLOOKUP($G3367,[1]基础信息!$B:$C,2,FALSE)+SUMIF(G$8:G3367,G3367,J$8:J3367)-SUMIF(G$8:G3367,G3367,K$8:K3367)+SUMIFS([1]内部转账!$G:$G,[1]内部转账!$C:$C,"&lt;="&amp;$D3367,[1]内部转账!$E:$E,$G3367)-SUMIFS([1]内部转账!$G:$G,[1]内部转账!$C:$C,"&lt;="&amp;$D3367,[1]内部转账!$F:$F,$G3367)),"")</f>
        <v/>
      </c>
      <c r="M3367" s="64"/>
      <c r="N3367" s="69"/>
      <c r="O3367" s="64"/>
      <c r="P3367" s="64"/>
      <c r="Q3367" s="69"/>
      <c r="R3367" s="69"/>
      <c r="S3367" s="69"/>
    </row>
    <row r="3368" s="2" customFormat="1" ht="24.95" customHeight="1" spans="1:19">
      <c r="A3368" s="15"/>
      <c r="B3368" s="55"/>
      <c r="C3368" s="56"/>
      <c r="D3368" s="68"/>
      <c r="E3368" s="69"/>
      <c r="F3368" s="69"/>
      <c r="G3368" s="65"/>
      <c r="H3368" s="65"/>
      <c r="I3368" s="70"/>
      <c r="J3368" s="71"/>
      <c r="K3368" s="71"/>
      <c r="L3368" s="72" t="str">
        <f>IFERROR(IF(G3368="","",VLOOKUP($G3368,[1]基础信息!$B:$C,2,FALSE)+SUMIF(G$8:G3368,G3368,J$8:J3368)-SUMIF(G$8:G3368,G3368,K$8:K3368)+SUMIFS([1]内部转账!$G:$G,[1]内部转账!$C:$C,"&lt;="&amp;$D3368,[1]内部转账!$E:$E,$G3368)-SUMIFS([1]内部转账!$G:$G,[1]内部转账!$C:$C,"&lt;="&amp;$D3368,[1]内部转账!$F:$F,$G3368)),"")</f>
        <v/>
      </c>
      <c r="M3368" s="64"/>
      <c r="N3368" s="69"/>
      <c r="O3368" s="64"/>
      <c r="P3368" s="64"/>
      <c r="Q3368" s="69"/>
      <c r="R3368" s="69"/>
      <c r="S3368" s="69"/>
    </row>
    <row r="3369" s="2" customFormat="1" ht="24.95" customHeight="1" spans="1:19">
      <c r="A3369" s="15"/>
      <c r="B3369" s="55"/>
      <c r="C3369" s="56"/>
      <c r="D3369" s="68"/>
      <c r="E3369" s="69"/>
      <c r="F3369" s="69"/>
      <c r="G3369" s="65"/>
      <c r="H3369" s="65"/>
      <c r="I3369" s="70"/>
      <c r="J3369" s="71"/>
      <c r="K3369" s="71"/>
      <c r="L3369" s="72" t="str">
        <f>IFERROR(IF(G3369="","",VLOOKUP($G3369,[1]基础信息!$B:$C,2,FALSE)+SUMIF(G$8:G3369,G3369,J$8:J3369)-SUMIF(G$8:G3369,G3369,K$8:K3369)+SUMIFS([1]内部转账!$G:$G,[1]内部转账!$C:$C,"&lt;="&amp;$D3369,[1]内部转账!$E:$E,$G3369)-SUMIFS([1]内部转账!$G:$G,[1]内部转账!$C:$C,"&lt;="&amp;$D3369,[1]内部转账!$F:$F,$G3369)),"")</f>
        <v/>
      </c>
      <c r="M3369" s="64"/>
      <c r="N3369" s="69"/>
      <c r="O3369" s="64"/>
      <c r="P3369" s="64"/>
      <c r="Q3369" s="69"/>
      <c r="R3369" s="69"/>
      <c r="S3369" s="69"/>
    </row>
    <row r="3370" s="2" customFormat="1" ht="24.95" customHeight="1" spans="1:19">
      <c r="A3370" s="15"/>
      <c r="B3370" s="55"/>
      <c r="C3370" s="56"/>
      <c r="D3370" s="68"/>
      <c r="E3370" s="69"/>
      <c r="F3370" s="69"/>
      <c r="G3370" s="65"/>
      <c r="H3370" s="65"/>
      <c r="I3370" s="70"/>
      <c r="J3370" s="71"/>
      <c r="K3370" s="71"/>
      <c r="L3370" s="72" t="str">
        <f>IFERROR(IF(G3370="","",VLOOKUP($G3370,[1]基础信息!$B:$C,2,FALSE)+SUMIF(G$8:G3370,G3370,J$8:J3370)-SUMIF(G$8:G3370,G3370,K$8:K3370)+SUMIFS([1]内部转账!$G:$G,[1]内部转账!$C:$C,"&lt;="&amp;$D3370,[1]内部转账!$E:$E,$G3370)-SUMIFS([1]内部转账!$G:$G,[1]内部转账!$C:$C,"&lt;="&amp;$D3370,[1]内部转账!$F:$F,$G3370)),"")</f>
        <v/>
      </c>
      <c r="M3370" s="64"/>
      <c r="N3370" s="69"/>
      <c r="O3370" s="64"/>
      <c r="P3370" s="64"/>
      <c r="Q3370" s="69"/>
      <c r="R3370" s="69"/>
      <c r="S3370" s="69"/>
    </row>
    <row r="3371" s="2" customFormat="1" ht="24.95" customHeight="1" spans="1:19">
      <c r="A3371" s="15"/>
      <c r="B3371" s="55"/>
      <c r="C3371" s="56"/>
      <c r="D3371" s="68"/>
      <c r="E3371" s="69"/>
      <c r="F3371" s="69"/>
      <c r="G3371" s="65"/>
      <c r="H3371" s="65"/>
      <c r="I3371" s="70"/>
      <c r="J3371" s="71"/>
      <c r="K3371" s="71"/>
      <c r="L3371" s="72" t="str">
        <f>IFERROR(IF(G3371="","",VLOOKUP($G3371,[1]基础信息!$B:$C,2,FALSE)+SUMIF(G$8:G3371,G3371,J$8:J3371)-SUMIF(G$8:G3371,G3371,K$8:K3371)+SUMIFS([1]内部转账!$G:$G,[1]内部转账!$C:$C,"&lt;="&amp;$D3371,[1]内部转账!$E:$E,$G3371)-SUMIFS([1]内部转账!$G:$G,[1]内部转账!$C:$C,"&lt;="&amp;$D3371,[1]内部转账!$F:$F,$G3371)),"")</f>
        <v/>
      </c>
      <c r="M3371" s="64"/>
      <c r="N3371" s="69"/>
      <c r="O3371" s="64"/>
      <c r="P3371" s="64"/>
      <c r="Q3371" s="69"/>
      <c r="R3371" s="69"/>
      <c r="S3371" s="69"/>
    </row>
    <row r="3372" s="2" customFormat="1" ht="24.95" customHeight="1" spans="1:19">
      <c r="A3372" s="15"/>
      <c r="B3372" s="55"/>
      <c r="C3372" s="56"/>
      <c r="D3372" s="68"/>
      <c r="E3372" s="69"/>
      <c r="F3372" s="69"/>
      <c r="G3372" s="65"/>
      <c r="H3372" s="65"/>
      <c r="I3372" s="70"/>
      <c r="J3372" s="71"/>
      <c r="K3372" s="71"/>
      <c r="L3372" s="72" t="str">
        <f>IFERROR(IF(G3372="","",VLOOKUP($G3372,[1]基础信息!$B:$C,2,FALSE)+SUMIF(G$8:G3372,G3372,J$8:J3372)-SUMIF(G$8:G3372,G3372,K$8:K3372)+SUMIFS([1]内部转账!$G:$G,[1]内部转账!$C:$C,"&lt;="&amp;$D3372,[1]内部转账!$E:$E,$G3372)-SUMIFS([1]内部转账!$G:$G,[1]内部转账!$C:$C,"&lt;="&amp;$D3372,[1]内部转账!$F:$F,$G3372)),"")</f>
        <v/>
      </c>
      <c r="M3372" s="64"/>
      <c r="N3372" s="69"/>
      <c r="O3372" s="64"/>
      <c r="P3372" s="64"/>
      <c r="Q3372" s="69"/>
      <c r="R3372" s="69"/>
      <c r="S3372" s="69"/>
    </row>
    <row r="3373" s="2" customFormat="1" ht="24.95" customHeight="1" spans="1:19">
      <c r="A3373" s="15"/>
      <c r="B3373" s="55"/>
      <c r="C3373" s="56"/>
      <c r="D3373" s="68"/>
      <c r="E3373" s="69"/>
      <c r="F3373" s="69"/>
      <c r="G3373" s="65"/>
      <c r="H3373" s="65"/>
      <c r="I3373" s="70"/>
      <c r="J3373" s="71"/>
      <c r="K3373" s="71"/>
      <c r="L3373" s="72" t="str">
        <f>IFERROR(IF(G3373="","",VLOOKUP($G3373,[1]基础信息!$B:$C,2,FALSE)+SUMIF(G$8:G3373,G3373,J$8:J3373)-SUMIF(G$8:G3373,G3373,K$8:K3373)+SUMIFS([1]内部转账!$G:$G,[1]内部转账!$C:$C,"&lt;="&amp;$D3373,[1]内部转账!$E:$E,$G3373)-SUMIFS([1]内部转账!$G:$G,[1]内部转账!$C:$C,"&lt;="&amp;$D3373,[1]内部转账!$F:$F,$G3373)),"")</f>
        <v/>
      </c>
      <c r="M3373" s="64"/>
      <c r="N3373" s="69"/>
      <c r="O3373" s="64"/>
      <c r="P3373" s="64"/>
      <c r="Q3373" s="69"/>
      <c r="R3373" s="69"/>
      <c r="S3373" s="69"/>
    </row>
    <row r="3374" s="2" customFormat="1" ht="24.95" customHeight="1" spans="1:19">
      <c r="A3374" s="15"/>
      <c r="B3374" s="55"/>
      <c r="C3374" s="56"/>
      <c r="D3374" s="68"/>
      <c r="E3374" s="69"/>
      <c r="F3374" s="69"/>
      <c r="G3374" s="65"/>
      <c r="H3374" s="65"/>
      <c r="I3374" s="70"/>
      <c r="J3374" s="71"/>
      <c r="K3374" s="71"/>
      <c r="L3374" s="72" t="str">
        <f>IFERROR(IF(G3374="","",VLOOKUP($G3374,[1]基础信息!$B:$C,2,FALSE)+SUMIF(G$8:G3374,G3374,J$8:J3374)-SUMIF(G$8:G3374,G3374,K$8:K3374)+SUMIFS([1]内部转账!$G:$G,[1]内部转账!$C:$C,"&lt;="&amp;$D3374,[1]内部转账!$E:$E,$G3374)-SUMIFS([1]内部转账!$G:$G,[1]内部转账!$C:$C,"&lt;="&amp;$D3374,[1]内部转账!$F:$F,$G3374)),"")</f>
        <v/>
      </c>
      <c r="M3374" s="64"/>
      <c r="N3374" s="69"/>
      <c r="O3374" s="64"/>
      <c r="P3374" s="64"/>
      <c r="Q3374" s="69"/>
      <c r="R3374" s="69"/>
      <c r="S3374" s="69"/>
    </row>
    <row r="3375" s="2" customFormat="1" ht="24.95" customHeight="1" spans="1:19">
      <c r="A3375" s="15"/>
      <c r="B3375" s="55"/>
      <c r="C3375" s="56"/>
      <c r="D3375" s="68"/>
      <c r="E3375" s="69"/>
      <c r="F3375" s="69"/>
      <c r="G3375" s="65"/>
      <c r="H3375" s="65"/>
      <c r="I3375" s="70"/>
      <c r="J3375" s="71"/>
      <c r="K3375" s="71"/>
      <c r="L3375" s="72" t="str">
        <f>IFERROR(IF(G3375="","",VLOOKUP($G3375,[1]基础信息!$B:$C,2,FALSE)+SUMIF(G$8:G3375,G3375,J$8:J3375)-SUMIF(G$8:G3375,G3375,K$8:K3375)+SUMIFS([1]内部转账!$G:$G,[1]内部转账!$C:$C,"&lt;="&amp;$D3375,[1]内部转账!$E:$E,$G3375)-SUMIFS([1]内部转账!$G:$G,[1]内部转账!$C:$C,"&lt;="&amp;$D3375,[1]内部转账!$F:$F,$G3375)),"")</f>
        <v/>
      </c>
      <c r="M3375" s="64"/>
      <c r="N3375" s="69"/>
      <c r="O3375" s="64"/>
      <c r="P3375" s="64"/>
      <c r="Q3375" s="69"/>
      <c r="R3375" s="69"/>
      <c r="S3375" s="69"/>
    </row>
    <row r="3376" s="2" customFormat="1" ht="24.95" customHeight="1" spans="1:19">
      <c r="A3376" s="15"/>
      <c r="B3376" s="55"/>
      <c r="C3376" s="56"/>
      <c r="D3376" s="68"/>
      <c r="E3376" s="69"/>
      <c r="F3376" s="69"/>
      <c r="G3376" s="65"/>
      <c r="H3376" s="65"/>
      <c r="I3376" s="70"/>
      <c r="J3376" s="71"/>
      <c r="K3376" s="71"/>
      <c r="L3376" s="72" t="str">
        <f>IFERROR(IF(G3376="","",VLOOKUP($G3376,[1]基础信息!$B:$C,2,FALSE)+SUMIF(G$8:G3376,G3376,J$8:J3376)-SUMIF(G$8:G3376,G3376,K$8:K3376)+SUMIFS([1]内部转账!$G:$G,[1]内部转账!$C:$C,"&lt;="&amp;$D3376,[1]内部转账!$E:$E,$G3376)-SUMIFS([1]内部转账!$G:$G,[1]内部转账!$C:$C,"&lt;="&amp;$D3376,[1]内部转账!$F:$F,$G3376)),"")</f>
        <v/>
      </c>
      <c r="M3376" s="64"/>
      <c r="N3376" s="69"/>
      <c r="O3376" s="64"/>
      <c r="P3376" s="64"/>
      <c r="Q3376" s="69"/>
      <c r="R3376" s="69"/>
      <c r="S3376" s="69"/>
    </row>
    <row r="3377" s="2" customFormat="1" ht="24.95" customHeight="1" spans="1:19">
      <c r="A3377" s="15"/>
      <c r="B3377" s="55"/>
      <c r="C3377" s="56"/>
      <c r="D3377" s="68"/>
      <c r="E3377" s="69"/>
      <c r="F3377" s="69"/>
      <c r="G3377" s="65"/>
      <c r="H3377" s="65"/>
      <c r="I3377" s="70"/>
      <c r="J3377" s="71"/>
      <c r="K3377" s="71"/>
      <c r="L3377" s="72" t="str">
        <f>IFERROR(IF(G3377="","",VLOOKUP($G3377,[1]基础信息!$B:$C,2,FALSE)+SUMIF(G$8:G3377,G3377,J$8:J3377)-SUMIF(G$8:G3377,G3377,K$8:K3377)+SUMIFS([1]内部转账!$G:$G,[1]内部转账!$C:$C,"&lt;="&amp;$D3377,[1]内部转账!$E:$E,$G3377)-SUMIFS([1]内部转账!$G:$G,[1]内部转账!$C:$C,"&lt;="&amp;$D3377,[1]内部转账!$F:$F,$G3377)),"")</f>
        <v/>
      </c>
      <c r="M3377" s="64"/>
      <c r="N3377" s="69"/>
      <c r="O3377" s="64"/>
      <c r="P3377" s="64"/>
      <c r="Q3377" s="69"/>
      <c r="R3377" s="69"/>
      <c r="S3377" s="69"/>
    </row>
    <row r="3378" s="2" customFormat="1" ht="24.95" customHeight="1" spans="1:19">
      <c r="A3378" s="15"/>
      <c r="B3378" s="55"/>
      <c r="C3378" s="56"/>
      <c r="D3378" s="68"/>
      <c r="E3378" s="69"/>
      <c r="F3378" s="69"/>
      <c r="G3378" s="65"/>
      <c r="H3378" s="65"/>
      <c r="I3378" s="70"/>
      <c r="J3378" s="71"/>
      <c r="K3378" s="71"/>
      <c r="L3378" s="72" t="str">
        <f>IFERROR(IF(G3378="","",VLOOKUP($G3378,[1]基础信息!$B:$C,2,FALSE)+SUMIF(G$8:G3378,G3378,J$8:J3378)-SUMIF(G$8:G3378,G3378,K$8:K3378)+SUMIFS([1]内部转账!$G:$G,[1]内部转账!$C:$C,"&lt;="&amp;$D3378,[1]内部转账!$E:$E,$G3378)-SUMIFS([1]内部转账!$G:$G,[1]内部转账!$C:$C,"&lt;="&amp;$D3378,[1]内部转账!$F:$F,$G3378)),"")</f>
        <v/>
      </c>
      <c r="M3378" s="64"/>
      <c r="N3378" s="69"/>
      <c r="O3378" s="64"/>
      <c r="P3378" s="64"/>
      <c r="Q3378" s="69"/>
      <c r="R3378" s="69"/>
      <c r="S3378" s="69"/>
    </row>
    <row r="3379" s="2" customFormat="1" ht="24.95" customHeight="1" spans="1:19">
      <c r="A3379" s="15"/>
      <c r="B3379" s="55"/>
      <c r="C3379" s="56"/>
      <c r="D3379" s="68"/>
      <c r="E3379" s="69"/>
      <c r="F3379" s="69"/>
      <c r="G3379" s="65"/>
      <c r="H3379" s="65"/>
      <c r="I3379" s="70"/>
      <c r="J3379" s="71"/>
      <c r="K3379" s="71"/>
      <c r="L3379" s="72" t="str">
        <f>IFERROR(IF(G3379="","",VLOOKUP($G3379,[1]基础信息!$B:$C,2,FALSE)+SUMIF(G$8:G3379,G3379,J$8:J3379)-SUMIF(G$8:G3379,G3379,K$8:K3379)+SUMIFS([1]内部转账!$G:$G,[1]内部转账!$C:$C,"&lt;="&amp;$D3379,[1]内部转账!$E:$E,$G3379)-SUMIFS([1]内部转账!$G:$G,[1]内部转账!$C:$C,"&lt;="&amp;$D3379,[1]内部转账!$F:$F,$G3379)),"")</f>
        <v/>
      </c>
      <c r="M3379" s="64"/>
      <c r="N3379" s="69"/>
      <c r="O3379" s="64"/>
      <c r="P3379" s="64"/>
      <c r="Q3379" s="69"/>
      <c r="R3379" s="69"/>
      <c r="S3379" s="69"/>
    </row>
    <row r="3380" s="2" customFormat="1" ht="24.95" customHeight="1" spans="1:19">
      <c r="A3380" s="15"/>
      <c r="B3380" s="55"/>
      <c r="C3380" s="56"/>
      <c r="D3380" s="68"/>
      <c r="E3380" s="69"/>
      <c r="F3380" s="69"/>
      <c r="G3380" s="65"/>
      <c r="H3380" s="65"/>
      <c r="I3380" s="70"/>
      <c r="J3380" s="71"/>
      <c r="K3380" s="71"/>
      <c r="L3380" s="72" t="str">
        <f>IFERROR(IF(G3380="","",VLOOKUP($G3380,[1]基础信息!$B:$C,2,FALSE)+SUMIF(G$8:G3380,G3380,J$8:J3380)-SUMIF(G$8:G3380,G3380,K$8:K3380)+SUMIFS([1]内部转账!$G:$G,[1]内部转账!$C:$C,"&lt;="&amp;$D3380,[1]内部转账!$E:$E,$G3380)-SUMIFS([1]内部转账!$G:$G,[1]内部转账!$C:$C,"&lt;="&amp;$D3380,[1]内部转账!$F:$F,$G3380)),"")</f>
        <v/>
      </c>
      <c r="M3380" s="64"/>
      <c r="N3380" s="69"/>
      <c r="O3380" s="64"/>
      <c r="P3380" s="64"/>
      <c r="Q3380" s="69"/>
      <c r="R3380" s="69"/>
      <c r="S3380" s="69"/>
    </row>
    <row r="3381" s="2" customFormat="1" ht="24.95" customHeight="1" spans="1:19">
      <c r="A3381" s="15"/>
      <c r="B3381" s="55"/>
      <c r="C3381" s="56"/>
      <c r="D3381" s="68"/>
      <c r="E3381" s="69"/>
      <c r="F3381" s="69"/>
      <c r="G3381" s="65"/>
      <c r="H3381" s="65"/>
      <c r="I3381" s="70"/>
      <c r="J3381" s="71"/>
      <c r="K3381" s="71"/>
      <c r="L3381" s="72" t="str">
        <f>IFERROR(IF(G3381="","",VLOOKUP($G3381,[1]基础信息!$B:$C,2,FALSE)+SUMIF(G$8:G3381,G3381,J$8:J3381)-SUMIF(G$8:G3381,G3381,K$8:K3381)+SUMIFS([1]内部转账!$G:$G,[1]内部转账!$C:$C,"&lt;="&amp;$D3381,[1]内部转账!$E:$E,$G3381)-SUMIFS([1]内部转账!$G:$G,[1]内部转账!$C:$C,"&lt;="&amp;$D3381,[1]内部转账!$F:$F,$G3381)),"")</f>
        <v/>
      </c>
      <c r="M3381" s="64"/>
      <c r="N3381" s="69"/>
      <c r="O3381" s="64"/>
      <c r="P3381" s="64"/>
      <c r="Q3381" s="69"/>
      <c r="R3381" s="69"/>
      <c r="S3381" s="69"/>
    </row>
    <row r="3382" s="2" customFormat="1" ht="24.95" customHeight="1" spans="1:19">
      <c r="A3382" s="15"/>
      <c r="B3382" s="55"/>
      <c r="C3382" s="56"/>
      <c r="D3382" s="68"/>
      <c r="E3382" s="69"/>
      <c r="F3382" s="69"/>
      <c r="G3382" s="65"/>
      <c r="H3382" s="65"/>
      <c r="I3382" s="70"/>
      <c r="J3382" s="71"/>
      <c r="K3382" s="71"/>
      <c r="L3382" s="72" t="str">
        <f>IFERROR(IF(G3382="","",VLOOKUP($G3382,[1]基础信息!$B:$C,2,FALSE)+SUMIF(G$8:G3382,G3382,J$8:J3382)-SUMIF(G$8:G3382,G3382,K$8:K3382)+SUMIFS([1]内部转账!$G:$G,[1]内部转账!$C:$C,"&lt;="&amp;$D3382,[1]内部转账!$E:$E,$G3382)-SUMIFS([1]内部转账!$G:$G,[1]内部转账!$C:$C,"&lt;="&amp;$D3382,[1]内部转账!$F:$F,$G3382)),"")</f>
        <v/>
      </c>
      <c r="M3382" s="64"/>
      <c r="N3382" s="69"/>
      <c r="O3382" s="64"/>
      <c r="P3382" s="64"/>
      <c r="Q3382" s="69"/>
      <c r="R3382" s="69"/>
      <c r="S3382" s="69"/>
    </row>
    <row r="3383" s="2" customFormat="1" ht="24.95" customHeight="1" spans="1:19">
      <c r="A3383" s="15"/>
      <c r="B3383" s="55"/>
      <c r="C3383" s="56"/>
      <c r="D3383" s="68"/>
      <c r="E3383" s="69"/>
      <c r="F3383" s="69"/>
      <c r="G3383" s="65"/>
      <c r="H3383" s="65"/>
      <c r="I3383" s="70"/>
      <c r="J3383" s="71"/>
      <c r="K3383" s="71"/>
      <c r="L3383" s="72" t="str">
        <f>IFERROR(IF(G3383="","",VLOOKUP($G3383,[1]基础信息!$B:$C,2,FALSE)+SUMIF(G$8:G3383,G3383,J$8:J3383)-SUMIF(G$8:G3383,G3383,K$8:K3383)+SUMIFS([1]内部转账!$G:$G,[1]内部转账!$C:$C,"&lt;="&amp;$D3383,[1]内部转账!$E:$E,$G3383)-SUMIFS([1]内部转账!$G:$G,[1]内部转账!$C:$C,"&lt;="&amp;$D3383,[1]内部转账!$F:$F,$G3383)),"")</f>
        <v/>
      </c>
      <c r="M3383" s="64"/>
      <c r="N3383" s="69"/>
      <c r="O3383" s="64"/>
      <c r="P3383" s="64"/>
      <c r="Q3383" s="69"/>
      <c r="R3383" s="69"/>
      <c r="S3383" s="69"/>
    </row>
    <row r="3384" s="2" customFormat="1" ht="24.95" customHeight="1" spans="1:19">
      <c r="A3384" s="15"/>
      <c r="B3384" s="55"/>
      <c r="C3384" s="56"/>
      <c r="D3384" s="68"/>
      <c r="E3384" s="69"/>
      <c r="F3384" s="69"/>
      <c r="G3384" s="65"/>
      <c r="H3384" s="65"/>
      <c r="I3384" s="70"/>
      <c r="J3384" s="71"/>
      <c r="K3384" s="71"/>
      <c r="L3384" s="72" t="str">
        <f>IFERROR(IF(G3384="","",VLOOKUP($G3384,[1]基础信息!$B:$C,2,FALSE)+SUMIF(G$8:G3384,G3384,J$8:J3384)-SUMIF(G$8:G3384,G3384,K$8:K3384)+SUMIFS([1]内部转账!$G:$G,[1]内部转账!$C:$C,"&lt;="&amp;$D3384,[1]内部转账!$E:$E,$G3384)-SUMIFS([1]内部转账!$G:$G,[1]内部转账!$C:$C,"&lt;="&amp;$D3384,[1]内部转账!$F:$F,$G3384)),"")</f>
        <v/>
      </c>
      <c r="M3384" s="64"/>
      <c r="N3384" s="69"/>
      <c r="O3384" s="64"/>
      <c r="P3384" s="64"/>
      <c r="Q3384" s="69"/>
      <c r="R3384" s="69"/>
      <c r="S3384" s="69"/>
    </row>
    <row r="3385" s="2" customFormat="1" ht="24.95" customHeight="1" spans="1:19">
      <c r="A3385" s="15"/>
      <c r="B3385" s="55"/>
      <c r="C3385" s="56"/>
      <c r="D3385" s="68"/>
      <c r="E3385" s="69"/>
      <c r="F3385" s="69"/>
      <c r="G3385" s="65"/>
      <c r="H3385" s="65"/>
      <c r="I3385" s="70"/>
      <c r="J3385" s="71"/>
      <c r="K3385" s="71"/>
      <c r="L3385" s="72" t="str">
        <f>IFERROR(IF(G3385="","",VLOOKUP($G3385,[1]基础信息!$B:$C,2,FALSE)+SUMIF(G$8:G3385,G3385,J$8:J3385)-SUMIF(G$8:G3385,G3385,K$8:K3385)+SUMIFS([1]内部转账!$G:$G,[1]内部转账!$C:$C,"&lt;="&amp;$D3385,[1]内部转账!$E:$E,$G3385)-SUMIFS([1]内部转账!$G:$G,[1]内部转账!$C:$C,"&lt;="&amp;$D3385,[1]内部转账!$F:$F,$G3385)),"")</f>
        <v/>
      </c>
      <c r="M3385" s="64"/>
      <c r="N3385" s="69"/>
      <c r="O3385" s="64"/>
      <c r="P3385" s="64"/>
      <c r="Q3385" s="69"/>
      <c r="R3385" s="69"/>
      <c r="S3385" s="69"/>
    </row>
    <row r="3386" s="2" customFormat="1" ht="24.95" customHeight="1" spans="1:19">
      <c r="A3386" s="15"/>
      <c r="B3386" s="55"/>
      <c r="C3386" s="56"/>
      <c r="D3386" s="68"/>
      <c r="E3386" s="69"/>
      <c r="F3386" s="69"/>
      <c r="G3386" s="65"/>
      <c r="H3386" s="65"/>
      <c r="I3386" s="70"/>
      <c r="J3386" s="71"/>
      <c r="K3386" s="71"/>
      <c r="L3386" s="72" t="str">
        <f>IFERROR(IF(G3386="","",VLOOKUP($G3386,[1]基础信息!$B:$C,2,FALSE)+SUMIF(G$8:G3386,G3386,J$8:J3386)-SUMIF(G$8:G3386,G3386,K$8:K3386)+SUMIFS([1]内部转账!$G:$G,[1]内部转账!$C:$C,"&lt;="&amp;$D3386,[1]内部转账!$E:$E,$G3386)-SUMIFS([1]内部转账!$G:$G,[1]内部转账!$C:$C,"&lt;="&amp;$D3386,[1]内部转账!$F:$F,$G3386)),"")</f>
        <v/>
      </c>
      <c r="M3386" s="64"/>
      <c r="N3386" s="69"/>
      <c r="O3386" s="64"/>
      <c r="P3386" s="64"/>
      <c r="Q3386" s="69"/>
      <c r="R3386" s="69"/>
      <c r="S3386" s="69"/>
    </row>
    <row r="3387" s="2" customFormat="1" ht="24.95" customHeight="1" spans="1:19">
      <c r="A3387" s="15"/>
      <c r="B3387" s="55"/>
      <c r="C3387" s="56"/>
      <c r="D3387" s="68"/>
      <c r="E3387" s="69"/>
      <c r="F3387" s="69"/>
      <c r="G3387" s="65"/>
      <c r="H3387" s="65"/>
      <c r="I3387" s="70"/>
      <c r="J3387" s="71"/>
      <c r="K3387" s="71"/>
      <c r="L3387" s="72" t="str">
        <f>IFERROR(IF(G3387="","",VLOOKUP($G3387,[1]基础信息!$B:$C,2,FALSE)+SUMIF(G$8:G3387,G3387,J$8:J3387)-SUMIF(G$8:G3387,G3387,K$8:K3387)+SUMIFS([1]内部转账!$G:$G,[1]内部转账!$C:$C,"&lt;="&amp;$D3387,[1]内部转账!$E:$E,$G3387)-SUMIFS([1]内部转账!$G:$G,[1]内部转账!$C:$C,"&lt;="&amp;$D3387,[1]内部转账!$F:$F,$G3387)),"")</f>
        <v/>
      </c>
      <c r="M3387" s="64"/>
      <c r="N3387" s="69"/>
      <c r="O3387" s="64"/>
      <c r="P3387" s="64"/>
      <c r="Q3387" s="69"/>
      <c r="R3387" s="69"/>
      <c r="S3387" s="69"/>
    </row>
    <row r="3388" s="2" customFormat="1" ht="24.95" customHeight="1" spans="1:19">
      <c r="A3388" s="15"/>
      <c r="B3388" s="55"/>
      <c r="C3388" s="56"/>
      <c r="D3388" s="68"/>
      <c r="E3388" s="69"/>
      <c r="F3388" s="69"/>
      <c r="G3388" s="65"/>
      <c r="H3388" s="65"/>
      <c r="I3388" s="70"/>
      <c r="J3388" s="71"/>
      <c r="K3388" s="71"/>
      <c r="L3388" s="72" t="str">
        <f>IFERROR(IF(G3388="","",VLOOKUP($G3388,[1]基础信息!$B:$C,2,FALSE)+SUMIF(G$8:G3388,G3388,J$8:J3388)-SUMIF(G$8:G3388,G3388,K$8:K3388)+SUMIFS([1]内部转账!$G:$G,[1]内部转账!$C:$C,"&lt;="&amp;$D3388,[1]内部转账!$E:$E,$G3388)-SUMIFS([1]内部转账!$G:$G,[1]内部转账!$C:$C,"&lt;="&amp;$D3388,[1]内部转账!$F:$F,$G3388)),"")</f>
        <v/>
      </c>
      <c r="M3388" s="64"/>
      <c r="N3388" s="69"/>
      <c r="O3388" s="64"/>
      <c r="P3388" s="64"/>
      <c r="Q3388" s="69"/>
      <c r="R3388" s="69"/>
      <c r="S3388" s="69"/>
    </row>
    <row r="3389" s="2" customFormat="1" ht="24.95" customHeight="1" spans="1:19">
      <c r="A3389" s="15"/>
      <c r="B3389" s="55"/>
      <c r="C3389" s="56"/>
      <c r="D3389" s="68"/>
      <c r="E3389" s="69"/>
      <c r="F3389" s="69"/>
      <c r="G3389" s="65"/>
      <c r="H3389" s="65"/>
      <c r="I3389" s="70"/>
      <c r="J3389" s="71"/>
      <c r="K3389" s="71"/>
      <c r="L3389" s="72" t="str">
        <f>IFERROR(IF(G3389="","",VLOOKUP($G3389,[1]基础信息!$B:$C,2,FALSE)+SUMIF(G$8:G3389,G3389,J$8:J3389)-SUMIF(G$8:G3389,G3389,K$8:K3389)+SUMIFS([1]内部转账!$G:$G,[1]内部转账!$C:$C,"&lt;="&amp;$D3389,[1]内部转账!$E:$E,$G3389)-SUMIFS([1]内部转账!$G:$G,[1]内部转账!$C:$C,"&lt;="&amp;$D3389,[1]内部转账!$F:$F,$G3389)),"")</f>
        <v/>
      </c>
      <c r="M3389" s="64"/>
      <c r="N3389" s="69"/>
      <c r="O3389" s="64"/>
      <c r="P3389" s="64"/>
      <c r="Q3389" s="69"/>
      <c r="R3389" s="69"/>
      <c r="S3389" s="69"/>
    </row>
    <row r="3390" s="2" customFormat="1" ht="24.95" customHeight="1" spans="1:19">
      <c r="A3390" s="15"/>
      <c r="B3390" s="55"/>
      <c r="C3390" s="56"/>
      <c r="D3390" s="68"/>
      <c r="E3390" s="69"/>
      <c r="F3390" s="69"/>
      <c r="G3390" s="65"/>
      <c r="H3390" s="65"/>
      <c r="I3390" s="70"/>
      <c r="J3390" s="71"/>
      <c r="K3390" s="71"/>
      <c r="L3390" s="72" t="str">
        <f>IFERROR(IF(G3390="","",VLOOKUP($G3390,[1]基础信息!$B:$C,2,FALSE)+SUMIF(G$8:G3390,G3390,J$8:J3390)-SUMIF(G$8:G3390,G3390,K$8:K3390)+SUMIFS([1]内部转账!$G:$G,[1]内部转账!$C:$C,"&lt;="&amp;$D3390,[1]内部转账!$E:$E,$G3390)-SUMIFS([1]内部转账!$G:$G,[1]内部转账!$C:$C,"&lt;="&amp;$D3390,[1]内部转账!$F:$F,$G3390)),"")</f>
        <v/>
      </c>
      <c r="M3390" s="64"/>
      <c r="N3390" s="69"/>
      <c r="O3390" s="64"/>
      <c r="P3390" s="64"/>
      <c r="Q3390" s="69"/>
      <c r="R3390" s="69"/>
      <c r="S3390" s="69"/>
    </row>
    <row r="3391" s="2" customFormat="1" ht="24.95" customHeight="1" spans="1:19">
      <c r="A3391" s="15"/>
      <c r="B3391" s="55"/>
      <c r="C3391" s="56"/>
      <c r="D3391" s="68"/>
      <c r="E3391" s="69"/>
      <c r="F3391" s="69"/>
      <c r="G3391" s="65"/>
      <c r="H3391" s="65"/>
      <c r="I3391" s="70"/>
      <c r="J3391" s="71"/>
      <c r="K3391" s="71"/>
      <c r="L3391" s="72" t="str">
        <f>IFERROR(IF(G3391="","",VLOOKUP($G3391,[1]基础信息!$B:$C,2,FALSE)+SUMIF(G$8:G3391,G3391,J$8:J3391)-SUMIF(G$8:G3391,G3391,K$8:K3391)+SUMIFS([1]内部转账!$G:$G,[1]内部转账!$C:$C,"&lt;="&amp;$D3391,[1]内部转账!$E:$E,$G3391)-SUMIFS([1]内部转账!$G:$G,[1]内部转账!$C:$C,"&lt;="&amp;$D3391,[1]内部转账!$F:$F,$G3391)),"")</f>
        <v/>
      </c>
      <c r="M3391" s="64"/>
      <c r="N3391" s="69"/>
      <c r="O3391" s="64"/>
      <c r="P3391" s="64"/>
      <c r="Q3391" s="69"/>
      <c r="R3391" s="69"/>
      <c r="S3391" s="69"/>
    </row>
    <row r="3392" s="2" customFormat="1" ht="24.95" customHeight="1" spans="1:19">
      <c r="A3392" s="15"/>
      <c r="B3392" s="55"/>
      <c r="C3392" s="56"/>
      <c r="D3392" s="68"/>
      <c r="E3392" s="69"/>
      <c r="F3392" s="69"/>
      <c r="G3392" s="65"/>
      <c r="H3392" s="65"/>
      <c r="I3392" s="70"/>
      <c r="J3392" s="71"/>
      <c r="K3392" s="71"/>
      <c r="L3392" s="72" t="str">
        <f>IFERROR(IF(G3392="","",VLOOKUP($G3392,[1]基础信息!$B:$C,2,FALSE)+SUMIF(G$8:G3392,G3392,J$8:J3392)-SUMIF(G$8:G3392,G3392,K$8:K3392)+SUMIFS([1]内部转账!$G:$G,[1]内部转账!$C:$C,"&lt;="&amp;$D3392,[1]内部转账!$E:$E,$G3392)-SUMIFS([1]内部转账!$G:$G,[1]内部转账!$C:$C,"&lt;="&amp;$D3392,[1]内部转账!$F:$F,$G3392)),"")</f>
        <v/>
      </c>
      <c r="M3392" s="64"/>
      <c r="N3392" s="69"/>
      <c r="O3392" s="64"/>
      <c r="P3392" s="64"/>
      <c r="Q3392" s="69"/>
      <c r="R3392" s="69"/>
      <c r="S3392" s="69"/>
    </row>
    <row r="3393" s="2" customFormat="1" ht="24.95" customHeight="1" spans="1:19">
      <c r="A3393" s="15"/>
      <c r="B3393" s="55"/>
      <c r="C3393" s="56"/>
      <c r="D3393" s="68"/>
      <c r="E3393" s="69"/>
      <c r="F3393" s="69"/>
      <c r="G3393" s="65"/>
      <c r="H3393" s="65"/>
      <c r="I3393" s="70"/>
      <c r="J3393" s="71"/>
      <c r="K3393" s="71"/>
      <c r="L3393" s="72" t="str">
        <f>IFERROR(IF(G3393="","",VLOOKUP($G3393,[1]基础信息!$B:$C,2,FALSE)+SUMIF(G$8:G3393,G3393,J$8:J3393)-SUMIF(G$8:G3393,G3393,K$8:K3393)+SUMIFS([1]内部转账!$G:$G,[1]内部转账!$C:$C,"&lt;="&amp;$D3393,[1]内部转账!$E:$E,$G3393)-SUMIFS([1]内部转账!$G:$G,[1]内部转账!$C:$C,"&lt;="&amp;$D3393,[1]内部转账!$F:$F,$G3393)),"")</f>
        <v/>
      </c>
      <c r="M3393" s="64"/>
      <c r="N3393" s="69"/>
      <c r="O3393" s="64"/>
      <c r="P3393" s="64"/>
      <c r="Q3393" s="69"/>
      <c r="R3393" s="69"/>
      <c r="S3393" s="69"/>
    </row>
    <row r="3394" s="2" customFormat="1" ht="24.95" customHeight="1" spans="1:19">
      <c r="A3394" s="15"/>
      <c r="B3394" s="55"/>
      <c r="C3394" s="56"/>
      <c r="D3394" s="68"/>
      <c r="E3394" s="69"/>
      <c r="F3394" s="69"/>
      <c r="G3394" s="65"/>
      <c r="H3394" s="65"/>
      <c r="I3394" s="70"/>
      <c r="J3394" s="71"/>
      <c r="K3394" s="71"/>
      <c r="L3394" s="72" t="str">
        <f>IFERROR(IF(G3394="","",VLOOKUP($G3394,[1]基础信息!$B:$C,2,FALSE)+SUMIF(G$8:G3394,G3394,J$8:J3394)-SUMIF(G$8:G3394,G3394,K$8:K3394)+SUMIFS([1]内部转账!$G:$G,[1]内部转账!$C:$C,"&lt;="&amp;$D3394,[1]内部转账!$E:$E,$G3394)-SUMIFS([1]内部转账!$G:$G,[1]内部转账!$C:$C,"&lt;="&amp;$D3394,[1]内部转账!$F:$F,$G3394)),"")</f>
        <v/>
      </c>
      <c r="M3394" s="64"/>
      <c r="N3394" s="69"/>
      <c r="O3394" s="64"/>
      <c r="P3394" s="64"/>
      <c r="Q3394" s="69"/>
      <c r="R3394" s="69"/>
      <c r="S3394" s="69"/>
    </row>
    <row r="3395" s="2" customFormat="1" ht="24.95" customHeight="1" spans="1:19">
      <c r="A3395" s="15"/>
      <c r="B3395" s="55"/>
      <c r="C3395" s="56"/>
      <c r="D3395" s="68"/>
      <c r="E3395" s="69"/>
      <c r="F3395" s="69"/>
      <c r="G3395" s="65"/>
      <c r="H3395" s="65"/>
      <c r="I3395" s="70"/>
      <c r="J3395" s="71"/>
      <c r="K3395" s="71"/>
      <c r="L3395" s="72" t="str">
        <f>IFERROR(IF(G3395="","",VLOOKUP($G3395,[1]基础信息!$B:$C,2,FALSE)+SUMIF(G$8:G3395,G3395,J$8:J3395)-SUMIF(G$8:G3395,G3395,K$8:K3395)+SUMIFS([1]内部转账!$G:$G,[1]内部转账!$C:$C,"&lt;="&amp;$D3395,[1]内部转账!$E:$E,$G3395)-SUMIFS([1]内部转账!$G:$G,[1]内部转账!$C:$C,"&lt;="&amp;$D3395,[1]内部转账!$F:$F,$G3395)),"")</f>
        <v/>
      </c>
      <c r="M3395" s="64"/>
      <c r="N3395" s="69"/>
      <c r="O3395" s="64"/>
      <c r="P3395" s="64"/>
      <c r="Q3395" s="69"/>
      <c r="R3395" s="69"/>
      <c r="S3395" s="69"/>
    </row>
    <row r="3396" s="2" customFormat="1" ht="24.95" customHeight="1" spans="1:19">
      <c r="A3396" s="15"/>
      <c r="B3396" s="55"/>
      <c r="C3396" s="56"/>
      <c r="D3396" s="68"/>
      <c r="E3396" s="69"/>
      <c r="F3396" s="69"/>
      <c r="G3396" s="65"/>
      <c r="H3396" s="65"/>
      <c r="I3396" s="70"/>
      <c r="J3396" s="71"/>
      <c r="K3396" s="71"/>
      <c r="L3396" s="72" t="str">
        <f>IFERROR(IF(G3396="","",VLOOKUP($G3396,[1]基础信息!$B:$C,2,FALSE)+SUMIF(G$8:G3396,G3396,J$8:J3396)-SUMIF(G$8:G3396,G3396,K$8:K3396)+SUMIFS([1]内部转账!$G:$G,[1]内部转账!$C:$C,"&lt;="&amp;$D3396,[1]内部转账!$E:$E,$G3396)-SUMIFS([1]内部转账!$G:$G,[1]内部转账!$C:$C,"&lt;="&amp;$D3396,[1]内部转账!$F:$F,$G3396)),"")</f>
        <v/>
      </c>
      <c r="M3396" s="64"/>
      <c r="N3396" s="69"/>
      <c r="O3396" s="64"/>
      <c r="P3396" s="64"/>
      <c r="Q3396" s="69"/>
      <c r="R3396" s="69"/>
      <c r="S3396" s="69"/>
    </row>
    <row r="3397" s="2" customFormat="1" ht="24.95" customHeight="1" spans="1:19">
      <c r="A3397" s="15"/>
      <c r="B3397" s="55"/>
      <c r="C3397" s="56"/>
      <c r="D3397" s="68"/>
      <c r="E3397" s="69"/>
      <c r="F3397" s="69"/>
      <c r="G3397" s="65"/>
      <c r="H3397" s="65"/>
      <c r="I3397" s="70"/>
      <c r="J3397" s="71"/>
      <c r="K3397" s="71"/>
      <c r="L3397" s="72" t="str">
        <f>IFERROR(IF(G3397="","",VLOOKUP($G3397,[1]基础信息!$B:$C,2,FALSE)+SUMIF(G$8:G3397,G3397,J$8:J3397)-SUMIF(G$8:G3397,G3397,K$8:K3397)+SUMIFS([1]内部转账!$G:$G,[1]内部转账!$C:$C,"&lt;="&amp;$D3397,[1]内部转账!$E:$E,$G3397)-SUMIFS([1]内部转账!$G:$G,[1]内部转账!$C:$C,"&lt;="&amp;$D3397,[1]内部转账!$F:$F,$G3397)),"")</f>
        <v/>
      </c>
      <c r="M3397" s="64"/>
      <c r="N3397" s="69"/>
      <c r="O3397" s="64"/>
      <c r="P3397" s="64"/>
      <c r="Q3397" s="69"/>
      <c r="R3397" s="69"/>
      <c r="S3397" s="69"/>
    </row>
    <row r="3398" s="2" customFormat="1" ht="24.95" customHeight="1" spans="1:19">
      <c r="A3398" s="15"/>
      <c r="B3398" s="55"/>
      <c r="C3398" s="56"/>
      <c r="D3398" s="68"/>
      <c r="E3398" s="69"/>
      <c r="F3398" s="69"/>
      <c r="G3398" s="65"/>
      <c r="H3398" s="65"/>
      <c r="I3398" s="70"/>
      <c r="J3398" s="71"/>
      <c r="K3398" s="71"/>
      <c r="L3398" s="72" t="str">
        <f>IFERROR(IF(G3398="","",VLOOKUP($G3398,[1]基础信息!$B:$C,2,FALSE)+SUMIF(G$8:G3398,G3398,J$8:J3398)-SUMIF(G$8:G3398,G3398,K$8:K3398)+SUMIFS([1]内部转账!$G:$G,[1]内部转账!$C:$C,"&lt;="&amp;$D3398,[1]内部转账!$E:$E,$G3398)-SUMIFS([1]内部转账!$G:$G,[1]内部转账!$C:$C,"&lt;="&amp;$D3398,[1]内部转账!$F:$F,$G3398)),"")</f>
        <v/>
      </c>
      <c r="M3398" s="64"/>
      <c r="N3398" s="69"/>
      <c r="O3398" s="64"/>
      <c r="P3398" s="64"/>
      <c r="Q3398" s="69"/>
      <c r="R3398" s="69"/>
      <c r="S3398" s="69"/>
    </row>
    <row r="3399" s="2" customFormat="1" ht="24.95" customHeight="1" spans="1:19">
      <c r="A3399" s="15"/>
      <c r="B3399" s="55"/>
      <c r="C3399" s="56"/>
      <c r="D3399" s="68"/>
      <c r="E3399" s="69"/>
      <c r="F3399" s="69"/>
      <c r="G3399" s="65"/>
      <c r="H3399" s="65"/>
      <c r="I3399" s="70"/>
      <c r="J3399" s="71"/>
      <c r="K3399" s="71"/>
      <c r="L3399" s="72" t="str">
        <f>IFERROR(IF(G3399="","",VLOOKUP($G3399,[1]基础信息!$B:$C,2,FALSE)+SUMIF(G$8:G3399,G3399,J$8:J3399)-SUMIF(G$8:G3399,G3399,K$8:K3399)+SUMIFS([1]内部转账!$G:$G,[1]内部转账!$C:$C,"&lt;="&amp;$D3399,[1]内部转账!$E:$E,$G3399)-SUMIFS([1]内部转账!$G:$G,[1]内部转账!$C:$C,"&lt;="&amp;$D3399,[1]内部转账!$F:$F,$G3399)),"")</f>
        <v/>
      </c>
      <c r="M3399" s="64"/>
      <c r="N3399" s="69"/>
      <c r="O3399" s="64"/>
      <c r="P3399" s="64"/>
      <c r="Q3399" s="69"/>
      <c r="R3399" s="69"/>
      <c r="S3399" s="69"/>
    </row>
    <row r="3400" s="2" customFormat="1" ht="24.95" customHeight="1" spans="1:19">
      <c r="A3400" s="15"/>
      <c r="B3400" s="55"/>
      <c r="C3400" s="56"/>
      <c r="D3400" s="68"/>
      <c r="E3400" s="69"/>
      <c r="F3400" s="69"/>
      <c r="G3400" s="65"/>
      <c r="H3400" s="65"/>
      <c r="I3400" s="70"/>
      <c r="J3400" s="71"/>
      <c r="K3400" s="71"/>
      <c r="L3400" s="72" t="str">
        <f>IFERROR(IF(G3400="","",VLOOKUP($G3400,[1]基础信息!$B:$C,2,FALSE)+SUMIF(G$8:G3400,G3400,J$8:J3400)-SUMIF(G$8:G3400,G3400,K$8:K3400)+SUMIFS([1]内部转账!$G:$G,[1]内部转账!$C:$C,"&lt;="&amp;$D3400,[1]内部转账!$E:$E,$G3400)-SUMIFS([1]内部转账!$G:$G,[1]内部转账!$C:$C,"&lt;="&amp;$D3400,[1]内部转账!$F:$F,$G3400)),"")</f>
        <v/>
      </c>
      <c r="M3400" s="64"/>
      <c r="N3400" s="69"/>
      <c r="O3400" s="64"/>
      <c r="P3400" s="64"/>
      <c r="Q3400" s="69"/>
      <c r="R3400" s="69"/>
      <c r="S3400" s="69"/>
    </row>
    <row r="3401" s="2" customFormat="1" ht="24.95" customHeight="1" spans="1:19">
      <c r="A3401" s="15"/>
      <c r="B3401" s="55"/>
      <c r="C3401" s="56"/>
      <c r="D3401" s="68"/>
      <c r="E3401" s="69"/>
      <c r="F3401" s="69"/>
      <c r="G3401" s="65"/>
      <c r="H3401" s="65"/>
      <c r="I3401" s="70"/>
      <c r="J3401" s="71"/>
      <c r="K3401" s="71"/>
      <c r="L3401" s="72" t="str">
        <f>IFERROR(IF(G3401="","",VLOOKUP($G3401,[1]基础信息!$B:$C,2,FALSE)+SUMIF(G$8:G3401,G3401,J$8:J3401)-SUMIF(G$8:G3401,G3401,K$8:K3401)+SUMIFS([1]内部转账!$G:$G,[1]内部转账!$C:$C,"&lt;="&amp;$D3401,[1]内部转账!$E:$E,$G3401)-SUMIFS([1]内部转账!$G:$G,[1]内部转账!$C:$C,"&lt;="&amp;$D3401,[1]内部转账!$F:$F,$G3401)),"")</f>
        <v/>
      </c>
      <c r="M3401" s="64"/>
      <c r="N3401" s="69"/>
      <c r="O3401" s="64"/>
      <c r="P3401" s="64"/>
      <c r="Q3401" s="69"/>
      <c r="R3401" s="69"/>
      <c r="S3401" s="69"/>
    </row>
    <row r="3402" s="2" customFormat="1" ht="24.95" customHeight="1" spans="1:19">
      <c r="A3402" s="15"/>
      <c r="B3402" s="55"/>
      <c r="C3402" s="56"/>
      <c r="D3402" s="68"/>
      <c r="E3402" s="69"/>
      <c r="F3402" s="69"/>
      <c r="G3402" s="65"/>
      <c r="H3402" s="65"/>
      <c r="I3402" s="70"/>
      <c r="J3402" s="71"/>
      <c r="K3402" s="71"/>
      <c r="L3402" s="72" t="str">
        <f>IFERROR(IF(G3402="","",VLOOKUP($G3402,[1]基础信息!$B:$C,2,FALSE)+SUMIF(G$8:G3402,G3402,J$8:J3402)-SUMIF(G$8:G3402,G3402,K$8:K3402)+SUMIFS([1]内部转账!$G:$G,[1]内部转账!$C:$C,"&lt;="&amp;$D3402,[1]内部转账!$E:$E,$G3402)-SUMIFS([1]内部转账!$G:$G,[1]内部转账!$C:$C,"&lt;="&amp;$D3402,[1]内部转账!$F:$F,$G3402)),"")</f>
        <v/>
      </c>
      <c r="M3402" s="64"/>
      <c r="N3402" s="69"/>
      <c r="O3402" s="64"/>
      <c r="P3402" s="64"/>
      <c r="Q3402" s="69"/>
      <c r="R3402" s="69"/>
      <c r="S3402" s="69"/>
    </row>
    <row r="3403" s="2" customFormat="1" ht="24.95" customHeight="1" spans="1:19">
      <c r="A3403" s="15"/>
      <c r="B3403" s="55"/>
      <c r="C3403" s="56"/>
      <c r="D3403" s="68"/>
      <c r="E3403" s="69"/>
      <c r="F3403" s="69"/>
      <c r="G3403" s="65"/>
      <c r="H3403" s="65"/>
      <c r="I3403" s="70"/>
      <c r="J3403" s="71"/>
      <c r="K3403" s="71"/>
      <c r="L3403" s="72" t="str">
        <f>IFERROR(IF(G3403="","",VLOOKUP($G3403,[1]基础信息!$B:$C,2,FALSE)+SUMIF(G$8:G3403,G3403,J$8:J3403)-SUMIF(G$8:G3403,G3403,K$8:K3403)+SUMIFS([1]内部转账!$G:$G,[1]内部转账!$C:$C,"&lt;="&amp;$D3403,[1]内部转账!$E:$E,$G3403)-SUMIFS([1]内部转账!$G:$G,[1]内部转账!$C:$C,"&lt;="&amp;$D3403,[1]内部转账!$F:$F,$G3403)),"")</f>
        <v/>
      </c>
      <c r="M3403" s="64"/>
      <c r="N3403" s="69"/>
      <c r="O3403" s="64"/>
      <c r="P3403" s="64"/>
      <c r="Q3403" s="69"/>
      <c r="R3403" s="69"/>
      <c r="S3403" s="69"/>
    </row>
    <row r="3404" s="2" customFormat="1" ht="24.95" customHeight="1" spans="1:19">
      <c r="A3404" s="15"/>
      <c r="B3404" s="55"/>
      <c r="C3404" s="56"/>
      <c r="D3404" s="68"/>
      <c r="E3404" s="69"/>
      <c r="F3404" s="69"/>
      <c r="G3404" s="65"/>
      <c r="H3404" s="65"/>
      <c r="I3404" s="70"/>
      <c r="J3404" s="71"/>
      <c r="K3404" s="71"/>
      <c r="L3404" s="72" t="str">
        <f>IFERROR(IF(G3404="","",VLOOKUP($G3404,[1]基础信息!$B:$C,2,FALSE)+SUMIF(G$8:G3404,G3404,J$8:J3404)-SUMIF(G$8:G3404,G3404,K$8:K3404)+SUMIFS([1]内部转账!$G:$G,[1]内部转账!$C:$C,"&lt;="&amp;$D3404,[1]内部转账!$E:$E,$G3404)-SUMIFS([1]内部转账!$G:$G,[1]内部转账!$C:$C,"&lt;="&amp;$D3404,[1]内部转账!$F:$F,$G3404)),"")</f>
        <v/>
      </c>
      <c r="M3404" s="64"/>
      <c r="N3404" s="69"/>
      <c r="O3404" s="64"/>
      <c r="P3404" s="64"/>
      <c r="Q3404" s="69"/>
      <c r="R3404" s="69"/>
      <c r="S3404" s="69"/>
    </row>
    <row r="3405" s="2" customFormat="1" ht="24.95" customHeight="1" spans="1:19">
      <c r="A3405" s="15"/>
      <c r="B3405" s="55"/>
      <c r="C3405" s="56"/>
      <c r="D3405" s="68"/>
      <c r="E3405" s="69"/>
      <c r="F3405" s="69"/>
      <c r="G3405" s="65"/>
      <c r="H3405" s="65"/>
      <c r="I3405" s="70"/>
      <c r="J3405" s="71"/>
      <c r="K3405" s="71"/>
      <c r="L3405" s="72" t="str">
        <f>IFERROR(IF(G3405="","",VLOOKUP($G3405,[1]基础信息!$B:$C,2,FALSE)+SUMIF(G$8:G3405,G3405,J$8:J3405)-SUMIF(G$8:G3405,G3405,K$8:K3405)+SUMIFS([1]内部转账!$G:$G,[1]内部转账!$C:$C,"&lt;="&amp;$D3405,[1]内部转账!$E:$E,$G3405)-SUMIFS([1]内部转账!$G:$G,[1]内部转账!$C:$C,"&lt;="&amp;$D3405,[1]内部转账!$F:$F,$G3405)),"")</f>
        <v/>
      </c>
      <c r="M3405" s="64"/>
      <c r="N3405" s="69"/>
      <c r="O3405" s="64"/>
      <c r="P3405" s="64"/>
      <c r="Q3405" s="69"/>
      <c r="R3405" s="69"/>
      <c r="S3405" s="69"/>
    </row>
    <row r="3406" s="2" customFormat="1" ht="24.95" customHeight="1" spans="1:19">
      <c r="A3406" s="15"/>
      <c r="B3406" s="55"/>
      <c r="C3406" s="56"/>
      <c r="D3406" s="68"/>
      <c r="E3406" s="69"/>
      <c r="F3406" s="69"/>
      <c r="G3406" s="65"/>
      <c r="H3406" s="65"/>
      <c r="I3406" s="70"/>
      <c r="J3406" s="71"/>
      <c r="K3406" s="71"/>
      <c r="L3406" s="72" t="str">
        <f>IFERROR(IF(G3406="","",VLOOKUP($G3406,[1]基础信息!$B:$C,2,FALSE)+SUMIF(G$8:G3406,G3406,J$8:J3406)-SUMIF(G$8:G3406,G3406,K$8:K3406)+SUMIFS([1]内部转账!$G:$G,[1]内部转账!$C:$C,"&lt;="&amp;$D3406,[1]内部转账!$E:$E,$G3406)-SUMIFS([1]内部转账!$G:$G,[1]内部转账!$C:$C,"&lt;="&amp;$D3406,[1]内部转账!$F:$F,$G3406)),"")</f>
        <v/>
      </c>
      <c r="M3406" s="64"/>
      <c r="N3406" s="69"/>
      <c r="O3406" s="64"/>
      <c r="P3406" s="64"/>
      <c r="Q3406" s="69"/>
      <c r="R3406" s="69"/>
      <c r="S3406" s="69"/>
    </row>
    <row r="3407" s="2" customFormat="1" ht="24.95" customHeight="1" spans="1:19">
      <c r="A3407" s="15"/>
      <c r="B3407" s="55"/>
      <c r="C3407" s="56"/>
      <c r="D3407" s="68"/>
      <c r="E3407" s="69"/>
      <c r="F3407" s="69"/>
      <c r="G3407" s="65"/>
      <c r="H3407" s="65"/>
      <c r="I3407" s="70"/>
      <c r="J3407" s="71"/>
      <c r="K3407" s="71"/>
      <c r="L3407" s="72" t="str">
        <f>IFERROR(IF(G3407="","",VLOOKUP($G3407,[1]基础信息!$B:$C,2,FALSE)+SUMIF(G$8:G3407,G3407,J$8:J3407)-SUMIF(G$8:G3407,G3407,K$8:K3407)+SUMIFS([1]内部转账!$G:$G,[1]内部转账!$C:$C,"&lt;="&amp;$D3407,[1]内部转账!$E:$E,$G3407)-SUMIFS([1]内部转账!$G:$G,[1]内部转账!$C:$C,"&lt;="&amp;$D3407,[1]内部转账!$F:$F,$G3407)),"")</f>
        <v/>
      </c>
      <c r="M3407" s="64"/>
      <c r="N3407" s="69"/>
      <c r="O3407" s="64"/>
      <c r="P3407" s="64"/>
      <c r="Q3407" s="69"/>
      <c r="R3407" s="69"/>
      <c r="S3407" s="69"/>
    </row>
    <row r="3408" s="2" customFormat="1" ht="24.95" customHeight="1" spans="1:19">
      <c r="A3408" s="15"/>
      <c r="B3408" s="55"/>
      <c r="C3408" s="56"/>
      <c r="D3408" s="68"/>
      <c r="E3408" s="69"/>
      <c r="F3408" s="69"/>
      <c r="G3408" s="65"/>
      <c r="H3408" s="65"/>
      <c r="I3408" s="70"/>
      <c r="J3408" s="71"/>
      <c r="K3408" s="71"/>
      <c r="L3408" s="72" t="str">
        <f>IFERROR(IF(G3408="","",VLOOKUP($G3408,[1]基础信息!$B:$C,2,FALSE)+SUMIF(G$8:G3408,G3408,J$8:J3408)-SUMIF(G$8:G3408,G3408,K$8:K3408)+SUMIFS([1]内部转账!$G:$G,[1]内部转账!$C:$C,"&lt;="&amp;$D3408,[1]内部转账!$E:$E,$G3408)-SUMIFS([1]内部转账!$G:$G,[1]内部转账!$C:$C,"&lt;="&amp;$D3408,[1]内部转账!$F:$F,$G3408)),"")</f>
        <v/>
      </c>
      <c r="M3408" s="64"/>
      <c r="N3408" s="69"/>
      <c r="O3408" s="64"/>
      <c r="P3408" s="64"/>
      <c r="Q3408" s="69"/>
      <c r="R3408" s="69"/>
      <c r="S3408" s="69"/>
    </row>
    <row r="3409" s="2" customFormat="1" ht="24.95" customHeight="1" spans="1:19">
      <c r="A3409" s="15"/>
      <c r="B3409" s="55"/>
      <c r="C3409" s="56"/>
      <c r="D3409" s="68"/>
      <c r="E3409" s="69"/>
      <c r="F3409" s="69"/>
      <c r="G3409" s="65"/>
      <c r="H3409" s="65"/>
      <c r="I3409" s="70"/>
      <c r="J3409" s="71"/>
      <c r="K3409" s="71"/>
      <c r="L3409" s="72" t="str">
        <f>IFERROR(IF(G3409="","",VLOOKUP($G3409,[1]基础信息!$B:$C,2,FALSE)+SUMIF(G$8:G3409,G3409,J$8:J3409)-SUMIF(G$8:G3409,G3409,K$8:K3409)+SUMIFS([1]内部转账!$G:$G,[1]内部转账!$C:$C,"&lt;="&amp;$D3409,[1]内部转账!$E:$E,$G3409)-SUMIFS([1]内部转账!$G:$G,[1]内部转账!$C:$C,"&lt;="&amp;$D3409,[1]内部转账!$F:$F,$G3409)),"")</f>
        <v/>
      </c>
      <c r="M3409" s="64"/>
      <c r="N3409" s="69"/>
      <c r="O3409" s="64"/>
      <c r="P3409" s="64"/>
      <c r="Q3409" s="69"/>
      <c r="R3409" s="69"/>
      <c r="S3409" s="69"/>
    </row>
    <row r="3410" s="2" customFormat="1" ht="24.95" customHeight="1" spans="1:19">
      <c r="A3410" s="15"/>
      <c r="B3410" s="55"/>
      <c r="C3410" s="56"/>
      <c r="D3410" s="68"/>
      <c r="E3410" s="69"/>
      <c r="F3410" s="69"/>
      <c r="G3410" s="65"/>
      <c r="H3410" s="65"/>
      <c r="I3410" s="70"/>
      <c r="J3410" s="71"/>
      <c r="K3410" s="71"/>
      <c r="L3410" s="72" t="str">
        <f>IFERROR(IF(G3410="","",VLOOKUP($G3410,[1]基础信息!$B:$C,2,FALSE)+SUMIF(G$8:G3410,G3410,J$8:J3410)-SUMIF(G$8:G3410,G3410,K$8:K3410)+SUMIFS([1]内部转账!$G:$G,[1]内部转账!$C:$C,"&lt;="&amp;$D3410,[1]内部转账!$E:$E,$G3410)-SUMIFS([1]内部转账!$G:$G,[1]内部转账!$C:$C,"&lt;="&amp;$D3410,[1]内部转账!$F:$F,$G3410)),"")</f>
        <v/>
      </c>
      <c r="M3410" s="64"/>
      <c r="N3410" s="69"/>
      <c r="O3410" s="64"/>
      <c r="P3410" s="64"/>
      <c r="Q3410" s="69"/>
      <c r="R3410" s="69"/>
      <c r="S3410" s="69"/>
    </row>
    <row r="3411" s="2" customFormat="1" ht="24.95" customHeight="1" spans="1:19">
      <c r="A3411" s="15"/>
      <c r="B3411" s="55"/>
      <c r="C3411" s="56"/>
      <c r="D3411" s="68"/>
      <c r="E3411" s="69"/>
      <c r="F3411" s="69"/>
      <c r="G3411" s="65"/>
      <c r="H3411" s="65"/>
      <c r="I3411" s="70"/>
      <c r="J3411" s="71"/>
      <c r="K3411" s="71"/>
      <c r="L3411" s="72" t="str">
        <f>IFERROR(IF(G3411="","",VLOOKUP($G3411,[1]基础信息!$B:$C,2,FALSE)+SUMIF(G$8:G3411,G3411,J$8:J3411)-SUMIF(G$8:G3411,G3411,K$8:K3411)+SUMIFS([1]内部转账!$G:$G,[1]内部转账!$C:$C,"&lt;="&amp;$D3411,[1]内部转账!$E:$E,$G3411)-SUMIFS([1]内部转账!$G:$G,[1]内部转账!$C:$C,"&lt;="&amp;$D3411,[1]内部转账!$F:$F,$G3411)),"")</f>
        <v/>
      </c>
      <c r="M3411" s="64"/>
      <c r="N3411" s="69"/>
      <c r="O3411" s="64"/>
      <c r="P3411" s="64"/>
      <c r="Q3411" s="69"/>
      <c r="R3411" s="69"/>
      <c r="S3411" s="69"/>
    </row>
    <row r="3412" s="2" customFormat="1" ht="24.95" customHeight="1" spans="1:19">
      <c r="A3412" s="15"/>
      <c r="B3412" s="55"/>
      <c r="C3412" s="56"/>
      <c r="D3412" s="68"/>
      <c r="E3412" s="69"/>
      <c r="F3412" s="69"/>
      <c r="G3412" s="65"/>
      <c r="H3412" s="65"/>
      <c r="I3412" s="70"/>
      <c r="J3412" s="71"/>
      <c r="K3412" s="71"/>
      <c r="L3412" s="72" t="str">
        <f>IFERROR(IF(G3412="","",VLOOKUP($G3412,[1]基础信息!$B:$C,2,FALSE)+SUMIF(G$8:G3412,G3412,J$8:J3412)-SUMIF(G$8:G3412,G3412,K$8:K3412)+SUMIFS([1]内部转账!$G:$G,[1]内部转账!$C:$C,"&lt;="&amp;$D3412,[1]内部转账!$E:$E,$G3412)-SUMIFS([1]内部转账!$G:$G,[1]内部转账!$C:$C,"&lt;="&amp;$D3412,[1]内部转账!$F:$F,$G3412)),"")</f>
        <v/>
      </c>
      <c r="M3412" s="64"/>
      <c r="N3412" s="69"/>
      <c r="O3412" s="64"/>
      <c r="P3412" s="64"/>
      <c r="Q3412" s="69"/>
      <c r="R3412" s="69"/>
      <c r="S3412" s="69"/>
    </row>
    <row r="3413" s="2" customFormat="1" ht="24.95" customHeight="1" spans="1:19">
      <c r="A3413" s="15"/>
      <c r="B3413" s="55"/>
      <c r="C3413" s="56"/>
      <c r="D3413" s="68"/>
      <c r="E3413" s="69"/>
      <c r="F3413" s="69"/>
      <c r="G3413" s="65"/>
      <c r="H3413" s="65"/>
      <c r="I3413" s="70"/>
      <c r="J3413" s="71"/>
      <c r="K3413" s="71"/>
      <c r="L3413" s="72" t="str">
        <f>IFERROR(IF(G3413="","",VLOOKUP($G3413,[1]基础信息!$B:$C,2,FALSE)+SUMIF(G$8:G3413,G3413,J$8:J3413)-SUMIF(G$8:G3413,G3413,K$8:K3413)+SUMIFS([1]内部转账!$G:$G,[1]内部转账!$C:$C,"&lt;="&amp;$D3413,[1]内部转账!$E:$E,$G3413)-SUMIFS([1]内部转账!$G:$G,[1]内部转账!$C:$C,"&lt;="&amp;$D3413,[1]内部转账!$F:$F,$G3413)),"")</f>
        <v/>
      </c>
      <c r="M3413" s="64"/>
      <c r="N3413" s="69"/>
      <c r="O3413" s="64"/>
      <c r="P3413" s="64"/>
      <c r="Q3413" s="69"/>
      <c r="R3413" s="69"/>
      <c r="S3413" s="69"/>
    </row>
    <row r="3414" s="2" customFormat="1" ht="24.95" customHeight="1" spans="1:19">
      <c r="A3414" s="15"/>
      <c r="B3414" s="55"/>
      <c r="C3414" s="56"/>
      <c r="D3414" s="68"/>
      <c r="E3414" s="69"/>
      <c r="F3414" s="69"/>
      <c r="G3414" s="65"/>
      <c r="H3414" s="65"/>
      <c r="I3414" s="70"/>
      <c r="J3414" s="71"/>
      <c r="K3414" s="71"/>
      <c r="L3414" s="72" t="str">
        <f>IFERROR(IF(G3414="","",VLOOKUP($G3414,[1]基础信息!$B:$C,2,FALSE)+SUMIF(G$8:G3414,G3414,J$8:J3414)-SUMIF(G$8:G3414,G3414,K$8:K3414)+SUMIFS([1]内部转账!$G:$G,[1]内部转账!$C:$C,"&lt;="&amp;$D3414,[1]内部转账!$E:$E,$G3414)-SUMIFS([1]内部转账!$G:$G,[1]内部转账!$C:$C,"&lt;="&amp;$D3414,[1]内部转账!$F:$F,$G3414)),"")</f>
        <v/>
      </c>
      <c r="M3414" s="64"/>
      <c r="N3414" s="69"/>
      <c r="O3414" s="64"/>
      <c r="P3414" s="64"/>
      <c r="Q3414" s="69"/>
      <c r="R3414" s="69"/>
      <c r="S3414" s="69"/>
    </row>
    <row r="3415" s="2" customFormat="1" ht="24.95" customHeight="1" spans="1:19">
      <c r="A3415" s="15"/>
      <c r="B3415" s="55"/>
      <c r="C3415" s="56"/>
      <c r="D3415" s="68"/>
      <c r="E3415" s="69"/>
      <c r="F3415" s="69"/>
      <c r="G3415" s="65"/>
      <c r="H3415" s="65"/>
      <c r="I3415" s="70"/>
      <c r="J3415" s="71"/>
      <c r="K3415" s="71"/>
      <c r="L3415" s="72" t="str">
        <f>IFERROR(IF(G3415="","",VLOOKUP($G3415,[1]基础信息!$B:$C,2,FALSE)+SUMIF(G$8:G3415,G3415,J$8:J3415)-SUMIF(G$8:G3415,G3415,K$8:K3415)+SUMIFS([1]内部转账!$G:$G,[1]内部转账!$C:$C,"&lt;="&amp;$D3415,[1]内部转账!$E:$E,$G3415)-SUMIFS([1]内部转账!$G:$G,[1]内部转账!$C:$C,"&lt;="&amp;$D3415,[1]内部转账!$F:$F,$G3415)),"")</f>
        <v/>
      </c>
      <c r="M3415" s="64"/>
      <c r="N3415" s="69"/>
      <c r="O3415" s="64"/>
      <c r="P3415" s="64"/>
      <c r="Q3415" s="69"/>
      <c r="R3415" s="69"/>
      <c r="S3415" s="69"/>
    </row>
    <row r="3416" s="2" customFormat="1" ht="24.95" customHeight="1" spans="1:19">
      <c r="A3416" s="15"/>
      <c r="B3416" s="55"/>
      <c r="C3416" s="56"/>
      <c r="D3416" s="68"/>
      <c r="E3416" s="69"/>
      <c r="F3416" s="69"/>
      <c r="G3416" s="65"/>
      <c r="H3416" s="65"/>
      <c r="I3416" s="70"/>
      <c r="J3416" s="71"/>
      <c r="K3416" s="71"/>
      <c r="L3416" s="72" t="str">
        <f>IFERROR(IF(G3416="","",VLOOKUP($G3416,[1]基础信息!$B:$C,2,FALSE)+SUMIF(G$8:G3416,G3416,J$8:J3416)-SUMIF(G$8:G3416,G3416,K$8:K3416)+SUMIFS([1]内部转账!$G:$G,[1]内部转账!$C:$C,"&lt;="&amp;$D3416,[1]内部转账!$E:$E,$G3416)-SUMIFS([1]内部转账!$G:$G,[1]内部转账!$C:$C,"&lt;="&amp;$D3416,[1]内部转账!$F:$F,$G3416)),"")</f>
        <v/>
      </c>
      <c r="M3416" s="64"/>
      <c r="N3416" s="69"/>
      <c r="O3416" s="64"/>
      <c r="P3416" s="64"/>
      <c r="Q3416" s="69"/>
      <c r="R3416" s="69"/>
      <c r="S3416" s="69"/>
    </row>
    <row r="3417" s="2" customFormat="1" ht="24.95" customHeight="1" spans="1:19">
      <c r="A3417" s="15"/>
      <c r="B3417" s="55"/>
      <c r="C3417" s="56"/>
      <c r="D3417" s="68"/>
      <c r="E3417" s="69"/>
      <c r="F3417" s="69"/>
      <c r="G3417" s="65"/>
      <c r="H3417" s="65"/>
      <c r="I3417" s="70"/>
      <c r="J3417" s="71"/>
      <c r="K3417" s="71"/>
      <c r="L3417" s="72" t="str">
        <f>IFERROR(IF(G3417="","",VLOOKUP($G3417,[1]基础信息!$B:$C,2,FALSE)+SUMIF(G$8:G3417,G3417,J$8:J3417)-SUMIF(G$8:G3417,G3417,K$8:K3417)+SUMIFS([1]内部转账!$G:$G,[1]内部转账!$C:$C,"&lt;="&amp;$D3417,[1]内部转账!$E:$E,$G3417)-SUMIFS([1]内部转账!$G:$G,[1]内部转账!$C:$C,"&lt;="&amp;$D3417,[1]内部转账!$F:$F,$G3417)),"")</f>
        <v/>
      </c>
      <c r="M3417" s="64"/>
      <c r="N3417" s="69"/>
      <c r="O3417" s="64"/>
      <c r="P3417" s="64"/>
      <c r="Q3417" s="69"/>
      <c r="R3417" s="69"/>
      <c r="S3417" s="69"/>
    </row>
    <row r="3418" s="2" customFormat="1" ht="24.95" customHeight="1" spans="1:19">
      <c r="A3418" s="15"/>
      <c r="B3418" s="55"/>
      <c r="C3418" s="56"/>
      <c r="D3418" s="68"/>
      <c r="E3418" s="69"/>
      <c r="F3418" s="69"/>
      <c r="G3418" s="65"/>
      <c r="H3418" s="65"/>
      <c r="I3418" s="70"/>
      <c r="J3418" s="71"/>
      <c r="K3418" s="71"/>
      <c r="L3418" s="72" t="str">
        <f>IFERROR(IF(G3418="","",VLOOKUP($G3418,[1]基础信息!$B:$C,2,FALSE)+SUMIF(G$8:G3418,G3418,J$8:J3418)-SUMIF(G$8:G3418,G3418,K$8:K3418)+SUMIFS([1]内部转账!$G:$G,[1]内部转账!$C:$C,"&lt;="&amp;$D3418,[1]内部转账!$E:$E,$G3418)-SUMIFS([1]内部转账!$G:$G,[1]内部转账!$C:$C,"&lt;="&amp;$D3418,[1]内部转账!$F:$F,$G3418)),"")</f>
        <v/>
      </c>
      <c r="M3418" s="64"/>
      <c r="N3418" s="69"/>
      <c r="O3418" s="64"/>
      <c r="P3418" s="64"/>
      <c r="Q3418" s="69"/>
      <c r="R3418" s="69"/>
      <c r="S3418" s="69"/>
    </row>
    <row r="3419" s="2" customFormat="1" ht="24.95" customHeight="1" spans="1:19">
      <c r="A3419" s="15"/>
      <c r="B3419" s="55"/>
      <c r="C3419" s="56"/>
      <c r="D3419" s="68"/>
      <c r="E3419" s="69"/>
      <c r="F3419" s="69"/>
      <c r="G3419" s="65"/>
      <c r="H3419" s="65"/>
      <c r="I3419" s="70"/>
      <c r="J3419" s="71"/>
      <c r="K3419" s="71"/>
      <c r="L3419" s="72" t="str">
        <f>IFERROR(IF(G3419="","",VLOOKUP($G3419,[1]基础信息!$B:$C,2,FALSE)+SUMIF(G$8:G3419,G3419,J$8:J3419)-SUMIF(G$8:G3419,G3419,K$8:K3419)+SUMIFS([1]内部转账!$G:$G,[1]内部转账!$C:$C,"&lt;="&amp;$D3419,[1]内部转账!$E:$E,$G3419)-SUMIFS([1]内部转账!$G:$G,[1]内部转账!$C:$C,"&lt;="&amp;$D3419,[1]内部转账!$F:$F,$G3419)),"")</f>
        <v/>
      </c>
      <c r="M3419" s="64"/>
      <c r="N3419" s="69"/>
      <c r="O3419" s="64"/>
      <c r="P3419" s="64"/>
      <c r="Q3419" s="69"/>
      <c r="R3419" s="69"/>
      <c r="S3419" s="69"/>
    </row>
    <row r="3420" s="2" customFormat="1" ht="24.95" customHeight="1" spans="1:19">
      <c r="A3420" s="15"/>
      <c r="B3420" s="55"/>
      <c r="C3420" s="56"/>
      <c r="D3420" s="68"/>
      <c r="E3420" s="69"/>
      <c r="F3420" s="69"/>
      <c r="G3420" s="65"/>
      <c r="H3420" s="65"/>
      <c r="I3420" s="70"/>
      <c r="J3420" s="71"/>
      <c r="K3420" s="71"/>
      <c r="L3420" s="72" t="str">
        <f>IFERROR(IF(G3420="","",VLOOKUP($G3420,[1]基础信息!$B:$C,2,FALSE)+SUMIF(G$8:G3420,G3420,J$8:J3420)-SUMIF(G$8:G3420,G3420,K$8:K3420)+SUMIFS([1]内部转账!$G:$G,[1]内部转账!$C:$C,"&lt;="&amp;$D3420,[1]内部转账!$E:$E,$G3420)-SUMIFS([1]内部转账!$G:$G,[1]内部转账!$C:$C,"&lt;="&amp;$D3420,[1]内部转账!$F:$F,$G3420)),"")</f>
        <v/>
      </c>
      <c r="M3420" s="64"/>
      <c r="N3420" s="69"/>
      <c r="O3420" s="64"/>
      <c r="P3420" s="64"/>
      <c r="Q3420" s="69"/>
      <c r="R3420" s="69"/>
      <c r="S3420" s="69"/>
    </row>
    <row r="3421" s="2" customFormat="1" ht="24.95" customHeight="1" spans="1:19">
      <c r="A3421" s="15"/>
      <c r="B3421" s="55"/>
      <c r="C3421" s="56"/>
      <c r="D3421" s="68"/>
      <c r="E3421" s="69"/>
      <c r="F3421" s="69"/>
      <c r="G3421" s="65"/>
      <c r="H3421" s="65"/>
      <c r="I3421" s="70"/>
      <c r="J3421" s="71"/>
      <c r="K3421" s="71"/>
      <c r="L3421" s="72" t="str">
        <f>IFERROR(IF(G3421="","",VLOOKUP($G3421,[1]基础信息!$B:$C,2,FALSE)+SUMIF(G$8:G3421,G3421,J$8:J3421)-SUMIF(G$8:G3421,G3421,K$8:K3421)+SUMIFS([1]内部转账!$G:$G,[1]内部转账!$C:$C,"&lt;="&amp;$D3421,[1]内部转账!$E:$E,$G3421)-SUMIFS([1]内部转账!$G:$G,[1]内部转账!$C:$C,"&lt;="&amp;$D3421,[1]内部转账!$F:$F,$G3421)),"")</f>
        <v/>
      </c>
      <c r="M3421" s="64"/>
      <c r="N3421" s="69"/>
      <c r="O3421" s="64"/>
      <c r="P3421" s="64"/>
      <c r="Q3421" s="69"/>
      <c r="R3421" s="69"/>
      <c r="S3421" s="69"/>
    </row>
    <row r="3422" s="2" customFormat="1" ht="24.95" customHeight="1" spans="1:19">
      <c r="A3422" s="15"/>
      <c r="B3422" s="55"/>
      <c r="C3422" s="56"/>
      <c r="D3422" s="68"/>
      <c r="E3422" s="69"/>
      <c r="F3422" s="69"/>
      <c r="G3422" s="65"/>
      <c r="H3422" s="65"/>
      <c r="I3422" s="70"/>
      <c r="J3422" s="71"/>
      <c r="K3422" s="71"/>
      <c r="L3422" s="72" t="str">
        <f>IFERROR(IF(G3422="","",VLOOKUP($G3422,[1]基础信息!$B:$C,2,FALSE)+SUMIF(G$8:G3422,G3422,J$8:J3422)-SUMIF(G$8:G3422,G3422,K$8:K3422)+SUMIFS([1]内部转账!$G:$G,[1]内部转账!$C:$C,"&lt;="&amp;$D3422,[1]内部转账!$E:$E,$G3422)-SUMIFS([1]内部转账!$G:$G,[1]内部转账!$C:$C,"&lt;="&amp;$D3422,[1]内部转账!$F:$F,$G3422)),"")</f>
        <v/>
      </c>
      <c r="M3422" s="64"/>
      <c r="N3422" s="69"/>
      <c r="O3422" s="64"/>
      <c r="P3422" s="64"/>
      <c r="Q3422" s="69"/>
      <c r="R3422" s="69"/>
      <c r="S3422" s="69"/>
    </row>
    <row r="3423" s="2" customFormat="1" ht="24.95" customHeight="1" spans="1:19">
      <c r="A3423" s="15"/>
      <c r="B3423" s="55"/>
      <c r="C3423" s="56"/>
      <c r="D3423" s="68"/>
      <c r="E3423" s="69"/>
      <c r="F3423" s="69"/>
      <c r="G3423" s="65"/>
      <c r="H3423" s="65"/>
      <c r="I3423" s="70"/>
      <c r="J3423" s="71"/>
      <c r="K3423" s="71"/>
      <c r="L3423" s="72" t="str">
        <f>IFERROR(IF(G3423="","",VLOOKUP($G3423,[1]基础信息!$B:$C,2,FALSE)+SUMIF(G$8:G3423,G3423,J$8:J3423)-SUMIF(G$8:G3423,G3423,K$8:K3423)+SUMIFS([1]内部转账!$G:$G,[1]内部转账!$C:$C,"&lt;="&amp;$D3423,[1]内部转账!$E:$E,$G3423)-SUMIFS([1]内部转账!$G:$G,[1]内部转账!$C:$C,"&lt;="&amp;$D3423,[1]内部转账!$F:$F,$G3423)),"")</f>
        <v/>
      </c>
      <c r="M3423" s="64"/>
      <c r="N3423" s="69"/>
      <c r="O3423" s="64"/>
      <c r="P3423" s="64"/>
      <c r="Q3423" s="69"/>
      <c r="R3423" s="69"/>
      <c r="S3423" s="69"/>
    </row>
    <row r="3424" s="2" customFormat="1" ht="24.95" customHeight="1" spans="1:19">
      <c r="A3424" s="15"/>
      <c r="B3424" s="55"/>
      <c r="C3424" s="56"/>
      <c r="D3424" s="68"/>
      <c r="E3424" s="69"/>
      <c r="F3424" s="69"/>
      <c r="G3424" s="65"/>
      <c r="H3424" s="65"/>
      <c r="I3424" s="70"/>
      <c r="J3424" s="71"/>
      <c r="K3424" s="71"/>
      <c r="L3424" s="72" t="str">
        <f>IFERROR(IF(G3424="","",VLOOKUP($G3424,[1]基础信息!$B:$C,2,FALSE)+SUMIF(G$8:G3424,G3424,J$8:J3424)-SUMIF(G$8:G3424,G3424,K$8:K3424)+SUMIFS([1]内部转账!$G:$G,[1]内部转账!$C:$C,"&lt;="&amp;$D3424,[1]内部转账!$E:$E,$G3424)-SUMIFS([1]内部转账!$G:$G,[1]内部转账!$C:$C,"&lt;="&amp;$D3424,[1]内部转账!$F:$F,$G3424)),"")</f>
        <v/>
      </c>
      <c r="M3424" s="64"/>
      <c r="N3424" s="69"/>
      <c r="O3424" s="64"/>
      <c r="P3424" s="64"/>
      <c r="Q3424" s="69"/>
      <c r="R3424" s="69"/>
      <c r="S3424" s="69"/>
    </row>
    <row r="3425" s="2" customFormat="1" ht="24.95" customHeight="1" spans="1:19">
      <c r="A3425" s="15"/>
      <c r="B3425" s="55"/>
      <c r="C3425" s="56"/>
      <c r="D3425" s="68"/>
      <c r="E3425" s="69"/>
      <c r="F3425" s="69"/>
      <c r="G3425" s="65"/>
      <c r="H3425" s="65"/>
      <c r="I3425" s="70"/>
      <c r="J3425" s="71"/>
      <c r="K3425" s="71"/>
      <c r="L3425" s="72" t="str">
        <f>IFERROR(IF(G3425="","",VLOOKUP($G3425,[1]基础信息!$B:$C,2,FALSE)+SUMIF(G$8:G3425,G3425,J$8:J3425)-SUMIF(G$8:G3425,G3425,K$8:K3425)+SUMIFS([1]内部转账!$G:$G,[1]内部转账!$C:$C,"&lt;="&amp;$D3425,[1]内部转账!$E:$E,$G3425)-SUMIFS([1]内部转账!$G:$G,[1]内部转账!$C:$C,"&lt;="&amp;$D3425,[1]内部转账!$F:$F,$G3425)),"")</f>
        <v/>
      </c>
      <c r="M3425" s="64"/>
      <c r="N3425" s="69"/>
      <c r="O3425" s="64"/>
      <c r="P3425" s="64"/>
      <c r="Q3425" s="69"/>
      <c r="R3425" s="69"/>
      <c r="S3425" s="69"/>
    </row>
    <row r="3426" s="2" customFormat="1" ht="24.95" customHeight="1" spans="1:19">
      <c r="A3426" s="15"/>
      <c r="B3426" s="55"/>
      <c r="C3426" s="56"/>
      <c r="D3426" s="68"/>
      <c r="E3426" s="69"/>
      <c r="F3426" s="69"/>
      <c r="G3426" s="65"/>
      <c r="H3426" s="65"/>
      <c r="I3426" s="70"/>
      <c r="J3426" s="71"/>
      <c r="K3426" s="71"/>
      <c r="L3426" s="72" t="str">
        <f>IFERROR(IF(G3426="","",VLOOKUP($G3426,[1]基础信息!$B:$C,2,FALSE)+SUMIF(G$8:G3426,G3426,J$8:J3426)-SUMIF(G$8:G3426,G3426,K$8:K3426)+SUMIFS([1]内部转账!$G:$G,[1]内部转账!$C:$C,"&lt;="&amp;$D3426,[1]内部转账!$E:$E,$G3426)-SUMIFS([1]内部转账!$G:$G,[1]内部转账!$C:$C,"&lt;="&amp;$D3426,[1]内部转账!$F:$F,$G3426)),"")</f>
        <v/>
      </c>
      <c r="M3426" s="64"/>
      <c r="N3426" s="69"/>
      <c r="O3426" s="64"/>
      <c r="P3426" s="64"/>
      <c r="Q3426" s="69"/>
      <c r="R3426" s="69"/>
      <c r="S3426" s="69"/>
    </row>
    <row r="3427" s="2" customFormat="1" ht="24.95" customHeight="1" spans="1:19">
      <c r="A3427" s="15"/>
      <c r="B3427" s="55"/>
      <c r="C3427" s="56"/>
      <c r="D3427" s="68"/>
      <c r="E3427" s="69"/>
      <c r="F3427" s="69"/>
      <c r="G3427" s="65"/>
      <c r="H3427" s="65"/>
      <c r="I3427" s="70"/>
      <c r="J3427" s="71"/>
      <c r="K3427" s="71"/>
      <c r="L3427" s="72" t="str">
        <f>IFERROR(IF(G3427="","",VLOOKUP($G3427,[1]基础信息!$B:$C,2,FALSE)+SUMIF(G$8:G3427,G3427,J$8:J3427)-SUMIF(G$8:G3427,G3427,K$8:K3427)+SUMIFS([1]内部转账!$G:$G,[1]内部转账!$C:$C,"&lt;="&amp;$D3427,[1]内部转账!$E:$E,$G3427)-SUMIFS([1]内部转账!$G:$G,[1]内部转账!$C:$C,"&lt;="&amp;$D3427,[1]内部转账!$F:$F,$G3427)),"")</f>
        <v/>
      </c>
      <c r="M3427" s="64"/>
      <c r="N3427" s="69"/>
      <c r="O3427" s="64"/>
      <c r="P3427" s="64"/>
      <c r="Q3427" s="69"/>
      <c r="R3427" s="69"/>
      <c r="S3427" s="69"/>
    </row>
    <row r="3428" s="2" customFormat="1" ht="24.95" customHeight="1" spans="1:19">
      <c r="A3428" s="15"/>
      <c r="B3428" s="55"/>
      <c r="C3428" s="56"/>
      <c r="D3428" s="68"/>
      <c r="E3428" s="69"/>
      <c r="F3428" s="69"/>
      <c r="G3428" s="65"/>
      <c r="H3428" s="65"/>
      <c r="I3428" s="70"/>
      <c r="J3428" s="71"/>
      <c r="K3428" s="71"/>
      <c r="L3428" s="72" t="str">
        <f>IFERROR(IF(G3428="","",VLOOKUP($G3428,[1]基础信息!$B:$C,2,FALSE)+SUMIF(G$8:G3428,G3428,J$8:J3428)-SUMIF(G$8:G3428,G3428,K$8:K3428)+SUMIFS([1]内部转账!$G:$G,[1]内部转账!$C:$C,"&lt;="&amp;$D3428,[1]内部转账!$E:$E,$G3428)-SUMIFS([1]内部转账!$G:$G,[1]内部转账!$C:$C,"&lt;="&amp;$D3428,[1]内部转账!$F:$F,$G3428)),"")</f>
        <v/>
      </c>
      <c r="M3428" s="64"/>
      <c r="N3428" s="69"/>
      <c r="O3428" s="64"/>
      <c r="P3428" s="64"/>
      <c r="Q3428" s="69"/>
      <c r="R3428" s="69"/>
      <c r="S3428" s="69"/>
    </row>
    <row r="3429" s="2" customFormat="1" ht="24.95" customHeight="1" spans="1:19">
      <c r="A3429" s="15"/>
      <c r="B3429" s="55"/>
      <c r="C3429" s="56"/>
      <c r="D3429" s="68"/>
      <c r="E3429" s="69"/>
      <c r="F3429" s="69"/>
      <c r="G3429" s="65"/>
      <c r="H3429" s="65"/>
      <c r="I3429" s="70"/>
      <c r="J3429" s="71"/>
      <c r="K3429" s="71"/>
      <c r="L3429" s="72" t="str">
        <f>IFERROR(IF(G3429="","",VLOOKUP($G3429,[1]基础信息!$B:$C,2,FALSE)+SUMIF(G$8:G3429,G3429,J$8:J3429)-SUMIF(G$8:G3429,G3429,K$8:K3429)+SUMIFS([1]内部转账!$G:$G,[1]内部转账!$C:$C,"&lt;="&amp;$D3429,[1]内部转账!$E:$E,$G3429)-SUMIFS([1]内部转账!$G:$G,[1]内部转账!$C:$C,"&lt;="&amp;$D3429,[1]内部转账!$F:$F,$G3429)),"")</f>
        <v/>
      </c>
      <c r="M3429" s="64"/>
      <c r="N3429" s="69"/>
      <c r="O3429" s="64"/>
      <c r="P3429" s="64"/>
      <c r="Q3429" s="69"/>
      <c r="R3429" s="69"/>
      <c r="S3429" s="69"/>
    </row>
    <row r="3430" s="2" customFormat="1" ht="24.95" customHeight="1" spans="1:19">
      <c r="A3430" s="15"/>
      <c r="B3430" s="55"/>
      <c r="C3430" s="56"/>
      <c r="D3430" s="68"/>
      <c r="E3430" s="69"/>
      <c r="F3430" s="69"/>
      <c r="G3430" s="65"/>
      <c r="H3430" s="65"/>
      <c r="I3430" s="70"/>
      <c r="J3430" s="71"/>
      <c r="K3430" s="71"/>
      <c r="L3430" s="72" t="str">
        <f>IFERROR(IF(G3430="","",VLOOKUP($G3430,[1]基础信息!$B:$C,2,FALSE)+SUMIF(G$8:G3430,G3430,J$8:J3430)-SUMIF(G$8:G3430,G3430,K$8:K3430)+SUMIFS([1]内部转账!$G:$G,[1]内部转账!$C:$C,"&lt;="&amp;$D3430,[1]内部转账!$E:$E,$G3430)-SUMIFS([1]内部转账!$G:$G,[1]内部转账!$C:$C,"&lt;="&amp;$D3430,[1]内部转账!$F:$F,$G3430)),"")</f>
        <v/>
      </c>
      <c r="M3430" s="64"/>
      <c r="N3430" s="69"/>
      <c r="O3430" s="64"/>
      <c r="P3430" s="64"/>
      <c r="Q3430" s="69"/>
      <c r="R3430" s="69"/>
      <c r="S3430" s="69"/>
    </row>
    <row r="3431" s="2" customFormat="1" ht="24.95" customHeight="1" spans="1:19">
      <c r="A3431" s="15"/>
      <c r="B3431" s="55"/>
      <c r="C3431" s="56"/>
      <c r="D3431" s="68"/>
      <c r="E3431" s="69"/>
      <c r="F3431" s="69"/>
      <c r="G3431" s="65"/>
      <c r="H3431" s="65"/>
      <c r="I3431" s="70"/>
      <c r="J3431" s="71"/>
      <c r="K3431" s="71"/>
      <c r="L3431" s="72" t="str">
        <f>IFERROR(IF(G3431="","",VLOOKUP($G3431,[1]基础信息!$B:$C,2,FALSE)+SUMIF(G$8:G3431,G3431,J$8:J3431)-SUMIF(G$8:G3431,G3431,K$8:K3431)+SUMIFS([1]内部转账!$G:$G,[1]内部转账!$C:$C,"&lt;="&amp;$D3431,[1]内部转账!$E:$E,$G3431)-SUMIFS([1]内部转账!$G:$G,[1]内部转账!$C:$C,"&lt;="&amp;$D3431,[1]内部转账!$F:$F,$G3431)),"")</f>
        <v/>
      </c>
      <c r="M3431" s="64"/>
      <c r="N3431" s="69"/>
      <c r="O3431" s="64"/>
      <c r="P3431" s="64"/>
      <c r="Q3431" s="69"/>
      <c r="R3431" s="69"/>
      <c r="S3431" s="69"/>
    </row>
    <row r="3432" s="2" customFormat="1" ht="24.95" customHeight="1" spans="1:19">
      <c r="A3432" s="15"/>
      <c r="B3432" s="55"/>
      <c r="C3432" s="56"/>
      <c r="D3432" s="68"/>
      <c r="E3432" s="69"/>
      <c r="F3432" s="69"/>
      <c r="G3432" s="65"/>
      <c r="H3432" s="65"/>
      <c r="I3432" s="70"/>
      <c r="J3432" s="71"/>
      <c r="K3432" s="71"/>
      <c r="L3432" s="72" t="str">
        <f>IFERROR(IF(G3432="","",VLOOKUP($G3432,[1]基础信息!$B:$C,2,FALSE)+SUMIF(G$8:G3432,G3432,J$8:J3432)-SUMIF(G$8:G3432,G3432,K$8:K3432)+SUMIFS([1]内部转账!$G:$G,[1]内部转账!$C:$C,"&lt;="&amp;$D3432,[1]内部转账!$E:$E,$G3432)-SUMIFS([1]内部转账!$G:$G,[1]内部转账!$C:$C,"&lt;="&amp;$D3432,[1]内部转账!$F:$F,$G3432)),"")</f>
        <v/>
      </c>
      <c r="M3432" s="64"/>
      <c r="N3432" s="69"/>
      <c r="O3432" s="64"/>
      <c r="P3432" s="64"/>
      <c r="Q3432" s="69"/>
      <c r="R3432" s="69"/>
      <c r="S3432" s="69"/>
    </row>
    <row r="3433" s="2" customFormat="1" ht="24.95" customHeight="1" spans="1:19">
      <c r="A3433" s="15"/>
      <c r="B3433" s="55"/>
      <c r="C3433" s="56"/>
      <c r="D3433" s="68"/>
      <c r="E3433" s="69"/>
      <c r="F3433" s="69"/>
      <c r="G3433" s="65"/>
      <c r="H3433" s="65"/>
      <c r="I3433" s="70"/>
      <c r="J3433" s="71"/>
      <c r="K3433" s="71"/>
      <c r="L3433" s="72" t="str">
        <f>IFERROR(IF(G3433="","",VLOOKUP($G3433,[1]基础信息!$B:$C,2,FALSE)+SUMIF(G$8:G3433,G3433,J$8:J3433)-SUMIF(G$8:G3433,G3433,K$8:K3433)+SUMIFS([1]内部转账!$G:$G,[1]内部转账!$C:$C,"&lt;="&amp;$D3433,[1]内部转账!$E:$E,$G3433)-SUMIFS([1]内部转账!$G:$G,[1]内部转账!$C:$C,"&lt;="&amp;$D3433,[1]内部转账!$F:$F,$G3433)),"")</f>
        <v/>
      </c>
      <c r="M3433" s="64"/>
      <c r="N3433" s="69"/>
      <c r="O3433" s="64"/>
      <c r="P3433" s="64"/>
      <c r="Q3433" s="69"/>
      <c r="R3433" s="69"/>
      <c r="S3433" s="69"/>
    </row>
    <row r="3434" s="2" customFormat="1" ht="24.95" customHeight="1" spans="1:19">
      <c r="A3434" s="15"/>
      <c r="B3434" s="55"/>
      <c r="C3434" s="56"/>
      <c r="D3434" s="68"/>
      <c r="E3434" s="69"/>
      <c r="F3434" s="69"/>
      <c r="G3434" s="65"/>
      <c r="H3434" s="65"/>
      <c r="I3434" s="70"/>
      <c r="J3434" s="71"/>
      <c r="K3434" s="71"/>
      <c r="L3434" s="72" t="str">
        <f>IFERROR(IF(G3434="","",VLOOKUP($G3434,[1]基础信息!$B:$C,2,FALSE)+SUMIF(G$8:G3434,G3434,J$8:J3434)-SUMIF(G$8:G3434,G3434,K$8:K3434)+SUMIFS([1]内部转账!$G:$G,[1]内部转账!$C:$C,"&lt;="&amp;$D3434,[1]内部转账!$E:$E,$G3434)-SUMIFS([1]内部转账!$G:$G,[1]内部转账!$C:$C,"&lt;="&amp;$D3434,[1]内部转账!$F:$F,$G3434)),"")</f>
        <v/>
      </c>
      <c r="M3434" s="64"/>
      <c r="N3434" s="69"/>
      <c r="O3434" s="64"/>
      <c r="P3434" s="64"/>
      <c r="Q3434" s="69"/>
      <c r="R3434" s="69"/>
      <c r="S3434" s="69"/>
    </row>
    <row r="3435" s="2" customFormat="1" ht="24.95" customHeight="1" spans="1:19">
      <c r="A3435" s="15"/>
      <c r="B3435" s="55"/>
      <c r="C3435" s="56"/>
      <c r="D3435" s="68"/>
      <c r="E3435" s="69"/>
      <c r="F3435" s="69"/>
      <c r="G3435" s="65"/>
      <c r="H3435" s="65"/>
      <c r="I3435" s="70"/>
      <c r="J3435" s="71"/>
      <c r="K3435" s="71"/>
      <c r="L3435" s="72" t="str">
        <f>IFERROR(IF(G3435="","",VLOOKUP($G3435,[1]基础信息!$B:$C,2,FALSE)+SUMIF(G$8:G3435,G3435,J$8:J3435)-SUMIF(G$8:G3435,G3435,K$8:K3435)+SUMIFS([1]内部转账!$G:$G,[1]内部转账!$C:$C,"&lt;="&amp;$D3435,[1]内部转账!$E:$E,$G3435)-SUMIFS([1]内部转账!$G:$G,[1]内部转账!$C:$C,"&lt;="&amp;$D3435,[1]内部转账!$F:$F,$G3435)),"")</f>
        <v/>
      </c>
      <c r="M3435" s="64"/>
      <c r="N3435" s="69"/>
      <c r="O3435" s="64"/>
      <c r="P3435" s="64"/>
      <c r="Q3435" s="69"/>
      <c r="R3435" s="69"/>
      <c r="S3435" s="69"/>
    </row>
    <row r="3436" s="2" customFormat="1" ht="24.95" customHeight="1" spans="1:19">
      <c r="A3436" s="15"/>
      <c r="B3436" s="55"/>
      <c r="C3436" s="56"/>
      <c r="D3436" s="68"/>
      <c r="E3436" s="69"/>
      <c r="F3436" s="69"/>
      <c r="G3436" s="65"/>
      <c r="H3436" s="65"/>
      <c r="I3436" s="70"/>
      <c r="J3436" s="71"/>
      <c r="K3436" s="71"/>
      <c r="L3436" s="72" t="str">
        <f>IFERROR(IF(G3436="","",VLOOKUP($G3436,[1]基础信息!$B:$C,2,FALSE)+SUMIF(G$8:G3436,G3436,J$8:J3436)-SUMIF(G$8:G3436,G3436,K$8:K3436)+SUMIFS([1]内部转账!$G:$G,[1]内部转账!$C:$C,"&lt;="&amp;$D3436,[1]内部转账!$E:$E,$G3436)-SUMIFS([1]内部转账!$G:$G,[1]内部转账!$C:$C,"&lt;="&amp;$D3436,[1]内部转账!$F:$F,$G3436)),"")</f>
        <v/>
      </c>
      <c r="M3436" s="64"/>
      <c r="N3436" s="69"/>
      <c r="O3436" s="64"/>
      <c r="P3436" s="64"/>
      <c r="Q3436" s="69"/>
      <c r="R3436" s="69"/>
      <c r="S3436" s="69"/>
    </row>
    <row r="3437" s="2" customFormat="1" ht="24.95" customHeight="1" spans="1:19">
      <c r="A3437" s="15"/>
      <c r="B3437" s="55"/>
      <c r="C3437" s="56"/>
      <c r="D3437" s="68"/>
      <c r="E3437" s="69"/>
      <c r="F3437" s="69"/>
      <c r="G3437" s="65"/>
      <c r="H3437" s="65"/>
      <c r="I3437" s="70"/>
      <c r="J3437" s="71"/>
      <c r="K3437" s="71"/>
      <c r="L3437" s="72" t="str">
        <f>IFERROR(IF(G3437="","",VLOOKUP($G3437,[1]基础信息!$B:$C,2,FALSE)+SUMIF(G$8:G3437,G3437,J$8:J3437)-SUMIF(G$8:G3437,G3437,K$8:K3437)+SUMIFS([1]内部转账!$G:$G,[1]内部转账!$C:$C,"&lt;="&amp;$D3437,[1]内部转账!$E:$E,$G3437)-SUMIFS([1]内部转账!$G:$G,[1]内部转账!$C:$C,"&lt;="&amp;$D3437,[1]内部转账!$F:$F,$G3437)),"")</f>
        <v/>
      </c>
      <c r="M3437" s="64"/>
      <c r="N3437" s="69"/>
      <c r="O3437" s="64"/>
      <c r="P3437" s="64"/>
      <c r="Q3437" s="69"/>
      <c r="R3437" s="69"/>
      <c r="S3437" s="69"/>
    </row>
    <row r="3438" s="2" customFormat="1" ht="24.95" customHeight="1" spans="1:19">
      <c r="A3438" s="15"/>
      <c r="B3438" s="55"/>
      <c r="C3438" s="56"/>
      <c r="D3438" s="68"/>
      <c r="E3438" s="69"/>
      <c r="F3438" s="69"/>
      <c r="G3438" s="65"/>
      <c r="H3438" s="65"/>
      <c r="I3438" s="70"/>
      <c r="J3438" s="71"/>
      <c r="K3438" s="71"/>
      <c r="L3438" s="72" t="str">
        <f>IFERROR(IF(G3438="","",VLOOKUP($G3438,[1]基础信息!$B:$C,2,FALSE)+SUMIF(G$8:G3438,G3438,J$8:J3438)-SUMIF(G$8:G3438,G3438,K$8:K3438)+SUMIFS([1]内部转账!$G:$G,[1]内部转账!$C:$C,"&lt;="&amp;$D3438,[1]内部转账!$E:$E,$G3438)-SUMIFS([1]内部转账!$G:$G,[1]内部转账!$C:$C,"&lt;="&amp;$D3438,[1]内部转账!$F:$F,$G3438)),"")</f>
        <v/>
      </c>
      <c r="M3438" s="64"/>
      <c r="N3438" s="69"/>
      <c r="O3438" s="64"/>
      <c r="P3438" s="64"/>
      <c r="Q3438" s="69"/>
      <c r="R3438" s="69"/>
      <c r="S3438" s="69"/>
    </row>
    <row r="3439" s="2" customFormat="1" ht="24.95" customHeight="1" spans="1:19">
      <c r="A3439" s="15"/>
      <c r="B3439" s="55"/>
      <c r="C3439" s="56"/>
      <c r="D3439" s="68"/>
      <c r="E3439" s="69"/>
      <c r="F3439" s="69"/>
      <c r="G3439" s="65"/>
      <c r="H3439" s="65"/>
      <c r="I3439" s="70"/>
      <c r="J3439" s="71"/>
      <c r="K3439" s="71"/>
      <c r="L3439" s="72" t="str">
        <f>IFERROR(IF(G3439="","",VLOOKUP($G3439,[1]基础信息!$B:$C,2,FALSE)+SUMIF(G$8:G3439,G3439,J$8:J3439)-SUMIF(G$8:G3439,G3439,K$8:K3439)+SUMIFS([1]内部转账!$G:$G,[1]内部转账!$C:$C,"&lt;="&amp;$D3439,[1]内部转账!$E:$E,$G3439)-SUMIFS([1]内部转账!$G:$G,[1]内部转账!$C:$C,"&lt;="&amp;$D3439,[1]内部转账!$F:$F,$G3439)),"")</f>
        <v/>
      </c>
      <c r="M3439" s="64"/>
      <c r="N3439" s="69"/>
      <c r="O3439" s="64"/>
      <c r="P3439" s="64"/>
      <c r="Q3439" s="69"/>
      <c r="R3439" s="69"/>
      <c r="S3439" s="69"/>
    </row>
    <row r="3440" s="2" customFormat="1" ht="24.95" customHeight="1" spans="1:19">
      <c r="A3440" s="15"/>
      <c r="B3440" s="55"/>
      <c r="C3440" s="56"/>
      <c r="D3440" s="68"/>
      <c r="E3440" s="69"/>
      <c r="F3440" s="69"/>
      <c r="G3440" s="65"/>
      <c r="H3440" s="65"/>
      <c r="I3440" s="70"/>
      <c r="J3440" s="71"/>
      <c r="K3440" s="71"/>
      <c r="L3440" s="72" t="str">
        <f>IFERROR(IF(G3440="","",VLOOKUP($G3440,[1]基础信息!$B:$C,2,FALSE)+SUMIF(G$8:G3440,G3440,J$8:J3440)-SUMIF(G$8:G3440,G3440,K$8:K3440)+SUMIFS([1]内部转账!$G:$G,[1]内部转账!$C:$C,"&lt;="&amp;$D3440,[1]内部转账!$E:$E,$G3440)-SUMIFS([1]内部转账!$G:$G,[1]内部转账!$C:$C,"&lt;="&amp;$D3440,[1]内部转账!$F:$F,$G3440)),"")</f>
        <v/>
      </c>
      <c r="M3440" s="64"/>
      <c r="N3440" s="69"/>
      <c r="O3440" s="64"/>
      <c r="P3440" s="64"/>
      <c r="Q3440" s="69"/>
      <c r="R3440" s="69"/>
      <c r="S3440" s="69"/>
    </row>
    <row r="3441" s="2" customFormat="1" ht="24.95" customHeight="1" spans="1:19">
      <c r="A3441" s="15"/>
      <c r="B3441" s="55"/>
      <c r="C3441" s="56"/>
      <c r="D3441" s="68"/>
      <c r="E3441" s="69"/>
      <c r="F3441" s="69"/>
      <c r="G3441" s="65"/>
      <c r="H3441" s="65"/>
      <c r="I3441" s="70"/>
      <c r="J3441" s="71"/>
      <c r="K3441" s="71"/>
      <c r="L3441" s="72" t="str">
        <f>IFERROR(IF(G3441="","",VLOOKUP($G3441,[1]基础信息!$B:$C,2,FALSE)+SUMIF(G$8:G3441,G3441,J$8:J3441)-SUMIF(G$8:G3441,G3441,K$8:K3441)+SUMIFS([1]内部转账!$G:$G,[1]内部转账!$C:$C,"&lt;="&amp;$D3441,[1]内部转账!$E:$E,$G3441)-SUMIFS([1]内部转账!$G:$G,[1]内部转账!$C:$C,"&lt;="&amp;$D3441,[1]内部转账!$F:$F,$G3441)),"")</f>
        <v/>
      </c>
      <c r="M3441" s="64"/>
      <c r="N3441" s="69"/>
      <c r="O3441" s="64"/>
      <c r="P3441" s="64"/>
      <c r="Q3441" s="69"/>
      <c r="R3441" s="69"/>
      <c r="S3441" s="69"/>
    </row>
    <row r="3442" s="2" customFormat="1" ht="24.95" customHeight="1" spans="1:19">
      <c r="A3442" s="15"/>
      <c r="B3442" s="55"/>
      <c r="C3442" s="56"/>
      <c r="D3442" s="68"/>
      <c r="E3442" s="69"/>
      <c r="F3442" s="69"/>
      <c r="G3442" s="65"/>
      <c r="H3442" s="65"/>
      <c r="I3442" s="70"/>
      <c r="J3442" s="71"/>
      <c r="K3442" s="71"/>
      <c r="L3442" s="72" t="str">
        <f>IFERROR(IF(G3442="","",VLOOKUP($G3442,[1]基础信息!$B:$C,2,FALSE)+SUMIF(G$8:G3442,G3442,J$8:J3442)-SUMIF(G$8:G3442,G3442,K$8:K3442)+SUMIFS([1]内部转账!$G:$G,[1]内部转账!$C:$C,"&lt;="&amp;$D3442,[1]内部转账!$E:$E,$G3442)-SUMIFS([1]内部转账!$G:$G,[1]内部转账!$C:$C,"&lt;="&amp;$D3442,[1]内部转账!$F:$F,$G3442)),"")</f>
        <v/>
      </c>
      <c r="M3442" s="64"/>
      <c r="N3442" s="69"/>
      <c r="O3442" s="64"/>
      <c r="P3442" s="64"/>
      <c r="Q3442" s="69"/>
      <c r="R3442" s="69"/>
      <c r="S3442" s="69"/>
    </row>
    <row r="3443" s="2" customFormat="1" ht="24.95" customHeight="1" spans="1:19">
      <c r="A3443" s="15"/>
      <c r="B3443" s="55"/>
      <c r="C3443" s="56"/>
      <c r="D3443" s="68"/>
      <c r="E3443" s="69"/>
      <c r="F3443" s="69"/>
      <c r="G3443" s="65"/>
      <c r="H3443" s="65"/>
      <c r="I3443" s="70"/>
      <c r="J3443" s="71"/>
      <c r="K3443" s="71"/>
      <c r="L3443" s="72" t="str">
        <f>IFERROR(IF(G3443="","",VLOOKUP($G3443,[1]基础信息!$B:$C,2,FALSE)+SUMIF(G$8:G3443,G3443,J$8:J3443)-SUMIF(G$8:G3443,G3443,K$8:K3443)+SUMIFS([1]内部转账!$G:$G,[1]内部转账!$C:$C,"&lt;="&amp;$D3443,[1]内部转账!$E:$E,$G3443)-SUMIFS([1]内部转账!$G:$G,[1]内部转账!$C:$C,"&lt;="&amp;$D3443,[1]内部转账!$F:$F,$G3443)),"")</f>
        <v/>
      </c>
      <c r="M3443" s="64"/>
      <c r="N3443" s="69"/>
      <c r="O3443" s="64"/>
      <c r="P3443" s="64"/>
      <c r="Q3443" s="69"/>
      <c r="R3443" s="69"/>
      <c r="S3443" s="69"/>
    </row>
    <row r="3444" s="2" customFormat="1" ht="24.95" customHeight="1" spans="1:19">
      <c r="A3444" s="15"/>
      <c r="B3444" s="55"/>
      <c r="C3444" s="56"/>
      <c r="D3444" s="68"/>
      <c r="E3444" s="69"/>
      <c r="F3444" s="69"/>
      <c r="G3444" s="65"/>
      <c r="H3444" s="65"/>
      <c r="I3444" s="70"/>
      <c r="J3444" s="71"/>
      <c r="K3444" s="71"/>
      <c r="L3444" s="72" t="str">
        <f>IFERROR(IF(G3444="","",VLOOKUP($G3444,[1]基础信息!$B:$C,2,FALSE)+SUMIF(G$8:G3444,G3444,J$8:J3444)-SUMIF(G$8:G3444,G3444,K$8:K3444)+SUMIFS([1]内部转账!$G:$G,[1]内部转账!$C:$C,"&lt;="&amp;$D3444,[1]内部转账!$E:$E,$G3444)-SUMIFS([1]内部转账!$G:$G,[1]内部转账!$C:$C,"&lt;="&amp;$D3444,[1]内部转账!$F:$F,$G3444)),"")</f>
        <v/>
      </c>
      <c r="M3444" s="64"/>
      <c r="N3444" s="69"/>
      <c r="O3444" s="64"/>
      <c r="P3444" s="64"/>
      <c r="Q3444" s="69"/>
      <c r="R3444" s="69"/>
      <c r="S3444" s="69"/>
    </row>
    <row r="3445" s="2" customFormat="1" ht="24.95" customHeight="1" spans="1:19">
      <c r="A3445" s="15"/>
      <c r="B3445" s="55"/>
      <c r="C3445" s="56"/>
      <c r="D3445" s="68"/>
      <c r="E3445" s="69"/>
      <c r="F3445" s="69"/>
      <c r="G3445" s="65"/>
      <c r="H3445" s="65"/>
      <c r="I3445" s="70"/>
      <c r="J3445" s="71"/>
      <c r="K3445" s="71"/>
      <c r="L3445" s="72" t="str">
        <f>IFERROR(IF(G3445="","",VLOOKUP($G3445,[1]基础信息!$B:$C,2,FALSE)+SUMIF(G$8:G3445,G3445,J$8:J3445)-SUMIF(G$8:G3445,G3445,K$8:K3445)+SUMIFS([1]内部转账!$G:$G,[1]内部转账!$C:$C,"&lt;="&amp;$D3445,[1]内部转账!$E:$E,$G3445)-SUMIFS([1]内部转账!$G:$G,[1]内部转账!$C:$C,"&lt;="&amp;$D3445,[1]内部转账!$F:$F,$G3445)),"")</f>
        <v/>
      </c>
      <c r="M3445" s="64"/>
      <c r="N3445" s="69"/>
      <c r="O3445" s="64"/>
      <c r="P3445" s="64"/>
      <c r="Q3445" s="69"/>
      <c r="R3445" s="69"/>
      <c r="S3445" s="69"/>
    </row>
    <row r="3446" s="2" customFormat="1" ht="24.95" customHeight="1" spans="1:19">
      <c r="A3446" s="15"/>
      <c r="B3446" s="55"/>
      <c r="C3446" s="56"/>
      <c r="D3446" s="68"/>
      <c r="E3446" s="69"/>
      <c r="F3446" s="69"/>
      <c r="G3446" s="65"/>
      <c r="H3446" s="65"/>
      <c r="I3446" s="70"/>
      <c r="J3446" s="71"/>
      <c r="K3446" s="71"/>
      <c r="L3446" s="72" t="str">
        <f>IFERROR(IF(G3446="","",VLOOKUP($G3446,[1]基础信息!$B:$C,2,FALSE)+SUMIF(G$8:G3446,G3446,J$8:J3446)-SUMIF(G$8:G3446,G3446,K$8:K3446)+SUMIFS([1]内部转账!$G:$G,[1]内部转账!$C:$C,"&lt;="&amp;$D3446,[1]内部转账!$E:$E,$G3446)-SUMIFS([1]内部转账!$G:$G,[1]内部转账!$C:$C,"&lt;="&amp;$D3446,[1]内部转账!$F:$F,$G3446)),"")</f>
        <v/>
      </c>
      <c r="M3446" s="64"/>
      <c r="N3446" s="69"/>
      <c r="O3446" s="64"/>
      <c r="P3446" s="64"/>
      <c r="Q3446" s="69"/>
      <c r="R3446" s="69"/>
      <c r="S3446" s="69"/>
    </row>
    <row r="3447" s="2" customFormat="1" ht="24.95" customHeight="1" spans="1:19">
      <c r="A3447" s="15"/>
      <c r="B3447" s="55"/>
      <c r="C3447" s="56"/>
      <c r="D3447" s="68"/>
      <c r="E3447" s="69"/>
      <c r="F3447" s="69"/>
      <c r="G3447" s="65"/>
      <c r="H3447" s="65"/>
      <c r="I3447" s="70"/>
      <c r="J3447" s="71"/>
      <c r="K3447" s="71"/>
      <c r="L3447" s="72" t="str">
        <f>IFERROR(IF(G3447="","",VLOOKUP($G3447,[1]基础信息!$B:$C,2,FALSE)+SUMIF(G$8:G3447,G3447,J$8:J3447)-SUMIF(G$8:G3447,G3447,K$8:K3447)+SUMIFS([1]内部转账!$G:$G,[1]内部转账!$C:$C,"&lt;="&amp;$D3447,[1]内部转账!$E:$E,$G3447)-SUMIFS([1]内部转账!$G:$G,[1]内部转账!$C:$C,"&lt;="&amp;$D3447,[1]内部转账!$F:$F,$G3447)),"")</f>
        <v/>
      </c>
      <c r="M3447" s="64"/>
      <c r="N3447" s="69"/>
      <c r="O3447" s="64"/>
      <c r="P3447" s="64"/>
      <c r="Q3447" s="69"/>
      <c r="R3447" s="69"/>
      <c r="S3447" s="69"/>
    </row>
    <row r="3448" s="2" customFormat="1" ht="24.95" customHeight="1" spans="1:19">
      <c r="A3448" s="15"/>
      <c r="B3448" s="55"/>
      <c r="C3448" s="56"/>
      <c r="D3448" s="68"/>
      <c r="E3448" s="69"/>
      <c r="F3448" s="69"/>
      <c r="G3448" s="65"/>
      <c r="H3448" s="65"/>
      <c r="I3448" s="70"/>
      <c r="J3448" s="71"/>
      <c r="K3448" s="71"/>
      <c r="L3448" s="72" t="str">
        <f>IFERROR(IF(G3448="","",VLOOKUP($G3448,[1]基础信息!$B:$C,2,FALSE)+SUMIF(G$8:G3448,G3448,J$8:J3448)-SUMIF(G$8:G3448,G3448,K$8:K3448)+SUMIFS([1]内部转账!$G:$G,[1]内部转账!$C:$C,"&lt;="&amp;$D3448,[1]内部转账!$E:$E,$G3448)-SUMIFS([1]内部转账!$G:$G,[1]内部转账!$C:$C,"&lt;="&amp;$D3448,[1]内部转账!$F:$F,$G3448)),"")</f>
        <v/>
      </c>
      <c r="M3448" s="64"/>
      <c r="N3448" s="69"/>
      <c r="O3448" s="64"/>
      <c r="P3448" s="64"/>
      <c r="Q3448" s="69"/>
      <c r="R3448" s="69"/>
      <c r="S3448" s="69"/>
    </row>
    <row r="3449" s="2" customFormat="1" ht="24.95" customHeight="1" spans="1:19">
      <c r="A3449" s="15"/>
      <c r="B3449" s="55"/>
      <c r="C3449" s="56"/>
      <c r="D3449" s="68"/>
      <c r="E3449" s="69"/>
      <c r="F3449" s="69"/>
      <c r="G3449" s="65"/>
      <c r="H3449" s="65"/>
      <c r="I3449" s="70"/>
      <c r="J3449" s="71"/>
      <c r="K3449" s="71"/>
      <c r="L3449" s="72" t="str">
        <f>IFERROR(IF(G3449="","",VLOOKUP($G3449,[1]基础信息!$B:$C,2,FALSE)+SUMIF(G$8:G3449,G3449,J$8:J3449)-SUMIF(G$8:G3449,G3449,K$8:K3449)+SUMIFS([1]内部转账!$G:$G,[1]内部转账!$C:$C,"&lt;="&amp;$D3449,[1]内部转账!$E:$E,$G3449)-SUMIFS([1]内部转账!$G:$G,[1]内部转账!$C:$C,"&lt;="&amp;$D3449,[1]内部转账!$F:$F,$G3449)),"")</f>
        <v/>
      </c>
      <c r="M3449" s="64"/>
      <c r="N3449" s="69"/>
      <c r="O3449" s="64"/>
      <c r="P3449" s="64"/>
      <c r="Q3449" s="69"/>
      <c r="R3449" s="69"/>
      <c r="S3449" s="69"/>
    </row>
    <row r="3450" s="2" customFormat="1" ht="24.95" customHeight="1" spans="1:19">
      <c r="A3450" s="15"/>
      <c r="B3450" s="55"/>
      <c r="C3450" s="56"/>
      <c r="D3450" s="68"/>
      <c r="E3450" s="69"/>
      <c r="F3450" s="69"/>
      <c r="G3450" s="65"/>
      <c r="H3450" s="65"/>
      <c r="I3450" s="70"/>
      <c r="J3450" s="71"/>
      <c r="K3450" s="71"/>
      <c r="L3450" s="72" t="str">
        <f>IFERROR(IF(G3450="","",VLOOKUP($G3450,[1]基础信息!$B:$C,2,FALSE)+SUMIF(G$8:G3450,G3450,J$8:J3450)-SUMIF(G$8:G3450,G3450,K$8:K3450)+SUMIFS([1]内部转账!$G:$G,[1]内部转账!$C:$C,"&lt;="&amp;$D3450,[1]内部转账!$E:$E,$G3450)-SUMIFS([1]内部转账!$G:$G,[1]内部转账!$C:$C,"&lt;="&amp;$D3450,[1]内部转账!$F:$F,$G3450)),"")</f>
        <v/>
      </c>
      <c r="M3450" s="64"/>
      <c r="N3450" s="69"/>
      <c r="O3450" s="64"/>
      <c r="P3450" s="64"/>
      <c r="Q3450" s="69"/>
      <c r="R3450" s="69"/>
      <c r="S3450" s="69"/>
    </row>
    <row r="3451" s="2" customFormat="1" ht="24.95" customHeight="1" spans="1:19">
      <c r="A3451" s="15"/>
      <c r="B3451" s="55"/>
      <c r="C3451" s="56"/>
      <c r="D3451" s="68"/>
      <c r="E3451" s="69"/>
      <c r="F3451" s="69"/>
      <c r="G3451" s="65"/>
      <c r="H3451" s="65"/>
      <c r="I3451" s="70"/>
      <c r="J3451" s="71"/>
      <c r="K3451" s="71"/>
      <c r="L3451" s="72" t="str">
        <f>IFERROR(IF(G3451="","",VLOOKUP($G3451,[1]基础信息!$B:$C,2,FALSE)+SUMIF(G$8:G3451,G3451,J$8:J3451)-SUMIF(G$8:G3451,G3451,K$8:K3451)+SUMIFS([1]内部转账!$G:$G,[1]内部转账!$C:$C,"&lt;="&amp;$D3451,[1]内部转账!$E:$E,$G3451)-SUMIFS([1]内部转账!$G:$G,[1]内部转账!$C:$C,"&lt;="&amp;$D3451,[1]内部转账!$F:$F,$G3451)),"")</f>
        <v/>
      </c>
      <c r="M3451" s="64"/>
      <c r="N3451" s="69"/>
      <c r="O3451" s="64"/>
      <c r="P3451" s="64"/>
      <c r="Q3451" s="69"/>
      <c r="R3451" s="69"/>
      <c r="S3451" s="69"/>
    </row>
    <row r="3452" s="2" customFormat="1" ht="24.95" customHeight="1" spans="1:19">
      <c r="A3452" s="15"/>
      <c r="B3452" s="55"/>
      <c r="C3452" s="56"/>
      <c r="D3452" s="68"/>
      <c r="E3452" s="69"/>
      <c r="F3452" s="69"/>
      <c r="G3452" s="65"/>
      <c r="H3452" s="65"/>
      <c r="I3452" s="70"/>
      <c r="J3452" s="71"/>
      <c r="K3452" s="71"/>
      <c r="L3452" s="72" t="str">
        <f>IFERROR(IF(G3452="","",VLOOKUP($G3452,[1]基础信息!$B:$C,2,FALSE)+SUMIF(G$8:G3452,G3452,J$8:J3452)-SUMIF(G$8:G3452,G3452,K$8:K3452)+SUMIFS([1]内部转账!$G:$G,[1]内部转账!$C:$C,"&lt;="&amp;$D3452,[1]内部转账!$E:$E,$G3452)-SUMIFS([1]内部转账!$G:$G,[1]内部转账!$C:$C,"&lt;="&amp;$D3452,[1]内部转账!$F:$F,$G3452)),"")</f>
        <v/>
      </c>
      <c r="M3452" s="64"/>
      <c r="N3452" s="69"/>
      <c r="O3452" s="64"/>
      <c r="P3452" s="64"/>
      <c r="Q3452" s="69"/>
      <c r="R3452" s="69"/>
      <c r="S3452" s="69"/>
    </row>
    <row r="3453" s="2" customFormat="1" ht="24.95" customHeight="1" spans="1:19">
      <c r="A3453" s="15"/>
      <c r="B3453" s="55"/>
      <c r="C3453" s="56"/>
      <c r="D3453" s="68"/>
      <c r="E3453" s="69"/>
      <c r="F3453" s="69"/>
      <c r="G3453" s="65"/>
      <c r="H3453" s="65"/>
      <c r="I3453" s="70"/>
      <c r="J3453" s="71"/>
      <c r="K3453" s="71"/>
      <c r="L3453" s="72" t="str">
        <f>IFERROR(IF(G3453="","",VLOOKUP($G3453,[1]基础信息!$B:$C,2,FALSE)+SUMIF(G$8:G3453,G3453,J$8:J3453)-SUMIF(G$8:G3453,G3453,K$8:K3453)+SUMIFS([1]内部转账!$G:$G,[1]内部转账!$C:$C,"&lt;="&amp;$D3453,[1]内部转账!$E:$E,$G3453)-SUMIFS([1]内部转账!$G:$G,[1]内部转账!$C:$C,"&lt;="&amp;$D3453,[1]内部转账!$F:$F,$G3453)),"")</f>
        <v/>
      </c>
      <c r="M3453" s="64"/>
      <c r="N3453" s="69"/>
      <c r="O3453" s="64"/>
      <c r="P3453" s="64"/>
      <c r="Q3453" s="69"/>
      <c r="R3453" s="69"/>
      <c r="S3453" s="69"/>
    </row>
    <row r="3454" s="2" customFormat="1" ht="24.95" customHeight="1" spans="1:19">
      <c r="A3454" s="15"/>
      <c r="B3454" s="55"/>
      <c r="C3454" s="56"/>
      <c r="D3454" s="68"/>
      <c r="E3454" s="69"/>
      <c r="F3454" s="69"/>
      <c r="G3454" s="65"/>
      <c r="H3454" s="65"/>
      <c r="I3454" s="70"/>
      <c r="J3454" s="71"/>
      <c r="K3454" s="71"/>
      <c r="L3454" s="72" t="str">
        <f>IFERROR(IF(G3454="","",VLOOKUP($G3454,[1]基础信息!$B:$C,2,FALSE)+SUMIF(G$8:G3454,G3454,J$8:J3454)-SUMIF(G$8:G3454,G3454,K$8:K3454)+SUMIFS([1]内部转账!$G:$G,[1]内部转账!$C:$C,"&lt;="&amp;$D3454,[1]内部转账!$E:$E,$G3454)-SUMIFS([1]内部转账!$G:$G,[1]内部转账!$C:$C,"&lt;="&amp;$D3454,[1]内部转账!$F:$F,$G3454)),"")</f>
        <v/>
      </c>
      <c r="M3454" s="64"/>
      <c r="N3454" s="69"/>
      <c r="O3454" s="64"/>
      <c r="P3454" s="64"/>
      <c r="Q3454" s="69"/>
      <c r="R3454" s="69"/>
      <c r="S3454" s="69"/>
    </row>
    <row r="3455" s="2" customFormat="1" ht="24.95" customHeight="1" spans="1:19">
      <c r="A3455" s="15"/>
      <c r="B3455" s="55"/>
      <c r="C3455" s="56"/>
      <c r="D3455" s="68"/>
      <c r="E3455" s="69"/>
      <c r="F3455" s="69"/>
      <c r="G3455" s="65"/>
      <c r="H3455" s="65"/>
      <c r="I3455" s="70"/>
      <c r="J3455" s="71"/>
      <c r="K3455" s="71"/>
      <c r="L3455" s="72" t="str">
        <f>IFERROR(IF(G3455="","",VLOOKUP($G3455,[1]基础信息!$B:$C,2,FALSE)+SUMIF(G$8:G3455,G3455,J$8:J3455)-SUMIF(G$8:G3455,G3455,K$8:K3455)+SUMIFS([1]内部转账!$G:$G,[1]内部转账!$C:$C,"&lt;="&amp;$D3455,[1]内部转账!$E:$E,$G3455)-SUMIFS([1]内部转账!$G:$G,[1]内部转账!$C:$C,"&lt;="&amp;$D3455,[1]内部转账!$F:$F,$G3455)),"")</f>
        <v/>
      </c>
      <c r="M3455" s="64"/>
      <c r="N3455" s="69"/>
      <c r="O3455" s="64"/>
      <c r="P3455" s="64"/>
      <c r="Q3455" s="69"/>
      <c r="R3455" s="69"/>
      <c r="S3455" s="69"/>
    </row>
    <row r="3456" s="2" customFormat="1" ht="24.95" customHeight="1" spans="1:19">
      <c r="A3456" s="15"/>
      <c r="B3456" s="55"/>
      <c r="C3456" s="56"/>
      <c r="D3456" s="68"/>
      <c r="E3456" s="69"/>
      <c r="F3456" s="69"/>
      <c r="G3456" s="65"/>
      <c r="H3456" s="65"/>
      <c r="I3456" s="70"/>
      <c r="J3456" s="71"/>
      <c r="K3456" s="71"/>
      <c r="L3456" s="72" t="str">
        <f>IFERROR(IF(G3456="","",VLOOKUP($G3456,[1]基础信息!$B:$C,2,FALSE)+SUMIF(G$8:G3456,G3456,J$8:J3456)-SUMIF(G$8:G3456,G3456,K$8:K3456)+SUMIFS([1]内部转账!$G:$G,[1]内部转账!$C:$C,"&lt;="&amp;$D3456,[1]内部转账!$E:$E,$G3456)-SUMIFS([1]内部转账!$G:$G,[1]内部转账!$C:$C,"&lt;="&amp;$D3456,[1]内部转账!$F:$F,$G3456)),"")</f>
        <v/>
      </c>
      <c r="M3456" s="64"/>
      <c r="N3456" s="69"/>
      <c r="O3456" s="64"/>
      <c r="P3456" s="64"/>
      <c r="Q3456" s="69"/>
      <c r="R3456" s="69"/>
      <c r="S3456" s="69"/>
    </row>
    <row r="3457" s="2" customFormat="1" ht="24.95" customHeight="1" spans="1:19">
      <c r="A3457" s="15"/>
      <c r="B3457" s="55"/>
      <c r="C3457" s="56"/>
      <c r="D3457" s="68"/>
      <c r="E3457" s="69"/>
      <c r="F3457" s="69"/>
      <c r="G3457" s="65"/>
      <c r="H3457" s="65"/>
      <c r="I3457" s="70"/>
      <c r="J3457" s="71"/>
      <c r="K3457" s="71"/>
      <c r="L3457" s="72" t="str">
        <f>IFERROR(IF(G3457="","",VLOOKUP($G3457,[1]基础信息!$B:$C,2,FALSE)+SUMIF(G$8:G3457,G3457,J$8:J3457)-SUMIF(G$8:G3457,G3457,K$8:K3457)+SUMIFS([1]内部转账!$G:$G,[1]内部转账!$C:$C,"&lt;="&amp;$D3457,[1]内部转账!$E:$E,$G3457)-SUMIFS([1]内部转账!$G:$G,[1]内部转账!$C:$C,"&lt;="&amp;$D3457,[1]内部转账!$F:$F,$G3457)),"")</f>
        <v/>
      </c>
      <c r="M3457" s="64"/>
      <c r="N3457" s="69"/>
      <c r="O3457" s="64"/>
      <c r="P3457" s="64"/>
      <c r="Q3457" s="69"/>
      <c r="R3457" s="69"/>
      <c r="S3457" s="69"/>
    </row>
    <row r="3458" s="2" customFormat="1" ht="24.95" customHeight="1" spans="1:19">
      <c r="A3458" s="15"/>
      <c r="B3458" s="55"/>
      <c r="C3458" s="56"/>
      <c r="D3458" s="68"/>
      <c r="E3458" s="69"/>
      <c r="F3458" s="69"/>
      <c r="G3458" s="65"/>
      <c r="H3458" s="65"/>
      <c r="I3458" s="70"/>
      <c r="J3458" s="71"/>
      <c r="K3458" s="71"/>
      <c r="L3458" s="72" t="str">
        <f>IFERROR(IF(G3458="","",VLOOKUP($G3458,[1]基础信息!$B:$C,2,FALSE)+SUMIF(G$8:G3458,G3458,J$8:J3458)-SUMIF(G$8:G3458,G3458,K$8:K3458)+SUMIFS([1]内部转账!$G:$G,[1]内部转账!$C:$C,"&lt;="&amp;$D3458,[1]内部转账!$E:$E,$G3458)-SUMIFS([1]内部转账!$G:$G,[1]内部转账!$C:$C,"&lt;="&amp;$D3458,[1]内部转账!$F:$F,$G3458)),"")</f>
        <v/>
      </c>
      <c r="M3458" s="64"/>
      <c r="N3458" s="69"/>
      <c r="O3458" s="64"/>
      <c r="P3458" s="64"/>
      <c r="Q3458" s="69"/>
      <c r="R3458" s="69"/>
      <c r="S3458" s="69"/>
    </row>
    <row r="3459" s="2" customFormat="1" ht="24.95" customHeight="1" spans="1:19">
      <c r="A3459" s="15"/>
      <c r="B3459" s="55"/>
      <c r="C3459" s="56"/>
      <c r="D3459" s="68"/>
      <c r="E3459" s="69"/>
      <c r="F3459" s="69"/>
      <c r="G3459" s="65"/>
      <c r="H3459" s="65"/>
      <c r="I3459" s="70"/>
      <c r="J3459" s="71"/>
      <c r="K3459" s="71"/>
      <c r="L3459" s="72" t="str">
        <f>IFERROR(IF(G3459="","",VLOOKUP($G3459,[1]基础信息!$B:$C,2,FALSE)+SUMIF(G$8:G3459,G3459,J$8:J3459)-SUMIF(G$8:G3459,G3459,K$8:K3459)+SUMIFS([1]内部转账!$G:$G,[1]内部转账!$C:$C,"&lt;="&amp;$D3459,[1]内部转账!$E:$E,$G3459)-SUMIFS([1]内部转账!$G:$G,[1]内部转账!$C:$C,"&lt;="&amp;$D3459,[1]内部转账!$F:$F,$G3459)),"")</f>
        <v/>
      </c>
      <c r="M3459" s="64"/>
      <c r="N3459" s="69"/>
      <c r="O3459" s="64"/>
      <c r="P3459" s="64"/>
      <c r="Q3459" s="69"/>
      <c r="R3459" s="69"/>
      <c r="S3459" s="69"/>
    </row>
    <row r="3460" s="2" customFormat="1" ht="24.95" customHeight="1" spans="1:19">
      <c r="A3460" s="15"/>
      <c r="B3460" s="55"/>
      <c r="C3460" s="56"/>
      <c r="D3460" s="68"/>
      <c r="E3460" s="69"/>
      <c r="F3460" s="69"/>
      <c r="G3460" s="65"/>
      <c r="H3460" s="65"/>
      <c r="I3460" s="70"/>
      <c r="J3460" s="71"/>
      <c r="K3460" s="71"/>
      <c r="L3460" s="72" t="str">
        <f>IFERROR(IF(G3460="","",VLOOKUP($G3460,[1]基础信息!$B:$C,2,FALSE)+SUMIF(G$8:G3460,G3460,J$8:J3460)-SUMIF(G$8:G3460,G3460,K$8:K3460)+SUMIFS([1]内部转账!$G:$G,[1]内部转账!$C:$C,"&lt;="&amp;$D3460,[1]内部转账!$E:$E,$G3460)-SUMIFS([1]内部转账!$G:$G,[1]内部转账!$C:$C,"&lt;="&amp;$D3460,[1]内部转账!$F:$F,$G3460)),"")</f>
        <v/>
      </c>
      <c r="M3460" s="64"/>
      <c r="N3460" s="69"/>
      <c r="O3460" s="64"/>
      <c r="P3460" s="64"/>
      <c r="Q3460" s="69"/>
      <c r="R3460" s="69"/>
      <c r="S3460" s="69"/>
    </row>
    <row r="3461" s="2" customFormat="1" ht="24.95" customHeight="1" spans="1:19">
      <c r="A3461" s="15"/>
      <c r="B3461" s="55"/>
      <c r="C3461" s="56"/>
      <c r="D3461" s="68"/>
      <c r="E3461" s="69"/>
      <c r="F3461" s="69"/>
      <c r="G3461" s="65"/>
      <c r="H3461" s="65"/>
      <c r="I3461" s="70"/>
      <c r="J3461" s="71"/>
      <c r="K3461" s="71"/>
      <c r="L3461" s="72" t="str">
        <f>IFERROR(IF(G3461="","",VLOOKUP($G3461,[1]基础信息!$B:$C,2,FALSE)+SUMIF(G$8:G3461,G3461,J$8:J3461)-SUMIF(G$8:G3461,G3461,K$8:K3461)+SUMIFS([1]内部转账!$G:$G,[1]内部转账!$C:$C,"&lt;="&amp;$D3461,[1]内部转账!$E:$E,$G3461)-SUMIFS([1]内部转账!$G:$G,[1]内部转账!$C:$C,"&lt;="&amp;$D3461,[1]内部转账!$F:$F,$G3461)),"")</f>
        <v/>
      </c>
      <c r="M3461" s="64"/>
      <c r="N3461" s="69"/>
      <c r="O3461" s="64"/>
      <c r="P3461" s="64"/>
      <c r="Q3461" s="69"/>
      <c r="R3461" s="69"/>
      <c r="S3461" s="69"/>
    </row>
    <row r="3462" s="2" customFormat="1" ht="24.95" customHeight="1" spans="1:19">
      <c r="A3462" s="15"/>
      <c r="B3462" s="55"/>
      <c r="C3462" s="56"/>
      <c r="D3462" s="68"/>
      <c r="E3462" s="69"/>
      <c r="F3462" s="69"/>
      <c r="G3462" s="65"/>
      <c r="H3462" s="65"/>
      <c r="I3462" s="70"/>
      <c r="J3462" s="71"/>
      <c r="K3462" s="71"/>
      <c r="L3462" s="72" t="str">
        <f>IFERROR(IF(G3462="","",VLOOKUP($G3462,[1]基础信息!$B:$C,2,FALSE)+SUMIF(G$8:G3462,G3462,J$8:J3462)-SUMIF(G$8:G3462,G3462,K$8:K3462)+SUMIFS([1]内部转账!$G:$G,[1]内部转账!$C:$C,"&lt;="&amp;$D3462,[1]内部转账!$E:$E,$G3462)-SUMIFS([1]内部转账!$G:$G,[1]内部转账!$C:$C,"&lt;="&amp;$D3462,[1]内部转账!$F:$F,$G3462)),"")</f>
        <v/>
      </c>
      <c r="M3462" s="64"/>
      <c r="N3462" s="69"/>
      <c r="O3462" s="64"/>
      <c r="P3462" s="64"/>
      <c r="Q3462" s="69"/>
      <c r="R3462" s="69"/>
      <c r="S3462" s="69"/>
    </row>
    <row r="3463" s="2" customFormat="1" ht="24.95" customHeight="1" spans="1:19">
      <c r="A3463" s="15"/>
      <c r="B3463" s="55"/>
      <c r="C3463" s="56"/>
      <c r="D3463" s="68"/>
      <c r="E3463" s="69"/>
      <c r="F3463" s="69"/>
      <c r="G3463" s="65"/>
      <c r="H3463" s="65"/>
      <c r="I3463" s="70"/>
      <c r="J3463" s="71"/>
      <c r="K3463" s="71"/>
      <c r="L3463" s="72" t="str">
        <f>IFERROR(IF(G3463="","",VLOOKUP($G3463,[1]基础信息!$B:$C,2,FALSE)+SUMIF(G$8:G3463,G3463,J$8:J3463)-SUMIF(G$8:G3463,G3463,K$8:K3463)+SUMIFS([1]内部转账!$G:$G,[1]内部转账!$C:$C,"&lt;="&amp;$D3463,[1]内部转账!$E:$E,$G3463)-SUMIFS([1]内部转账!$G:$G,[1]内部转账!$C:$C,"&lt;="&amp;$D3463,[1]内部转账!$F:$F,$G3463)),"")</f>
        <v/>
      </c>
      <c r="M3463" s="64"/>
      <c r="N3463" s="69"/>
      <c r="O3463" s="64"/>
      <c r="P3463" s="64"/>
      <c r="Q3463" s="69"/>
      <c r="R3463" s="69"/>
      <c r="S3463" s="69"/>
    </row>
    <row r="3464" s="2" customFormat="1" ht="24.95" customHeight="1" spans="1:19">
      <c r="A3464" s="15"/>
      <c r="B3464" s="55"/>
      <c r="C3464" s="56"/>
      <c r="D3464" s="68"/>
      <c r="E3464" s="69"/>
      <c r="F3464" s="69"/>
      <c r="G3464" s="65"/>
      <c r="H3464" s="65"/>
      <c r="I3464" s="70"/>
      <c r="J3464" s="71"/>
      <c r="K3464" s="71"/>
      <c r="L3464" s="72" t="str">
        <f>IFERROR(IF(G3464="","",VLOOKUP($G3464,[1]基础信息!$B:$C,2,FALSE)+SUMIF(G$8:G3464,G3464,J$8:J3464)-SUMIF(G$8:G3464,G3464,K$8:K3464)+SUMIFS([1]内部转账!$G:$G,[1]内部转账!$C:$C,"&lt;="&amp;$D3464,[1]内部转账!$E:$E,$G3464)-SUMIFS([1]内部转账!$G:$G,[1]内部转账!$C:$C,"&lt;="&amp;$D3464,[1]内部转账!$F:$F,$G3464)),"")</f>
        <v/>
      </c>
      <c r="M3464" s="64"/>
      <c r="N3464" s="69"/>
      <c r="O3464" s="64"/>
      <c r="P3464" s="64"/>
      <c r="Q3464" s="69"/>
      <c r="R3464" s="69"/>
      <c r="S3464" s="69"/>
    </row>
    <row r="3465" s="2" customFormat="1" ht="24.95" customHeight="1" spans="1:19">
      <c r="A3465" s="15"/>
      <c r="B3465" s="55"/>
      <c r="C3465" s="56"/>
      <c r="D3465" s="68"/>
      <c r="E3465" s="69"/>
      <c r="F3465" s="69"/>
      <c r="G3465" s="65"/>
      <c r="H3465" s="65"/>
      <c r="I3465" s="70"/>
      <c r="J3465" s="71"/>
      <c r="K3465" s="71"/>
      <c r="L3465" s="72" t="str">
        <f>IFERROR(IF(G3465="","",VLOOKUP($G3465,[1]基础信息!$B:$C,2,FALSE)+SUMIF(G$8:G3465,G3465,J$8:J3465)-SUMIF(G$8:G3465,G3465,K$8:K3465)+SUMIFS([1]内部转账!$G:$G,[1]内部转账!$C:$C,"&lt;="&amp;$D3465,[1]内部转账!$E:$E,$G3465)-SUMIFS([1]内部转账!$G:$G,[1]内部转账!$C:$C,"&lt;="&amp;$D3465,[1]内部转账!$F:$F,$G3465)),"")</f>
        <v/>
      </c>
      <c r="M3465" s="64"/>
      <c r="N3465" s="69"/>
      <c r="O3465" s="64"/>
      <c r="P3465" s="64"/>
      <c r="Q3465" s="69"/>
      <c r="R3465" s="69"/>
      <c r="S3465" s="69"/>
    </row>
    <row r="3466" s="2" customFormat="1" ht="24.95" customHeight="1" spans="1:19">
      <c r="A3466" s="15"/>
      <c r="B3466" s="55"/>
      <c r="C3466" s="56"/>
      <c r="D3466" s="68"/>
      <c r="E3466" s="69"/>
      <c r="F3466" s="69"/>
      <c r="G3466" s="65"/>
      <c r="H3466" s="65"/>
      <c r="I3466" s="70"/>
      <c r="J3466" s="71"/>
      <c r="K3466" s="71"/>
      <c r="L3466" s="72" t="str">
        <f>IFERROR(IF(G3466="","",VLOOKUP($G3466,[1]基础信息!$B:$C,2,FALSE)+SUMIF(G$8:G3466,G3466,J$8:J3466)-SUMIF(G$8:G3466,G3466,K$8:K3466)+SUMIFS([1]内部转账!$G:$G,[1]内部转账!$C:$C,"&lt;="&amp;$D3466,[1]内部转账!$E:$E,$G3466)-SUMIFS([1]内部转账!$G:$G,[1]内部转账!$C:$C,"&lt;="&amp;$D3466,[1]内部转账!$F:$F,$G3466)),"")</f>
        <v/>
      </c>
      <c r="M3466" s="64"/>
      <c r="N3466" s="69"/>
      <c r="O3466" s="64"/>
      <c r="P3466" s="64"/>
      <c r="Q3466" s="69"/>
      <c r="R3466" s="69"/>
      <c r="S3466" s="69"/>
    </row>
    <row r="3467" s="2" customFormat="1" ht="24.95" customHeight="1" spans="1:19">
      <c r="A3467" s="15"/>
      <c r="B3467" s="55"/>
      <c r="C3467" s="56"/>
      <c r="D3467" s="68"/>
      <c r="E3467" s="69"/>
      <c r="F3467" s="69"/>
      <c r="G3467" s="65"/>
      <c r="H3467" s="65"/>
      <c r="I3467" s="70"/>
      <c r="J3467" s="71"/>
      <c r="K3467" s="71"/>
      <c r="L3467" s="72" t="str">
        <f>IFERROR(IF(G3467="","",VLOOKUP($G3467,[1]基础信息!$B:$C,2,FALSE)+SUMIF(G$8:G3467,G3467,J$8:J3467)-SUMIF(G$8:G3467,G3467,K$8:K3467)+SUMIFS([1]内部转账!$G:$G,[1]内部转账!$C:$C,"&lt;="&amp;$D3467,[1]内部转账!$E:$E,$G3467)-SUMIFS([1]内部转账!$G:$G,[1]内部转账!$C:$C,"&lt;="&amp;$D3467,[1]内部转账!$F:$F,$G3467)),"")</f>
        <v/>
      </c>
      <c r="M3467" s="64"/>
      <c r="N3467" s="69"/>
      <c r="O3467" s="64"/>
      <c r="P3467" s="64"/>
      <c r="Q3467" s="69"/>
      <c r="R3467" s="69"/>
      <c r="S3467" s="69"/>
    </row>
    <row r="3468" s="2" customFormat="1" ht="24.95" customHeight="1" spans="1:19">
      <c r="A3468" s="15"/>
      <c r="B3468" s="55"/>
      <c r="C3468" s="56"/>
      <c r="D3468" s="68"/>
      <c r="E3468" s="69"/>
      <c r="F3468" s="69"/>
      <c r="G3468" s="65"/>
      <c r="H3468" s="65"/>
      <c r="I3468" s="70"/>
      <c r="J3468" s="71"/>
      <c r="K3468" s="71"/>
      <c r="L3468" s="72" t="str">
        <f>IFERROR(IF(G3468="","",VLOOKUP($G3468,[1]基础信息!$B:$C,2,FALSE)+SUMIF(G$8:G3468,G3468,J$8:J3468)-SUMIF(G$8:G3468,G3468,K$8:K3468)+SUMIFS([1]内部转账!$G:$G,[1]内部转账!$C:$C,"&lt;="&amp;$D3468,[1]内部转账!$E:$E,$G3468)-SUMIFS([1]内部转账!$G:$G,[1]内部转账!$C:$C,"&lt;="&amp;$D3468,[1]内部转账!$F:$F,$G3468)),"")</f>
        <v/>
      </c>
      <c r="M3468" s="64"/>
      <c r="N3468" s="69"/>
      <c r="O3468" s="64"/>
      <c r="P3468" s="64"/>
      <c r="Q3468" s="69"/>
      <c r="R3468" s="69"/>
      <c r="S3468" s="69"/>
    </row>
    <row r="3469" s="2" customFormat="1" ht="24.95" customHeight="1" spans="1:19">
      <c r="A3469" s="15"/>
      <c r="B3469" s="55"/>
      <c r="C3469" s="56"/>
      <c r="D3469" s="68"/>
      <c r="E3469" s="69"/>
      <c r="F3469" s="69"/>
      <c r="G3469" s="65"/>
      <c r="H3469" s="65"/>
      <c r="I3469" s="70"/>
      <c r="J3469" s="71"/>
      <c r="K3469" s="71"/>
      <c r="L3469" s="72" t="str">
        <f>IFERROR(IF(G3469="","",VLOOKUP($G3469,[1]基础信息!$B:$C,2,FALSE)+SUMIF(G$8:G3469,G3469,J$8:J3469)-SUMIF(G$8:G3469,G3469,K$8:K3469)+SUMIFS([1]内部转账!$G:$G,[1]内部转账!$C:$C,"&lt;="&amp;$D3469,[1]内部转账!$E:$E,$G3469)-SUMIFS([1]内部转账!$G:$G,[1]内部转账!$C:$C,"&lt;="&amp;$D3469,[1]内部转账!$F:$F,$G3469)),"")</f>
        <v/>
      </c>
      <c r="M3469" s="64"/>
      <c r="N3469" s="69"/>
      <c r="O3469" s="64"/>
      <c r="P3469" s="64"/>
      <c r="Q3469" s="69"/>
      <c r="R3469" s="69"/>
      <c r="S3469" s="69"/>
    </row>
    <row r="3470" s="2" customFormat="1" ht="24.95" customHeight="1" spans="1:19">
      <c r="A3470" s="15"/>
      <c r="B3470" s="55"/>
      <c r="C3470" s="56"/>
      <c r="D3470" s="68"/>
      <c r="E3470" s="69"/>
      <c r="F3470" s="69"/>
      <c r="G3470" s="65"/>
      <c r="H3470" s="65"/>
      <c r="I3470" s="70"/>
      <c r="J3470" s="71"/>
      <c r="K3470" s="71"/>
      <c r="L3470" s="72" t="str">
        <f>IFERROR(IF(G3470="","",VLOOKUP($G3470,[1]基础信息!$B:$C,2,FALSE)+SUMIF(G$8:G3470,G3470,J$8:J3470)-SUMIF(G$8:G3470,G3470,K$8:K3470)+SUMIFS([1]内部转账!$G:$G,[1]内部转账!$C:$C,"&lt;="&amp;$D3470,[1]内部转账!$E:$E,$G3470)-SUMIFS([1]内部转账!$G:$G,[1]内部转账!$C:$C,"&lt;="&amp;$D3470,[1]内部转账!$F:$F,$G3470)),"")</f>
        <v/>
      </c>
      <c r="M3470" s="64"/>
      <c r="N3470" s="69"/>
      <c r="O3470" s="64"/>
      <c r="P3470" s="64"/>
      <c r="Q3470" s="69"/>
      <c r="R3470" s="69"/>
      <c r="S3470" s="69"/>
    </row>
    <row r="3471" s="2" customFormat="1" ht="24.95" customHeight="1" spans="1:19">
      <c r="A3471" s="15"/>
      <c r="B3471" s="55"/>
      <c r="C3471" s="56"/>
      <c r="D3471" s="68"/>
      <c r="E3471" s="69"/>
      <c r="F3471" s="69"/>
      <c r="G3471" s="65"/>
      <c r="H3471" s="65"/>
      <c r="I3471" s="70"/>
      <c r="J3471" s="71"/>
      <c r="K3471" s="71"/>
      <c r="L3471" s="72" t="str">
        <f>IFERROR(IF(G3471="","",VLOOKUP($G3471,[1]基础信息!$B:$C,2,FALSE)+SUMIF(G$8:G3471,G3471,J$8:J3471)-SUMIF(G$8:G3471,G3471,K$8:K3471)+SUMIFS([1]内部转账!$G:$G,[1]内部转账!$C:$C,"&lt;="&amp;$D3471,[1]内部转账!$E:$E,$G3471)-SUMIFS([1]内部转账!$G:$G,[1]内部转账!$C:$C,"&lt;="&amp;$D3471,[1]内部转账!$F:$F,$G3471)),"")</f>
        <v/>
      </c>
      <c r="M3471" s="64"/>
      <c r="N3471" s="69"/>
      <c r="O3471" s="64"/>
      <c r="P3471" s="64"/>
      <c r="Q3471" s="69"/>
      <c r="R3471" s="69"/>
      <c r="S3471" s="69"/>
    </row>
    <row r="3472" s="2" customFormat="1" ht="24.95" customHeight="1" spans="1:19">
      <c r="A3472" s="15"/>
      <c r="B3472" s="55"/>
      <c r="C3472" s="56"/>
      <c r="D3472" s="68"/>
      <c r="E3472" s="69"/>
      <c r="F3472" s="69"/>
      <c r="G3472" s="65"/>
      <c r="H3472" s="65"/>
      <c r="I3472" s="70"/>
      <c r="J3472" s="71"/>
      <c r="K3472" s="71"/>
      <c r="L3472" s="72" t="str">
        <f>IFERROR(IF(G3472="","",VLOOKUP($G3472,[1]基础信息!$B:$C,2,FALSE)+SUMIF(G$8:G3472,G3472,J$8:J3472)-SUMIF(G$8:G3472,G3472,K$8:K3472)+SUMIFS([1]内部转账!$G:$G,[1]内部转账!$C:$C,"&lt;="&amp;$D3472,[1]内部转账!$E:$E,$G3472)-SUMIFS([1]内部转账!$G:$G,[1]内部转账!$C:$C,"&lt;="&amp;$D3472,[1]内部转账!$F:$F,$G3472)),"")</f>
        <v/>
      </c>
      <c r="M3472" s="64"/>
      <c r="N3472" s="69"/>
      <c r="O3472" s="64"/>
      <c r="P3472" s="64"/>
      <c r="Q3472" s="69"/>
      <c r="R3472" s="69"/>
      <c r="S3472" s="69"/>
    </row>
    <row r="3473" s="2" customFormat="1" ht="24.95" customHeight="1" spans="1:19">
      <c r="A3473" s="15"/>
      <c r="B3473" s="55"/>
      <c r="C3473" s="56"/>
      <c r="D3473" s="68"/>
      <c r="E3473" s="69"/>
      <c r="F3473" s="69"/>
      <c r="G3473" s="65"/>
      <c r="H3473" s="65"/>
      <c r="I3473" s="70"/>
      <c r="J3473" s="71"/>
      <c r="K3473" s="71"/>
      <c r="L3473" s="72" t="str">
        <f>IFERROR(IF(G3473="","",VLOOKUP($G3473,[1]基础信息!$B:$C,2,FALSE)+SUMIF(G$8:G3473,G3473,J$8:J3473)-SUMIF(G$8:G3473,G3473,K$8:K3473)+SUMIFS([1]内部转账!$G:$G,[1]内部转账!$C:$C,"&lt;="&amp;$D3473,[1]内部转账!$E:$E,$G3473)-SUMIFS([1]内部转账!$G:$G,[1]内部转账!$C:$C,"&lt;="&amp;$D3473,[1]内部转账!$F:$F,$G3473)),"")</f>
        <v/>
      </c>
      <c r="M3473" s="64"/>
      <c r="N3473" s="69"/>
      <c r="O3473" s="64"/>
      <c r="P3473" s="64"/>
      <c r="Q3473" s="69"/>
      <c r="R3473" s="69"/>
      <c r="S3473" s="69"/>
    </row>
    <row r="3474" s="2" customFormat="1" ht="24.95" customHeight="1" spans="1:19">
      <c r="A3474" s="15"/>
      <c r="B3474" s="55"/>
      <c r="C3474" s="56"/>
      <c r="D3474" s="68"/>
      <c r="E3474" s="69"/>
      <c r="F3474" s="69"/>
      <c r="G3474" s="65"/>
      <c r="H3474" s="65"/>
      <c r="I3474" s="70"/>
      <c r="J3474" s="71"/>
      <c r="K3474" s="71"/>
      <c r="L3474" s="72" t="str">
        <f>IFERROR(IF(G3474="","",VLOOKUP($G3474,[1]基础信息!$B:$C,2,FALSE)+SUMIF(G$8:G3474,G3474,J$8:J3474)-SUMIF(G$8:G3474,G3474,K$8:K3474)+SUMIFS([1]内部转账!$G:$G,[1]内部转账!$C:$C,"&lt;="&amp;$D3474,[1]内部转账!$E:$E,$G3474)-SUMIFS([1]内部转账!$G:$G,[1]内部转账!$C:$C,"&lt;="&amp;$D3474,[1]内部转账!$F:$F,$G3474)),"")</f>
        <v/>
      </c>
      <c r="M3474" s="64"/>
      <c r="N3474" s="69"/>
      <c r="O3474" s="64"/>
      <c r="P3474" s="64"/>
      <c r="Q3474" s="69"/>
      <c r="R3474" s="69"/>
      <c r="S3474" s="69"/>
    </row>
    <row r="3475" s="2" customFormat="1" ht="24.95" customHeight="1" spans="1:19">
      <c r="A3475" s="15"/>
      <c r="B3475" s="55"/>
      <c r="C3475" s="56"/>
      <c r="D3475" s="68"/>
      <c r="E3475" s="69"/>
      <c r="F3475" s="69"/>
      <c r="G3475" s="65"/>
      <c r="H3475" s="65"/>
      <c r="I3475" s="70"/>
      <c r="J3475" s="71"/>
      <c r="K3475" s="71"/>
      <c r="L3475" s="72" t="str">
        <f>IFERROR(IF(G3475="","",VLOOKUP($G3475,[1]基础信息!$B:$C,2,FALSE)+SUMIF(G$8:G3475,G3475,J$8:J3475)-SUMIF(G$8:G3475,G3475,K$8:K3475)+SUMIFS([1]内部转账!$G:$G,[1]内部转账!$C:$C,"&lt;="&amp;$D3475,[1]内部转账!$E:$E,$G3475)-SUMIFS([1]内部转账!$G:$G,[1]内部转账!$C:$C,"&lt;="&amp;$D3475,[1]内部转账!$F:$F,$G3475)),"")</f>
        <v/>
      </c>
      <c r="M3475" s="64"/>
      <c r="N3475" s="69"/>
      <c r="O3475" s="64"/>
      <c r="P3475" s="64"/>
      <c r="Q3475" s="69"/>
      <c r="R3475" s="69"/>
      <c r="S3475" s="69"/>
    </row>
    <row r="3476" s="2" customFormat="1" ht="24.95" customHeight="1" spans="1:19">
      <c r="A3476" s="15"/>
      <c r="B3476" s="55"/>
      <c r="C3476" s="56"/>
      <c r="D3476" s="68"/>
      <c r="E3476" s="69"/>
      <c r="F3476" s="69"/>
      <c r="G3476" s="65"/>
      <c r="H3476" s="65"/>
      <c r="I3476" s="70"/>
      <c r="J3476" s="71"/>
      <c r="K3476" s="71"/>
      <c r="L3476" s="72" t="str">
        <f>IFERROR(IF(G3476="","",VLOOKUP($G3476,[1]基础信息!$B:$C,2,FALSE)+SUMIF(G$8:G3476,G3476,J$8:J3476)-SUMIF(G$8:G3476,G3476,K$8:K3476)+SUMIFS([1]内部转账!$G:$G,[1]内部转账!$C:$C,"&lt;="&amp;$D3476,[1]内部转账!$E:$E,$G3476)-SUMIFS([1]内部转账!$G:$G,[1]内部转账!$C:$C,"&lt;="&amp;$D3476,[1]内部转账!$F:$F,$G3476)),"")</f>
        <v/>
      </c>
      <c r="M3476" s="64"/>
      <c r="N3476" s="69"/>
      <c r="O3476" s="64"/>
      <c r="P3476" s="64"/>
      <c r="Q3476" s="69"/>
      <c r="R3476" s="69"/>
      <c r="S3476" s="69"/>
    </row>
    <row r="3477" s="2" customFormat="1" ht="24.95" customHeight="1" spans="1:19">
      <c r="A3477" s="15"/>
      <c r="B3477" s="55"/>
      <c r="C3477" s="56"/>
      <c r="D3477" s="68"/>
      <c r="E3477" s="69"/>
      <c r="F3477" s="69"/>
      <c r="G3477" s="65"/>
      <c r="H3477" s="65"/>
      <c r="I3477" s="70"/>
      <c r="J3477" s="71"/>
      <c r="K3477" s="71"/>
      <c r="L3477" s="72" t="str">
        <f>IFERROR(IF(G3477="","",VLOOKUP($G3477,[1]基础信息!$B:$C,2,FALSE)+SUMIF(G$8:G3477,G3477,J$8:J3477)-SUMIF(G$8:G3477,G3477,K$8:K3477)+SUMIFS([1]内部转账!$G:$G,[1]内部转账!$C:$C,"&lt;="&amp;$D3477,[1]内部转账!$E:$E,$G3477)-SUMIFS([1]内部转账!$G:$G,[1]内部转账!$C:$C,"&lt;="&amp;$D3477,[1]内部转账!$F:$F,$G3477)),"")</f>
        <v/>
      </c>
      <c r="M3477" s="64"/>
      <c r="N3477" s="69"/>
      <c r="O3477" s="64"/>
      <c r="P3477" s="64"/>
      <c r="Q3477" s="69"/>
      <c r="R3477" s="69"/>
      <c r="S3477" s="69"/>
    </row>
    <row r="3478" s="2" customFormat="1" ht="24.95" customHeight="1" spans="1:19">
      <c r="A3478" s="15"/>
      <c r="B3478" s="55"/>
      <c r="C3478" s="56"/>
      <c r="D3478" s="68"/>
      <c r="E3478" s="69"/>
      <c r="F3478" s="69"/>
      <c r="G3478" s="65"/>
      <c r="H3478" s="65"/>
      <c r="I3478" s="70"/>
      <c r="J3478" s="71"/>
      <c r="K3478" s="71"/>
      <c r="L3478" s="72" t="str">
        <f>IFERROR(IF(G3478="","",VLOOKUP($G3478,[1]基础信息!$B:$C,2,FALSE)+SUMIF(G$8:G3478,G3478,J$8:J3478)-SUMIF(G$8:G3478,G3478,K$8:K3478)+SUMIFS([1]内部转账!$G:$G,[1]内部转账!$C:$C,"&lt;="&amp;$D3478,[1]内部转账!$E:$E,$G3478)-SUMIFS([1]内部转账!$G:$G,[1]内部转账!$C:$C,"&lt;="&amp;$D3478,[1]内部转账!$F:$F,$G3478)),"")</f>
        <v/>
      </c>
      <c r="M3478" s="64"/>
      <c r="N3478" s="69"/>
      <c r="O3478" s="64"/>
      <c r="P3478" s="64"/>
      <c r="Q3478" s="69"/>
      <c r="R3478" s="69"/>
      <c r="S3478" s="69"/>
    </row>
    <row r="3479" s="2" customFormat="1" ht="24.95" customHeight="1" spans="1:19">
      <c r="A3479" s="15"/>
      <c r="B3479" s="55"/>
      <c r="C3479" s="56"/>
      <c r="D3479" s="68"/>
      <c r="E3479" s="69"/>
      <c r="F3479" s="69"/>
      <c r="G3479" s="65"/>
      <c r="H3479" s="65"/>
      <c r="I3479" s="70"/>
      <c r="J3479" s="71"/>
      <c r="K3479" s="71"/>
      <c r="L3479" s="72" t="str">
        <f>IFERROR(IF(G3479="","",VLOOKUP($G3479,[1]基础信息!$B:$C,2,FALSE)+SUMIF(G$8:G3479,G3479,J$8:J3479)-SUMIF(G$8:G3479,G3479,K$8:K3479)+SUMIFS([1]内部转账!$G:$G,[1]内部转账!$C:$C,"&lt;="&amp;$D3479,[1]内部转账!$E:$E,$G3479)-SUMIFS([1]内部转账!$G:$G,[1]内部转账!$C:$C,"&lt;="&amp;$D3479,[1]内部转账!$F:$F,$G3479)),"")</f>
        <v/>
      </c>
      <c r="M3479" s="64"/>
      <c r="N3479" s="69"/>
      <c r="O3479" s="64"/>
      <c r="P3479" s="64"/>
      <c r="Q3479" s="69"/>
      <c r="R3479" s="69"/>
      <c r="S3479" s="69"/>
    </row>
    <row r="3480" s="2" customFormat="1" ht="24.95" customHeight="1" spans="1:19">
      <c r="A3480" s="15"/>
      <c r="B3480" s="55"/>
      <c r="C3480" s="56"/>
      <c r="D3480" s="68"/>
      <c r="E3480" s="69"/>
      <c r="F3480" s="69"/>
      <c r="G3480" s="65"/>
      <c r="H3480" s="65"/>
      <c r="I3480" s="70"/>
      <c r="J3480" s="71"/>
      <c r="K3480" s="71"/>
      <c r="L3480" s="72" t="str">
        <f>IFERROR(IF(G3480="","",VLOOKUP($G3480,[1]基础信息!$B:$C,2,FALSE)+SUMIF(G$8:G3480,G3480,J$8:J3480)-SUMIF(G$8:G3480,G3480,K$8:K3480)+SUMIFS([1]内部转账!$G:$G,[1]内部转账!$C:$C,"&lt;="&amp;$D3480,[1]内部转账!$E:$E,$G3480)-SUMIFS([1]内部转账!$G:$G,[1]内部转账!$C:$C,"&lt;="&amp;$D3480,[1]内部转账!$F:$F,$G3480)),"")</f>
        <v/>
      </c>
      <c r="M3480" s="64"/>
      <c r="N3480" s="69"/>
      <c r="O3480" s="64"/>
      <c r="P3480" s="64"/>
      <c r="Q3480" s="69"/>
      <c r="R3480" s="69"/>
      <c r="S3480" s="69"/>
    </row>
    <row r="3481" s="2" customFormat="1" ht="24.95" customHeight="1" spans="1:19">
      <c r="A3481" s="15"/>
      <c r="B3481" s="55"/>
      <c r="C3481" s="56"/>
      <c r="D3481" s="68"/>
      <c r="E3481" s="69"/>
      <c r="F3481" s="69"/>
      <c r="G3481" s="65"/>
      <c r="H3481" s="65"/>
      <c r="I3481" s="70"/>
      <c r="J3481" s="71"/>
      <c r="K3481" s="71"/>
      <c r="L3481" s="72" t="str">
        <f>IFERROR(IF(G3481="","",VLOOKUP($G3481,[1]基础信息!$B:$C,2,FALSE)+SUMIF(G$8:G3481,G3481,J$8:J3481)-SUMIF(G$8:G3481,G3481,K$8:K3481)+SUMIFS([1]内部转账!$G:$G,[1]内部转账!$C:$C,"&lt;="&amp;$D3481,[1]内部转账!$E:$E,$G3481)-SUMIFS([1]内部转账!$G:$G,[1]内部转账!$C:$C,"&lt;="&amp;$D3481,[1]内部转账!$F:$F,$G3481)),"")</f>
        <v/>
      </c>
      <c r="M3481" s="64"/>
      <c r="N3481" s="69"/>
      <c r="O3481" s="64"/>
      <c r="P3481" s="64"/>
      <c r="Q3481" s="69"/>
      <c r="R3481" s="69"/>
      <c r="S3481" s="69"/>
    </row>
    <row r="3482" s="2" customFormat="1" ht="24.95" customHeight="1" spans="1:19">
      <c r="A3482" s="15"/>
      <c r="B3482" s="55"/>
      <c r="C3482" s="56"/>
      <c r="D3482" s="68"/>
      <c r="E3482" s="69"/>
      <c r="F3482" s="69"/>
      <c r="G3482" s="65"/>
      <c r="H3482" s="65"/>
      <c r="I3482" s="70"/>
      <c r="J3482" s="71"/>
      <c r="K3482" s="71"/>
      <c r="L3482" s="72" t="str">
        <f>IFERROR(IF(G3482="","",VLOOKUP($G3482,[1]基础信息!$B:$C,2,FALSE)+SUMIF(G$8:G3482,G3482,J$8:J3482)-SUMIF(G$8:G3482,G3482,K$8:K3482)+SUMIFS([1]内部转账!$G:$G,[1]内部转账!$C:$C,"&lt;="&amp;$D3482,[1]内部转账!$E:$E,$G3482)-SUMIFS([1]内部转账!$G:$G,[1]内部转账!$C:$C,"&lt;="&amp;$D3482,[1]内部转账!$F:$F,$G3482)),"")</f>
        <v/>
      </c>
      <c r="M3482" s="64"/>
      <c r="N3482" s="69"/>
      <c r="O3482" s="64"/>
      <c r="P3482" s="64"/>
      <c r="Q3482" s="69"/>
      <c r="R3482" s="69"/>
      <c r="S3482" s="69"/>
    </row>
    <row r="3483" s="2" customFormat="1" ht="24.95" customHeight="1" spans="1:19">
      <c r="A3483" s="15"/>
      <c r="B3483" s="55"/>
      <c r="C3483" s="56"/>
      <c r="D3483" s="68"/>
      <c r="E3483" s="69"/>
      <c r="F3483" s="69"/>
      <c r="G3483" s="65"/>
      <c r="H3483" s="65"/>
      <c r="I3483" s="70"/>
      <c r="J3483" s="71"/>
      <c r="K3483" s="71"/>
      <c r="L3483" s="72" t="str">
        <f>IFERROR(IF(G3483="","",VLOOKUP($G3483,[1]基础信息!$B:$C,2,FALSE)+SUMIF(G$8:G3483,G3483,J$8:J3483)-SUMIF(G$8:G3483,G3483,K$8:K3483)+SUMIFS([1]内部转账!$G:$G,[1]内部转账!$C:$C,"&lt;="&amp;$D3483,[1]内部转账!$E:$E,$G3483)-SUMIFS([1]内部转账!$G:$G,[1]内部转账!$C:$C,"&lt;="&amp;$D3483,[1]内部转账!$F:$F,$G3483)),"")</f>
        <v/>
      </c>
      <c r="M3483" s="64"/>
      <c r="N3483" s="69"/>
      <c r="O3483" s="64"/>
      <c r="P3483" s="64"/>
      <c r="Q3483" s="69"/>
      <c r="R3483" s="69"/>
      <c r="S3483" s="69"/>
    </row>
    <row r="3484" s="2" customFormat="1" ht="24.95" customHeight="1" spans="1:19">
      <c r="A3484" s="15"/>
      <c r="B3484" s="55"/>
      <c r="C3484" s="56"/>
      <c r="D3484" s="68"/>
      <c r="E3484" s="69"/>
      <c r="F3484" s="69"/>
      <c r="G3484" s="65"/>
      <c r="H3484" s="65"/>
      <c r="I3484" s="70"/>
      <c r="J3484" s="71"/>
      <c r="K3484" s="71"/>
      <c r="L3484" s="72" t="str">
        <f>IFERROR(IF(G3484="","",VLOOKUP($G3484,[1]基础信息!$B:$C,2,FALSE)+SUMIF(G$8:G3484,G3484,J$8:J3484)-SUMIF(G$8:G3484,G3484,K$8:K3484)+SUMIFS([1]内部转账!$G:$G,[1]内部转账!$C:$C,"&lt;="&amp;$D3484,[1]内部转账!$E:$E,$G3484)-SUMIFS([1]内部转账!$G:$G,[1]内部转账!$C:$C,"&lt;="&amp;$D3484,[1]内部转账!$F:$F,$G3484)),"")</f>
        <v/>
      </c>
      <c r="M3484" s="64"/>
      <c r="N3484" s="69"/>
      <c r="O3484" s="64"/>
      <c r="P3484" s="64"/>
      <c r="Q3484" s="69"/>
      <c r="R3484" s="69"/>
      <c r="S3484" s="69"/>
    </row>
    <row r="3485" s="2" customFormat="1" ht="24.95" customHeight="1" spans="1:19">
      <c r="A3485" s="15"/>
      <c r="B3485" s="55"/>
      <c r="C3485" s="56"/>
      <c r="D3485" s="68"/>
      <c r="E3485" s="69"/>
      <c r="F3485" s="69"/>
      <c r="G3485" s="65"/>
      <c r="H3485" s="65"/>
      <c r="I3485" s="70"/>
      <c r="J3485" s="71"/>
      <c r="K3485" s="71"/>
      <c r="L3485" s="72" t="str">
        <f>IFERROR(IF(G3485="","",VLOOKUP($G3485,[1]基础信息!$B:$C,2,FALSE)+SUMIF(G$8:G3485,G3485,J$8:J3485)-SUMIF(G$8:G3485,G3485,K$8:K3485)+SUMIFS([1]内部转账!$G:$G,[1]内部转账!$C:$C,"&lt;="&amp;$D3485,[1]内部转账!$E:$E,$G3485)-SUMIFS([1]内部转账!$G:$G,[1]内部转账!$C:$C,"&lt;="&amp;$D3485,[1]内部转账!$F:$F,$G3485)),"")</f>
        <v/>
      </c>
      <c r="M3485" s="64"/>
      <c r="N3485" s="69"/>
      <c r="O3485" s="64"/>
      <c r="P3485" s="64"/>
      <c r="Q3485" s="69"/>
      <c r="R3485" s="69"/>
      <c r="S3485" s="69"/>
    </row>
    <row r="3486" s="2" customFormat="1" ht="24.95" customHeight="1" spans="1:19">
      <c r="A3486" s="15"/>
      <c r="B3486" s="55"/>
      <c r="C3486" s="56"/>
      <c r="D3486" s="68"/>
      <c r="E3486" s="69"/>
      <c r="F3486" s="69"/>
      <c r="G3486" s="65"/>
      <c r="H3486" s="65"/>
      <c r="I3486" s="70"/>
      <c r="J3486" s="71"/>
      <c r="K3486" s="71"/>
      <c r="L3486" s="72" t="str">
        <f>IFERROR(IF(G3486="","",VLOOKUP($G3486,[1]基础信息!$B:$C,2,FALSE)+SUMIF(G$8:G3486,G3486,J$8:J3486)-SUMIF(G$8:G3486,G3486,K$8:K3486)+SUMIFS([1]内部转账!$G:$G,[1]内部转账!$C:$C,"&lt;="&amp;$D3486,[1]内部转账!$E:$E,$G3486)-SUMIFS([1]内部转账!$G:$G,[1]内部转账!$C:$C,"&lt;="&amp;$D3486,[1]内部转账!$F:$F,$G3486)),"")</f>
        <v/>
      </c>
      <c r="M3486" s="64"/>
      <c r="N3486" s="69"/>
      <c r="O3486" s="64"/>
      <c r="P3486" s="64"/>
      <c r="Q3486" s="69"/>
      <c r="R3486" s="69"/>
      <c r="S3486" s="69"/>
    </row>
    <row r="3487" s="2" customFormat="1" ht="24.95" customHeight="1" spans="1:19">
      <c r="A3487" s="15"/>
      <c r="B3487" s="55"/>
      <c r="C3487" s="56"/>
      <c r="D3487" s="68"/>
      <c r="E3487" s="69"/>
      <c r="F3487" s="69"/>
      <c r="G3487" s="65"/>
      <c r="H3487" s="65"/>
      <c r="I3487" s="70"/>
      <c r="J3487" s="71"/>
      <c r="K3487" s="71"/>
      <c r="L3487" s="72" t="str">
        <f>IFERROR(IF(G3487="","",VLOOKUP($G3487,[1]基础信息!$B:$C,2,FALSE)+SUMIF(G$8:G3487,G3487,J$8:J3487)-SUMIF(G$8:G3487,G3487,K$8:K3487)+SUMIFS([1]内部转账!$G:$G,[1]内部转账!$C:$C,"&lt;="&amp;$D3487,[1]内部转账!$E:$E,$G3487)-SUMIFS([1]内部转账!$G:$G,[1]内部转账!$C:$C,"&lt;="&amp;$D3487,[1]内部转账!$F:$F,$G3487)),"")</f>
        <v/>
      </c>
      <c r="M3487" s="64"/>
      <c r="N3487" s="69"/>
      <c r="O3487" s="64"/>
      <c r="P3487" s="64"/>
      <c r="Q3487" s="69"/>
      <c r="R3487" s="69"/>
      <c r="S3487" s="69"/>
    </row>
    <row r="3488" s="2" customFormat="1" ht="24.95" customHeight="1" spans="1:19">
      <c r="A3488" s="15"/>
      <c r="B3488" s="55"/>
      <c r="C3488" s="56"/>
      <c r="D3488" s="68"/>
      <c r="E3488" s="69"/>
      <c r="F3488" s="69"/>
      <c r="G3488" s="65"/>
      <c r="H3488" s="65"/>
      <c r="I3488" s="70"/>
      <c r="J3488" s="71"/>
      <c r="K3488" s="71"/>
      <c r="L3488" s="72" t="str">
        <f>IFERROR(IF(G3488="","",VLOOKUP($G3488,[1]基础信息!$B:$C,2,FALSE)+SUMIF(G$8:G3488,G3488,J$8:J3488)-SUMIF(G$8:G3488,G3488,K$8:K3488)+SUMIFS([1]内部转账!$G:$G,[1]内部转账!$C:$C,"&lt;="&amp;$D3488,[1]内部转账!$E:$E,$G3488)-SUMIFS([1]内部转账!$G:$G,[1]内部转账!$C:$C,"&lt;="&amp;$D3488,[1]内部转账!$F:$F,$G3488)),"")</f>
        <v/>
      </c>
      <c r="M3488" s="64"/>
      <c r="N3488" s="69"/>
      <c r="O3488" s="64"/>
      <c r="P3488" s="64"/>
      <c r="Q3488" s="69"/>
      <c r="R3488" s="69"/>
      <c r="S3488" s="69"/>
    </row>
    <row r="3489" s="2" customFormat="1" ht="24.95" customHeight="1" spans="1:19">
      <c r="A3489" s="15"/>
      <c r="B3489" s="55"/>
      <c r="C3489" s="56"/>
      <c r="D3489" s="68"/>
      <c r="E3489" s="69"/>
      <c r="F3489" s="69"/>
      <c r="G3489" s="65"/>
      <c r="H3489" s="65"/>
      <c r="I3489" s="70"/>
      <c r="J3489" s="71"/>
      <c r="K3489" s="71"/>
      <c r="L3489" s="72" t="str">
        <f>IFERROR(IF(G3489="","",VLOOKUP($G3489,[1]基础信息!$B:$C,2,FALSE)+SUMIF(G$8:G3489,G3489,J$8:J3489)-SUMIF(G$8:G3489,G3489,K$8:K3489)+SUMIFS([1]内部转账!$G:$G,[1]内部转账!$C:$C,"&lt;="&amp;$D3489,[1]内部转账!$E:$E,$G3489)-SUMIFS([1]内部转账!$G:$G,[1]内部转账!$C:$C,"&lt;="&amp;$D3489,[1]内部转账!$F:$F,$G3489)),"")</f>
        <v/>
      </c>
      <c r="M3489" s="64"/>
      <c r="N3489" s="69"/>
      <c r="O3489" s="64"/>
      <c r="P3489" s="64"/>
      <c r="Q3489" s="69"/>
      <c r="R3489" s="69"/>
      <c r="S3489" s="69"/>
    </row>
    <row r="3490" s="2" customFormat="1" ht="24.95" customHeight="1" spans="1:19">
      <c r="A3490" s="15"/>
      <c r="B3490" s="55"/>
      <c r="C3490" s="56"/>
      <c r="D3490" s="68"/>
      <c r="E3490" s="69"/>
      <c r="F3490" s="69"/>
      <c r="G3490" s="65"/>
      <c r="H3490" s="65"/>
      <c r="I3490" s="70"/>
      <c r="J3490" s="71"/>
      <c r="K3490" s="71"/>
      <c r="L3490" s="72" t="str">
        <f>IFERROR(IF(G3490="","",VLOOKUP($G3490,[1]基础信息!$B:$C,2,FALSE)+SUMIF(G$8:G3490,G3490,J$8:J3490)-SUMIF(G$8:G3490,G3490,K$8:K3490)+SUMIFS([1]内部转账!$G:$G,[1]内部转账!$C:$C,"&lt;="&amp;$D3490,[1]内部转账!$E:$E,$G3490)-SUMIFS([1]内部转账!$G:$G,[1]内部转账!$C:$C,"&lt;="&amp;$D3490,[1]内部转账!$F:$F,$G3490)),"")</f>
        <v/>
      </c>
      <c r="M3490" s="64"/>
      <c r="N3490" s="69"/>
      <c r="O3490" s="64"/>
      <c r="P3490" s="64"/>
      <c r="Q3490" s="69"/>
      <c r="R3490" s="69"/>
      <c r="S3490" s="69"/>
    </row>
    <row r="3491" s="2" customFormat="1" ht="24.95" customHeight="1" spans="1:19">
      <c r="A3491" s="15"/>
      <c r="B3491" s="55"/>
      <c r="C3491" s="56"/>
      <c r="D3491" s="68"/>
      <c r="E3491" s="69"/>
      <c r="F3491" s="69"/>
      <c r="G3491" s="65"/>
      <c r="H3491" s="65"/>
      <c r="I3491" s="70"/>
      <c r="J3491" s="71"/>
      <c r="K3491" s="71"/>
      <c r="L3491" s="72" t="str">
        <f>IFERROR(IF(G3491="","",VLOOKUP($G3491,[1]基础信息!$B:$C,2,FALSE)+SUMIF(G$8:G3491,G3491,J$8:J3491)-SUMIF(G$8:G3491,G3491,K$8:K3491)+SUMIFS([1]内部转账!$G:$G,[1]内部转账!$C:$C,"&lt;="&amp;$D3491,[1]内部转账!$E:$E,$G3491)-SUMIFS([1]内部转账!$G:$G,[1]内部转账!$C:$C,"&lt;="&amp;$D3491,[1]内部转账!$F:$F,$G3491)),"")</f>
        <v/>
      </c>
      <c r="M3491" s="64"/>
      <c r="N3491" s="69"/>
      <c r="O3491" s="64"/>
      <c r="P3491" s="64"/>
      <c r="Q3491" s="69"/>
      <c r="R3491" s="69"/>
      <c r="S3491" s="69"/>
    </row>
    <row r="3492" s="2" customFormat="1" ht="24.95" customHeight="1" spans="1:19">
      <c r="A3492" s="15"/>
      <c r="B3492" s="55"/>
      <c r="C3492" s="56"/>
      <c r="D3492" s="68"/>
      <c r="E3492" s="69"/>
      <c r="F3492" s="69"/>
      <c r="G3492" s="65"/>
      <c r="H3492" s="65"/>
      <c r="I3492" s="70"/>
      <c r="J3492" s="71"/>
      <c r="K3492" s="71"/>
      <c r="L3492" s="72" t="str">
        <f>IFERROR(IF(G3492="","",VLOOKUP($G3492,[1]基础信息!$B:$C,2,FALSE)+SUMIF(G$8:G3492,G3492,J$8:J3492)-SUMIF(G$8:G3492,G3492,K$8:K3492)+SUMIFS([1]内部转账!$G:$G,[1]内部转账!$C:$C,"&lt;="&amp;$D3492,[1]内部转账!$E:$E,$G3492)-SUMIFS([1]内部转账!$G:$G,[1]内部转账!$C:$C,"&lt;="&amp;$D3492,[1]内部转账!$F:$F,$G3492)),"")</f>
        <v/>
      </c>
      <c r="M3492" s="64"/>
      <c r="N3492" s="69"/>
      <c r="O3492" s="64"/>
      <c r="P3492" s="64"/>
      <c r="Q3492" s="69"/>
      <c r="R3492" s="69"/>
      <c r="S3492" s="69"/>
    </row>
    <row r="3493" s="2" customFormat="1" ht="24.95" customHeight="1" spans="1:19">
      <c r="A3493" s="15"/>
      <c r="B3493" s="55"/>
      <c r="C3493" s="56"/>
      <c r="D3493" s="68"/>
      <c r="E3493" s="69"/>
      <c r="F3493" s="69"/>
      <c r="G3493" s="65"/>
      <c r="H3493" s="65"/>
      <c r="I3493" s="70"/>
      <c r="J3493" s="71"/>
      <c r="K3493" s="71"/>
      <c r="L3493" s="72" t="str">
        <f>IFERROR(IF(G3493="","",VLOOKUP($G3493,[1]基础信息!$B:$C,2,FALSE)+SUMIF(G$8:G3493,G3493,J$8:J3493)-SUMIF(G$8:G3493,G3493,K$8:K3493)+SUMIFS([1]内部转账!$G:$G,[1]内部转账!$C:$C,"&lt;="&amp;$D3493,[1]内部转账!$E:$E,$G3493)-SUMIFS([1]内部转账!$G:$G,[1]内部转账!$C:$C,"&lt;="&amp;$D3493,[1]内部转账!$F:$F,$G3493)),"")</f>
        <v/>
      </c>
      <c r="M3493" s="64"/>
      <c r="N3493" s="69"/>
      <c r="O3493" s="64"/>
      <c r="P3493" s="64"/>
      <c r="Q3493" s="69"/>
      <c r="R3493" s="69"/>
      <c r="S3493" s="69"/>
    </row>
    <row r="3494" s="2" customFormat="1" ht="24.95" customHeight="1" spans="1:19">
      <c r="A3494" s="15"/>
      <c r="B3494" s="55"/>
      <c r="C3494" s="56"/>
      <c r="D3494" s="68"/>
      <c r="E3494" s="69"/>
      <c r="F3494" s="69"/>
      <c r="G3494" s="65"/>
      <c r="H3494" s="65"/>
      <c r="I3494" s="70"/>
      <c r="J3494" s="71"/>
      <c r="K3494" s="71"/>
      <c r="L3494" s="72" t="str">
        <f>IFERROR(IF(G3494="","",VLOOKUP($G3494,[1]基础信息!$B:$C,2,FALSE)+SUMIF(G$8:G3494,G3494,J$8:J3494)-SUMIF(G$8:G3494,G3494,K$8:K3494)+SUMIFS([1]内部转账!$G:$G,[1]内部转账!$C:$C,"&lt;="&amp;$D3494,[1]内部转账!$E:$E,$G3494)-SUMIFS([1]内部转账!$G:$G,[1]内部转账!$C:$C,"&lt;="&amp;$D3494,[1]内部转账!$F:$F,$G3494)),"")</f>
        <v/>
      </c>
      <c r="M3494" s="64"/>
      <c r="N3494" s="69"/>
      <c r="O3494" s="64"/>
      <c r="P3494" s="64"/>
      <c r="Q3494" s="69"/>
      <c r="R3494" s="69"/>
      <c r="S3494" s="69"/>
    </row>
    <row r="3495" s="2" customFormat="1" ht="24.95" customHeight="1" spans="1:19">
      <c r="A3495" s="15"/>
      <c r="B3495" s="55"/>
      <c r="C3495" s="56"/>
      <c r="D3495" s="68"/>
      <c r="E3495" s="69"/>
      <c r="F3495" s="69"/>
      <c r="G3495" s="65"/>
      <c r="H3495" s="65"/>
      <c r="I3495" s="70"/>
      <c r="J3495" s="71"/>
      <c r="K3495" s="71"/>
      <c r="L3495" s="72" t="str">
        <f>IFERROR(IF(G3495="","",VLOOKUP($G3495,[1]基础信息!$B:$C,2,FALSE)+SUMIF(G$8:G3495,G3495,J$8:J3495)-SUMIF(G$8:G3495,G3495,K$8:K3495)+SUMIFS([1]内部转账!$G:$G,[1]内部转账!$C:$C,"&lt;="&amp;$D3495,[1]内部转账!$E:$E,$G3495)-SUMIFS([1]内部转账!$G:$G,[1]内部转账!$C:$C,"&lt;="&amp;$D3495,[1]内部转账!$F:$F,$G3495)),"")</f>
        <v/>
      </c>
      <c r="M3495" s="64"/>
      <c r="N3495" s="69"/>
      <c r="O3495" s="64"/>
      <c r="P3495" s="64"/>
      <c r="Q3495" s="69"/>
      <c r="R3495" s="69"/>
      <c r="S3495" s="69"/>
    </row>
    <row r="3496" s="2" customFormat="1" ht="24.95" customHeight="1" spans="1:19">
      <c r="A3496" s="15"/>
      <c r="B3496" s="55"/>
      <c r="C3496" s="56"/>
      <c r="D3496" s="68"/>
      <c r="E3496" s="69"/>
      <c r="F3496" s="69"/>
      <c r="G3496" s="65"/>
      <c r="H3496" s="65"/>
      <c r="I3496" s="70"/>
      <c r="J3496" s="71"/>
      <c r="K3496" s="71"/>
      <c r="L3496" s="72" t="str">
        <f>IFERROR(IF(G3496="","",VLOOKUP($G3496,[1]基础信息!$B:$C,2,FALSE)+SUMIF(G$8:G3496,G3496,J$8:J3496)-SUMIF(G$8:G3496,G3496,K$8:K3496)+SUMIFS([1]内部转账!$G:$G,[1]内部转账!$C:$C,"&lt;="&amp;$D3496,[1]内部转账!$E:$E,$G3496)-SUMIFS([1]内部转账!$G:$G,[1]内部转账!$C:$C,"&lt;="&amp;$D3496,[1]内部转账!$F:$F,$G3496)),"")</f>
        <v/>
      </c>
      <c r="M3496" s="64"/>
      <c r="N3496" s="69"/>
      <c r="O3496" s="64"/>
      <c r="P3496" s="64"/>
      <c r="Q3496" s="69"/>
      <c r="R3496" s="69"/>
      <c r="S3496" s="69"/>
    </row>
    <row r="3497" s="2" customFormat="1" ht="24.95" customHeight="1" spans="1:19">
      <c r="A3497" s="15"/>
      <c r="B3497" s="55"/>
      <c r="C3497" s="56"/>
      <c r="D3497" s="68"/>
      <c r="E3497" s="69"/>
      <c r="F3497" s="69"/>
      <c r="G3497" s="65"/>
      <c r="H3497" s="65"/>
      <c r="I3497" s="70"/>
      <c r="J3497" s="71"/>
      <c r="K3497" s="71"/>
      <c r="L3497" s="72" t="str">
        <f>IFERROR(IF(G3497="","",VLOOKUP($G3497,[1]基础信息!$B:$C,2,FALSE)+SUMIF(G$8:G3497,G3497,J$8:J3497)-SUMIF(G$8:G3497,G3497,K$8:K3497)+SUMIFS([1]内部转账!$G:$G,[1]内部转账!$C:$C,"&lt;="&amp;$D3497,[1]内部转账!$E:$E,$G3497)-SUMIFS([1]内部转账!$G:$G,[1]内部转账!$C:$C,"&lt;="&amp;$D3497,[1]内部转账!$F:$F,$G3497)),"")</f>
        <v/>
      </c>
      <c r="M3497" s="64"/>
      <c r="N3497" s="69"/>
      <c r="O3497" s="64"/>
      <c r="P3497" s="64"/>
      <c r="Q3497" s="69"/>
      <c r="R3497" s="69"/>
      <c r="S3497" s="69"/>
    </row>
    <row r="3498" s="2" customFormat="1" ht="24.95" customHeight="1" spans="1:19">
      <c r="A3498" s="15"/>
      <c r="B3498" s="55"/>
      <c r="C3498" s="56"/>
      <c r="D3498" s="68"/>
      <c r="E3498" s="69"/>
      <c r="F3498" s="69"/>
      <c r="G3498" s="65"/>
      <c r="H3498" s="65"/>
      <c r="I3498" s="70"/>
      <c r="J3498" s="71"/>
      <c r="K3498" s="71"/>
      <c r="L3498" s="72" t="str">
        <f>IFERROR(IF(G3498="","",VLOOKUP($G3498,[1]基础信息!$B:$C,2,FALSE)+SUMIF(G$8:G3498,G3498,J$8:J3498)-SUMIF(G$8:G3498,G3498,K$8:K3498)+SUMIFS([1]内部转账!$G:$G,[1]内部转账!$C:$C,"&lt;="&amp;$D3498,[1]内部转账!$E:$E,$G3498)-SUMIFS([1]内部转账!$G:$G,[1]内部转账!$C:$C,"&lt;="&amp;$D3498,[1]内部转账!$F:$F,$G3498)),"")</f>
        <v/>
      </c>
      <c r="M3498" s="64"/>
      <c r="N3498" s="69"/>
      <c r="O3498" s="64"/>
      <c r="P3498" s="64"/>
      <c r="Q3498" s="69"/>
      <c r="R3498" s="69"/>
      <c r="S3498" s="69"/>
    </row>
    <row r="3499" s="2" customFormat="1" ht="24.95" customHeight="1" spans="1:19">
      <c r="A3499" s="15"/>
      <c r="B3499" s="55"/>
      <c r="C3499" s="56"/>
      <c r="D3499" s="68"/>
      <c r="E3499" s="69"/>
      <c r="F3499" s="69"/>
      <c r="G3499" s="65"/>
      <c r="H3499" s="65"/>
      <c r="I3499" s="70"/>
      <c r="J3499" s="71"/>
      <c r="K3499" s="71"/>
      <c r="L3499" s="72" t="str">
        <f>IFERROR(IF(G3499="","",VLOOKUP($G3499,[1]基础信息!$B:$C,2,FALSE)+SUMIF(G$8:G3499,G3499,J$8:J3499)-SUMIF(G$8:G3499,G3499,K$8:K3499)+SUMIFS([1]内部转账!$G:$G,[1]内部转账!$C:$C,"&lt;="&amp;$D3499,[1]内部转账!$E:$E,$G3499)-SUMIFS([1]内部转账!$G:$G,[1]内部转账!$C:$C,"&lt;="&amp;$D3499,[1]内部转账!$F:$F,$G3499)),"")</f>
        <v/>
      </c>
      <c r="M3499" s="64"/>
      <c r="N3499" s="69"/>
      <c r="O3499" s="64"/>
      <c r="P3499" s="64"/>
      <c r="Q3499" s="69"/>
      <c r="R3499" s="69"/>
      <c r="S3499" s="69"/>
    </row>
    <row r="3500" s="2" customFormat="1" ht="24.95" customHeight="1" spans="1:19">
      <c r="A3500" s="15"/>
      <c r="B3500" s="55"/>
      <c r="C3500" s="56"/>
      <c r="D3500" s="68"/>
      <c r="E3500" s="69"/>
      <c r="F3500" s="69"/>
      <c r="G3500" s="65"/>
      <c r="H3500" s="65"/>
      <c r="I3500" s="70"/>
      <c r="J3500" s="71"/>
      <c r="K3500" s="71"/>
      <c r="L3500" s="72" t="str">
        <f>IFERROR(IF(G3500="","",VLOOKUP($G3500,[1]基础信息!$B:$C,2,FALSE)+SUMIF(G$8:G3500,G3500,J$8:J3500)-SUMIF(G$8:G3500,G3500,K$8:K3500)+SUMIFS([1]内部转账!$G:$G,[1]内部转账!$C:$C,"&lt;="&amp;$D3500,[1]内部转账!$E:$E,$G3500)-SUMIFS([1]内部转账!$G:$G,[1]内部转账!$C:$C,"&lt;="&amp;$D3500,[1]内部转账!$F:$F,$G3500)),"")</f>
        <v/>
      </c>
      <c r="M3500" s="64"/>
      <c r="N3500" s="69"/>
      <c r="O3500" s="64"/>
      <c r="P3500" s="64"/>
      <c r="Q3500" s="69"/>
      <c r="R3500" s="69"/>
      <c r="S3500" s="69"/>
    </row>
    <row r="3501" s="2" customFormat="1" ht="24.95" customHeight="1" spans="1:19">
      <c r="A3501" s="15"/>
      <c r="B3501" s="55"/>
      <c r="C3501" s="56"/>
      <c r="D3501" s="68"/>
      <c r="E3501" s="69"/>
      <c r="F3501" s="69"/>
      <c r="G3501" s="65"/>
      <c r="H3501" s="65"/>
      <c r="I3501" s="70"/>
      <c r="J3501" s="71"/>
      <c r="K3501" s="71"/>
      <c r="L3501" s="72" t="str">
        <f>IFERROR(IF(G3501="","",VLOOKUP($G3501,[1]基础信息!$B:$C,2,FALSE)+SUMIF(G$8:G3501,G3501,J$8:J3501)-SUMIF(G$8:G3501,G3501,K$8:K3501)+SUMIFS([1]内部转账!$G:$G,[1]内部转账!$C:$C,"&lt;="&amp;$D3501,[1]内部转账!$E:$E,$G3501)-SUMIFS([1]内部转账!$G:$G,[1]内部转账!$C:$C,"&lt;="&amp;$D3501,[1]内部转账!$F:$F,$G3501)),"")</f>
        <v/>
      </c>
      <c r="M3501" s="64"/>
      <c r="N3501" s="69"/>
      <c r="O3501" s="64"/>
      <c r="P3501" s="64"/>
      <c r="Q3501" s="69"/>
      <c r="R3501" s="69"/>
      <c r="S3501" s="69"/>
    </row>
    <row r="3502" s="2" customFormat="1" ht="24.95" customHeight="1" spans="1:19">
      <c r="A3502" s="15"/>
      <c r="B3502" s="55"/>
      <c r="C3502" s="56"/>
      <c r="D3502" s="68"/>
      <c r="E3502" s="69"/>
      <c r="F3502" s="69"/>
      <c r="G3502" s="65"/>
      <c r="H3502" s="65"/>
      <c r="I3502" s="70"/>
      <c r="J3502" s="71"/>
      <c r="K3502" s="71"/>
      <c r="L3502" s="72" t="str">
        <f>IFERROR(IF(G3502="","",VLOOKUP($G3502,[1]基础信息!$B:$C,2,FALSE)+SUMIF(G$8:G3502,G3502,J$8:J3502)-SUMIF(G$8:G3502,G3502,K$8:K3502)+SUMIFS([1]内部转账!$G:$G,[1]内部转账!$C:$C,"&lt;="&amp;$D3502,[1]内部转账!$E:$E,$G3502)-SUMIFS([1]内部转账!$G:$G,[1]内部转账!$C:$C,"&lt;="&amp;$D3502,[1]内部转账!$F:$F,$G3502)),"")</f>
        <v/>
      </c>
      <c r="M3502" s="64"/>
      <c r="N3502" s="69"/>
      <c r="O3502" s="64"/>
      <c r="P3502" s="64"/>
      <c r="Q3502" s="69"/>
      <c r="R3502" s="69"/>
      <c r="S3502" s="69"/>
    </row>
    <row r="3503" s="2" customFormat="1" ht="24.95" customHeight="1" spans="1:19">
      <c r="A3503" s="15"/>
      <c r="B3503" s="55"/>
      <c r="C3503" s="56"/>
      <c r="D3503" s="68"/>
      <c r="E3503" s="69"/>
      <c r="F3503" s="69"/>
      <c r="G3503" s="65"/>
      <c r="H3503" s="65"/>
      <c r="I3503" s="70"/>
      <c r="J3503" s="71"/>
      <c r="K3503" s="71"/>
      <c r="L3503" s="72" t="str">
        <f>IFERROR(IF(G3503="","",VLOOKUP($G3503,[1]基础信息!$B:$C,2,FALSE)+SUMIF(G$8:G3503,G3503,J$8:J3503)-SUMIF(G$8:G3503,G3503,K$8:K3503)+SUMIFS([1]内部转账!$G:$G,[1]内部转账!$C:$C,"&lt;="&amp;$D3503,[1]内部转账!$E:$E,$G3503)-SUMIFS([1]内部转账!$G:$G,[1]内部转账!$C:$C,"&lt;="&amp;$D3503,[1]内部转账!$F:$F,$G3503)),"")</f>
        <v/>
      </c>
      <c r="M3503" s="64"/>
      <c r="N3503" s="69"/>
      <c r="O3503" s="64"/>
      <c r="P3503" s="64"/>
      <c r="Q3503" s="69"/>
      <c r="R3503" s="69"/>
      <c r="S3503" s="69"/>
    </row>
    <row r="3504" s="2" customFormat="1" ht="24.95" customHeight="1" spans="1:19">
      <c r="A3504" s="15"/>
      <c r="B3504" s="55"/>
      <c r="C3504" s="56"/>
      <c r="D3504" s="68"/>
      <c r="E3504" s="69"/>
      <c r="F3504" s="69"/>
      <c r="G3504" s="65"/>
      <c r="H3504" s="65"/>
      <c r="I3504" s="70"/>
      <c r="J3504" s="71"/>
      <c r="K3504" s="71"/>
      <c r="L3504" s="72" t="str">
        <f>IFERROR(IF(G3504="","",VLOOKUP($G3504,[1]基础信息!$B:$C,2,FALSE)+SUMIF(G$8:G3504,G3504,J$8:J3504)-SUMIF(G$8:G3504,G3504,K$8:K3504)+SUMIFS([1]内部转账!$G:$G,[1]内部转账!$C:$C,"&lt;="&amp;$D3504,[1]内部转账!$E:$E,$G3504)-SUMIFS([1]内部转账!$G:$G,[1]内部转账!$C:$C,"&lt;="&amp;$D3504,[1]内部转账!$F:$F,$G3504)),"")</f>
        <v/>
      </c>
      <c r="M3504" s="64"/>
      <c r="N3504" s="69"/>
      <c r="O3504" s="64"/>
      <c r="P3504" s="64"/>
      <c r="Q3504" s="69"/>
      <c r="R3504" s="69"/>
      <c r="S3504" s="69"/>
    </row>
    <row r="3505" s="2" customFormat="1" ht="24.95" customHeight="1" spans="1:19">
      <c r="A3505" s="15"/>
      <c r="B3505" s="55"/>
      <c r="C3505" s="56"/>
      <c r="D3505" s="68"/>
      <c r="E3505" s="69"/>
      <c r="F3505" s="69"/>
      <c r="G3505" s="65"/>
      <c r="H3505" s="65"/>
      <c r="I3505" s="70"/>
      <c r="J3505" s="71"/>
      <c r="K3505" s="71"/>
      <c r="L3505" s="72" t="str">
        <f>IFERROR(IF(G3505="","",VLOOKUP($G3505,[1]基础信息!$B:$C,2,FALSE)+SUMIF(G$8:G3505,G3505,J$8:J3505)-SUMIF(G$8:G3505,G3505,K$8:K3505)+SUMIFS([1]内部转账!$G:$G,[1]内部转账!$C:$C,"&lt;="&amp;$D3505,[1]内部转账!$E:$E,$G3505)-SUMIFS([1]内部转账!$G:$G,[1]内部转账!$C:$C,"&lt;="&amp;$D3505,[1]内部转账!$F:$F,$G3505)),"")</f>
        <v/>
      </c>
      <c r="M3505" s="64"/>
      <c r="N3505" s="69"/>
      <c r="O3505" s="64"/>
      <c r="P3505" s="64"/>
      <c r="Q3505" s="69"/>
      <c r="R3505" s="69"/>
      <c r="S3505" s="69"/>
    </row>
    <row r="3506" s="2" customFormat="1" ht="24.95" customHeight="1" spans="1:19">
      <c r="A3506" s="15"/>
      <c r="B3506" s="55"/>
      <c r="C3506" s="56"/>
      <c r="D3506" s="68"/>
      <c r="E3506" s="69"/>
      <c r="F3506" s="69"/>
      <c r="G3506" s="65"/>
      <c r="H3506" s="65"/>
      <c r="I3506" s="70"/>
      <c r="J3506" s="71"/>
      <c r="K3506" s="71"/>
      <c r="L3506" s="72" t="str">
        <f>IFERROR(IF(G3506="","",VLOOKUP($G3506,[1]基础信息!$B:$C,2,FALSE)+SUMIF(G$8:G3506,G3506,J$8:J3506)-SUMIF(G$8:G3506,G3506,K$8:K3506)+SUMIFS([1]内部转账!$G:$G,[1]内部转账!$C:$C,"&lt;="&amp;$D3506,[1]内部转账!$E:$E,$G3506)-SUMIFS([1]内部转账!$G:$G,[1]内部转账!$C:$C,"&lt;="&amp;$D3506,[1]内部转账!$F:$F,$G3506)),"")</f>
        <v/>
      </c>
      <c r="M3506" s="64"/>
      <c r="N3506" s="69"/>
      <c r="O3506" s="64"/>
      <c r="P3506" s="64"/>
      <c r="Q3506" s="69"/>
      <c r="R3506" s="69"/>
      <c r="S3506" s="69"/>
    </row>
    <row r="3507" s="2" customFormat="1" ht="24.95" customHeight="1" spans="1:19">
      <c r="A3507" s="15"/>
      <c r="B3507" s="55"/>
      <c r="C3507" s="56"/>
      <c r="D3507" s="68"/>
      <c r="E3507" s="69"/>
      <c r="F3507" s="69"/>
      <c r="G3507" s="65"/>
      <c r="H3507" s="65"/>
      <c r="I3507" s="70"/>
      <c r="J3507" s="71"/>
      <c r="K3507" s="71"/>
      <c r="L3507" s="72" t="str">
        <f>IFERROR(IF(G3507="","",VLOOKUP($G3507,[1]基础信息!$B:$C,2,FALSE)+SUMIF(G$8:G3507,G3507,J$8:J3507)-SUMIF(G$8:G3507,G3507,K$8:K3507)+SUMIFS([1]内部转账!$G:$G,[1]内部转账!$C:$C,"&lt;="&amp;$D3507,[1]内部转账!$E:$E,$G3507)-SUMIFS([1]内部转账!$G:$G,[1]内部转账!$C:$C,"&lt;="&amp;$D3507,[1]内部转账!$F:$F,$G3507)),"")</f>
        <v/>
      </c>
      <c r="M3507" s="64"/>
      <c r="N3507" s="69"/>
      <c r="O3507" s="64"/>
      <c r="P3507" s="64"/>
      <c r="Q3507" s="69"/>
      <c r="R3507" s="69"/>
      <c r="S3507" s="69"/>
    </row>
    <row r="3508" s="2" customFormat="1" ht="24.95" customHeight="1" spans="1:19">
      <c r="A3508" s="15"/>
      <c r="B3508" s="55"/>
      <c r="C3508" s="56"/>
      <c r="D3508" s="68"/>
      <c r="E3508" s="69"/>
      <c r="F3508" s="69"/>
      <c r="G3508" s="65"/>
      <c r="H3508" s="65"/>
      <c r="I3508" s="70"/>
      <c r="J3508" s="71"/>
      <c r="K3508" s="71"/>
      <c r="L3508" s="72" t="str">
        <f>IFERROR(IF(G3508="","",VLOOKUP($G3508,[1]基础信息!$B:$C,2,FALSE)+SUMIF(G$8:G3508,G3508,J$8:J3508)-SUMIF(G$8:G3508,G3508,K$8:K3508)+SUMIFS([1]内部转账!$G:$G,[1]内部转账!$C:$C,"&lt;="&amp;$D3508,[1]内部转账!$E:$E,$G3508)-SUMIFS([1]内部转账!$G:$G,[1]内部转账!$C:$C,"&lt;="&amp;$D3508,[1]内部转账!$F:$F,$G3508)),"")</f>
        <v/>
      </c>
      <c r="M3508" s="64"/>
      <c r="N3508" s="69"/>
      <c r="O3508" s="64"/>
      <c r="P3508" s="64"/>
      <c r="Q3508" s="69"/>
      <c r="R3508" s="69"/>
      <c r="S3508" s="69"/>
    </row>
    <row r="3509" s="2" customFormat="1" ht="24.95" customHeight="1" spans="1:19">
      <c r="A3509" s="15"/>
      <c r="B3509" s="55"/>
      <c r="C3509" s="56"/>
      <c r="D3509" s="68"/>
      <c r="E3509" s="69"/>
      <c r="F3509" s="69"/>
      <c r="G3509" s="65"/>
      <c r="H3509" s="65"/>
      <c r="I3509" s="70"/>
      <c r="J3509" s="71"/>
      <c r="K3509" s="71"/>
      <c r="L3509" s="72" t="str">
        <f>IFERROR(IF(G3509="","",VLOOKUP($G3509,[1]基础信息!$B:$C,2,FALSE)+SUMIF(G$8:G3509,G3509,J$8:J3509)-SUMIF(G$8:G3509,G3509,K$8:K3509)+SUMIFS([1]内部转账!$G:$G,[1]内部转账!$C:$C,"&lt;="&amp;$D3509,[1]内部转账!$E:$E,$G3509)-SUMIFS([1]内部转账!$G:$G,[1]内部转账!$C:$C,"&lt;="&amp;$D3509,[1]内部转账!$F:$F,$G3509)),"")</f>
        <v/>
      </c>
      <c r="M3509" s="64"/>
      <c r="N3509" s="69"/>
      <c r="O3509" s="64"/>
      <c r="P3509" s="64"/>
      <c r="Q3509" s="69"/>
      <c r="R3509" s="69"/>
      <c r="S3509" s="69"/>
    </row>
    <row r="3510" s="2" customFormat="1" ht="24.95" customHeight="1" spans="1:19">
      <c r="A3510" s="15"/>
      <c r="B3510" s="55"/>
      <c r="C3510" s="56"/>
      <c r="D3510" s="68"/>
      <c r="E3510" s="69"/>
      <c r="F3510" s="69"/>
      <c r="G3510" s="65"/>
      <c r="H3510" s="65"/>
      <c r="I3510" s="70"/>
      <c r="J3510" s="71"/>
      <c r="K3510" s="71"/>
      <c r="L3510" s="72" t="str">
        <f>IFERROR(IF(G3510="","",VLOOKUP($G3510,[1]基础信息!$B:$C,2,FALSE)+SUMIF(G$8:G3510,G3510,J$8:J3510)-SUMIF(G$8:G3510,G3510,K$8:K3510)+SUMIFS([1]内部转账!$G:$G,[1]内部转账!$C:$C,"&lt;="&amp;$D3510,[1]内部转账!$E:$E,$G3510)-SUMIFS([1]内部转账!$G:$G,[1]内部转账!$C:$C,"&lt;="&amp;$D3510,[1]内部转账!$F:$F,$G3510)),"")</f>
        <v/>
      </c>
      <c r="M3510" s="64"/>
      <c r="N3510" s="69"/>
      <c r="O3510" s="64"/>
      <c r="P3510" s="64"/>
      <c r="Q3510" s="69"/>
      <c r="R3510" s="69"/>
      <c r="S3510" s="69"/>
    </row>
    <row r="3511" s="2" customFormat="1" ht="24.95" customHeight="1" spans="1:19">
      <c r="A3511" s="15"/>
      <c r="B3511" s="55"/>
      <c r="C3511" s="56"/>
      <c r="D3511" s="68"/>
      <c r="E3511" s="69"/>
      <c r="F3511" s="69"/>
      <c r="G3511" s="65"/>
      <c r="H3511" s="65"/>
      <c r="I3511" s="70"/>
      <c r="J3511" s="71"/>
      <c r="K3511" s="71"/>
      <c r="L3511" s="72" t="str">
        <f>IFERROR(IF(G3511="","",VLOOKUP($G3511,[1]基础信息!$B:$C,2,FALSE)+SUMIF(G$8:G3511,G3511,J$8:J3511)-SUMIF(G$8:G3511,G3511,K$8:K3511)+SUMIFS([1]内部转账!$G:$G,[1]内部转账!$C:$C,"&lt;="&amp;$D3511,[1]内部转账!$E:$E,$G3511)-SUMIFS([1]内部转账!$G:$G,[1]内部转账!$C:$C,"&lt;="&amp;$D3511,[1]内部转账!$F:$F,$G3511)),"")</f>
        <v/>
      </c>
      <c r="M3511" s="64"/>
      <c r="N3511" s="69"/>
      <c r="O3511" s="64"/>
      <c r="P3511" s="64"/>
      <c r="Q3511" s="69"/>
      <c r="R3511" s="69"/>
      <c r="S3511" s="69"/>
    </row>
    <row r="3512" s="2" customFormat="1" ht="24.95" customHeight="1" spans="1:19">
      <c r="A3512" s="15"/>
      <c r="B3512" s="55"/>
      <c r="C3512" s="56"/>
      <c r="D3512" s="68"/>
      <c r="E3512" s="69"/>
      <c r="F3512" s="69"/>
      <c r="G3512" s="65"/>
      <c r="H3512" s="65"/>
      <c r="I3512" s="70"/>
      <c r="J3512" s="71"/>
      <c r="K3512" s="71"/>
      <c r="L3512" s="72" t="str">
        <f>IFERROR(IF(G3512="","",VLOOKUP($G3512,[1]基础信息!$B:$C,2,FALSE)+SUMIF(G$8:G3512,G3512,J$8:J3512)-SUMIF(G$8:G3512,G3512,K$8:K3512)+SUMIFS([1]内部转账!$G:$G,[1]内部转账!$C:$C,"&lt;="&amp;$D3512,[1]内部转账!$E:$E,$G3512)-SUMIFS([1]内部转账!$G:$G,[1]内部转账!$C:$C,"&lt;="&amp;$D3512,[1]内部转账!$F:$F,$G3512)),"")</f>
        <v/>
      </c>
      <c r="M3512" s="64"/>
      <c r="N3512" s="69"/>
      <c r="O3512" s="64"/>
      <c r="P3512" s="64"/>
      <c r="Q3512" s="69"/>
      <c r="R3512" s="69"/>
      <c r="S3512" s="69"/>
    </row>
    <row r="3513" s="2" customFormat="1" ht="24.95" customHeight="1" spans="1:19">
      <c r="A3513" s="15"/>
      <c r="B3513" s="55"/>
      <c r="C3513" s="56"/>
      <c r="D3513" s="68"/>
      <c r="E3513" s="69"/>
      <c r="F3513" s="69"/>
      <c r="G3513" s="65"/>
      <c r="H3513" s="65"/>
      <c r="I3513" s="70"/>
      <c r="J3513" s="71"/>
      <c r="K3513" s="71"/>
      <c r="L3513" s="72" t="str">
        <f>IFERROR(IF(G3513="","",VLOOKUP($G3513,[1]基础信息!$B:$C,2,FALSE)+SUMIF(G$8:G3513,G3513,J$8:J3513)-SUMIF(G$8:G3513,G3513,K$8:K3513)+SUMIFS([1]内部转账!$G:$G,[1]内部转账!$C:$C,"&lt;="&amp;$D3513,[1]内部转账!$E:$E,$G3513)-SUMIFS([1]内部转账!$G:$G,[1]内部转账!$C:$C,"&lt;="&amp;$D3513,[1]内部转账!$F:$F,$G3513)),"")</f>
        <v/>
      </c>
      <c r="M3513" s="64"/>
      <c r="N3513" s="69"/>
      <c r="O3513" s="64"/>
      <c r="P3513" s="64"/>
      <c r="Q3513" s="69"/>
      <c r="R3513" s="69"/>
      <c r="S3513" s="69"/>
    </row>
    <row r="3514" s="2" customFormat="1" ht="24.95" customHeight="1" spans="1:19">
      <c r="A3514" s="15"/>
      <c r="B3514" s="55"/>
      <c r="C3514" s="56"/>
      <c r="D3514" s="68"/>
      <c r="E3514" s="69"/>
      <c r="F3514" s="69"/>
      <c r="G3514" s="65"/>
      <c r="H3514" s="65"/>
      <c r="I3514" s="70"/>
      <c r="J3514" s="71"/>
      <c r="K3514" s="71"/>
      <c r="L3514" s="72" t="str">
        <f>IFERROR(IF(G3514="","",VLOOKUP($G3514,[1]基础信息!$B:$C,2,FALSE)+SUMIF(G$8:G3514,G3514,J$8:J3514)-SUMIF(G$8:G3514,G3514,K$8:K3514)+SUMIFS([1]内部转账!$G:$G,[1]内部转账!$C:$C,"&lt;="&amp;$D3514,[1]内部转账!$E:$E,$G3514)-SUMIFS([1]内部转账!$G:$G,[1]内部转账!$C:$C,"&lt;="&amp;$D3514,[1]内部转账!$F:$F,$G3514)),"")</f>
        <v/>
      </c>
      <c r="M3514" s="64"/>
      <c r="N3514" s="69"/>
      <c r="O3514" s="64"/>
      <c r="P3514" s="64"/>
      <c r="Q3514" s="69"/>
      <c r="R3514" s="69"/>
      <c r="S3514" s="69"/>
    </row>
    <row r="3515" s="2" customFormat="1" ht="24.95" customHeight="1" spans="1:19">
      <c r="A3515" s="15"/>
      <c r="B3515" s="55"/>
      <c r="C3515" s="56"/>
      <c r="D3515" s="68"/>
      <c r="E3515" s="69"/>
      <c r="F3515" s="69"/>
      <c r="G3515" s="65"/>
      <c r="H3515" s="65"/>
      <c r="I3515" s="70"/>
      <c r="J3515" s="71"/>
      <c r="K3515" s="71"/>
      <c r="L3515" s="72" t="str">
        <f>IFERROR(IF(G3515="","",VLOOKUP($G3515,[1]基础信息!$B:$C,2,FALSE)+SUMIF(G$8:G3515,G3515,J$8:J3515)-SUMIF(G$8:G3515,G3515,K$8:K3515)+SUMIFS([1]内部转账!$G:$G,[1]内部转账!$C:$C,"&lt;="&amp;$D3515,[1]内部转账!$E:$E,$G3515)-SUMIFS([1]内部转账!$G:$G,[1]内部转账!$C:$C,"&lt;="&amp;$D3515,[1]内部转账!$F:$F,$G3515)),"")</f>
        <v/>
      </c>
      <c r="M3515" s="64"/>
      <c r="N3515" s="69"/>
      <c r="O3515" s="64"/>
      <c r="P3515" s="64"/>
      <c r="Q3515" s="69"/>
      <c r="R3515" s="69"/>
      <c r="S3515" s="69"/>
    </row>
    <row r="3516" s="2" customFormat="1" ht="24.95" customHeight="1" spans="1:19">
      <c r="A3516" s="15"/>
      <c r="B3516" s="55"/>
      <c r="C3516" s="56"/>
      <c r="D3516" s="68"/>
      <c r="E3516" s="69"/>
      <c r="F3516" s="69"/>
      <c r="G3516" s="65"/>
      <c r="H3516" s="65"/>
      <c r="I3516" s="70"/>
      <c r="J3516" s="71"/>
      <c r="K3516" s="71"/>
      <c r="L3516" s="72" t="str">
        <f>IFERROR(IF(G3516="","",VLOOKUP($G3516,[1]基础信息!$B:$C,2,FALSE)+SUMIF(G$8:G3516,G3516,J$8:J3516)-SUMIF(G$8:G3516,G3516,K$8:K3516)+SUMIFS([1]内部转账!$G:$G,[1]内部转账!$C:$C,"&lt;="&amp;$D3516,[1]内部转账!$E:$E,$G3516)-SUMIFS([1]内部转账!$G:$G,[1]内部转账!$C:$C,"&lt;="&amp;$D3516,[1]内部转账!$F:$F,$G3516)),"")</f>
        <v/>
      </c>
      <c r="M3516" s="64"/>
      <c r="N3516" s="69"/>
      <c r="O3516" s="64"/>
      <c r="P3516" s="64"/>
      <c r="Q3516" s="69"/>
      <c r="R3516" s="69"/>
      <c r="S3516" s="69"/>
    </row>
    <row r="3517" s="2" customFormat="1" ht="24.95" customHeight="1" spans="1:19">
      <c r="A3517" s="15"/>
      <c r="B3517" s="55"/>
      <c r="C3517" s="56"/>
      <c r="D3517" s="68"/>
      <c r="E3517" s="69"/>
      <c r="F3517" s="69"/>
      <c r="G3517" s="65"/>
      <c r="H3517" s="65"/>
      <c r="I3517" s="70"/>
      <c r="J3517" s="71"/>
      <c r="K3517" s="71"/>
      <c r="L3517" s="72" t="str">
        <f>IFERROR(IF(G3517="","",VLOOKUP($G3517,[1]基础信息!$B:$C,2,FALSE)+SUMIF(G$8:G3517,G3517,J$8:J3517)-SUMIF(G$8:G3517,G3517,K$8:K3517)+SUMIFS([1]内部转账!$G:$G,[1]内部转账!$C:$C,"&lt;="&amp;$D3517,[1]内部转账!$E:$E,$G3517)-SUMIFS([1]内部转账!$G:$G,[1]内部转账!$C:$C,"&lt;="&amp;$D3517,[1]内部转账!$F:$F,$G3517)),"")</f>
        <v/>
      </c>
      <c r="M3517" s="64"/>
      <c r="N3517" s="69"/>
      <c r="O3517" s="64"/>
      <c r="P3517" s="64"/>
      <c r="Q3517" s="69"/>
      <c r="R3517" s="69"/>
      <c r="S3517" s="69"/>
    </row>
    <row r="3518" s="2" customFormat="1" ht="24.95" customHeight="1" spans="1:19">
      <c r="A3518" s="15"/>
      <c r="B3518" s="55"/>
      <c r="C3518" s="56"/>
      <c r="D3518" s="68"/>
      <c r="E3518" s="69"/>
      <c r="F3518" s="69"/>
      <c r="G3518" s="65"/>
      <c r="H3518" s="65"/>
      <c r="I3518" s="70"/>
      <c r="J3518" s="71"/>
      <c r="K3518" s="71"/>
      <c r="L3518" s="72" t="str">
        <f>IFERROR(IF(G3518="","",VLOOKUP($G3518,[1]基础信息!$B:$C,2,FALSE)+SUMIF(G$8:G3518,G3518,J$8:J3518)-SUMIF(G$8:G3518,G3518,K$8:K3518)+SUMIFS([1]内部转账!$G:$G,[1]内部转账!$C:$C,"&lt;="&amp;$D3518,[1]内部转账!$E:$E,$G3518)-SUMIFS([1]内部转账!$G:$G,[1]内部转账!$C:$C,"&lt;="&amp;$D3518,[1]内部转账!$F:$F,$G3518)),"")</f>
        <v/>
      </c>
      <c r="M3518" s="64"/>
      <c r="N3518" s="69"/>
      <c r="O3518" s="64"/>
      <c r="P3518" s="64"/>
      <c r="Q3518" s="69"/>
      <c r="R3518" s="69"/>
      <c r="S3518" s="69"/>
    </row>
    <row r="3519" s="2" customFormat="1" ht="24.95" customHeight="1" spans="1:19">
      <c r="A3519" s="15"/>
      <c r="B3519" s="55"/>
      <c r="C3519" s="56"/>
      <c r="D3519" s="68"/>
      <c r="E3519" s="69"/>
      <c r="F3519" s="69"/>
      <c r="G3519" s="65"/>
      <c r="H3519" s="65"/>
      <c r="I3519" s="70"/>
      <c r="J3519" s="71"/>
      <c r="K3519" s="71"/>
      <c r="L3519" s="72" t="str">
        <f>IFERROR(IF(G3519="","",VLOOKUP($G3519,[1]基础信息!$B:$C,2,FALSE)+SUMIF(G$8:G3519,G3519,J$8:J3519)-SUMIF(G$8:G3519,G3519,K$8:K3519)+SUMIFS([1]内部转账!$G:$G,[1]内部转账!$C:$C,"&lt;="&amp;$D3519,[1]内部转账!$E:$E,$G3519)-SUMIFS([1]内部转账!$G:$G,[1]内部转账!$C:$C,"&lt;="&amp;$D3519,[1]内部转账!$F:$F,$G3519)),"")</f>
        <v/>
      </c>
      <c r="M3519" s="64"/>
      <c r="N3519" s="69"/>
      <c r="O3519" s="64"/>
      <c r="P3519" s="64"/>
      <c r="Q3519" s="69"/>
      <c r="R3519" s="69"/>
      <c r="S3519" s="69"/>
    </row>
    <row r="3520" s="2" customFormat="1" ht="24.95" customHeight="1" spans="1:19">
      <c r="A3520" s="15"/>
      <c r="B3520" s="55"/>
      <c r="C3520" s="56"/>
      <c r="D3520" s="68"/>
      <c r="E3520" s="69"/>
      <c r="F3520" s="69"/>
      <c r="G3520" s="65"/>
      <c r="H3520" s="65"/>
      <c r="I3520" s="70"/>
      <c r="J3520" s="71"/>
      <c r="K3520" s="71"/>
      <c r="L3520" s="72" t="str">
        <f>IFERROR(IF(G3520="","",VLOOKUP($G3520,[1]基础信息!$B:$C,2,FALSE)+SUMIF(G$8:G3520,G3520,J$8:J3520)-SUMIF(G$8:G3520,G3520,K$8:K3520)+SUMIFS([1]内部转账!$G:$G,[1]内部转账!$C:$C,"&lt;="&amp;$D3520,[1]内部转账!$E:$E,$G3520)-SUMIFS([1]内部转账!$G:$G,[1]内部转账!$C:$C,"&lt;="&amp;$D3520,[1]内部转账!$F:$F,$G3520)),"")</f>
        <v/>
      </c>
      <c r="M3520" s="64"/>
      <c r="N3520" s="69"/>
      <c r="O3520" s="64"/>
      <c r="P3520" s="64"/>
      <c r="Q3520" s="69"/>
      <c r="R3520" s="69"/>
      <c r="S3520" s="69"/>
    </row>
    <row r="3521" s="2" customFormat="1" ht="24.95" customHeight="1" spans="1:19">
      <c r="A3521" s="15"/>
      <c r="B3521" s="55"/>
      <c r="C3521" s="56"/>
      <c r="D3521" s="68"/>
      <c r="E3521" s="69"/>
      <c r="F3521" s="69"/>
      <c r="G3521" s="65"/>
      <c r="H3521" s="65"/>
      <c r="I3521" s="70"/>
      <c r="J3521" s="71"/>
      <c r="K3521" s="71"/>
      <c r="L3521" s="72" t="str">
        <f>IFERROR(IF(G3521="","",VLOOKUP($G3521,[1]基础信息!$B:$C,2,FALSE)+SUMIF(G$8:G3521,G3521,J$8:J3521)-SUMIF(G$8:G3521,G3521,K$8:K3521)+SUMIFS([1]内部转账!$G:$G,[1]内部转账!$C:$C,"&lt;="&amp;$D3521,[1]内部转账!$E:$E,$G3521)-SUMIFS([1]内部转账!$G:$G,[1]内部转账!$C:$C,"&lt;="&amp;$D3521,[1]内部转账!$F:$F,$G3521)),"")</f>
        <v/>
      </c>
      <c r="M3521" s="64"/>
      <c r="N3521" s="69"/>
      <c r="O3521" s="64"/>
      <c r="P3521" s="64"/>
      <c r="Q3521" s="69"/>
      <c r="R3521" s="69"/>
      <c r="S3521" s="69"/>
    </row>
    <row r="3522" s="2" customFormat="1" ht="24.95" customHeight="1" spans="1:19">
      <c r="A3522" s="15"/>
      <c r="B3522" s="55"/>
      <c r="C3522" s="56"/>
      <c r="D3522" s="68"/>
      <c r="E3522" s="69"/>
      <c r="F3522" s="69"/>
      <c r="G3522" s="65"/>
      <c r="H3522" s="65"/>
      <c r="I3522" s="70"/>
      <c r="J3522" s="71"/>
      <c r="K3522" s="71"/>
      <c r="L3522" s="72" t="str">
        <f>IFERROR(IF(G3522="","",VLOOKUP($G3522,[1]基础信息!$B:$C,2,FALSE)+SUMIF(G$8:G3522,G3522,J$8:J3522)-SUMIF(G$8:G3522,G3522,K$8:K3522)+SUMIFS([1]内部转账!$G:$G,[1]内部转账!$C:$C,"&lt;="&amp;$D3522,[1]内部转账!$E:$E,$G3522)-SUMIFS([1]内部转账!$G:$G,[1]内部转账!$C:$C,"&lt;="&amp;$D3522,[1]内部转账!$F:$F,$G3522)),"")</f>
        <v/>
      </c>
      <c r="M3522" s="64"/>
      <c r="N3522" s="69"/>
      <c r="O3522" s="64"/>
      <c r="P3522" s="64"/>
      <c r="Q3522" s="69"/>
      <c r="R3522" s="69"/>
      <c r="S3522" s="69"/>
    </row>
    <row r="3523" s="2" customFormat="1" ht="24.95" customHeight="1" spans="1:19">
      <c r="A3523" s="15"/>
      <c r="B3523" s="55"/>
      <c r="C3523" s="56"/>
      <c r="D3523" s="68"/>
      <c r="E3523" s="69"/>
      <c r="F3523" s="69"/>
      <c r="G3523" s="65"/>
      <c r="H3523" s="65"/>
      <c r="I3523" s="70"/>
      <c r="J3523" s="71"/>
      <c r="K3523" s="71"/>
      <c r="L3523" s="72" t="str">
        <f>IFERROR(IF(G3523="","",VLOOKUP($G3523,[1]基础信息!$B:$C,2,FALSE)+SUMIF(G$8:G3523,G3523,J$8:J3523)-SUMIF(G$8:G3523,G3523,K$8:K3523)+SUMIFS([1]内部转账!$G:$G,[1]内部转账!$C:$C,"&lt;="&amp;$D3523,[1]内部转账!$E:$E,$G3523)-SUMIFS([1]内部转账!$G:$G,[1]内部转账!$C:$C,"&lt;="&amp;$D3523,[1]内部转账!$F:$F,$G3523)),"")</f>
        <v/>
      </c>
      <c r="M3523" s="64"/>
      <c r="N3523" s="69"/>
      <c r="O3523" s="64"/>
      <c r="P3523" s="64"/>
      <c r="Q3523" s="69"/>
      <c r="R3523" s="69"/>
      <c r="S3523" s="69"/>
    </row>
    <row r="3524" s="2" customFormat="1" ht="24.95" customHeight="1" spans="1:19">
      <c r="A3524" s="15"/>
      <c r="B3524" s="55"/>
      <c r="C3524" s="56"/>
      <c r="D3524" s="68"/>
      <c r="E3524" s="69"/>
      <c r="F3524" s="69"/>
      <c r="G3524" s="65"/>
      <c r="H3524" s="65"/>
      <c r="I3524" s="70"/>
      <c r="J3524" s="71"/>
      <c r="K3524" s="71"/>
      <c r="L3524" s="72" t="str">
        <f>IFERROR(IF(G3524="","",VLOOKUP($G3524,[1]基础信息!$B:$C,2,FALSE)+SUMIF(G$8:G3524,G3524,J$8:J3524)-SUMIF(G$8:G3524,G3524,K$8:K3524)+SUMIFS([1]内部转账!$G:$G,[1]内部转账!$C:$C,"&lt;="&amp;$D3524,[1]内部转账!$E:$E,$G3524)-SUMIFS([1]内部转账!$G:$G,[1]内部转账!$C:$C,"&lt;="&amp;$D3524,[1]内部转账!$F:$F,$G3524)),"")</f>
        <v/>
      </c>
      <c r="M3524" s="64"/>
      <c r="N3524" s="69"/>
      <c r="O3524" s="64"/>
      <c r="P3524" s="64"/>
      <c r="Q3524" s="69"/>
      <c r="R3524" s="69"/>
      <c r="S3524" s="69"/>
    </row>
    <row r="3525" s="2" customFormat="1" ht="24.95" customHeight="1" spans="1:19">
      <c r="A3525" s="15"/>
      <c r="B3525" s="55"/>
      <c r="C3525" s="56"/>
      <c r="D3525" s="68"/>
      <c r="E3525" s="69"/>
      <c r="F3525" s="69"/>
      <c r="G3525" s="65"/>
      <c r="H3525" s="65"/>
      <c r="I3525" s="70"/>
      <c r="J3525" s="71"/>
      <c r="K3525" s="71"/>
      <c r="L3525" s="72" t="str">
        <f>IFERROR(IF(G3525="","",VLOOKUP($G3525,[1]基础信息!$B:$C,2,FALSE)+SUMIF(G$8:G3525,G3525,J$8:J3525)-SUMIF(G$8:G3525,G3525,K$8:K3525)+SUMIFS([1]内部转账!$G:$G,[1]内部转账!$C:$C,"&lt;="&amp;$D3525,[1]内部转账!$E:$E,$G3525)-SUMIFS([1]内部转账!$G:$G,[1]内部转账!$C:$C,"&lt;="&amp;$D3525,[1]内部转账!$F:$F,$G3525)),"")</f>
        <v/>
      </c>
      <c r="M3525" s="64"/>
      <c r="N3525" s="69"/>
      <c r="O3525" s="64"/>
      <c r="P3525" s="64"/>
      <c r="Q3525" s="69"/>
      <c r="R3525" s="69"/>
      <c r="S3525" s="69"/>
    </row>
    <row r="3526" s="2" customFormat="1" ht="24.95" customHeight="1" spans="1:19">
      <c r="A3526" s="15"/>
      <c r="B3526" s="55"/>
      <c r="C3526" s="56"/>
      <c r="D3526" s="68"/>
      <c r="E3526" s="69"/>
      <c r="F3526" s="69"/>
      <c r="G3526" s="65"/>
      <c r="H3526" s="65"/>
      <c r="I3526" s="70"/>
      <c r="J3526" s="71"/>
      <c r="K3526" s="71"/>
      <c r="L3526" s="72" t="str">
        <f>IFERROR(IF(G3526="","",VLOOKUP($G3526,[1]基础信息!$B:$C,2,FALSE)+SUMIF(G$8:G3526,G3526,J$8:J3526)-SUMIF(G$8:G3526,G3526,K$8:K3526)+SUMIFS([1]内部转账!$G:$G,[1]内部转账!$C:$C,"&lt;="&amp;$D3526,[1]内部转账!$E:$E,$G3526)-SUMIFS([1]内部转账!$G:$G,[1]内部转账!$C:$C,"&lt;="&amp;$D3526,[1]内部转账!$F:$F,$G3526)),"")</f>
        <v/>
      </c>
      <c r="M3526" s="64"/>
      <c r="N3526" s="69"/>
      <c r="O3526" s="64"/>
      <c r="P3526" s="64"/>
      <c r="Q3526" s="69"/>
      <c r="R3526" s="69"/>
      <c r="S3526" s="69"/>
    </row>
    <row r="3527" s="2" customFormat="1" ht="24.95" customHeight="1" spans="1:19">
      <c r="A3527" s="15"/>
      <c r="B3527" s="55"/>
      <c r="C3527" s="56"/>
      <c r="D3527" s="68"/>
      <c r="E3527" s="69"/>
      <c r="F3527" s="69"/>
      <c r="G3527" s="65"/>
      <c r="H3527" s="65"/>
      <c r="I3527" s="70"/>
      <c r="J3527" s="71"/>
      <c r="K3527" s="71"/>
      <c r="L3527" s="72" t="str">
        <f>IFERROR(IF(G3527="","",VLOOKUP($G3527,[1]基础信息!$B:$C,2,FALSE)+SUMIF(G$8:G3527,G3527,J$8:J3527)-SUMIF(G$8:G3527,G3527,K$8:K3527)+SUMIFS([1]内部转账!$G:$G,[1]内部转账!$C:$C,"&lt;="&amp;$D3527,[1]内部转账!$E:$E,$G3527)-SUMIFS([1]内部转账!$G:$G,[1]内部转账!$C:$C,"&lt;="&amp;$D3527,[1]内部转账!$F:$F,$G3527)),"")</f>
        <v/>
      </c>
      <c r="M3527" s="64"/>
      <c r="N3527" s="69"/>
      <c r="O3527" s="64"/>
      <c r="P3527" s="64"/>
      <c r="Q3527" s="69"/>
      <c r="R3527" s="69"/>
      <c r="S3527" s="69"/>
    </row>
    <row r="3528" s="2" customFormat="1" ht="24.95" customHeight="1" spans="1:19">
      <c r="A3528" s="15"/>
      <c r="B3528" s="55"/>
      <c r="C3528" s="56"/>
      <c r="D3528" s="68"/>
      <c r="E3528" s="69"/>
      <c r="F3528" s="69"/>
      <c r="G3528" s="65"/>
      <c r="H3528" s="65"/>
      <c r="I3528" s="70"/>
      <c r="J3528" s="71"/>
      <c r="K3528" s="71"/>
      <c r="L3528" s="72" t="str">
        <f>IFERROR(IF(G3528="","",VLOOKUP($G3528,[1]基础信息!$B:$C,2,FALSE)+SUMIF(G$8:G3528,G3528,J$8:J3528)-SUMIF(G$8:G3528,G3528,K$8:K3528)+SUMIFS([1]内部转账!$G:$G,[1]内部转账!$C:$C,"&lt;="&amp;$D3528,[1]内部转账!$E:$E,$G3528)-SUMIFS([1]内部转账!$G:$G,[1]内部转账!$C:$C,"&lt;="&amp;$D3528,[1]内部转账!$F:$F,$G3528)),"")</f>
        <v/>
      </c>
      <c r="M3528" s="64"/>
      <c r="N3528" s="69"/>
      <c r="O3528" s="64"/>
      <c r="P3528" s="64"/>
      <c r="Q3528" s="69"/>
      <c r="R3528" s="69"/>
      <c r="S3528" s="69"/>
    </row>
    <row r="3529" s="2" customFormat="1" ht="24.95" customHeight="1" spans="1:19">
      <c r="A3529" s="15"/>
      <c r="B3529" s="55"/>
      <c r="C3529" s="56"/>
      <c r="D3529" s="68"/>
      <c r="E3529" s="69"/>
      <c r="F3529" s="69"/>
      <c r="G3529" s="65"/>
      <c r="H3529" s="65"/>
      <c r="I3529" s="70"/>
      <c r="J3529" s="71"/>
      <c r="K3529" s="71"/>
      <c r="L3529" s="72" t="str">
        <f>IFERROR(IF(G3529="","",VLOOKUP($G3529,[1]基础信息!$B:$C,2,FALSE)+SUMIF(G$8:G3529,G3529,J$8:J3529)-SUMIF(G$8:G3529,G3529,K$8:K3529)+SUMIFS([1]内部转账!$G:$G,[1]内部转账!$C:$C,"&lt;="&amp;$D3529,[1]内部转账!$E:$E,$G3529)-SUMIFS([1]内部转账!$G:$G,[1]内部转账!$C:$C,"&lt;="&amp;$D3529,[1]内部转账!$F:$F,$G3529)),"")</f>
        <v/>
      </c>
      <c r="M3529" s="64"/>
      <c r="N3529" s="69"/>
      <c r="O3529" s="64"/>
      <c r="P3529" s="64"/>
      <c r="Q3529" s="69"/>
      <c r="R3529" s="69"/>
      <c r="S3529" s="69"/>
    </row>
    <row r="3530" s="2" customFormat="1" ht="24.95" customHeight="1" spans="1:19">
      <c r="A3530" s="15"/>
      <c r="B3530" s="55"/>
      <c r="C3530" s="56"/>
      <c r="D3530" s="68"/>
      <c r="E3530" s="69"/>
      <c r="F3530" s="69"/>
      <c r="G3530" s="65"/>
      <c r="H3530" s="65"/>
      <c r="I3530" s="70"/>
      <c r="J3530" s="71"/>
      <c r="K3530" s="71"/>
      <c r="L3530" s="72" t="str">
        <f>IFERROR(IF(G3530="","",VLOOKUP($G3530,[1]基础信息!$B:$C,2,FALSE)+SUMIF(G$8:G3530,G3530,J$8:J3530)-SUMIF(G$8:G3530,G3530,K$8:K3530)+SUMIFS([1]内部转账!$G:$G,[1]内部转账!$C:$C,"&lt;="&amp;$D3530,[1]内部转账!$E:$E,$G3530)-SUMIFS([1]内部转账!$G:$G,[1]内部转账!$C:$C,"&lt;="&amp;$D3530,[1]内部转账!$F:$F,$G3530)),"")</f>
        <v/>
      </c>
      <c r="M3530" s="64"/>
      <c r="N3530" s="69"/>
      <c r="O3530" s="64"/>
      <c r="P3530" s="64"/>
      <c r="Q3530" s="69"/>
      <c r="R3530" s="69"/>
      <c r="S3530" s="69"/>
    </row>
    <row r="3531" s="2" customFormat="1" ht="24.95" customHeight="1" spans="1:19">
      <c r="A3531" s="15"/>
      <c r="B3531" s="55"/>
      <c r="C3531" s="56"/>
      <c r="D3531" s="68"/>
      <c r="E3531" s="69"/>
      <c r="F3531" s="69"/>
      <c r="G3531" s="65"/>
      <c r="H3531" s="65"/>
      <c r="I3531" s="70"/>
      <c r="J3531" s="71"/>
      <c r="K3531" s="71"/>
      <c r="L3531" s="72" t="str">
        <f>IFERROR(IF(G3531="","",VLOOKUP($G3531,[1]基础信息!$B:$C,2,FALSE)+SUMIF(G$8:G3531,G3531,J$8:J3531)-SUMIF(G$8:G3531,G3531,K$8:K3531)+SUMIFS([1]内部转账!$G:$G,[1]内部转账!$C:$C,"&lt;="&amp;$D3531,[1]内部转账!$E:$E,$G3531)-SUMIFS([1]内部转账!$G:$G,[1]内部转账!$C:$C,"&lt;="&amp;$D3531,[1]内部转账!$F:$F,$G3531)),"")</f>
        <v/>
      </c>
      <c r="M3531" s="64"/>
      <c r="N3531" s="69"/>
      <c r="O3531" s="64"/>
      <c r="P3531" s="64"/>
      <c r="Q3531" s="69"/>
      <c r="R3531" s="69"/>
      <c r="S3531" s="69"/>
    </row>
    <row r="3532" s="2" customFormat="1" ht="24.95" customHeight="1" spans="1:19">
      <c r="A3532" s="15"/>
      <c r="B3532" s="55"/>
      <c r="C3532" s="56"/>
      <c r="D3532" s="68"/>
      <c r="E3532" s="69"/>
      <c r="F3532" s="69"/>
      <c r="G3532" s="65"/>
      <c r="H3532" s="65"/>
      <c r="I3532" s="70"/>
      <c r="J3532" s="71"/>
      <c r="K3532" s="71"/>
      <c r="L3532" s="72" t="str">
        <f>IFERROR(IF(G3532="","",VLOOKUP($G3532,[1]基础信息!$B:$C,2,FALSE)+SUMIF(G$8:G3532,G3532,J$8:J3532)-SUMIF(G$8:G3532,G3532,K$8:K3532)+SUMIFS([1]内部转账!$G:$G,[1]内部转账!$C:$C,"&lt;="&amp;$D3532,[1]内部转账!$E:$E,$G3532)-SUMIFS([1]内部转账!$G:$G,[1]内部转账!$C:$C,"&lt;="&amp;$D3532,[1]内部转账!$F:$F,$G3532)),"")</f>
        <v/>
      </c>
      <c r="M3532" s="64"/>
      <c r="N3532" s="69"/>
      <c r="O3532" s="64"/>
      <c r="P3532" s="64"/>
      <c r="Q3532" s="69"/>
      <c r="R3532" s="69"/>
      <c r="S3532" s="69"/>
    </row>
    <row r="3533" s="2" customFormat="1" ht="24.95" customHeight="1" spans="1:19">
      <c r="A3533" s="15"/>
      <c r="B3533" s="55"/>
      <c r="C3533" s="56"/>
      <c r="D3533" s="68"/>
      <c r="E3533" s="69"/>
      <c r="F3533" s="69"/>
      <c r="G3533" s="65"/>
      <c r="H3533" s="65"/>
      <c r="I3533" s="70"/>
      <c r="J3533" s="71"/>
      <c r="K3533" s="71"/>
      <c r="L3533" s="72" t="str">
        <f>IFERROR(IF(G3533="","",VLOOKUP($G3533,[1]基础信息!$B:$C,2,FALSE)+SUMIF(G$8:G3533,G3533,J$8:J3533)-SUMIF(G$8:G3533,G3533,K$8:K3533)+SUMIFS([1]内部转账!$G:$G,[1]内部转账!$C:$C,"&lt;="&amp;$D3533,[1]内部转账!$E:$E,$G3533)-SUMIFS([1]内部转账!$G:$G,[1]内部转账!$C:$C,"&lt;="&amp;$D3533,[1]内部转账!$F:$F,$G3533)),"")</f>
        <v/>
      </c>
      <c r="M3533" s="64"/>
      <c r="N3533" s="69"/>
      <c r="O3533" s="64"/>
      <c r="P3533" s="64"/>
      <c r="Q3533" s="69"/>
      <c r="R3533" s="69"/>
      <c r="S3533" s="69"/>
    </row>
    <row r="3534" s="2" customFormat="1" ht="24.95" customHeight="1" spans="1:19">
      <c r="A3534" s="15"/>
      <c r="B3534" s="55"/>
      <c r="C3534" s="56"/>
      <c r="D3534" s="68"/>
      <c r="E3534" s="69"/>
      <c r="F3534" s="69"/>
      <c r="G3534" s="65"/>
      <c r="H3534" s="65"/>
      <c r="I3534" s="70"/>
      <c r="J3534" s="71"/>
      <c r="K3534" s="71"/>
      <c r="L3534" s="72" t="str">
        <f>IFERROR(IF(G3534="","",VLOOKUP($G3534,[1]基础信息!$B:$C,2,FALSE)+SUMIF(G$8:G3534,G3534,J$8:J3534)-SUMIF(G$8:G3534,G3534,K$8:K3534)+SUMIFS([1]内部转账!$G:$G,[1]内部转账!$C:$C,"&lt;="&amp;$D3534,[1]内部转账!$E:$E,$G3534)-SUMIFS([1]内部转账!$G:$G,[1]内部转账!$C:$C,"&lt;="&amp;$D3534,[1]内部转账!$F:$F,$G3534)),"")</f>
        <v/>
      </c>
      <c r="M3534" s="64"/>
      <c r="N3534" s="69"/>
      <c r="O3534" s="64"/>
      <c r="P3534" s="64"/>
      <c r="Q3534" s="69"/>
      <c r="R3534" s="69"/>
      <c r="S3534" s="69"/>
    </row>
    <row r="3535" s="2" customFormat="1" ht="24.95" customHeight="1" spans="1:19">
      <c r="A3535" s="15"/>
      <c r="B3535" s="55"/>
      <c r="C3535" s="56"/>
      <c r="D3535" s="68"/>
      <c r="E3535" s="69"/>
      <c r="F3535" s="69"/>
      <c r="G3535" s="65"/>
      <c r="H3535" s="65"/>
      <c r="I3535" s="70"/>
      <c r="J3535" s="71"/>
      <c r="K3535" s="71"/>
      <c r="L3535" s="72" t="str">
        <f>IFERROR(IF(G3535="","",VLOOKUP($G3535,[1]基础信息!$B:$C,2,FALSE)+SUMIF(G$8:G3535,G3535,J$8:J3535)-SUMIF(G$8:G3535,G3535,K$8:K3535)+SUMIFS([1]内部转账!$G:$G,[1]内部转账!$C:$C,"&lt;="&amp;$D3535,[1]内部转账!$E:$E,$G3535)-SUMIFS([1]内部转账!$G:$G,[1]内部转账!$C:$C,"&lt;="&amp;$D3535,[1]内部转账!$F:$F,$G3535)),"")</f>
        <v/>
      </c>
      <c r="M3535" s="64"/>
      <c r="N3535" s="69"/>
      <c r="O3535" s="64"/>
      <c r="P3535" s="64"/>
      <c r="Q3535" s="69"/>
      <c r="R3535" s="69"/>
      <c r="S3535" s="69"/>
    </row>
    <row r="3536" s="2" customFormat="1" ht="24.95" customHeight="1" spans="1:19">
      <c r="A3536" s="15"/>
      <c r="B3536" s="55"/>
      <c r="C3536" s="56"/>
      <c r="D3536" s="68"/>
      <c r="E3536" s="69"/>
      <c r="F3536" s="69"/>
      <c r="G3536" s="65"/>
      <c r="H3536" s="65"/>
      <c r="I3536" s="70"/>
      <c r="J3536" s="71"/>
      <c r="K3536" s="71"/>
      <c r="L3536" s="72" t="str">
        <f>IFERROR(IF(G3536="","",VLOOKUP($G3536,[1]基础信息!$B:$C,2,FALSE)+SUMIF(G$8:G3536,G3536,J$8:J3536)-SUMIF(G$8:G3536,G3536,K$8:K3536)+SUMIFS([1]内部转账!$G:$G,[1]内部转账!$C:$C,"&lt;="&amp;$D3536,[1]内部转账!$E:$E,$G3536)-SUMIFS([1]内部转账!$G:$G,[1]内部转账!$C:$C,"&lt;="&amp;$D3536,[1]内部转账!$F:$F,$G3536)),"")</f>
        <v/>
      </c>
      <c r="M3536" s="64"/>
      <c r="N3536" s="69"/>
      <c r="O3536" s="64"/>
      <c r="P3536" s="64"/>
      <c r="Q3536" s="69"/>
      <c r="R3536" s="69"/>
      <c r="S3536" s="69"/>
    </row>
    <row r="3537" s="2" customFormat="1" ht="24.95" customHeight="1" spans="1:19">
      <c r="A3537" s="15"/>
      <c r="B3537" s="55"/>
      <c r="C3537" s="56"/>
      <c r="D3537" s="68"/>
      <c r="E3537" s="69"/>
      <c r="F3537" s="69"/>
      <c r="G3537" s="65"/>
      <c r="H3537" s="65"/>
      <c r="I3537" s="70"/>
      <c r="J3537" s="71"/>
      <c r="K3537" s="71"/>
      <c r="L3537" s="72" t="str">
        <f>IFERROR(IF(G3537="","",VLOOKUP($G3537,[1]基础信息!$B:$C,2,FALSE)+SUMIF(G$8:G3537,G3537,J$8:J3537)-SUMIF(G$8:G3537,G3537,K$8:K3537)+SUMIFS([1]内部转账!$G:$G,[1]内部转账!$C:$C,"&lt;="&amp;$D3537,[1]内部转账!$E:$E,$G3537)-SUMIFS([1]内部转账!$G:$G,[1]内部转账!$C:$C,"&lt;="&amp;$D3537,[1]内部转账!$F:$F,$G3537)),"")</f>
        <v/>
      </c>
      <c r="M3537" s="64"/>
      <c r="N3537" s="69"/>
      <c r="O3537" s="64"/>
      <c r="P3537" s="64"/>
      <c r="Q3537" s="69"/>
      <c r="R3537" s="69"/>
      <c r="S3537" s="69"/>
    </row>
    <row r="3538" s="2" customFormat="1" ht="24.95" customHeight="1" spans="1:19">
      <c r="A3538" s="15"/>
      <c r="B3538" s="55"/>
      <c r="C3538" s="56"/>
      <c r="D3538" s="68"/>
      <c r="E3538" s="69"/>
      <c r="F3538" s="69"/>
      <c r="G3538" s="65"/>
      <c r="H3538" s="65"/>
      <c r="I3538" s="70"/>
      <c r="J3538" s="71"/>
      <c r="K3538" s="71"/>
      <c r="L3538" s="72" t="str">
        <f>IFERROR(IF(G3538="","",VLOOKUP($G3538,[1]基础信息!$B:$C,2,FALSE)+SUMIF(G$8:G3538,G3538,J$8:J3538)-SUMIF(G$8:G3538,G3538,K$8:K3538)+SUMIFS([1]内部转账!$G:$G,[1]内部转账!$C:$C,"&lt;="&amp;$D3538,[1]内部转账!$E:$E,$G3538)-SUMIFS([1]内部转账!$G:$G,[1]内部转账!$C:$C,"&lt;="&amp;$D3538,[1]内部转账!$F:$F,$G3538)),"")</f>
        <v/>
      </c>
      <c r="M3538" s="64"/>
      <c r="N3538" s="69"/>
      <c r="O3538" s="64"/>
      <c r="P3538" s="64"/>
      <c r="Q3538" s="69"/>
      <c r="R3538" s="69"/>
      <c r="S3538" s="69"/>
    </row>
    <row r="3539" s="2" customFormat="1" ht="24.95" customHeight="1" spans="1:19">
      <c r="A3539" s="15"/>
      <c r="B3539" s="55"/>
      <c r="C3539" s="56"/>
      <c r="D3539" s="68"/>
      <c r="E3539" s="69"/>
      <c r="F3539" s="69"/>
      <c r="G3539" s="65"/>
      <c r="H3539" s="65"/>
      <c r="I3539" s="70"/>
      <c r="J3539" s="71"/>
      <c r="K3539" s="71"/>
      <c r="L3539" s="72" t="str">
        <f>IFERROR(IF(G3539="","",VLOOKUP($G3539,[1]基础信息!$B:$C,2,FALSE)+SUMIF(G$8:G3539,G3539,J$8:J3539)-SUMIF(G$8:G3539,G3539,K$8:K3539)+SUMIFS([1]内部转账!$G:$G,[1]内部转账!$C:$C,"&lt;="&amp;$D3539,[1]内部转账!$E:$E,$G3539)-SUMIFS([1]内部转账!$G:$G,[1]内部转账!$C:$C,"&lt;="&amp;$D3539,[1]内部转账!$F:$F,$G3539)),"")</f>
        <v/>
      </c>
      <c r="M3539" s="64"/>
      <c r="N3539" s="69"/>
      <c r="O3539" s="64"/>
      <c r="P3539" s="64"/>
      <c r="Q3539" s="69"/>
      <c r="R3539" s="69"/>
      <c r="S3539" s="69"/>
    </row>
    <row r="3540" s="2" customFormat="1" ht="24.95" customHeight="1" spans="1:19">
      <c r="A3540" s="15"/>
      <c r="B3540" s="55"/>
      <c r="C3540" s="56"/>
      <c r="D3540" s="68"/>
      <c r="E3540" s="69"/>
      <c r="F3540" s="69"/>
      <c r="G3540" s="65"/>
      <c r="H3540" s="65"/>
      <c r="I3540" s="70"/>
      <c r="J3540" s="71"/>
      <c r="K3540" s="71"/>
      <c r="L3540" s="72" t="str">
        <f>IFERROR(IF(G3540="","",VLOOKUP($G3540,[1]基础信息!$B:$C,2,FALSE)+SUMIF(G$8:G3540,G3540,J$8:J3540)-SUMIF(G$8:G3540,G3540,K$8:K3540)+SUMIFS([1]内部转账!$G:$G,[1]内部转账!$C:$C,"&lt;="&amp;$D3540,[1]内部转账!$E:$E,$G3540)-SUMIFS([1]内部转账!$G:$G,[1]内部转账!$C:$C,"&lt;="&amp;$D3540,[1]内部转账!$F:$F,$G3540)),"")</f>
        <v/>
      </c>
      <c r="M3540" s="64"/>
      <c r="N3540" s="69"/>
      <c r="O3540" s="64"/>
      <c r="P3540" s="64"/>
      <c r="Q3540" s="69"/>
      <c r="R3540" s="69"/>
      <c r="S3540" s="69"/>
    </row>
    <row r="3541" s="2" customFormat="1" ht="24.95" customHeight="1" spans="1:19">
      <c r="A3541" s="15"/>
      <c r="B3541" s="55"/>
      <c r="C3541" s="56"/>
      <c r="D3541" s="68"/>
      <c r="E3541" s="69"/>
      <c r="F3541" s="69"/>
      <c r="G3541" s="65"/>
      <c r="H3541" s="65"/>
      <c r="I3541" s="70"/>
      <c r="J3541" s="71"/>
      <c r="K3541" s="71"/>
      <c r="L3541" s="72" t="str">
        <f>IFERROR(IF(G3541="","",VLOOKUP($G3541,[1]基础信息!$B:$C,2,FALSE)+SUMIF(G$8:G3541,G3541,J$8:J3541)-SUMIF(G$8:G3541,G3541,K$8:K3541)+SUMIFS([1]内部转账!$G:$G,[1]内部转账!$C:$C,"&lt;="&amp;$D3541,[1]内部转账!$E:$E,$G3541)-SUMIFS([1]内部转账!$G:$G,[1]内部转账!$C:$C,"&lt;="&amp;$D3541,[1]内部转账!$F:$F,$G3541)),"")</f>
        <v/>
      </c>
      <c r="M3541" s="64"/>
      <c r="N3541" s="69"/>
      <c r="O3541" s="64"/>
      <c r="P3541" s="64"/>
      <c r="Q3541" s="69"/>
      <c r="R3541" s="69"/>
      <c r="S3541" s="69"/>
    </row>
    <row r="3542" s="2" customFormat="1" ht="24.95" customHeight="1" spans="1:19">
      <c r="A3542" s="15"/>
      <c r="B3542" s="55"/>
      <c r="C3542" s="56"/>
      <c r="D3542" s="68"/>
      <c r="E3542" s="69"/>
      <c r="F3542" s="69"/>
      <c r="G3542" s="65"/>
      <c r="H3542" s="65"/>
      <c r="I3542" s="70"/>
      <c r="J3542" s="71"/>
      <c r="K3542" s="71"/>
      <c r="L3542" s="72" t="str">
        <f>IFERROR(IF(G3542="","",VLOOKUP($G3542,[1]基础信息!$B:$C,2,FALSE)+SUMIF(G$8:G3542,G3542,J$8:J3542)-SUMIF(G$8:G3542,G3542,K$8:K3542)+SUMIFS([1]内部转账!$G:$G,[1]内部转账!$C:$C,"&lt;="&amp;$D3542,[1]内部转账!$E:$E,$G3542)-SUMIFS([1]内部转账!$G:$G,[1]内部转账!$C:$C,"&lt;="&amp;$D3542,[1]内部转账!$F:$F,$G3542)),"")</f>
        <v/>
      </c>
      <c r="M3542" s="64"/>
      <c r="N3542" s="69"/>
      <c r="O3542" s="64"/>
      <c r="P3542" s="64"/>
      <c r="Q3542" s="69"/>
      <c r="R3542" s="69"/>
      <c r="S3542" s="69"/>
    </row>
    <row r="3543" s="2" customFormat="1" ht="24.95" customHeight="1" spans="1:19">
      <c r="A3543" s="15"/>
      <c r="B3543" s="55"/>
      <c r="C3543" s="56"/>
      <c r="D3543" s="68"/>
      <c r="E3543" s="69"/>
      <c r="F3543" s="69"/>
      <c r="G3543" s="65"/>
      <c r="H3543" s="65"/>
      <c r="I3543" s="70"/>
      <c r="J3543" s="71"/>
      <c r="K3543" s="71"/>
      <c r="L3543" s="72" t="str">
        <f>IFERROR(IF(G3543="","",VLOOKUP($G3543,[1]基础信息!$B:$C,2,FALSE)+SUMIF(G$8:G3543,G3543,J$8:J3543)-SUMIF(G$8:G3543,G3543,K$8:K3543)+SUMIFS([1]内部转账!$G:$G,[1]内部转账!$C:$C,"&lt;="&amp;$D3543,[1]内部转账!$E:$E,$G3543)-SUMIFS([1]内部转账!$G:$G,[1]内部转账!$C:$C,"&lt;="&amp;$D3543,[1]内部转账!$F:$F,$G3543)),"")</f>
        <v/>
      </c>
      <c r="M3543" s="64"/>
      <c r="N3543" s="69"/>
      <c r="O3543" s="64"/>
      <c r="P3543" s="64"/>
      <c r="Q3543" s="69"/>
      <c r="R3543" s="69"/>
      <c r="S3543" s="69"/>
    </row>
    <row r="3544" s="2" customFormat="1" ht="24.95" customHeight="1" spans="1:19">
      <c r="A3544" s="15"/>
      <c r="B3544" s="55"/>
      <c r="C3544" s="56"/>
      <c r="D3544" s="68"/>
      <c r="E3544" s="69"/>
      <c r="F3544" s="69"/>
      <c r="G3544" s="65"/>
      <c r="H3544" s="65"/>
      <c r="I3544" s="70"/>
      <c r="J3544" s="71"/>
      <c r="K3544" s="71"/>
      <c r="L3544" s="72" t="str">
        <f>IFERROR(IF(G3544="","",VLOOKUP($G3544,[1]基础信息!$B:$C,2,FALSE)+SUMIF(G$8:G3544,G3544,J$8:J3544)-SUMIF(G$8:G3544,G3544,K$8:K3544)+SUMIFS([1]内部转账!$G:$G,[1]内部转账!$C:$C,"&lt;="&amp;$D3544,[1]内部转账!$E:$E,$G3544)-SUMIFS([1]内部转账!$G:$G,[1]内部转账!$C:$C,"&lt;="&amp;$D3544,[1]内部转账!$F:$F,$G3544)),"")</f>
        <v/>
      </c>
      <c r="M3544" s="64"/>
      <c r="N3544" s="69"/>
      <c r="O3544" s="64"/>
      <c r="P3544" s="64"/>
      <c r="Q3544" s="69"/>
      <c r="R3544" s="69"/>
      <c r="S3544" s="69"/>
    </row>
    <row r="3545" s="2" customFormat="1" ht="24.95" customHeight="1" spans="1:19">
      <c r="A3545" s="15"/>
      <c r="B3545" s="55"/>
      <c r="C3545" s="56"/>
      <c r="D3545" s="68"/>
      <c r="E3545" s="69"/>
      <c r="F3545" s="69"/>
      <c r="G3545" s="65"/>
      <c r="H3545" s="65"/>
      <c r="I3545" s="70"/>
      <c r="J3545" s="71"/>
      <c r="K3545" s="71"/>
      <c r="L3545" s="72" t="str">
        <f>IFERROR(IF(G3545="","",VLOOKUP($G3545,[1]基础信息!$B:$C,2,FALSE)+SUMIF(G$8:G3545,G3545,J$8:J3545)-SUMIF(G$8:G3545,G3545,K$8:K3545)+SUMIFS([1]内部转账!$G:$G,[1]内部转账!$C:$C,"&lt;="&amp;$D3545,[1]内部转账!$E:$E,$G3545)-SUMIFS([1]内部转账!$G:$G,[1]内部转账!$C:$C,"&lt;="&amp;$D3545,[1]内部转账!$F:$F,$G3545)),"")</f>
        <v/>
      </c>
      <c r="M3545" s="64"/>
      <c r="N3545" s="69"/>
      <c r="O3545" s="64"/>
      <c r="P3545" s="64"/>
      <c r="Q3545" s="69"/>
      <c r="R3545" s="69"/>
      <c r="S3545" s="69"/>
    </row>
    <row r="3546" s="2" customFormat="1" ht="24.95" customHeight="1" spans="1:19">
      <c r="A3546" s="15"/>
      <c r="B3546" s="55"/>
      <c r="C3546" s="56"/>
      <c r="D3546" s="68"/>
      <c r="E3546" s="69"/>
      <c r="F3546" s="69"/>
      <c r="G3546" s="65"/>
      <c r="H3546" s="65"/>
      <c r="I3546" s="70"/>
      <c r="J3546" s="71"/>
      <c r="K3546" s="71"/>
      <c r="L3546" s="72" t="str">
        <f>IFERROR(IF(G3546="","",VLOOKUP($G3546,[1]基础信息!$B:$C,2,FALSE)+SUMIF(G$8:G3546,G3546,J$8:J3546)-SUMIF(G$8:G3546,G3546,K$8:K3546)+SUMIFS([1]内部转账!$G:$G,[1]内部转账!$C:$C,"&lt;="&amp;$D3546,[1]内部转账!$E:$E,$G3546)-SUMIFS([1]内部转账!$G:$G,[1]内部转账!$C:$C,"&lt;="&amp;$D3546,[1]内部转账!$F:$F,$G3546)),"")</f>
        <v/>
      </c>
      <c r="M3546" s="64"/>
      <c r="N3546" s="69"/>
      <c r="O3546" s="64"/>
      <c r="P3546" s="64"/>
      <c r="Q3546" s="69"/>
      <c r="R3546" s="69"/>
      <c r="S3546" s="69"/>
    </row>
    <row r="3547" s="2" customFormat="1" ht="24.95" customHeight="1" spans="1:19">
      <c r="A3547" s="15"/>
      <c r="B3547" s="55"/>
      <c r="C3547" s="56"/>
      <c r="D3547" s="68"/>
      <c r="E3547" s="69"/>
      <c r="F3547" s="69"/>
      <c r="G3547" s="65"/>
      <c r="H3547" s="65"/>
      <c r="I3547" s="70"/>
      <c r="J3547" s="71"/>
      <c r="K3547" s="71"/>
      <c r="L3547" s="72" t="str">
        <f>IFERROR(IF(G3547="","",VLOOKUP($G3547,[1]基础信息!$B:$C,2,FALSE)+SUMIF(G$8:G3547,G3547,J$8:J3547)-SUMIF(G$8:G3547,G3547,K$8:K3547)+SUMIFS([1]内部转账!$G:$G,[1]内部转账!$C:$C,"&lt;="&amp;$D3547,[1]内部转账!$E:$E,$G3547)-SUMIFS([1]内部转账!$G:$G,[1]内部转账!$C:$C,"&lt;="&amp;$D3547,[1]内部转账!$F:$F,$G3547)),"")</f>
        <v/>
      </c>
      <c r="M3547" s="64"/>
      <c r="N3547" s="69"/>
      <c r="O3547" s="64"/>
      <c r="P3547" s="64"/>
      <c r="Q3547" s="69"/>
      <c r="R3547" s="69"/>
      <c r="S3547" s="69"/>
    </row>
    <row r="3548" s="2" customFormat="1" ht="24.95" customHeight="1" spans="1:19">
      <c r="A3548" s="15"/>
      <c r="B3548" s="55"/>
      <c r="C3548" s="56"/>
      <c r="D3548" s="68"/>
      <c r="E3548" s="69"/>
      <c r="F3548" s="69"/>
      <c r="G3548" s="65"/>
      <c r="H3548" s="65"/>
      <c r="I3548" s="70"/>
      <c r="J3548" s="71"/>
      <c r="K3548" s="71"/>
      <c r="L3548" s="72" t="str">
        <f>IFERROR(IF(G3548="","",VLOOKUP($G3548,[1]基础信息!$B:$C,2,FALSE)+SUMIF(G$8:G3548,G3548,J$8:J3548)-SUMIF(G$8:G3548,G3548,K$8:K3548)+SUMIFS([1]内部转账!$G:$G,[1]内部转账!$C:$C,"&lt;="&amp;$D3548,[1]内部转账!$E:$E,$G3548)-SUMIFS([1]内部转账!$G:$G,[1]内部转账!$C:$C,"&lt;="&amp;$D3548,[1]内部转账!$F:$F,$G3548)),"")</f>
        <v/>
      </c>
      <c r="M3548" s="64"/>
      <c r="N3548" s="69"/>
      <c r="O3548" s="64"/>
      <c r="P3548" s="64"/>
      <c r="Q3548" s="69"/>
      <c r="R3548" s="69"/>
      <c r="S3548" s="69"/>
    </row>
    <row r="3549" s="2" customFormat="1" ht="24.95" customHeight="1" spans="1:19">
      <c r="A3549" s="15"/>
      <c r="B3549" s="55"/>
      <c r="C3549" s="56"/>
      <c r="D3549" s="68"/>
      <c r="E3549" s="69"/>
      <c r="F3549" s="69"/>
      <c r="G3549" s="65"/>
      <c r="H3549" s="65"/>
      <c r="I3549" s="70"/>
      <c r="J3549" s="71"/>
      <c r="K3549" s="71"/>
      <c r="L3549" s="72" t="str">
        <f>IFERROR(IF(G3549="","",VLOOKUP($G3549,[1]基础信息!$B:$C,2,FALSE)+SUMIF(G$8:G3549,G3549,J$8:J3549)-SUMIF(G$8:G3549,G3549,K$8:K3549)+SUMIFS([1]内部转账!$G:$G,[1]内部转账!$C:$C,"&lt;="&amp;$D3549,[1]内部转账!$E:$E,$G3549)-SUMIFS([1]内部转账!$G:$G,[1]内部转账!$C:$C,"&lt;="&amp;$D3549,[1]内部转账!$F:$F,$G3549)),"")</f>
        <v/>
      </c>
      <c r="M3549" s="64"/>
      <c r="N3549" s="69"/>
      <c r="O3549" s="64"/>
      <c r="P3549" s="64"/>
      <c r="Q3549" s="69"/>
      <c r="R3549" s="69"/>
      <c r="S3549" s="69"/>
    </row>
    <row r="3550" s="2" customFormat="1" ht="24.95" customHeight="1" spans="1:19">
      <c r="A3550" s="15"/>
      <c r="B3550" s="55"/>
      <c r="C3550" s="56"/>
      <c r="D3550" s="68"/>
      <c r="E3550" s="69"/>
      <c r="F3550" s="69"/>
      <c r="G3550" s="65"/>
      <c r="H3550" s="65"/>
      <c r="I3550" s="70"/>
      <c r="J3550" s="71"/>
      <c r="K3550" s="71"/>
      <c r="L3550" s="72" t="str">
        <f>IFERROR(IF(G3550="","",VLOOKUP($G3550,[1]基础信息!$B:$C,2,FALSE)+SUMIF(G$8:G3550,G3550,J$8:J3550)-SUMIF(G$8:G3550,G3550,K$8:K3550)+SUMIFS([1]内部转账!$G:$G,[1]内部转账!$C:$C,"&lt;="&amp;$D3550,[1]内部转账!$E:$E,$G3550)-SUMIFS([1]内部转账!$G:$G,[1]内部转账!$C:$C,"&lt;="&amp;$D3550,[1]内部转账!$F:$F,$G3550)),"")</f>
        <v/>
      </c>
      <c r="M3550" s="64"/>
      <c r="N3550" s="69"/>
      <c r="O3550" s="64"/>
      <c r="P3550" s="64"/>
      <c r="Q3550" s="69"/>
      <c r="R3550" s="69"/>
      <c r="S3550" s="69"/>
    </row>
    <row r="3551" s="2" customFormat="1" ht="24.95" customHeight="1" spans="1:19">
      <c r="A3551" s="15"/>
      <c r="B3551" s="55"/>
      <c r="C3551" s="56"/>
      <c r="D3551" s="68"/>
      <c r="E3551" s="69"/>
      <c r="F3551" s="69"/>
      <c r="G3551" s="65"/>
      <c r="H3551" s="65"/>
      <c r="I3551" s="70"/>
      <c r="J3551" s="71"/>
      <c r="K3551" s="71"/>
      <c r="L3551" s="72" t="str">
        <f>IFERROR(IF(G3551="","",VLOOKUP($G3551,[1]基础信息!$B:$C,2,FALSE)+SUMIF(G$8:G3551,G3551,J$8:J3551)-SUMIF(G$8:G3551,G3551,K$8:K3551)+SUMIFS([1]内部转账!$G:$G,[1]内部转账!$C:$C,"&lt;="&amp;$D3551,[1]内部转账!$E:$E,$G3551)-SUMIFS([1]内部转账!$G:$G,[1]内部转账!$C:$C,"&lt;="&amp;$D3551,[1]内部转账!$F:$F,$G3551)),"")</f>
        <v/>
      </c>
      <c r="M3551" s="64"/>
      <c r="N3551" s="69"/>
      <c r="O3551" s="64"/>
      <c r="P3551" s="64"/>
      <c r="Q3551" s="69"/>
      <c r="R3551" s="69"/>
      <c r="S3551" s="69"/>
    </row>
    <row r="3552" s="2" customFormat="1" ht="24.95" customHeight="1" spans="1:19">
      <c r="A3552" s="15"/>
      <c r="B3552" s="55"/>
      <c r="C3552" s="56"/>
      <c r="D3552" s="68"/>
      <c r="E3552" s="69"/>
      <c r="F3552" s="69"/>
      <c r="G3552" s="65"/>
      <c r="H3552" s="65"/>
      <c r="I3552" s="70"/>
      <c r="J3552" s="71"/>
      <c r="K3552" s="71"/>
      <c r="L3552" s="72" t="str">
        <f>IFERROR(IF(G3552="","",VLOOKUP($G3552,[1]基础信息!$B:$C,2,FALSE)+SUMIF(G$8:G3552,G3552,J$8:J3552)-SUMIF(G$8:G3552,G3552,K$8:K3552)+SUMIFS([1]内部转账!$G:$G,[1]内部转账!$C:$C,"&lt;="&amp;$D3552,[1]内部转账!$E:$E,$G3552)-SUMIFS([1]内部转账!$G:$G,[1]内部转账!$C:$C,"&lt;="&amp;$D3552,[1]内部转账!$F:$F,$G3552)),"")</f>
        <v/>
      </c>
      <c r="M3552" s="64"/>
      <c r="N3552" s="69"/>
      <c r="O3552" s="64"/>
      <c r="P3552" s="64"/>
      <c r="Q3552" s="69"/>
      <c r="R3552" s="69"/>
      <c r="S3552" s="69"/>
    </row>
    <row r="3553" s="2" customFormat="1" ht="24.95" customHeight="1" spans="1:19">
      <c r="A3553" s="15"/>
      <c r="B3553" s="55"/>
      <c r="C3553" s="56"/>
      <c r="D3553" s="68"/>
      <c r="E3553" s="69"/>
      <c r="F3553" s="69"/>
      <c r="G3553" s="65"/>
      <c r="H3553" s="65"/>
      <c r="I3553" s="70"/>
      <c r="J3553" s="71"/>
      <c r="K3553" s="71"/>
      <c r="L3553" s="72" t="str">
        <f>IFERROR(IF(G3553="","",VLOOKUP($G3553,[1]基础信息!$B:$C,2,FALSE)+SUMIF(G$8:G3553,G3553,J$8:J3553)-SUMIF(G$8:G3553,G3553,K$8:K3553)+SUMIFS([1]内部转账!$G:$G,[1]内部转账!$C:$C,"&lt;="&amp;$D3553,[1]内部转账!$E:$E,$G3553)-SUMIFS([1]内部转账!$G:$G,[1]内部转账!$C:$C,"&lt;="&amp;$D3553,[1]内部转账!$F:$F,$G3553)),"")</f>
        <v/>
      </c>
      <c r="M3553" s="64"/>
      <c r="N3553" s="69"/>
      <c r="O3553" s="64"/>
      <c r="P3553" s="64"/>
      <c r="Q3553" s="69"/>
      <c r="R3553" s="69"/>
      <c r="S3553" s="69"/>
    </row>
    <row r="3554" s="2" customFormat="1" ht="24.95" customHeight="1" spans="1:19">
      <c r="A3554" s="15"/>
      <c r="B3554" s="55"/>
      <c r="C3554" s="56"/>
      <c r="D3554" s="68"/>
      <c r="E3554" s="69"/>
      <c r="F3554" s="69"/>
      <c r="G3554" s="65"/>
      <c r="H3554" s="65"/>
      <c r="I3554" s="70"/>
      <c r="J3554" s="71"/>
      <c r="K3554" s="71"/>
      <c r="L3554" s="72" t="str">
        <f>IFERROR(IF(G3554="","",VLOOKUP($G3554,[1]基础信息!$B:$C,2,FALSE)+SUMIF(G$8:G3554,G3554,J$8:J3554)-SUMIF(G$8:G3554,G3554,K$8:K3554)+SUMIFS([1]内部转账!$G:$G,[1]内部转账!$C:$C,"&lt;="&amp;$D3554,[1]内部转账!$E:$E,$G3554)-SUMIFS([1]内部转账!$G:$G,[1]内部转账!$C:$C,"&lt;="&amp;$D3554,[1]内部转账!$F:$F,$G3554)),"")</f>
        <v/>
      </c>
      <c r="M3554" s="64"/>
      <c r="N3554" s="69"/>
      <c r="O3554" s="64"/>
      <c r="P3554" s="64"/>
      <c r="Q3554" s="69"/>
      <c r="R3554" s="69"/>
      <c r="S3554" s="69"/>
    </row>
    <row r="3555" s="2" customFormat="1" ht="24.95" customHeight="1" spans="1:19">
      <c r="A3555" s="15"/>
      <c r="B3555" s="55"/>
      <c r="C3555" s="56"/>
      <c r="D3555" s="68"/>
      <c r="E3555" s="69"/>
      <c r="F3555" s="69"/>
      <c r="G3555" s="65"/>
      <c r="H3555" s="65"/>
      <c r="I3555" s="70"/>
      <c r="J3555" s="71"/>
      <c r="K3555" s="71"/>
      <c r="L3555" s="72" t="str">
        <f>IFERROR(IF(G3555="","",VLOOKUP($G3555,[1]基础信息!$B:$C,2,FALSE)+SUMIF(G$8:G3555,G3555,J$8:J3555)-SUMIF(G$8:G3555,G3555,K$8:K3555)+SUMIFS([1]内部转账!$G:$G,[1]内部转账!$C:$C,"&lt;="&amp;$D3555,[1]内部转账!$E:$E,$G3555)-SUMIFS([1]内部转账!$G:$G,[1]内部转账!$C:$C,"&lt;="&amp;$D3555,[1]内部转账!$F:$F,$G3555)),"")</f>
        <v/>
      </c>
      <c r="M3555" s="64"/>
      <c r="N3555" s="69"/>
      <c r="O3555" s="64"/>
      <c r="P3555" s="64"/>
      <c r="Q3555" s="69"/>
      <c r="R3555" s="69"/>
      <c r="S3555" s="69"/>
    </row>
    <row r="3556" s="2" customFormat="1" ht="24.95" customHeight="1" spans="1:19">
      <c r="A3556" s="15"/>
      <c r="B3556" s="55"/>
      <c r="C3556" s="56"/>
      <c r="D3556" s="68"/>
      <c r="E3556" s="69"/>
      <c r="F3556" s="69"/>
      <c r="G3556" s="65"/>
      <c r="H3556" s="65"/>
      <c r="I3556" s="70"/>
      <c r="J3556" s="71"/>
      <c r="K3556" s="71"/>
      <c r="L3556" s="72" t="str">
        <f>IFERROR(IF(G3556="","",VLOOKUP($G3556,[1]基础信息!$B:$C,2,FALSE)+SUMIF(G$8:G3556,G3556,J$8:J3556)-SUMIF(G$8:G3556,G3556,K$8:K3556)+SUMIFS([1]内部转账!$G:$G,[1]内部转账!$C:$C,"&lt;="&amp;$D3556,[1]内部转账!$E:$E,$G3556)-SUMIFS([1]内部转账!$G:$G,[1]内部转账!$C:$C,"&lt;="&amp;$D3556,[1]内部转账!$F:$F,$G3556)),"")</f>
        <v/>
      </c>
      <c r="M3556" s="64"/>
      <c r="N3556" s="69"/>
      <c r="O3556" s="64"/>
      <c r="P3556" s="64"/>
      <c r="Q3556" s="69"/>
      <c r="R3556" s="69"/>
      <c r="S3556" s="69"/>
    </row>
    <row r="3557" s="2" customFormat="1" ht="24.95" customHeight="1" spans="1:19">
      <c r="A3557" s="15"/>
      <c r="B3557" s="55"/>
      <c r="C3557" s="56"/>
      <c r="D3557" s="68"/>
      <c r="E3557" s="69"/>
      <c r="F3557" s="69"/>
      <c r="G3557" s="65"/>
      <c r="H3557" s="65"/>
      <c r="I3557" s="70"/>
      <c r="J3557" s="71"/>
      <c r="K3557" s="71"/>
      <c r="L3557" s="72" t="str">
        <f>IFERROR(IF(G3557="","",VLOOKUP($G3557,[1]基础信息!$B:$C,2,FALSE)+SUMIF(G$8:G3557,G3557,J$8:J3557)-SUMIF(G$8:G3557,G3557,K$8:K3557)+SUMIFS([1]内部转账!$G:$G,[1]内部转账!$C:$C,"&lt;="&amp;$D3557,[1]内部转账!$E:$E,$G3557)-SUMIFS([1]内部转账!$G:$G,[1]内部转账!$C:$C,"&lt;="&amp;$D3557,[1]内部转账!$F:$F,$G3557)),"")</f>
        <v/>
      </c>
      <c r="M3557" s="64"/>
      <c r="N3557" s="69"/>
      <c r="O3557" s="64"/>
      <c r="P3557" s="64"/>
      <c r="Q3557" s="69"/>
      <c r="R3557" s="69"/>
      <c r="S3557" s="69"/>
    </row>
    <row r="3558" s="2" customFormat="1" ht="24.95" customHeight="1" spans="1:19">
      <c r="A3558" s="15"/>
      <c r="B3558" s="55"/>
      <c r="C3558" s="56"/>
      <c r="D3558" s="68"/>
      <c r="E3558" s="69"/>
      <c r="F3558" s="69"/>
      <c r="G3558" s="65"/>
      <c r="H3558" s="65"/>
      <c r="I3558" s="70"/>
      <c r="J3558" s="71"/>
      <c r="K3558" s="71"/>
      <c r="L3558" s="72" t="str">
        <f>IFERROR(IF(G3558="","",VLOOKUP($G3558,[1]基础信息!$B:$C,2,FALSE)+SUMIF(G$8:G3558,G3558,J$8:J3558)-SUMIF(G$8:G3558,G3558,K$8:K3558)+SUMIFS([1]内部转账!$G:$G,[1]内部转账!$C:$C,"&lt;="&amp;$D3558,[1]内部转账!$E:$E,$G3558)-SUMIFS([1]内部转账!$G:$G,[1]内部转账!$C:$C,"&lt;="&amp;$D3558,[1]内部转账!$F:$F,$G3558)),"")</f>
        <v/>
      </c>
      <c r="M3558" s="64"/>
      <c r="N3558" s="69"/>
      <c r="O3558" s="64"/>
      <c r="P3558" s="64"/>
      <c r="Q3558" s="69"/>
      <c r="R3558" s="69"/>
      <c r="S3558" s="69"/>
    </row>
    <row r="3559" s="2" customFormat="1" ht="24.95" customHeight="1" spans="1:19">
      <c r="A3559" s="15"/>
      <c r="B3559" s="55"/>
      <c r="C3559" s="56"/>
      <c r="D3559" s="68"/>
      <c r="E3559" s="69"/>
      <c r="F3559" s="69"/>
      <c r="G3559" s="65"/>
      <c r="H3559" s="65"/>
      <c r="I3559" s="70"/>
      <c r="J3559" s="71"/>
      <c r="K3559" s="71"/>
      <c r="L3559" s="72" t="str">
        <f>IFERROR(IF(G3559="","",VLOOKUP($G3559,[1]基础信息!$B:$C,2,FALSE)+SUMIF(G$8:G3559,G3559,J$8:J3559)-SUMIF(G$8:G3559,G3559,K$8:K3559)+SUMIFS([1]内部转账!$G:$G,[1]内部转账!$C:$C,"&lt;="&amp;$D3559,[1]内部转账!$E:$E,$G3559)-SUMIFS([1]内部转账!$G:$G,[1]内部转账!$C:$C,"&lt;="&amp;$D3559,[1]内部转账!$F:$F,$G3559)),"")</f>
        <v/>
      </c>
      <c r="M3559" s="64"/>
      <c r="N3559" s="69"/>
      <c r="O3559" s="64"/>
      <c r="P3559" s="64"/>
      <c r="Q3559" s="69"/>
      <c r="R3559" s="69"/>
      <c r="S3559" s="69"/>
    </row>
    <row r="3560" s="2" customFormat="1" ht="24.95" customHeight="1" spans="1:19">
      <c r="A3560" s="15"/>
      <c r="B3560" s="55"/>
      <c r="C3560" s="56"/>
      <c r="D3560" s="68"/>
      <c r="E3560" s="69"/>
      <c r="F3560" s="69"/>
      <c r="G3560" s="65"/>
      <c r="H3560" s="65"/>
      <c r="I3560" s="70"/>
      <c r="J3560" s="71"/>
      <c r="K3560" s="71"/>
      <c r="L3560" s="72" t="str">
        <f>IFERROR(IF(G3560="","",VLOOKUP($G3560,[1]基础信息!$B:$C,2,FALSE)+SUMIF(G$8:G3560,G3560,J$8:J3560)-SUMIF(G$8:G3560,G3560,K$8:K3560)+SUMIFS([1]内部转账!$G:$G,[1]内部转账!$C:$C,"&lt;="&amp;$D3560,[1]内部转账!$E:$E,$G3560)-SUMIFS([1]内部转账!$G:$G,[1]内部转账!$C:$C,"&lt;="&amp;$D3560,[1]内部转账!$F:$F,$G3560)),"")</f>
        <v/>
      </c>
      <c r="M3560" s="64"/>
      <c r="N3560" s="69"/>
      <c r="O3560" s="64"/>
      <c r="P3560" s="64"/>
      <c r="Q3560" s="69"/>
      <c r="R3560" s="69"/>
      <c r="S3560" s="69"/>
    </row>
    <row r="3561" s="2" customFormat="1" ht="24.95" customHeight="1" spans="1:19">
      <c r="A3561" s="15"/>
      <c r="B3561" s="55"/>
      <c r="C3561" s="56"/>
      <c r="D3561" s="68"/>
      <c r="E3561" s="69"/>
      <c r="F3561" s="69"/>
      <c r="G3561" s="65"/>
      <c r="H3561" s="65"/>
      <c r="I3561" s="70"/>
      <c r="J3561" s="71"/>
      <c r="K3561" s="71"/>
      <c r="L3561" s="72" t="str">
        <f>IFERROR(IF(G3561="","",VLOOKUP($G3561,[1]基础信息!$B:$C,2,FALSE)+SUMIF(G$8:G3561,G3561,J$8:J3561)-SUMIF(G$8:G3561,G3561,K$8:K3561)+SUMIFS([1]内部转账!$G:$G,[1]内部转账!$C:$C,"&lt;="&amp;$D3561,[1]内部转账!$E:$E,$G3561)-SUMIFS([1]内部转账!$G:$G,[1]内部转账!$C:$C,"&lt;="&amp;$D3561,[1]内部转账!$F:$F,$G3561)),"")</f>
        <v/>
      </c>
      <c r="M3561" s="64"/>
      <c r="N3561" s="69"/>
      <c r="O3561" s="64"/>
      <c r="P3561" s="64"/>
      <c r="Q3561" s="69"/>
      <c r="R3561" s="69"/>
      <c r="S3561" s="69"/>
    </row>
    <row r="3562" s="2" customFormat="1" ht="24.95" customHeight="1" spans="1:19">
      <c r="A3562" s="15"/>
      <c r="B3562" s="55"/>
      <c r="C3562" s="56"/>
      <c r="D3562" s="68"/>
      <c r="E3562" s="69"/>
      <c r="F3562" s="69"/>
      <c r="G3562" s="65"/>
      <c r="H3562" s="65"/>
      <c r="I3562" s="70"/>
      <c r="J3562" s="71"/>
      <c r="K3562" s="71"/>
      <c r="L3562" s="72" t="str">
        <f>IFERROR(IF(G3562="","",VLOOKUP($G3562,[1]基础信息!$B:$C,2,FALSE)+SUMIF(G$8:G3562,G3562,J$8:J3562)-SUMIF(G$8:G3562,G3562,K$8:K3562)+SUMIFS([1]内部转账!$G:$G,[1]内部转账!$C:$C,"&lt;="&amp;$D3562,[1]内部转账!$E:$E,$G3562)-SUMIFS([1]内部转账!$G:$G,[1]内部转账!$C:$C,"&lt;="&amp;$D3562,[1]内部转账!$F:$F,$G3562)),"")</f>
        <v/>
      </c>
      <c r="M3562" s="64"/>
      <c r="N3562" s="69"/>
      <c r="O3562" s="64"/>
      <c r="P3562" s="64"/>
      <c r="Q3562" s="69"/>
      <c r="R3562" s="69"/>
      <c r="S3562" s="69"/>
    </row>
    <row r="3563" s="2" customFormat="1" ht="24.95" customHeight="1" spans="1:19">
      <c r="A3563" s="15"/>
      <c r="B3563" s="55"/>
      <c r="C3563" s="56"/>
      <c r="D3563" s="68"/>
      <c r="E3563" s="69"/>
      <c r="F3563" s="69"/>
      <c r="G3563" s="65"/>
      <c r="H3563" s="65"/>
      <c r="I3563" s="70"/>
      <c r="J3563" s="71"/>
      <c r="K3563" s="71"/>
      <c r="L3563" s="72" t="str">
        <f>IFERROR(IF(G3563="","",VLOOKUP($G3563,[1]基础信息!$B:$C,2,FALSE)+SUMIF(G$8:G3563,G3563,J$8:J3563)-SUMIF(G$8:G3563,G3563,K$8:K3563)+SUMIFS([1]内部转账!$G:$G,[1]内部转账!$C:$C,"&lt;="&amp;$D3563,[1]内部转账!$E:$E,$G3563)-SUMIFS([1]内部转账!$G:$G,[1]内部转账!$C:$C,"&lt;="&amp;$D3563,[1]内部转账!$F:$F,$G3563)),"")</f>
        <v/>
      </c>
      <c r="M3563" s="64"/>
      <c r="N3563" s="69"/>
      <c r="O3563" s="64"/>
      <c r="P3563" s="64"/>
      <c r="Q3563" s="69"/>
      <c r="R3563" s="69"/>
      <c r="S3563" s="69"/>
    </row>
    <row r="3564" s="2" customFormat="1" ht="24.95" customHeight="1" spans="1:19">
      <c r="A3564" s="15"/>
      <c r="B3564" s="55"/>
      <c r="C3564" s="56"/>
      <c r="D3564" s="68"/>
      <c r="E3564" s="69"/>
      <c r="F3564" s="69"/>
      <c r="G3564" s="65"/>
      <c r="H3564" s="65"/>
      <c r="I3564" s="70"/>
      <c r="J3564" s="71"/>
      <c r="K3564" s="71"/>
      <c r="L3564" s="72" t="str">
        <f>IFERROR(IF(G3564="","",VLOOKUP($G3564,[1]基础信息!$B:$C,2,FALSE)+SUMIF(G$8:G3564,G3564,J$8:J3564)-SUMIF(G$8:G3564,G3564,K$8:K3564)+SUMIFS([1]内部转账!$G:$G,[1]内部转账!$C:$C,"&lt;="&amp;$D3564,[1]内部转账!$E:$E,$G3564)-SUMIFS([1]内部转账!$G:$G,[1]内部转账!$C:$C,"&lt;="&amp;$D3564,[1]内部转账!$F:$F,$G3564)),"")</f>
        <v/>
      </c>
      <c r="M3564" s="64"/>
      <c r="N3564" s="69"/>
      <c r="O3564" s="64"/>
      <c r="P3564" s="64"/>
      <c r="Q3564" s="69"/>
      <c r="R3564" s="69"/>
      <c r="S3564" s="69"/>
    </row>
    <row r="3565" s="2" customFormat="1" ht="24.95" customHeight="1" spans="1:19">
      <c r="A3565" s="15"/>
      <c r="B3565" s="55"/>
      <c r="C3565" s="56"/>
      <c r="D3565" s="68"/>
      <c r="E3565" s="69"/>
      <c r="F3565" s="69"/>
      <c r="G3565" s="65"/>
      <c r="H3565" s="65"/>
      <c r="I3565" s="70"/>
      <c r="J3565" s="71"/>
      <c r="K3565" s="71"/>
      <c r="L3565" s="72" t="str">
        <f>IFERROR(IF(G3565="","",VLOOKUP($G3565,[1]基础信息!$B:$C,2,FALSE)+SUMIF(G$8:G3565,G3565,J$8:J3565)-SUMIF(G$8:G3565,G3565,K$8:K3565)+SUMIFS([1]内部转账!$G:$G,[1]内部转账!$C:$C,"&lt;="&amp;$D3565,[1]内部转账!$E:$E,$G3565)-SUMIFS([1]内部转账!$G:$G,[1]内部转账!$C:$C,"&lt;="&amp;$D3565,[1]内部转账!$F:$F,$G3565)),"")</f>
        <v/>
      </c>
      <c r="M3565" s="64"/>
      <c r="N3565" s="69"/>
      <c r="O3565" s="64"/>
      <c r="P3565" s="64"/>
      <c r="Q3565" s="69"/>
      <c r="R3565" s="69"/>
      <c r="S3565" s="69"/>
    </row>
    <row r="3566" s="2" customFormat="1" ht="24.95" customHeight="1" spans="1:19">
      <c r="A3566" s="15"/>
      <c r="B3566" s="55"/>
      <c r="C3566" s="56"/>
      <c r="D3566" s="68"/>
      <c r="E3566" s="69"/>
      <c r="F3566" s="69"/>
      <c r="G3566" s="65"/>
      <c r="H3566" s="65"/>
      <c r="I3566" s="70"/>
      <c r="J3566" s="71"/>
      <c r="K3566" s="71"/>
      <c r="L3566" s="72" t="str">
        <f>IFERROR(IF(G3566="","",VLOOKUP($G3566,[1]基础信息!$B:$C,2,FALSE)+SUMIF(G$8:G3566,G3566,J$8:J3566)-SUMIF(G$8:G3566,G3566,K$8:K3566)+SUMIFS([1]内部转账!$G:$G,[1]内部转账!$C:$C,"&lt;="&amp;$D3566,[1]内部转账!$E:$E,$G3566)-SUMIFS([1]内部转账!$G:$G,[1]内部转账!$C:$C,"&lt;="&amp;$D3566,[1]内部转账!$F:$F,$G3566)),"")</f>
        <v/>
      </c>
      <c r="M3566" s="64"/>
      <c r="N3566" s="69"/>
      <c r="O3566" s="64"/>
      <c r="P3566" s="64"/>
      <c r="Q3566" s="69"/>
      <c r="R3566" s="69"/>
      <c r="S3566" s="69"/>
    </row>
    <row r="3567" s="2" customFormat="1" ht="24.95" customHeight="1" spans="1:19">
      <c r="A3567" s="15"/>
      <c r="B3567" s="55"/>
      <c r="C3567" s="56"/>
      <c r="D3567" s="68"/>
      <c r="E3567" s="69"/>
      <c r="F3567" s="69"/>
      <c r="G3567" s="65"/>
      <c r="H3567" s="65"/>
      <c r="I3567" s="70"/>
      <c r="J3567" s="71"/>
      <c r="K3567" s="71"/>
      <c r="L3567" s="72" t="str">
        <f>IFERROR(IF(G3567="","",VLOOKUP($G3567,[1]基础信息!$B:$C,2,FALSE)+SUMIF(G$8:G3567,G3567,J$8:J3567)-SUMIF(G$8:G3567,G3567,K$8:K3567)+SUMIFS([1]内部转账!$G:$G,[1]内部转账!$C:$C,"&lt;="&amp;$D3567,[1]内部转账!$E:$E,$G3567)-SUMIFS([1]内部转账!$G:$G,[1]内部转账!$C:$C,"&lt;="&amp;$D3567,[1]内部转账!$F:$F,$G3567)),"")</f>
        <v/>
      </c>
      <c r="M3567" s="64"/>
      <c r="N3567" s="69"/>
      <c r="O3567" s="64"/>
      <c r="P3567" s="64"/>
      <c r="Q3567" s="69"/>
      <c r="R3567" s="69"/>
      <c r="S3567" s="69"/>
    </row>
    <row r="3568" s="2" customFormat="1" ht="24.95" customHeight="1" spans="1:19">
      <c r="A3568" s="15"/>
      <c r="B3568" s="55"/>
      <c r="C3568" s="56"/>
      <c r="D3568" s="68"/>
      <c r="E3568" s="69"/>
      <c r="F3568" s="69"/>
      <c r="G3568" s="65"/>
      <c r="H3568" s="65"/>
      <c r="I3568" s="70"/>
      <c r="J3568" s="71"/>
      <c r="K3568" s="71"/>
      <c r="L3568" s="72" t="str">
        <f>IFERROR(IF(G3568="","",VLOOKUP($G3568,[1]基础信息!$B:$C,2,FALSE)+SUMIF(G$8:G3568,G3568,J$8:J3568)-SUMIF(G$8:G3568,G3568,K$8:K3568)+SUMIFS([1]内部转账!$G:$G,[1]内部转账!$C:$C,"&lt;="&amp;$D3568,[1]内部转账!$E:$E,$G3568)-SUMIFS([1]内部转账!$G:$G,[1]内部转账!$C:$C,"&lt;="&amp;$D3568,[1]内部转账!$F:$F,$G3568)),"")</f>
        <v/>
      </c>
      <c r="M3568" s="64"/>
      <c r="N3568" s="69"/>
      <c r="O3568" s="64"/>
      <c r="P3568" s="64"/>
      <c r="Q3568" s="69"/>
      <c r="R3568" s="69"/>
      <c r="S3568" s="69"/>
    </row>
    <row r="3569" s="2" customFormat="1" ht="24.95" customHeight="1" spans="1:19">
      <c r="A3569" s="15"/>
      <c r="B3569" s="55"/>
      <c r="C3569" s="56"/>
      <c r="D3569" s="68"/>
      <c r="E3569" s="69"/>
      <c r="F3569" s="69"/>
      <c r="G3569" s="65"/>
      <c r="H3569" s="65"/>
      <c r="I3569" s="70"/>
      <c r="J3569" s="71"/>
      <c r="K3569" s="71"/>
      <c r="L3569" s="72" t="str">
        <f>IFERROR(IF(G3569="","",VLOOKUP($G3569,[1]基础信息!$B:$C,2,FALSE)+SUMIF(G$8:G3569,G3569,J$8:J3569)-SUMIF(G$8:G3569,G3569,K$8:K3569)+SUMIFS([1]内部转账!$G:$G,[1]内部转账!$C:$C,"&lt;="&amp;$D3569,[1]内部转账!$E:$E,$G3569)-SUMIFS([1]内部转账!$G:$G,[1]内部转账!$C:$C,"&lt;="&amp;$D3569,[1]内部转账!$F:$F,$G3569)),"")</f>
        <v/>
      </c>
      <c r="M3569" s="64"/>
      <c r="N3569" s="69"/>
      <c r="O3569" s="64"/>
      <c r="P3569" s="64"/>
      <c r="Q3569" s="69"/>
      <c r="R3569" s="69"/>
      <c r="S3569" s="69"/>
    </row>
    <row r="3570" s="2" customFormat="1" ht="24.95" customHeight="1" spans="1:19">
      <c r="A3570" s="15"/>
      <c r="B3570" s="55"/>
      <c r="C3570" s="56"/>
      <c r="D3570" s="68"/>
      <c r="E3570" s="69"/>
      <c r="F3570" s="69"/>
      <c r="G3570" s="65"/>
      <c r="H3570" s="65"/>
      <c r="I3570" s="70"/>
      <c r="J3570" s="71"/>
      <c r="K3570" s="71"/>
      <c r="L3570" s="72" t="str">
        <f>IFERROR(IF(G3570="","",VLOOKUP($G3570,[1]基础信息!$B:$C,2,FALSE)+SUMIF(G$8:G3570,G3570,J$8:J3570)-SUMIF(G$8:G3570,G3570,K$8:K3570)+SUMIFS([1]内部转账!$G:$G,[1]内部转账!$C:$C,"&lt;="&amp;$D3570,[1]内部转账!$E:$E,$G3570)-SUMIFS([1]内部转账!$G:$G,[1]内部转账!$C:$C,"&lt;="&amp;$D3570,[1]内部转账!$F:$F,$G3570)),"")</f>
        <v/>
      </c>
      <c r="M3570" s="64"/>
      <c r="N3570" s="69"/>
      <c r="O3570" s="64"/>
      <c r="P3570" s="64"/>
      <c r="Q3570" s="69"/>
      <c r="R3570" s="69"/>
      <c r="S3570" s="69"/>
    </row>
    <row r="3571" s="2" customFormat="1" ht="24.95" customHeight="1" spans="1:19">
      <c r="A3571" s="15"/>
      <c r="B3571" s="55"/>
      <c r="C3571" s="56"/>
      <c r="D3571" s="68"/>
      <c r="E3571" s="69"/>
      <c r="F3571" s="69"/>
      <c r="G3571" s="65"/>
      <c r="H3571" s="65"/>
      <c r="I3571" s="70"/>
      <c r="J3571" s="71"/>
      <c r="K3571" s="71"/>
      <c r="L3571" s="72" t="str">
        <f>IFERROR(IF(G3571="","",VLOOKUP($G3571,[1]基础信息!$B:$C,2,FALSE)+SUMIF(G$8:G3571,G3571,J$8:J3571)-SUMIF(G$8:G3571,G3571,K$8:K3571)+SUMIFS([1]内部转账!$G:$G,[1]内部转账!$C:$C,"&lt;="&amp;$D3571,[1]内部转账!$E:$E,$G3571)-SUMIFS([1]内部转账!$G:$G,[1]内部转账!$C:$C,"&lt;="&amp;$D3571,[1]内部转账!$F:$F,$G3571)),"")</f>
        <v/>
      </c>
      <c r="M3571" s="64"/>
      <c r="N3571" s="69"/>
      <c r="O3571" s="64"/>
      <c r="P3571" s="64"/>
      <c r="Q3571" s="69"/>
      <c r="R3571" s="69"/>
      <c r="S3571" s="69"/>
    </row>
    <row r="3572" s="2" customFormat="1" ht="24.95" customHeight="1" spans="1:19">
      <c r="A3572" s="15"/>
      <c r="B3572" s="55"/>
      <c r="C3572" s="56"/>
      <c r="D3572" s="68"/>
      <c r="E3572" s="69"/>
      <c r="F3572" s="69"/>
      <c r="G3572" s="65"/>
      <c r="H3572" s="65"/>
      <c r="I3572" s="70"/>
      <c r="J3572" s="71"/>
      <c r="K3572" s="71"/>
      <c r="L3572" s="72" t="str">
        <f>IFERROR(IF(G3572="","",VLOOKUP($G3572,[1]基础信息!$B:$C,2,FALSE)+SUMIF(G$8:G3572,G3572,J$8:J3572)-SUMIF(G$8:G3572,G3572,K$8:K3572)+SUMIFS([1]内部转账!$G:$G,[1]内部转账!$C:$C,"&lt;="&amp;$D3572,[1]内部转账!$E:$E,$G3572)-SUMIFS([1]内部转账!$G:$G,[1]内部转账!$C:$C,"&lt;="&amp;$D3572,[1]内部转账!$F:$F,$G3572)),"")</f>
        <v/>
      </c>
      <c r="M3572" s="64"/>
      <c r="N3572" s="69"/>
      <c r="O3572" s="64"/>
      <c r="P3572" s="64"/>
      <c r="Q3572" s="69"/>
      <c r="R3572" s="69"/>
      <c r="S3572" s="69"/>
    </row>
    <row r="3573" s="2" customFormat="1" ht="24.95" customHeight="1" spans="1:19">
      <c r="A3573" s="15"/>
      <c r="B3573" s="55"/>
      <c r="C3573" s="56"/>
      <c r="D3573" s="68"/>
      <c r="E3573" s="69"/>
      <c r="F3573" s="69"/>
      <c r="G3573" s="65"/>
      <c r="H3573" s="65"/>
      <c r="I3573" s="70"/>
      <c r="J3573" s="71"/>
      <c r="K3573" s="71"/>
      <c r="L3573" s="72" t="str">
        <f>IFERROR(IF(G3573="","",VLOOKUP($G3573,[1]基础信息!$B:$C,2,FALSE)+SUMIF(G$8:G3573,G3573,J$8:J3573)-SUMIF(G$8:G3573,G3573,K$8:K3573)+SUMIFS([1]内部转账!$G:$G,[1]内部转账!$C:$C,"&lt;="&amp;$D3573,[1]内部转账!$E:$E,$G3573)-SUMIFS([1]内部转账!$G:$G,[1]内部转账!$C:$C,"&lt;="&amp;$D3573,[1]内部转账!$F:$F,$G3573)),"")</f>
        <v/>
      </c>
      <c r="M3573" s="64"/>
      <c r="N3573" s="69"/>
      <c r="O3573" s="64"/>
      <c r="P3573" s="64"/>
      <c r="Q3573" s="69"/>
      <c r="R3573" s="69"/>
      <c r="S3573" s="69"/>
    </row>
    <row r="3574" s="2" customFormat="1" ht="24.95" customHeight="1" spans="1:19">
      <c r="A3574" s="15"/>
      <c r="B3574" s="55"/>
      <c r="C3574" s="56"/>
      <c r="D3574" s="68"/>
      <c r="E3574" s="69"/>
      <c r="F3574" s="69"/>
      <c r="G3574" s="65"/>
      <c r="H3574" s="65"/>
      <c r="I3574" s="70"/>
      <c r="J3574" s="71"/>
      <c r="K3574" s="71"/>
      <c r="L3574" s="72" t="str">
        <f>IFERROR(IF(G3574="","",VLOOKUP($G3574,[1]基础信息!$B:$C,2,FALSE)+SUMIF(G$8:G3574,G3574,J$8:J3574)-SUMIF(G$8:G3574,G3574,K$8:K3574)+SUMIFS([1]内部转账!$G:$G,[1]内部转账!$C:$C,"&lt;="&amp;$D3574,[1]内部转账!$E:$E,$G3574)-SUMIFS([1]内部转账!$G:$G,[1]内部转账!$C:$C,"&lt;="&amp;$D3574,[1]内部转账!$F:$F,$G3574)),"")</f>
        <v/>
      </c>
      <c r="M3574" s="64"/>
      <c r="N3574" s="69"/>
      <c r="O3574" s="64"/>
      <c r="P3574" s="64"/>
      <c r="Q3574" s="69"/>
      <c r="R3574" s="69"/>
      <c r="S3574" s="69"/>
    </row>
    <row r="3575" s="2" customFormat="1" ht="24.95" customHeight="1" spans="1:19">
      <c r="A3575" s="15"/>
      <c r="B3575" s="55"/>
      <c r="C3575" s="56"/>
      <c r="D3575" s="68"/>
      <c r="E3575" s="69"/>
      <c r="F3575" s="69"/>
      <c r="G3575" s="65"/>
      <c r="H3575" s="65"/>
      <c r="I3575" s="70"/>
      <c r="J3575" s="71"/>
      <c r="K3575" s="71"/>
      <c r="L3575" s="72" t="str">
        <f>IFERROR(IF(G3575="","",VLOOKUP($G3575,[1]基础信息!$B:$C,2,FALSE)+SUMIF(G$8:G3575,G3575,J$8:J3575)-SUMIF(G$8:G3575,G3575,K$8:K3575)+SUMIFS([1]内部转账!$G:$G,[1]内部转账!$C:$C,"&lt;="&amp;$D3575,[1]内部转账!$E:$E,$G3575)-SUMIFS([1]内部转账!$G:$G,[1]内部转账!$C:$C,"&lt;="&amp;$D3575,[1]内部转账!$F:$F,$G3575)),"")</f>
        <v/>
      </c>
      <c r="M3575" s="64"/>
      <c r="N3575" s="69"/>
      <c r="O3575" s="64"/>
      <c r="P3575" s="64"/>
      <c r="Q3575" s="69"/>
      <c r="R3575" s="69"/>
      <c r="S3575" s="69"/>
    </row>
    <row r="3576" s="2" customFormat="1" ht="24.95" customHeight="1" spans="1:19">
      <c r="A3576" s="15"/>
      <c r="B3576" s="55"/>
      <c r="C3576" s="56"/>
      <c r="D3576" s="68"/>
      <c r="E3576" s="69"/>
      <c r="F3576" s="69"/>
      <c r="G3576" s="65"/>
      <c r="H3576" s="65"/>
      <c r="I3576" s="70"/>
      <c r="J3576" s="71"/>
      <c r="K3576" s="71"/>
      <c r="L3576" s="72" t="str">
        <f>IFERROR(IF(G3576="","",VLOOKUP($G3576,[1]基础信息!$B:$C,2,FALSE)+SUMIF(G$8:G3576,G3576,J$8:J3576)-SUMIF(G$8:G3576,G3576,K$8:K3576)+SUMIFS([1]内部转账!$G:$G,[1]内部转账!$C:$C,"&lt;="&amp;$D3576,[1]内部转账!$E:$E,$G3576)-SUMIFS([1]内部转账!$G:$G,[1]内部转账!$C:$C,"&lt;="&amp;$D3576,[1]内部转账!$F:$F,$G3576)),"")</f>
        <v/>
      </c>
      <c r="M3576" s="64"/>
      <c r="N3576" s="69"/>
      <c r="O3576" s="64"/>
      <c r="P3576" s="64"/>
      <c r="Q3576" s="69"/>
      <c r="R3576" s="69"/>
      <c r="S3576" s="69"/>
    </row>
    <row r="3577" s="2" customFormat="1" ht="24.95" customHeight="1" spans="1:19">
      <c r="A3577" s="15"/>
      <c r="B3577" s="55"/>
      <c r="C3577" s="56"/>
      <c r="D3577" s="68"/>
      <c r="E3577" s="69"/>
      <c r="F3577" s="69"/>
      <c r="G3577" s="65"/>
      <c r="H3577" s="65"/>
      <c r="I3577" s="70"/>
      <c r="J3577" s="71"/>
      <c r="K3577" s="71"/>
      <c r="L3577" s="72" t="str">
        <f>IFERROR(IF(G3577="","",VLOOKUP($G3577,[1]基础信息!$B:$C,2,FALSE)+SUMIF(G$8:G3577,G3577,J$8:J3577)-SUMIF(G$8:G3577,G3577,K$8:K3577)+SUMIFS([1]内部转账!$G:$G,[1]内部转账!$C:$C,"&lt;="&amp;$D3577,[1]内部转账!$E:$E,$G3577)-SUMIFS([1]内部转账!$G:$G,[1]内部转账!$C:$C,"&lt;="&amp;$D3577,[1]内部转账!$F:$F,$G3577)),"")</f>
        <v/>
      </c>
      <c r="M3577" s="64"/>
      <c r="N3577" s="69"/>
      <c r="O3577" s="64"/>
      <c r="P3577" s="64"/>
      <c r="Q3577" s="69"/>
      <c r="R3577" s="69"/>
      <c r="S3577" s="69"/>
    </row>
    <row r="3578" s="2" customFormat="1" ht="24.95" customHeight="1" spans="1:19">
      <c r="A3578" s="15"/>
      <c r="B3578" s="55"/>
      <c r="C3578" s="56"/>
      <c r="D3578" s="68"/>
      <c r="E3578" s="69"/>
      <c r="F3578" s="69"/>
      <c r="G3578" s="65"/>
      <c r="H3578" s="65"/>
      <c r="I3578" s="70"/>
      <c r="J3578" s="71"/>
      <c r="K3578" s="71"/>
      <c r="L3578" s="72" t="str">
        <f>IFERROR(IF(G3578="","",VLOOKUP($G3578,[1]基础信息!$B:$C,2,FALSE)+SUMIF(G$8:G3578,G3578,J$8:J3578)-SUMIF(G$8:G3578,G3578,K$8:K3578)+SUMIFS([1]内部转账!$G:$G,[1]内部转账!$C:$C,"&lt;="&amp;$D3578,[1]内部转账!$E:$E,$G3578)-SUMIFS([1]内部转账!$G:$G,[1]内部转账!$C:$C,"&lt;="&amp;$D3578,[1]内部转账!$F:$F,$G3578)),"")</f>
        <v/>
      </c>
      <c r="M3578" s="64"/>
      <c r="N3578" s="69"/>
      <c r="O3578" s="64"/>
      <c r="P3578" s="64"/>
      <c r="Q3578" s="69"/>
      <c r="R3578" s="69"/>
      <c r="S3578" s="69"/>
    </row>
    <row r="3579" s="2" customFormat="1" ht="24.95" customHeight="1" spans="1:19">
      <c r="A3579" s="15"/>
      <c r="B3579" s="55"/>
      <c r="C3579" s="56"/>
      <c r="D3579" s="68"/>
      <c r="E3579" s="69"/>
      <c r="F3579" s="69"/>
      <c r="G3579" s="65"/>
      <c r="H3579" s="65"/>
      <c r="I3579" s="70"/>
      <c r="J3579" s="71"/>
      <c r="K3579" s="71"/>
      <c r="L3579" s="72" t="str">
        <f>IFERROR(IF(G3579="","",VLOOKUP($G3579,[1]基础信息!$B:$C,2,FALSE)+SUMIF(G$8:G3579,G3579,J$8:J3579)-SUMIF(G$8:G3579,G3579,K$8:K3579)+SUMIFS([1]内部转账!$G:$G,[1]内部转账!$C:$C,"&lt;="&amp;$D3579,[1]内部转账!$E:$E,$G3579)-SUMIFS([1]内部转账!$G:$G,[1]内部转账!$C:$C,"&lt;="&amp;$D3579,[1]内部转账!$F:$F,$G3579)),"")</f>
        <v/>
      </c>
      <c r="M3579" s="64"/>
      <c r="N3579" s="69"/>
      <c r="O3579" s="64"/>
      <c r="P3579" s="64"/>
      <c r="Q3579" s="69"/>
      <c r="R3579" s="69"/>
      <c r="S3579" s="69"/>
    </row>
    <row r="3580" s="2" customFormat="1" ht="24.95" customHeight="1" spans="1:19">
      <c r="A3580" s="15"/>
      <c r="B3580" s="55"/>
      <c r="C3580" s="56"/>
      <c r="D3580" s="68"/>
      <c r="E3580" s="69"/>
      <c r="F3580" s="69"/>
      <c r="G3580" s="65"/>
      <c r="H3580" s="65"/>
      <c r="I3580" s="70"/>
      <c r="J3580" s="71"/>
      <c r="K3580" s="71"/>
      <c r="L3580" s="72" t="str">
        <f>IFERROR(IF(G3580="","",VLOOKUP($G3580,[1]基础信息!$B:$C,2,FALSE)+SUMIF(G$8:G3580,G3580,J$8:J3580)-SUMIF(G$8:G3580,G3580,K$8:K3580)+SUMIFS([1]内部转账!$G:$G,[1]内部转账!$C:$C,"&lt;="&amp;$D3580,[1]内部转账!$E:$E,$G3580)-SUMIFS([1]内部转账!$G:$G,[1]内部转账!$C:$C,"&lt;="&amp;$D3580,[1]内部转账!$F:$F,$G3580)),"")</f>
        <v/>
      </c>
      <c r="M3580" s="64"/>
      <c r="N3580" s="69"/>
      <c r="O3580" s="64"/>
      <c r="P3580" s="64"/>
      <c r="Q3580" s="69"/>
      <c r="R3580" s="69"/>
      <c r="S3580" s="69"/>
    </row>
    <row r="3581" s="2" customFormat="1" ht="24.95" customHeight="1" spans="1:19">
      <c r="A3581" s="15"/>
      <c r="B3581" s="55"/>
      <c r="C3581" s="56"/>
      <c r="D3581" s="68"/>
      <c r="E3581" s="69"/>
      <c r="F3581" s="69"/>
      <c r="G3581" s="65"/>
      <c r="H3581" s="65"/>
      <c r="I3581" s="70"/>
      <c r="J3581" s="71"/>
      <c r="K3581" s="71"/>
      <c r="L3581" s="72" t="str">
        <f>IFERROR(IF(G3581="","",VLOOKUP($G3581,[1]基础信息!$B:$C,2,FALSE)+SUMIF(G$8:G3581,G3581,J$8:J3581)-SUMIF(G$8:G3581,G3581,K$8:K3581)+SUMIFS([1]内部转账!$G:$G,[1]内部转账!$C:$C,"&lt;="&amp;$D3581,[1]内部转账!$E:$E,$G3581)-SUMIFS([1]内部转账!$G:$G,[1]内部转账!$C:$C,"&lt;="&amp;$D3581,[1]内部转账!$F:$F,$G3581)),"")</f>
        <v/>
      </c>
      <c r="M3581" s="64"/>
      <c r="N3581" s="69"/>
      <c r="O3581" s="64"/>
      <c r="P3581" s="64"/>
      <c r="Q3581" s="69"/>
      <c r="R3581" s="69"/>
      <c r="S3581" s="69"/>
    </row>
    <row r="3582" s="2" customFormat="1" ht="24.95" customHeight="1" spans="1:19">
      <c r="A3582" s="15"/>
      <c r="B3582" s="55"/>
      <c r="C3582" s="56"/>
      <c r="D3582" s="68"/>
      <c r="E3582" s="69"/>
      <c r="F3582" s="69"/>
      <c r="G3582" s="65"/>
      <c r="H3582" s="65"/>
      <c r="I3582" s="70"/>
      <c r="J3582" s="71"/>
      <c r="K3582" s="71"/>
      <c r="L3582" s="72" t="str">
        <f>IFERROR(IF(G3582="","",VLOOKUP($G3582,[1]基础信息!$B:$C,2,FALSE)+SUMIF(G$8:G3582,G3582,J$8:J3582)-SUMIF(G$8:G3582,G3582,K$8:K3582)+SUMIFS([1]内部转账!$G:$G,[1]内部转账!$C:$C,"&lt;="&amp;$D3582,[1]内部转账!$E:$E,$G3582)-SUMIFS([1]内部转账!$G:$G,[1]内部转账!$C:$C,"&lt;="&amp;$D3582,[1]内部转账!$F:$F,$G3582)),"")</f>
        <v/>
      </c>
      <c r="M3582" s="64"/>
      <c r="N3582" s="69"/>
      <c r="O3582" s="64"/>
      <c r="P3582" s="64"/>
      <c r="Q3582" s="69"/>
      <c r="R3582" s="69"/>
      <c r="S3582" s="69"/>
    </row>
    <row r="3583" s="2" customFormat="1" ht="24.95" customHeight="1" spans="1:19">
      <c r="A3583" s="15"/>
      <c r="B3583" s="55"/>
      <c r="C3583" s="56"/>
      <c r="D3583" s="68"/>
      <c r="E3583" s="69"/>
      <c r="F3583" s="69"/>
      <c r="G3583" s="65"/>
      <c r="H3583" s="65"/>
      <c r="I3583" s="70"/>
      <c r="J3583" s="71"/>
      <c r="K3583" s="71"/>
      <c r="L3583" s="72" t="str">
        <f>IFERROR(IF(G3583="","",VLOOKUP($G3583,[1]基础信息!$B:$C,2,FALSE)+SUMIF(G$8:G3583,G3583,J$8:J3583)-SUMIF(G$8:G3583,G3583,K$8:K3583)+SUMIFS([1]内部转账!$G:$G,[1]内部转账!$C:$C,"&lt;="&amp;$D3583,[1]内部转账!$E:$E,$G3583)-SUMIFS([1]内部转账!$G:$G,[1]内部转账!$C:$C,"&lt;="&amp;$D3583,[1]内部转账!$F:$F,$G3583)),"")</f>
        <v/>
      </c>
      <c r="M3583" s="64"/>
      <c r="N3583" s="69"/>
      <c r="O3583" s="64"/>
      <c r="P3583" s="64"/>
      <c r="Q3583" s="69"/>
      <c r="R3583" s="69"/>
      <c r="S3583" s="69"/>
    </row>
    <row r="3584" s="2" customFormat="1" ht="24.95" customHeight="1" spans="1:19">
      <c r="A3584" s="15"/>
      <c r="B3584" s="55"/>
      <c r="C3584" s="56"/>
      <c r="D3584" s="68"/>
      <c r="E3584" s="69"/>
      <c r="F3584" s="69"/>
      <c r="G3584" s="65"/>
      <c r="H3584" s="65"/>
      <c r="I3584" s="70"/>
      <c r="J3584" s="71"/>
      <c r="K3584" s="71"/>
      <c r="L3584" s="72" t="str">
        <f>IFERROR(IF(G3584="","",VLOOKUP($G3584,[1]基础信息!$B:$C,2,FALSE)+SUMIF(G$8:G3584,G3584,J$8:J3584)-SUMIF(G$8:G3584,G3584,K$8:K3584)+SUMIFS([1]内部转账!$G:$G,[1]内部转账!$C:$C,"&lt;="&amp;$D3584,[1]内部转账!$E:$E,$G3584)-SUMIFS([1]内部转账!$G:$G,[1]内部转账!$C:$C,"&lt;="&amp;$D3584,[1]内部转账!$F:$F,$G3584)),"")</f>
        <v/>
      </c>
      <c r="M3584" s="64"/>
      <c r="N3584" s="69"/>
      <c r="O3584" s="64"/>
      <c r="P3584" s="64"/>
      <c r="Q3584" s="69"/>
      <c r="R3584" s="69"/>
      <c r="S3584" s="69"/>
    </row>
    <row r="3585" s="2" customFormat="1" ht="24.95" customHeight="1" spans="1:19">
      <c r="A3585" s="15"/>
      <c r="B3585" s="55"/>
      <c r="C3585" s="56"/>
      <c r="D3585" s="68"/>
      <c r="E3585" s="69"/>
      <c r="F3585" s="69"/>
      <c r="G3585" s="65"/>
      <c r="H3585" s="65"/>
      <c r="I3585" s="70"/>
      <c r="J3585" s="71"/>
      <c r="K3585" s="71"/>
      <c r="L3585" s="72" t="str">
        <f>IFERROR(IF(G3585="","",VLOOKUP($G3585,[1]基础信息!$B:$C,2,FALSE)+SUMIF(G$8:G3585,G3585,J$8:J3585)-SUMIF(G$8:G3585,G3585,K$8:K3585)+SUMIFS([1]内部转账!$G:$G,[1]内部转账!$C:$C,"&lt;="&amp;$D3585,[1]内部转账!$E:$E,$G3585)-SUMIFS([1]内部转账!$G:$G,[1]内部转账!$C:$C,"&lt;="&amp;$D3585,[1]内部转账!$F:$F,$G3585)),"")</f>
        <v/>
      </c>
      <c r="M3585" s="64"/>
      <c r="N3585" s="69"/>
      <c r="O3585" s="64"/>
      <c r="P3585" s="64"/>
      <c r="Q3585" s="69"/>
      <c r="R3585" s="69"/>
      <c r="S3585" s="69"/>
    </row>
    <row r="3586" s="2" customFormat="1" ht="24.95" customHeight="1" spans="1:19">
      <c r="A3586" s="15"/>
      <c r="B3586" s="55"/>
      <c r="C3586" s="56"/>
      <c r="D3586" s="68"/>
      <c r="E3586" s="69"/>
      <c r="F3586" s="69"/>
      <c r="G3586" s="65"/>
      <c r="H3586" s="65"/>
      <c r="I3586" s="70"/>
      <c r="J3586" s="71"/>
      <c r="K3586" s="71"/>
      <c r="L3586" s="72" t="str">
        <f>IFERROR(IF(G3586="","",VLOOKUP($G3586,[1]基础信息!$B:$C,2,FALSE)+SUMIF(G$8:G3586,G3586,J$8:J3586)-SUMIF(G$8:G3586,G3586,K$8:K3586)+SUMIFS([1]内部转账!$G:$G,[1]内部转账!$C:$C,"&lt;="&amp;$D3586,[1]内部转账!$E:$E,$G3586)-SUMIFS([1]内部转账!$G:$G,[1]内部转账!$C:$C,"&lt;="&amp;$D3586,[1]内部转账!$F:$F,$G3586)),"")</f>
        <v/>
      </c>
      <c r="M3586" s="64"/>
      <c r="N3586" s="69"/>
      <c r="O3586" s="64"/>
      <c r="P3586" s="64"/>
      <c r="Q3586" s="69"/>
      <c r="R3586" s="69"/>
      <c r="S3586" s="69"/>
    </row>
    <row r="3587" s="2" customFormat="1" ht="24.95" customHeight="1" spans="1:19">
      <c r="A3587" s="15"/>
      <c r="B3587" s="55"/>
      <c r="C3587" s="56"/>
      <c r="D3587" s="68"/>
      <c r="E3587" s="69"/>
      <c r="F3587" s="69"/>
      <c r="G3587" s="65"/>
      <c r="H3587" s="65"/>
      <c r="I3587" s="70"/>
      <c r="J3587" s="71"/>
      <c r="K3587" s="71"/>
      <c r="L3587" s="72" t="str">
        <f>IFERROR(IF(G3587="","",VLOOKUP($G3587,[1]基础信息!$B:$C,2,FALSE)+SUMIF(G$8:G3587,G3587,J$8:J3587)-SUMIF(G$8:G3587,G3587,K$8:K3587)+SUMIFS([1]内部转账!$G:$G,[1]内部转账!$C:$C,"&lt;="&amp;$D3587,[1]内部转账!$E:$E,$G3587)-SUMIFS([1]内部转账!$G:$G,[1]内部转账!$C:$C,"&lt;="&amp;$D3587,[1]内部转账!$F:$F,$G3587)),"")</f>
        <v/>
      </c>
      <c r="M3587" s="64"/>
      <c r="N3587" s="69"/>
      <c r="O3587" s="64"/>
      <c r="P3587" s="64"/>
      <c r="Q3587" s="69"/>
      <c r="R3587" s="69"/>
      <c r="S3587" s="69"/>
    </row>
    <row r="3588" s="2" customFormat="1" ht="24.95" customHeight="1" spans="1:19">
      <c r="A3588" s="15"/>
      <c r="B3588" s="55"/>
      <c r="C3588" s="56"/>
      <c r="D3588" s="68"/>
      <c r="E3588" s="69"/>
      <c r="F3588" s="69"/>
      <c r="G3588" s="65"/>
      <c r="H3588" s="65"/>
      <c r="I3588" s="70"/>
      <c r="J3588" s="71"/>
      <c r="K3588" s="71"/>
      <c r="L3588" s="72" t="str">
        <f>IFERROR(IF(G3588="","",VLOOKUP($G3588,[1]基础信息!$B:$C,2,FALSE)+SUMIF(G$8:G3588,G3588,J$8:J3588)-SUMIF(G$8:G3588,G3588,K$8:K3588)+SUMIFS([1]内部转账!$G:$G,[1]内部转账!$C:$C,"&lt;="&amp;$D3588,[1]内部转账!$E:$E,$G3588)-SUMIFS([1]内部转账!$G:$G,[1]内部转账!$C:$C,"&lt;="&amp;$D3588,[1]内部转账!$F:$F,$G3588)),"")</f>
        <v/>
      </c>
      <c r="M3588" s="64"/>
      <c r="N3588" s="69"/>
      <c r="O3588" s="64"/>
      <c r="P3588" s="64"/>
      <c r="Q3588" s="69"/>
      <c r="R3588" s="69"/>
      <c r="S3588" s="69"/>
    </row>
    <row r="3589" s="2" customFormat="1" ht="24.95" customHeight="1" spans="1:19">
      <c r="A3589" s="15"/>
      <c r="B3589" s="55"/>
      <c r="C3589" s="56"/>
      <c r="D3589" s="68"/>
      <c r="E3589" s="69"/>
      <c r="F3589" s="69"/>
      <c r="G3589" s="65"/>
      <c r="H3589" s="65"/>
      <c r="I3589" s="70"/>
      <c r="J3589" s="71"/>
      <c r="K3589" s="71"/>
      <c r="L3589" s="72" t="str">
        <f>IFERROR(IF(G3589="","",VLOOKUP($G3589,[1]基础信息!$B:$C,2,FALSE)+SUMIF(G$8:G3589,G3589,J$8:J3589)-SUMIF(G$8:G3589,G3589,K$8:K3589)+SUMIFS([1]内部转账!$G:$G,[1]内部转账!$C:$C,"&lt;="&amp;$D3589,[1]内部转账!$E:$E,$G3589)-SUMIFS([1]内部转账!$G:$G,[1]内部转账!$C:$C,"&lt;="&amp;$D3589,[1]内部转账!$F:$F,$G3589)),"")</f>
        <v/>
      </c>
      <c r="M3589" s="64"/>
      <c r="N3589" s="69"/>
      <c r="O3589" s="64"/>
      <c r="P3589" s="64"/>
      <c r="Q3589" s="69"/>
      <c r="R3589" s="69"/>
      <c r="S3589" s="69"/>
    </row>
    <row r="3590" s="2" customFormat="1" ht="24.95" customHeight="1" spans="1:19">
      <c r="A3590" s="15"/>
      <c r="B3590" s="55"/>
      <c r="C3590" s="56"/>
      <c r="D3590" s="68"/>
      <c r="E3590" s="69"/>
      <c r="F3590" s="69"/>
      <c r="G3590" s="65"/>
      <c r="H3590" s="65"/>
      <c r="I3590" s="70"/>
      <c r="J3590" s="71"/>
      <c r="K3590" s="71"/>
      <c r="L3590" s="72" t="str">
        <f>IFERROR(IF(G3590="","",VLOOKUP($G3590,[1]基础信息!$B:$C,2,FALSE)+SUMIF(G$8:G3590,G3590,J$8:J3590)-SUMIF(G$8:G3590,G3590,K$8:K3590)+SUMIFS([1]内部转账!$G:$G,[1]内部转账!$C:$C,"&lt;="&amp;$D3590,[1]内部转账!$E:$E,$G3590)-SUMIFS([1]内部转账!$G:$G,[1]内部转账!$C:$C,"&lt;="&amp;$D3590,[1]内部转账!$F:$F,$G3590)),"")</f>
        <v/>
      </c>
      <c r="M3590" s="64"/>
      <c r="N3590" s="69"/>
      <c r="O3590" s="64"/>
      <c r="P3590" s="64"/>
      <c r="Q3590" s="69"/>
      <c r="R3590" s="69"/>
      <c r="S3590" s="69"/>
    </row>
    <row r="3591" s="2" customFormat="1" ht="24.95" customHeight="1" spans="1:19">
      <c r="A3591" s="15"/>
      <c r="B3591" s="55"/>
      <c r="C3591" s="56"/>
      <c r="D3591" s="68"/>
      <c r="E3591" s="69"/>
      <c r="F3591" s="69"/>
      <c r="G3591" s="65"/>
      <c r="H3591" s="65"/>
      <c r="I3591" s="70"/>
      <c r="J3591" s="71"/>
      <c r="K3591" s="71"/>
      <c r="L3591" s="72" t="str">
        <f>IFERROR(IF(G3591="","",VLOOKUP($G3591,[1]基础信息!$B:$C,2,FALSE)+SUMIF(G$8:G3591,G3591,J$8:J3591)-SUMIF(G$8:G3591,G3591,K$8:K3591)+SUMIFS([1]内部转账!$G:$G,[1]内部转账!$C:$C,"&lt;="&amp;$D3591,[1]内部转账!$E:$E,$G3591)-SUMIFS([1]内部转账!$G:$G,[1]内部转账!$C:$C,"&lt;="&amp;$D3591,[1]内部转账!$F:$F,$G3591)),"")</f>
        <v/>
      </c>
      <c r="M3591" s="64"/>
      <c r="N3591" s="69"/>
      <c r="O3591" s="64"/>
      <c r="P3591" s="64"/>
      <c r="Q3591" s="69"/>
      <c r="R3591" s="69"/>
      <c r="S3591" s="69"/>
    </row>
    <row r="3592" s="2" customFormat="1" ht="24.95" customHeight="1" spans="1:19">
      <c r="A3592" s="15"/>
      <c r="B3592" s="55"/>
      <c r="C3592" s="56"/>
      <c r="D3592" s="68"/>
      <c r="E3592" s="69"/>
      <c r="F3592" s="69"/>
      <c r="G3592" s="65"/>
      <c r="H3592" s="65"/>
      <c r="I3592" s="70"/>
      <c r="J3592" s="71"/>
      <c r="K3592" s="71"/>
      <c r="L3592" s="72" t="str">
        <f>IFERROR(IF(G3592="","",VLOOKUP($G3592,[1]基础信息!$B:$C,2,FALSE)+SUMIF(G$8:G3592,G3592,J$8:J3592)-SUMIF(G$8:G3592,G3592,K$8:K3592)+SUMIFS([1]内部转账!$G:$G,[1]内部转账!$C:$C,"&lt;="&amp;$D3592,[1]内部转账!$E:$E,$G3592)-SUMIFS([1]内部转账!$G:$G,[1]内部转账!$C:$C,"&lt;="&amp;$D3592,[1]内部转账!$F:$F,$G3592)),"")</f>
        <v/>
      </c>
      <c r="M3592" s="64"/>
      <c r="N3592" s="69"/>
      <c r="O3592" s="64"/>
      <c r="P3592" s="64"/>
      <c r="Q3592" s="69"/>
      <c r="R3592" s="69"/>
      <c r="S3592" s="69"/>
    </row>
    <row r="3593" s="2" customFormat="1" ht="24.95" customHeight="1" spans="1:19">
      <c r="A3593" s="15"/>
      <c r="B3593" s="55"/>
      <c r="C3593" s="56"/>
      <c r="D3593" s="68"/>
      <c r="E3593" s="69"/>
      <c r="F3593" s="69"/>
      <c r="G3593" s="65"/>
      <c r="H3593" s="65"/>
      <c r="I3593" s="70"/>
      <c r="J3593" s="71"/>
      <c r="K3593" s="71"/>
      <c r="L3593" s="72" t="str">
        <f>IFERROR(IF(G3593="","",VLOOKUP($G3593,[1]基础信息!$B:$C,2,FALSE)+SUMIF(G$8:G3593,G3593,J$8:J3593)-SUMIF(G$8:G3593,G3593,K$8:K3593)+SUMIFS([1]内部转账!$G:$G,[1]内部转账!$C:$C,"&lt;="&amp;$D3593,[1]内部转账!$E:$E,$G3593)-SUMIFS([1]内部转账!$G:$G,[1]内部转账!$C:$C,"&lt;="&amp;$D3593,[1]内部转账!$F:$F,$G3593)),"")</f>
        <v/>
      </c>
      <c r="M3593" s="64"/>
      <c r="N3593" s="69"/>
      <c r="O3593" s="64"/>
      <c r="P3593" s="64"/>
      <c r="Q3593" s="69"/>
      <c r="R3593" s="69"/>
      <c r="S3593" s="69"/>
    </row>
    <row r="3594" s="2" customFormat="1" ht="24.95" customHeight="1" spans="1:19">
      <c r="A3594" s="15"/>
      <c r="B3594" s="55"/>
      <c r="C3594" s="56"/>
      <c r="D3594" s="68"/>
      <c r="E3594" s="69"/>
      <c r="F3594" s="69"/>
      <c r="G3594" s="65"/>
      <c r="H3594" s="65"/>
      <c r="I3594" s="70"/>
      <c r="J3594" s="71"/>
      <c r="K3594" s="71"/>
      <c r="L3594" s="72" t="str">
        <f>IFERROR(IF(G3594="","",VLOOKUP($G3594,[1]基础信息!$B:$C,2,FALSE)+SUMIF(G$8:G3594,G3594,J$8:J3594)-SUMIF(G$8:G3594,G3594,K$8:K3594)+SUMIFS([1]内部转账!$G:$G,[1]内部转账!$C:$C,"&lt;="&amp;$D3594,[1]内部转账!$E:$E,$G3594)-SUMIFS([1]内部转账!$G:$G,[1]内部转账!$C:$C,"&lt;="&amp;$D3594,[1]内部转账!$F:$F,$G3594)),"")</f>
        <v/>
      </c>
      <c r="M3594" s="64"/>
      <c r="N3594" s="69"/>
      <c r="O3594" s="64"/>
      <c r="P3594" s="64"/>
      <c r="Q3594" s="69"/>
      <c r="R3594" s="69"/>
      <c r="S3594" s="69"/>
    </row>
    <row r="3595" s="2" customFormat="1" ht="24.95" customHeight="1" spans="1:19">
      <c r="A3595" s="15"/>
      <c r="B3595" s="55"/>
      <c r="C3595" s="56"/>
      <c r="D3595" s="68"/>
      <c r="E3595" s="69"/>
      <c r="F3595" s="69"/>
      <c r="G3595" s="65"/>
      <c r="H3595" s="65"/>
      <c r="I3595" s="70"/>
      <c r="J3595" s="71"/>
      <c r="K3595" s="71"/>
      <c r="L3595" s="72" t="str">
        <f>IFERROR(IF(G3595="","",VLOOKUP($G3595,[1]基础信息!$B:$C,2,FALSE)+SUMIF(G$8:G3595,G3595,J$8:J3595)-SUMIF(G$8:G3595,G3595,K$8:K3595)+SUMIFS([1]内部转账!$G:$G,[1]内部转账!$C:$C,"&lt;="&amp;$D3595,[1]内部转账!$E:$E,$G3595)-SUMIFS([1]内部转账!$G:$G,[1]内部转账!$C:$C,"&lt;="&amp;$D3595,[1]内部转账!$F:$F,$G3595)),"")</f>
        <v/>
      </c>
      <c r="M3595" s="64"/>
      <c r="N3595" s="69"/>
      <c r="O3595" s="64"/>
      <c r="P3595" s="64"/>
      <c r="Q3595" s="69"/>
      <c r="R3595" s="69"/>
      <c r="S3595" s="69"/>
    </row>
    <row r="3596" s="2" customFormat="1" ht="24.95" customHeight="1" spans="1:19">
      <c r="A3596" s="15"/>
      <c r="B3596" s="55"/>
      <c r="C3596" s="56"/>
      <c r="D3596" s="68"/>
      <c r="E3596" s="69"/>
      <c r="F3596" s="69"/>
      <c r="G3596" s="65"/>
      <c r="H3596" s="65"/>
      <c r="I3596" s="70"/>
      <c r="J3596" s="71"/>
      <c r="K3596" s="71"/>
      <c r="L3596" s="72" t="str">
        <f>IFERROR(IF(G3596="","",VLOOKUP($G3596,[1]基础信息!$B:$C,2,FALSE)+SUMIF(G$8:G3596,G3596,J$8:J3596)-SUMIF(G$8:G3596,G3596,K$8:K3596)+SUMIFS([1]内部转账!$G:$G,[1]内部转账!$C:$C,"&lt;="&amp;$D3596,[1]内部转账!$E:$E,$G3596)-SUMIFS([1]内部转账!$G:$G,[1]内部转账!$C:$C,"&lt;="&amp;$D3596,[1]内部转账!$F:$F,$G3596)),"")</f>
        <v/>
      </c>
      <c r="M3596" s="64"/>
      <c r="N3596" s="69"/>
      <c r="O3596" s="64"/>
      <c r="P3596" s="64"/>
      <c r="Q3596" s="69"/>
      <c r="R3596" s="69"/>
      <c r="S3596" s="69"/>
    </row>
    <row r="3597" s="2" customFormat="1" ht="24.95" customHeight="1" spans="1:19">
      <c r="A3597" s="15"/>
      <c r="B3597" s="55"/>
      <c r="C3597" s="56"/>
      <c r="D3597" s="68"/>
      <c r="E3597" s="69"/>
      <c r="F3597" s="69"/>
      <c r="G3597" s="65"/>
      <c r="H3597" s="65"/>
      <c r="I3597" s="70"/>
      <c r="J3597" s="71"/>
      <c r="K3597" s="71"/>
      <c r="L3597" s="72" t="str">
        <f>IFERROR(IF(G3597="","",VLOOKUP($G3597,[1]基础信息!$B:$C,2,FALSE)+SUMIF(G$8:G3597,G3597,J$8:J3597)-SUMIF(G$8:G3597,G3597,K$8:K3597)+SUMIFS([1]内部转账!$G:$G,[1]内部转账!$C:$C,"&lt;="&amp;$D3597,[1]内部转账!$E:$E,$G3597)-SUMIFS([1]内部转账!$G:$G,[1]内部转账!$C:$C,"&lt;="&amp;$D3597,[1]内部转账!$F:$F,$G3597)),"")</f>
        <v/>
      </c>
      <c r="M3597" s="64"/>
      <c r="N3597" s="69"/>
      <c r="O3597" s="64"/>
      <c r="P3597" s="64"/>
      <c r="Q3597" s="69"/>
      <c r="R3597" s="69"/>
      <c r="S3597" s="69"/>
    </row>
    <row r="3598" s="2" customFormat="1" ht="24.95" customHeight="1" spans="1:19">
      <c r="A3598" s="15"/>
      <c r="B3598" s="55"/>
      <c r="C3598" s="56"/>
      <c r="D3598" s="68"/>
      <c r="E3598" s="69"/>
      <c r="F3598" s="69"/>
      <c r="G3598" s="65"/>
      <c r="H3598" s="65"/>
      <c r="I3598" s="70"/>
      <c r="J3598" s="71"/>
      <c r="K3598" s="71"/>
      <c r="L3598" s="72" t="str">
        <f>IFERROR(IF(G3598="","",VLOOKUP($G3598,[1]基础信息!$B:$C,2,FALSE)+SUMIF(G$8:G3598,G3598,J$8:J3598)-SUMIF(G$8:G3598,G3598,K$8:K3598)+SUMIFS([1]内部转账!$G:$G,[1]内部转账!$C:$C,"&lt;="&amp;$D3598,[1]内部转账!$E:$E,$G3598)-SUMIFS([1]内部转账!$G:$G,[1]内部转账!$C:$C,"&lt;="&amp;$D3598,[1]内部转账!$F:$F,$G3598)),"")</f>
        <v/>
      </c>
      <c r="M3598" s="64"/>
      <c r="N3598" s="69"/>
      <c r="O3598" s="64"/>
      <c r="P3598" s="64"/>
      <c r="Q3598" s="69"/>
      <c r="R3598" s="69"/>
      <c r="S3598" s="69"/>
    </row>
    <row r="3599" s="2" customFormat="1" ht="24.95" customHeight="1" spans="1:19">
      <c r="A3599" s="15"/>
      <c r="B3599" s="55"/>
      <c r="C3599" s="56"/>
      <c r="D3599" s="68"/>
      <c r="E3599" s="69"/>
      <c r="F3599" s="69"/>
      <c r="G3599" s="65"/>
      <c r="H3599" s="65"/>
      <c r="I3599" s="70"/>
      <c r="J3599" s="71"/>
      <c r="K3599" s="71"/>
      <c r="L3599" s="72" t="str">
        <f>IFERROR(IF(G3599="","",VLOOKUP($G3599,[1]基础信息!$B:$C,2,FALSE)+SUMIF(G$8:G3599,G3599,J$8:J3599)-SUMIF(G$8:G3599,G3599,K$8:K3599)+SUMIFS([1]内部转账!$G:$G,[1]内部转账!$C:$C,"&lt;="&amp;$D3599,[1]内部转账!$E:$E,$G3599)-SUMIFS([1]内部转账!$G:$G,[1]内部转账!$C:$C,"&lt;="&amp;$D3599,[1]内部转账!$F:$F,$G3599)),"")</f>
        <v/>
      </c>
      <c r="M3599" s="64"/>
      <c r="N3599" s="69"/>
      <c r="O3599" s="64"/>
      <c r="P3599" s="64"/>
      <c r="Q3599" s="69"/>
      <c r="R3599" s="69"/>
      <c r="S3599" s="69"/>
    </row>
    <row r="3600" s="2" customFormat="1" ht="24.95" customHeight="1" spans="1:19">
      <c r="A3600" s="15"/>
      <c r="B3600" s="55"/>
      <c r="C3600" s="56"/>
      <c r="D3600" s="68"/>
      <c r="E3600" s="69"/>
      <c r="F3600" s="69"/>
      <c r="G3600" s="65"/>
      <c r="H3600" s="65"/>
      <c r="I3600" s="70"/>
      <c r="J3600" s="71"/>
      <c r="K3600" s="71"/>
      <c r="L3600" s="72" t="str">
        <f>IFERROR(IF(G3600="","",VLOOKUP($G3600,[1]基础信息!$B:$C,2,FALSE)+SUMIF(G$8:G3600,G3600,J$8:J3600)-SUMIF(G$8:G3600,G3600,K$8:K3600)+SUMIFS([1]内部转账!$G:$G,[1]内部转账!$C:$C,"&lt;="&amp;$D3600,[1]内部转账!$E:$E,$G3600)-SUMIFS([1]内部转账!$G:$G,[1]内部转账!$C:$C,"&lt;="&amp;$D3600,[1]内部转账!$F:$F,$G3600)),"")</f>
        <v/>
      </c>
      <c r="M3600" s="64"/>
      <c r="N3600" s="69"/>
      <c r="O3600" s="64"/>
      <c r="P3600" s="64"/>
      <c r="Q3600" s="69"/>
      <c r="R3600" s="69"/>
      <c r="S3600" s="69"/>
    </row>
    <row r="3601" s="2" customFormat="1" ht="24.95" customHeight="1" spans="1:19">
      <c r="A3601" s="15"/>
      <c r="B3601" s="55"/>
      <c r="C3601" s="56"/>
      <c r="D3601" s="68"/>
      <c r="E3601" s="69"/>
      <c r="F3601" s="69"/>
      <c r="G3601" s="65"/>
      <c r="H3601" s="65"/>
      <c r="I3601" s="70"/>
      <c r="J3601" s="71"/>
      <c r="K3601" s="71"/>
      <c r="L3601" s="72" t="str">
        <f>IFERROR(IF(G3601="","",VLOOKUP($G3601,[1]基础信息!$B:$C,2,FALSE)+SUMIF(G$8:G3601,G3601,J$8:J3601)-SUMIF(G$8:G3601,G3601,K$8:K3601)+SUMIFS([1]内部转账!$G:$G,[1]内部转账!$C:$C,"&lt;="&amp;$D3601,[1]内部转账!$E:$E,$G3601)-SUMIFS([1]内部转账!$G:$G,[1]内部转账!$C:$C,"&lt;="&amp;$D3601,[1]内部转账!$F:$F,$G3601)),"")</f>
        <v/>
      </c>
      <c r="M3601" s="64"/>
      <c r="N3601" s="69"/>
      <c r="O3601" s="64"/>
      <c r="P3601" s="64"/>
      <c r="Q3601" s="69"/>
      <c r="R3601" s="69"/>
      <c r="S3601" s="69"/>
    </row>
    <row r="3602" s="2" customFormat="1" ht="24.95" customHeight="1" spans="1:19">
      <c r="A3602" s="15"/>
      <c r="B3602" s="55"/>
      <c r="C3602" s="56"/>
      <c r="D3602" s="68"/>
      <c r="E3602" s="69"/>
      <c r="F3602" s="69"/>
      <c r="G3602" s="65"/>
      <c r="H3602" s="65"/>
      <c r="I3602" s="70"/>
      <c r="J3602" s="71"/>
      <c r="K3602" s="71"/>
      <c r="L3602" s="72" t="str">
        <f>IFERROR(IF(G3602="","",VLOOKUP($G3602,[1]基础信息!$B:$C,2,FALSE)+SUMIF(G$8:G3602,G3602,J$8:J3602)-SUMIF(G$8:G3602,G3602,K$8:K3602)+SUMIFS([1]内部转账!$G:$G,[1]内部转账!$C:$C,"&lt;="&amp;$D3602,[1]内部转账!$E:$E,$G3602)-SUMIFS([1]内部转账!$G:$G,[1]内部转账!$C:$C,"&lt;="&amp;$D3602,[1]内部转账!$F:$F,$G3602)),"")</f>
        <v/>
      </c>
      <c r="M3602" s="64"/>
      <c r="N3602" s="69"/>
      <c r="O3602" s="64"/>
      <c r="P3602" s="64"/>
      <c r="Q3602" s="69"/>
      <c r="R3602" s="69"/>
      <c r="S3602" s="69"/>
    </row>
    <row r="3603" s="2" customFormat="1" ht="24.95" customHeight="1" spans="1:19">
      <c r="A3603" s="15"/>
      <c r="B3603" s="55"/>
      <c r="C3603" s="56"/>
      <c r="D3603" s="68"/>
      <c r="E3603" s="69"/>
      <c r="F3603" s="69"/>
      <c r="G3603" s="65"/>
      <c r="H3603" s="65"/>
      <c r="I3603" s="70"/>
      <c r="J3603" s="71"/>
      <c r="K3603" s="71"/>
      <c r="L3603" s="72" t="str">
        <f>IFERROR(IF(G3603="","",VLOOKUP($G3603,[1]基础信息!$B:$C,2,FALSE)+SUMIF(G$8:G3603,G3603,J$8:J3603)-SUMIF(G$8:G3603,G3603,K$8:K3603)+SUMIFS([1]内部转账!$G:$G,[1]内部转账!$C:$C,"&lt;="&amp;$D3603,[1]内部转账!$E:$E,$G3603)-SUMIFS([1]内部转账!$G:$G,[1]内部转账!$C:$C,"&lt;="&amp;$D3603,[1]内部转账!$F:$F,$G3603)),"")</f>
        <v/>
      </c>
      <c r="M3603" s="64"/>
      <c r="N3603" s="69"/>
      <c r="O3603" s="64"/>
      <c r="P3603" s="64"/>
      <c r="Q3603" s="69"/>
      <c r="R3603" s="69"/>
      <c r="S3603" s="69"/>
    </row>
    <row r="3604" s="2" customFormat="1" ht="24.95" customHeight="1" spans="1:19">
      <c r="A3604" s="15"/>
      <c r="B3604" s="55"/>
      <c r="C3604" s="56"/>
      <c r="D3604" s="68"/>
      <c r="E3604" s="69"/>
      <c r="F3604" s="69"/>
      <c r="G3604" s="65"/>
      <c r="H3604" s="65"/>
      <c r="I3604" s="70"/>
      <c r="J3604" s="71"/>
      <c r="K3604" s="71"/>
      <c r="L3604" s="72" t="str">
        <f>IFERROR(IF(G3604="","",VLOOKUP($G3604,[1]基础信息!$B:$C,2,FALSE)+SUMIF(G$8:G3604,G3604,J$8:J3604)-SUMIF(G$8:G3604,G3604,K$8:K3604)+SUMIFS([1]内部转账!$G:$G,[1]内部转账!$C:$C,"&lt;="&amp;$D3604,[1]内部转账!$E:$E,$G3604)-SUMIFS([1]内部转账!$G:$G,[1]内部转账!$C:$C,"&lt;="&amp;$D3604,[1]内部转账!$F:$F,$G3604)),"")</f>
        <v/>
      </c>
      <c r="M3604" s="64"/>
      <c r="N3604" s="69"/>
      <c r="O3604" s="64"/>
      <c r="P3604" s="64"/>
      <c r="Q3604" s="69"/>
      <c r="R3604" s="69"/>
      <c r="S3604" s="69"/>
    </row>
    <row r="3605" s="2" customFormat="1" ht="24.95" customHeight="1" spans="1:19">
      <c r="A3605" s="15"/>
      <c r="B3605" s="55"/>
      <c r="C3605" s="56"/>
      <c r="D3605" s="68"/>
      <c r="E3605" s="69"/>
      <c r="F3605" s="69"/>
      <c r="G3605" s="65"/>
      <c r="H3605" s="65"/>
      <c r="I3605" s="70"/>
      <c r="J3605" s="71"/>
      <c r="K3605" s="71"/>
      <c r="L3605" s="72" t="str">
        <f>IFERROR(IF(G3605="","",VLOOKUP($G3605,[1]基础信息!$B:$C,2,FALSE)+SUMIF(G$8:G3605,G3605,J$8:J3605)-SUMIF(G$8:G3605,G3605,K$8:K3605)+SUMIFS([1]内部转账!$G:$G,[1]内部转账!$C:$C,"&lt;="&amp;$D3605,[1]内部转账!$E:$E,$G3605)-SUMIFS([1]内部转账!$G:$G,[1]内部转账!$C:$C,"&lt;="&amp;$D3605,[1]内部转账!$F:$F,$G3605)),"")</f>
        <v/>
      </c>
      <c r="M3605" s="64"/>
      <c r="N3605" s="69"/>
      <c r="O3605" s="64"/>
      <c r="P3605" s="64"/>
      <c r="Q3605" s="69"/>
      <c r="R3605" s="69"/>
      <c r="S3605" s="69"/>
    </row>
    <row r="3606" s="2" customFormat="1" ht="24.95" customHeight="1" spans="1:19">
      <c r="A3606" s="15"/>
      <c r="B3606" s="55"/>
      <c r="C3606" s="56"/>
      <c r="D3606" s="68"/>
      <c r="E3606" s="69"/>
      <c r="F3606" s="69"/>
      <c r="G3606" s="65"/>
      <c r="H3606" s="65"/>
      <c r="I3606" s="70"/>
      <c r="J3606" s="71"/>
      <c r="K3606" s="71"/>
      <c r="L3606" s="72" t="str">
        <f>IFERROR(IF(G3606="","",VLOOKUP($G3606,[1]基础信息!$B:$C,2,FALSE)+SUMIF(G$8:G3606,G3606,J$8:J3606)-SUMIF(G$8:G3606,G3606,K$8:K3606)+SUMIFS([1]内部转账!$G:$G,[1]内部转账!$C:$C,"&lt;="&amp;$D3606,[1]内部转账!$E:$E,$G3606)-SUMIFS([1]内部转账!$G:$G,[1]内部转账!$C:$C,"&lt;="&amp;$D3606,[1]内部转账!$F:$F,$G3606)),"")</f>
        <v/>
      </c>
      <c r="M3606" s="64"/>
      <c r="N3606" s="69"/>
      <c r="O3606" s="64"/>
      <c r="P3606" s="64"/>
      <c r="Q3606" s="69"/>
      <c r="R3606" s="69"/>
      <c r="S3606" s="69"/>
    </row>
    <row r="3607" s="2" customFormat="1" ht="24.95" customHeight="1" spans="1:19">
      <c r="A3607" s="15"/>
      <c r="B3607" s="55"/>
      <c r="C3607" s="56"/>
      <c r="D3607" s="68"/>
      <c r="E3607" s="69"/>
      <c r="F3607" s="69"/>
      <c r="G3607" s="65"/>
      <c r="H3607" s="65"/>
      <c r="I3607" s="70"/>
      <c r="J3607" s="71"/>
      <c r="K3607" s="71"/>
      <c r="L3607" s="72" t="str">
        <f>IFERROR(IF(G3607="","",VLOOKUP($G3607,[1]基础信息!$B:$C,2,FALSE)+SUMIF(G$8:G3607,G3607,J$8:J3607)-SUMIF(G$8:G3607,G3607,K$8:K3607)+SUMIFS([1]内部转账!$G:$G,[1]内部转账!$C:$C,"&lt;="&amp;$D3607,[1]内部转账!$E:$E,$G3607)-SUMIFS([1]内部转账!$G:$G,[1]内部转账!$C:$C,"&lt;="&amp;$D3607,[1]内部转账!$F:$F,$G3607)),"")</f>
        <v/>
      </c>
      <c r="M3607" s="64"/>
      <c r="N3607" s="69"/>
      <c r="O3607" s="64"/>
      <c r="P3607" s="64"/>
      <c r="Q3607" s="69"/>
      <c r="R3607" s="69"/>
      <c r="S3607" s="69"/>
    </row>
    <row r="3608" s="2" customFormat="1" ht="24.95" customHeight="1" spans="1:19">
      <c r="A3608" s="15"/>
      <c r="B3608" s="55"/>
      <c r="C3608" s="56"/>
      <c r="D3608" s="68"/>
      <c r="E3608" s="69"/>
      <c r="F3608" s="69"/>
      <c r="G3608" s="65"/>
      <c r="H3608" s="65"/>
      <c r="I3608" s="70"/>
      <c r="J3608" s="71"/>
      <c r="K3608" s="71"/>
      <c r="L3608" s="72" t="str">
        <f>IFERROR(IF(G3608="","",VLOOKUP($G3608,[1]基础信息!$B:$C,2,FALSE)+SUMIF(G$8:G3608,G3608,J$8:J3608)-SUMIF(G$8:G3608,G3608,K$8:K3608)+SUMIFS([1]内部转账!$G:$G,[1]内部转账!$C:$C,"&lt;="&amp;$D3608,[1]内部转账!$E:$E,$G3608)-SUMIFS([1]内部转账!$G:$G,[1]内部转账!$C:$C,"&lt;="&amp;$D3608,[1]内部转账!$F:$F,$G3608)),"")</f>
        <v/>
      </c>
      <c r="M3608" s="64"/>
      <c r="N3608" s="69"/>
      <c r="O3608" s="64"/>
      <c r="P3608" s="64"/>
      <c r="Q3608" s="69"/>
      <c r="R3608" s="69"/>
      <c r="S3608" s="69"/>
    </row>
    <row r="3609" s="2" customFormat="1" ht="24.95" customHeight="1" spans="1:19">
      <c r="A3609" s="15"/>
      <c r="B3609" s="55"/>
      <c r="C3609" s="56"/>
      <c r="D3609" s="68"/>
      <c r="E3609" s="69"/>
      <c r="F3609" s="69"/>
      <c r="G3609" s="65"/>
      <c r="H3609" s="65"/>
      <c r="I3609" s="70"/>
      <c r="J3609" s="71"/>
      <c r="K3609" s="71"/>
      <c r="L3609" s="72" t="str">
        <f>IFERROR(IF(G3609="","",VLOOKUP($G3609,[1]基础信息!$B:$C,2,FALSE)+SUMIF(G$8:G3609,G3609,J$8:J3609)-SUMIF(G$8:G3609,G3609,K$8:K3609)+SUMIFS([1]内部转账!$G:$G,[1]内部转账!$C:$C,"&lt;="&amp;$D3609,[1]内部转账!$E:$E,$G3609)-SUMIFS([1]内部转账!$G:$G,[1]内部转账!$C:$C,"&lt;="&amp;$D3609,[1]内部转账!$F:$F,$G3609)),"")</f>
        <v/>
      </c>
      <c r="M3609" s="64"/>
      <c r="N3609" s="69"/>
      <c r="O3609" s="64"/>
      <c r="P3609" s="64"/>
      <c r="Q3609" s="69"/>
      <c r="R3609" s="69"/>
      <c r="S3609" s="69"/>
    </row>
    <row r="3610" s="2" customFormat="1" ht="24.95" customHeight="1" spans="1:19">
      <c r="A3610" s="15"/>
      <c r="B3610" s="55"/>
      <c r="C3610" s="56"/>
      <c r="D3610" s="68"/>
      <c r="E3610" s="69"/>
      <c r="F3610" s="69"/>
      <c r="G3610" s="65"/>
      <c r="H3610" s="65"/>
      <c r="I3610" s="70"/>
      <c r="J3610" s="71"/>
      <c r="K3610" s="71"/>
      <c r="L3610" s="72" t="str">
        <f>IFERROR(IF(G3610="","",VLOOKUP($G3610,[1]基础信息!$B:$C,2,FALSE)+SUMIF(G$8:G3610,G3610,J$8:J3610)-SUMIF(G$8:G3610,G3610,K$8:K3610)+SUMIFS([1]内部转账!$G:$G,[1]内部转账!$C:$C,"&lt;="&amp;$D3610,[1]内部转账!$E:$E,$G3610)-SUMIFS([1]内部转账!$G:$G,[1]内部转账!$C:$C,"&lt;="&amp;$D3610,[1]内部转账!$F:$F,$G3610)),"")</f>
        <v/>
      </c>
      <c r="M3610" s="64"/>
      <c r="N3610" s="69"/>
      <c r="O3610" s="64"/>
      <c r="P3610" s="64"/>
      <c r="Q3610" s="69"/>
      <c r="R3610" s="69"/>
      <c r="S3610" s="69"/>
    </row>
    <row r="3611" s="2" customFormat="1" ht="24.95" customHeight="1" spans="1:19">
      <c r="A3611" s="15"/>
      <c r="B3611" s="55"/>
      <c r="C3611" s="56"/>
      <c r="D3611" s="68"/>
      <c r="E3611" s="69"/>
      <c r="F3611" s="69"/>
      <c r="G3611" s="65"/>
      <c r="H3611" s="65"/>
      <c r="I3611" s="70"/>
      <c r="J3611" s="71"/>
      <c r="K3611" s="71"/>
      <c r="L3611" s="72" t="str">
        <f>IFERROR(IF(G3611="","",VLOOKUP($G3611,[1]基础信息!$B:$C,2,FALSE)+SUMIF(G$8:G3611,G3611,J$8:J3611)-SUMIF(G$8:G3611,G3611,K$8:K3611)+SUMIFS([1]内部转账!$G:$G,[1]内部转账!$C:$C,"&lt;="&amp;$D3611,[1]内部转账!$E:$E,$G3611)-SUMIFS([1]内部转账!$G:$G,[1]内部转账!$C:$C,"&lt;="&amp;$D3611,[1]内部转账!$F:$F,$G3611)),"")</f>
        <v/>
      </c>
      <c r="M3611" s="64"/>
      <c r="N3611" s="69"/>
      <c r="O3611" s="64"/>
      <c r="P3611" s="64"/>
      <c r="Q3611" s="69"/>
      <c r="R3611" s="69"/>
      <c r="S3611" s="69"/>
    </row>
    <row r="3612" s="2" customFormat="1" ht="24.95" customHeight="1" spans="1:19">
      <c r="A3612" s="15"/>
      <c r="B3612" s="55"/>
      <c r="C3612" s="56"/>
      <c r="D3612" s="68"/>
      <c r="E3612" s="69"/>
      <c r="F3612" s="69"/>
      <c r="G3612" s="65"/>
      <c r="H3612" s="65"/>
      <c r="I3612" s="70"/>
      <c r="J3612" s="71"/>
      <c r="K3612" s="71"/>
      <c r="L3612" s="72" t="str">
        <f>IFERROR(IF(G3612="","",VLOOKUP($G3612,[1]基础信息!$B:$C,2,FALSE)+SUMIF(G$8:G3612,G3612,J$8:J3612)-SUMIF(G$8:G3612,G3612,K$8:K3612)+SUMIFS([1]内部转账!$G:$G,[1]内部转账!$C:$C,"&lt;="&amp;$D3612,[1]内部转账!$E:$E,$G3612)-SUMIFS([1]内部转账!$G:$G,[1]内部转账!$C:$C,"&lt;="&amp;$D3612,[1]内部转账!$F:$F,$G3612)),"")</f>
        <v/>
      </c>
      <c r="M3612" s="64"/>
      <c r="N3612" s="69"/>
      <c r="O3612" s="64"/>
      <c r="P3612" s="64"/>
      <c r="Q3612" s="69"/>
      <c r="R3612" s="69"/>
      <c r="S3612" s="69"/>
    </row>
    <row r="3613" s="2" customFormat="1" ht="24.95" customHeight="1" spans="1:19">
      <c r="A3613" s="15"/>
      <c r="B3613" s="55"/>
      <c r="C3613" s="56"/>
      <c r="D3613" s="68"/>
      <c r="E3613" s="69"/>
      <c r="F3613" s="69"/>
      <c r="G3613" s="65"/>
      <c r="H3613" s="65"/>
      <c r="I3613" s="70"/>
      <c r="J3613" s="71"/>
      <c r="K3613" s="71"/>
      <c r="L3613" s="72" t="str">
        <f>IFERROR(IF(G3613="","",VLOOKUP($G3613,[1]基础信息!$B:$C,2,FALSE)+SUMIF(G$8:G3613,G3613,J$8:J3613)-SUMIF(G$8:G3613,G3613,K$8:K3613)+SUMIFS([1]内部转账!$G:$G,[1]内部转账!$C:$C,"&lt;="&amp;$D3613,[1]内部转账!$E:$E,$G3613)-SUMIFS([1]内部转账!$G:$G,[1]内部转账!$C:$C,"&lt;="&amp;$D3613,[1]内部转账!$F:$F,$G3613)),"")</f>
        <v/>
      </c>
      <c r="M3613" s="64"/>
      <c r="N3613" s="69"/>
      <c r="O3613" s="64"/>
      <c r="P3613" s="64"/>
      <c r="Q3613" s="69"/>
      <c r="R3613" s="69"/>
      <c r="S3613" s="69"/>
    </row>
    <row r="3614" s="2" customFormat="1" ht="24.95" customHeight="1" spans="1:19">
      <c r="A3614" s="15"/>
      <c r="B3614" s="55"/>
      <c r="C3614" s="56"/>
      <c r="D3614" s="68"/>
      <c r="E3614" s="69"/>
      <c r="F3614" s="69"/>
      <c r="G3614" s="65"/>
      <c r="H3614" s="65"/>
      <c r="I3614" s="70"/>
      <c r="J3614" s="71"/>
      <c r="K3614" s="71"/>
      <c r="L3614" s="72" t="str">
        <f>IFERROR(IF(G3614="","",VLOOKUP($G3614,[1]基础信息!$B:$C,2,FALSE)+SUMIF(G$8:G3614,G3614,J$8:J3614)-SUMIF(G$8:G3614,G3614,K$8:K3614)+SUMIFS([1]内部转账!$G:$G,[1]内部转账!$C:$C,"&lt;="&amp;$D3614,[1]内部转账!$E:$E,$G3614)-SUMIFS([1]内部转账!$G:$G,[1]内部转账!$C:$C,"&lt;="&amp;$D3614,[1]内部转账!$F:$F,$G3614)),"")</f>
        <v/>
      </c>
      <c r="M3614" s="64"/>
      <c r="N3614" s="69"/>
      <c r="O3614" s="64"/>
      <c r="P3614" s="64"/>
      <c r="Q3614" s="69"/>
      <c r="R3614" s="69"/>
      <c r="S3614" s="69"/>
    </row>
    <row r="3615" s="2" customFormat="1" ht="24.95" customHeight="1" spans="1:19">
      <c r="A3615" s="15"/>
      <c r="B3615" s="55"/>
      <c r="C3615" s="56"/>
      <c r="D3615" s="68"/>
      <c r="E3615" s="69"/>
      <c r="F3615" s="69"/>
      <c r="G3615" s="65"/>
      <c r="H3615" s="65"/>
      <c r="I3615" s="70"/>
      <c r="J3615" s="71"/>
      <c r="K3615" s="71"/>
      <c r="L3615" s="72" t="str">
        <f>IFERROR(IF(G3615="","",VLOOKUP($G3615,[1]基础信息!$B:$C,2,FALSE)+SUMIF(G$8:G3615,G3615,J$8:J3615)-SUMIF(G$8:G3615,G3615,K$8:K3615)+SUMIFS([1]内部转账!$G:$G,[1]内部转账!$C:$C,"&lt;="&amp;$D3615,[1]内部转账!$E:$E,$G3615)-SUMIFS([1]内部转账!$G:$G,[1]内部转账!$C:$C,"&lt;="&amp;$D3615,[1]内部转账!$F:$F,$G3615)),"")</f>
        <v/>
      </c>
      <c r="M3615" s="64"/>
      <c r="N3615" s="69"/>
      <c r="O3615" s="64"/>
      <c r="P3615" s="64"/>
      <c r="Q3615" s="69"/>
      <c r="R3615" s="69"/>
      <c r="S3615" s="69"/>
    </row>
    <row r="3616" s="2" customFormat="1" ht="24.95" customHeight="1" spans="1:19">
      <c r="A3616" s="15"/>
      <c r="B3616" s="55"/>
      <c r="C3616" s="56"/>
      <c r="D3616" s="68"/>
      <c r="E3616" s="69"/>
      <c r="F3616" s="69"/>
      <c r="G3616" s="65"/>
      <c r="H3616" s="65"/>
      <c r="I3616" s="70"/>
      <c r="J3616" s="71"/>
      <c r="K3616" s="71"/>
      <c r="L3616" s="72" t="str">
        <f>IFERROR(IF(G3616="","",VLOOKUP($G3616,[1]基础信息!$B:$C,2,FALSE)+SUMIF(G$8:G3616,G3616,J$8:J3616)-SUMIF(G$8:G3616,G3616,K$8:K3616)+SUMIFS([1]内部转账!$G:$G,[1]内部转账!$C:$C,"&lt;="&amp;$D3616,[1]内部转账!$E:$E,$G3616)-SUMIFS([1]内部转账!$G:$G,[1]内部转账!$C:$C,"&lt;="&amp;$D3616,[1]内部转账!$F:$F,$G3616)),"")</f>
        <v/>
      </c>
      <c r="M3616" s="64"/>
      <c r="N3616" s="69"/>
      <c r="O3616" s="64"/>
      <c r="P3616" s="64"/>
      <c r="Q3616" s="69"/>
      <c r="R3616" s="69"/>
      <c r="S3616" s="69"/>
    </row>
    <row r="3617" s="2" customFormat="1" ht="24.95" customHeight="1" spans="1:19">
      <c r="A3617" s="15"/>
      <c r="B3617" s="55"/>
      <c r="C3617" s="56"/>
      <c r="D3617" s="68"/>
      <c r="E3617" s="69"/>
      <c r="F3617" s="69"/>
      <c r="G3617" s="65"/>
      <c r="H3617" s="65"/>
      <c r="I3617" s="70"/>
      <c r="J3617" s="71"/>
      <c r="K3617" s="71"/>
      <c r="L3617" s="72" t="str">
        <f>IFERROR(IF(G3617="","",VLOOKUP($G3617,[1]基础信息!$B:$C,2,FALSE)+SUMIF(G$8:G3617,G3617,J$8:J3617)-SUMIF(G$8:G3617,G3617,K$8:K3617)+SUMIFS([1]内部转账!$G:$G,[1]内部转账!$C:$C,"&lt;="&amp;$D3617,[1]内部转账!$E:$E,$G3617)-SUMIFS([1]内部转账!$G:$G,[1]内部转账!$C:$C,"&lt;="&amp;$D3617,[1]内部转账!$F:$F,$G3617)),"")</f>
        <v/>
      </c>
      <c r="M3617" s="64"/>
      <c r="N3617" s="69"/>
      <c r="O3617" s="64"/>
      <c r="P3617" s="64"/>
      <c r="Q3617" s="69"/>
      <c r="R3617" s="69"/>
      <c r="S3617" s="69"/>
    </row>
    <row r="3618" s="2" customFormat="1" ht="24.95" customHeight="1" spans="1:19">
      <c r="A3618" s="15"/>
      <c r="B3618" s="55"/>
      <c r="C3618" s="56"/>
      <c r="D3618" s="68"/>
      <c r="E3618" s="69"/>
      <c r="F3618" s="69"/>
      <c r="G3618" s="65"/>
      <c r="H3618" s="65"/>
      <c r="I3618" s="70"/>
      <c r="J3618" s="71"/>
      <c r="K3618" s="71"/>
      <c r="L3618" s="72" t="str">
        <f>IFERROR(IF(G3618="","",VLOOKUP($G3618,[1]基础信息!$B:$C,2,FALSE)+SUMIF(G$8:G3618,G3618,J$8:J3618)-SUMIF(G$8:G3618,G3618,K$8:K3618)+SUMIFS([1]内部转账!$G:$G,[1]内部转账!$C:$C,"&lt;="&amp;$D3618,[1]内部转账!$E:$E,$G3618)-SUMIFS([1]内部转账!$G:$G,[1]内部转账!$C:$C,"&lt;="&amp;$D3618,[1]内部转账!$F:$F,$G3618)),"")</f>
        <v/>
      </c>
      <c r="M3618" s="64"/>
      <c r="N3618" s="69"/>
      <c r="O3618" s="64"/>
      <c r="P3618" s="64"/>
      <c r="Q3618" s="69"/>
      <c r="R3618" s="69"/>
      <c r="S3618" s="69"/>
    </row>
    <row r="3619" s="2" customFormat="1" ht="24.95" customHeight="1" spans="1:19">
      <c r="A3619" s="15"/>
      <c r="B3619" s="55"/>
      <c r="C3619" s="56"/>
      <c r="D3619" s="68"/>
      <c r="E3619" s="69"/>
      <c r="F3619" s="69"/>
      <c r="G3619" s="65"/>
      <c r="H3619" s="65"/>
      <c r="I3619" s="70"/>
      <c r="J3619" s="71"/>
      <c r="K3619" s="71"/>
      <c r="L3619" s="72" t="str">
        <f>IFERROR(IF(G3619="","",VLOOKUP($G3619,[1]基础信息!$B:$C,2,FALSE)+SUMIF(G$8:G3619,G3619,J$8:J3619)-SUMIF(G$8:G3619,G3619,K$8:K3619)+SUMIFS([1]内部转账!$G:$G,[1]内部转账!$C:$C,"&lt;="&amp;$D3619,[1]内部转账!$E:$E,$G3619)-SUMIFS([1]内部转账!$G:$G,[1]内部转账!$C:$C,"&lt;="&amp;$D3619,[1]内部转账!$F:$F,$G3619)),"")</f>
        <v/>
      </c>
      <c r="M3619" s="64"/>
      <c r="N3619" s="69"/>
      <c r="O3619" s="64"/>
      <c r="P3619" s="64"/>
      <c r="Q3619" s="69"/>
      <c r="R3619" s="69"/>
      <c r="S3619" s="69"/>
    </row>
    <row r="3620" s="2" customFormat="1" ht="24.95" customHeight="1" spans="1:19">
      <c r="A3620" s="15"/>
      <c r="B3620" s="55"/>
      <c r="C3620" s="56"/>
      <c r="D3620" s="68"/>
      <c r="E3620" s="69"/>
      <c r="F3620" s="69"/>
      <c r="G3620" s="65"/>
      <c r="H3620" s="65"/>
      <c r="I3620" s="70"/>
      <c r="J3620" s="71"/>
      <c r="K3620" s="71"/>
      <c r="L3620" s="72" t="str">
        <f>IFERROR(IF(G3620="","",VLOOKUP($G3620,[1]基础信息!$B:$C,2,FALSE)+SUMIF(G$8:G3620,G3620,J$8:J3620)-SUMIF(G$8:G3620,G3620,K$8:K3620)+SUMIFS([1]内部转账!$G:$G,[1]内部转账!$C:$C,"&lt;="&amp;$D3620,[1]内部转账!$E:$E,$G3620)-SUMIFS([1]内部转账!$G:$G,[1]内部转账!$C:$C,"&lt;="&amp;$D3620,[1]内部转账!$F:$F,$G3620)),"")</f>
        <v/>
      </c>
      <c r="M3620" s="64"/>
      <c r="N3620" s="69"/>
      <c r="O3620" s="64"/>
      <c r="P3620" s="64"/>
      <c r="Q3620" s="69"/>
      <c r="R3620" s="69"/>
      <c r="S3620" s="69"/>
    </row>
    <row r="3621" s="2" customFormat="1" ht="24.95" customHeight="1" spans="1:19">
      <c r="A3621" s="15"/>
      <c r="B3621" s="55"/>
      <c r="C3621" s="56"/>
      <c r="D3621" s="68"/>
      <c r="E3621" s="69"/>
      <c r="F3621" s="69"/>
      <c r="G3621" s="65"/>
      <c r="H3621" s="65"/>
      <c r="I3621" s="70"/>
      <c r="J3621" s="71"/>
      <c r="K3621" s="71"/>
      <c r="L3621" s="72" t="str">
        <f>IFERROR(IF(G3621="","",VLOOKUP($G3621,[1]基础信息!$B:$C,2,FALSE)+SUMIF(G$8:G3621,G3621,J$8:J3621)-SUMIF(G$8:G3621,G3621,K$8:K3621)+SUMIFS([1]内部转账!$G:$G,[1]内部转账!$C:$C,"&lt;="&amp;$D3621,[1]内部转账!$E:$E,$G3621)-SUMIFS([1]内部转账!$G:$G,[1]内部转账!$C:$C,"&lt;="&amp;$D3621,[1]内部转账!$F:$F,$G3621)),"")</f>
        <v/>
      </c>
      <c r="M3621" s="64"/>
      <c r="N3621" s="69"/>
      <c r="O3621" s="64"/>
      <c r="P3621" s="64"/>
      <c r="Q3621" s="69"/>
      <c r="R3621" s="69"/>
      <c r="S3621" s="69"/>
    </row>
    <row r="3622" s="2" customFormat="1" ht="24.95" customHeight="1" spans="1:19">
      <c r="A3622" s="15"/>
      <c r="B3622" s="55"/>
      <c r="C3622" s="56"/>
      <c r="D3622" s="68"/>
      <c r="E3622" s="69"/>
      <c r="F3622" s="69"/>
      <c r="G3622" s="65"/>
      <c r="H3622" s="65"/>
      <c r="I3622" s="70"/>
      <c r="J3622" s="71"/>
      <c r="K3622" s="71"/>
      <c r="L3622" s="72" t="str">
        <f>IFERROR(IF(G3622="","",VLOOKUP($G3622,[1]基础信息!$B:$C,2,FALSE)+SUMIF(G$8:G3622,G3622,J$8:J3622)-SUMIF(G$8:G3622,G3622,K$8:K3622)+SUMIFS([1]内部转账!$G:$G,[1]内部转账!$C:$C,"&lt;="&amp;$D3622,[1]内部转账!$E:$E,$G3622)-SUMIFS([1]内部转账!$G:$G,[1]内部转账!$C:$C,"&lt;="&amp;$D3622,[1]内部转账!$F:$F,$G3622)),"")</f>
        <v/>
      </c>
      <c r="M3622" s="64"/>
      <c r="N3622" s="69"/>
      <c r="O3622" s="64"/>
      <c r="P3622" s="64"/>
      <c r="Q3622" s="69"/>
      <c r="R3622" s="69"/>
      <c r="S3622" s="69"/>
    </row>
    <row r="3623" s="2" customFormat="1" ht="24.95" customHeight="1" spans="1:19">
      <c r="A3623" s="15"/>
      <c r="B3623" s="55"/>
      <c r="C3623" s="56"/>
      <c r="D3623" s="68"/>
      <c r="E3623" s="69"/>
      <c r="F3623" s="69"/>
      <c r="G3623" s="65"/>
      <c r="H3623" s="65"/>
      <c r="I3623" s="70"/>
      <c r="J3623" s="71"/>
      <c r="K3623" s="71"/>
      <c r="L3623" s="72" t="str">
        <f>IFERROR(IF(G3623="","",VLOOKUP($G3623,[1]基础信息!$B:$C,2,FALSE)+SUMIF(G$8:G3623,G3623,J$8:J3623)-SUMIF(G$8:G3623,G3623,K$8:K3623)+SUMIFS([1]内部转账!$G:$G,[1]内部转账!$C:$C,"&lt;="&amp;$D3623,[1]内部转账!$E:$E,$G3623)-SUMIFS([1]内部转账!$G:$G,[1]内部转账!$C:$C,"&lt;="&amp;$D3623,[1]内部转账!$F:$F,$G3623)),"")</f>
        <v/>
      </c>
      <c r="M3623" s="64"/>
      <c r="N3623" s="69"/>
      <c r="O3623" s="64"/>
      <c r="P3623" s="64"/>
      <c r="Q3623" s="69"/>
      <c r="R3623" s="69"/>
      <c r="S3623" s="69"/>
    </row>
    <row r="3624" s="2" customFormat="1" ht="24.95" customHeight="1" spans="1:19">
      <c r="A3624" s="15"/>
      <c r="B3624" s="55"/>
      <c r="C3624" s="56"/>
      <c r="D3624" s="68"/>
      <c r="E3624" s="69"/>
      <c r="F3624" s="69"/>
      <c r="G3624" s="65"/>
      <c r="H3624" s="65"/>
      <c r="I3624" s="70"/>
      <c r="J3624" s="71"/>
      <c r="K3624" s="71"/>
      <c r="L3624" s="72" t="str">
        <f>IFERROR(IF(G3624="","",VLOOKUP($G3624,[1]基础信息!$B:$C,2,FALSE)+SUMIF(G$8:G3624,G3624,J$8:J3624)-SUMIF(G$8:G3624,G3624,K$8:K3624)+SUMIFS([1]内部转账!$G:$G,[1]内部转账!$C:$C,"&lt;="&amp;$D3624,[1]内部转账!$E:$E,$G3624)-SUMIFS([1]内部转账!$G:$G,[1]内部转账!$C:$C,"&lt;="&amp;$D3624,[1]内部转账!$F:$F,$G3624)),"")</f>
        <v/>
      </c>
      <c r="M3624" s="64"/>
      <c r="N3624" s="69"/>
      <c r="O3624" s="64"/>
      <c r="P3624" s="64"/>
      <c r="Q3624" s="69"/>
      <c r="R3624" s="69"/>
      <c r="S3624" s="69"/>
    </row>
    <row r="3625" s="2" customFormat="1" ht="24.95" customHeight="1" spans="1:19">
      <c r="A3625" s="15"/>
      <c r="B3625" s="55"/>
      <c r="C3625" s="56"/>
      <c r="D3625" s="68"/>
      <c r="E3625" s="69"/>
      <c r="F3625" s="69"/>
      <c r="G3625" s="65"/>
      <c r="H3625" s="65"/>
      <c r="I3625" s="70"/>
      <c r="J3625" s="71"/>
      <c r="K3625" s="71"/>
      <c r="L3625" s="72" t="str">
        <f>IFERROR(IF(G3625="","",VLOOKUP($G3625,[1]基础信息!$B:$C,2,FALSE)+SUMIF(G$8:G3625,G3625,J$8:J3625)-SUMIF(G$8:G3625,G3625,K$8:K3625)+SUMIFS([1]内部转账!$G:$G,[1]内部转账!$C:$C,"&lt;="&amp;$D3625,[1]内部转账!$E:$E,$G3625)-SUMIFS([1]内部转账!$G:$G,[1]内部转账!$C:$C,"&lt;="&amp;$D3625,[1]内部转账!$F:$F,$G3625)),"")</f>
        <v/>
      </c>
      <c r="M3625" s="64"/>
      <c r="N3625" s="69"/>
      <c r="O3625" s="64"/>
      <c r="P3625" s="64"/>
      <c r="Q3625" s="69"/>
      <c r="R3625" s="69"/>
      <c r="S3625" s="69"/>
    </row>
    <row r="3626" s="2" customFormat="1" ht="24.95" customHeight="1" spans="1:19">
      <c r="A3626" s="15"/>
      <c r="B3626" s="55"/>
      <c r="C3626" s="56"/>
      <c r="D3626" s="68"/>
      <c r="E3626" s="69"/>
      <c r="F3626" s="69"/>
      <c r="G3626" s="65"/>
      <c r="H3626" s="65"/>
      <c r="I3626" s="70"/>
      <c r="J3626" s="71"/>
      <c r="K3626" s="71"/>
      <c r="L3626" s="72" t="str">
        <f>IFERROR(IF(G3626="","",VLOOKUP($G3626,[1]基础信息!$B:$C,2,FALSE)+SUMIF(G$8:G3626,G3626,J$8:J3626)-SUMIF(G$8:G3626,G3626,K$8:K3626)+SUMIFS([1]内部转账!$G:$G,[1]内部转账!$C:$C,"&lt;="&amp;$D3626,[1]内部转账!$E:$E,$G3626)-SUMIFS([1]内部转账!$G:$G,[1]内部转账!$C:$C,"&lt;="&amp;$D3626,[1]内部转账!$F:$F,$G3626)),"")</f>
        <v/>
      </c>
      <c r="M3626" s="64"/>
      <c r="N3626" s="69"/>
      <c r="O3626" s="64"/>
      <c r="P3626" s="64"/>
      <c r="Q3626" s="69"/>
      <c r="R3626" s="69"/>
      <c r="S3626" s="69"/>
    </row>
    <row r="3627" s="2" customFormat="1" ht="24.95" customHeight="1" spans="1:19">
      <c r="A3627" s="15"/>
      <c r="B3627" s="55"/>
      <c r="C3627" s="56"/>
      <c r="D3627" s="68"/>
      <c r="E3627" s="69"/>
      <c r="F3627" s="69"/>
      <c r="G3627" s="65"/>
      <c r="H3627" s="65"/>
      <c r="I3627" s="70"/>
      <c r="J3627" s="71"/>
      <c r="K3627" s="71"/>
      <c r="L3627" s="72" t="str">
        <f>IFERROR(IF(G3627="","",VLOOKUP($G3627,[1]基础信息!$B:$C,2,FALSE)+SUMIF(G$8:G3627,G3627,J$8:J3627)-SUMIF(G$8:G3627,G3627,K$8:K3627)+SUMIFS([1]内部转账!$G:$G,[1]内部转账!$C:$C,"&lt;="&amp;$D3627,[1]内部转账!$E:$E,$G3627)-SUMIFS([1]内部转账!$G:$G,[1]内部转账!$C:$C,"&lt;="&amp;$D3627,[1]内部转账!$F:$F,$G3627)),"")</f>
        <v/>
      </c>
      <c r="M3627" s="64"/>
      <c r="N3627" s="69"/>
      <c r="O3627" s="64"/>
      <c r="P3627" s="64"/>
      <c r="Q3627" s="69"/>
      <c r="R3627" s="69"/>
      <c r="S3627" s="69"/>
    </row>
    <row r="3628" s="2" customFormat="1" ht="24.95" customHeight="1" spans="1:19">
      <c r="A3628" s="15"/>
      <c r="B3628" s="55"/>
      <c r="C3628" s="56"/>
      <c r="D3628" s="68"/>
      <c r="E3628" s="69"/>
      <c r="F3628" s="69"/>
      <c r="G3628" s="65"/>
      <c r="H3628" s="65"/>
      <c r="I3628" s="70"/>
      <c r="J3628" s="71"/>
      <c r="K3628" s="71"/>
      <c r="L3628" s="72" t="str">
        <f>IFERROR(IF(G3628="","",VLOOKUP($G3628,[1]基础信息!$B:$C,2,FALSE)+SUMIF(G$8:G3628,G3628,J$8:J3628)-SUMIF(G$8:G3628,G3628,K$8:K3628)+SUMIFS([1]内部转账!$G:$G,[1]内部转账!$C:$C,"&lt;="&amp;$D3628,[1]内部转账!$E:$E,$G3628)-SUMIFS([1]内部转账!$G:$G,[1]内部转账!$C:$C,"&lt;="&amp;$D3628,[1]内部转账!$F:$F,$G3628)),"")</f>
        <v/>
      </c>
      <c r="M3628" s="64"/>
      <c r="N3628" s="69"/>
      <c r="O3628" s="64"/>
      <c r="P3628" s="64"/>
      <c r="Q3628" s="69"/>
      <c r="R3628" s="69"/>
      <c r="S3628" s="69"/>
    </row>
    <row r="3629" s="2" customFormat="1" ht="24.95" customHeight="1" spans="1:19">
      <c r="A3629" s="15"/>
      <c r="B3629" s="55"/>
      <c r="C3629" s="56"/>
      <c r="D3629" s="68"/>
      <c r="E3629" s="69"/>
      <c r="F3629" s="69"/>
      <c r="G3629" s="65"/>
      <c r="H3629" s="65"/>
      <c r="I3629" s="70"/>
      <c r="J3629" s="71"/>
      <c r="K3629" s="71"/>
      <c r="L3629" s="72" t="str">
        <f>IFERROR(IF(G3629="","",VLOOKUP($G3629,[1]基础信息!$B:$C,2,FALSE)+SUMIF(G$8:G3629,G3629,J$8:J3629)-SUMIF(G$8:G3629,G3629,K$8:K3629)+SUMIFS([1]内部转账!$G:$G,[1]内部转账!$C:$C,"&lt;="&amp;$D3629,[1]内部转账!$E:$E,$G3629)-SUMIFS([1]内部转账!$G:$G,[1]内部转账!$C:$C,"&lt;="&amp;$D3629,[1]内部转账!$F:$F,$G3629)),"")</f>
        <v/>
      </c>
      <c r="M3629" s="64"/>
      <c r="N3629" s="69"/>
      <c r="O3629" s="64"/>
      <c r="P3629" s="64"/>
      <c r="Q3629" s="69"/>
      <c r="R3629" s="69"/>
      <c r="S3629" s="69"/>
    </row>
    <row r="3630" s="2" customFormat="1" ht="24.95" customHeight="1" spans="1:19">
      <c r="A3630" s="15"/>
      <c r="B3630" s="55"/>
      <c r="C3630" s="56"/>
      <c r="D3630" s="68"/>
      <c r="E3630" s="69"/>
      <c r="F3630" s="69"/>
      <c r="G3630" s="65"/>
      <c r="H3630" s="65"/>
      <c r="I3630" s="70"/>
      <c r="J3630" s="71"/>
      <c r="K3630" s="71"/>
      <c r="L3630" s="72" t="str">
        <f>IFERROR(IF(G3630="","",VLOOKUP($G3630,[1]基础信息!$B:$C,2,FALSE)+SUMIF(G$8:G3630,G3630,J$8:J3630)-SUMIF(G$8:G3630,G3630,K$8:K3630)+SUMIFS([1]内部转账!$G:$G,[1]内部转账!$C:$C,"&lt;="&amp;$D3630,[1]内部转账!$E:$E,$G3630)-SUMIFS([1]内部转账!$G:$G,[1]内部转账!$C:$C,"&lt;="&amp;$D3630,[1]内部转账!$F:$F,$G3630)),"")</f>
        <v/>
      </c>
      <c r="M3630" s="64"/>
      <c r="N3630" s="69"/>
      <c r="O3630" s="64"/>
      <c r="P3630" s="64"/>
      <c r="Q3630" s="69"/>
      <c r="R3630" s="69"/>
      <c r="S3630" s="69"/>
    </row>
    <row r="3631" s="2" customFormat="1" ht="24.95" customHeight="1" spans="1:19">
      <c r="A3631" s="15"/>
      <c r="B3631" s="55"/>
      <c r="C3631" s="56"/>
      <c r="D3631" s="68"/>
      <c r="E3631" s="69"/>
      <c r="F3631" s="69"/>
      <c r="G3631" s="65"/>
      <c r="H3631" s="65"/>
      <c r="I3631" s="70"/>
      <c r="J3631" s="71"/>
      <c r="K3631" s="71"/>
      <c r="L3631" s="72" t="str">
        <f>IFERROR(IF(G3631="","",VLOOKUP($G3631,[1]基础信息!$B:$C,2,FALSE)+SUMIF(G$8:G3631,G3631,J$8:J3631)-SUMIF(G$8:G3631,G3631,K$8:K3631)+SUMIFS([1]内部转账!$G:$G,[1]内部转账!$C:$C,"&lt;="&amp;$D3631,[1]内部转账!$E:$E,$G3631)-SUMIFS([1]内部转账!$G:$G,[1]内部转账!$C:$C,"&lt;="&amp;$D3631,[1]内部转账!$F:$F,$G3631)),"")</f>
        <v/>
      </c>
      <c r="M3631" s="64"/>
      <c r="N3631" s="69"/>
      <c r="O3631" s="64"/>
      <c r="P3631" s="64"/>
      <c r="Q3631" s="69"/>
      <c r="R3631" s="69"/>
      <c r="S3631" s="69"/>
    </row>
    <row r="3632" s="2" customFormat="1" ht="24.95" customHeight="1" spans="1:19">
      <c r="A3632" s="15"/>
      <c r="B3632" s="55"/>
      <c r="C3632" s="56"/>
      <c r="D3632" s="68"/>
      <c r="E3632" s="69"/>
      <c r="F3632" s="69"/>
      <c r="G3632" s="65"/>
      <c r="H3632" s="65"/>
      <c r="I3632" s="70"/>
      <c r="J3632" s="71"/>
      <c r="K3632" s="71"/>
      <c r="L3632" s="72" t="str">
        <f>IFERROR(IF(G3632="","",VLOOKUP($G3632,[1]基础信息!$B:$C,2,FALSE)+SUMIF(G$8:G3632,G3632,J$8:J3632)-SUMIF(G$8:G3632,G3632,K$8:K3632)+SUMIFS([1]内部转账!$G:$G,[1]内部转账!$C:$C,"&lt;="&amp;$D3632,[1]内部转账!$E:$E,$G3632)-SUMIFS([1]内部转账!$G:$G,[1]内部转账!$C:$C,"&lt;="&amp;$D3632,[1]内部转账!$F:$F,$G3632)),"")</f>
        <v/>
      </c>
      <c r="M3632" s="64"/>
      <c r="N3632" s="69"/>
      <c r="O3632" s="64"/>
      <c r="P3632" s="64"/>
      <c r="Q3632" s="69"/>
      <c r="R3632" s="69"/>
      <c r="S3632" s="69"/>
    </row>
    <row r="3633" s="2" customFormat="1" ht="24.95" customHeight="1" spans="1:19">
      <c r="A3633" s="15"/>
      <c r="B3633" s="55"/>
      <c r="C3633" s="56"/>
      <c r="D3633" s="68"/>
      <c r="E3633" s="69"/>
      <c r="F3633" s="69"/>
      <c r="G3633" s="65"/>
      <c r="H3633" s="65"/>
      <c r="I3633" s="70"/>
      <c r="J3633" s="71"/>
      <c r="K3633" s="71"/>
      <c r="L3633" s="72" t="str">
        <f>IFERROR(IF(G3633="","",VLOOKUP($G3633,[1]基础信息!$B:$C,2,FALSE)+SUMIF(G$8:G3633,G3633,J$8:J3633)-SUMIF(G$8:G3633,G3633,K$8:K3633)+SUMIFS([1]内部转账!$G:$G,[1]内部转账!$C:$C,"&lt;="&amp;$D3633,[1]内部转账!$E:$E,$G3633)-SUMIFS([1]内部转账!$G:$G,[1]内部转账!$C:$C,"&lt;="&amp;$D3633,[1]内部转账!$F:$F,$G3633)),"")</f>
        <v/>
      </c>
      <c r="M3633" s="64"/>
      <c r="N3633" s="69"/>
      <c r="O3633" s="64"/>
      <c r="P3633" s="64"/>
      <c r="Q3633" s="69"/>
      <c r="R3633" s="69"/>
      <c r="S3633" s="69"/>
    </row>
    <row r="3634" s="2" customFormat="1" ht="24.95" customHeight="1" spans="1:19">
      <c r="A3634" s="15"/>
      <c r="B3634" s="55"/>
      <c r="C3634" s="56"/>
      <c r="D3634" s="68"/>
      <c r="E3634" s="69"/>
      <c r="F3634" s="69"/>
      <c r="G3634" s="65"/>
      <c r="H3634" s="65"/>
      <c r="I3634" s="70"/>
      <c r="J3634" s="71"/>
      <c r="K3634" s="71"/>
      <c r="L3634" s="72" t="str">
        <f>IFERROR(IF(G3634="","",VLOOKUP($G3634,[1]基础信息!$B:$C,2,FALSE)+SUMIF(G$8:G3634,G3634,J$8:J3634)-SUMIF(G$8:G3634,G3634,K$8:K3634)+SUMIFS([1]内部转账!$G:$G,[1]内部转账!$C:$C,"&lt;="&amp;$D3634,[1]内部转账!$E:$E,$G3634)-SUMIFS([1]内部转账!$G:$G,[1]内部转账!$C:$C,"&lt;="&amp;$D3634,[1]内部转账!$F:$F,$G3634)),"")</f>
        <v/>
      </c>
      <c r="M3634" s="64"/>
      <c r="N3634" s="69"/>
      <c r="O3634" s="64"/>
      <c r="P3634" s="64"/>
      <c r="Q3634" s="69"/>
      <c r="R3634" s="69"/>
      <c r="S3634" s="69"/>
    </row>
    <row r="3635" s="2" customFormat="1" ht="24.95" customHeight="1" spans="1:19">
      <c r="A3635" s="15"/>
      <c r="B3635" s="55"/>
      <c r="C3635" s="56"/>
      <c r="D3635" s="68"/>
      <c r="E3635" s="69"/>
      <c r="F3635" s="69"/>
      <c r="G3635" s="65"/>
      <c r="H3635" s="65"/>
      <c r="I3635" s="70"/>
      <c r="J3635" s="71"/>
      <c r="K3635" s="71"/>
      <c r="L3635" s="72" t="str">
        <f>IFERROR(IF(G3635="","",VLOOKUP($G3635,[1]基础信息!$B:$C,2,FALSE)+SUMIF(G$8:G3635,G3635,J$8:J3635)-SUMIF(G$8:G3635,G3635,K$8:K3635)+SUMIFS([1]内部转账!$G:$G,[1]内部转账!$C:$C,"&lt;="&amp;$D3635,[1]内部转账!$E:$E,$G3635)-SUMIFS([1]内部转账!$G:$G,[1]内部转账!$C:$C,"&lt;="&amp;$D3635,[1]内部转账!$F:$F,$G3635)),"")</f>
        <v/>
      </c>
      <c r="M3635" s="64"/>
      <c r="N3635" s="69"/>
      <c r="O3635" s="64"/>
      <c r="P3635" s="64"/>
      <c r="Q3635" s="69"/>
      <c r="R3635" s="69"/>
      <c r="S3635" s="69"/>
    </row>
    <row r="3636" s="2" customFormat="1" ht="24.95" customHeight="1" spans="1:19">
      <c r="A3636" s="15"/>
      <c r="B3636" s="55"/>
      <c r="C3636" s="56"/>
      <c r="D3636" s="68"/>
      <c r="E3636" s="69"/>
      <c r="F3636" s="69"/>
      <c r="G3636" s="65"/>
      <c r="H3636" s="65"/>
      <c r="I3636" s="70"/>
      <c r="J3636" s="71"/>
      <c r="K3636" s="71"/>
      <c r="L3636" s="72" t="str">
        <f>IFERROR(IF(G3636="","",VLOOKUP($G3636,[1]基础信息!$B:$C,2,FALSE)+SUMIF(G$8:G3636,G3636,J$8:J3636)-SUMIF(G$8:G3636,G3636,K$8:K3636)+SUMIFS([1]内部转账!$G:$G,[1]内部转账!$C:$C,"&lt;="&amp;$D3636,[1]内部转账!$E:$E,$G3636)-SUMIFS([1]内部转账!$G:$G,[1]内部转账!$C:$C,"&lt;="&amp;$D3636,[1]内部转账!$F:$F,$G3636)),"")</f>
        <v/>
      </c>
      <c r="M3636" s="64"/>
      <c r="N3636" s="69"/>
      <c r="O3636" s="64"/>
      <c r="P3636" s="64"/>
      <c r="Q3636" s="69"/>
      <c r="R3636" s="69"/>
      <c r="S3636" s="69"/>
    </row>
    <row r="3637" s="2" customFormat="1" ht="24.95" customHeight="1" spans="1:19">
      <c r="A3637" s="15"/>
      <c r="B3637" s="55"/>
      <c r="C3637" s="56"/>
      <c r="D3637" s="68"/>
      <c r="E3637" s="69"/>
      <c r="F3637" s="69"/>
      <c r="G3637" s="65"/>
      <c r="H3637" s="65"/>
      <c r="I3637" s="70"/>
      <c r="J3637" s="71"/>
      <c r="K3637" s="71"/>
      <c r="L3637" s="72" t="str">
        <f>IFERROR(IF(G3637="","",VLOOKUP($G3637,[1]基础信息!$B:$C,2,FALSE)+SUMIF(G$8:G3637,G3637,J$8:J3637)-SUMIF(G$8:G3637,G3637,K$8:K3637)+SUMIFS([1]内部转账!$G:$G,[1]内部转账!$C:$C,"&lt;="&amp;$D3637,[1]内部转账!$E:$E,$G3637)-SUMIFS([1]内部转账!$G:$G,[1]内部转账!$C:$C,"&lt;="&amp;$D3637,[1]内部转账!$F:$F,$G3637)),"")</f>
        <v/>
      </c>
      <c r="M3637" s="64"/>
      <c r="N3637" s="69"/>
      <c r="O3637" s="64"/>
      <c r="P3637" s="64"/>
      <c r="Q3637" s="69"/>
      <c r="R3637" s="69"/>
      <c r="S3637" s="69"/>
    </row>
    <row r="3638" s="2" customFormat="1" ht="24.95" customHeight="1" spans="1:19">
      <c r="A3638" s="15"/>
      <c r="B3638" s="55"/>
      <c r="C3638" s="56"/>
      <c r="D3638" s="68"/>
      <c r="E3638" s="69"/>
      <c r="F3638" s="69"/>
      <c r="G3638" s="65"/>
      <c r="H3638" s="65"/>
      <c r="I3638" s="70"/>
      <c r="J3638" s="71"/>
      <c r="K3638" s="71"/>
      <c r="L3638" s="72" t="str">
        <f>IFERROR(IF(G3638="","",VLOOKUP($G3638,[1]基础信息!$B:$C,2,FALSE)+SUMIF(G$8:G3638,G3638,J$8:J3638)-SUMIF(G$8:G3638,G3638,K$8:K3638)+SUMIFS([1]内部转账!$G:$G,[1]内部转账!$C:$C,"&lt;="&amp;$D3638,[1]内部转账!$E:$E,$G3638)-SUMIFS([1]内部转账!$G:$G,[1]内部转账!$C:$C,"&lt;="&amp;$D3638,[1]内部转账!$F:$F,$G3638)),"")</f>
        <v/>
      </c>
      <c r="M3638" s="64"/>
      <c r="N3638" s="69"/>
      <c r="O3638" s="64"/>
      <c r="P3638" s="64"/>
      <c r="Q3638" s="69"/>
      <c r="R3638" s="69"/>
      <c r="S3638" s="69"/>
    </row>
    <row r="3639" s="2" customFormat="1" ht="24.95" customHeight="1" spans="1:19">
      <c r="A3639" s="15"/>
      <c r="B3639" s="55"/>
      <c r="C3639" s="56"/>
      <c r="D3639" s="68"/>
      <c r="E3639" s="69"/>
      <c r="F3639" s="69"/>
      <c r="G3639" s="65"/>
      <c r="H3639" s="65"/>
      <c r="I3639" s="70"/>
      <c r="J3639" s="71"/>
      <c r="K3639" s="71"/>
      <c r="L3639" s="72" t="str">
        <f>IFERROR(IF(G3639="","",VLOOKUP($G3639,[1]基础信息!$B:$C,2,FALSE)+SUMIF(G$8:G3639,G3639,J$8:J3639)-SUMIF(G$8:G3639,G3639,K$8:K3639)+SUMIFS([1]内部转账!$G:$G,[1]内部转账!$C:$C,"&lt;="&amp;$D3639,[1]内部转账!$E:$E,$G3639)-SUMIFS([1]内部转账!$G:$G,[1]内部转账!$C:$C,"&lt;="&amp;$D3639,[1]内部转账!$F:$F,$G3639)),"")</f>
        <v/>
      </c>
      <c r="M3639" s="64"/>
      <c r="N3639" s="69"/>
      <c r="O3639" s="64"/>
      <c r="P3639" s="64"/>
      <c r="Q3639" s="69"/>
      <c r="R3639" s="69"/>
      <c r="S3639" s="69"/>
    </row>
    <row r="3640" s="2" customFormat="1" ht="24.95" customHeight="1" spans="1:19">
      <c r="A3640" s="15"/>
      <c r="B3640" s="55"/>
      <c r="C3640" s="56"/>
      <c r="D3640" s="68"/>
      <c r="E3640" s="69"/>
      <c r="F3640" s="69"/>
      <c r="G3640" s="65"/>
      <c r="H3640" s="65"/>
      <c r="I3640" s="70"/>
      <c r="J3640" s="71"/>
      <c r="K3640" s="71"/>
      <c r="L3640" s="72" t="str">
        <f>IFERROR(IF(G3640="","",VLOOKUP($G3640,[1]基础信息!$B:$C,2,FALSE)+SUMIF(G$8:G3640,G3640,J$8:J3640)-SUMIF(G$8:G3640,G3640,K$8:K3640)+SUMIFS([1]内部转账!$G:$G,[1]内部转账!$C:$C,"&lt;="&amp;$D3640,[1]内部转账!$E:$E,$G3640)-SUMIFS([1]内部转账!$G:$G,[1]内部转账!$C:$C,"&lt;="&amp;$D3640,[1]内部转账!$F:$F,$G3640)),"")</f>
        <v/>
      </c>
      <c r="M3640" s="64"/>
      <c r="N3640" s="69"/>
      <c r="O3640" s="64"/>
      <c r="P3640" s="64"/>
      <c r="Q3640" s="69"/>
      <c r="R3640" s="69"/>
      <c r="S3640" s="69"/>
    </row>
    <row r="3641" s="2" customFormat="1" ht="24.95" customHeight="1" spans="1:19">
      <c r="A3641" s="15"/>
      <c r="B3641" s="55"/>
      <c r="C3641" s="56"/>
      <c r="D3641" s="68"/>
      <c r="E3641" s="69"/>
      <c r="F3641" s="69"/>
      <c r="G3641" s="65"/>
      <c r="H3641" s="65"/>
      <c r="I3641" s="70"/>
      <c r="J3641" s="71"/>
      <c r="K3641" s="71"/>
      <c r="L3641" s="72" t="str">
        <f>IFERROR(IF(G3641="","",VLOOKUP($G3641,[1]基础信息!$B:$C,2,FALSE)+SUMIF(G$8:G3641,G3641,J$8:J3641)-SUMIF(G$8:G3641,G3641,K$8:K3641)+SUMIFS([1]内部转账!$G:$G,[1]内部转账!$C:$C,"&lt;="&amp;$D3641,[1]内部转账!$E:$E,$G3641)-SUMIFS([1]内部转账!$G:$G,[1]内部转账!$C:$C,"&lt;="&amp;$D3641,[1]内部转账!$F:$F,$G3641)),"")</f>
        <v/>
      </c>
      <c r="M3641" s="64"/>
      <c r="N3641" s="69"/>
      <c r="O3641" s="64"/>
      <c r="P3641" s="64"/>
      <c r="Q3641" s="69"/>
      <c r="R3641" s="69"/>
      <c r="S3641" s="69"/>
    </row>
    <row r="3642" s="2" customFormat="1" ht="24.95" customHeight="1" spans="1:19">
      <c r="A3642" s="15"/>
      <c r="B3642" s="55"/>
      <c r="C3642" s="56"/>
      <c r="D3642" s="68"/>
      <c r="E3642" s="69"/>
      <c r="F3642" s="69"/>
      <c r="G3642" s="65"/>
      <c r="H3642" s="65"/>
      <c r="I3642" s="70"/>
      <c r="J3642" s="71"/>
      <c r="K3642" s="71"/>
      <c r="L3642" s="72" t="str">
        <f>IFERROR(IF(G3642="","",VLOOKUP($G3642,[1]基础信息!$B:$C,2,FALSE)+SUMIF(G$8:G3642,G3642,J$8:J3642)-SUMIF(G$8:G3642,G3642,K$8:K3642)+SUMIFS([1]内部转账!$G:$G,[1]内部转账!$C:$C,"&lt;="&amp;$D3642,[1]内部转账!$E:$E,$G3642)-SUMIFS([1]内部转账!$G:$G,[1]内部转账!$C:$C,"&lt;="&amp;$D3642,[1]内部转账!$F:$F,$G3642)),"")</f>
        <v/>
      </c>
      <c r="M3642" s="64"/>
      <c r="N3642" s="69"/>
      <c r="O3642" s="64"/>
      <c r="P3642" s="64"/>
      <c r="Q3642" s="69"/>
      <c r="R3642" s="69"/>
      <c r="S3642" s="69"/>
    </row>
    <row r="3643" s="2" customFormat="1" ht="24.95" customHeight="1" spans="1:19">
      <c r="A3643" s="15"/>
      <c r="B3643" s="55"/>
      <c r="C3643" s="56"/>
      <c r="D3643" s="68"/>
      <c r="E3643" s="69"/>
      <c r="F3643" s="69"/>
      <c r="G3643" s="65"/>
      <c r="H3643" s="65"/>
      <c r="I3643" s="70"/>
      <c r="J3643" s="71"/>
      <c r="K3643" s="71"/>
      <c r="L3643" s="72" t="str">
        <f>IFERROR(IF(G3643="","",VLOOKUP($G3643,[1]基础信息!$B:$C,2,FALSE)+SUMIF(G$8:G3643,G3643,J$8:J3643)-SUMIF(G$8:G3643,G3643,K$8:K3643)+SUMIFS([1]内部转账!$G:$G,[1]内部转账!$C:$C,"&lt;="&amp;$D3643,[1]内部转账!$E:$E,$G3643)-SUMIFS([1]内部转账!$G:$G,[1]内部转账!$C:$C,"&lt;="&amp;$D3643,[1]内部转账!$F:$F,$G3643)),"")</f>
        <v/>
      </c>
      <c r="M3643" s="64"/>
      <c r="N3643" s="69"/>
      <c r="O3643" s="64"/>
      <c r="P3643" s="64"/>
      <c r="Q3643" s="69"/>
      <c r="R3643" s="69"/>
      <c r="S3643" s="69"/>
    </row>
    <row r="3644" s="2" customFormat="1" ht="24.95" customHeight="1" spans="1:19">
      <c r="A3644" s="15"/>
      <c r="B3644" s="55"/>
      <c r="C3644" s="56"/>
      <c r="D3644" s="68"/>
      <c r="E3644" s="69"/>
      <c r="F3644" s="69"/>
      <c r="G3644" s="65"/>
      <c r="H3644" s="65"/>
      <c r="I3644" s="70"/>
      <c r="J3644" s="71"/>
      <c r="K3644" s="71"/>
      <c r="L3644" s="72" t="str">
        <f>IFERROR(IF(G3644="","",VLOOKUP($G3644,[1]基础信息!$B:$C,2,FALSE)+SUMIF(G$8:G3644,G3644,J$8:J3644)-SUMIF(G$8:G3644,G3644,K$8:K3644)+SUMIFS([1]内部转账!$G:$G,[1]内部转账!$C:$C,"&lt;="&amp;$D3644,[1]内部转账!$E:$E,$G3644)-SUMIFS([1]内部转账!$G:$G,[1]内部转账!$C:$C,"&lt;="&amp;$D3644,[1]内部转账!$F:$F,$G3644)),"")</f>
        <v/>
      </c>
      <c r="M3644" s="64"/>
      <c r="N3644" s="69"/>
      <c r="O3644" s="64"/>
      <c r="P3644" s="64"/>
      <c r="Q3644" s="69"/>
      <c r="R3644" s="69"/>
      <c r="S3644" s="69"/>
    </row>
    <row r="3645" s="2" customFormat="1" ht="24.95" customHeight="1" spans="1:19">
      <c r="A3645" s="15"/>
      <c r="B3645" s="55"/>
      <c r="C3645" s="56"/>
      <c r="D3645" s="68"/>
      <c r="E3645" s="69"/>
      <c r="F3645" s="69"/>
      <c r="G3645" s="65"/>
      <c r="H3645" s="65"/>
      <c r="I3645" s="70"/>
      <c r="J3645" s="71"/>
      <c r="K3645" s="71"/>
      <c r="L3645" s="72" t="str">
        <f>IFERROR(IF(G3645="","",VLOOKUP($G3645,[1]基础信息!$B:$C,2,FALSE)+SUMIF(G$8:G3645,G3645,J$8:J3645)-SUMIF(G$8:G3645,G3645,K$8:K3645)+SUMIFS([1]内部转账!$G:$G,[1]内部转账!$C:$C,"&lt;="&amp;$D3645,[1]内部转账!$E:$E,$G3645)-SUMIFS([1]内部转账!$G:$G,[1]内部转账!$C:$C,"&lt;="&amp;$D3645,[1]内部转账!$F:$F,$G3645)),"")</f>
        <v/>
      </c>
      <c r="M3645" s="64"/>
      <c r="N3645" s="69"/>
      <c r="O3645" s="64"/>
      <c r="P3645" s="64"/>
      <c r="Q3645" s="69"/>
      <c r="R3645" s="69"/>
      <c r="S3645" s="69"/>
    </row>
    <row r="3646" s="2" customFormat="1" ht="24.95" customHeight="1" spans="1:19">
      <c r="A3646" s="15"/>
      <c r="B3646" s="55"/>
      <c r="C3646" s="56"/>
      <c r="D3646" s="68"/>
      <c r="E3646" s="69"/>
      <c r="F3646" s="69"/>
      <c r="G3646" s="65"/>
      <c r="H3646" s="65"/>
      <c r="I3646" s="70"/>
      <c r="J3646" s="71"/>
      <c r="K3646" s="71"/>
      <c r="L3646" s="72" t="str">
        <f>IFERROR(IF(G3646="","",VLOOKUP($G3646,[1]基础信息!$B:$C,2,FALSE)+SUMIF(G$8:G3646,G3646,J$8:J3646)-SUMIF(G$8:G3646,G3646,K$8:K3646)+SUMIFS([1]内部转账!$G:$G,[1]内部转账!$C:$C,"&lt;="&amp;$D3646,[1]内部转账!$E:$E,$G3646)-SUMIFS([1]内部转账!$G:$G,[1]内部转账!$C:$C,"&lt;="&amp;$D3646,[1]内部转账!$F:$F,$G3646)),"")</f>
        <v/>
      </c>
      <c r="M3646" s="64"/>
      <c r="N3646" s="69"/>
      <c r="O3646" s="64"/>
      <c r="P3646" s="64"/>
      <c r="Q3646" s="69"/>
      <c r="R3646" s="69"/>
      <c r="S3646" s="69"/>
    </row>
    <row r="3647" s="2" customFormat="1" ht="24.95" customHeight="1" spans="1:19">
      <c r="A3647" s="15"/>
      <c r="B3647" s="55"/>
      <c r="C3647" s="56"/>
      <c r="D3647" s="68"/>
      <c r="E3647" s="69"/>
      <c r="F3647" s="69"/>
      <c r="G3647" s="65"/>
      <c r="H3647" s="65"/>
      <c r="I3647" s="70"/>
      <c r="J3647" s="71"/>
      <c r="K3647" s="71"/>
      <c r="L3647" s="72" t="str">
        <f>IFERROR(IF(G3647="","",VLOOKUP($G3647,[1]基础信息!$B:$C,2,FALSE)+SUMIF(G$8:G3647,G3647,J$8:J3647)-SUMIF(G$8:G3647,G3647,K$8:K3647)+SUMIFS([1]内部转账!$G:$G,[1]内部转账!$C:$C,"&lt;="&amp;$D3647,[1]内部转账!$E:$E,$G3647)-SUMIFS([1]内部转账!$G:$G,[1]内部转账!$C:$C,"&lt;="&amp;$D3647,[1]内部转账!$F:$F,$G3647)),"")</f>
        <v/>
      </c>
      <c r="M3647" s="64"/>
      <c r="N3647" s="69"/>
      <c r="O3647" s="64"/>
      <c r="P3647" s="64"/>
      <c r="Q3647" s="69"/>
      <c r="R3647" s="69"/>
      <c r="S3647" s="69"/>
    </row>
    <row r="3648" s="2" customFormat="1" ht="24.95" customHeight="1" spans="1:19">
      <c r="A3648" s="15"/>
      <c r="B3648" s="55"/>
      <c r="C3648" s="56"/>
      <c r="D3648" s="68"/>
      <c r="E3648" s="69"/>
      <c r="F3648" s="69"/>
      <c r="G3648" s="65"/>
      <c r="H3648" s="65"/>
      <c r="I3648" s="70"/>
      <c r="J3648" s="71"/>
      <c r="K3648" s="71"/>
      <c r="L3648" s="72" t="str">
        <f>IFERROR(IF(G3648="","",VLOOKUP($G3648,[1]基础信息!$B:$C,2,FALSE)+SUMIF(G$8:G3648,G3648,J$8:J3648)-SUMIF(G$8:G3648,G3648,K$8:K3648)+SUMIFS([1]内部转账!$G:$G,[1]内部转账!$C:$C,"&lt;="&amp;$D3648,[1]内部转账!$E:$E,$G3648)-SUMIFS([1]内部转账!$G:$G,[1]内部转账!$C:$C,"&lt;="&amp;$D3648,[1]内部转账!$F:$F,$G3648)),"")</f>
        <v/>
      </c>
      <c r="M3648" s="64"/>
      <c r="N3648" s="69"/>
      <c r="O3648" s="64"/>
      <c r="P3648" s="64"/>
      <c r="Q3648" s="69"/>
      <c r="R3648" s="69"/>
      <c r="S3648" s="69"/>
    </row>
    <row r="3649" s="2" customFormat="1" ht="24.95" customHeight="1" spans="1:19">
      <c r="A3649" s="15"/>
      <c r="B3649" s="55"/>
      <c r="C3649" s="56"/>
      <c r="D3649" s="68"/>
      <c r="E3649" s="69"/>
      <c r="F3649" s="69"/>
      <c r="G3649" s="65"/>
      <c r="H3649" s="65"/>
      <c r="I3649" s="70"/>
      <c r="J3649" s="71"/>
      <c r="K3649" s="71"/>
      <c r="L3649" s="72" t="str">
        <f>IFERROR(IF(G3649="","",VLOOKUP($G3649,[1]基础信息!$B:$C,2,FALSE)+SUMIF(G$8:G3649,G3649,J$8:J3649)-SUMIF(G$8:G3649,G3649,K$8:K3649)+SUMIFS([1]内部转账!$G:$G,[1]内部转账!$C:$C,"&lt;="&amp;$D3649,[1]内部转账!$E:$E,$G3649)-SUMIFS([1]内部转账!$G:$G,[1]内部转账!$C:$C,"&lt;="&amp;$D3649,[1]内部转账!$F:$F,$G3649)),"")</f>
        <v/>
      </c>
      <c r="M3649" s="64"/>
      <c r="N3649" s="69"/>
      <c r="O3649" s="64"/>
      <c r="P3649" s="64"/>
      <c r="Q3649" s="69"/>
      <c r="R3649" s="69"/>
      <c r="S3649" s="69"/>
    </row>
    <row r="3650" s="2" customFormat="1" ht="24.95" customHeight="1" spans="1:19">
      <c r="A3650" s="15"/>
      <c r="B3650" s="55"/>
      <c r="C3650" s="56"/>
      <c r="D3650" s="68"/>
      <c r="E3650" s="69"/>
      <c r="F3650" s="69"/>
      <c r="G3650" s="65"/>
      <c r="H3650" s="65"/>
      <c r="I3650" s="70"/>
      <c r="J3650" s="71"/>
      <c r="K3650" s="71"/>
      <c r="L3650" s="72" t="str">
        <f>IFERROR(IF(G3650="","",VLOOKUP($G3650,[1]基础信息!$B:$C,2,FALSE)+SUMIF(G$8:G3650,G3650,J$8:J3650)-SUMIF(G$8:G3650,G3650,K$8:K3650)+SUMIFS([1]内部转账!$G:$G,[1]内部转账!$C:$C,"&lt;="&amp;$D3650,[1]内部转账!$E:$E,$G3650)-SUMIFS([1]内部转账!$G:$G,[1]内部转账!$C:$C,"&lt;="&amp;$D3650,[1]内部转账!$F:$F,$G3650)),"")</f>
        <v/>
      </c>
      <c r="M3650" s="64"/>
      <c r="N3650" s="69"/>
      <c r="O3650" s="64"/>
      <c r="P3650" s="64"/>
      <c r="Q3650" s="69"/>
      <c r="R3650" s="69"/>
      <c r="S3650" s="69"/>
    </row>
    <row r="3651" s="2" customFormat="1" ht="24.95" customHeight="1" spans="1:19">
      <c r="A3651" s="15"/>
      <c r="B3651" s="55"/>
      <c r="C3651" s="56"/>
      <c r="D3651" s="68"/>
      <c r="E3651" s="69"/>
      <c r="F3651" s="69"/>
      <c r="G3651" s="65"/>
      <c r="H3651" s="65"/>
      <c r="I3651" s="70"/>
      <c r="J3651" s="71"/>
      <c r="K3651" s="71"/>
      <c r="L3651" s="72" t="str">
        <f>IFERROR(IF(G3651="","",VLOOKUP($G3651,[1]基础信息!$B:$C,2,FALSE)+SUMIF(G$8:G3651,G3651,J$8:J3651)-SUMIF(G$8:G3651,G3651,K$8:K3651)+SUMIFS([1]内部转账!$G:$G,[1]内部转账!$C:$C,"&lt;="&amp;$D3651,[1]内部转账!$E:$E,$G3651)-SUMIFS([1]内部转账!$G:$G,[1]内部转账!$C:$C,"&lt;="&amp;$D3651,[1]内部转账!$F:$F,$G3651)),"")</f>
        <v/>
      </c>
      <c r="M3651" s="64"/>
      <c r="N3651" s="69"/>
      <c r="O3651" s="64"/>
      <c r="P3651" s="64"/>
      <c r="Q3651" s="69"/>
      <c r="R3651" s="69"/>
      <c r="S3651" s="69"/>
    </row>
    <row r="3652" s="2" customFormat="1" ht="24.95" customHeight="1" spans="1:19">
      <c r="A3652" s="15"/>
      <c r="B3652" s="55"/>
      <c r="C3652" s="56"/>
      <c r="D3652" s="68"/>
      <c r="E3652" s="69"/>
      <c r="F3652" s="69"/>
      <c r="G3652" s="65"/>
      <c r="H3652" s="65"/>
      <c r="I3652" s="70"/>
      <c r="J3652" s="71"/>
      <c r="K3652" s="71"/>
      <c r="L3652" s="72" t="str">
        <f>IFERROR(IF(G3652="","",VLOOKUP($G3652,[1]基础信息!$B:$C,2,FALSE)+SUMIF(G$8:G3652,G3652,J$8:J3652)-SUMIF(G$8:G3652,G3652,K$8:K3652)+SUMIFS([1]内部转账!$G:$G,[1]内部转账!$C:$C,"&lt;="&amp;$D3652,[1]内部转账!$E:$E,$G3652)-SUMIFS([1]内部转账!$G:$G,[1]内部转账!$C:$C,"&lt;="&amp;$D3652,[1]内部转账!$F:$F,$G3652)),"")</f>
        <v/>
      </c>
      <c r="M3652" s="64"/>
      <c r="N3652" s="69"/>
      <c r="O3652" s="64"/>
      <c r="P3652" s="64"/>
      <c r="Q3652" s="69"/>
      <c r="R3652" s="69"/>
      <c r="S3652" s="69"/>
    </row>
    <row r="3653" s="2" customFormat="1" ht="24.95" customHeight="1" spans="1:19">
      <c r="A3653" s="15"/>
      <c r="B3653" s="55"/>
      <c r="C3653" s="56"/>
      <c r="D3653" s="68"/>
      <c r="E3653" s="69"/>
      <c r="F3653" s="69"/>
      <c r="G3653" s="65"/>
      <c r="H3653" s="65"/>
      <c r="I3653" s="70"/>
      <c r="J3653" s="71"/>
      <c r="K3653" s="71"/>
      <c r="L3653" s="72" t="str">
        <f>IFERROR(IF(G3653="","",VLOOKUP($G3653,[1]基础信息!$B:$C,2,FALSE)+SUMIF(G$8:G3653,G3653,J$8:J3653)-SUMIF(G$8:G3653,G3653,K$8:K3653)+SUMIFS([1]内部转账!$G:$G,[1]内部转账!$C:$C,"&lt;="&amp;$D3653,[1]内部转账!$E:$E,$G3653)-SUMIFS([1]内部转账!$G:$G,[1]内部转账!$C:$C,"&lt;="&amp;$D3653,[1]内部转账!$F:$F,$G3653)),"")</f>
        <v/>
      </c>
      <c r="M3653" s="64"/>
      <c r="N3653" s="69"/>
      <c r="O3653" s="64"/>
      <c r="P3653" s="64"/>
      <c r="Q3653" s="69"/>
      <c r="R3653" s="69"/>
      <c r="S3653" s="69"/>
    </row>
    <row r="3654" s="2" customFormat="1" ht="24.95" customHeight="1" spans="1:19">
      <c r="A3654" s="15"/>
      <c r="B3654" s="55"/>
      <c r="C3654" s="56"/>
      <c r="D3654" s="68"/>
      <c r="E3654" s="69"/>
      <c r="F3654" s="69"/>
      <c r="G3654" s="65"/>
      <c r="H3654" s="65"/>
      <c r="I3654" s="70"/>
      <c r="J3654" s="71"/>
      <c r="K3654" s="71"/>
      <c r="L3654" s="72" t="str">
        <f>IFERROR(IF(G3654="","",VLOOKUP($G3654,[1]基础信息!$B:$C,2,FALSE)+SUMIF(G$8:G3654,G3654,J$8:J3654)-SUMIF(G$8:G3654,G3654,K$8:K3654)+SUMIFS([1]内部转账!$G:$G,[1]内部转账!$C:$C,"&lt;="&amp;$D3654,[1]内部转账!$E:$E,$G3654)-SUMIFS([1]内部转账!$G:$G,[1]内部转账!$C:$C,"&lt;="&amp;$D3654,[1]内部转账!$F:$F,$G3654)),"")</f>
        <v/>
      </c>
      <c r="M3654" s="64"/>
      <c r="N3654" s="69"/>
      <c r="O3654" s="64"/>
      <c r="P3654" s="64"/>
      <c r="Q3654" s="69"/>
      <c r="R3654" s="69"/>
      <c r="S3654" s="69"/>
    </row>
    <row r="3655" s="2" customFormat="1" ht="24.95" customHeight="1" spans="1:19">
      <c r="A3655" s="15"/>
      <c r="B3655" s="55"/>
      <c r="C3655" s="56"/>
      <c r="D3655" s="68"/>
      <c r="E3655" s="69"/>
      <c r="F3655" s="69"/>
      <c r="G3655" s="65"/>
      <c r="H3655" s="65"/>
      <c r="I3655" s="70"/>
      <c r="J3655" s="71"/>
      <c r="K3655" s="71"/>
      <c r="L3655" s="72" t="str">
        <f>IFERROR(IF(G3655="","",VLOOKUP($G3655,[1]基础信息!$B:$C,2,FALSE)+SUMIF(G$8:G3655,G3655,J$8:J3655)-SUMIF(G$8:G3655,G3655,K$8:K3655)+SUMIFS([1]内部转账!$G:$G,[1]内部转账!$C:$C,"&lt;="&amp;$D3655,[1]内部转账!$E:$E,$G3655)-SUMIFS([1]内部转账!$G:$G,[1]内部转账!$C:$C,"&lt;="&amp;$D3655,[1]内部转账!$F:$F,$G3655)),"")</f>
        <v/>
      </c>
      <c r="M3655" s="64"/>
      <c r="N3655" s="69"/>
      <c r="O3655" s="64"/>
      <c r="P3655" s="64"/>
      <c r="Q3655" s="69"/>
      <c r="R3655" s="69"/>
      <c r="S3655" s="69"/>
    </row>
    <row r="3656" s="2" customFormat="1" ht="24.95" customHeight="1" spans="1:19">
      <c r="A3656" s="15"/>
      <c r="B3656" s="55"/>
      <c r="C3656" s="56"/>
      <c r="D3656" s="68"/>
      <c r="E3656" s="69"/>
      <c r="F3656" s="69"/>
      <c r="G3656" s="65"/>
      <c r="H3656" s="65"/>
      <c r="I3656" s="70"/>
      <c r="J3656" s="71"/>
      <c r="K3656" s="71"/>
      <c r="L3656" s="72" t="str">
        <f>IFERROR(IF(G3656="","",VLOOKUP($G3656,[1]基础信息!$B:$C,2,FALSE)+SUMIF(G$8:G3656,G3656,J$8:J3656)-SUMIF(G$8:G3656,G3656,K$8:K3656)+SUMIFS([1]内部转账!$G:$G,[1]内部转账!$C:$C,"&lt;="&amp;$D3656,[1]内部转账!$E:$E,$G3656)-SUMIFS([1]内部转账!$G:$G,[1]内部转账!$C:$C,"&lt;="&amp;$D3656,[1]内部转账!$F:$F,$G3656)),"")</f>
        <v/>
      </c>
      <c r="M3656" s="64"/>
      <c r="N3656" s="69"/>
      <c r="O3656" s="64"/>
      <c r="P3656" s="64"/>
      <c r="Q3656" s="69"/>
      <c r="R3656" s="69"/>
      <c r="S3656" s="69"/>
    </row>
    <row r="3657" s="2" customFormat="1" ht="24.95" customHeight="1" spans="1:19">
      <c r="A3657" s="15"/>
      <c r="B3657" s="55"/>
      <c r="C3657" s="56"/>
      <c r="D3657" s="68"/>
      <c r="E3657" s="69"/>
      <c r="F3657" s="69"/>
      <c r="G3657" s="65"/>
      <c r="H3657" s="65"/>
      <c r="I3657" s="70"/>
      <c r="J3657" s="71"/>
      <c r="K3657" s="71"/>
      <c r="L3657" s="72" t="str">
        <f>IFERROR(IF(G3657="","",VLOOKUP($G3657,[1]基础信息!$B:$C,2,FALSE)+SUMIF(G$8:G3657,G3657,J$8:J3657)-SUMIF(G$8:G3657,G3657,K$8:K3657)+SUMIFS([1]内部转账!$G:$G,[1]内部转账!$C:$C,"&lt;="&amp;$D3657,[1]内部转账!$E:$E,$G3657)-SUMIFS([1]内部转账!$G:$G,[1]内部转账!$C:$C,"&lt;="&amp;$D3657,[1]内部转账!$F:$F,$G3657)),"")</f>
        <v/>
      </c>
      <c r="M3657" s="64"/>
      <c r="N3657" s="69"/>
      <c r="O3657" s="64"/>
      <c r="P3657" s="64"/>
      <c r="Q3657" s="69"/>
      <c r="R3657" s="69"/>
      <c r="S3657" s="69"/>
    </row>
    <row r="3658" s="2" customFormat="1" ht="24.95" customHeight="1" spans="1:19">
      <c r="A3658" s="15"/>
      <c r="B3658" s="55"/>
      <c r="C3658" s="56"/>
      <c r="D3658" s="68"/>
      <c r="E3658" s="69"/>
      <c r="F3658" s="69"/>
      <c r="G3658" s="65"/>
      <c r="H3658" s="65"/>
      <c r="I3658" s="70"/>
      <c r="J3658" s="71"/>
      <c r="K3658" s="71"/>
      <c r="L3658" s="72" t="str">
        <f>IFERROR(IF(G3658="","",VLOOKUP($G3658,[1]基础信息!$B:$C,2,FALSE)+SUMIF(G$8:G3658,G3658,J$8:J3658)-SUMIF(G$8:G3658,G3658,K$8:K3658)+SUMIFS([1]内部转账!$G:$G,[1]内部转账!$C:$C,"&lt;="&amp;$D3658,[1]内部转账!$E:$E,$G3658)-SUMIFS([1]内部转账!$G:$G,[1]内部转账!$C:$C,"&lt;="&amp;$D3658,[1]内部转账!$F:$F,$G3658)),"")</f>
        <v/>
      </c>
      <c r="M3658" s="64"/>
      <c r="N3658" s="69"/>
      <c r="O3658" s="64"/>
      <c r="P3658" s="64"/>
      <c r="Q3658" s="69"/>
      <c r="R3658" s="69"/>
      <c r="S3658" s="69"/>
    </row>
    <row r="3659" s="2" customFormat="1" ht="24.95" customHeight="1" spans="1:19">
      <c r="A3659" s="15"/>
      <c r="B3659" s="55"/>
      <c r="C3659" s="56"/>
      <c r="D3659" s="68"/>
      <c r="E3659" s="69"/>
      <c r="F3659" s="69"/>
      <c r="G3659" s="65"/>
      <c r="H3659" s="65"/>
      <c r="I3659" s="70"/>
      <c r="J3659" s="71"/>
      <c r="K3659" s="71"/>
      <c r="L3659" s="72" t="str">
        <f>IFERROR(IF(G3659="","",VLOOKUP($G3659,[1]基础信息!$B:$C,2,FALSE)+SUMIF(G$8:G3659,G3659,J$8:J3659)-SUMIF(G$8:G3659,G3659,K$8:K3659)+SUMIFS([1]内部转账!$G:$G,[1]内部转账!$C:$C,"&lt;="&amp;$D3659,[1]内部转账!$E:$E,$G3659)-SUMIFS([1]内部转账!$G:$G,[1]内部转账!$C:$C,"&lt;="&amp;$D3659,[1]内部转账!$F:$F,$G3659)),"")</f>
        <v/>
      </c>
      <c r="M3659" s="64"/>
      <c r="N3659" s="69"/>
      <c r="O3659" s="64"/>
      <c r="P3659" s="64"/>
      <c r="Q3659" s="69"/>
      <c r="R3659" s="69"/>
      <c r="S3659" s="69"/>
    </row>
    <row r="3660" s="2" customFormat="1" ht="24.95" customHeight="1" spans="1:19">
      <c r="A3660" s="15"/>
      <c r="B3660" s="55"/>
      <c r="C3660" s="56"/>
      <c r="D3660" s="68"/>
      <c r="E3660" s="69"/>
      <c r="F3660" s="69"/>
      <c r="G3660" s="65"/>
      <c r="H3660" s="65"/>
      <c r="I3660" s="70"/>
      <c r="J3660" s="71"/>
      <c r="K3660" s="71"/>
      <c r="L3660" s="72" t="str">
        <f>IFERROR(IF(G3660="","",VLOOKUP($G3660,[1]基础信息!$B:$C,2,FALSE)+SUMIF(G$8:G3660,G3660,J$8:J3660)-SUMIF(G$8:G3660,G3660,K$8:K3660)+SUMIFS([1]内部转账!$G:$G,[1]内部转账!$C:$C,"&lt;="&amp;$D3660,[1]内部转账!$E:$E,$G3660)-SUMIFS([1]内部转账!$G:$G,[1]内部转账!$C:$C,"&lt;="&amp;$D3660,[1]内部转账!$F:$F,$G3660)),"")</f>
        <v/>
      </c>
      <c r="M3660" s="64"/>
      <c r="N3660" s="69"/>
      <c r="O3660" s="64"/>
      <c r="P3660" s="64"/>
      <c r="Q3660" s="69"/>
      <c r="R3660" s="69"/>
      <c r="S3660" s="69"/>
    </row>
    <row r="3661" s="2" customFormat="1" ht="24.95" customHeight="1" spans="1:19">
      <c r="A3661" s="15"/>
      <c r="B3661" s="55"/>
      <c r="C3661" s="56"/>
      <c r="D3661" s="68"/>
      <c r="E3661" s="69"/>
      <c r="F3661" s="69"/>
      <c r="G3661" s="65"/>
      <c r="H3661" s="65"/>
      <c r="I3661" s="70"/>
      <c r="J3661" s="71"/>
      <c r="K3661" s="71"/>
      <c r="L3661" s="72" t="str">
        <f>IFERROR(IF(G3661="","",VLOOKUP($G3661,[1]基础信息!$B:$C,2,FALSE)+SUMIF(G$8:G3661,G3661,J$8:J3661)-SUMIF(G$8:G3661,G3661,K$8:K3661)+SUMIFS([1]内部转账!$G:$G,[1]内部转账!$C:$C,"&lt;="&amp;$D3661,[1]内部转账!$E:$E,$G3661)-SUMIFS([1]内部转账!$G:$G,[1]内部转账!$C:$C,"&lt;="&amp;$D3661,[1]内部转账!$F:$F,$G3661)),"")</f>
        <v/>
      </c>
      <c r="M3661" s="64"/>
      <c r="N3661" s="69"/>
      <c r="O3661" s="64"/>
      <c r="P3661" s="64"/>
      <c r="Q3661" s="69"/>
      <c r="R3661" s="69"/>
      <c r="S3661" s="69"/>
    </row>
    <row r="3662" s="2" customFormat="1" ht="24.95" customHeight="1" spans="1:19">
      <c r="A3662" s="15"/>
      <c r="B3662" s="55"/>
      <c r="C3662" s="56"/>
      <c r="D3662" s="68"/>
      <c r="E3662" s="69"/>
      <c r="F3662" s="69"/>
      <c r="G3662" s="65"/>
      <c r="H3662" s="65"/>
      <c r="I3662" s="70"/>
      <c r="J3662" s="71"/>
      <c r="K3662" s="71"/>
      <c r="L3662" s="72" t="str">
        <f>IFERROR(IF(G3662="","",VLOOKUP($G3662,[1]基础信息!$B:$C,2,FALSE)+SUMIF(G$8:G3662,G3662,J$8:J3662)-SUMIF(G$8:G3662,G3662,K$8:K3662)+SUMIFS([1]内部转账!$G:$G,[1]内部转账!$C:$C,"&lt;="&amp;$D3662,[1]内部转账!$E:$E,$G3662)-SUMIFS([1]内部转账!$G:$G,[1]内部转账!$C:$C,"&lt;="&amp;$D3662,[1]内部转账!$F:$F,$G3662)),"")</f>
        <v/>
      </c>
      <c r="M3662" s="64"/>
      <c r="N3662" s="69"/>
      <c r="O3662" s="64"/>
      <c r="P3662" s="64"/>
      <c r="Q3662" s="69"/>
      <c r="R3662" s="69"/>
      <c r="S3662" s="69"/>
    </row>
    <row r="3663" s="2" customFormat="1" ht="24.95" customHeight="1" spans="1:19">
      <c r="A3663" s="15"/>
      <c r="B3663" s="55"/>
      <c r="C3663" s="56"/>
      <c r="D3663" s="68"/>
      <c r="E3663" s="69"/>
      <c r="F3663" s="69"/>
      <c r="G3663" s="65"/>
      <c r="H3663" s="65"/>
      <c r="I3663" s="70"/>
      <c r="J3663" s="71"/>
      <c r="K3663" s="71"/>
      <c r="L3663" s="72" t="str">
        <f>IFERROR(IF(G3663="","",VLOOKUP($G3663,[1]基础信息!$B:$C,2,FALSE)+SUMIF(G$8:G3663,G3663,J$8:J3663)-SUMIF(G$8:G3663,G3663,K$8:K3663)+SUMIFS([1]内部转账!$G:$G,[1]内部转账!$C:$C,"&lt;="&amp;$D3663,[1]内部转账!$E:$E,$G3663)-SUMIFS([1]内部转账!$G:$G,[1]内部转账!$C:$C,"&lt;="&amp;$D3663,[1]内部转账!$F:$F,$G3663)),"")</f>
        <v/>
      </c>
      <c r="M3663" s="64"/>
      <c r="N3663" s="69"/>
      <c r="O3663" s="64"/>
      <c r="P3663" s="64"/>
      <c r="Q3663" s="69"/>
      <c r="R3663" s="69"/>
      <c r="S3663" s="69"/>
    </row>
    <row r="3664" s="2" customFormat="1" ht="24.95" customHeight="1" spans="1:19">
      <c r="A3664" s="15"/>
      <c r="B3664" s="55"/>
      <c r="C3664" s="56"/>
      <c r="D3664" s="68"/>
      <c r="E3664" s="69"/>
      <c r="F3664" s="69"/>
      <c r="G3664" s="65"/>
      <c r="H3664" s="65"/>
      <c r="I3664" s="70"/>
      <c r="J3664" s="71"/>
      <c r="K3664" s="71"/>
      <c r="L3664" s="72" t="str">
        <f>IFERROR(IF(G3664="","",VLOOKUP($G3664,[1]基础信息!$B:$C,2,FALSE)+SUMIF(G$8:G3664,G3664,J$8:J3664)-SUMIF(G$8:G3664,G3664,K$8:K3664)+SUMIFS([1]内部转账!$G:$G,[1]内部转账!$C:$C,"&lt;="&amp;$D3664,[1]内部转账!$E:$E,$G3664)-SUMIFS([1]内部转账!$G:$G,[1]内部转账!$C:$C,"&lt;="&amp;$D3664,[1]内部转账!$F:$F,$G3664)),"")</f>
        <v/>
      </c>
      <c r="M3664" s="64"/>
      <c r="N3664" s="69"/>
      <c r="O3664" s="64"/>
      <c r="P3664" s="64"/>
      <c r="Q3664" s="69"/>
      <c r="R3664" s="69"/>
      <c r="S3664" s="69"/>
    </row>
    <row r="3665" s="2" customFormat="1" ht="24.95" customHeight="1" spans="1:19">
      <c r="A3665" s="15"/>
      <c r="B3665" s="55"/>
      <c r="C3665" s="56"/>
      <c r="D3665" s="68"/>
      <c r="E3665" s="69"/>
      <c r="F3665" s="69"/>
      <c r="G3665" s="65"/>
      <c r="H3665" s="65"/>
      <c r="I3665" s="70"/>
      <c r="J3665" s="71"/>
      <c r="K3665" s="71"/>
      <c r="L3665" s="72" t="str">
        <f>IFERROR(IF(G3665="","",VLOOKUP($G3665,[1]基础信息!$B:$C,2,FALSE)+SUMIF(G$8:G3665,G3665,J$8:J3665)-SUMIF(G$8:G3665,G3665,K$8:K3665)+SUMIFS([1]内部转账!$G:$G,[1]内部转账!$C:$C,"&lt;="&amp;$D3665,[1]内部转账!$E:$E,$G3665)-SUMIFS([1]内部转账!$G:$G,[1]内部转账!$C:$C,"&lt;="&amp;$D3665,[1]内部转账!$F:$F,$G3665)),"")</f>
        <v/>
      </c>
      <c r="M3665" s="64"/>
      <c r="N3665" s="69"/>
      <c r="O3665" s="64"/>
      <c r="P3665" s="64"/>
      <c r="Q3665" s="69"/>
      <c r="R3665" s="69"/>
      <c r="S3665" s="69"/>
    </row>
    <row r="3666" s="2" customFormat="1" ht="24.95" customHeight="1" spans="1:19">
      <c r="A3666" s="15"/>
      <c r="B3666" s="55"/>
      <c r="C3666" s="56"/>
      <c r="D3666" s="68"/>
      <c r="E3666" s="69"/>
      <c r="F3666" s="69"/>
      <c r="G3666" s="65"/>
      <c r="H3666" s="65"/>
      <c r="I3666" s="70"/>
      <c r="J3666" s="71"/>
      <c r="K3666" s="71"/>
      <c r="L3666" s="72" t="str">
        <f>IFERROR(IF(G3666="","",VLOOKUP($G3666,[1]基础信息!$B:$C,2,FALSE)+SUMIF(G$8:G3666,G3666,J$8:J3666)-SUMIF(G$8:G3666,G3666,K$8:K3666)+SUMIFS([1]内部转账!$G:$G,[1]内部转账!$C:$C,"&lt;="&amp;$D3666,[1]内部转账!$E:$E,$G3666)-SUMIFS([1]内部转账!$G:$G,[1]内部转账!$C:$C,"&lt;="&amp;$D3666,[1]内部转账!$F:$F,$G3666)),"")</f>
        <v/>
      </c>
      <c r="M3666" s="64"/>
      <c r="N3666" s="69"/>
      <c r="O3666" s="64"/>
      <c r="P3666" s="64"/>
      <c r="Q3666" s="69"/>
      <c r="R3666" s="69"/>
      <c r="S3666" s="69"/>
    </row>
    <row r="3667" s="2" customFormat="1" ht="24.95" customHeight="1" spans="1:19">
      <c r="A3667" s="15"/>
      <c r="B3667" s="55"/>
      <c r="C3667" s="56"/>
      <c r="D3667" s="68"/>
      <c r="E3667" s="69"/>
      <c r="F3667" s="69"/>
      <c r="G3667" s="65"/>
      <c r="H3667" s="65"/>
      <c r="I3667" s="70"/>
      <c r="J3667" s="71"/>
      <c r="K3667" s="71"/>
      <c r="L3667" s="72" t="str">
        <f>IFERROR(IF(G3667="","",VLOOKUP($G3667,[1]基础信息!$B:$C,2,FALSE)+SUMIF(G$8:G3667,G3667,J$8:J3667)-SUMIF(G$8:G3667,G3667,K$8:K3667)+SUMIFS([1]内部转账!$G:$G,[1]内部转账!$C:$C,"&lt;="&amp;$D3667,[1]内部转账!$E:$E,$G3667)-SUMIFS([1]内部转账!$G:$G,[1]内部转账!$C:$C,"&lt;="&amp;$D3667,[1]内部转账!$F:$F,$G3667)),"")</f>
        <v/>
      </c>
      <c r="M3667" s="64"/>
      <c r="N3667" s="69"/>
      <c r="O3667" s="64"/>
      <c r="P3667" s="64"/>
      <c r="Q3667" s="69"/>
      <c r="R3667" s="69"/>
      <c r="S3667" s="69"/>
    </row>
    <row r="3668" s="2" customFormat="1" ht="24.95" customHeight="1" spans="1:19">
      <c r="A3668" s="15"/>
      <c r="B3668" s="55"/>
      <c r="C3668" s="56"/>
      <c r="D3668" s="68"/>
      <c r="E3668" s="69"/>
      <c r="F3668" s="69"/>
      <c r="G3668" s="65"/>
      <c r="H3668" s="65"/>
      <c r="I3668" s="70"/>
      <c r="J3668" s="71"/>
      <c r="K3668" s="71"/>
      <c r="L3668" s="72" t="str">
        <f>IFERROR(IF(G3668="","",VLOOKUP($G3668,[1]基础信息!$B:$C,2,FALSE)+SUMIF(G$8:G3668,G3668,J$8:J3668)-SUMIF(G$8:G3668,G3668,K$8:K3668)+SUMIFS([1]内部转账!$G:$G,[1]内部转账!$C:$C,"&lt;="&amp;$D3668,[1]内部转账!$E:$E,$G3668)-SUMIFS([1]内部转账!$G:$G,[1]内部转账!$C:$C,"&lt;="&amp;$D3668,[1]内部转账!$F:$F,$G3668)),"")</f>
        <v/>
      </c>
      <c r="M3668" s="64"/>
      <c r="N3668" s="69"/>
      <c r="O3668" s="64"/>
      <c r="P3668" s="64"/>
      <c r="Q3668" s="69"/>
      <c r="R3668" s="69"/>
      <c r="S3668" s="69"/>
    </row>
    <row r="3669" s="2" customFormat="1" ht="24.95" customHeight="1" spans="1:19">
      <c r="A3669" s="15"/>
      <c r="B3669" s="55"/>
      <c r="C3669" s="56"/>
      <c r="D3669" s="68"/>
      <c r="E3669" s="69"/>
      <c r="F3669" s="69"/>
      <c r="G3669" s="65"/>
      <c r="H3669" s="65"/>
      <c r="I3669" s="70"/>
      <c r="J3669" s="71"/>
      <c r="K3669" s="71"/>
      <c r="L3669" s="72" t="str">
        <f>IFERROR(IF(G3669="","",VLOOKUP($G3669,[1]基础信息!$B:$C,2,FALSE)+SUMIF(G$8:G3669,G3669,J$8:J3669)-SUMIF(G$8:G3669,G3669,K$8:K3669)+SUMIFS([1]内部转账!$G:$G,[1]内部转账!$C:$C,"&lt;="&amp;$D3669,[1]内部转账!$E:$E,$G3669)-SUMIFS([1]内部转账!$G:$G,[1]内部转账!$C:$C,"&lt;="&amp;$D3669,[1]内部转账!$F:$F,$G3669)),"")</f>
        <v/>
      </c>
      <c r="M3669" s="64"/>
      <c r="N3669" s="69"/>
      <c r="O3669" s="64"/>
      <c r="P3669" s="64"/>
      <c r="Q3669" s="69"/>
      <c r="R3669" s="69"/>
      <c r="S3669" s="69"/>
    </row>
    <row r="3670" s="2" customFormat="1" ht="24.95" customHeight="1" spans="1:19">
      <c r="A3670" s="15"/>
      <c r="B3670" s="55"/>
      <c r="C3670" s="56"/>
      <c r="D3670" s="68"/>
      <c r="E3670" s="69"/>
      <c r="F3670" s="69"/>
      <c r="G3670" s="65"/>
      <c r="H3670" s="65"/>
      <c r="I3670" s="70"/>
      <c r="J3670" s="71"/>
      <c r="K3670" s="71"/>
      <c r="L3670" s="72" t="str">
        <f>IFERROR(IF(G3670="","",VLOOKUP($G3670,[1]基础信息!$B:$C,2,FALSE)+SUMIF(G$8:G3670,G3670,J$8:J3670)-SUMIF(G$8:G3670,G3670,K$8:K3670)+SUMIFS([1]内部转账!$G:$G,[1]内部转账!$C:$C,"&lt;="&amp;$D3670,[1]内部转账!$E:$E,$G3670)-SUMIFS([1]内部转账!$G:$G,[1]内部转账!$C:$C,"&lt;="&amp;$D3670,[1]内部转账!$F:$F,$G3670)),"")</f>
        <v/>
      </c>
      <c r="M3670" s="64"/>
      <c r="N3670" s="69"/>
      <c r="O3670" s="64"/>
      <c r="P3670" s="64"/>
      <c r="Q3670" s="69"/>
      <c r="R3670" s="69"/>
      <c r="S3670" s="69"/>
    </row>
    <row r="3671" s="2" customFormat="1" ht="24.95" customHeight="1" spans="1:19">
      <c r="A3671" s="15"/>
      <c r="B3671" s="55"/>
      <c r="C3671" s="56"/>
      <c r="D3671" s="68"/>
      <c r="E3671" s="69"/>
      <c r="F3671" s="69"/>
      <c r="G3671" s="65"/>
      <c r="H3671" s="65"/>
      <c r="I3671" s="70"/>
      <c r="J3671" s="71"/>
      <c r="K3671" s="71"/>
      <c r="L3671" s="72" t="str">
        <f>IFERROR(IF(G3671="","",VLOOKUP($G3671,[1]基础信息!$B:$C,2,FALSE)+SUMIF(G$8:G3671,G3671,J$8:J3671)-SUMIF(G$8:G3671,G3671,K$8:K3671)+SUMIFS([1]内部转账!$G:$G,[1]内部转账!$C:$C,"&lt;="&amp;$D3671,[1]内部转账!$E:$E,$G3671)-SUMIFS([1]内部转账!$G:$G,[1]内部转账!$C:$C,"&lt;="&amp;$D3671,[1]内部转账!$F:$F,$G3671)),"")</f>
        <v/>
      </c>
      <c r="M3671" s="64"/>
      <c r="N3671" s="69"/>
      <c r="O3671" s="64"/>
      <c r="P3671" s="64"/>
      <c r="Q3671" s="69"/>
      <c r="R3671" s="69"/>
      <c r="S3671" s="69"/>
    </row>
    <row r="3672" s="2" customFormat="1" ht="24.95" customHeight="1" spans="1:19">
      <c r="A3672" s="15"/>
      <c r="B3672" s="55"/>
      <c r="C3672" s="56"/>
      <c r="D3672" s="68"/>
      <c r="E3672" s="69"/>
      <c r="F3672" s="69"/>
      <c r="G3672" s="65"/>
      <c r="H3672" s="65"/>
      <c r="I3672" s="70"/>
      <c r="J3672" s="71"/>
      <c r="K3672" s="71"/>
      <c r="L3672" s="72" t="str">
        <f>IFERROR(IF(G3672="","",VLOOKUP($G3672,[1]基础信息!$B:$C,2,FALSE)+SUMIF(G$8:G3672,G3672,J$8:J3672)-SUMIF(G$8:G3672,G3672,K$8:K3672)+SUMIFS([1]内部转账!$G:$G,[1]内部转账!$C:$C,"&lt;="&amp;$D3672,[1]内部转账!$E:$E,$G3672)-SUMIFS([1]内部转账!$G:$G,[1]内部转账!$C:$C,"&lt;="&amp;$D3672,[1]内部转账!$F:$F,$G3672)),"")</f>
        <v/>
      </c>
      <c r="M3672" s="64"/>
      <c r="N3672" s="69"/>
      <c r="O3672" s="64"/>
      <c r="P3672" s="64"/>
      <c r="Q3672" s="69"/>
      <c r="R3672" s="69"/>
      <c r="S3672" s="69"/>
    </row>
    <row r="3673" s="2" customFormat="1" ht="24.95" customHeight="1" spans="1:19">
      <c r="A3673" s="15"/>
      <c r="B3673" s="55"/>
      <c r="C3673" s="56"/>
      <c r="D3673" s="68"/>
      <c r="E3673" s="69"/>
      <c r="F3673" s="69"/>
      <c r="G3673" s="65"/>
      <c r="H3673" s="65"/>
      <c r="I3673" s="70"/>
      <c r="J3673" s="71"/>
      <c r="K3673" s="71"/>
      <c r="L3673" s="72" t="str">
        <f>IFERROR(IF(G3673="","",VLOOKUP($G3673,[1]基础信息!$B:$C,2,FALSE)+SUMIF(G$8:G3673,G3673,J$8:J3673)-SUMIF(G$8:G3673,G3673,K$8:K3673)+SUMIFS([1]内部转账!$G:$G,[1]内部转账!$C:$C,"&lt;="&amp;$D3673,[1]内部转账!$E:$E,$G3673)-SUMIFS([1]内部转账!$G:$G,[1]内部转账!$C:$C,"&lt;="&amp;$D3673,[1]内部转账!$F:$F,$G3673)),"")</f>
        <v/>
      </c>
      <c r="M3673" s="64"/>
      <c r="N3673" s="69"/>
      <c r="O3673" s="64"/>
      <c r="P3673" s="64"/>
      <c r="Q3673" s="69"/>
      <c r="R3673" s="69"/>
      <c r="S3673" s="69"/>
    </row>
    <row r="3674" s="2" customFormat="1" ht="24.95" customHeight="1" spans="1:19">
      <c r="A3674" s="15"/>
      <c r="B3674" s="55"/>
      <c r="C3674" s="56"/>
      <c r="D3674" s="68"/>
      <c r="E3674" s="69"/>
      <c r="F3674" s="69"/>
      <c r="G3674" s="65"/>
      <c r="H3674" s="65"/>
      <c r="I3674" s="70"/>
      <c r="J3674" s="71"/>
      <c r="K3674" s="71"/>
      <c r="L3674" s="72" t="str">
        <f>IFERROR(IF(G3674="","",VLOOKUP($G3674,[1]基础信息!$B:$C,2,FALSE)+SUMIF(G$8:G3674,G3674,J$8:J3674)-SUMIF(G$8:G3674,G3674,K$8:K3674)+SUMIFS([1]内部转账!$G:$G,[1]内部转账!$C:$C,"&lt;="&amp;$D3674,[1]内部转账!$E:$E,$G3674)-SUMIFS([1]内部转账!$G:$G,[1]内部转账!$C:$C,"&lt;="&amp;$D3674,[1]内部转账!$F:$F,$G3674)),"")</f>
        <v/>
      </c>
      <c r="M3674" s="64"/>
      <c r="N3674" s="69"/>
      <c r="O3674" s="64"/>
      <c r="P3674" s="64"/>
      <c r="Q3674" s="69"/>
      <c r="R3674" s="69"/>
      <c r="S3674" s="69"/>
    </row>
    <row r="3675" s="2" customFormat="1" ht="24.95" customHeight="1" spans="1:19">
      <c r="A3675" s="15"/>
      <c r="B3675" s="55"/>
      <c r="C3675" s="56"/>
      <c r="D3675" s="68"/>
      <c r="E3675" s="69"/>
      <c r="F3675" s="69"/>
      <c r="G3675" s="65"/>
      <c r="H3675" s="65"/>
      <c r="I3675" s="70"/>
      <c r="J3675" s="71"/>
      <c r="K3675" s="71"/>
      <c r="L3675" s="72" t="str">
        <f>IFERROR(IF(G3675="","",VLOOKUP($G3675,[1]基础信息!$B:$C,2,FALSE)+SUMIF(G$8:G3675,G3675,J$8:J3675)-SUMIF(G$8:G3675,G3675,K$8:K3675)+SUMIFS([1]内部转账!$G:$G,[1]内部转账!$C:$C,"&lt;="&amp;$D3675,[1]内部转账!$E:$E,$G3675)-SUMIFS([1]内部转账!$G:$G,[1]内部转账!$C:$C,"&lt;="&amp;$D3675,[1]内部转账!$F:$F,$G3675)),"")</f>
        <v/>
      </c>
      <c r="M3675" s="64"/>
      <c r="N3675" s="69"/>
      <c r="O3675" s="64"/>
      <c r="P3675" s="64"/>
      <c r="Q3675" s="69"/>
      <c r="R3675" s="69"/>
      <c r="S3675" s="69"/>
    </row>
    <row r="3676" s="2" customFormat="1" ht="24.95" customHeight="1" spans="1:19">
      <c r="A3676" s="15"/>
      <c r="B3676" s="55"/>
      <c r="C3676" s="56"/>
      <c r="D3676" s="68"/>
      <c r="E3676" s="69"/>
      <c r="F3676" s="69"/>
      <c r="G3676" s="65"/>
      <c r="H3676" s="65"/>
      <c r="I3676" s="70"/>
      <c r="J3676" s="71"/>
      <c r="K3676" s="71"/>
      <c r="L3676" s="72" t="str">
        <f>IFERROR(IF(G3676="","",VLOOKUP($G3676,[1]基础信息!$B:$C,2,FALSE)+SUMIF(G$8:G3676,G3676,J$8:J3676)-SUMIF(G$8:G3676,G3676,K$8:K3676)+SUMIFS([1]内部转账!$G:$G,[1]内部转账!$C:$C,"&lt;="&amp;$D3676,[1]内部转账!$E:$E,$G3676)-SUMIFS([1]内部转账!$G:$G,[1]内部转账!$C:$C,"&lt;="&amp;$D3676,[1]内部转账!$F:$F,$G3676)),"")</f>
        <v/>
      </c>
      <c r="M3676" s="64"/>
      <c r="N3676" s="69"/>
      <c r="O3676" s="64"/>
      <c r="P3676" s="64"/>
      <c r="Q3676" s="69"/>
      <c r="R3676" s="69"/>
      <c r="S3676" s="69"/>
    </row>
    <row r="3677" s="2" customFormat="1" ht="24.95" customHeight="1" spans="1:19">
      <c r="A3677" s="15"/>
      <c r="B3677" s="55"/>
      <c r="C3677" s="56"/>
      <c r="D3677" s="68"/>
      <c r="E3677" s="69"/>
      <c r="F3677" s="69"/>
      <c r="G3677" s="65"/>
      <c r="H3677" s="65"/>
      <c r="I3677" s="70"/>
      <c r="J3677" s="71"/>
      <c r="K3677" s="71"/>
      <c r="L3677" s="72" t="str">
        <f>IFERROR(IF(G3677="","",VLOOKUP($G3677,[1]基础信息!$B:$C,2,FALSE)+SUMIF(G$8:G3677,G3677,J$8:J3677)-SUMIF(G$8:G3677,G3677,K$8:K3677)+SUMIFS([1]内部转账!$G:$G,[1]内部转账!$C:$C,"&lt;="&amp;$D3677,[1]内部转账!$E:$E,$G3677)-SUMIFS([1]内部转账!$G:$G,[1]内部转账!$C:$C,"&lt;="&amp;$D3677,[1]内部转账!$F:$F,$G3677)),"")</f>
        <v/>
      </c>
      <c r="M3677" s="64"/>
      <c r="N3677" s="69"/>
      <c r="O3677" s="64"/>
      <c r="P3677" s="64"/>
      <c r="Q3677" s="69"/>
      <c r="R3677" s="69"/>
      <c r="S3677" s="69"/>
    </row>
    <row r="3678" s="2" customFormat="1" ht="24.95" customHeight="1" spans="1:19">
      <c r="A3678" s="15"/>
      <c r="B3678" s="55"/>
      <c r="C3678" s="56"/>
      <c r="D3678" s="68"/>
      <c r="E3678" s="69"/>
      <c r="F3678" s="69"/>
      <c r="G3678" s="65"/>
      <c r="H3678" s="65"/>
      <c r="I3678" s="70"/>
      <c r="J3678" s="71"/>
      <c r="K3678" s="71"/>
      <c r="L3678" s="72" t="str">
        <f>IFERROR(IF(G3678="","",VLOOKUP($G3678,[1]基础信息!$B:$C,2,FALSE)+SUMIF(G$8:G3678,G3678,J$8:J3678)-SUMIF(G$8:G3678,G3678,K$8:K3678)+SUMIFS([1]内部转账!$G:$G,[1]内部转账!$C:$C,"&lt;="&amp;$D3678,[1]内部转账!$E:$E,$G3678)-SUMIFS([1]内部转账!$G:$G,[1]内部转账!$C:$C,"&lt;="&amp;$D3678,[1]内部转账!$F:$F,$G3678)),"")</f>
        <v/>
      </c>
      <c r="M3678" s="64"/>
      <c r="N3678" s="69"/>
      <c r="O3678" s="64"/>
      <c r="P3678" s="64"/>
      <c r="Q3678" s="69"/>
      <c r="R3678" s="69"/>
      <c r="S3678" s="69"/>
    </row>
    <row r="3679" s="2" customFormat="1" ht="24.95" customHeight="1" spans="1:19">
      <c r="A3679" s="15"/>
      <c r="B3679" s="55"/>
      <c r="C3679" s="56"/>
      <c r="D3679" s="68"/>
      <c r="E3679" s="69"/>
      <c r="F3679" s="69"/>
      <c r="G3679" s="65"/>
      <c r="H3679" s="65"/>
      <c r="I3679" s="70"/>
      <c r="J3679" s="71"/>
      <c r="K3679" s="71"/>
      <c r="L3679" s="72" t="str">
        <f>IFERROR(IF(G3679="","",VLOOKUP($G3679,[1]基础信息!$B:$C,2,FALSE)+SUMIF(G$8:G3679,G3679,J$8:J3679)-SUMIF(G$8:G3679,G3679,K$8:K3679)+SUMIFS([1]内部转账!$G:$G,[1]内部转账!$C:$C,"&lt;="&amp;$D3679,[1]内部转账!$E:$E,$G3679)-SUMIFS([1]内部转账!$G:$G,[1]内部转账!$C:$C,"&lt;="&amp;$D3679,[1]内部转账!$F:$F,$G3679)),"")</f>
        <v/>
      </c>
      <c r="M3679" s="64"/>
      <c r="N3679" s="69"/>
      <c r="O3679" s="64"/>
      <c r="P3679" s="64"/>
      <c r="Q3679" s="69"/>
      <c r="R3679" s="69"/>
      <c r="S3679" s="69"/>
    </row>
    <row r="3680" s="2" customFormat="1" ht="24.95" customHeight="1" spans="1:19">
      <c r="A3680" s="15"/>
      <c r="B3680" s="55"/>
      <c r="C3680" s="56"/>
      <c r="D3680" s="68"/>
      <c r="E3680" s="69"/>
      <c r="F3680" s="69"/>
      <c r="G3680" s="65"/>
      <c r="H3680" s="65"/>
      <c r="I3680" s="70"/>
      <c r="J3680" s="71"/>
      <c r="K3680" s="71"/>
      <c r="L3680" s="72" t="str">
        <f>IFERROR(IF(G3680="","",VLOOKUP($G3680,[1]基础信息!$B:$C,2,FALSE)+SUMIF(G$8:G3680,G3680,J$8:J3680)-SUMIF(G$8:G3680,G3680,K$8:K3680)+SUMIFS([1]内部转账!$G:$G,[1]内部转账!$C:$C,"&lt;="&amp;$D3680,[1]内部转账!$E:$E,$G3680)-SUMIFS([1]内部转账!$G:$G,[1]内部转账!$C:$C,"&lt;="&amp;$D3680,[1]内部转账!$F:$F,$G3680)),"")</f>
        <v/>
      </c>
      <c r="M3680" s="64"/>
      <c r="N3680" s="69"/>
      <c r="O3680" s="64"/>
      <c r="P3680" s="64"/>
      <c r="Q3680" s="69"/>
      <c r="R3680" s="69"/>
      <c r="S3680" s="69"/>
    </row>
    <row r="3681" s="2" customFormat="1" ht="24.95" customHeight="1" spans="1:19">
      <c r="A3681" s="15"/>
      <c r="B3681" s="55"/>
      <c r="C3681" s="56"/>
      <c r="D3681" s="68"/>
      <c r="E3681" s="69"/>
      <c r="F3681" s="69"/>
      <c r="G3681" s="65"/>
      <c r="H3681" s="65"/>
      <c r="I3681" s="70"/>
      <c r="J3681" s="71"/>
      <c r="K3681" s="71"/>
      <c r="L3681" s="72" t="str">
        <f>IFERROR(IF(G3681="","",VLOOKUP($G3681,[1]基础信息!$B:$C,2,FALSE)+SUMIF(G$8:G3681,G3681,J$8:J3681)-SUMIF(G$8:G3681,G3681,K$8:K3681)+SUMIFS([1]内部转账!$G:$G,[1]内部转账!$C:$C,"&lt;="&amp;$D3681,[1]内部转账!$E:$E,$G3681)-SUMIFS([1]内部转账!$G:$G,[1]内部转账!$C:$C,"&lt;="&amp;$D3681,[1]内部转账!$F:$F,$G3681)),"")</f>
        <v/>
      </c>
      <c r="M3681" s="64"/>
      <c r="N3681" s="69"/>
      <c r="O3681" s="64"/>
      <c r="P3681" s="64"/>
      <c r="Q3681" s="69"/>
      <c r="R3681" s="69"/>
      <c r="S3681" s="69"/>
    </row>
    <row r="3682" s="2" customFormat="1" ht="24.95" customHeight="1" spans="1:19">
      <c r="A3682" s="15"/>
      <c r="B3682" s="55"/>
      <c r="C3682" s="56"/>
      <c r="D3682" s="68"/>
      <c r="E3682" s="69"/>
      <c r="F3682" s="69"/>
      <c r="G3682" s="65"/>
      <c r="H3682" s="65"/>
      <c r="I3682" s="70"/>
      <c r="J3682" s="71"/>
      <c r="K3682" s="71"/>
      <c r="L3682" s="72" t="str">
        <f>IFERROR(IF(G3682="","",VLOOKUP($G3682,[1]基础信息!$B:$C,2,FALSE)+SUMIF(G$8:G3682,G3682,J$8:J3682)-SUMIF(G$8:G3682,G3682,K$8:K3682)+SUMIFS([1]内部转账!$G:$G,[1]内部转账!$C:$C,"&lt;="&amp;$D3682,[1]内部转账!$E:$E,$G3682)-SUMIFS([1]内部转账!$G:$G,[1]内部转账!$C:$C,"&lt;="&amp;$D3682,[1]内部转账!$F:$F,$G3682)),"")</f>
        <v/>
      </c>
      <c r="M3682" s="64"/>
      <c r="N3682" s="69"/>
      <c r="O3682" s="64"/>
      <c r="P3682" s="64"/>
      <c r="Q3682" s="69"/>
      <c r="R3682" s="69"/>
      <c r="S3682" s="69"/>
    </row>
    <row r="3683" s="2" customFormat="1" ht="24.95" customHeight="1" spans="1:19">
      <c r="A3683" s="15"/>
      <c r="B3683" s="55"/>
      <c r="C3683" s="56"/>
      <c r="D3683" s="68"/>
      <c r="E3683" s="69"/>
      <c r="F3683" s="69"/>
      <c r="G3683" s="65"/>
      <c r="H3683" s="65"/>
      <c r="I3683" s="70"/>
      <c r="J3683" s="71"/>
      <c r="K3683" s="71"/>
      <c r="L3683" s="72" t="str">
        <f>IFERROR(IF(G3683="","",VLOOKUP($G3683,[1]基础信息!$B:$C,2,FALSE)+SUMIF(G$8:G3683,G3683,J$8:J3683)-SUMIF(G$8:G3683,G3683,K$8:K3683)+SUMIFS([1]内部转账!$G:$G,[1]内部转账!$C:$C,"&lt;="&amp;$D3683,[1]内部转账!$E:$E,$G3683)-SUMIFS([1]内部转账!$G:$G,[1]内部转账!$C:$C,"&lt;="&amp;$D3683,[1]内部转账!$F:$F,$G3683)),"")</f>
        <v/>
      </c>
      <c r="M3683" s="64"/>
      <c r="N3683" s="69"/>
      <c r="O3683" s="64"/>
      <c r="P3683" s="64"/>
      <c r="Q3683" s="69"/>
      <c r="R3683" s="69"/>
      <c r="S3683" s="69"/>
    </row>
    <row r="3684" s="2" customFormat="1" ht="24.95" customHeight="1" spans="1:19">
      <c r="A3684" s="15"/>
      <c r="B3684" s="55"/>
      <c r="C3684" s="56"/>
      <c r="D3684" s="68"/>
      <c r="E3684" s="69"/>
      <c r="F3684" s="69"/>
      <c r="G3684" s="65"/>
      <c r="H3684" s="65"/>
      <c r="I3684" s="70"/>
      <c r="J3684" s="71"/>
      <c r="K3684" s="71"/>
      <c r="L3684" s="72" t="str">
        <f>IFERROR(IF(G3684="","",VLOOKUP($G3684,[1]基础信息!$B:$C,2,FALSE)+SUMIF(G$8:G3684,G3684,J$8:J3684)-SUMIF(G$8:G3684,G3684,K$8:K3684)+SUMIFS([1]内部转账!$G:$G,[1]内部转账!$C:$C,"&lt;="&amp;$D3684,[1]内部转账!$E:$E,$G3684)-SUMIFS([1]内部转账!$G:$G,[1]内部转账!$C:$C,"&lt;="&amp;$D3684,[1]内部转账!$F:$F,$G3684)),"")</f>
        <v/>
      </c>
      <c r="M3684" s="64"/>
      <c r="N3684" s="69"/>
      <c r="O3684" s="64"/>
      <c r="P3684" s="64"/>
      <c r="Q3684" s="69"/>
      <c r="R3684" s="69"/>
      <c r="S3684" s="69"/>
    </row>
    <row r="3685" s="2" customFormat="1" ht="24.95" customHeight="1" spans="1:19">
      <c r="A3685" s="15"/>
      <c r="B3685" s="55"/>
      <c r="C3685" s="56"/>
      <c r="D3685" s="68"/>
      <c r="E3685" s="69"/>
      <c r="F3685" s="69"/>
      <c r="G3685" s="65"/>
      <c r="H3685" s="65"/>
      <c r="I3685" s="70"/>
      <c r="J3685" s="71"/>
      <c r="K3685" s="71"/>
      <c r="L3685" s="72" t="str">
        <f>IFERROR(IF(G3685="","",VLOOKUP($G3685,[1]基础信息!$B:$C,2,FALSE)+SUMIF(G$8:G3685,G3685,J$8:J3685)-SUMIF(G$8:G3685,G3685,K$8:K3685)+SUMIFS([1]内部转账!$G:$G,[1]内部转账!$C:$C,"&lt;="&amp;$D3685,[1]内部转账!$E:$E,$G3685)-SUMIFS([1]内部转账!$G:$G,[1]内部转账!$C:$C,"&lt;="&amp;$D3685,[1]内部转账!$F:$F,$G3685)),"")</f>
        <v/>
      </c>
      <c r="M3685" s="64"/>
      <c r="N3685" s="69"/>
      <c r="O3685" s="64"/>
      <c r="P3685" s="64"/>
      <c r="Q3685" s="69"/>
      <c r="R3685" s="69"/>
      <c r="S3685" s="69"/>
    </row>
    <row r="3686" s="2" customFormat="1" ht="24.95" customHeight="1" spans="1:19">
      <c r="A3686" s="15"/>
      <c r="B3686" s="55"/>
      <c r="C3686" s="56"/>
      <c r="D3686" s="68"/>
      <c r="E3686" s="69"/>
      <c r="F3686" s="69"/>
      <c r="G3686" s="65"/>
      <c r="H3686" s="65"/>
      <c r="I3686" s="70"/>
      <c r="J3686" s="71"/>
      <c r="K3686" s="71"/>
      <c r="L3686" s="72" t="str">
        <f>IFERROR(IF(G3686="","",VLOOKUP($G3686,[1]基础信息!$B:$C,2,FALSE)+SUMIF(G$8:G3686,G3686,J$8:J3686)-SUMIF(G$8:G3686,G3686,K$8:K3686)+SUMIFS([1]内部转账!$G:$G,[1]内部转账!$C:$C,"&lt;="&amp;$D3686,[1]内部转账!$E:$E,$G3686)-SUMIFS([1]内部转账!$G:$G,[1]内部转账!$C:$C,"&lt;="&amp;$D3686,[1]内部转账!$F:$F,$G3686)),"")</f>
        <v/>
      </c>
      <c r="M3686" s="64"/>
      <c r="N3686" s="69"/>
      <c r="O3686" s="64"/>
      <c r="P3686" s="64"/>
      <c r="Q3686" s="69"/>
      <c r="R3686" s="69"/>
      <c r="S3686" s="69"/>
    </row>
    <row r="3687" s="2" customFormat="1" ht="24.95" customHeight="1" spans="1:19">
      <c r="A3687" s="15"/>
      <c r="B3687" s="55"/>
      <c r="C3687" s="56"/>
      <c r="D3687" s="68"/>
      <c r="E3687" s="69"/>
      <c r="F3687" s="69"/>
      <c r="G3687" s="65"/>
      <c r="H3687" s="65"/>
      <c r="I3687" s="70"/>
      <c r="J3687" s="71"/>
      <c r="K3687" s="71"/>
      <c r="L3687" s="72" t="str">
        <f>IFERROR(IF(G3687="","",VLOOKUP($G3687,[1]基础信息!$B:$C,2,FALSE)+SUMIF(G$8:G3687,G3687,J$8:J3687)-SUMIF(G$8:G3687,G3687,K$8:K3687)+SUMIFS([1]内部转账!$G:$G,[1]内部转账!$C:$C,"&lt;="&amp;$D3687,[1]内部转账!$E:$E,$G3687)-SUMIFS([1]内部转账!$G:$G,[1]内部转账!$C:$C,"&lt;="&amp;$D3687,[1]内部转账!$F:$F,$G3687)),"")</f>
        <v/>
      </c>
      <c r="M3687" s="64"/>
      <c r="N3687" s="69"/>
      <c r="O3687" s="64"/>
      <c r="P3687" s="64"/>
      <c r="Q3687" s="69"/>
      <c r="R3687" s="69"/>
      <c r="S3687" s="69"/>
    </row>
    <row r="3688" s="2" customFormat="1" ht="24.95" customHeight="1" spans="1:19">
      <c r="A3688" s="15"/>
      <c r="B3688" s="55"/>
      <c r="C3688" s="56"/>
      <c r="D3688" s="68"/>
      <c r="E3688" s="69"/>
      <c r="F3688" s="69"/>
      <c r="G3688" s="65"/>
      <c r="H3688" s="65"/>
      <c r="I3688" s="70"/>
      <c r="J3688" s="71"/>
      <c r="K3688" s="71"/>
      <c r="L3688" s="72" t="str">
        <f>IFERROR(IF(G3688="","",VLOOKUP($G3688,[1]基础信息!$B:$C,2,FALSE)+SUMIF(G$8:G3688,G3688,J$8:J3688)-SUMIF(G$8:G3688,G3688,K$8:K3688)+SUMIFS([1]内部转账!$G:$G,[1]内部转账!$C:$C,"&lt;="&amp;$D3688,[1]内部转账!$E:$E,$G3688)-SUMIFS([1]内部转账!$G:$G,[1]内部转账!$C:$C,"&lt;="&amp;$D3688,[1]内部转账!$F:$F,$G3688)),"")</f>
        <v/>
      </c>
      <c r="M3688" s="64"/>
      <c r="N3688" s="69"/>
      <c r="O3688" s="64"/>
      <c r="P3688" s="64"/>
      <c r="Q3688" s="69"/>
      <c r="R3688" s="69"/>
      <c r="S3688" s="69"/>
    </row>
    <row r="3689" s="2" customFormat="1" ht="24.95" customHeight="1" spans="1:19">
      <c r="A3689" s="15"/>
      <c r="B3689" s="55"/>
      <c r="C3689" s="56"/>
      <c r="D3689" s="68"/>
      <c r="E3689" s="69"/>
      <c r="F3689" s="69"/>
      <c r="G3689" s="65"/>
      <c r="H3689" s="65"/>
      <c r="I3689" s="70"/>
      <c r="J3689" s="71"/>
      <c r="K3689" s="71"/>
      <c r="L3689" s="72" t="str">
        <f>IFERROR(IF(G3689="","",VLOOKUP($G3689,[1]基础信息!$B:$C,2,FALSE)+SUMIF(G$8:G3689,G3689,J$8:J3689)-SUMIF(G$8:G3689,G3689,K$8:K3689)+SUMIFS([1]内部转账!$G:$G,[1]内部转账!$C:$C,"&lt;="&amp;$D3689,[1]内部转账!$E:$E,$G3689)-SUMIFS([1]内部转账!$G:$G,[1]内部转账!$C:$C,"&lt;="&amp;$D3689,[1]内部转账!$F:$F,$G3689)),"")</f>
        <v/>
      </c>
      <c r="M3689" s="64"/>
      <c r="N3689" s="69"/>
      <c r="O3689" s="64"/>
      <c r="P3689" s="64"/>
      <c r="Q3689" s="69"/>
      <c r="R3689" s="69"/>
      <c r="S3689" s="69"/>
    </row>
    <row r="3690" s="2" customFormat="1" ht="24.95" customHeight="1" spans="1:19">
      <c r="A3690" s="15"/>
      <c r="B3690" s="55"/>
      <c r="C3690" s="56"/>
      <c r="D3690" s="68"/>
      <c r="E3690" s="69"/>
      <c r="F3690" s="69"/>
      <c r="G3690" s="65"/>
      <c r="H3690" s="65"/>
      <c r="I3690" s="70"/>
      <c r="J3690" s="71"/>
      <c r="K3690" s="71"/>
      <c r="L3690" s="72" t="str">
        <f>IFERROR(IF(G3690="","",VLOOKUP($G3690,[1]基础信息!$B:$C,2,FALSE)+SUMIF(G$8:G3690,G3690,J$8:J3690)-SUMIF(G$8:G3690,G3690,K$8:K3690)+SUMIFS([1]内部转账!$G:$G,[1]内部转账!$C:$C,"&lt;="&amp;$D3690,[1]内部转账!$E:$E,$G3690)-SUMIFS([1]内部转账!$G:$G,[1]内部转账!$C:$C,"&lt;="&amp;$D3690,[1]内部转账!$F:$F,$G3690)),"")</f>
        <v/>
      </c>
      <c r="M3690" s="64"/>
      <c r="N3690" s="69"/>
      <c r="O3690" s="64"/>
      <c r="P3690" s="64"/>
      <c r="Q3690" s="69"/>
      <c r="R3690" s="69"/>
      <c r="S3690" s="69"/>
    </row>
    <row r="3691" s="2" customFormat="1" ht="24.95" customHeight="1" spans="1:19">
      <c r="A3691" s="15"/>
      <c r="B3691" s="55"/>
      <c r="C3691" s="56"/>
      <c r="D3691" s="68"/>
      <c r="E3691" s="69"/>
      <c r="F3691" s="69"/>
      <c r="G3691" s="65"/>
      <c r="H3691" s="65"/>
      <c r="I3691" s="70"/>
      <c r="J3691" s="71"/>
      <c r="K3691" s="71"/>
      <c r="L3691" s="72" t="str">
        <f>IFERROR(IF(G3691="","",VLOOKUP($G3691,[1]基础信息!$B:$C,2,FALSE)+SUMIF(G$8:G3691,G3691,J$8:J3691)-SUMIF(G$8:G3691,G3691,K$8:K3691)+SUMIFS([1]内部转账!$G:$G,[1]内部转账!$C:$C,"&lt;="&amp;$D3691,[1]内部转账!$E:$E,$G3691)-SUMIFS([1]内部转账!$G:$G,[1]内部转账!$C:$C,"&lt;="&amp;$D3691,[1]内部转账!$F:$F,$G3691)),"")</f>
        <v/>
      </c>
      <c r="M3691" s="64"/>
      <c r="N3691" s="69"/>
      <c r="O3691" s="64"/>
      <c r="P3691" s="64"/>
      <c r="Q3691" s="69"/>
      <c r="R3691" s="69"/>
      <c r="S3691" s="69"/>
    </row>
    <row r="3692" s="2" customFormat="1" ht="24.95" customHeight="1" spans="1:19">
      <c r="A3692" s="15"/>
      <c r="B3692" s="55"/>
      <c r="C3692" s="56"/>
      <c r="D3692" s="68"/>
      <c r="E3692" s="69"/>
      <c r="F3692" s="69"/>
      <c r="G3692" s="65"/>
      <c r="H3692" s="65"/>
      <c r="I3692" s="70"/>
      <c r="J3692" s="71"/>
      <c r="K3692" s="71"/>
      <c r="L3692" s="72" t="str">
        <f>IFERROR(IF(G3692="","",VLOOKUP($G3692,[1]基础信息!$B:$C,2,FALSE)+SUMIF(G$8:G3692,G3692,J$8:J3692)-SUMIF(G$8:G3692,G3692,K$8:K3692)+SUMIFS([1]内部转账!$G:$G,[1]内部转账!$C:$C,"&lt;="&amp;$D3692,[1]内部转账!$E:$E,$G3692)-SUMIFS([1]内部转账!$G:$G,[1]内部转账!$C:$C,"&lt;="&amp;$D3692,[1]内部转账!$F:$F,$G3692)),"")</f>
        <v/>
      </c>
      <c r="M3692" s="64"/>
      <c r="N3692" s="69"/>
      <c r="O3692" s="64"/>
      <c r="P3692" s="64"/>
      <c r="Q3692" s="69"/>
      <c r="R3692" s="69"/>
      <c r="S3692" s="69"/>
    </row>
    <row r="3693" s="2" customFormat="1" ht="24.95" customHeight="1" spans="1:19">
      <c r="A3693" s="15"/>
      <c r="B3693" s="55"/>
      <c r="C3693" s="56"/>
      <c r="D3693" s="68"/>
      <c r="E3693" s="69"/>
      <c r="F3693" s="69"/>
      <c r="G3693" s="65"/>
      <c r="H3693" s="65"/>
      <c r="I3693" s="70"/>
      <c r="J3693" s="71"/>
      <c r="K3693" s="71"/>
      <c r="L3693" s="72" t="str">
        <f>IFERROR(IF(G3693="","",VLOOKUP($G3693,[1]基础信息!$B:$C,2,FALSE)+SUMIF(G$8:G3693,G3693,J$8:J3693)-SUMIF(G$8:G3693,G3693,K$8:K3693)+SUMIFS([1]内部转账!$G:$G,[1]内部转账!$C:$C,"&lt;="&amp;$D3693,[1]内部转账!$E:$E,$G3693)-SUMIFS([1]内部转账!$G:$G,[1]内部转账!$C:$C,"&lt;="&amp;$D3693,[1]内部转账!$F:$F,$G3693)),"")</f>
        <v/>
      </c>
      <c r="M3693" s="64"/>
      <c r="N3693" s="69"/>
      <c r="O3693" s="64"/>
      <c r="P3693" s="64"/>
      <c r="Q3693" s="69"/>
      <c r="R3693" s="69"/>
      <c r="S3693" s="69"/>
    </row>
    <row r="3694" s="2" customFormat="1" ht="24.95" customHeight="1" spans="1:19">
      <c r="A3694" s="15"/>
      <c r="B3694" s="55"/>
      <c r="C3694" s="56"/>
      <c r="D3694" s="68"/>
      <c r="E3694" s="69"/>
      <c r="F3694" s="69"/>
      <c r="G3694" s="65"/>
      <c r="H3694" s="65"/>
      <c r="I3694" s="70"/>
      <c r="J3694" s="71"/>
      <c r="K3694" s="71"/>
      <c r="L3694" s="72" t="str">
        <f>IFERROR(IF(G3694="","",VLOOKUP($G3694,[1]基础信息!$B:$C,2,FALSE)+SUMIF(G$8:G3694,G3694,J$8:J3694)-SUMIF(G$8:G3694,G3694,K$8:K3694)+SUMIFS([1]内部转账!$G:$G,[1]内部转账!$C:$C,"&lt;="&amp;$D3694,[1]内部转账!$E:$E,$G3694)-SUMIFS([1]内部转账!$G:$G,[1]内部转账!$C:$C,"&lt;="&amp;$D3694,[1]内部转账!$F:$F,$G3694)),"")</f>
        <v/>
      </c>
      <c r="M3694" s="64"/>
      <c r="N3694" s="69"/>
      <c r="O3694" s="64"/>
      <c r="P3694" s="64"/>
      <c r="Q3694" s="69"/>
      <c r="R3694" s="69"/>
      <c r="S3694" s="69"/>
    </row>
    <row r="3695" s="2" customFormat="1" ht="24.95" customHeight="1" spans="1:19">
      <c r="A3695" s="15"/>
      <c r="B3695" s="55"/>
      <c r="C3695" s="56"/>
      <c r="D3695" s="68"/>
      <c r="E3695" s="69"/>
      <c r="F3695" s="69"/>
      <c r="G3695" s="65"/>
      <c r="H3695" s="65"/>
      <c r="I3695" s="70"/>
      <c r="J3695" s="71"/>
      <c r="K3695" s="71"/>
      <c r="L3695" s="72" t="str">
        <f>IFERROR(IF(G3695="","",VLOOKUP($G3695,[1]基础信息!$B:$C,2,FALSE)+SUMIF(G$8:G3695,G3695,J$8:J3695)-SUMIF(G$8:G3695,G3695,K$8:K3695)+SUMIFS([1]内部转账!$G:$G,[1]内部转账!$C:$C,"&lt;="&amp;$D3695,[1]内部转账!$E:$E,$G3695)-SUMIFS([1]内部转账!$G:$G,[1]内部转账!$C:$C,"&lt;="&amp;$D3695,[1]内部转账!$F:$F,$G3695)),"")</f>
        <v/>
      </c>
      <c r="M3695" s="64"/>
      <c r="N3695" s="69"/>
      <c r="O3695" s="64"/>
      <c r="P3695" s="64"/>
      <c r="Q3695" s="69"/>
      <c r="R3695" s="69"/>
      <c r="S3695" s="69"/>
    </row>
    <row r="3696" s="2" customFormat="1" ht="24.95" customHeight="1" spans="1:19">
      <c r="A3696" s="15"/>
      <c r="B3696" s="55"/>
      <c r="C3696" s="56"/>
      <c r="D3696" s="68"/>
      <c r="E3696" s="69"/>
      <c r="F3696" s="69"/>
      <c r="G3696" s="65"/>
      <c r="H3696" s="65"/>
      <c r="I3696" s="70"/>
      <c r="J3696" s="71"/>
      <c r="K3696" s="71"/>
      <c r="L3696" s="72" t="str">
        <f>IFERROR(IF(G3696="","",VLOOKUP($G3696,[1]基础信息!$B:$C,2,FALSE)+SUMIF(G$8:G3696,G3696,J$8:J3696)-SUMIF(G$8:G3696,G3696,K$8:K3696)+SUMIFS([1]内部转账!$G:$G,[1]内部转账!$C:$C,"&lt;="&amp;$D3696,[1]内部转账!$E:$E,$G3696)-SUMIFS([1]内部转账!$G:$G,[1]内部转账!$C:$C,"&lt;="&amp;$D3696,[1]内部转账!$F:$F,$G3696)),"")</f>
        <v/>
      </c>
      <c r="M3696" s="64"/>
      <c r="N3696" s="69"/>
      <c r="O3696" s="64"/>
      <c r="P3696" s="64"/>
      <c r="Q3696" s="69"/>
      <c r="R3696" s="69"/>
      <c r="S3696" s="69"/>
    </row>
    <row r="3697" s="2" customFormat="1" ht="24.95" customHeight="1" spans="1:19">
      <c r="A3697" s="15"/>
      <c r="B3697" s="55"/>
      <c r="C3697" s="56"/>
      <c r="D3697" s="68"/>
      <c r="E3697" s="69"/>
      <c r="F3697" s="69"/>
      <c r="G3697" s="65"/>
      <c r="H3697" s="65"/>
      <c r="I3697" s="70"/>
      <c r="J3697" s="71"/>
      <c r="K3697" s="71"/>
      <c r="L3697" s="72" t="str">
        <f>IFERROR(IF(G3697="","",VLOOKUP($G3697,[1]基础信息!$B:$C,2,FALSE)+SUMIF(G$8:G3697,G3697,J$8:J3697)-SUMIF(G$8:G3697,G3697,K$8:K3697)+SUMIFS([1]内部转账!$G:$G,[1]内部转账!$C:$C,"&lt;="&amp;$D3697,[1]内部转账!$E:$E,$G3697)-SUMIFS([1]内部转账!$G:$G,[1]内部转账!$C:$C,"&lt;="&amp;$D3697,[1]内部转账!$F:$F,$G3697)),"")</f>
        <v/>
      </c>
      <c r="M3697" s="64"/>
      <c r="N3697" s="69"/>
      <c r="O3697" s="64"/>
      <c r="P3697" s="64"/>
      <c r="Q3697" s="69"/>
      <c r="R3697" s="69"/>
      <c r="S3697" s="69"/>
    </row>
    <row r="3698" s="2" customFormat="1" ht="24.95" customHeight="1" spans="1:19">
      <c r="A3698" s="15"/>
      <c r="B3698" s="55"/>
      <c r="C3698" s="56"/>
      <c r="D3698" s="68"/>
      <c r="E3698" s="69"/>
      <c r="F3698" s="69"/>
      <c r="G3698" s="65"/>
      <c r="H3698" s="65"/>
      <c r="I3698" s="70"/>
      <c r="J3698" s="71"/>
      <c r="K3698" s="71"/>
      <c r="L3698" s="72" t="str">
        <f>IFERROR(IF(G3698="","",VLOOKUP($G3698,[1]基础信息!$B:$C,2,FALSE)+SUMIF(G$8:G3698,G3698,J$8:J3698)-SUMIF(G$8:G3698,G3698,K$8:K3698)+SUMIFS([1]内部转账!$G:$G,[1]内部转账!$C:$C,"&lt;="&amp;$D3698,[1]内部转账!$E:$E,$G3698)-SUMIFS([1]内部转账!$G:$G,[1]内部转账!$C:$C,"&lt;="&amp;$D3698,[1]内部转账!$F:$F,$G3698)),"")</f>
        <v/>
      </c>
      <c r="M3698" s="64"/>
      <c r="N3698" s="69"/>
      <c r="O3698" s="64"/>
      <c r="P3698" s="64"/>
      <c r="Q3698" s="69"/>
      <c r="R3698" s="69"/>
      <c r="S3698" s="69"/>
    </row>
    <row r="3699" s="2" customFormat="1" ht="24.95" customHeight="1" spans="1:19">
      <c r="A3699" s="15"/>
      <c r="B3699" s="55"/>
      <c r="C3699" s="56"/>
      <c r="D3699" s="68"/>
      <c r="E3699" s="69"/>
      <c r="F3699" s="69"/>
      <c r="G3699" s="65"/>
      <c r="H3699" s="65"/>
      <c r="I3699" s="70"/>
      <c r="J3699" s="71"/>
      <c r="K3699" s="71"/>
      <c r="L3699" s="72" t="str">
        <f>IFERROR(IF(G3699="","",VLOOKUP($G3699,[1]基础信息!$B:$C,2,FALSE)+SUMIF(G$8:G3699,G3699,J$8:J3699)-SUMIF(G$8:G3699,G3699,K$8:K3699)+SUMIFS([1]内部转账!$G:$G,[1]内部转账!$C:$C,"&lt;="&amp;$D3699,[1]内部转账!$E:$E,$G3699)-SUMIFS([1]内部转账!$G:$G,[1]内部转账!$C:$C,"&lt;="&amp;$D3699,[1]内部转账!$F:$F,$G3699)),"")</f>
        <v/>
      </c>
      <c r="M3699" s="64"/>
      <c r="N3699" s="69"/>
      <c r="O3699" s="64"/>
      <c r="P3699" s="64"/>
      <c r="Q3699" s="69"/>
      <c r="R3699" s="69"/>
      <c r="S3699" s="69"/>
    </row>
    <row r="3700" s="2" customFormat="1" ht="24.95" customHeight="1" spans="1:19">
      <c r="A3700" s="15"/>
      <c r="B3700" s="55"/>
      <c r="C3700" s="56"/>
      <c r="D3700" s="68"/>
      <c r="E3700" s="69"/>
      <c r="F3700" s="69"/>
      <c r="G3700" s="65"/>
      <c r="H3700" s="65"/>
      <c r="I3700" s="70"/>
      <c r="J3700" s="71"/>
      <c r="K3700" s="71"/>
      <c r="L3700" s="72" t="str">
        <f>IFERROR(IF(G3700="","",VLOOKUP($G3700,[1]基础信息!$B:$C,2,FALSE)+SUMIF(G$8:G3700,G3700,J$8:J3700)-SUMIF(G$8:G3700,G3700,K$8:K3700)+SUMIFS([1]内部转账!$G:$G,[1]内部转账!$C:$C,"&lt;="&amp;$D3700,[1]内部转账!$E:$E,$G3700)-SUMIFS([1]内部转账!$G:$G,[1]内部转账!$C:$C,"&lt;="&amp;$D3700,[1]内部转账!$F:$F,$G3700)),"")</f>
        <v/>
      </c>
      <c r="M3700" s="64"/>
      <c r="N3700" s="69"/>
      <c r="O3700" s="64"/>
      <c r="P3700" s="64"/>
      <c r="Q3700" s="69"/>
      <c r="R3700" s="69"/>
      <c r="S3700" s="69"/>
    </row>
    <row r="3701" s="2" customFormat="1" ht="24.95" customHeight="1" spans="1:19">
      <c r="A3701" s="15"/>
      <c r="B3701" s="55"/>
      <c r="C3701" s="56"/>
      <c r="D3701" s="68"/>
      <c r="E3701" s="69"/>
      <c r="F3701" s="69"/>
      <c r="G3701" s="65"/>
      <c r="H3701" s="65"/>
      <c r="I3701" s="70"/>
      <c r="J3701" s="71"/>
      <c r="K3701" s="71"/>
      <c r="L3701" s="72" t="str">
        <f>IFERROR(IF(G3701="","",VLOOKUP($G3701,[1]基础信息!$B:$C,2,FALSE)+SUMIF(G$8:G3701,G3701,J$8:J3701)-SUMIF(G$8:G3701,G3701,K$8:K3701)+SUMIFS([1]内部转账!$G:$G,[1]内部转账!$C:$C,"&lt;="&amp;$D3701,[1]内部转账!$E:$E,$G3701)-SUMIFS([1]内部转账!$G:$G,[1]内部转账!$C:$C,"&lt;="&amp;$D3701,[1]内部转账!$F:$F,$G3701)),"")</f>
        <v/>
      </c>
      <c r="M3701" s="64"/>
      <c r="N3701" s="69"/>
      <c r="O3701" s="64"/>
      <c r="P3701" s="64"/>
      <c r="Q3701" s="69"/>
      <c r="R3701" s="69"/>
      <c r="S3701" s="69"/>
    </row>
    <row r="3702" s="2" customFormat="1" ht="24.95" customHeight="1" spans="1:19">
      <c r="A3702" s="15"/>
      <c r="B3702" s="55"/>
      <c r="C3702" s="56"/>
      <c r="D3702" s="68"/>
      <c r="E3702" s="69"/>
      <c r="F3702" s="69"/>
      <c r="G3702" s="65"/>
      <c r="H3702" s="65"/>
      <c r="I3702" s="70"/>
      <c r="J3702" s="71"/>
      <c r="K3702" s="71"/>
      <c r="L3702" s="72" t="str">
        <f>IFERROR(IF(G3702="","",VLOOKUP($G3702,[1]基础信息!$B:$C,2,FALSE)+SUMIF(G$8:G3702,G3702,J$8:J3702)-SUMIF(G$8:G3702,G3702,K$8:K3702)+SUMIFS([1]内部转账!$G:$G,[1]内部转账!$C:$C,"&lt;="&amp;$D3702,[1]内部转账!$E:$E,$G3702)-SUMIFS([1]内部转账!$G:$G,[1]内部转账!$C:$C,"&lt;="&amp;$D3702,[1]内部转账!$F:$F,$G3702)),"")</f>
        <v/>
      </c>
      <c r="M3702" s="64"/>
      <c r="N3702" s="69"/>
      <c r="O3702" s="64"/>
      <c r="P3702" s="64"/>
      <c r="Q3702" s="69"/>
      <c r="R3702" s="69"/>
      <c r="S3702" s="69"/>
    </row>
    <row r="3703" s="2" customFormat="1" ht="24.95" customHeight="1" spans="1:19">
      <c r="A3703" s="15"/>
      <c r="B3703" s="55"/>
      <c r="C3703" s="56"/>
      <c r="D3703" s="68"/>
      <c r="E3703" s="69"/>
      <c r="F3703" s="69"/>
      <c r="G3703" s="65"/>
      <c r="H3703" s="65"/>
      <c r="I3703" s="70"/>
      <c r="J3703" s="71"/>
      <c r="K3703" s="71"/>
      <c r="L3703" s="72" t="str">
        <f>IFERROR(IF(G3703="","",VLOOKUP($G3703,[1]基础信息!$B:$C,2,FALSE)+SUMIF(G$8:G3703,G3703,J$8:J3703)-SUMIF(G$8:G3703,G3703,K$8:K3703)+SUMIFS([1]内部转账!$G:$G,[1]内部转账!$C:$C,"&lt;="&amp;$D3703,[1]内部转账!$E:$E,$G3703)-SUMIFS([1]内部转账!$G:$G,[1]内部转账!$C:$C,"&lt;="&amp;$D3703,[1]内部转账!$F:$F,$G3703)),"")</f>
        <v/>
      </c>
      <c r="M3703" s="64"/>
      <c r="N3703" s="69"/>
      <c r="O3703" s="64"/>
      <c r="P3703" s="64"/>
      <c r="Q3703" s="69"/>
      <c r="R3703" s="69"/>
      <c r="S3703" s="69"/>
    </row>
    <row r="3704" s="2" customFormat="1" ht="24.95" customHeight="1" spans="1:19">
      <c r="A3704" s="15"/>
      <c r="B3704" s="55"/>
      <c r="C3704" s="56"/>
      <c r="D3704" s="68"/>
      <c r="E3704" s="69"/>
      <c r="F3704" s="69"/>
      <c r="G3704" s="65"/>
      <c r="H3704" s="65"/>
      <c r="I3704" s="70"/>
      <c r="J3704" s="71"/>
      <c r="K3704" s="71"/>
      <c r="L3704" s="72" t="str">
        <f>IFERROR(IF(G3704="","",VLOOKUP($G3704,[1]基础信息!$B:$C,2,FALSE)+SUMIF(G$8:G3704,G3704,J$8:J3704)-SUMIF(G$8:G3704,G3704,K$8:K3704)+SUMIFS([1]内部转账!$G:$G,[1]内部转账!$C:$C,"&lt;="&amp;$D3704,[1]内部转账!$E:$E,$G3704)-SUMIFS([1]内部转账!$G:$G,[1]内部转账!$C:$C,"&lt;="&amp;$D3704,[1]内部转账!$F:$F,$G3704)),"")</f>
        <v/>
      </c>
      <c r="M3704" s="64"/>
      <c r="N3704" s="69"/>
      <c r="O3704" s="64"/>
      <c r="P3704" s="64"/>
      <c r="Q3704" s="69"/>
      <c r="R3704" s="69"/>
      <c r="S3704" s="69"/>
    </row>
    <row r="3705" s="2" customFormat="1" ht="24.95" customHeight="1" spans="1:19">
      <c r="A3705" s="15"/>
      <c r="B3705" s="55"/>
      <c r="C3705" s="56"/>
      <c r="D3705" s="68"/>
      <c r="E3705" s="69"/>
      <c r="F3705" s="69"/>
      <c r="G3705" s="65"/>
      <c r="H3705" s="65"/>
      <c r="I3705" s="70"/>
      <c r="J3705" s="71"/>
      <c r="K3705" s="71"/>
      <c r="L3705" s="72" t="str">
        <f>IFERROR(IF(G3705="","",VLOOKUP($G3705,[1]基础信息!$B:$C,2,FALSE)+SUMIF(G$8:G3705,G3705,J$8:J3705)-SUMIF(G$8:G3705,G3705,K$8:K3705)+SUMIFS([1]内部转账!$G:$G,[1]内部转账!$C:$C,"&lt;="&amp;$D3705,[1]内部转账!$E:$E,$G3705)-SUMIFS([1]内部转账!$G:$G,[1]内部转账!$C:$C,"&lt;="&amp;$D3705,[1]内部转账!$F:$F,$G3705)),"")</f>
        <v/>
      </c>
      <c r="M3705" s="64"/>
      <c r="N3705" s="69"/>
      <c r="O3705" s="64"/>
      <c r="P3705" s="64"/>
      <c r="Q3705" s="69"/>
      <c r="R3705" s="69"/>
      <c r="S3705" s="69"/>
    </row>
    <row r="3706" s="2" customFormat="1" ht="24.95" customHeight="1" spans="1:19">
      <c r="A3706" s="15"/>
      <c r="B3706" s="55"/>
      <c r="C3706" s="56"/>
      <c r="D3706" s="68"/>
      <c r="E3706" s="69"/>
      <c r="F3706" s="69"/>
      <c r="G3706" s="65"/>
      <c r="H3706" s="65"/>
      <c r="I3706" s="70"/>
      <c r="J3706" s="71"/>
      <c r="K3706" s="71"/>
      <c r="L3706" s="72" t="str">
        <f>IFERROR(IF(G3706="","",VLOOKUP($G3706,[1]基础信息!$B:$C,2,FALSE)+SUMIF(G$8:G3706,G3706,J$8:J3706)-SUMIF(G$8:G3706,G3706,K$8:K3706)+SUMIFS([1]内部转账!$G:$G,[1]内部转账!$C:$C,"&lt;="&amp;$D3706,[1]内部转账!$E:$E,$G3706)-SUMIFS([1]内部转账!$G:$G,[1]内部转账!$C:$C,"&lt;="&amp;$D3706,[1]内部转账!$F:$F,$G3706)),"")</f>
        <v/>
      </c>
      <c r="M3706" s="64"/>
      <c r="N3706" s="69"/>
      <c r="O3706" s="64"/>
      <c r="P3706" s="64"/>
      <c r="Q3706" s="69"/>
      <c r="R3706" s="69"/>
      <c r="S3706" s="69"/>
    </row>
    <row r="3707" s="2" customFormat="1" ht="24.95" customHeight="1" spans="1:19">
      <c r="A3707" s="15"/>
      <c r="B3707" s="55"/>
      <c r="C3707" s="56"/>
      <c r="D3707" s="68"/>
      <c r="E3707" s="69"/>
      <c r="F3707" s="69"/>
      <c r="G3707" s="65"/>
      <c r="H3707" s="65"/>
      <c r="I3707" s="70"/>
      <c r="J3707" s="71"/>
      <c r="K3707" s="71"/>
      <c r="L3707" s="72" t="str">
        <f>IFERROR(IF(G3707="","",VLOOKUP($G3707,[1]基础信息!$B:$C,2,FALSE)+SUMIF(G$8:G3707,G3707,J$8:J3707)-SUMIF(G$8:G3707,G3707,K$8:K3707)+SUMIFS([1]内部转账!$G:$G,[1]内部转账!$C:$C,"&lt;="&amp;$D3707,[1]内部转账!$E:$E,$G3707)-SUMIFS([1]内部转账!$G:$G,[1]内部转账!$C:$C,"&lt;="&amp;$D3707,[1]内部转账!$F:$F,$G3707)),"")</f>
        <v/>
      </c>
      <c r="M3707" s="64"/>
      <c r="N3707" s="69"/>
      <c r="O3707" s="64"/>
      <c r="P3707" s="64"/>
      <c r="Q3707" s="69"/>
      <c r="R3707" s="69"/>
      <c r="S3707" s="69"/>
    </row>
    <row r="3708" s="2" customFormat="1" ht="24.95" customHeight="1" spans="1:19">
      <c r="A3708" s="15"/>
      <c r="B3708" s="55"/>
      <c r="C3708" s="56"/>
      <c r="D3708" s="68"/>
      <c r="E3708" s="69"/>
      <c r="F3708" s="69"/>
      <c r="G3708" s="65"/>
      <c r="H3708" s="65"/>
      <c r="I3708" s="70"/>
      <c r="J3708" s="71"/>
      <c r="K3708" s="71"/>
      <c r="L3708" s="72" t="str">
        <f>IFERROR(IF(G3708="","",VLOOKUP($G3708,[1]基础信息!$B:$C,2,FALSE)+SUMIF(G$8:G3708,G3708,J$8:J3708)-SUMIF(G$8:G3708,G3708,K$8:K3708)+SUMIFS([1]内部转账!$G:$G,[1]内部转账!$C:$C,"&lt;="&amp;$D3708,[1]内部转账!$E:$E,$G3708)-SUMIFS([1]内部转账!$G:$G,[1]内部转账!$C:$C,"&lt;="&amp;$D3708,[1]内部转账!$F:$F,$G3708)),"")</f>
        <v/>
      </c>
      <c r="M3708" s="64"/>
      <c r="N3708" s="69"/>
      <c r="O3708" s="64"/>
      <c r="P3708" s="64"/>
      <c r="Q3708" s="69"/>
      <c r="R3708" s="69"/>
      <c r="S3708" s="69"/>
    </row>
    <row r="3709" s="2" customFormat="1" ht="24.95" customHeight="1" spans="1:19">
      <c r="A3709" s="15"/>
      <c r="B3709" s="55"/>
      <c r="C3709" s="56"/>
      <c r="D3709" s="68"/>
      <c r="E3709" s="69"/>
      <c r="F3709" s="69"/>
      <c r="G3709" s="65"/>
      <c r="H3709" s="65"/>
      <c r="I3709" s="70"/>
      <c r="J3709" s="71"/>
      <c r="K3709" s="71"/>
      <c r="L3709" s="72" t="str">
        <f>IFERROR(IF(G3709="","",VLOOKUP($G3709,[1]基础信息!$B:$C,2,FALSE)+SUMIF(G$8:G3709,G3709,J$8:J3709)-SUMIF(G$8:G3709,G3709,K$8:K3709)+SUMIFS([1]内部转账!$G:$G,[1]内部转账!$C:$C,"&lt;="&amp;$D3709,[1]内部转账!$E:$E,$G3709)-SUMIFS([1]内部转账!$G:$G,[1]内部转账!$C:$C,"&lt;="&amp;$D3709,[1]内部转账!$F:$F,$G3709)),"")</f>
        <v/>
      </c>
      <c r="M3709" s="64"/>
      <c r="N3709" s="69"/>
      <c r="O3709" s="64"/>
      <c r="P3709" s="64"/>
      <c r="Q3709" s="69"/>
      <c r="R3709" s="69"/>
      <c r="S3709" s="69"/>
    </row>
    <row r="3710" s="2" customFormat="1" ht="24.95" customHeight="1" spans="1:19">
      <c r="A3710" s="15"/>
      <c r="B3710" s="55"/>
      <c r="C3710" s="56"/>
      <c r="D3710" s="68"/>
      <c r="E3710" s="69"/>
      <c r="F3710" s="69"/>
      <c r="G3710" s="65"/>
      <c r="H3710" s="65"/>
      <c r="I3710" s="70"/>
      <c r="J3710" s="71"/>
      <c r="K3710" s="71"/>
      <c r="L3710" s="72" t="str">
        <f>IFERROR(IF(G3710="","",VLOOKUP($G3710,[1]基础信息!$B:$C,2,FALSE)+SUMIF(G$8:G3710,G3710,J$8:J3710)-SUMIF(G$8:G3710,G3710,K$8:K3710)+SUMIFS([1]内部转账!$G:$G,[1]内部转账!$C:$C,"&lt;="&amp;$D3710,[1]内部转账!$E:$E,$G3710)-SUMIFS([1]内部转账!$G:$G,[1]内部转账!$C:$C,"&lt;="&amp;$D3710,[1]内部转账!$F:$F,$G3710)),"")</f>
        <v/>
      </c>
      <c r="M3710" s="64"/>
      <c r="N3710" s="69"/>
      <c r="O3710" s="64"/>
      <c r="P3710" s="64"/>
      <c r="Q3710" s="69"/>
      <c r="R3710" s="69"/>
      <c r="S3710" s="69"/>
    </row>
    <row r="3711" s="2" customFormat="1" ht="24.95" customHeight="1" spans="1:19">
      <c r="A3711" s="15"/>
      <c r="B3711" s="55"/>
      <c r="C3711" s="56"/>
      <c r="D3711" s="68"/>
      <c r="E3711" s="69"/>
      <c r="F3711" s="69"/>
      <c r="G3711" s="65"/>
      <c r="H3711" s="65"/>
      <c r="I3711" s="70"/>
      <c r="J3711" s="71"/>
      <c r="K3711" s="71"/>
      <c r="L3711" s="72" t="str">
        <f>IFERROR(IF(G3711="","",VLOOKUP($G3711,[1]基础信息!$B:$C,2,FALSE)+SUMIF(G$8:G3711,G3711,J$8:J3711)-SUMIF(G$8:G3711,G3711,K$8:K3711)+SUMIFS([1]内部转账!$G:$G,[1]内部转账!$C:$C,"&lt;="&amp;$D3711,[1]内部转账!$E:$E,$G3711)-SUMIFS([1]内部转账!$G:$G,[1]内部转账!$C:$C,"&lt;="&amp;$D3711,[1]内部转账!$F:$F,$G3711)),"")</f>
        <v/>
      </c>
      <c r="M3711" s="64"/>
      <c r="N3711" s="69"/>
      <c r="O3711" s="64"/>
      <c r="P3711" s="64"/>
      <c r="Q3711" s="69"/>
      <c r="R3711" s="69"/>
      <c r="S3711" s="69"/>
    </row>
    <row r="3712" s="2" customFormat="1" ht="24.95" customHeight="1" spans="1:19">
      <c r="A3712" s="15"/>
      <c r="B3712" s="55"/>
      <c r="C3712" s="56"/>
      <c r="D3712" s="68"/>
      <c r="E3712" s="69"/>
      <c r="F3712" s="69"/>
      <c r="G3712" s="65"/>
      <c r="H3712" s="65"/>
      <c r="I3712" s="70"/>
      <c r="J3712" s="71"/>
      <c r="K3712" s="71"/>
      <c r="L3712" s="72" t="str">
        <f>IFERROR(IF(G3712="","",VLOOKUP($G3712,[1]基础信息!$B:$C,2,FALSE)+SUMIF(G$8:G3712,G3712,J$8:J3712)-SUMIF(G$8:G3712,G3712,K$8:K3712)+SUMIFS([1]内部转账!$G:$G,[1]内部转账!$C:$C,"&lt;="&amp;$D3712,[1]内部转账!$E:$E,$G3712)-SUMIFS([1]内部转账!$G:$G,[1]内部转账!$C:$C,"&lt;="&amp;$D3712,[1]内部转账!$F:$F,$G3712)),"")</f>
        <v/>
      </c>
      <c r="M3712" s="64"/>
      <c r="N3712" s="69"/>
      <c r="O3712" s="64"/>
      <c r="P3712" s="64"/>
      <c r="Q3712" s="69"/>
      <c r="R3712" s="69"/>
      <c r="S3712" s="69"/>
    </row>
    <row r="3713" s="2" customFormat="1" ht="24.95" customHeight="1" spans="1:19">
      <c r="A3713" s="15"/>
      <c r="B3713" s="55"/>
      <c r="C3713" s="56"/>
      <c r="D3713" s="68"/>
      <c r="E3713" s="69"/>
      <c r="F3713" s="69"/>
      <c r="G3713" s="65"/>
      <c r="H3713" s="65"/>
      <c r="I3713" s="70"/>
      <c r="J3713" s="71"/>
      <c r="K3713" s="71"/>
      <c r="L3713" s="72" t="str">
        <f>IFERROR(IF(G3713="","",VLOOKUP($G3713,[1]基础信息!$B:$C,2,FALSE)+SUMIF(G$8:G3713,G3713,J$8:J3713)-SUMIF(G$8:G3713,G3713,K$8:K3713)+SUMIFS([1]内部转账!$G:$G,[1]内部转账!$C:$C,"&lt;="&amp;$D3713,[1]内部转账!$E:$E,$G3713)-SUMIFS([1]内部转账!$G:$G,[1]内部转账!$C:$C,"&lt;="&amp;$D3713,[1]内部转账!$F:$F,$G3713)),"")</f>
        <v/>
      </c>
      <c r="M3713" s="64"/>
      <c r="N3713" s="69"/>
      <c r="O3713" s="64"/>
      <c r="P3713" s="64"/>
      <c r="Q3713" s="69"/>
      <c r="R3713" s="69"/>
      <c r="S3713" s="69"/>
    </row>
    <row r="3714" s="2" customFormat="1" ht="24.95" customHeight="1" spans="1:19">
      <c r="A3714" s="15"/>
      <c r="B3714" s="55"/>
      <c r="C3714" s="56"/>
      <c r="D3714" s="68"/>
      <c r="E3714" s="69"/>
      <c r="F3714" s="69"/>
      <c r="G3714" s="65"/>
      <c r="H3714" s="65"/>
      <c r="I3714" s="70"/>
      <c r="J3714" s="71"/>
      <c r="K3714" s="71"/>
      <c r="L3714" s="72" t="str">
        <f>IFERROR(IF(G3714="","",VLOOKUP($G3714,[1]基础信息!$B:$C,2,FALSE)+SUMIF(G$8:G3714,G3714,J$8:J3714)-SUMIF(G$8:G3714,G3714,K$8:K3714)+SUMIFS([1]内部转账!$G:$G,[1]内部转账!$C:$C,"&lt;="&amp;$D3714,[1]内部转账!$E:$E,$G3714)-SUMIFS([1]内部转账!$G:$G,[1]内部转账!$C:$C,"&lt;="&amp;$D3714,[1]内部转账!$F:$F,$G3714)),"")</f>
        <v/>
      </c>
      <c r="M3714" s="64"/>
      <c r="N3714" s="69"/>
      <c r="O3714" s="64"/>
      <c r="P3714" s="64"/>
      <c r="Q3714" s="69"/>
      <c r="R3714" s="69"/>
      <c r="S3714" s="69"/>
    </row>
    <row r="3715" s="2" customFormat="1" ht="24.95" customHeight="1" spans="1:19">
      <c r="A3715" s="15"/>
      <c r="B3715" s="55"/>
      <c r="C3715" s="56"/>
      <c r="D3715" s="68"/>
      <c r="E3715" s="69"/>
      <c r="F3715" s="69"/>
      <c r="G3715" s="65"/>
      <c r="H3715" s="65"/>
      <c r="I3715" s="70"/>
      <c r="J3715" s="71"/>
      <c r="K3715" s="71"/>
      <c r="L3715" s="72" t="str">
        <f>IFERROR(IF(G3715="","",VLOOKUP($G3715,[1]基础信息!$B:$C,2,FALSE)+SUMIF(G$8:G3715,G3715,J$8:J3715)-SUMIF(G$8:G3715,G3715,K$8:K3715)+SUMIFS([1]内部转账!$G:$G,[1]内部转账!$C:$C,"&lt;="&amp;$D3715,[1]内部转账!$E:$E,$G3715)-SUMIFS([1]内部转账!$G:$G,[1]内部转账!$C:$C,"&lt;="&amp;$D3715,[1]内部转账!$F:$F,$G3715)),"")</f>
        <v/>
      </c>
      <c r="M3715" s="64"/>
      <c r="N3715" s="69"/>
      <c r="O3715" s="64"/>
      <c r="P3715" s="64"/>
      <c r="Q3715" s="69"/>
      <c r="R3715" s="69"/>
      <c r="S3715" s="69"/>
    </row>
    <row r="3716" s="2" customFormat="1" ht="24.95" customHeight="1" spans="1:19">
      <c r="A3716" s="15"/>
      <c r="B3716" s="55"/>
      <c r="C3716" s="56"/>
      <c r="D3716" s="68"/>
      <c r="E3716" s="69"/>
      <c r="F3716" s="69"/>
      <c r="G3716" s="65"/>
      <c r="H3716" s="65"/>
      <c r="I3716" s="70"/>
      <c r="J3716" s="71"/>
      <c r="K3716" s="71"/>
      <c r="L3716" s="72" t="str">
        <f>IFERROR(IF(G3716="","",VLOOKUP($G3716,[1]基础信息!$B:$C,2,FALSE)+SUMIF(G$8:G3716,G3716,J$8:J3716)-SUMIF(G$8:G3716,G3716,K$8:K3716)+SUMIFS([1]内部转账!$G:$G,[1]内部转账!$C:$C,"&lt;="&amp;$D3716,[1]内部转账!$E:$E,$G3716)-SUMIFS([1]内部转账!$G:$G,[1]内部转账!$C:$C,"&lt;="&amp;$D3716,[1]内部转账!$F:$F,$G3716)),"")</f>
        <v/>
      </c>
      <c r="M3716" s="64"/>
      <c r="N3716" s="69"/>
      <c r="O3716" s="64"/>
      <c r="P3716" s="64"/>
      <c r="Q3716" s="69"/>
      <c r="R3716" s="69"/>
      <c r="S3716" s="69"/>
    </row>
    <row r="3717" s="2" customFormat="1" ht="24.95" customHeight="1" spans="1:19">
      <c r="A3717" s="15"/>
      <c r="B3717" s="55"/>
      <c r="C3717" s="56"/>
      <c r="D3717" s="68"/>
      <c r="E3717" s="69"/>
      <c r="F3717" s="69"/>
      <c r="G3717" s="65"/>
      <c r="H3717" s="65"/>
      <c r="I3717" s="70"/>
      <c r="J3717" s="71"/>
      <c r="K3717" s="71"/>
      <c r="L3717" s="72" t="str">
        <f>IFERROR(IF(G3717="","",VLOOKUP($G3717,[1]基础信息!$B:$C,2,FALSE)+SUMIF(G$8:G3717,G3717,J$8:J3717)-SUMIF(G$8:G3717,G3717,K$8:K3717)+SUMIFS([1]内部转账!$G:$G,[1]内部转账!$C:$C,"&lt;="&amp;$D3717,[1]内部转账!$E:$E,$G3717)-SUMIFS([1]内部转账!$G:$G,[1]内部转账!$C:$C,"&lt;="&amp;$D3717,[1]内部转账!$F:$F,$G3717)),"")</f>
        <v/>
      </c>
      <c r="M3717" s="64"/>
      <c r="N3717" s="69"/>
      <c r="O3717" s="64"/>
      <c r="P3717" s="64"/>
      <c r="Q3717" s="69"/>
      <c r="R3717" s="69"/>
      <c r="S3717" s="69"/>
    </row>
    <row r="3718" s="2" customFormat="1" ht="24.95" customHeight="1" spans="1:19">
      <c r="A3718" s="15"/>
      <c r="B3718" s="55"/>
      <c r="C3718" s="56"/>
      <c r="D3718" s="68"/>
      <c r="E3718" s="69"/>
      <c r="F3718" s="69"/>
      <c r="G3718" s="65"/>
      <c r="H3718" s="65"/>
      <c r="I3718" s="70"/>
      <c r="J3718" s="71"/>
      <c r="K3718" s="71"/>
      <c r="L3718" s="72" t="str">
        <f>IFERROR(IF(G3718="","",VLOOKUP($G3718,[1]基础信息!$B:$C,2,FALSE)+SUMIF(G$8:G3718,G3718,J$8:J3718)-SUMIF(G$8:G3718,G3718,K$8:K3718)+SUMIFS([1]内部转账!$G:$G,[1]内部转账!$C:$C,"&lt;="&amp;$D3718,[1]内部转账!$E:$E,$G3718)-SUMIFS([1]内部转账!$G:$G,[1]内部转账!$C:$C,"&lt;="&amp;$D3718,[1]内部转账!$F:$F,$G3718)),"")</f>
        <v/>
      </c>
      <c r="M3718" s="64"/>
      <c r="N3718" s="69"/>
      <c r="O3718" s="64"/>
      <c r="P3718" s="64"/>
      <c r="Q3718" s="69"/>
      <c r="R3718" s="69"/>
      <c r="S3718" s="69"/>
    </row>
    <row r="3719" s="2" customFormat="1" ht="24.95" customHeight="1" spans="1:19">
      <c r="A3719" s="15"/>
      <c r="B3719" s="55"/>
      <c r="C3719" s="56"/>
      <c r="D3719" s="68"/>
      <c r="E3719" s="69"/>
      <c r="F3719" s="69"/>
      <c r="G3719" s="65"/>
      <c r="H3719" s="65"/>
      <c r="I3719" s="70"/>
      <c r="J3719" s="71"/>
      <c r="K3719" s="71"/>
      <c r="L3719" s="72" t="str">
        <f>IFERROR(IF(G3719="","",VLOOKUP($G3719,[1]基础信息!$B:$C,2,FALSE)+SUMIF(G$8:G3719,G3719,J$8:J3719)-SUMIF(G$8:G3719,G3719,K$8:K3719)+SUMIFS([1]内部转账!$G:$G,[1]内部转账!$C:$C,"&lt;="&amp;$D3719,[1]内部转账!$E:$E,$G3719)-SUMIFS([1]内部转账!$G:$G,[1]内部转账!$C:$C,"&lt;="&amp;$D3719,[1]内部转账!$F:$F,$G3719)),"")</f>
        <v/>
      </c>
      <c r="M3719" s="64"/>
      <c r="N3719" s="69"/>
      <c r="O3719" s="64"/>
      <c r="P3719" s="64"/>
      <c r="Q3719" s="69"/>
      <c r="R3719" s="69"/>
      <c r="S3719" s="69"/>
    </row>
    <row r="3720" s="2" customFormat="1" ht="24.95" customHeight="1" spans="1:19">
      <c r="A3720" s="15"/>
      <c r="B3720" s="55"/>
      <c r="C3720" s="56"/>
      <c r="D3720" s="68"/>
      <c r="E3720" s="69"/>
      <c r="F3720" s="69"/>
      <c r="G3720" s="65"/>
      <c r="H3720" s="65"/>
      <c r="I3720" s="70"/>
      <c r="J3720" s="71"/>
      <c r="K3720" s="71"/>
      <c r="L3720" s="72" t="str">
        <f>IFERROR(IF(G3720="","",VLOOKUP($G3720,[1]基础信息!$B:$C,2,FALSE)+SUMIF(G$8:G3720,G3720,J$8:J3720)-SUMIF(G$8:G3720,G3720,K$8:K3720)+SUMIFS([1]内部转账!$G:$G,[1]内部转账!$C:$C,"&lt;="&amp;$D3720,[1]内部转账!$E:$E,$G3720)-SUMIFS([1]内部转账!$G:$G,[1]内部转账!$C:$C,"&lt;="&amp;$D3720,[1]内部转账!$F:$F,$G3720)),"")</f>
        <v/>
      </c>
      <c r="M3720" s="64"/>
      <c r="N3720" s="69"/>
      <c r="O3720" s="64"/>
      <c r="P3720" s="64"/>
      <c r="Q3720" s="69"/>
      <c r="R3720" s="69"/>
      <c r="S3720" s="69"/>
    </row>
    <row r="3721" s="2" customFormat="1" ht="24.95" customHeight="1" spans="1:19">
      <c r="A3721" s="15"/>
      <c r="B3721" s="55"/>
      <c r="C3721" s="56"/>
      <c r="D3721" s="68"/>
      <c r="E3721" s="69"/>
      <c r="F3721" s="69"/>
      <c r="G3721" s="65"/>
      <c r="H3721" s="65"/>
      <c r="I3721" s="70"/>
      <c r="J3721" s="71"/>
      <c r="K3721" s="71"/>
      <c r="L3721" s="72" t="str">
        <f>IFERROR(IF(G3721="","",VLOOKUP($G3721,[1]基础信息!$B:$C,2,FALSE)+SUMIF(G$8:G3721,G3721,J$8:J3721)-SUMIF(G$8:G3721,G3721,K$8:K3721)+SUMIFS([1]内部转账!$G:$G,[1]内部转账!$C:$C,"&lt;="&amp;$D3721,[1]内部转账!$E:$E,$G3721)-SUMIFS([1]内部转账!$G:$G,[1]内部转账!$C:$C,"&lt;="&amp;$D3721,[1]内部转账!$F:$F,$G3721)),"")</f>
        <v/>
      </c>
      <c r="M3721" s="64"/>
      <c r="N3721" s="69"/>
      <c r="O3721" s="64"/>
      <c r="P3721" s="64"/>
      <c r="Q3721" s="69"/>
      <c r="R3721" s="69"/>
      <c r="S3721" s="69"/>
    </row>
    <row r="3722" s="2" customFormat="1" ht="24.95" customHeight="1" spans="1:19">
      <c r="A3722" s="15"/>
      <c r="B3722" s="55"/>
      <c r="C3722" s="56"/>
      <c r="D3722" s="68"/>
      <c r="E3722" s="69"/>
      <c r="F3722" s="69"/>
      <c r="G3722" s="65"/>
      <c r="H3722" s="65"/>
      <c r="I3722" s="70"/>
      <c r="J3722" s="71"/>
      <c r="K3722" s="71"/>
      <c r="L3722" s="72" t="str">
        <f>IFERROR(IF(G3722="","",VLOOKUP($G3722,[1]基础信息!$B:$C,2,FALSE)+SUMIF(G$8:G3722,G3722,J$8:J3722)-SUMIF(G$8:G3722,G3722,K$8:K3722)+SUMIFS([1]内部转账!$G:$G,[1]内部转账!$C:$C,"&lt;="&amp;$D3722,[1]内部转账!$E:$E,$G3722)-SUMIFS([1]内部转账!$G:$G,[1]内部转账!$C:$C,"&lt;="&amp;$D3722,[1]内部转账!$F:$F,$G3722)),"")</f>
        <v/>
      </c>
      <c r="M3722" s="64"/>
      <c r="N3722" s="69"/>
      <c r="O3722" s="64"/>
      <c r="P3722" s="64"/>
      <c r="Q3722" s="69"/>
      <c r="R3722" s="69"/>
      <c r="S3722" s="69"/>
    </row>
    <row r="3723" s="2" customFormat="1" ht="24.95" customHeight="1" spans="1:19">
      <c r="A3723" s="15"/>
      <c r="B3723" s="55"/>
      <c r="C3723" s="56"/>
      <c r="D3723" s="68"/>
      <c r="E3723" s="69"/>
      <c r="F3723" s="69"/>
      <c r="G3723" s="65"/>
      <c r="H3723" s="65"/>
      <c r="I3723" s="70"/>
      <c r="J3723" s="71"/>
      <c r="K3723" s="71"/>
      <c r="L3723" s="72" t="str">
        <f>IFERROR(IF(G3723="","",VLOOKUP($G3723,[1]基础信息!$B:$C,2,FALSE)+SUMIF(G$8:G3723,G3723,J$8:J3723)-SUMIF(G$8:G3723,G3723,K$8:K3723)+SUMIFS([1]内部转账!$G:$G,[1]内部转账!$C:$C,"&lt;="&amp;$D3723,[1]内部转账!$E:$E,$G3723)-SUMIFS([1]内部转账!$G:$G,[1]内部转账!$C:$C,"&lt;="&amp;$D3723,[1]内部转账!$F:$F,$G3723)),"")</f>
        <v/>
      </c>
      <c r="M3723" s="64"/>
      <c r="N3723" s="69"/>
      <c r="O3723" s="64"/>
      <c r="P3723" s="64"/>
      <c r="Q3723" s="69"/>
      <c r="R3723" s="69"/>
      <c r="S3723" s="69"/>
    </row>
    <row r="3724" s="2" customFormat="1" ht="24.95" customHeight="1" spans="1:19">
      <c r="A3724" s="15"/>
      <c r="B3724" s="55"/>
      <c r="C3724" s="56"/>
      <c r="D3724" s="68"/>
      <c r="E3724" s="69"/>
      <c r="F3724" s="69"/>
      <c r="G3724" s="65"/>
      <c r="H3724" s="65"/>
      <c r="I3724" s="70"/>
      <c r="J3724" s="71"/>
      <c r="K3724" s="71"/>
      <c r="L3724" s="72" t="str">
        <f>IFERROR(IF(G3724="","",VLOOKUP($G3724,[1]基础信息!$B:$C,2,FALSE)+SUMIF(G$8:G3724,G3724,J$8:J3724)-SUMIF(G$8:G3724,G3724,K$8:K3724)+SUMIFS([1]内部转账!$G:$G,[1]内部转账!$C:$C,"&lt;="&amp;$D3724,[1]内部转账!$E:$E,$G3724)-SUMIFS([1]内部转账!$G:$G,[1]内部转账!$C:$C,"&lt;="&amp;$D3724,[1]内部转账!$F:$F,$G3724)),"")</f>
        <v/>
      </c>
      <c r="M3724" s="64"/>
      <c r="N3724" s="69"/>
      <c r="O3724" s="64"/>
      <c r="P3724" s="64"/>
      <c r="Q3724" s="69"/>
      <c r="R3724" s="69"/>
      <c r="S3724" s="69"/>
    </row>
    <row r="3725" s="2" customFormat="1" ht="24.95" customHeight="1" spans="1:19">
      <c r="A3725" s="15"/>
      <c r="B3725" s="55"/>
      <c r="C3725" s="56"/>
      <c r="D3725" s="68"/>
      <c r="E3725" s="69"/>
      <c r="F3725" s="69"/>
      <c r="G3725" s="65"/>
      <c r="H3725" s="65"/>
      <c r="I3725" s="70"/>
      <c r="J3725" s="71"/>
      <c r="K3725" s="71"/>
      <c r="L3725" s="72" t="str">
        <f>IFERROR(IF(G3725="","",VLOOKUP($G3725,[1]基础信息!$B:$C,2,FALSE)+SUMIF(G$8:G3725,G3725,J$8:J3725)-SUMIF(G$8:G3725,G3725,K$8:K3725)+SUMIFS([1]内部转账!$G:$G,[1]内部转账!$C:$C,"&lt;="&amp;$D3725,[1]内部转账!$E:$E,$G3725)-SUMIFS([1]内部转账!$G:$G,[1]内部转账!$C:$C,"&lt;="&amp;$D3725,[1]内部转账!$F:$F,$G3725)),"")</f>
        <v/>
      </c>
      <c r="M3725" s="64"/>
      <c r="N3725" s="69"/>
      <c r="O3725" s="64"/>
      <c r="P3725" s="64"/>
      <c r="Q3725" s="69"/>
      <c r="R3725" s="69"/>
      <c r="S3725" s="69"/>
    </row>
    <row r="3726" s="2" customFormat="1" ht="24.95" customHeight="1" spans="1:19">
      <c r="A3726" s="15"/>
      <c r="B3726" s="55"/>
      <c r="C3726" s="56"/>
      <c r="D3726" s="68"/>
      <c r="E3726" s="69"/>
      <c r="F3726" s="69"/>
      <c r="G3726" s="65"/>
      <c r="H3726" s="65"/>
      <c r="I3726" s="70"/>
      <c r="J3726" s="71"/>
      <c r="K3726" s="71"/>
      <c r="L3726" s="72" t="str">
        <f>IFERROR(IF(G3726="","",VLOOKUP($G3726,[1]基础信息!$B:$C,2,FALSE)+SUMIF(G$8:G3726,G3726,J$8:J3726)-SUMIF(G$8:G3726,G3726,K$8:K3726)+SUMIFS([1]内部转账!$G:$G,[1]内部转账!$C:$C,"&lt;="&amp;$D3726,[1]内部转账!$E:$E,$G3726)-SUMIFS([1]内部转账!$G:$G,[1]内部转账!$C:$C,"&lt;="&amp;$D3726,[1]内部转账!$F:$F,$G3726)),"")</f>
        <v/>
      </c>
      <c r="M3726" s="64"/>
      <c r="N3726" s="69"/>
      <c r="O3726" s="64"/>
      <c r="P3726" s="64"/>
      <c r="Q3726" s="69"/>
      <c r="R3726" s="69"/>
      <c r="S3726" s="69"/>
    </row>
    <row r="3727" s="2" customFormat="1" ht="24.95" customHeight="1" spans="1:19">
      <c r="A3727" s="15"/>
      <c r="B3727" s="55"/>
      <c r="C3727" s="56"/>
      <c r="D3727" s="68"/>
      <c r="E3727" s="69"/>
      <c r="F3727" s="69"/>
      <c r="G3727" s="65"/>
      <c r="H3727" s="65"/>
      <c r="I3727" s="70"/>
      <c r="J3727" s="71"/>
      <c r="K3727" s="71"/>
      <c r="L3727" s="72" t="str">
        <f>IFERROR(IF(G3727="","",VLOOKUP($G3727,[1]基础信息!$B:$C,2,FALSE)+SUMIF(G$8:G3727,G3727,J$8:J3727)-SUMIF(G$8:G3727,G3727,K$8:K3727)+SUMIFS([1]内部转账!$G:$G,[1]内部转账!$C:$C,"&lt;="&amp;$D3727,[1]内部转账!$E:$E,$G3727)-SUMIFS([1]内部转账!$G:$G,[1]内部转账!$C:$C,"&lt;="&amp;$D3727,[1]内部转账!$F:$F,$G3727)),"")</f>
        <v/>
      </c>
      <c r="M3727" s="64"/>
      <c r="N3727" s="69"/>
      <c r="O3727" s="64"/>
      <c r="P3727" s="64"/>
      <c r="Q3727" s="69"/>
      <c r="R3727" s="69"/>
      <c r="S3727" s="69"/>
    </row>
    <row r="3728" s="2" customFormat="1" ht="24.95" customHeight="1" spans="1:19">
      <c r="A3728" s="15"/>
      <c r="B3728" s="55"/>
      <c r="C3728" s="56"/>
      <c r="D3728" s="68"/>
      <c r="E3728" s="69"/>
      <c r="F3728" s="69"/>
      <c r="G3728" s="65"/>
      <c r="H3728" s="65"/>
      <c r="I3728" s="70"/>
      <c r="J3728" s="71"/>
      <c r="K3728" s="71"/>
      <c r="L3728" s="72" t="str">
        <f>IFERROR(IF(G3728="","",VLOOKUP($G3728,[1]基础信息!$B:$C,2,FALSE)+SUMIF(G$8:G3728,G3728,J$8:J3728)-SUMIF(G$8:G3728,G3728,K$8:K3728)+SUMIFS([1]内部转账!$G:$G,[1]内部转账!$C:$C,"&lt;="&amp;$D3728,[1]内部转账!$E:$E,$G3728)-SUMIFS([1]内部转账!$G:$G,[1]内部转账!$C:$C,"&lt;="&amp;$D3728,[1]内部转账!$F:$F,$G3728)),"")</f>
        <v/>
      </c>
      <c r="M3728" s="64"/>
      <c r="N3728" s="69"/>
      <c r="O3728" s="64"/>
      <c r="P3728" s="64"/>
      <c r="Q3728" s="69"/>
      <c r="R3728" s="69"/>
      <c r="S3728" s="69"/>
    </row>
    <row r="3729" s="2" customFormat="1" ht="24.95" customHeight="1" spans="1:19">
      <c r="A3729" s="15"/>
      <c r="B3729" s="55"/>
      <c r="C3729" s="56"/>
      <c r="D3729" s="68"/>
      <c r="E3729" s="69"/>
      <c r="F3729" s="69"/>
      <c r="G3729" s="65"/>
      <c r="H3729" s="65"/>
      <c r="I3729" s="70"/>
      <c r="J3729" s="71"/>
      <c r="K3729" s="71"/>
      <c r="L3729" s="72" t="str">
        <f>IFERROR(IF(G3729="","",VLOOKUP($G3729,[1]基础信息!$B:$C,2,FALSE)+SUMIF(G$8:G3729,G3729,J$8:J3729)-SUMIF(G$8:G3729,G3729,K$8:K3729)+SUMIFS([1]内部转账!$G:$G,[1]内部转账!$C:$C,"&lt;="&amp;$D3729,[1]内部转账!$E:$E,$G3729)-SUMIFS([1]内部转账!$G:$G,[1]内部转账!$C:$C,"&lt;="&amp;$D3729,[1]内部转账!$F:$F,$G3729)),"")</f>
        <v/>
      </c>
      <c r="M3729" s="64"/>
      <c r="N3729" s="69"/>
      <c r="O3729" s="64"/>
      <c r="P3729" s="64"/>
      <c r="Q3729" s="69"/>
      <c r="R3729" s="69"/>
      <c r="S3729" s="69"/>
    </row>
    <row r="3730" s="2" customFormat="1" ht="24.95" customHeight="1" spans="1:19">
      <c r="A3730" s="15"/>
      <c r="B3730" s="55"/>
      <c r="C3730" s="56"/>
      <c r="D3730" s="68"/>
      <c r="E3730" s="69"/>
      <c r="F3730" s="69"/>
      <c r="G3730" s="65"/>
      <c r="H3730" s="65"/>
      <c r="I3730" s="70"/>
      <c r="J3730" s="71"/>
      <c r="K3730" s="71"/>
      <c r="L3730" s="72" t="str">
        <f>IFERROR(IF(G3730="","",VLOOKUP($G3730,[1]基础信息!$B:$C,2,FALSE)+SUMIF(G$8:G3730,G3730,J$8:J3730)-SUMIF(G$8:G3730,G3730,K$8:K3730)+SUMIFS([1]内部转账!$G:$G,[1]内部转账!$C:$C,"&lt;="&amp;$D3730,[1]内部转账!$E:$E,$G3730)-SUMIFS([1]内部转账!$G:$G,[1]内部转账!$C:$C,"&lt;="&amp;$D3730,[1]内部转账!$F:$F,$G3730)),"")</f>
        <v/>
      </c>
      <c r="M3730" s="64"/>
      <c r="N3730" s="69"/>
      <c r="O3730" s="64"/>
      <c r="P3730" s="64"/>
      <c r="Q3730" s="69"/>
      <c r="R3730" s="69"/>
      <c r="S3730" s="69"/>
    </row>
    <row r="3731" s="2" customFormat="1" ht="24.95" customHeight="1" spans="1:19">
      <c r="A3731" s="15"/>
      <c r="B3731" s="55"/>
      <c r="C3731" s="56"/>
      <c r="D3731" s="68"/>
      <c r="E3731" s="69"/>
      <c r="F3731" s="69"/>
      <c r="G3731" s="65"/>
      <c r="H3731" s="65"/>
      <c r="I3731" s="70"/>
      <c r="J3731" s="71"/>
      <c r="K3731" s="71"/>
      <c r="L3731" s="72" t="str">
        <f>IFERROR(IF(G3731="","",VLOOKUP($G3731,[1]基础信息!$B:$C,2,FALSE)+SUMIF(G$8:G3731,G3731,J$8:J3731)-SUMIF(G$8:G3731,G3731,K$8:K3731)+SUMIFS([1]内部转账!$G:$G,[1]内部转账!$C:$C,"&lt;="&amp;$D3731,[1]内部转账!$E:$E,$G3731)-SUMIFS([1]内部转账!$G:$G,[1]内部转账!$C:$C,"&lt;="&amp;$D3731,[1]内部转账!$F:$F,$G3731)),"")</f>
        <v/>
      </c>
      <c r="M3731" s="64"/>
      <c r="N3731" s="69"/>
      <c r="O3731" s="64"/>
      <c r="P3731" s="64"/>
      <c r="Q3731" s="69"/>
      <c r="R3731" s="69"/>
      <c r="S3731" s="69"/>
    </row>
    <row r="3732" s="2" customFormat="1" ht="24.95" customHeight="1" spans="1:19">
      <c r="A3732" s="15"/>
      <c r="B3732" s="55"/>
      <c r="C3732" s="56"/>
      <c r="D3732" s="68"/>
      <c r="E3732" s="69"/>
      <c r="F3732" s="69"/>
      <c r="G3732" s="65"/>
      <c r="H3732" s="65"/>
      <c r="I3732" s="70"/>
      <c r="J3732" s="71"/>
      <c r="K3732" s="71"/>
      <c r="L3732" s="72" t="str">
        <f>IFERROR(IF(G3732="","",VLOOKUP($G3732,[1]基础信息!$B:$C,2,FALSE)+SUMIF(G$8:G3732,G3732,J$8:J3732)-SUMIF(G$8:G3732,G3732,K$8:K3732)+SUMIFS([1]内部转账!$G:$G,[1]内部转账!$C:$C,"&lt;="&amp;$D3732,[1]内部转账!$E:$E,$G3732)-SUMIFS([1]内部转账!$G:$G,[1]内部转账!$C:$C,"&lt;="&amp;$D3732,[1]内部转账!$F:$F,$G3732)),"")</f>
        <v/>
      </c>
      <c r="M3732" s="64"/>
      <c r="N3732" s="69"/>
      <c r="O3732" s="64"/>
      <c r="P3732" s="64"/>
      <c r="Q3732" s="69"/>
      <c r="R3732" s="69"/>
      <c r="S3732" s="69"/>
    </row>
    <row r="3733" s="2" customFormat="1" ht="24.95" customHeight="1" spans="1:19">
      <c r="A3733" s="15"/>
      <c r="B3733" s="55"/>
      <c r="C3733" s="56"/>
      <c r="D3733" s="68"/>
      <c r="E3733" s="69"/>
      <c r="F3733" s="69"/>
      <c r="G3733" s="65"/>
      <c r="H3733" s="65"/>
      <c r="I3733" s="70"/>
      <c r="J3733" s="71"/>
      <c r="K3733" s="71"/>
      <c r="L3733" s="72" t="str">
        <f>IFERROR(IF(G3733="","",VLOOKUP($G3733,[1]基础信息!$B:$C,2,FALSE)+SUMIF(G$8:G3733,G3733,J$8:J3733)-SUMIF(G$8:G3733,G3733,K$8:K3733)+SUMIFS([1]内部转账!$G:$G,[1]内部转账!$C:$C,"&lt;="&amp;$D3733,[1]内部转账!$E:$E,$G3733)-SUMIFS([1]内部转账!$G:$G,[1]内部转账!$C:$C,"&lt;="&amp;$D3733,[1]内部转账!$F:$F,$G3733)),"")</f>
        <v/>
      </c>
      <c r="M3733" s="64"/>
      <c r="N3733" s="69"/>
      <c r="O3733" s="64"/>
      <c r="P3733" s="64"/>
      <c r="Q3733" s="69"/>
      <c r="R3733" s="69"/>
      <c r="S3733" s="69"/>
    </row>
    <row r="3734" s="2" customFormat="1" ht="24.95" customHeight="1" spans="1:19">
      <c r="A3734" s="15"/>
      <c r="B3734" s="55"/>
      <c r="C3734" s="56"/>
      <c r="D3734" s="68"/>
      <c r="E3734" s="69"/>
      <c r="F3734" s="69"/>
      <c r="G3734" s="65"/>
      <c r="H3734" s="65"/>
      <c r="I3734" s="70"/>
      <c r="J3734" s="71"/>
      <c r="K3734" s="71"/>
      <c r="L3734" s="72" t="str">
        <f>IFERROR(IF(G3734="","",VLOOKUP($G3734,[1]基础信息!$B:$C,2,FALSE)+SUMIF(G$8:G3734,G3734,J$8:J3734)-SUMIF(G$8:G3734,G3734,K$8:K3734)+SUMIFS([1]内部转账!$G:$G,[1]内部转账!$C:$C,"&lt;="&amp;$D3734,[1]内部转账!$E:$E,$G3734)-SUMIFS([1]内部转账!$G:$G,[1]内部转账!$C:$C,"&lt;="&amp;$D3734,[1]内部转账!$F:$F,$G3734)),"")</f>
        <v/>
      </c>
      <c r="M3734" s="64"/>
      <c r="N3734" s="69"/>
      <c r="O3734" s="64"/>
      <c r="P3734" s="64"/>
      <c r="Q3734" s="69"/>
      <c r="R3734" s="69"/>
      <c r="S3734" s="69"/>
    </row>
    <row r="3735" s="2" customFormat="1" ht="24.95" customHeight="1" spans="1:19">
      <c r="A3735" s="15"/>
      <c r="B3735" s="55"/>
      <c r="C3735" s="56"/>
      <c r="D3735" s="68"/>
      <c r="E3735" s="69"/>
      <c r="F3735" s="69"/>
      <c r="G3735" s="65"/>
      <c r="H3735" s="65"/>
      <c r="I3735" s="70"/>
      <c r="J3735" s="71"/>
      <c r="K3735" s="71"/>
      <c r="L3735" s="72" t="str">
        <f>IFERROR(IF(G3735="","",VLOOKUP($G3735,[1]基础信息!$B:$C,2,FALSE)+SUMIF(G$8:G3735,G3735,J$8:J3735)-SUMIF(G$8:G3735,G3735,K$8:K3735)+SUMIFS([1]内部转账!$G:$G,[1]内部转账!$C:$C,"&lt;="&amp;$D3735,[1]内部转账!$E:$E,$G3735)-SUMIFS([1]内部转账!$G:$G,[1]内部转账!$C:$C,"&lt;="&amp;$D3735,[1]内部转账!$F:$F,$G3735)),"")</f>
        <v/>
      </c>
      <c r="M3735" s="64"/>
      <c r="N3735" s="69"/>
      <c r="O3735" s="64"/>
      <c r="P3735" s="64"/>
      <c r="Q3735" s="69"/>
      <c r="R3735" s="69"/>
      <c r="S3735" s="69"/>
    </row>
    <row r="3736" s="2" customFormat="1" ht="24.95" customHeight="1" spans="1:19">
      <c r="A3736" s="15"/>
      <c r="B3736" s="55"/>
      <c r="C3736" s="56"/>
      <c r="D3736" s="68"/>
      <c r="E3736" s="69"/>
      <c r="F3736" s="69"/>
      <c r="G3736" s="65"/>
      <c r="H3736" s="65"/>
      <c r="I3736" s="70"/>
      <c r="J3736" s="71"/>
      <c r="K3736" s="71"/>
      <c r="L3736" s="72" t="str">
        <f>IFERROR(IF(G3736="","",VLOOKUP($G3736,[1]基础信息!$B:$C,2,FALSE)+SUMIF(G$8:G3736,G3736,J$8:J3736)-SUMIF(G$8:G3736,G3736,K$8:K3736)+SUMIFS([1]内部转账!$G:$G,[1]内部转账!$C:$C,"&lt;="&amp;$D3736,[1]内部转账!$E:$E,$G3736)-SUMIFS([1]内部转账!$G:$G,[1]内部转账!$C:$C,"&lt;="&amp;$D3736,[1]内部转账!$F:$F,$G3736)),"")</f>
        <v/>
      </c>
      <c r="M3736" s="64"/>
      <c r="N3736" s="69"/>
      <c r="O3736" s="64"/>
      <c r="P3736" s="64"/>
      <c r="Q3736" s="69"/>
      <c r="R3736" s="69"/>
      <c r="S3736" s="69"/>
    </row>
    <row r="3737" s="2" customFormat="1" ht="24.95" customHeight="1" spans="1:19">
      <c r="A3737" s="15"/>
      <c r="B3737" s="55"/>
      <c r="C3737" s="56"/>
      <c r="D3737" s="68"/>
      <c r="E3737" s="69"/>
      <c r="F3737" s="69"/>
      <c r="G3737" s="65"/>
      <c r="H3737" s="65"/>
      <c r="I3737" s="70"/>
      <c r="J3737" s="71"/>
      <c r="K3737" s="71"/>
      <c r="L3737" s="72" t="str">
        <f>IFERROR(IF(G3737="","",VLOOKUP($G3737,[1]基础信息!$B:$C,2,FALSE)+SUMIF(G$8:G3737,G3737,J$8:J3737)-SUMIF(G$8:G3737,G3737,K$8:K3737)+SUMIFS([1]内部转账!$G:$G,[1]内部转账!$C:$C,"&lt;="&amp;$D3737,[1]内部转账!$E:$E,$G3737)-SUMIFS([1]内部转账!$G:$G,[1]内部转账!$C:$C,"&lt;="&amp;$D3737,[1]内部转账!$F:$F,$G3737)),"")</f>
        <v/>
      </c>
      <c r="M3737" s="64"/>
      <c r="N3737" s="69"/>
      <c r="O3737" s="64"/>
      <c r="P3737" s="64"/>
      <c r="Q3737" s="69"/>
      <c r="R3737" s="69"/>
      <c r="S3737" s="69"/>
    </row>
    <row r="3738" s="2" customFormat="1" ht="24.95" customHeight="1" spans="1:19">
      <c r="A3738" s="15"/>
      <c r="B3738" s="55"/>
      <c r="C3738" s="56"/>
      <c r="D3738" s="68"/>
      <c r="E3738" s="69"/>
      <c r="F3738" s="69"/>
      <c r="G3738" s="65"/>
      <c r="H3738" s="65"/>
      <c r="I3738" s="70"/>
      <c r="J3738" s="71"/>
      <c r="K3738" s="71"/>
      <c r="L3738" s="72" t="str">
        <f>IFERROR(IF(G3738="","",VLOOKUP($G3738,[1]基础信息!$B:$C,2,FALSE)+SUMIF(G$8:G3738,G3738,J$8:J3738)-SUMIF(G$8:G3738,G3738,K$8:K3738)+SUMIFS([1]内部转账!$G:$G,[1]内部转账!$C:$C,"&lt;="&amp;$D3738,[1]内部转账!$E:$E,$G3738)-SUMIFS([1]内部转账!$G:$G,[1]内部转账!$C:$C,"&lt;="&amp;$D3738,[1]内部转账!$F:$F,$G3738)),"")</f>
        <v/>
      </c>
      <c r="M3738" s="64"/>
      <c r="N3738" s="69"/>
      <c r="O3738" s="64"/>
      <c r="P3738" s="64"/>
      <c r="Q3738" s="69"/>
      <c r="R3738" s="69"/>
      <c r="S3738" s="69"/>
    </row>
    <row r="3739" s="2" customFormat="1" ht="24.95" customHeight="1" spans="1:19">
      <c r="A3739" s="15"/>
      <c r="B3739" s="55"/>
      <c r="C3739" s="56"/>
      <c r="D3739" s="68"/>
      <c r="E3739" s="69"/>
      <c r="F3739" s="69"/>
      <c r="G3739" s="65"/>
      <c r="H3739" s="65"/>
      <c r="I3739" s="70"/>
      <c r="J3739" s="71"/>
      <c r="K3739" s="71"/>
      <c r="L3739" s="72" t="str">
        <f>IFERROR(IF(G3739="","",VLOOKUP($G3739,[1]基础信息!$B:$C,2,FALSE)+SUMIF(G$8:G3739,G3739,J$8:J3739)-SUMIF(G$8:G3739,G3739,K$8:K3739)+SUMIFS([1]内部转账!$G:$G,[1]内部转账!$C:$C,"&lt;="&amp;$D3739,[1]内部转账!$E:$E,$G3739)-SUMIFS([1]内部转账!$G:$G,[1]内部转账!$C:$C,"&lt;="&amp;$D3739,[1]内部转账!$F:$F,$G3739)),"")</f>
        <v/>
      </c>
      <c r="M3739" s="64"/>
      <c r="N3739" s="69"/>
      <c r="O3739" s="64"/>
      <c r="P3739" s="64"/>
      <c r="Q3739" s="69"/>
      <c r="R3739" s="69"/>
      <c r="S3739" s="69"/>
    </row>
    <row r="3740" s="2" customFormat="1" ht="24.95" customHeight="1" spans="1:19">
      <c r="A3740" s="15"/>
      <c r="B3740" s="55"/>
      <c r="C3740" s="56"/>
      <c r="D3740" s="68"/>
      <c r="E3740" s="69"/>
      <c r="F3740" s="69"/>
      <c r="G3740" s="65"/>
      <c r="H3740" s="65"/>
      <c r="I3740" s="70"/>
      <c r="J3740" s="71"/>
      <c r="K3740" s="71"/>
      <c r="L3740" s="72" t="str">
        <f>IFERROR(IF(G3740="","",VLOOKUP($G3740,[1]基础信息!$B:$C,2,FALSE)+SUMIF(G$8:G3740,G3740,J$8:J3740)-SUMIF(G$8:G3740,G3740,K$8:K3740)+SUMIFS([1]内部转账!$G:$G,[1]内部转账!$C:$C,"&lt;="&amp;$D3740,[1]内部转账!$E:$E,$G3740)-SUMIFS([1]内部转账!$G:$G,[1]内部转账!$C:$C,"&lt;="&amp;$D3740,[1]内部转账!$F:$F,$G3740)),"")</f>
        <v/>
      </c>
      <c r="M3740" s="64"/>
      <c r="N3740" s="69"/>
      <c r="O3740" s="64"/>
      <c r="P3740" s="64"/>
      <c r="Q3740" s="69"/>
      <c r="R3740" s="69"/>
      <c r="S3740" s="69"/>
    </row>
    <row r="3741" s="2" customFormat="1" ht="24.95" customHeight="1" spans="1:19">
      <c r="A3741" s="15"/>
      <c r="B3741" s="55"/>
      <c r="C3741" s="56"/>
      <c r="D3741" s="68"/>
      <c r="E3741" s="69"/>
      <c r="F3741" s="69"/>
      <c r="G3741" s="65"/>
      <c r="H3741" s="65"/>
      <c r="I3741" s="70"/>
      <c r="J3741" s="71"/>
      <c r="K3741" s="71"/>
      <c r="L3741" s="72" t="str">
        <f>IFERROR(IF(G3741="","",VLOOKUP($G3741,[1]基础信息!$B:$C,2,FALSE)+SUMIF(G$8:G3741,G3741,J$8:J3741)-SUMIF(G$8:G3741,G3741,K$8:K3741)+SUMIFS([1]内部转账!$G:$G,[1]内部转账!$C:$C,"&lt;="&amp;$D3741,[1]内部转账!$E:$E,$G3741)-SUMIFS([1]内部转账!$G:$G,[1]内部转账!$C:$C,"&lt;="&amp;$D3741,[1]内部转账!$F:$F,$G3741)),"")</f>
        <v/>
      </c>
      <c r="M3741" s="64"/>
      <c r="N3741" s="69"/>
      <c r="O3741" s="64"/>
      <c r="P3741" s="64"/>
      <c r="Q3741" s="69"/>
      <c r="R3741" s="69"/>
      <c r="S3741" s="69"/>
    </row>
    <row r="3742" s="2" customFormat="1" ht="24.95" customHeight="1" spans="1:19">
      <c r="A3742" s="15"/>
      <c r="B3742" s="55"/>
      <c r="C3742" s="56"/>
      <c r="D3742" s="68"/>
      <c r="E3742" s="69"/>
      <c r="F3742" s="69"/>
      <c r="G3742" s="65"/>
      <c r="H3742" s="65"/>
      <c r="I3742" s="70"/>
      <c r="J3742" s="71"/>
      <c r="K3742" s="71"/>
      <c r="L3742" s="72" t="str">
        <f>IFERROR(IF(G3742="","",VLOOKUP($G3742,[1]基础信息!$B:$C,2,FALSE)+SUMIF(G$8:G3742,G3742,J$8:J3742)-SUMIF(G$8:G3742,G3742,K$8:K3742)+SUMIFS([1]内部转账!$G:$G,[1]内部转账!$C:$C,"&lt;="&amp;$D3742,[1]内部转账!$E:$E,$G3742)-SUMIFS([1]内部转账!$G:$G,[1]内部转账!$C:$C,"&lt;="&amp;$D3742,[1]内部转账!$F:$F,$G3742)),"")</f>
        <v/>
      </c>
      <c r="M3742" s="64"/>
      <c r="N3742" s="69"/>
      <c r="O3742" s="64"/>
      <c r="P3742" s="64"/>
      <c r="Q3742" s="69"/>
      <c r="R3742" s="69"/>
      <c r="S3742" s="69"/>
    </row>
    <row r="3743" s="2" customFormat="1" ht="24.95" customHeight="1" spans="1:19">
      <c r="A3743" s="15"/>
      <c r="B3743" s="55"/>
      <c r="C3743" s="56"/>
      <c r="D3743" s="68"/>
      <c r="E3743" s="69"/>
      <c r="F3743" s="69"/>
      <c r="G3743" s="65"/>
      <c r="H3743" s="65"/>
      <c r="I3743" s="70"/>
      <c r="J3743" s="71"/>
      <c r="K3743" s="71"/>
      <c r="L3743" s="72" t="str">
        <f>IFERROR(IF(G3743="","",VLOOKUP($G3743,[1]基础信息!$B:$C,2,FALSE)+SUMIF(G$8:G3743,G3743,J$8:J3743)-SUMIF(G$8:G3743,G3743,K$8:K3743)+SUMIFS([1]内部转账!$G:$G,[1]内部转账!$C:$C,"&lt;="&amp;$D3743,[1]内部转账!$E:$E,$G3743)-SUMIFS([1]内部转账!$G:$G,[1]内部转账!$C:$C,"&lt;="&amp;$D3743,[1]内部转账!$F:$F,$G3743)),"")</f>
        <v/>
      </c>
      <c r="M3743" s="64"/>
      <c r="N3743" s="69"/>
      <c r="O3743" s="64"/>
      <c r="P3743" s="64"/>
      <c r="Q3743" s="69"/>
      <c r="R3743" s="69"/>
      <c r="S3743" s="69"/>
    </row>
    <row r="3744" s="2" customFormat="1" ht="24.95" customHeight="1" spans="1:19">
      <c r="A3744" s="15"/>
      <c r="B3744" s="55"/>
      <c r="C3744" s="56"/>
      <c r="D3744" s="68"/>
      <c r="E3744" s="69"/>
      <c r="F3744" s="69"/>
      <c r="G3744" s="65"/>
      <c r="H3744" s="65"/>
      <c r="I3744" s="70"/>
      <c r="J3744" s="71"/>
      <c r="K3744" s="71"/>
      <c r="L3744" s="72" t="str">
        <f>IFERROR(IF(G3744="","",VLOOKUP($G3744,[1]基础信息!$B:$C,2,FALSE)+SUMIF(G$8:G3744,G3744,J$8:J3744)-SUMIF(G$8:G3744,G3744,K$8:K3744)+SUMIFS([1]内部转账!$G:$G,[1]内部转账!$C:$C,"&lt;="&amp;$D3744,[1]内部转账!$E:$E,$G3744)-SUMIFS([1]内部转账!$G:$G,[1]内部转账!$C:$C,"&lt;="&amp;$D3744,[1]内部转账!$F:$F,$G3744)),"")</f>
        <v/>
      </c>
      <c r="M3744" s="64"/>
      <c r="N3744" s="69"/>
      <c r="O3744" s="64"/>
      <c r="P3744" s="64"/>
      <c r="Q3744" s="69"/>
      <c r="R3744" s="69"/>
      <c r="S3744" s="69"/>
    </row>
    <row r="3745" s="2" customFormat="1" ht="24.95" customHeight="1" spans="1:19">
      <c r="A3745" s="15"/>
      <c r="B3745" s="55"/>
      <c r="C3745" s="56"/>
      <c r="D3745" s="68"/>
      <c r="E3745" s="69"/>
      <c r="F3745" s="69"/>
      <c r="G3745" s="65"/>
      <c r="H3745" s="65"/>
      <c r="I3745" s="70"/>
      <c r="J3745" s="71"/>
      <c r="K3745" s="71"/>
      <c r="L3745" s="72" t="str">
        <f>IFERROR(IF(G3745="","",VLOOKUP($G3745,[1]基础信息!$B:$C,2,FALSE)+SUMIF(G$8:G3745,G3745,J$8:J3745)-SUMIF(G$8:G3745,G3745,K$8:K3745)+SUMIFS([1]内部转账!$G:$G,[1]内部转账!$C:$C,"&lt;="&amp;$D3745,[1]内部转账!$E:$E,$G3745)-SUMIFS([1]内部转账!$G:$G,[1]内部转账!$C:$C,"&lt;="&amp;$D3745,[1]内部转账!$F:$F,$G3745)),"")</f>
        <v/>
      </c>
      <c r="M3745" s="64"/>
      <c r="N3745" s="69"/>
      <c r="O3745" s="64"/>
      <c r="P3745" s="64"/>
      <c r="Q3745" s="69"/>
      <c r="R3745" s="69"/>
      <c r="S3745" s="69"/>
    </row>
    <row r="3746" s="2" customFormat="1" ht="24.95" customHeight="1" spans="1:19">
      <c r="A3746" s="15"/>
      <c r="B3746" s="55"/>
      <c r="C3746" s="56"/>
      <c r="D3746" s="68"/>
      <c r="E3746" s="69"/>
      <c r="F3746" s="69"/>
      <c r="G3746" s="65"/>
      <c r="H3746" s="65"/>
      <c r="I3746" s="70"/>
      <c r="J3746" s="71"/>
      <c r="K3746" s="71"/>
      <c r="L3746" s="72" t="str">
        <f>IFERROR(IF(G3746="","",VLOOKUP($G3746,[1]基础信息!$B:$C,2,FALSE)+SUMIF(G$8:G3746,G3746,J$8:J3746)-SUMIF(G$8:G3746,G3746,K$8:K3746)+SUMIFS([1]内部转账!$G:$G,[1]内部转账!$C:$C,"&lt;="&amp;$D3746,[1]内部转账!$E:$E,$G3746)-SUMIFS([1]内部转账!$G:$G,[1]内部转账!$C:$C,"&lt;="&amp;$D3746,[1]内部转账!$F:$F,$G3746)),"")</f>
        <v/>
      </c>
      <c r="M3746" s="64"/>
      <c r="N3746" s="69"/>
      <c r="O3746" s="64"/>
      <c r="P3746" s="64"/>
      <c r="Q3746" s="69"/>
      <c r="R3746" s="69"/>
      <c r="S3746" s="69"/>
    </row>
    <row r="3747" s="2" customFormat="1" ht="24.95" customHeight="1" spans="1:19">
      <c r="A3747" s="15"/>
      <c r="B3747" s="55"/>
      <c r="C3747" s="56"/>
      <c r="D3747" s="68"/>
      <c r="E3747" s="69"/>
      <c r="F3747" s="69"/>
      <c r="G3747" s="65"/>
      <c r="H3747" s="65"/>
      <c r="I3747" s="70"/>
      <c r="J3747" s="71"/>
      <c r="K3747" s="71"/>
      <c r="L3747" s="72" t="str">
        <f>IFERROR(IF(G3747="","",VLOOKUP($G3747,[1]基础信息!$B:$C,2,FALSE)+SUMIF(G$8:G3747,G3747,J$8:J3747)-SUMIF(G$8:G3747,G3747,K$8:K3747)+SUMIFS([1]内部转账!$G:$G,[1]内部转账!$C:$C,"&lt;="&amp;$D3747,[1]内部转账!$E:$E,$G3747)-SUMIFS([1]内部转账!$G:$G,[1]内部转账!$C:$C,"&lt;="&amp;$D3747,[1]内部转账!$F:$F,$G3747)),"")</f>
        <v/>
      </c>
      <c r="M3747" s="64"/>
      <c r="N3747" s="69"/>
      <c r="O3747" s="64"/>
      <c r="P3747" s="64"/>
      <c r="Q3747" s="69"/>
      <c r="R3747" s="69"/>
      <c r="S3747" s="69"/>
    </row>
    <row r="3748" s="2" customFormat="1" ht="24.95" customHeight="1" spans="1:19">
      <c r="A3748" s="15"/>
      <c r="B3748" s="55"/>
      <c r="C3748" s="56"/>
      <c r="D3748" s="68"/>
      <c r="E3748" s="69"/>
      <c r="F3748" s="69"/>
      <c r="G3748" s="65"/>
      <c r="H3748" s="65"/>
      <c r="I3748" s="70"/>
      <c r="J3748" s="71"/>
      <c r="K3748" s="71"/>
      <c r="L3748" s="72" t="str">
        <f>IFERROR(IF(G3748="","",VLOOKUP($G3748,[1]基础信息!$B:$C,2,FALSE)+SUMIF(G$8:G3748,G3748,J$8:J3748)-SUMIF(G$8:G3748,G3748,K$8:K3748)+SUMIFS([1]内部转账!$G:$G,[1]内部转账!$C:$C,"&lt;="&amp;$D3748,[1]内部转账!$E:$E,$G3748)-SUMIFS([1]内部转账!$G:$G,[1]内部转账!$C:$C,"&lt;="&amp;$D3748,[1]内部转账!$F:$F,$G3748)),"")</f>
        <v/>
      </c>
      <c r="M3748" s="64"/>
      <c r="N3748" s="69"/>
      <c r="O3748" s="64"/>
      <c r="P3748" s="64"/>
      <c r="Q3748" s="69"/>
      <c r="R3748" s="69"/>
      <c r="S3748" s="69"/>
    </row>
    <row r="3749" s="2" customFormat="1" ht="24.95" customHeight="1" spans="1:19">
      <c r="A3749" s="15"/>
      <c r="B3749" s="55"/>
      <c r="C3749" s="56"/>
      <c r="D3749" s="68"/>
      <c r="E3749" s="69"/>
      <c r="F3749" s="69"/>
      <c r="G3749" s="65"/>
      <c r="H3749" s="65"/>
      <c r="I3749" s="70"/>
      <c r="J3749" s="71"/>
      <c r="K3749" s="71"/>
      <c r="L3749" s="72" t="str">
        <f>IFERROR(IF(G3749="","",VLOOKUP($G3749,[1]基础信息!$B:$C,2,FALSE)+SUMIF(G$8:G3749,G3749,J$8:J3749)-SUMIF(G$8:G3749,G3749,K$8:K3749)+SUMIFS([1]内部转账!$G:$G,[1]内部转账!$C:$C,"&lt;="&amp;$D3749,[1]内部转账!$E:$E,$G3749)-SUMIFS([1]内部转账!$G:$G,[1]内部转账!$C:$C,"&lt;="&amp;$D3749,[1]内部转账!$F:$F,$G3749)),"")</f>
        <v/>
      </c>
      <c r="M3749" s="64"/>
      <c r="N3749" s="69"/>
      <c r="O3749" s="64"/>
      <c r="P3749" s="64"/>
      <c r="Q3749" s="69"/>
      <c r="R3749" s="69"/>
      <c r="S3749" s="69"/>
    </row>
    <row r="3750" s="2" customFormat="1" ht="24.95" customHeight="1" spans="1:19">
      <c r="A3750" s="15"/>
      <c r="B3750" s="55"/>
      <c r="C3750" s="56"/>
      <c r="D3750" s="68"/>
      <c r="E3750" s="69"/>
      <c r="F3750" s="69"/>
      <c r="G3750" s="65"/>
      <c r="H3750" s="65"/>
      <c r="I3750" s="70"/>
      <c r="J3750" s="71"/>
      <c r="K3750" s="71"/>
      <c r="L3750" s="72" t="str">
        <f>IFERROR(IF(G3750="","",VLOOKUP($G3750,[1]基础信息!$B:$C,2,FALSE)+SUMIF(G$8:G3750,G3750,J$8:J3750)-SUMIF(G$8:G3750,G3750,K$8:K3750)+SUMIFS([1]内部转账!$G:$G,[1]内部转账!$C:$C,"&lt;="&amp;$D3750,[1]内部转账!$E:$E,$G3750)-SUMIFS([1]内部转账!$G:$G,[1]内部转账!$C:$C,"&lt;="&amp;$D3750,[1]内部转账!$F:$F,$G3750)),"")</f>
        <v/>
      </c>
      <c r="M3750" s="64"/>
      <c r="N3750" s="69"/>
      <c r="O3750" s="64"/>
      <c r="P3750" s="64"/>
      <c r="Q3750" s="69"/>
      <c r="R3750" s="69"/>
      <c r="S3750" s="69"/>
    </row>
    <row r="3751" s="2" customFormat="1" ht="24.95" customHeight="1" spans="1:19">
      <c r="A3751" s="15"/>
      <c r="B3751" s="55"/>
      <c r="C3751" s="56"/>
      <c r="D3751" s="68"/>
      <c r="E3751" s="69"/>
      <c r="F3751" s="69"/>
      <c r="G3751" s="65"/>
      <c r="H3751" s="65"/>
      <c r="I3751" s="70"/>
      <c r="J3751" s="71"/>
      <c r="K3751" s="71"/>
      <c r="L3751" s="72" t="str">
        <f>IFERROR(IF(G3751="","",VLOOKUP($G3751,[1]基础信息!$B:$C,2,FALSE)+SUMIF(G$8:G3751,G3751,J$8:J3751)-SUMIF(G$8:G3751,G3751,K$8:K3751)+SUMIFS([1]内部转账!$G:$G,[1]内部转账!$C:$C,"&lt;="&amp;$D3751,[1]内部转账!$E:$E,$G3751)-SUMIFS([1]内部转账!$G:$G,[1]内部转账!$C:$C,"&lt;="&amp;$D3751,[1]内部转账!$F:$F,$G3751)),"")</f>
        <v/>
      </c>
      <c r="M3751" s="64"/>
      <c r="N3751" s="69"/>
      <c r="O3751" s="64"/>
      <c r="P3751" s="64"/>
      <c r="Q3751" s="69"/>
      <c r="R3751" s="69"/>
      <c r="S3751" s="69"/>
    </row>
    <row r="3752" s="2" customFormat="1" ht="24.95" customHeight="1" spans="1:19">
      <c r="A3752" s="15"/>
      <c r="B3752" s="55"/>
      <c r="C3752" s="56"/>
      <c r="D3752" s="68"/>
      <c r="E3752" s="69"/>
      <c r="F3752" s="69"/>
      <c r="G3752" s="65"/>
      <c r="H3752" s="65"/>
      <c r="I3752" s="70"/>
      <c r="J3752" s="71"/>
      <c r="K3752" s="71"/>
      <c r="L3752" s="72" t="str">
        <f>IFERROR(IF(G3752="","",VLOOKUP($G3752,[1]基础信息!$B:$C,2,FALSE)+SUMIF(G$8:G3752,G3752,J$8:J3752)-SUMIF(G$8:G3752,G3752,K$8:K3752)+SUMIFS([1]内部转账!$G:$G,[1]内部转账!$C:$C,"&lt;="&amp;$D3752,[1]内部转账!$E:$E,$G3752)-SUMIFS([1]内部转账!$G:$G,[1]内部转账!$C:$C,"&lt;="&amp;$D3752,[1]内部转账!$F:$F,$G3752)),"")</f>
        <v/>
      </c>
      <c r="M3752" s="64"/>
      <c r="N3752" s="69"/>
      <c r="O3752" s="64"/>
      <c r="P3752" s="64"/>
      <c r="Q3752" s="69"/>
      <c r="R3752" s="69"/>
      <c r="S3752" s="69"/>
    </row>
    <row r="3753" s="2" customFormat="1" ht="24.95" customHeight="1" spans="1:19">
      <c r="A3753" s="15"/>
      <c r="B3753" s="55"/>
      <c r="C3753" s="56"/>
      <c r="D3753" s="68"/>
      <c r="E3753" s="69"/>
      <c r="F3753" s="69"/>
      <c r="G3753" s="65"/>
      <c r="H3753" s="65"/>
      <c r="I3753" s="70"/>
      <c r="J3753" s="71"/>
      <c r="K3753" s="71"/>
      <c r="L3753" s="72" t="str">
        <f>IFERROR(IF(G3753="","",VLOOKUP($G3753,[1]基础信息!$B:$C,2,FALSE)+SUMIF(G$8:G3753,G3753,J$8:J3753)-SUMIF(G$8:G3753,G3753,K$8:K3753)+SUMIFS([1]内部转账!$G:$G,[1]内部转账!$C:$C,"&lt;="&amp;$D3753,[1]内部转账!$E:$E,$G3753)-SUMIFS([1]内部转账!$G:$G,[1]内部转账!$C:$C,"&lt;="&amp;$D3753,[1]内部转账!$F:$F,$G3753)),"")</f>
        <v/>
      </c>
      <c r="M3753" s="64"/>
      <c r="N3753" s="69"/>
      <c r="O3753" s="64"/>
      <c r="P3753" s="64"/>
      <c r="Q3753" s="69"/>
      <c r="R3753" s="69"/>
      <c r="S3753" s="69"/>
    </row>
    <row r="3754" s="2" customFormat="1" ht="24.95" customHeight="1" spans="1:19">
      <c r="A3754" s="15"/>
      <c r="B3754" s="55"/>
      <c r="C3754" s="56"/>
      <c r="D3754" s="68"/>
      <c r="E3754" s="69"/>
      <c r="F3754" s="69"/>
      <c r="G3754" s="65"/>
      <c r="H3754" s="65"/>
      <c r="I3754" s="70"/>
      <c r="J3754" s="71"/>
      <c r="K3754" s="71"/>
      <c r="L3754" s="72" t="str">
        <f>IFERROR(IF(G3754="","",VLOOKUP($G3754,[1]基础信息!$B:$C,2,FALSE)+SUMIF(G$8:G3754,G3754,J$8:J3754)-SUMIF(G$8:G3754,G3754,K$8:K3754)+SUMIFS([1]内部转账!$G:$G,[1]内部转账!$C:$C,"&lt;="&amp;$D3754,[1]内部转账!$E:$E,$G3754)-SUMIFS([1]内部转账!$G:$G,[1]内部转账!$C:$C,"&lt;="&amp;$D3754,[1]内部转账!$F:$F,$G3754)),"")</f>
        <v/>
      </c>
      <c r="M3754" s="64"/>
      <c r="N3754" s="69"/>
      <c r="O3754" s="64"/>
      <c r="P3754" s="64"/>
      <c r="Q3754" s="69"/>
      <c r="R3754" s="69"/>
      <c r="S3754" s="69"/>
    </row>
    <row r="3755" s="2" customFormat="1" ht="24.95" customHeight="1" spans="1:19">
      <c r="A3755" s="15"/>
      <c r="B3755" s="55"/>
      <c r="C3755" s="56"/>
      <c r="D3755" s="68"/>
      <c r="E3755" s="69"/>
      <c r="F3755" s="69"/>
      <c r="G3755" s="65"/>
      <c r="H3755" s="65"/>
      <c r="I3755" s="70"/>
      <c r="J3755" s="71"/>
      <c r="K3755" s="71"/>
      <c r="L3755" s="72" t="str">
        <f>IFERROR(IF(G3755="","",VLOOKUP($G3755,[1]基础信息!$B:$C,2,FALSE)+SUMIF(G$8:G3755,G3755,J$8:J3755)-SUMIF(G$8:G3755,G3755,K$8:K3755)+SUMIFS([1]内部转账!$G:$G,[1]内部转账!$C:$C,"&lt;="&amp;$D3755,[1]内部转账!$E:$E,$G3755)-SUMIFS([1]内部转账!$G:$G,[1]内部转账!$C:$C,"&lt;="&amp;$D3755,[1]内部转账!$F:$F,$G3755)),"")</f>
        <v/>
      </c>
      <c r="M3755" s="64"/>
      <c r="N3755" s="69"/>
      <c r="O3755" s="64"/>
      <c r="P3755" s="64"/>
      <c r="Q3755" s="69"/>
      <c r="R3755" s="69"/>
      <c r="S3755" s="69"/>
    </row>
    <row r="3756" s="2" customFormat="1" ht="24.95" customHeight="1" spans="1:19">
      <c r="A3756" s="15"/>
      <c r="B3756" s="55"/>
      <c r="C3756" s="56"/>
      <c r="D3756" s="68"/>
      <c r="E3756" s="69"/>
      <c r="F3756" s="69"/>
      <c r="G3756" s="65"/>
      <c r="H3756" s="65"/>
      <c r="I3756" s="70"/>
      <c r="J3756" s="71"/>
      <c r="K3756" s="71"/>
      <c r="L3756" s="72" t="str">
        <f>IFERROR(IF(G3756="","",VLOOKUP($G3756,[1]基础信息!$B:$C,2,FALSE)+SUMIF(G$8:G3756,G3756,J$8:J3756)-SUMIF(G$8:G3756,G3756,K$8:K3756)+SUMIFS([1]内部转账!$G:$G,[1]内部转账!$C:$C,"&lt;="&amp;$D3756,[1]内部转账!$E:$E,$G3756)-SUMIFS([1]内部转账!$G:$G,[1]内部转账!$C:$C,"&lt;="&amp;$D3756,[1]内部转账!$F:$F,$G3756)),"")</f>
        <v/>
      </c>
      <c r="M3756" s="64"/>
      <c r="N3756" s="69"/>
      <c r="O3756" s="64"/>
      <c r="P3756" s="64"/>
      <c r="Q3756" s="69"/>
      <c r="R3756" s="69"/>
      <c r="S3756" s="69"/>
    </row>
    <row r="3757" s="2" customFormat="1" ht="24.95" customHeight="1" spans="1:19">
      <c r="A3757" s="15"/>
      <c r="B3757" s="55"/>
      <c r="C3757" s="56"/>
      <c r="D3757" s="68"/>
      <c r="E3757" s="69"/>
      <c r="F3757" s="69"/>
      <c r="G3757" s="65"/>
      <c r="H3757" s="65"/>
      <c r="I3757" s="70"/>
      <c r="J3757" s="71"/>
      <c r="K3757" s="71"/>
      <c r="L3757" s="72" t="str">
        <f>IFERROR(IF(G3757="","",VLOOKUP($G3757,[1]基础信息!$B:$C,2,FALSE)+SUMIF(G$8:G3757,G3757,J$8:J3757)-SUMIF(G$8:G3757,G3757,K$8:K3757)+SUMIFS([1]内部转账!$G:$G,[1]内部转账!$C:$C,"&lt;="&amp;$D3757,[1]内部转账!$E:$E,$G3757)-SUMIFS([1]内部转账!$G:$G,[1]内部转账!$C:$C,"&lt;="&amp;$D3757,[1]内部转账!$F:$F,$G3757)),"")</f>
        <v/>
      </c>
      <c r="M3757" s="64"/>
      <c r="N3757" s="69"/>
      <c r="O3757" s="64"/>
      <c r="P3757" s="64"/>
      <c r="Q3757" s="69"/>
      <c r="R3757" s="69"/>
      <c r="S3757" s="69"/>
    </row>
    <row r="3758" s="2" customFormat="1" ht="24.95" customHeight="1" spans="1:19">
      <c r="A3758" s="15"/>
      <c r="B3758" s="55"/>
      <c r="C3758" s="56"/>
      <c r="D3758" s="68"/>
      <c r="E3758" s="69"/>
      <c r="F3758" s="69"/>
      <c r="G3758" s="65"/>
      <c r="H3758" s="65"/>
      <c r="I3758" s="70"/>
      <c r="J3758" s="71"/>
      <c r="K3758" s="71"/>
      <c r="L3758" s="72" t="str">
        <f>IFERROR(IF(G3758="","",VLOOKUP($G3758,[1]基础信息!$B:$C,2,FALSE)+SUMIF(G$8:G3758,G3758,J$8:J3758)-SUMIF(G$8:G3758,G3758,K$8:K3758)+SUMIFS([1]内部转账!$G:$G,[1]内部转账!$C:$C,"&lt;="&amp;$D3758,[1]内部转账!$E:$E,$G3758)-SUMIFS([1]内部转账!$G:$G,[1]内部转账!$C:$C,"&lt;="&amp;$D3758,[1]内部转账!$F:$F,$G3758)),"")</f>
        <v/>
      </c>
      <c r="M3758" s="64"/>
      <c r="N3758" s="69"/>
      <c r="O3758" s="64"/>
      <c r="P3758" s="64"/>
      <c r="Q3758" s="69"/>
      <c r="R3758" s="69"/>
      <c r="S3758" s="69"/>
    </row>
    <row r="3759" s="2" customFormat="1" ht="24.95" customHeight="1" spans="1:19">
      <c r="A3759" s="15"/>
      <c r="B3759" s="55"/>
      <c r="C3759" s="56"/>
      <c r="D3759" s="68"/>
      <c r="E3759" s="69"/>
      <c r="F3759" s="69"/>
      <c r="G3759" s="65"/>
      <c r="H3759" s="65"/>
      <c r="I3759" s="70"/>
      <c r="J3759" s="71"/>
      <c r="K3759" s="71"/>
      <c r="L3759" s="72" t="str">
        <f>IFERROR(IF(G3759="","",VLOOKUP($G3759,[1]基础信息!$B:$C,2,FALSE)+SUMIF(G$8:G3759,G3759,J$8:J3759)-SUMIF(G$8:G3759,G3759,K$8:K3759)+SUMIFS([1]内部转账!$G:$G,[1]内部转账!$C:$C,"&lt;="&amp;$D3759,[1]内部转账!$E:$E,$G3759)-SUMIFS([1]内部转账!$G:$G,[1]内部转账!$C:$C,"&lt;="&amp;$D3759,[1]内部转账!$F:$F,$G3759)),"")</f>
        <v/>
      </c>
      <c r="M3759" s="64"/>
      <c r="N3759" s="69"/>
      <c r="O3759" s="64"/>
      <c r="P3759" s="64"/>
      <c r="Q3759" s="69"/>
      <c r="R3759" s="69"/>
      <c r="S3759" s="69"/>
    </row>
    <row r="3760" s="2" customFormat="1" ht="24.95" customHeight="1" spans="1:19">
      <c r="A3760" s="15"/>
      <c r="B3760" s="55"/>
      <c r="C3760" s="56"/>
      <c r="D3760" s="68"/>
      <c r="E3760" s="69"/>
      <c r="F3760" s="69"/>
      <c r="G3760" s="65"/>
      <c r="H3760" s="65"/>
      <c r="I3760" s="70"/>
      <c r="J3760" s="71"/>
      <c r="K3760" s="71"/>
      <c r="L3760" s="72" t="str">
        <f>IFERROR(IF(G3760="","",VLOOKUP($G3760,[1]基础信息!$B:$C,2,FALSE)+SUMIF(G$8:G3760,G3760,J$8:J3760)-SUMIF(G$8:G3760,G3760,K$8:K3760)+SUMIFS([1]内部转账!$G:$G,[1]内部转账!$C:$C,"&lt;="&amp;$D3760,[1]内部转账!$E:$E,$G3760)-SUMIFS([1]内部转账!$G:$G,[1]内部转账!$C:$C,"&lt;="&amp;$D3760,[1]内部转账!$F:$F,$G3760)),"")</f>
        <v/>
      </c>
      <c r="M3760" s="64"/>
      <c r="N3760" s="69"/>
      <c r="O3760" s="64"/>
      <c r="P3760" s="64"/>
      <c r="Q3760" s="69"/>
      <c r="R3760" s="69"/>
      <c r="S3760" s="69"/>
    </row>
    <row r="3761" s="2" customFormat="1" ht="24.95" customHeight="1" spans="1:19">
      <c r="A3761" s="15"/>
      <c r="B3761" s="55"/>
      <c r="C3761" s="56"/>
      <c r="D3761" s="68"/>
      <c r="E3761" s="69"/>
      <c r="F3761" s="69"/>
      <c r="G3761" s="65"/>
      <c r="H3761" s="65"/>
      <c r="I3761" s="70"/>
      <c r="J3761" s="71"/>
      <c r="K3761" s="71"/>
      <c r="L3761" s="72" t="str">
        <f>IFERROR(IF(G3761="","",VLOOKUP($G3761,[1]基础信息!$B:$C,2,FALSE)+SUMIF(G$8:G3761,G3761,J$8:J3761)-SUMIF(G$8:G3761,G3761,K$8:K3761)+SUMIFS([1]内部转账!$G:$G,[1]内部转账!$C:$C,"&lt;="&amp;$D3761,[1]内部转账!$E:$E,$G3761)-SUMIFS([1]内部转账!$G:$G,[1]内部转账!$C:$C,"&lt;="&amp;$D3761,[1]内部转账!$F:$F,$G3761)),"")</f>
        <v/>
      </c>
      <c r="M3761" s="64"/>
      <c r="N3761" s="69"/>
      <c r="O3761" s="64"/>
      <c r="P3761" s="64"/>
      <c r="Q3761" s="69"/>
      <c r="R3761" s="69"/>
      <c r="S3761" s="69"/>
    </row>
    <row r="3762" s="2" customFormat="1" ht="24.95" customHeight="1" spans="1:19">
      <c r="A3762" s="15"/>
      <c r="B3762" s="55"/>
      <c r="C3762" s="56"/>
      <c r="D3762" s="68"/>
      <c r="E3762" s="69"/>
      <c r="F3762" s="69"/>
      <c r="G3762" s="65"/>
      <c r="H3762" s="65"/>
      <c r="I3762" s="70"/>
      <c r="J3762" s="71"/>
      <c r="K3762" s="71"/>
      <c r="L3762" s="72" t="str">
        <f>IFERROR(IF(G3762="","",VLOOKUP($G3762,[1]基础信息!$B:$C,2,FALSE)+SUMIF(G$8:G3762,G3762,J$8:J3762)-SUMIF(G$8:G3762,G3762,K$8:K3762)+SUMIFS([1]内部转账!$G:$G,[1]内部转账!$C:$C,"&lt;="&amp;$D3762,[1]内部转账!$E:$E,$G3762)-SUMIFS([1]内部转账!$G:$G,[1]内部转账!$C:$C,"&lt;="&amp;$D3762,[1]内部转账!$F:$F,$G3762)),"")</f>
        <v/>
      </c>
      <c r="M3762" s="64"/>
      <c r="N3762" s="69"/>
      <c r="O3762" s="64"/>
      <c r="P3762" s="64"/>
      <c r="Q3762" s="69"/>
      <c r="R3762" s="69"/>
      <c r="S3762" s="69"/>
    </row>
    <row r="3763" s="2" customFormat="1" ht="24.95" customHeight="1" spans="1:19">
      <c r="A3763" s="15"/>
      <c r="B3763" s="55"/>
      <c r="C3763" s="56"/>
      <c r="D3763" s="68"/>
      <c r="E3763" s="69"/>
      <c r="F3763" s="69"/>
      <c r="G3763" s="65"/>
      <c r="H3763" s="65"/>
      <c r="I3763" s="70"/>
      <c r="J3763" s="71"/>
      <c r="K3763" s="71"/>
      <c r="L3763" s="72" t="str">
        <f>IFERROR(IF(G3763="","",VLOOKUP($G3763,[1]基础信息!$B:$C,2,FALSE)+SUMIF(G$8:G3763,G3763,J$8:J3763)-SUMIF(G$8:G3763,G3763,K$8:K3763)+SUMIFS([1]内部转账!$G:$G,[1]内部转账!$C:$C,"&lt;="&amp;$D3763,[1]内部转账!$E:$E,$G3763)-SUMIFS([1]内部转账!$G:$G,[1]内部转账!$C:$C,"&lt;="&amp;$D3763,[1]内部转账!$F:$F,$G3763)),"")</f>
        <v/>
      </c>
      <c r="M3763" s="64"/>
      <c r="N3763" s="69"/>
      <c r="O3763" s="64"/>
      <c r="P3763" s="64"/>
      <c r="Q3763" s="69"/>
      <c r="R3763" s="69"/>
      <c r="S3763" s="69"/>
    </row>
    <row r="3764" s="2" customFormat="1" ht="24.95" customHeight="1" spans="1:19">
      <c r="A3764" s="15"/>
      <c r="B3764" s="55"/>
      <c r="C3764" s="56"/>
      <c r="D3764" s="68"/>
      <c r="E3764" s="69"/>
      <c r="F3764" s="69"/>
      <c r="G3764" s="65"/>
      <c r="H3764" s="65"/>
      <c r="I3764" s="70"/>
      <c r="J3764" s="71"/>
      <c r="K3764" s="71"/>
      <c r="L3764" s="72" t="str">
        <f>IFERROR(IF(G3764="","",VLOOKUP($G3764,[1]基础信息!$B:$C,2,FALSE)+SUMIF(G$8:G3764,G3764,J$8:J3764)-SUMIF(G$8:G3764,G3764,K$8:K3764)+SUMIFS([1]内部转账!$G:$G,[1]内部转账!$C:$C,"&lt;="&amp;$D3764,[1]内部转账!$E:$E,$G3764)-SUMIFS([1]内部转账!$G:$G,[1]内部转账!$C:$C,"&lt;="&amp;$D3764,[1]内部转账!$F:$F,$G3764)),"")</f>
        <v/>
      </c>
      <c r="M3764" s="64"/>
      <c r="N3764" s="69"/>
      <c r="O3764" s="64"/>
      <c r="P3764" s="64"/>
      <c r="Q3764" s="69"/>
      <c r="R3764" s="69"/>
      <c r="S3764" s="69"/>
    </row>
    <row r="3765" s="2" customFormat="1" ht="24.95" customHeight="1" spans="1:19">
      <c r="A3765" s="15"/>
      <c r="B3765" s="55"/>
      <c r="C3765" s="56"/>
      <c r="D3765" s="68"/>
      <c r="E3765" s="69"/>
      <c r="F3765" s="69"/>
      <c r="G3765" s="65"/>
      <c r="H3765" s="65"/>
      <c r="I3765" s="70"/>
      <c r="J3765" s="71"/>
      <c r="K3765" s="71"/>
      <c r="L3765" s="72" t="str">
        <f>IFERROR(IF(G3765="","",VLOOKUP($G3765,[1]基础信息!$B:$C,2,FALSE)+SUMIF(G$8:G3765,G3765,J$8:J3765)-SUMIF(G$8:G3765,G3765,K$8:K3765)+SUMIFS([1]内部转账!$G:$G,[1]内部转账!$C:$C,"&lt;="&amp;$D3765,[1]内部转账!$E:$E,$G3765)-SUMIFS([1]内部转账!$G:$G,[1]内部转账!$C:$C,"&lt;="&amp;$D3765,[1]内部转账!$F:$F,$G3765)),"")</f>
        <v/>
      </c>
      <c r="M3765" s="64"/>
      <c r="N3765" s="69"/>
      <c r="O3765" s="64"/>
      <c r="P3765" s="64"/>
      <c r="Q3765" s="69"/>
      <c r="R3765" s="69"/>
      <c r="S3765" s="69"/>
    </row>
    <row r="3766" s="2" customFormat="1" ht="24.95" customHeight="1" spans="1:19">
      <c r="A3766" s="15"/>
      <c r="B3766" s="55"/>
      <c r="C3766" s="56"/>
      <c r="D3766" s="68"/>
      <c r="E3766" s="69"/>
      <c r="F3766" s="69"/>
      <c r="G3766" s="65"/>
      <c r="H3766" s="65"/>
      <c r="I3766" s="70"/>
      <c r="J3766" s="71"/>
      <c r="K3766" s="71"/>
      <c r="L3766" s="72" t="str">
        <f>IFERROR(IF(G3766="","",VLOOKUP($G3766,[1]基础信息!$B:$C,2,FALSE)+SUMIF(G$8:G3766,G3766,J$8:J3766)-SUMIF(G$8:G3766,G3766,K$8:K3766)+SUMIFS([1]内部转账!$G:$G,[1]内部转账!$C:$C,"&lt;="&amp;$D3766,[1]内部转账!$E:$E,$G3766)-SUMIFS([1]内部转账!$G:$G,[1]内部转账!$C:$C,"&lt;="&amp;$D3766,[1]内部转账!$F:$F,$G3766)),"")</f>
        <v/>
      </c>
      <c r="M3766" s="64"/>
      <c r="N3766" s="69"/>
      <c r="O3766" s="64"/>
      <c r="P3766" s="64"/>
      <c r="Q3766" s="69"/>
      <c r="R3766" s="69"/>
      <c r="S3766" s="69"/>
    </row>
    <row r="3767" s="2" customFormat="1" ht="24.95" customHeight="1" spans="1:19">
      <c r="A3767" s="15"/>
      <c r="B3767" s="55"/>
      <c r="C3767" s="56"/>
      <c r="D3767" s="68"/>
      <c r="E3767" s="69"/>
      <c r="F3767" s="69"/>
      <c r="G3767" s="65"/>
      <c r="H3767" s="65"/>
      <c r="I3767" s="70"/>
      <c r="J3767" s="71"/>
      <c r="K3767" s="71"/>
      <c r="L3767" s="72" t="str">
        <f>IFERROR(IF(G3767="","",VLOOKUP($G3767,[1]基础信息!$B:$C,2,FALSE)+SUMIF(G$8:G3767,G3767,J$8:J3767)-SUMIF(G$8:G3767,G3767,K$8:K3767)+SUMIFS([1]内部转账!$G:$G,[1]内部转账!$C:$C,"&lt;="&amp;$D3767,[1]内部转账!$E:$E,$G3767)-SUMIFS([1]内部转账!$G:$G,[1]内部转账!$C:$C,"&lt;="&amp;$D3767,[1]内部转账!$F:$F,$G3767)),"")</f>
        <v/>
      </c>
      <c r="M3767" s="64"/>
      <c r="N3767" s="69"/>
      <c r="O3767" s="64"/>
      <c r="P3767" s="64"/>
      <c r="Q3767" s="69"/>
      <c r="R3767" s="69"/>
      <c r="S3767" s="69"/>
    </row>
    <row r="3768" s="2" customFormat="1" ht="24.95" customHeight="1" spans="1:19">
      <c r="A3768" s="15"/>
      <c r="B3768" s="55"/>
      <c r="C3768" s="56"/>
      <c r="D3768" s="68"/>
      <c r="E3768" s="69"/>
      <c r="F3768" s="69"/>
      <c r="G3768" s="65"/>
      <c r="H3768" s="65"/>
      <c r="I3768" s="70"/>
      <c r="J3768" s="71"/>
      <c r="K3768" s="71"/>
      <c r="L3768" s="72" t="str">
        <f>IFERROR(IF(G3768="","",VLOOKUP($G3768,[1]基础信息!$B:$C,2,FALSE)+SUMIF(G$8:G3768,G3768,J$8:J3768)-SUMIF(G$8:G3768,G3768,K$8:K3768)+SUMIFS([1]内部转账!$G:$G,[1]内部转账!$C:$C,"&lt;="&amp;$D3768,[1]内部转账!$E:$E,$G3768)-SUMIFS([1]内部转账!$G:$G,[1]内部转账!$C:$C,"&lt;="&amp;$D3768,[1]内部转账!$F:$F,$G3768)),"")</f>
        <v/>
      </c>
      <c r="M3768" s="64"/>
      <c r="N3768" s="69"/>
      <c r="O3768" s="64"/>
      <c r="P3768" s="64"/>
      <c r="Q3768" s="69"/>
      <c r="R3768" s="69"/>
      <c r="S3768" s="69"/>
    </row>
    <row r="3769" s="2" customFormat="1" ht="24.95" customHeight="1" spans="1:19">
      <c r="A3769" s="15"/>
      <c r="B3769" s="55"/>
      <c r="C3769" s="56"/>
      <c r="D3769" s="68"/>
      <c r="E3769" s="69"/>
      <c r="F3769" s="69"/>
      <c r="G3769" s="65"/>
      <c r="H3769" s="65"/>
      <c r="I3769" s="70"/>
      <c r="J3769" s="71"/>
      <c r="K3769" s="71"/>
      <c r="L3769" s="72" t="str">
        <f>IFERROR(IF(G3769="","",VLOOKUP($G3769,[1]基础信息!$B:$C,2,FALSE)+SUMIF(G$8:G3769,G3769,J$8:J3769)-SUMIF(G$8:G3769,G3769,K$8:K3769)+SUMIFS([1]内部转账!$G:$G,[1]内部转账!$C:$C,"&lt;="&amp;$D3769,[1]内部转账!$E:$E,$G3769)-SUMIFS([1]内部转账!$G:$G,[1]内部转账!$C:$C,"&lt;="&amp;$D3769,[1]内部转账!$F:$F,$G3769)),"")</f>
        <v/>
      </c>
      <c r="M3769" s="64"/>
      <c r="N3769" s="69"/>
      <c r="O3769" s="64"/>
      <c r="P3769" s="64"/>
      <c r="Q3769" s="69"/>
      <c r="R3769" s="69"/>
      <c r="S3769" s="69"/>
    </row>
    <row r="3770" s="2" customFormat="1" ht="24.95" customHeight="1" spans="1:19">
      <c r="A3770" s="15"/>
      <c r="B3770" s="55"/>
      <c r="C3770" s="56"/>
      <c r="D3770" s="68"/>
      <c r="E3770" s="69"/>
      <c r="F3770" s="69"/>
      <c r="G3770" s="65"/>
      <c r="H3770" s="65"/>
      <c r="I3770" s="70"/>
      <c r="J3770" s="71"/>
      <c r="K3770" s="71"/>
      <c r="L3770" s="72" t="str">
        <f>IFERROR(IF(G3770="","",VLOOKUP($G3770,[1]基础信息!$B:$C,2,FALSE)+SUMIF(G$8:G3770,G3770,J$8:J3770)-SUMIF(G$8:G3770,G3770,K$8:K3770)+SUMIFS([1]内部转账!$G:$G,[1]内部转账!$C:$C,"&lt;="&amp;$D3770,[1]内部转账!$E:$E,$G3770)-SUMIFS([1]内部转账!$G:$G,[1]内部转账!$C:$C,"&lt;="&amp;$D3770,[1]内部转账!$F:$F,$G3770)),"")</f>
        <v/>
      </c>
      <c r="M3770" s="64"/>
      <c r="N3770" s="69"/>
      <c r="O3770" s="64"/>
      <c r="P3770" s="64"/>
      <c r="Q3770" s="69"/>
      <c r="R3770" s="69"/>
      <c r="S3770" s="69"/>
    </row>
    <row r="3771" s="2" customFormat="1" ht="24.95" customHeight="1" spans="1:19">
      <c r="A3771" s="15"/>
      <c r="B3771" s="55"/>
      <c r="C3771" s="56"/>
      <c r="D3771" s="68"/>
      <c r="E3771" s="69"/>
      <c r="F3771" s="69"/>
      <c r="G3771" s="65"/>
      <c r="H3771" s="65"/>
      <c r="I3771" s="70"/>
      <c r="J3771" s="71"/>
      <c r="K3771" s="71"/>
      <c r="L3771" s="72" t="str">
        <f>IFERROR(IF(G3771="","",VLOOKUP($G3771,[1]基础信息!$B:$C,2,FALSE)+SUMIF(G$8:G3771,G3771,J$8:J3771)-SUMIF(G$8:G3771,G3771,K$8:K3771)+SUMIFS([1]内部转账!$G:$G,[1]内部转账!$C:$C,"&lt;="&amp;$D3771,[1]内部转账!$E:$E,$G3771)-SUMIFS([1]内部转账!$G:$G,[1]内部转账!$C:$C,"&lt;="&amp;$D3771,[1]内部转账!$F:$F,$G3771)),"")</f>
        <v/>
      </c>
      <c r="M3771" s="64"/>
      <c r="N3771" s="69"/>
      <c r="O3771" s="64"/>
      <c r="P3771" s="64"/>
      <c r="Q3771" s="69"/>
      <c r="R3771" s="69"/>
      <c r="S3771" s="69"/>
    </row>
    <row r="3772" s="2" customFormat="1" ht="24.95" customHeight="1" spans="1:19">
      <c r="A3772" s="15"/>
      <c r="B3772" s="55"/>
      <c r="C3772" s="56"/>
      <c r="D3772" s="68"/>
      <c r="E3772" s="69"/>
      <c r="F3772" s="69"/>
      <c r="G3772" s="65"/>
      <c r="H3772" s="65"/>
      <c r="I3772" s="70"/>
      <c r="J3772" s="71"/>
      <c r="K3772" s="71"/>
      <c r="L3772" s="72" t="str">
        <f>IFERROR(IF(G3772="","",VLOOKUP($G3772,[1]基础信息!$B:$C,2,FALSE)+SUMIF(G$8:G3772,G3772,J$8:J3772)-SUMIF(G$8:G3772,G3772,K$8:K3772)+SUMIFS([1]内部转账!$G:$G,[1]内部转账!$C:$C,"&lt;="&amp;$D3772,[1]内部转账!$E:$E,$G3772)-SUMIFS([1]内部转账!$G:$G,[1]内部转账!$C:$C,"&lt;="&amp;$D3772,[1]内部转账!$F:$F,$G3772)),"")</f>
        <v/>
      </c>
      <c r="M3772" s="64"/>
      <c r="N3772" s="69"/>
      <c r="O3772" s="64"/>
      <c r="P3772" s="64"/>
      <c r="Q3772" s="69"/>
      <c r="R3772" s="69"/>
      <c r="S3772" s="69"/>
    </row>
    <row r="3773" s="2" customFormat="1" ht="24.95" customHeight="1" spans="1:19">
      <c r="A3773" s="15"/>
      <c r="B3773" s="55"/>
      <c r="C3773" s="56"/>
      <c r="D3773" s="68"/>
      <c r="E3773" s="69"/>
      <c r="F3773" s="69"/>
      <c r="G3773" s="65"/>
      <c r="H3773" s="65"/>
      <c r="I3773" s="70"/>
      <c r="J3773" s="71"/>
      <c r="K3773" s="71"/>
      <c r="L3773" s="72" t="str">
        <f>IFERROR(IF(G3773="","",VLOOKUP($G3773,[1]基础信息!$B:$C,2,FALSE)+SUMIF(G$8:G3773,G3773,J$8:J3773)-SUMIF(G$8:G3773,G3773,K$8:K3773)+SUMIFS([1]内部转账!$G:$G,[1]内部转账!$C:$C,"&lt;="&amp;$D3773,[1]内部转账!$E:$E,$G3773)-SUMIFS([1]内部转账!$G:$G,[1]内部转账!$C:$C,"&lt;="&amp;$D3773,[1]内部转账!$F:$F,$G3773)),"")</f>
        <v/>
      </c>
      <c r="M3773" s="64"/>
      <c r="N3773" s="69"/>
      <c r="O3773" s="64"/>
      <c r="P3773" s="64"/>
      <c r="Q3773" s="69"/>
      <c r="R3773" s="69"/>
      <c r="S3773" s="69"/>
    </row>
    <row r="3774" s="2" customFormat="1" ht="24.95" customHeight="1" spans="1:19">
      <c r="A3774" s="15"/>
      <c r="B3774" s="55"/>
      <c r="C3774" s="56"/>
      <c r="D3774" s="68"/>
      <c r="E3774" s="69"/>
      <c r="F3774" s="69"/>
      <c r="G3774" s="65"/>
      <c r="H3774" s="65"/>
      <c r="I3774" s="70"/>
      <c r="J3774" s="71"/>
      <c r="K3774" s="71"/>
      <c r="L3774" s="72" t="str">
        <f>IFERROR(IF(G3774="","",VLOOKUP($G3774,[1]基础信息!$B:$C,2,FALSE)+SUMIF(G$8:G3774,G3774,J$8:J3774)-SUMIF(G$8:G3774,G3774,K$8:K3774)+SUMIFS([1]内部转账!$G:$G,[1]内部转账!$C:$C,"&lt;="&amp;$D3774,[1]内部转账!$E:$E,$G3774)-SUMIFS([1]内部转账!$G:$G,[1]内部转账!$C:$C,"&lt;="&amp;$D3774,[1]内部转账!$F:$F,$G3774)),"")</f>
        <v/>
      </c>
      <c r="M3774" s="64"/>
      <c r="N3774" s="69"/>
      <c r="O3774" s="64"/>
      <c r="P3774" s="64"/>
      <c r="Q3774" s="69"/>
      <c r="R3774" s="69"/>
      <c r="S3774" s="69"/>
    </row>
    <row r="3775" s="2" customFormat="1" ht="24.95" customHeight="1" spans="1:19">
      <c r="A3775" s="15"/>
      <c r="B3775" s="55"/>
      <c r="C3775" s="56"/>
      <c r="D3775" s="68"/>
      <c r="E3775" s="69"/>
      <c r="F3775" s="69"/>
      <c r="G3775" s="65"/>
      <c r="H3775" s="65"/>
      <c r="I3775" s="70"/>
      <c r="J3775" s="71"/>
      <c r="K3775" s="71"/>
      <c r="L3775" s="72" t="str">
        <f>IFERROR(IF(G3775="","",VLOOKUP($G3775,[1]基础信息!$B:$C,2,FALSE)+SUMIF(G$8:G3775,G3775,J$8:J3775)-SUMIF(G$8:G3775,G3775,K$8:K3775)+SUMIFS([1]内部转账!$G:$G,[1]内部转账!$C:$C,"&lt;="&amp;$D3775,[1]内部转账!$E:$E,$G3775)-SUMIFS([1]内部转账!$G:$G,[1]内部转账!$C:$C,"&lt;="&amp;$D3775,[1]内部转账!$F:$F,$G3775)),"")</f>
        <v/>
      </c>
      <c r="M3775" s="64"/>
      <c r="N3775" s="69"/>
      <c r="O3775" s="64"/>
      <c r="P3775" s="64"/>
      <c r="Q3775" s="69"/>
      <c r="R3775" s="69"/>
      <c r="S3775" s="69"/>
    </row>
    <row r="3776" s="2" customFormat="1" ht="24.95" customHeight="1" spans="1:19">
      <c r="A3776" s="15"/>
      <c r="B3776" s="55"/>
      <c r="C3776" s="56"/>
      <c r="D3776" s="68"/>
      <c r="E3776" s="69"/>
      <c r="F3776" s="69"/>
      <c r="G3776" s="65"/>
      <c r="H3776" s="65"/>
      <c r="I3776" s="70"/>
      <c r="J3776" s="71"/>
      <c r="K3776" s="71"/>
      <c r="L3776" s="72" t="str">
        <f>IFERROR(IF(G3776="","",VLOOKUP($G3776,[1]基础信息!$B:$C,2,FALSE)+SUMIF(G$8:G3776,G3776,J$8:J3776)-SUMIF(G$8:G3776,G3776,K$8:K3776)+SUMIFS([1]内部转账!$G:$G,[1]内部转账!$C:$C,"&lt;="&amp;$D3776,[1]内部转账!$E:$E,$G3776)-SUMIFS([1]内部转账!$G:$G,[1]内部转账!$C:$C,"&lt;="&amp;$D3776,[1]内部转账!$F:$F,$G3776)),"")</f>
        <v/>
      </c>
      <c r="M3776" s="64"/>
      <c r="N3776" s="69"/>
      <c r="O3776" s="64"/>
      <c r="P3776" s="64"/>
      <c r="Q3776" s="69"/>
      <c r="R3776" s="69"/>
      <c r="S3776" s="69"/>
    </row>
    <row r="3777" s="2" customFormat="1" ht="24.95" customHeight="1" spans="1:19">
      <c r="A3777" s="15"/>
      <c r="B3777" s="55"/>
      <c r="C3777" s="56"/>
      <c r="D3777" s="68"/>
      <c r="E3777" s="69"/>
      <c r="F3777" s="69"/>
      <c r="G3777" s="65"/>
      <c r="H3777" s="65"/>
      <c r="I3777" s="70"/>
      <c r="J3777" s="71"/>
      <c r="K3777" s="71"/>
      <c r="L3777" s="72" t="str">
        <f>IFERROR(IF(G3777="","",VLOOKUP($G3777,[1]基础信息!$B:$C,2,FALSE)+SUMIF(G$8:G3777,G3777,J$8:J3777)-SUMIF(G$8:G3777,G3777,K$8:K3777)+SUMIFS([1]内部转账!$G:$G,[1]内部转账!$C:$C,"&lt;="&amp;$D3777,[1]内部转账!$E:$E,$G3777)-SUMIFS([1]内部转账!$G:$G,[1]内部转账!$C:$C,"&lt;="&amp;$D3777,[1]内部转账!$F:$F,$G3777)),"")</f>
        <v/>
      </c>
      <c r="M3777" s="64"/>
      <c r="N3777" s="69"/>
      <c r="O3777" s="64"/>
      <c r="P3777" s="64"/>
      <c r="Q3777" s="69"/>
      <c r="R3777" s="69"/>
      <c r="S3777" s="69"/>
    </row>
    <row r="3778" s="2" customFormat="1" ht="24.95" customHeight="1" spans="1:19">
      <c r="A3778" s="15"/>
      <c r="B3778" s="55"/>
      <c r="C3778" s="56"/>
      <c r="D3778" s="68"/>
      <c r="E3778" s="69"/>
      <c r="F3778" s="69"/>
      <c r="G3778" s="65"/>
      <c r="H3778" s="65"/>
      <c r="I3778" s="70"/>
      <c r="J3778" s="71"/>
      <c r="K3778" s="71"/>
      <c r="L3778" s="72" t="str">
        <f>IFERROR(IF(G3778="","",VLOOKUP($G3778,[1]基础信息!$B:$C,2,FALSE)+SUMIF(G$8:G3778,G3778,J$8:J3778)-SUMIF(G$8:G3778,G3778,K$8:K3778)+SUMIFS([1]内部转账!$G:$G,[1]内部转账!$C:$C,"&lt;="&amp;$D3778,[1]内部转账!$E:$E,$G3778)-SUMIFS([1]内部转账!$G:$G,[1]内部转账!$C:$C,"&lt;="&amp;$D3778,[1]内部转账!$F:$F,$G3778)),"")</f>
        <v/>
      </c>
      <c r="M3778" s="64"/>
      <c r="N3778" s="69"/>
      <c r="O3778" s="64"/>
      <c r="P3778" s="64"/>
      <c r="Q3778" s="69"/>
      <c r="R3778" s="69"/>
      <c r="S3778" s="69"/>
    </row>
    <row r="3779" s="2" customFormat="1" ht="24.95" customHeight="1" spans="1:19">
      <c r="A3779" s="15"/>
      <c r="B3779" s="55"/>
      <c r="C3779" s="56"/>
      <c r="D3779" s="68"/>
      <c r="E3779" s="69"/>
      <c r="F3779" s="69"/>
      <c r="G3779" s="65"/>
      <c r="H3779" s="65"/>
      <c r="I3779" s="70"/>
      <c r="J3779" s="71"/>
      <c r="K3779" s="71"/>
      <c r="L3779" s="72" t="str">
        <f>IFERROR(IF(G3779="","",VLOOKUP($G3779,[1]基础信息!$B:$C,2,FALSE)+SUMIF(G$8:G3779,G3779,J$8:J3779)-SUMIF(G$8:G3779,G3779,K$8:K3779)+SUMIFS([1]内部转账!$G:$G,[1]内部转账!$C:$C,"&lt;="&amp;$D3779,[1]内部转账!$E:$E,$G3779)-SUMIFS([1]内部转账!$G:$G,[1]内部转账!$C:$C,"&lt;="&amp;$D3779,[1]内部转账!$F:$F,$G3779)),"")</f>
        <v/>
      </c>
      <c r="M3779" s="64"/>
      <c r="N3779" s="69"/>
      <c r="O3779" s="64"/>
      <c r="P3779" s="64"/>
      <c r="Q3779" s="69"/>
      <c r="R3779" s="69"/>
      <c r="S3779" s="69"/>
    </row>
    <row r="3780" s="2" customFormat="1" ht="24.95" customHeight="1" spans="1:19">
      <c r="A3780" s="15"/>
      <c r="B3780" s="55"/>
      <c r="C3780" s="56"/>
      <c r="D3780" s="68"/>
      <c r="E3780" s="69"/>
      <c r="F3780" s="69"/>
      <c r="G3780" s="65"/>
      <c r="H3780" s="65"/>
      <c r="I3780" s="70"/>
      <c r="J3780" s="71"/>
      <c r="K3780" s="71"/>
      <c r="L3780" s="72" t="str">
        <f>IFERROR(IF(G3780="","",VLOOKUP($G3780,[1]基础信息!$B:$C,2,FALSE)+SUMIF(G$8:G3780,G3780,J$8:J3780)-SUMIF(G$8:G3780,G3780,K$8:K3780)+SUMIFS([1]内部转账!$G:$G,[1]内部转账!$C:$C,"&lt;="&amp;$D3780,[1]内部转账!$E:$E,$G3780)-SUMIFS([1]内部转账!$G:$G,[1]内部转账!$C:$C,"&lt;="&amp;$D3780,[1]内部转账!$F:$F,$G3780)),"")</f>
        <v/>
      </c>
      <c r="M3780" s="64"/>
      <c r="N3780" s="69"/>
      <c r="O3780" s="64"/>
      <c r="P3780" s="64"/>
      <c r="Q3780" s="69"/>
      <c r="R3780" s="69"/>
      <c r="S3780" s="69"/>
    </row>
    <row r="3781" s="2" customFormat="1" ht="24.95" customHeight="1" spans="1:19">
      <c r="A3781" s="15"/>
      <c r="B3781" s="55"/>
      <c r="C3781" s="56"/>
      <c r="D3781" s="68"/>
      <c r="E3781" s="69"/>
      <c r="F3781" s="69"/>
      <c r="G3781" s="65"/>
      <c r="H3781" s="65"/>
      <c r="I3781" s="70"/>
      <c r="J3781" s="71"/>
      <c r="K3781" s="71"/>
      <c r="L3781" s="72" t="str">
        <f>IFERROR(IF(G3781="","",VLOOKUP($G3781,[1]基础信息!$B:$C,2,FALSE)+SUMIF(G$8:G3781,G3781,J$8:J3781)-SUMIF(G$8:G3781,G3781,K$8:K3781)+SUMIFS([1]内部转账!$G:$G,[1]内部转账!$C:$C,"&lt;="&amp;$D3781,[1]内部转账!$E:$E,$G3781)-SUMIFS([1]内部转账!$G:$G,[1]内部转账!$C:$C,"&lt;="&amp;$D3781,[1]内部转账!$F:$F,$G3781)),"")</f>
        <v/>
      </c>
      <c r="M3781" s="64"/>
      <c r="N3781" s="69"/>
      <c r="O3781" s="64"/>
      <c r="P3781" s="64"/>
      <c r="Q3781" s="69"/>
      <c r="R3781" s="69"/>
      <c r="S3781" s="69"/>
    </row>
    <row r="3782" s="2" customFormat="1" ht="24.95" customHeight="1" spans="1:19">
      <c r="A3782" s="15"/>
      <c r="B3782" s="55"/>
      <c r="C3782" s="56"/>
      <c r="D3782" s="68"/>
      <c r="E3782" s="69"/>
      <c r="F3782" s="69"/>
      <c r="G3782" s="65"/>
      <c r="H3782" s="65"/>
      <c r="I3782" s="70"/>
      <c r="J3782" s="71"/>
      <c r="K3782" s="71"/>
      <c r="L3782" s="72" t="str">
        <f>IFERROR(IF(G3782="","",VLOOKUP($G3782,[1]基础信息!$B:$C,2,FALSE)+SUMIF(G$8:G3782,G3782,J$8:J3782)-SUMIF(G$8:G3782,G3782,K$8:K3782)+SUMIFS([1]内部转账!$G:$G,[1]内部转账!$C:$C,"&lt;="&amp;$D3782,[1]内部转账!$E:$E,$G3782)-SUMIFS([1]内部转账!$G:$G,[1]内部转账!$C:$C,"&lt;="&amp;$D3782,[1]内部转账!$F:$F,$G3782)),"")</f>
        <v/>
      </c>
      <c r="M3782" s="64"/>
      <c r="N3782" s="69"/>
      <c r="O3782" s="64"/>
      <c r="P3782" s="64"/>
      <c r="Q3782" s="69"/>
      <c r="R3782" s="69"/>
      <c r="S3782" s="69"/>
    </row>
    <row r="3783" s="2" customFormat="1" ht="24.95" customHeight="1" spans="1:19">
      <c r="A3783" s="15"/>
      <c r="B3783" s="55"/>
      <c r="C3783" s="56"/>
      <c r="D3783" s="68"/>
      <c r="E3783" s="69"/>
      <c r="F3783" s="69"/>
      <c r="G3783" s="65"/>
      <c r="H3783" s="65"/>
      <c r="I3783" s="70"/>
      <c r="J3783" s="71"/>
      <c r="K3783" s="71"/>
      <c r="L3783" s="72" t="str">
        <f>IFERROR(IF(G3783="","",VLOOKUP($G3783,[1]基础信息!$B:$C,2,FALSE)+SUMIF(G$8:G3783,G3783,J$8:J3783)-SUMIF(G$8:G3783,G3783,K$8:K3783)+SUMIFS([1]内部转账!$G:$G,[1]内部转账!$C:$C,"&lt;="&amp;$D3783,[1]内部转账!$E:$E,$G3783)-SUMIFS([1]内部转账!$G:$G,[1]内部转账!$C:$C,"&lt;="&amp;$D3783,[1]内部转账!$F:$F,$G3783)),"")</f>
        <v/>
      </c>
      <c r="M3783" s="64"/>
      <c r="N3783" s="69"/>
      <c r="O3783" s="64"/>
      <c r="P3783" s="64"/>
      <c r="Q3783" s="69"/>
      <c r="R3783" s="69"/>
      <c r="S3783" s="69"/>
    </row>
    <row r="3784" s="2" customFormat="1" ht="24.95" customHeight="1" spans="1:19">
      <c r="A3784" s="15"/>
      <c r="B3784" s="55"/>
      <c r="C3784" s="56"/>
      <c r="D3784" s="68"/>
      <c r="E3784" s="69"/>
      <c r="F3784" s="69"/>
      <c r="G3784" s="65"/>
      <c r="H3784" s="65"/>
      <c r="I3784" s="70"/>
      <c r="J3784" s="71"/>
      <c r="K3784" s="71"/>
      <c r="L3784" s="72" t="str">
        <f>IFERROR(IF(G3784="","",VLOOKUP($G3784,[1]基础信息!$B:$C,2,FALSE)+SUMIF(G$8:G3784,G3784,J$8:J3784)-SUMIF(G$8:G3784,G3784,K$8:K3784)+SUMIFS([1]内部转账!$G:$G,[1]内部转账!$C:$C,"&lt;="&amp;$D3784,[1]内部转账!$E:$E,$G3784)-SUMIFS([1]内部转账!$G:$G,[1]内部转账!$C:$C,"&lt;="&amp;$D3784,[1]内部转账!$F:$F,$G3784)),"")</f>
        <v/>
      </c>
      <c r="M3784" s="64"/>
      <c r="N3784" s="69"/>
      <c r="O3784" s="64"/>
      <c r="P3784" s="64"/>
      <c r="Q3784" s="69"/>
      <c r="R3784" s="69"/>
      <c r="S3784" s="69"/>
    </row>
    <row r="3785" s="2" customFormat="1" ht="24.95" customHeight="1" spans="1:19">
      <c r="A3785" s="15"/>
      <c r="B3785" s="55"/>
      <c r="C3785" s="56"/>
      <c r="D3785" s="68"/>
      <c r="E3785" s="69"/>
      <c r="F3785" s="69"/>
      <c r="G3785" s="65"/>
      <c r="H3785" s="65"/>
      <c r="I3785" s="70"/>
      <c r="J3785" s="71"/>
      <c r="K3785" s="71"/>
      <c r="L3785" s="72" t="str">
        <f>IFERROR(IF(G3785="","",VLOOKUP($G3785,[1]基础信息!$B:$C,2,FALSE)+SUMIF(G$8:G3785,G3785,J$8:J3785)-SUMIF(G$8:G3785,G3785,K$8:K3785)+SUMIFS([1]内部转账!$G:$G,[1]内部转账!$C:$C,"&lt;="&amp;$D3785,[1]内部转账!$E:$E,$G3785)-SUMIFS([1]内部转账!$G:$G,[1]内部转账!$C:$C,"&lt;="&amp;$D3785,[1]内部转账!$F:$F,$G3785)),"")</f>
        <v/>
      </c>
      <c r="M3785" s="64"/>
      <c r="N3785" s="69"/>
      <c r="O3785" s="64"/>
      <c r="P3785" s="64"/>
      <c r="Q3785" s="69"/>
      <c r="R3785" s="69"/>
      <c r="S3785" s="69"/>
    </row>
    <row r="3786" s="2" customFormat="1" ht="24.95" customHeight="1" spans="1:19">
      <c r="A3786" s="15"/>
      <c r="B3786" s="55"/>
      <c r="C3786" s="56"/>
      <c r="D3786" s="68"/>
      <c r="E3786" s="69"/>
      <c r="F3786" s="69"/>
      <c r="G3786" s="65"/>
      <c r="H3786" s="65"/>
      <c r="I3786" s="70"/>
      <c r="J3786" s="71"/>
      <c r="K3786" s="71"/>
      <c r="L3786" s="72" t="str">
        <f>IFERROR(IF(G3786="","",VLOOKUP($G3786,[1]基础信息!$B:$C,2,FALSE)+SUMIF(G$8:G3786,G3786,J$8:J3786)-SUMIF(G$8:G3786,G3786,K$8:K3786)+SUMIFS([1]内部转账!$G:$G,[1]内部转账!$C:$C,"&lt;="&amp;$D3786,[1]内部转账!$E:$E,$G3786)-SUMIFS([1]内部转账!$G:$G,[1]内部转账!$C:$C,"&lt;="&amp;$D3786,[1]内部转账!$F:$F,$G3786)),"")</f>
        <v/>
      </c>
      <c r="M3786" s="64"/>
      <c r="N3786" s="69"/>
      <c r="O3786" s="64"/>
      <c r="P3786" s="64"/>
      <c r="Q3786" s="69"/>
      <c r="R3786" s="69"/>
      <c r="S3786" s="69"/>
    </row>
    <row r="3787" s="2" customFormat="1" ht="24.95" customHeight="1" spans="1:19">
      <c r="A3787" s="15"/>
      <c r="B3787" s="55"/>
      <c r="C3787" s="56"/>
      <c r="D3787" s="68"/>
      <c r="E3787" s="69"/>
      <c r="F3787" s="69"/>
      <c r="G3787" s="65"/>
      <c r="H3787" s="65"/>
      <c r="I3787" s="70"/>
      <c r="J3787" s="71"/>
      <c r="K3787" s="71"/>
      <c r="L3787" s="72" t="str">
        <f>IFERROR(IF(G3787="","",VLOOKUP($G3787,[1]基础信息!$B:$C,2,FALSE)+SUMIF(G$8:G3787,G3787,J$8:J3787)-SUMIF(G$8:G3787,G3787,K$8:K3787)+SUMIFS([1]内部转账!$G:$G,[1]内部转账!$C:$C,"&lt;="&amp;$D3787,[1]内部转账!$E:$E,$G3787)-SUMIFS([1]内部转账!$G:$G,[1]内部转账!$C:$C,"&lt;="&amp;$D3787,[1]内部转账!$F:$F,$G3787)),"")</f>
        <v/>
      </c>
      <c r="M3787" s="64"/>
      <c r="N3787" s="69"/>
      <c r="O3787" s="64"/>
      <c r="P3787" s="64"/>
      <c r="Q3787" s="69"/>
      <c r="R3787" s="69"/>
      <c r="S3787" s="69"/>
    </row>
    <row r="3788" s="2" customFormat="1" ht="24.95" customHeight="1" spans="1:19">
      <c r="A3788" s="15"/>
      <c r="B3788" s="55"/>
      <c r="C3788" s="56"/>
      <c r="D3788" s="68"/>
      <c r="E3788" s="69"/>
      <c r="F3788" s="69"/>
      <c r="G3788" s="65"/>
      <c r="H3788" s="65"/>
      <c r="I3788" s="70"/>
      <c r="J3788" s="71"/>
      <c r="K3788" s="71"/>
      <c r="L3788" s="72" t="str">
        <f>IFERROR(IF(G3788="","",VLOOKUP($G3788,[1]基础信息!$B:$C,2,FALSE)+SUMIF(G$8:G3788,G3788,J$8:J3788)-SUMIF(G$8:G3788,G3788,K$8:K3788)+SUMIFS([1]内部转账!$G:$G,[1]内部转账!$C:$C,"&lt;="&amp;$D3788,[1]内部转账!$E:$E,$G3788)-SUMIFS([1]内部转账!$G:$G,[1]内部转账!$C:$C,"&lt;="&amp;$D3788,[1]内部转账!$F:$F,$G3788)),"")</f>
        <v/>
      </c>
      <c r="M3788" s="64"/>
      <c r="N3788" s="69"/>
      <c r="O3788" s="64"/>
      <c r="P3788" s="64"/>
      <c r="Q3788" s="69"/>
      <c r="R3788" s="69"/>
      <c r="S3788" s="69"/>
    </row>
    <row r="3789" s="2" customFormat="1" ht="24.95" customHeight="1" spans="1:19">
      <c r="A3789" s="15"/>
      <c r="B3789" s="55"/>
      <c r="C3789" s="56"/>
      <c r="D3789" s="68"/>
      <c r="E3789" s="69"/>
      <c r="F3789" s="69"/>
      <c r="G3789" s="65"/>
      <c r="H3789" s="65"/>
      <c r="I3789" s="70"/>
      <c r="J3789" s="71"/>
      <c r="K3789" s="71"/>
      <c r="L3789" s="72" t="str">
        <f>IFERROR(IF(G3789="","",VLOOKUP($G3789,[1]基础信息!$B:$C,2,FALSE)+SUMIF(G$8:G3789,G3789,J$8:J3789)-SUMIF(G$8:G3789,G3789,K$8:K3789)+SUMIFS([1]内部转账!$G:$G,[1]内部转账!$C:$C,"&lt;="&amp;$D3789,[1]内部转账!$E:$E,$G3789)-SUMIFS([1]内部转账!$G:$G,[1]内部转账!$C:$C,"&lt;="&amp;$D3789,[1]内部转账!$F:$F,$G3789)),"")</f>
        <v/>
      </c>
      <c r="M3789" s="64"/>
      <c r="N3789" s="69"/>
      <c r="O3789" s="64"/>
      <c r="P3789" s="64"/>
      <c r="Q3789" s="69"/>
      <c r="R3789" s="69"/>
      <c r="S3789" s="69"/>
    </row>
    <row r="3790" s="2" customFormat="1" ht="24.95" customHeight="1" spans="1:19">
      <c r="A3790" s="15"/>
      <c r="B3790" s="55"/>
      <c r="C3790" s="56"/>
      <c r="D3790" s="68"/>
      <c r="E3790" s="69"/>
      <c r="F3790" s="69"/>
      <c r="G3790" s="65"/>
      <c r="H3790" s="65"/>
      <c r="I3790" s="70"/>
      <c r="J3790" s="71"/>
      <c r="K3790" s="71"/>
      <c r="L3790" s="72" t="str">
        <f>IFERROR(IF(G3790="","",VLOOKUP($G3790,[1]基础信息!$B:$C,2,FALSE)+SUMIF(G$8:G3790,G3790,J$8:J3790)-SUMIF(G$8:G3790,G3790,K$8:K3790)+SUMIFS([1]内部转账!$G:$G,[1]内部转账!$C:$C,"&lt;="&amp;$D3790,[1]内部转账!$E:$E,$G3790)-SUMIFS([1]内部转账!$G:$G,[1]内部转账!$C:$C,"&lt;="&amp;$D3790,[1]内部转账!$F:$F,$G3790)),"")</f>
        <v/>
      </c>
      <c r="M3790" s="64"/>
      <c r="N3790" s="69"/>
      <c r="O3790" s="64"/>
      <c r="P3790" s="64"/>
      <c r="Q3790" s="69"/>
      <c r="R3790" s="69"/>
      <c r="S3790" s="69"/>
    </row>
    <row r="3791" s="2" customFormat="1" ht="24.95" customHeight="1" spans="1:19">
      <c r="A3791" s="15"/>
      <c r="B3791" s="55"/>
      <c r="C3791" s="56"/>
      <c r="D3791" s="68"/>
      <c r="E3791" s="69"/>
      <c r="F3791" s="69"/>
      <c r="G3791" s="65"/>
      <c r="H3791" s="65"/>
      <c r="I3791" s="70"/>
      <c r="J3791" s="71"/>
      <c r="K3791" s="71"/>
      <c r="L3791" s="72" t="str">
        <f>IFERROR(IF(G3791="","",VLOOKUP($G3791,[1]基础信息!$B:$C,2,FALSE)+SUMIF(G$8:G3791,G3791,J$8:J3791)-SUMIF(G$8:G3791,G3791,K$8:K3791)+SUMIFS([1]内部转账!$G:$G,[1]内部转账!$C:$C,"&lt;="&amp;$D3791,[1]内部转账!$E:$E,$G3791)-SUMIFS([1]内部转账!$G:$G,[1]内部转账!$C:$C,"&lt;="&amp;$D3791,[1]内部转账!$F:$F,$G3791)),"")</f>
        <v/>
      </c>
      <c r="M3791" s="64"/>
      <c r="N3791" s="69"/>
      <c r="O3791" s="64"/>
      <c r="P3791" s="64"/>
      <c r="Q3791" s="69"/>
      <c r="R3791" s="69"/>
      <c r="S3791" s="69"/>
    </row>
    <row r="3792" s="2" customFormat="1" ht="24.95" customHeight="1" spans="1:19">
      <c r="A3792" s="15"/>
      <c r="B3792" s="55"/>
      <c r="C3792" s="56"/>
      <c r="D3792" s="68"/>
      <c r="E3792" s="69"/>
      <c r="F3792" s="69"/>
      <c r="G3792" s="65"/>
      <c r="H3792" s="65"/>
      <c r="I3792" s="70"/>
      <c r="J3792" s="71"/>
      <c r="K3792" s="71"/>
      <c r="L3792" s="72" t="str">
        <f>IFERROR(IF(G3792="","",VLOOKUP($G3792,[1]基础信息!$B:$C,2,FALSE)+SUMIF(G$8:G3792,G3792,J$8:J3792)-SUMIF(G$8:G3792,G3792,K$8:K3792)+SUMIFS([1]内部转账!$G:$G,[1]内部转账!$C:$C,"&lt;="&amp;$D3792,[1]内部转账!$E:$E,$G3792)-SUMIFS([1]内部转账!$G:$G,[1]内部转账!$C:$C,"&lt;="&amp;$D3792,[1]内部转账!$F:$F,$G3792)),"")</f>
        <v/>
      </c>
      <c r="M3792" s="64"/>
      <c r="N3792" s="69"/>
      <c r="O3792" s="64"/>
      <c r="P3792" s="64"/>
      <c r="Q3792" s="69"/>
      <c r="R3792" s="69"/>
      <c r="S3792" s="69"/>
    </row>
    <row r="3793" s="2" customFormat="1" ht="24.95" customHeight="1" spans="1:19">
      <c r="A3793" s="15"/>
      <c r="B3793" s="55"/>
      <c r="C3793" s="56"/>
      <c r="D3793" s="68"/>
      <c r="E3793" s="69"/>
      <c r="F3793" s="69"/>
      <c r="G3793" s="65"/>
      <c r="H3793" s="65"/>
      <c r="I3793" s="70"/>
      <c r="J3793" s="71"/>
      <c r="K3793" s="71"/>
      <c r="L3793" s="72" t="str">
        <f>IFERROR(IF(G3793="","",VLOOKUP($G3793,[1]基础信息!$B:$C,2,FALSE)+SUMIF(G$8:G3793,G3793,J$8:J3793)-SUMIF(G$8:G3793,G3793,K$8:K3793)+SUMIFS([1]内部转账!$G:$G,[1]内部转账!$C:$C,"&lt;="&amp;$D3793,[1]内部转账!$E:$E,$G3793)-SUMIFS([1]内部转账!$G:$G,[1]内部转账!$C:$C,"&lt;="&amp;$D3793,[1]内部转账!$F:$F,$G3793)),"")</f>
        <v/>
      </c>
      <c r="M3793" s="64"/>
      <c r="N3793" s="69"/>
      <c r="O3793" s="64"/>
      <c r="P3793" s="64"/>
      <c r="Q3793" s="69"/>
      <c r="R3793" s="69"/>
      <c r="S3793" s="69"/>
    </row>
    <row r="3794" s="2" customFormat="1" ht="24.95" customHeight="1" spans="1:19">
      <c r="A3794" s="15"/>
      <c r="B3794" s="55"/>
      <c r="C3794" s="56"/>
      <c r="D3794" s="68"/>
      <c r="E3794" s="69"/>
      <c r="F3794" s="69"/>
      <c r="G3794" s="65"/>
      <c r="H3794" s="65"/>
      <c r="I3794" s="70"/>
      <c r="J3794" s="71"/>
      <c r="K3794" s="71"/>
      <c r="L3794" s="72" t="str">
        <f>IFERROR(IF(G3794="","",VLOOKUP($G3794,[1]基础信息!$B:$C,2,FALSE)+SUMIF(G$8:G3794,G3794,J$8:J3794)-SUMIF(G$8:G3794,G3794,K$8:K3794)+SUMIFS([1]内部转账!$G:$G,[1]内部转账!$C:$C,"&lt;="&amp;$D3794,[1]内部转账!$E:$E,$G3794)-SUMIFS([1]内部转账!$G:$G,[1]内部转账!$C:$C,"&lt;="&amp;$D3794,[1]内部转账!$F:$F,$G3794)),"")</f>
        <v/>
      </c>
      <c r="M3794" s="64"/>
      <c r="N3794" s="69"/>
      <c r="O3794" s="64"/>
      <c r="P3794" s="64"/>
      <c r="Q3794" s="69"/>
      <c r="R3794" s="69"/>
      <c r="S3794" s="69"/>
    </row>
    <row r="3795" s="2" customFormat="1" ht="24.95" customHeight="1" spans="1:19">
      <c r="A3795" s="15"/>
      <c r="B3795" s="55"/>
      <c r="C3795" s="56"/>
      <c r="D3795" s="68"/>
      <c r="E3795" s="69"/>
      <c r="F3795" s="69"/>
      <c r="G3795" s="65"/>
      <c r="H3795" s="65"/>
      <c r="I3795" s="70"/>
      <c r="J3795" s="71"/>
      <c r="K3795" s="71"/>
      <c r="L3795" s="72" t="str">
        <f>IFERROR(IF(G3795="","",VLOOKUP($G3795,[1]基础信息!$B:$C,2,FALSE)+SUMIF(G$8:G3795,G3795,J$8:J3795)-SUMIF(G$8:G3795,G3795,K$8:K3795)+SUMIFS([1]内部转账!$G:$G,[1]内部转账!$C:$C,"&lt;="&amp;$D3795,[1]内部转账!$E:$E,$G3795)-SUMIFS([1]内部转账!$G:$G,[1]内部转账!$C:$C,"&lt;="&amp;$D3795,[1]内部转账!$F:$F,$G3795)),"")</f>
        <v/>
      </c>
      <c r="M3795" s="64"/>
      <c r="N3795" s="69"/>
      <c r="O3795" s="64"/>
      <c r="P3795" s="64"/>
      <c r="Q3795" s="69"/>
      <c r="R3795" s="69"/>
      <c r="S3795" s="69"/>
    </row>
    <row r="3796" s="2" customFormat="1" ht="24.95" customHeight="1" spans="1:19">
      <c r="A3796" s="15"/>
      <c r="B3796" s="55"/>
      <c r="C3796" s="56"/>
      <c r="D3796" s="68"/>
      <c r="E3796" s="69"/>
      <c r="F3796" s="69"/>
      <c r="G3796" s="65"/>
      <c r="H3796" s="65"/>
      <c r="I3796" s="70"/>
      <c r="J3796" s="71"/>
      <c r="K3796" s="71"/>
      <c r="L3796" s="72" t="str">
        <f>IFERROR(IF(G3796="","",VLOOKUP($G3796,[1]基础信息!$B:$C,2,FALSE)+SUMIF(G$8:G3796,G3796,J$8:J3796)-SUMIF(G$8:G3796,G3796,K$8:K3796)+SUMIFS([1]内部转账!$G:$G,[1]内部转账!$C:$C,"&lt;="&amp;$D3796,[1]内部转账!$E:$E,$G3796)-SUMIFS([1]内部转账!$G:$G,[1]内部转账!$C:$C,"&lt;="&amp;$D3796,[1]内部转账!$F:$F,$G3796)),"")</f>
        <v/>
      </c>
      <c r="M3796" s="64"/>
      <c r="N3796" s="69"/>
      <c r="O3796" s="64"/>
      <c r="P3796" s="64"/>
      <c r="Q3796" s="69"/>
      <c r="R3796" s="69"/>
      <c r="S3796" s="69"/>
    </row>
    <row r="3797" s="2" customFormat="1" ht="24.95" customHeight="1" spans="1:19">
      <c r="A3797" s="15"/>
      <c r="B3797" s="55"/>
      <c r="C3797" s="56"/>
      <c r="D3797" s="68"/>
      <c r="E3797" s="69"/>
      <c r="F3797" s="69"/>
      <c r="G3797" s="65"/>
      <c r="H3797" s="65"/>
      <c r="I3797" s="70"/>
      <c r="J3797" s="71"/>
      <c r="K3797" s="71"/>
      <c r="L3797" s="72" t="str">
        <f>IFERROR(IF(G3797="","",VLOOKUP($G3797,[1]基础信息!$B:$C,2,FALSE)+SUMIF(G$8:G3797,G3797,J$8:J3797)-SUMIF(G$8:G3797,G3797,K$8:K3797)+SUMIFS([1]内部转账!$G:$G,[1]内部转账!$C:$C,"&lt;="&amp;$D3797,[1]内部转账!$E:$E,$G3797)-SUMIFS([1]内部转账!$G:$G,[1]内部转账!$C:$C,"&lt;="&amp;$D3797,[1]内部转账!$F:$F,$G3797)),"")</f>
        <v/>
      </c>
      <c r="M3797" s="64"/>
      <c r="N3797" s="69"/>
      <c r="O3797" s="64"/>
      <c r="P3797" s="64"/>
      <c r="Q3797" s="69"/>
      <c r="R3797" s="69"/>
      <c r="S3797" s="69"/>
    </row>
    <row r="3798" s="2" customFormat="1" ht="24.95" customHeight="1" spans="1:19">
      <c r="A3798" s="15"/>
      <c r="B3798" s="55"/>
      <c r="C3798" s="56"/>
      <c r="D3798" s="68"/>
      <c r="E3798" s="69"/>
      <c r="F3798" s="69"/>
      <c r="G3798" s="65"/>
      <c r="H3798" s="65"/>
      <c r="I3798" s="70"/>
      <c r="J3798" s="71"/>
      <c r="K3798" s="71"/>
      <c r="L3798" s="72" t="str">
        <f>IFERROR(IF(G3798="","",VLOOKUP($G3798,[1]基础信息!$B:$C,2,FALSE)+SUMIF(G$8:G3798,G3798,J$8:J3798)-SUMIF(G$8:G3798,G3798,K$8:K3798)+SUMIFS([1]内部转账!$G:$G,[1]内部转账!$C:$C,"&lt;="&amp;$D3798,[1]内部转账!$E:$E,$G3798)-SUMIFS([1]内部转账!$G:$G,[1]内部转账!$C:$C,"&lt;="&amp;$D3798,[1]内部转账!$F:$F,$G3798)),"")</f>
        <v/>
      </c>
      <c r="M3798" s="64"/>
      <c r="N3798" s="69"/>
      <c r="O3798" s="64"/>
      <c r="P3798" s="64"/>
      <c r="Q3798" s="69"/>
      <c r="R3798" s="69"/>
      <c r="S3798" s="69"/>
    </row>
    <row r="3799" s="2" customFormat="1" ht="24.95" customHeight="1" spans="1:19">
      <c r="A3799" s="15"/>
      <c r="B3799" s="55"/>
      <c r="C3799" s="56"/>
      <c r="D3799" s="68"/>
      <c r="E3799" s="69"/>
      <c r="F3799" s="69"/>
      <c r="G3799" s="65"/>
      <c r="H3799" s="65"/>
      <c r="I3799" s="70"/>
      <c r="J3799" s="71"/>
      <c r="K3799" s="71"/>
      <c r="L3799" s="72" t="str">
        <f>IFERROR(IF(G3799="","",VLOOKUP($G3799,[1]基础信息!$B:$C,2,FALSE)+SUMIF(G$8:G3799,G3799,J$8:J3799)-SUMIF(G$8:G3799,G3799,K$8:K3799)+SUMIFS([1]内部转账!$G:$G,[1]内部转账!$C:$C,"&lt;="&amp;$D3799,[1]内部转账!$E:$E,$G3799)-SUMIFS([1]内部转账!$G:$G,[1]内部转账!$C:$C,"&lt;="&amp;$D3799,[1]内部转账!$F:$F,$G3799)),"")</f>
        <v/>
      </c>
      <c r="M3799" s="64"/>
      <c r="N3799" s="69"/>
      <c r="O3799" s="64"/>
      <c r="P3799" s="64"/>
      <c r="Q3799" s="69"/>
      <c r="R3799" s="69"/>
      <c r="S3799" s="69"/>
    </row>
    <row r="3800" s="2" customFormat="1" ht="24.95" customHeight="1" spans="1:19">
      <c r="A3800" s="15"/>
      <c r="B3800" s="55"/>
      <c r="C3800" s="56"/>
      <c r="D3800" s="68"/>
      <c r="E3800" s="69"/>
      <c r="F3800" s="69"/>
      <c r="G3800" s="65"/>
      <c r="H3800" s="65"/>
      <c r="I3800" s="70"/>
      <c r="J3800" s="71"/>
      <c r="K3800" s="71"/>
      <c r="L3800" s="72" t="str">
        <f>IFERROR(IF(G3800="","",VLOOKUP($G3800,[1]基础信息!$B:$C,2,FALSE)+SUMIF(G$8:G3800,G3800,J$8:J3800)-SUMIF(G$8:G3800,G3800,K$8:K3800)+SUMIFS([1]内部转账!$G:$G,[1]内部转账!$C:$C,"&lt;="&amp;$D3800,[1]内部转账!$E:$E,$G3800)-SUMIFS([1]内部转账!$G:$G,[1]内部转账!$C:$C,"&lt;="&amp;$D3800,[1]内部转账!$F:$F,$G3800)),"")</f>
        <v/>
      </c>
      <c r="M3800" s="64"/>
      <c r="N3800" s="69"/>
      <c r="O3800" s="64"/>
      <c r="P3800" s="64"/>
      <c r="Q3800" s="69"/>
      <c r="R3800" s="69"/>
      <c r="S3800" s="69"/>
    </row>
    <row r="3801" s="2" customFormat="1" ht="24.95" customHeight="1" spans="1:19">
      <c r="A3801" s="15"/>
      <c r="B3801" s="55"/>
      <c r="C3801" s="56"/>
      <c r="D3801" s="68"/>
      <c r="E3801" s="69"/>
      <c r="F3801" s="69"/>
      <c r="G3801" s="65"/>
      <c r="H3801" s="65"/>
      <c r="I3801" s="70"/>
      <c r="J3801" s="71"/>
      <c r="K3801" s="71"/>
      <c r="L3801" s="72" t="str">
        <f>IFERROR(IF(G3801="","",VLOOKUP($G3801,[1]基础信息!$B:$C,2,FALSE)+SUMIF(G$8:G3801,G3801,J$8:J3801)-SUMIF(G$8:G3801,G3801,K$8:K3801)+SUMIFS([1]内部转账!$G:$G,[1]内部转账!$C:$C,"&lt;="&amp;$D3801,[1]内部转账!$E:$E,$G3801)-SUMIFS([1]内部转账!$G:$G,[1]内部转账!$C:$C,"&lt;="&amp;$D3801,[1]内部转账!$F:$F,$G3801)),"")</f>
        <v/>
      </c>
      <c r="M3801" s="64"/>
      <c r="N3801" s="69"/>
      <c r="O3801" s="64"/>
      <c r="P3801" s="64"/>
      <c r="Q3801" s="69"/>
      <c r="R3801" s="69"/>
      <c r="S3801" s="69"/>
    </row>
    <row r="3802" s="2" customFormat="1" ht="24.95" customHeight="1" spans="1:19">
      <c r="A3802" s="15"/>
      <c r="B3802" s="55"/>
      <c r="C3802" s="56"/>
      <c r="D3802" s="68"/>
      <c r="E3802" s="69"/>
      <c r="F3802" s="69"/>
      <c r="G3802" s="65"/>
      <c r="H3802" s="65"/>
      <c r="I3802" s="70"/>
      <c r="J3802" s="71"/>
      <c r="K3802" s="71"/>
      <c r="L3802" s="72" t="str">
        <f>IFERROR(IF(G3802="","",VLOOKUP($G3802,[1]基础信息!$B:$C,2,FALSE)+SUMIF(G$8:G3802,G3802,J$8:J3802)-SUMIF(G$8:G3802,G3802,K$8:K3802)+SUMIFS([1]内部转账!$G:$G,[1]内部转账!$C:$C,"&lt;="&amp;$D3802,[1]内部转账!$E:$E,$G3802)-SUMIFS([1]内部转账!$G:$G,[1]内部转账!$C:$C,"&lt;="&amp;$D3802,[1]内部转账!$F:$F,$G3802)),"")</f>
        <v/>
      </c>
      <c r="M3802" s="64"/>
      <c r="N3802" s="69"/>
      <c r="O3802" s="64"/>
      <c r="P3802" s="64"/>
      <c r="Q3802" s="69"/>
      <c r="R3802" s="69"/>
      <c r="S3802" s="69"/>
    </row>
    <row r="3803" s="2" customFormat="1" ht="24.95" customHeight="1" spans="1:19">
      <c r="A3803" s="15"/>
      <c r="B3803" s="55"/>
      <c r="C3803" s="56"/>
      <c r="D3803" s="68"/>
      <c r="E3803" s="69"/>
      <c r="F3803" s="69"/>
      <c r="G3803" s="65"/>
      <c r="H3803" s="65"/>
      <c r="I3803" s="70"/>
      <c r="J3803" s="71"/>
      <c r="K3803" s="71"/>
      <c r="L3803" s="72" t="str">
        <f>IFERROR(IF(G3803="","",VLOOKUP($G3803,[1]基础信息!$B:$C,2,FALSE)+SUMIF(G$8:G3803,G3803,J$8:J3803)-SUMIF(G$8:G3803,G3803,K$8:K3803)+SUMIFS([1]内部转账!$G:$G,[1]内部转账!$C:$C,"&lt;="&amp;$D3803,[1]内部转账!$E:$E,$G3803)-SUMIFS([1]内部转账!$G:$G,[1]内部转账!$C:$C,"&lt;="&amp;$D3803,[1]内部转账!$F:$F,$G3803)),"")</f>
        <v/>
      </c>
      <c r="M3803" s="64"/>
      <c r="N3803" s="69"/>
      <c r="O3803" s="64"/>
      <c r="P3803" s="64"/>
      <c r="Q3803" s="69"/>
      <c r="R3803" s="69"/>
      <c r="S3803" s="69"/>
    </row>
    <row r="3804" s="2" customFormat="1" ht="24.95" customHeight="1" spans="1:19">
      <c r="A3804" s="15"/>
      <c r="B3804" s="55"/>
      <c r="C3804" s="56"/>
      <c r="D3804" s="68"/>
      <c r="E3804" s="69"/>
      <c r="F3804" s="69"/>
      <c r="G3804" s="65"/>
      <c r="H3804" s="65"/>
      <c r="I3804" s="70"/>
      <c r="J3804" s="71"/>
      <c r="K3804" s="71"/>
      <c r="L3804" s="72" t="str">
        <f>IFERROR(IF(G3804="","",VLOOKUP($G3804,[1]基础信息!$B:$C,2,FALSE)+SUMIF(G$8:G3804,G3804,J$8:J3804)-SUMIF(G$8:G3804,G3804,K$8:K3804)+SUMIFS([1]内部转账!$G:$G,[1]内部转账!$C:$C,"&lt;="&amp;$D3804,[1]内部转账!$E:$E,$G3804)-SUMIFS([1]内部转账!$G:$G,[1]内部转账!$C:$C,"&lt;="&amp;$D3804,[1]内部转账!$F:$F,$G3804)),"")</f>
        <v/>
      </c>
      <c r="M3804" s="64"/>
      <c r="N3804" s="69"/>
      <c r="O3804" s="64"/>
      <c r="P3804" s="64"/>
      <c r="Q3804" s="69"/>
      <c r="R3804" s="69"/>
      <c r="S3804" s="69"/>
    </row>
    <row r="3805" s="2" customFormat="1" ht="24.95" customHeight="1" spans="1:19">
      <c r="A3805" s="15"/>
      <c r="B3805" s="55"/>
      <c r="C3805" s="56"/>
      <c r="D3805" s="68"/>
      <c r="E3805" s="69"/>
      <c r="F3805" s="69"/>
      <c r="G3805" s="65"/>
      <c r="H3805" s="65"/>
      <c r="I3805" s="70"/>
      <c r="J3805" s="71"/>
      <c r="K3805" s="71"/>
      <c r="L3805" s="72" t="str">
        <f>IFERROR(IF(G3805="","",VLOOKUP($G3805,[1]基础信息!$B:$C,2,FALSE)+SUMIF(G$8:G3805,G3805,J$8:J3805)-SUMIF(G$8:G3805,G3805,K$8:K3805)+SUMIFS([1]内部转账!$G:$G,[1]内部转账!$C:$C,"&lt;="&amp;$D3805,[1]内部转账!$E:$E,$G3805)-SUMIFS([1]内部转账!$G:$G,[1]内部转账!$C:$C,"&lt;="&amp;$D3805,[1]内部转账!$F:$F,$G3805)),"")</f>
        <v/>
      </c>
      <c r="M3805" s="64"/>
      <c r="N3805" s="69"/>
      <c r="O3805" s="64"/>
      <c r="P3805" s="64"/>
      <c r="Q3805" s="69"/>
      <c r="R3805" s="69"/>
      <c r="S3805" s="69"/>
    </row>
    <row r="3806" s="2" customFormat="1" ht="24.95" customHeight="1" spans="1:19">
      <c r="A3806" s="15"/>
      <c r="B3806" s="55"/>
      <c r="C3806" s="56"/>
      <c r="D3806" s="68"/>
      <c r="E3806" s="69"/>
      <c r="F3806" s="69"/>
      <c r="G3806" s="65"/>
      <c r="H3806" s="65"/>
      <c r="I3806" s="70"/>
      <c r="J3806" s="71"/>
      <c r="K3806" s="71"/>
      <c r="L3806" s="72" t="str">
        <f>IFERROR(IF(G3806="","",VLOOKUP($G3806,[1]基础信息!$B:$C,2,FALSE)+SUMIF(G$8:G3806,G3806,J$8:J3806)-SUMIF(G$8:G3806,G3806,K$8:K3806)+SUMIFS([1]内部转账!$G:$G,[1]内部转账!$C:$C,"&lt;="&amp;$D3806,[1]内部转账!$E:$E,$G3806)-SUMIFS([1]内部转账!$G:$G,[1]内部转账!$C:$C,"&lt;="&amp;$D3806,[1]内部转账!$F:$F,$G3806)),"")</f>
        <v/>
      </c>
      <c r="M3806" s="64"/>
      <c r="N3806" s="69"/>
      <c r="O3806" s="64"/>
      <c r="P3806" s="64"/>
      <c r="Q3806" s="69"/>
      <c r="R3806" s="69"/>
      <c r="S3806" s="69"/>
    </row>
    <row r="3807" s="2" customFormat="1" ht="24.95" customHeight="1" spans="1:19">
      <c r="A3807" s="15"/>
      <c r="B3807" s="55"/>
      <c r="C3807" s="56"/>
      <c r="D3807" s="68"/>
      <c r="E3807" s="69"/>
      <c r="F3807" s="69"/>
      <c r="G3807" s="65"/>
      <c r="H3807" s="65"/>
      <c r="I3807" s="70"/>
      <c r="J3807" s="71"/>
      <c r="K3807" s="71"/>
      <c r="L3807" s="72" t="str">
        <f>IFERROR(IF(G3807="","",VLOOKUP($G3807,[1]基础信息!$B:$C,2,FALSE)+SUMIF(G$8:G3807,G3807,J$8:J3807)-SUMIF(G$8:G3807,G3807,K$8:K3807)+SUMIFS([1]内部转账!$G:$G,[1]内部转账!$C:$C,"&lt;="&amp;$D3807,[1]内部转账!$E:$E,$G3807)-SUMIFS([1]内部转账!$G:$G,[1]内部转账!$C:$C,"&lt;="&amp;$D3807,[1]内部转账!$F:$F,$G3807)),"")</f>
        <v/>
      </c>
      <c r="M3807" s="64"/>
      <c r="N3807" s="69"/>
      <c r="O3807" s="64"/>
      <c r="P3807" s="64"/>
      <c r="Q3807" s="69"/>
      <c r="R3807" s="69"/>
      <c r="S3807" s="69"/>
    </row>
    <row r="3808" s="2" customFormat="1" ht="24.95" customHeight="1" spans="1:19">
      <c r="A3808" s="15"/>
      <c r="B3808" s="55"/>
      <c r="C3808" s="56"/>
      <c r="D3808" s="68"/>
      <c r="E3808" s="69"/>
      <c r="F3808" s="69"/>
      <c r="G3808" s="65"/>
      <c r="H3808" s="65"/>
      <c r="I3808" s="70"/>
      <c r="J3808" s="71"/>
      <c r="K3808" s="71"/>
      <c r="L3808" s="72" t="str">
        <f>IFERROR(IF(G3808="","",VLOOKUP($G3808,[1]基础信息!$B:$C,2,FALSE)+SUMIF(G$8:G3808,G3808,J$8:J3808)-SUMIF(G$8:G3808,G3808,K$8:K3808)+SUMIFS([1]内部转账!$G:$G,[1]内部转账!$C:$C,"&lt;="&amp;$D3808,[1]内部转账!$E:$E,$G3808)-SUMIFS([1]内部转账!$G:$G,[1]内部转账!$C:$C,"&lt;="&amp;$D3808,[1]内部转账!$F:$F,$G3808)),"")</f>
        <v/>
      </c>
      <c r="M3808" s="64"/>
      <c r="N3808" s="69"/>
      <c r="O3808" s="64"/>
      <c r="P3808" s="64"/>
      <c r="Q3808" s="69"/>
      <c r="R3808" s="69"/>
      <c r="S3808" s="69"/>
    </row>
    <row r="3809" s="2" customFormat="1" ht="24.95" customHeight="1" spans="1:19">
      <c r="A3809" s="15"/>
      <c r="B3809" s="55"/>
      <c r="C3809" s="56"/>
      <c r="D3809" s="68"/>
      <c r="E3809" s="69"/>
      <c r="F3809" s="69"/>
      <c r="G3809" s="65"/>
      <c r="H3809" s="65"/>
      <c r="I3809" s="70"/>
      <c r="J3809" s="71"/>
      <c r="K3809" s="71"/>
      <c r="L3809" s="72" t="str">
        <f>IFERROR(IF(G3809="","",VLOOKUP($G3809,[1]基础信息!$B:$C,2,FALSE)+SUMIF(G$8:G3809,G3809,J$8:J3809)-SUMIF(G$8:G3809,G3809,K$8:K3809)+SUMIFS([1]内部转账!$G:$G,[1]内部转账!$C:$C,"&lt;="&amp;$D3809,[1]内部转账!$E:$E,$G3809)-SUMIFS([1]内部转账!$G:$G,[1]内部转账!$C:$C,"&lt;="&amp;$D3809,[1]内部转账!$F:$F,$G3809)),"")</f>
        <v/>
      </c>
      <c r="M3809" s="64"/>
      <c r="N3809" s="69"/>
      <c r="O3809" s="64"/>
      <c r="P3809" s="64"/>
      <c r="Q3809" s="69"/>
      <c r="R3809" s="69"/>
      <c r="S3809" s="69"/>
    </row>
    <row r="3810" s="2" customFormat="1" ht="24.95" customHeight="1" spans="1:19">
      <c r="A3810" s="15"/>
      <c r="B3810" s="55"/>
      <c r="C3810" s="56"/>
      <c r="D3810" s="68"/>
      <c r="E3810" s="69"/>
      <c r="F3810" s="69"/>
      <c r="G3810" s="65"/>
      <c r="H3810" s="65"/>
      <c r="I3810" s="70"/>
      <c r="J3810" s="71"/>
      <c r="K3810" s="71"/>
      <c r="L3810" s="72" t="str">
        <f>IFERROR(IF(G3810="","",VLOOKUP($G3810,[1]基础信息!$B:$C,2,FALSE)+SUMIF(G$8:G3810,G3810,J$8:J3810)-SUMIF(G$8:G3810,G3810,K$8:K3810)+SUMIFS([1]内部转账!$G:$G,[1]内部转账!$C:$C,"&lt;="&amp;$D3810,[1]内部转账!$E:$E,$G3810)-SUMIFS([1]内部转账!$G:$G,[1]内部转账!$C:$C,"&lt;="&amp;$D3810,[1]内部转账!$F:$F,$G3810)),"")</f>
        <v/>
      </c>
      <c r="M3810" s="64"/>
      <c r="N3810" s="69"/>
      <c r="O3810" s="64"/>
      <c r="P3810" s="64"/>
      <c r="Q3810" s="69"/>
      <c r="R3810" s="69"/>
      <c r="S3810" s="69"/>
    </row>
    <row r="3811" s="2" customFormat="1" ht="24.95" customHeight="1" spans="1:19">
      <c r="A3811" s="15"/>
      <c r="B3811" s="55"/>
      <c r="C3811" s="56"/>
      <c r="D3811" s="68"/>
      <c r="E3811" s="69"/>
      <c r="F3811" s="69"/>
      <c r="G3811" s="65"/>
      <c r="H3811" s="65"/>
      <c r="I3811" s="70"/>
      <c r="J3811" s="71"/>
      <c r="K3811" s="71"/>
      <c r="L3811" s="72" t="str">
        <f>IFERROR(IF(G3811="","",VLOOKUP($G3811,[1]基础信息!$B:$C,2,FALSE)+SUMIF(G$8:G3811,G3811,J$8:J3811)-SUMIF(G$8:G3811,G3811,K$8:K3811)+SUMIFS([1]内部转账!$G:$G,[1]内部转账!$C:$C,"&lt;="&amp;$D3811,[1]内部转账!$E:$E,$G3811)-SUMIFS([1]内部转账!$G:$G,[1]内部转账!$C:$C,"&lt;="&amp;$D3811,[1]内部转账!$F:$F,$G3811)),"")</f>
        <v/>
      </c>
      <c r="M3811" s="64"/>
      <c r="N3811" s="69"/>
      <c r="O3811" s="64"/>
      <c r="P3811" s="64"/>
      <c r="Q3811" s="69"/>
      <c r="R3811" s="69"/>
      <c r="S3811" s="69"/>
    </row>
    <row r="3812" s="2" customFormat="1" ht="24.95" customHeight="1" spans="1:19">
      <c r="A3812" s="15"/>
      <c r="B3812" s="55"/>
      <c r="C3812" s="56"/>
      <c r="D3812" s="68"/>
      <c r="E3812" s="69"/>
      <c r="F3812" s="69"/>
      <c r="G3812" s="65"/>
      <c r="H3812" s="65"/>
      <c r="I3812" s="70"/>
      <c r="J3812" s="71"/>
      <c r="K3812" s="71"/>
      <c r="L3812" s="72" t="str">
        <f>IFERROR(IF(G3812="","",VLOOKUP($G3812,[1]基础信息!$B:$C,2,FALSE)+SUMIF(G$8:G3812,G3812,J$8:J3812)-SUMIF(G$8:G3812,G3812,K$8:K3812)+SUMIFS([1]内部转账!$G:$G,[1]内部转账!$C:$C,"&lt;="&amp;$D3812,[1]内部转账!$E:$E,$G3812)-SUMIFS([1]内部转账!$G:$G,[1]内部转账!$C:$C,"&lt;="&amp;$D3812,[1]内部转账!$F:$F,$G3812)),"")</f>
        <v/>
      </c>
      <c r="M3812" s="64"/>
      <c r="N3812" s="69"/>
      <c r="O3812" s="64"/>
      <c r="P3812" s="64"/>
      <c r="Q3812" s="69"/>
      <c r="R3812" s="69"/>
      <c r="S3812" s="69"/>
    </row>
    <row r="3813" s="2" customFormat="1" ht="24.95" customHeight="1" spans="1:19">
      <c r="A3813" s="15"/>
      <c r="B3813" s="55"/>
      <c r="C3813" s="56"/>
      <c r="D3813" s="68"/>
      <c r="E3813" s="69"/>
      <c r="F3813" s="69"/>
      <c r="G3813" s="65"/>
      <c r="H3813" s="65"/>
      <c r="I3813" s="70"/>
      <c r="J3813" s="71"/>
      <c r="K3813" s="71"/>
      <c r="L3813" s="72" t="str">
        <f>IFERROR(IF(G3813="","",VLOOKUP($G3813,[1]基础信息!$B:$C,2,FALSE)+SUMIF(G$8:G3813,G3813,J$8:J3813)-SUMIF(G$8:G3813,G3813,K$8:K3813)+SUMIFS([1]内部转账!$G:$G,[1]内部转账!$C:$C,"&lt;="&amp;$D3813,[1]内部转账!$E:$E,$G3813)-SUMIFS([1]内部转账!$G:$G,[1]内部转账!$C:$C,"&lt;="&amp;$D3813,[1]内部转账!$F:$F,$G3813)),"")</f>
        <v/>
      </c>
      <c r="M3813" s="64"/>
      <c r="N3813" s="69"/>
      <c r="O3813" s="64"/>
      <c r="P3813" s="64"/>
      <c r="Q3813" s="69"/>
      <c r="R3813" s="69"/>
      <c r="S3813" s="69"/>
    </row>
    <row r="3814" s="2" customFormat="1" ht="24.95" customHeight="1" spans="1:19">
      <c r="A3814" s="15"/>
      <c r="B3814" s="55"/>
      <c r="C3814" s="56"/>
      <c r="D3814" s="68"/>
      <c r="E3814" s="69"/>
      <c r="F3814" s="69"/>
      <c r="G3814" s="65"/>
      <c r="H3814" s="65"/>
      <c r="I3814" s="70"/>
      <c r="J3814" s="71"/>
      <c r="K3814" s="71"/>
      <c r="L3814" s="72" t="str">
        <f>IFERROR(IF(G3814="","",VLOOKUP($G3814,[1]基础信息!$B:$C,2,FALSE)+SUMIF(G$8:G3814,G3814,J$8:J3814)-SUMIF(G$8:G3814,G3814,K$8:K3814)+SUMIFS([1]内部转账!$G:$G,[1]内部转账!$C:$C,"&lt;="&amp;$D3814,[1]内部转账!$E:$E,$G3814)-SUMIFS([1]内部转账!$G:$G,[1]内部转账!$C:$C,"&lt;="&amp;$D3814,[1]内部转账!$F:$F,$G3814)),"")</f>
        <v/>
      </c>
      <c r="M3814" s="64"/>
      <c r="N3814" s="69"/>
      <c r="O3814" s="64"/>
      <c r="P3814" s="64"/>
      <c r="Q3814" s="69"/>
      <c r="R3814" s="69"/>
      <c r="S3814" s="69"/>
    </row>
    <row r="3815" s="2" customFormat="1" ht="24.95" customHeight="1" spans="1:19">
      <c r="A3815" s="15"/>
      <c r="B3815" s="55"/>
      <c r="C3815" s="56"/>
      <c r="D3815" s="68"/>
      <c r="E3815" s="69"/>
      <c r="F3815" s="69"/>
      <c r="G3815" s="65"/>
      <c r="H3815" s="65"/>
      <c r="I3815" s="70"/>
      <c r="J3815" s="71"/>
      <c r="K3815" s="71"/>
      <c r="L3815" s="72" t="str">
        <f>IFERROR(IF(G3815="","",VLOOKUP($G3815,[1]基础信息!$B:$C,2,FALSE)+SUMIF(G$8:G3815,G3815,J$8:J3815)-SUMIF(G$8:G3815,G3815,K$8:K3815)+SUMIFS([1]内部转账!$G:$G,[1]内部转账!$C:$C,"&lt;="&amp;$D3815,[1]内部转账!$E:$E,$G3815)-SUMIFS([1]内部转账!$G:$G,[1]内部转账!$C:$C,"&lt;="&amp;$D3815,[1]内部转账!$F:$F,$G3815)),"")</f>
        <v/>
      </c>
      <c r="M3815" s="64"/>
      <c r="N3815" s="69"/>
      <c r="O3815" s="64"/>
      <c r="P3815" s="64"/>
      <c r="Q3815" s="69"/>
      <c r="R3815" s="69"/>
      <c r="S3815" s="69"/>
    </row>
    <row r="3816" s="2" customFormat="1" ht="24.95" customHeight="1" spans="1:19">
      <c r="A3816" s="15"/>
      <c r="B3816" s="55"/>
      <c r="C3816" s="56"/>
      <c r="D3816" s="68"/>
      <c r="E3816" s="69"/>
      <c r="F3816" s="69"/>
      <c r="G3816" s="65"/>
      <c r="H3816" s="65"/>
      <c r="I3816" s="70"/>
      <c r="J3816" s="71"/>
      <c r="K3816" s="71"/>
      <c r="L3816" s="72" t="str">
        <f>IFERROR(IF(G3816="","",VLOOKUP($G3816,[1]基础信息!$B:$C,2,FALSE)+SUMIF(G$8:G3816,G3816,J$8:J3816)-SUMIF(G$8:G3816,G3816,K$8:K3816)+SUMIFS([1]内部转账!$G:$G,[1]内部转账!$C:$C,"&lt;="&amp;$D3816,[1]内部转账!$E:$E,$G3816)-SUMIFS([1]内部转账!$G:$G,[1]内部转账!$C:$C,"&lt;="&amp;$D3816,[1]内部转账!$F:$F,$G3816)),"")</f>
        <v/>
      </c>
      <c r="M3816" s="64"/>
      <c r="N3816" s="69"/>
      <c r="O3816" s="64"/>
      <c r="P3816" s="64"/>
      <c r="Q3816" s="69"/>
      <c r="R3816" s="69"/>
      <c r="S3816" s="69"/>
    </row>
    <row r="3817" s="2" customFormat="1" ht="24.95" customHeight="1" spans="1:19">
      <c r="A3817" s="15"/>
      <c r="B3817" s="55"/>
      <c r="C3817" s="56"/>
      <c r="D3817" s="68"/>
      <c r="E3817" s="69"/>
      <c r="F3817" s="69"/>
      <c r="G3817" s="65"/>
      <c r="H3817" s="65"/>
      <c r="I3817" s="70"/>
      <c r="J3817" s="71"/>
      <c r="K3817" s="71"/>
      <c r="L3817" s="72" t="str">
        <f>IFERROR(IF(G3817="","",VLOOKUP($G3817,[1]基础信息!$B:$C,2,FALSE)+SUMIF(G$8:G3817,G3817,J$8:J3817)-SUMIF(G$8:G3817,G3817,K$8:K3817)+SUMIFS([1]内部转账!$G:$G,[1]内部转账!$C:$C,"&lt;="&amp;$D3817,[1]内部转账!$E:$E,$G3817)-SUMIFS([1]内部转账!$G:$G,[1]内部转账!$C:$C,"&lt;="&amp;$D3817,[1]内部转账!$F:$F,$G3817)),"")</f>
        <v/>
      </c>
      <c r="M3817" s="64"/>
      <c r="N3817" s="69"/>
      <c r="O3817" s="64"/>
      <c r="P3817" s="64"/>
      <c r="Q3817" s="69"/>
      <c r="R3817" s="69"/>
      <c r="S3817" s="69"/>
    </row>
    <row r="3818" s="2" customFormat="1" ht="24.95" customHeight="1" spans="1:19">
      <c r="A3818" s="15"/>
      <c r="B3818" s="55"/>
      <c r="C3818" s="56"/>
      <c r="D3818" s="68"/>
      <c r="E3818" s="69"/>
      <c r="F3818" s="69"/>
      <c r="G3818" s="65"/>
      <c r="H3818" s="65"/>
      <c r="I3818" s="70"/>
      <c r="J3818" s="71"/>
      <c r="K3818" s="71"/>
      <c r="L3818" s="72" t="str">
        <f>IFERROR(IF(G3818="","",VLOOKUP($G3818,[1]基础信息!$B:$C,2,FALSE)+SUMIF(G$8:G3818,G3818,J$8:J3818)-SUMIF(G$8:G3818,G3818,K$8:K3818)+SUMIFS([1]内部转账!$G:$G,[1]内部转账!$C:$C,"&lt;="&amp;$D3818,[1]内部转账!$E:$E,$G3818)-SUMIFS([1]内部转账!$G:$G,[1]内部转账!$C:$C,"&lt;="&amp;$D3818,[1]内部转账!$F:$F,$G3818)),"")</f>
        <v/>
      </c>
      <c r="M3818" s="64"/>
      <c r="N3818" s="69"/>
      <c r="O3818" s="64"/>
      <c r="P3818" s="64"/>
      <c r="Q3818" s="69"/>
      <c r="R3818" s="69"/>
      <c r="S3818" s="69"/>
    </row>
    <row r="3819" s="2" customFormat="1" ht="24.95" customHeight="1" spans="1:19">
      <c r="A3819" s="15"/>
      <c r="B3819" s="55"/>
      <c r="C3819" s="56"/>
      <c r="D3819" s="68"/>
      <c r="E3819" s="69"/>
      <c r="F3819" s="69"/>
      <c r="G3819" s="65"/>
      <c r="H3819" s="65"/>
      <c r="I3819" s="70"/>
      <c r="J3819" s="71"/>
      <c r="K3819" s="71"/>
      <c r="L3819" s="72" t="str">
        <f>IFERROR(IF(G3819="","",VLOOKUP($G3819,[1]基础信息!$B:$C,2,FALSE)+SUMIF(G$8:G3819,G3819,J$8:J3819)-SUMIF(G$8:G3819,G3819,K$8:K3819)+SUMIFS([1]内部转账!$G:$G,[1]内部转账!$C:$C,"&lt;="&amp;$D3819,[1]内部转账!$E:$E,$G3819)-SUMIFS([1]内部转账!$G:$G,[1]内部转账!$C:$C,"&lt;="&amp;$D3819,[1]内部转账!$F:$F,$G3819)),"")</f>
        <v/>
      </c>
      <c r="M3819" s="64"/>
      <c r="N3819" s="69"/>
      <c r="O3819" s="64"/>
      <c r="P3819" s="64"/>
      <c r="Q3819" s="69"/>
      <c r="R3819" s="69"/>
      <c r="S3819" s="69"/>
    </row>
    <row r="3820" s="2" customFormat="1" ht="24.95" customHeight="1" spans="1:19">
      <c r="A3820" s="15"/>
      <c r="B3820" s="55"/>
      <c r="C3820" s="56"/>
      <c r="D3820" s="68"/>
      <c r="E3820" s="69"/>
      <c r="F3820" s="69"/>
      <c r="G3820" s="65"/>
      <c r="H3820" s="65"/>
      <c r="I3820" s="70"/>
      <c r="J3820" s="71"/>
      <c r="K3820" s="71"/>
      <c r="L3820" s="72" t="str">
        <f>IFERROR(IF(G3820="","",VLOOKUP($G3820,[1]基础信息!$B:$C,2,FALSE)+SUMIF(G$8:G3820,G3820,J$8:J3820)-SUMIF(G$8:G3820,G3820,K$8:K3820)+SUMIFS([1]内部转账!$G:$G,[1]内部转账!$C:$C,"&lt;="&amp;$D3820,[1]内部转账!$E:$E,$G3820)-SUMIFS([1]内部转账!$G:$G,[1]内部转账!$C:$C,"&lt;="&amp;$D3820,[1]内部转账!$F:$F,$G3820)),"")</f>
        <v/>
      </c>
      <c r="M3820" s="64"/>
      <c r="N3820" s="69"/>
      <c r="O3820" s="64"/>
      <c r="P3820" s="64"/>
      <c r="Q3820" s="69"/>
      <c r="R3820" s="69"/>
      <c r="S3820" s="69"/>
    </row>
    <row r="3821" s="2" customFormat="1" ht="24.95" customHeight="1" spans="1:19">
      <c r="A3821" s="15"/>
      <c r="B3821" s="55"/>
      <c r="C3821" s="56"/>
      <c r="D3821" s="68"/>
      <c r="E3821" s="69"/>
      <c r="F3821" s="69"/>
      <c r="G3821" s="65"/>
      <c r="H3821" s="65"/>
      <c r="I3821" s="70"/>
      <c r="J3821" s="71"/>
      <c r="K3821" s="71"/>
      <c r="L3821" s="72" t="str">
        <f>IFERROR(IF(G3821="","",VLOOKUP($G3821,[1]基础信息!$B:$C,2,FALSE)+SUMIF(G$8:G3821,G3821,J$8:J3821)-SUMIF(G$8:G3821,G3821,K$8:K3821)+SUMIFS([1]内部转账!$G:$G,[1]内部转账!$C:$C,"&lt;="&amp;$D3821,[1]内部转账!$E:$E,$G3821)-SUMIFS([1]内部转账!$G:$G,[1]内部转账!$C:$C,"&lt;="&amp;$D3821,[1]内部转账!$F:$F,$G3821)),"")</f>
        <v/>
      </c>
      <c r="M3821" s="64"/>
      <c r="N3821" s="69"/>
      <c r="O3821" s="64"/>
      <c r="P3821" s="64"/>
      <c r="Q3821" s="69"/>
      <c r="R3821" s="69"/>
      <c r="S3821" s="69"/>
    </row>
    <row r="3822" s="2" customFormat="1" ht="24.95" customHeight="1" spans="1:19">
      <c r="A3822" s="15"/>
      <c r="B3822" s="55"/>
      <c r="C3822" s="56"/>
      <c r="D3822" s="68"/>
      <c r="E3822" s="69"/>
      <c r="F3822" s="69"/>
      <c r="G3822" s="65"/>
      <c r="H3822" s="65"/>
      <c r="I3822" s="70"/>
      <c r="J3822" s="71"/>
      <c r="K3822" s="71"/>
      <c r="L3822" s="72" t="str">
        <f>IFERROR(IF(G3822="","",VLOOKUP($G3822,[1]基础信息!$B:$C,2,FALSE)+SUMIF(G$8:G3822,G3822,J$8:J3822)-SUMIF(G$8:G3822,G3822,K$8:K3822)+SUMIFS([1]内部转账!$G:$G,[1]内部转账!$C:$C,"&lt;="&amp;$D3822,[1]内部转账!$E:$E,$G3822)-SUMIFS([1]内部转账!$G:$G,[1]内部转账!$C:$C,"&lt;="&amp;$D3822,[1]内部转账!$F:$F,$G3822)),"")</f>
        <v/>
      </c>
      <c r="M3822" s="64"/>
      <c r="N3822" s="69"/>
      <c r="O3822" s="64"/>
      <c r="P3822" s="64"/>
      <c r="Q3822" s="69"/>
      <c r="R3822" s="69"/>
      <c r="S3822" s="69"/>
    </row>
    <row r="3823" s="2" customFormat="1" ht="24.95" customHeight="1" spans="1:19">
      <c r="A3823" s="15"/>
      <c r="B3823" s="55"/>
      <c r="C3823" s="56"/>
      <c r="D3823" s="68"/>
      <c r="E3823" s="69"/>
      <c r="F3823" s="69"/>
      <c r="G3823" s="65"/>
      <c r="H3823" s="65"/>
      <c r="I3823" s="70"/>
      <c r="J3823" s="71"/>
      <c r="K3823" s="71"/>
      <c r="L3823" s="72" t="str">
        <f>IFERROR(IF(G3823="","",VLOOKUP($G3823,[1]基础信息!$B:$C,2,FALSE)+SUMIF(G$8:G3823,G3823,J$8:J3823)-SUMIF(G$8:G3823,G3823,K$8:K3823)+SUMIFS([1]内部转账!$G:$G,[1]内部转账!$C:$C,"&lt;="&amp;$D3823,[1]内部转账!$E:$E,$G3823)-SUMIFS([1]内部转账!$G:$G,[1]内部转账!$C:$C,"&lt;="&amp;$D3823,[1]内部转账!$F:$F,$G3823)),"")</f>
        <v/>
      </c>
      <c r="M3823" s="64"/>
      <c r="N3823" s="69"/>
      <c r="O3823" s="64"/>
      <c r="P3823" s="64"/>
      <c r="Q3823" s="69"/>
      <c r="R3823" s="69"/>
      <c r="S3823" s="69"/>
    </row>
    <row r="3824" s="2" customFormat="1" ht="24.95" customHeight="1" spans="1:19">
      <c r="A3824" s="15"/>
      <c r="B3824" s="55"/>
      <c r="C3824" s="56"/>
      <c r="D3824" s="68"/>
      <c r="E3824" s="69"/>
      <c r="F3824" s="69"/>
      <c r="G3824" s="65"/>
      <c r="H3824" s="65"/>
      <c r="I3824" s="70"/>
      <c r="J3824" s="71"/>
      <c r="K3824" s="71"/>
      <c r="L3824" s="72" t="str">
        <f>IFERROR(IF(G3824="","",VLOOKUP($G3824,[1]基础信息!$B:$C,2,FALSE)+SUMIF(G$8:G3824,G3824,J$8:J3824)-SUMIF(G$8:G3824,G3824,K$8:K3824)+SUMIFS([1]内部转账!$G:$G,[1]内部转账!$C:$C,"&lt;="&amp;$D3824,[1]内部转账!$E:$E,$G3824)-SUMIFS([1]内部转账!$G:$G,[1]内部转账!$C:$C,"&lt;="&amp;$D3824,[1]内部转账!$F:$F,$G3824)),"")</f>
        <v/>
      </c>
      <c r="M3824" s="64"/>
      <c r="N3824" s="69"/>
      <c r="O3824" s="64"/>
      <c r="P3824" s="64"/>
      <c r="Q3824" s="69"/>
      <c r="R3824" s="69"/>
      <c r="S3824" s="69"/>
    </row>
    <row r="3825" s="2" customFormat="1" ht="24.95" customHeight="1" spans="1:19">
      <c r="A3825" s="15"/>
      <c r="B3825" s="55"/>
      <c r="C3825" s="56"/>
      <c r="D3825" s="68"/>
      <c r="E3825" s="69"/>
      <c r="F3825" s="69"/>
      <c r="G3825" s="65"/>
      <c r="H3825" s="65"/>
      <c r="I3825" s="70"/>
      <c r="J3825" s="71"/>
      <c r="K3825" s="71"/>
      <c r="L3825" s="72" t="str">
        <f>IFERROR(IF(G3825="","",VLOOKUP($G3825,[1]基础信息!$B:$C,2,FALSE)+SUMIF(G$8:G3825,G3825,J$8:J3825)-SUMIF(G$8:G3825,G3825,K$8:K3825)+SUMIFS([1]内部转账!$G:$G,[1]内部转账!$C:$C,"&lt;="&amp;$D3825,[1]内部转账!$E:$E,$G3825)-SUMIFS([1]内部转账!$G:$G,[1]内部转账!$C:$C,"&lt;="&amp;$D3825,[1]内部转账!$F:$F,$G3825)),"")</f>
        <v/>
      </c>
      <c r="M3825" s="64"/>
      <c r="N3825" s="69"/>
      <c r="O3825" s="64"/>
      <c r="P3825" s="64"/>
      <c r="Q3825" s="69"/>
      <c r="R3825" s="69"/>
      <c r="S3825" s="69"/>
    </row>
    <row r="3826" s="2" customFormat="1" ht="24.95" customHeight="1" spans="1:19">
      <c r="A3826" s="15"/>
      <c r="B3826" s="55"/>
      <c r="C3826" s="56"/>
      <c r="D3826" s="68"/>
      <c r="E3826" s="69"/>
      <c r="F3826" s="69"/>
      <c r="G3826" s="65"/>
      <c r="H3826" s="65"/>
      <c r="I3826" s="70"/>
      <c r="J3826" s="71"/>
      <c r="K3826" s="71"/>
      <c r="L3826" s="72" t="str">
        <f>IFERROR(IF(G3826="","",VLOOKUP($G3826,[1]基础信息!$B:$C,2,FALSE)+SUMIF(G$8:G3826,G3826,J$8:J3826)-SUMIF(G$8:G3826,G3826,K$8:K3826)+SUMIFS([1]内部转账!$G:$G,[1]内部转账!$C:$C,"&lt;="&amp;$D3826,[1]内部转账!$E:$E,$G3826)-SUMIFS([1]内部转账!$G:$G,[1]内部转账!$C:$C,"&lt;="&amp;$D3826,[1]内部转账!$F:$F,$G3826)),"")</f>
        <v/>
      </c>
      <c r="M3826" s="64"/>
      <c r="N3826" s="69"/>
      <c r="O3826" s="64"/>
      <c r="P3826" s="64"/>
      <c r="Q3826" s="69"/>
      <c r="R3826" s="69"/>
      <c r="S3826" s="69"/>
    </row>
    <row r="3827" s="2" customFormat="1" ht="24.95" customHeight="1" spans="1:19">
      <c r="A3827" s="15"/>
      <c r="B3827" s="55"/>
      <c r="C3827" s="56"/>
      <c r="D3827" s="68"/>
      <c r="E3827" s="69"/>
      <c r="F3827" s="69"/>
      <c r="G3827" s="65"/>
      <c r="H3827" s="65"/>
      <c r="I3827" s="70"/>
      <c r="J3827" s="71"/>
      <c r="K3827" s="71"/>
      <c r="L3827" s="72" t="str">
        <f>IFERROR(IF(G3827="","",VLOOKUP($G3827,[1]基础信息!$B:$C,2,FALSE)+SUMIF(G$8:G3827,G3827,J$8:J3827)-SUMIF(G$8:G3827,G3827,K$8:K3827)+SUMIFS([1]内部转账!$G:$G,[1]内部转账!$C:$C,"&lt;="&amp;$D3827,[1]内部转账!$E:$E,$G3827)-SUMIFS([1]内部转账!$G:$G,[1]内部转账!$C:$C,"&lt;="&amp;$D3827,[1]内部转账!$F:$F,$G3827)),"")</f>
        <v/>
      </c>
      <c r="M3827" s="64"/>
      <c r="N3827" s="69"/>
      <c r="O3827" s="64"/>
      <c r="P3827" s="64"/>
      <c r="Q3827" s="69"/>
      <c r="R3827" s="69"/>
      <c r="S3827" s="69"/>
    </row>
    <row r="3828" s="2" customFormat="1" ht="24.95" customHeight="1" spans="1:19">
      <c r="A3828" s="15"/>
      <c r="B3828" s="55"/>
      <c r="C3828" s="56"/>
      <c r="D3828" s="68"/>
      <c r="E3828" s="69"/>
      <c r="F3828" s="69"/>
      <c r="G3828" s="65"/>
      <c r="H3828" s="65"/>
      <c r="I3828" s="70"/>
      <c r="J3828" s="71"/>
      <c r="K3828" s="71"/>
      <c r="L3828" s="72" t="str">
        <f>IFERROR(IF(G3828="","",VLOOKUP($G3828,[1]基础信息!$B:$C,2,FALSE)+SUMIF(G$8:G3828,G3828,J$8:J3828)-SUMIF(G$8:G3828,G3828,K$8:K3828)+SUMIFS([1]内部转账!$G:$G,[1]内部转账!$C:$C,"&lt;="&amp;$D3828,[1]内部转账!$E:$E,$G3828)-SUMIFS([1]内部转账!$G:$G,[1]内部转账!$C:$C,"&lt;="&amp;$D3828,[1]内部转账!$F:$F,$G3828)),"")</f>
        <v/>
      </c>
      <c r="M3828" s="64"/>
      <c r="N3828" s="69"/>
      <c r="O3828" s="64"/>
      <c r="P3828" s="64"/>
      <c r="Q3828" s="69"/>
      <c r="R3828" s="69"/>
      <c r="S3828" s="69"/>
    </row>
    <row r="3829" s="2" customFormat="1" ht="24.95" customHeight="1" spans="1:19">
      <c r="A3829" s="15"/>
      <c r="B3829" s="55"/>
      <c r="C3829" s="56"/>
      <c r="D3829" s="68"/>
      <c r="E3829" s="69"/>
      <c r="F3829" s="69"/>
      <c r="G3829" s="65"/>
      <c r="H3829" s="65"/>
      <c r="I3829" s="70"/>
      <c r="J3829" s="71"/>
      <c r="K3829" s="71"/>
      <c r="L3829" s="72" t="str">
        <f>IFERROR(IF(G3829="","",VLOOKUP($G3829,[1]基础信息!$B:$C,2,FALSE)+SUMIF(G$8:G3829,G3829,J$8:J3829)-SUMIF(G$8:G3829,G3829,K$8:K3829)+SUMIFS([1]内部转账!$G:$G,[1]内部转账!$C:$C,"&lt;="&amp;$D3829,[1]内部转账!$E:$E,$G3829)-SUMIFS([1]内部转账!$G:$G,[1]内部转账!$C:$C,"&lt;="&amp;$D3829,[1]内部转账!$F:$F,$G3829)),"")</f>
        <v/>
      </c>
      <c r="M3829" s="64"/>
      <c r="N3829" s="69"/>
      <c r="O3829" s="64"/>
      <c r="P3829" s="64"/>
      <c r="Q3829" s="69"/>
      <c r="R3829" s="69"/>
      <c r="S3829" s="69"/>
    </row>
    <row r="3830" s="2" customFormat="1" ht="24.95" customHeight="1" spans="1:19">
      <c r="A3830" s="15"/>
      <c r="B3830" s="55"/>
      <c r="C3830" s="56"/>
      <c r="D3830" s="68"/>
      <c r="E3830" s="69"/>
      <c r="F3830" s="69"/>
      <c r="G3830" s="65"/>
      <c r="H3830" s="65"/>
      <c r="I3830" s="70"/>
      <c r="J3830" s="71"/>
      <c r="K3830" s="71"/>
      <c r="L3830" s="72" t="str">
        <f>IFERROR(IF(G3830="","",VLOOKUP($G3830,[1]基础信息!$B:$C,2,FALSE)+SUMIF(G$8:G3830,G3830,J$8:J3830)-SUMIF(G$8:G3830,G3830,K$8:K3830)+SUMIFS([1]内部转账!$G:$G,[1]内部转账!$C:$C,"&lt;="&amp;$D3830,[1]内部转账!$E:$E,$G3830)-SUMIFS([1]内部转账!$G:$G,[1]内部转账!$C:$C,"&lt;="&amp;$D3830,[1]内部转账!$F:$F,$G3830)),"")</f>
        <v/>
      </c>
      <c r="M3830" s="64"/>
      <c r="N3830" s="69"/>
      <c r="O3830" s="64"/>
      <c r="P3830" s="64"/>
      <c r="Q3830" s="69"/>
      <c r="R3830" s="69"/>
      <c r="S3830" s="69"/>
    </row>
    <row r="3831" s="2" customFormat="1" ht="24.95" customHeight="1" spans="1:19">
      <c r="A3831" s="15"/>
      <c r="B3831" s="55"/>
      <c r="C3831" s="56"/>
      <c r="D3831" s="68"/>
      <c r="E3831" s="69"/>
      <c r="F3831" s="69"/>
      <c r="G3831" s="65"/>
      <c r="H3831" s="65"/>
      <c r="I3831" s="70"/>
      <c r="J3831" s="71"/>
      <c r="K3831" s="71"/>
      <c r="L3831" s="72" t="str">
        <f>IFERROR(IF(G3831="","",VLOOKUP($G3831,[1]基础信息!$B:$C,2,FALSE)+SUMIF(G$8:G3831,G3831,J$8:J3831)-SUMIF(G$8:G3831,G3831,K$8:K3831)+SUMIFS([1]内部转账!$G:$G,[1]内部转账!$C:$C,"&lt;="&amp;$D3831,[1]内部转账!$E:$E,$G3831)-SUMIFS([1]内部转账!$G:$G,[1]内部转账!$C:$C,"&lt;="&amp;$D3831,[1]内部转账!$F:$F,$G3831)),"")</f>
        <v/>
      </c>
      <c r="M3831" s="64"/>
      <c r="N3831" s="69"/>
      <c r="O3831" s="64"/>
      <c r="P3831" s="64"/>
      <c r="Q3831" s="69"/>
      <c r="R3831" s="69"/>
      <c r="S3831" s="69"/>
    </row>
    <row r="3832" s="2" customFormat="1" ht="24.95" customHeight="1" spans="1:19">
      <c r="A3832" s="15"/>
      <c r="B3832" s="55"/>
      <c r="C3832" s="56"/>
      <c r="D3832" s="68"/>
      <c r="E3832" s="69"/>
      <c r="F3832" s="69"/>
      <c r="G3832" s="65"/>
      <c r="H3832" s="65"/>
      <c r="I3832" s="70"/>
      <c r="J3832" s="71"/>
      <c r="K3832" s="71"/>
      <c r="L3832" s="72" t="str">
        <f>IFERROR(IF(G3832="","",VLOOKUP($G3832,[1]基础信息!$B:$C,2,FALSE)+SUMIF(G$8:G3832,G3832,J$8:J3832)-SUMIF(G$8:G3832,G3832,K$8:K3832)+SUMIFS([1]内部转账!$G:$G,[1]内部转账!$C:$C,"&lt;="&amp;$D3832,[1]内部转账!$E:$E,$G3832)-SUMIFS([1]内部转账!$G:$G,[1]内部转账!$C:$C,"&lt;="&amp;$D3832,[1]内部转账!$F:$F,$G3832)),"")</f>
        <v/>
      </c>
      <c r="M3832" s="64"/>
      <c r="N3832" s="69"/>
      <c r="O3832" s="64"/>
      <c r="P3832" s="64"/>
      <c r="Q3832" s="69"/>
      <c r="R3832" s="69"/>
      <c r="S3832" s="69"/>
    </row>
    <row r="3833" s="2" customFormat="1" ht="24.95" customHeight="1" spans="1:19">
      <c r="A3833" s="15"/>
      <c r="B3833" s="55"/>
      <c r="C3833" s="56"/>
      <c r="D3833" s="68"/>
      <c r="E3833" s="69"/>
      <c r="F3833" s="69"/>
      <c r="G3833" s="65"/>
      <c r="H3833" s="65"/>
      <c r="I3833" s="70"/>
      <c r="J3833" s="71"/>
      <c r="K3833" s="71"/>
      <c r="L3833" s="72" t="str">
        <f>IFERROR(IF(G3833="","",VLOOKUP($G3833,[1]基础信息!$B:$C,2,FALSE)+SUMIF(G$8:G3833,G3833,J$8:J3833)-SUMIF(G$8:G3833,G3833,K$8:K3833)+SUMIFS([1]内部转账!$G:$G,[1]内部转账!$C:$C,"&lt;="&amp;$D3833,[1]内部转账!$E:$E,$G3833)-SUMIFS([1]内部转账!$G:$G,[1]内部转账!$C:$C,"&lt;="&amp;$D3833,[1]内部转账!$F:$F,$G3833)),"")</f>
        <v/>
      </c>
      <c r="M3833" s="64"/>
      <c r="N3833" s="69"/>
      <c r="O3833" s="64"/>
      <c r="P3833" s="64"/>
      <c r="Q3833" s="69"/>
      <c r="R3833" s="69"/>
      <c r="S3833" s="69"/>
    </row>
    <row r="3834" s="2" customFormat="1" ht="24.95" customHeight="1" spans="1:19">
      <c r="A3834" s="15"/>
      <c r="B3834" s="55"/>
      <c r="C3834" s="56"/>
      <c r="D3834" s="68"/>
      <c r="E3834" s="69"/>
      <c r="F3834" s="69"/>
      <c r="G3834" s="65"/>
      <c r="H3834" s="65"/>
      <c r="I3834" s="70"/>
      <c r="J3834" s="71"/>
      <c r="K3834" s="71"/>
      <c r="L3834" s="72" t="str">
        <f>IFERROR(IF(G3834="","",VLOOKUP($G3834,[1]基础信息!$B:$C,2,FALSE)+SUMIF(G$8:G3834,G3834,J$8:J3834)-SUMIF(G$8:G3834,G3834,K$8:K3834)+SUMIFS([1]内部转账!$G:$G,[1]内部转账!$C:$C,"&lt;="&amp;$D3834,[1]内部转账!$E:$E,$G3834)-SUMIFS([1]内部转账!$G:$G,[1]内部转账!$C:$C,"&lt;="&amp;$D3834,[1]内部转账!$F:$F,$G3834)),"")</f>
        <v/>
      </c>
      <c r="M3834" s="64"/>
      <c r="N3834" s="69"/>
      <c r="O3834" s="64"/>
      <c r="P3834" s="64"/>
      <c r="Q3834" s="69"/>
      <c r="R3834" s="69"/>
      <c r="S3834" s="69"/>
    </row>
    <row r="3835" s="2" customFormat="1" ht="24.95" customHeight="1" spans="1:19">
      <c r="A3835" s="15"/>
      <c r="B3835" s="55"/>
      <c r="C3835" s="56"/>
      <c r="D3835" s="68"/>
      <c r="E3835" s="69"/>
      <c r="F3835" s="69"/>
      <c r="G3835" s="65"/>
      <c r="H3835" s="65"/>
      <c r="I3835" s="70"/>
      <c r="J3835" s="71"/>
      <c r="K3835" s="71"/>
      <c r="L3835" s="72" t="str">
        <f>IFERROR(IF(G3835="","",VLOOKUP($G3835,[1]基础信息!$B:$C,2,FALSE)+SUMIF(G$8:G3835,G3835,J$8:J3835)-SUMIF(G$8:G3835,G3835,K$8:K3835)+SUMIFS([1]内部转账!$G:$G,[1]内部转账!$C:$C,"&lt;="&amp;$D3835,[1]内部转账!$E:$E,$G3835)-SUMIFS([1]内部转账!$G:$G,[1]内部转账!$C:$C,"&lt;="&amp;$D3835,[1]内部转账!$F:$F,$G3835)),"")</f>
        <v/>
      </c>
      <c r="M3835" s="64"/>
      <c r="N3835" s="69"/>
      <c r="O3835" s="64"/>
      <c r="P3835" s="64"/>
      <c r="Q3835" s="69"/>
      <c r="R3835" s="69"/>
      <c r="S3835" s="69"/>
    </row>
    <row r="3836" s="2" customFormat="1" ht="24.95" customHeight="1" spans="1:19">
      <c r="A3836" s="15"/>
      <c r="B3836" s="55"/>
      <c r="C3836" s="56"/>
      <c r="D3836" s="68"/>
      <c r="E3836" s="69"/>
      <c r="F3836" s="69"/>
      <c r="G3836" s="65"/>
      <c r="H3836" s="65"/>
      <c r="I3836" s="70"/>
      <c r="J3836" s="71"/>
      <c r="K3836" s="71"/>
      <c r="L3836" s="72" t="str">
        <f>IFERROR(IF(G3836="","",VLOOKUP($G3836,[1]基础信息!$B:$C,2,FALSE)+SUMIF(G$8:G3836,G3836,J$8:J3836)-SUMIF(G$8:G3836,G3836,K$8:K3836)+SUMIFS([1]内部转账!$G:$G,[1]内部转账!$C:$C,"&lt;="&amp;$D3836,[1]内部转账!$E:$E,$G3836)-SUMIFS([1]内部转账!$G:$G,[1]内部转账!$C:$C,"&lt;="&amp;$D3836,[1]内部转账!$F:$F,$G3836)),"")</f>
        <v/>
      </c>
      <c r="M3836" s="64"/>
      <c r="N3836" s="69"/>
      <c r="O3836" s="64"/>
      <c r="P3836" s="64"/>
      <c r="Q3836" s="69"/>
      <c r="R3836" s="69"/>
      <c r="S3836" s="69"/>
    </row>
    <row r="3837" s="2" customFormat="1" ht="24.95" customHeight="1" spans="1:19">
      <c r="A3837" s="15"/>
      <c r="B3837" s="55"/>
      <c r="C3837" s="56"/>
      <c r="D3837" s="68"/>
      <c r="E3837" s="69"/>
      <c r="F3837" s="69"/>
      <c r="G3837" s="65"/>
      <c r="H3837" s="65"/>
      <c r="I3837" s="70"/>
      <c r="J3837" s="71"/>
      <c r="K3837" s="71"/>
      <c r="L3837" s="72" t="str">
        <f>IFERROR(IF(G3837="","",VLOOKUP($G3837,[1]基础信息!$B:$C,2,FALSE)+SUMIF(G$8:G3837,G3837,J$8:J3837)-SUMIF(G$8:G3837,G3837,K$8:K3837)+SUMIFS([1]内部转账!$G:$G,[1]内部转账!$C:$C,"&lt;="&amp;$D3837,[1]内部转账!$E:$E,$G3837)-SUMIFS([1]内部转账!$G:$G,[1]内部转账!$C:$C,"&lt;="&amp;$D3837,[1]内部转账!$F:$F,$G3837)),"")</f>
        <v/>
      </c>
      <c r="M3837" s="64"/>
      <c r="N3837" s="69"/>
      <c r="O3837" s="64"/>
      <c r="P3837" s="64"/>
      <c r="Q3837" s="69"/>
      <c r="R3837" s="69"/>
      <c r="S3837" s="69"/>
    </row>
    <row r="3838" s="2" customFormat="1" ht="24.95" customHeight="1" spans="1:19">
      <c r="A3838" s="15"/>
      <c r="B3838" s="55"/>
      <c r="C3838" s="56"/>
      <c r="D3838" s="68"/>
      <c r="E3838" s="69"/>
      <c r="F3838" s="69"/>
      <c r="G3838" s="65"/>
      <c r="H3838" s="65"/>
      <c r="I3838" s="70"/>
      <c r="J3838" s="71"/>
      <c r="K3838" s="71"/>
      <c r="L3838" s="72" t="str">
        <f>IFERROR(IF(G3838="","",VLOOKUP($G3838,[1]基础信息!$B:$C,2,FALSE)+SUMIF(G$8:G3838,G3838,J$8:J3838)-SUMIF(G$8:G3838,G3838,K$8:K3838)+SUMIFS([1]内部转账!$G:$G,[1]内部转账!$C:$C,"&lt;="&amp;$D3838,[1]内部转账!$E:$E,$G3838)-SUMIFS([1]内部转账!$G:$G,[1]内部转账!$C:$C,"&lt;="&amp;$D3838,[1]内部转账!$F:$F,$G3838)),"")</f>
        <v/>
      </c>
      <c r="M3838" s="64"/>
      <c r="N3838" s="69"/>
      <c r="O3838" s="64"/>
      <c r="P3838" s="64"/>
      <c r="Q3838" s="69"/>
      <c r="R3838" s="69"/>
      <c r="S3838" s="69"/>
    </row>
    <row r="3839" s="2" customFormat="1" ht="24.95" customHeight="1" spans="1:19">
      <c r="A3839" s="15"/>
      <c r="B3839" s="55"/>
      <c r="C3839" s="56"/>
      <c r="D3839" s="68"/>
      <c r="E3839" s="69"/>
      <c r="F3839" s="69"/>
      <c r="G3839" s="65"/>
      <c r="H3839" s="65"/>
      <c r="I3839" s="70"/>
      <c r="J3839" s="71"/>
      <c r="K3839" s="71"/>
      <c r="L3839" s="72" t="str">
        <f>IFERROR(IF(G3839="","",VLOOKUP($G3839,[1]基础信息!$B:$C,2,FALSE)+SUMIF(G$8:G3839,G3839,J$8:J3839)-SUMIF(G$8:G3839,G3839,K$8:K3839)+SUMIFS([1]内部转账!$G:$G,[1]内部转账!$C:$C,"&lt;="&amp;$D3839,[1]内部转账!$E:$E,$G3839)-SUMIFS([1]内部转账!$G:$G,[1]内部转账!$C:$C,"&lt;="&amp;$D3839,[1]内部转账!$F:$F,$G3839)),"")</f>
        <v/>
      </c>
      <c r="M3839" s="64"/>
      <c r="N3839" s="69"/>
      <c r="O3839" s="64"/>
      <c r="P3839" s="64"/>
      <c r="Q3839" s="69"/>
      <c r="R3839" s="69"/>
      <c r="S3839" s="69"/>
    </row>
    <row r="3840" s="2" customFormat="1" ht="24.95" customHeight="1" spans="1:19">
      <c r="A3840" s="15"/>
      <c r="B3840" s="55"/>
      <c r="C3840" s="56"/>
      <c r="D3840" s="68"/>
      <c r="E3840" s="69"/>
      <c r="F3840" s="69"/>
      <c r="G3840" s="65"/>
      <c r="H3840" s="65"/>
      <c r="I3840" s="70"/>
      <c r="J3840" s="71"/>
      <c r="K3840" s="71"/>
      <c r="L3840" s="72" t="str">
        <f>IFERROR(IF(G3840="","",VLOOKUP($G3840,[1]基础信息!$B:$C,2,FALSE)+SUMIF(G$8:G3840,G3840,J$8:J3840)-SUMIF(G$8:G3840,G3840,K$8:K3840)+SUMIFS([1]内部转账!$G:$G,[1]内部转账!$C:$C,"&lt;="&amp;$D3840,[1]内部转账!$E:$E,$G3840)-SUMIFS([1]内部转账!$G:$G,[1]内部转账!$C:$C,"&lt;="&amp;$D3840,[1]内部转账!$F:$F,$G3840)),"")</f>
        <v/>
      </c>
      <c r="M3840" s="64"/>
      <c r="N3840" s="69"/>
      <c r="O3840" s="64"/>
      <c r="P3840" s="64"/>
      <c r="Q3840" s="69"/>
      <c r="R3840" s="69"/>
      <c r="S3840" s="69"/>
    </row>
    <row r="3841" s="2" customFormat="1" ht="24.95" customHeight="1" spans="1:19">
      <c r="A3841" s="15"/>
      <c r="B3841" s="55"/>
      <c r="C3841" s="56"/>
      <c r="D3841" s="68"/>
      <c r="E3841" s="69"/>
      <c r="F3841" s="69"/>
      <c r="G3841" s="65"/>
      <c r="H3841" s="65"/>
      <c r="I3841" s="70"/>
      <c r="J3841" s="71"/>
      <c r="K3841" s="71"/>
      <c r="L3841" s="72" t="str">
        <f>IFERROR(IF(G3841="","",VLOOKUP($G3841,[1]基础信息!$B:$C,2,FALSE)+SUMIF(G$8:G3841,G3841,J$8:J3841)-SUMIF(G$8:G3841,G3841,K$8:K3841)+SUMIFS([1]内部转账!$G:$G,[1]内部转账!$C:$C,"&lt;="&amp;$D3841,[1]内部转账!$E:$E,$G3841)-SUMIFS([1]内部转账!$G:$G,[1]内部转账!$C:$C,"&lt;="&amp;$D3841,[1]内部转账!$F:$F,$G3841)),"")</f>
        <v/>
      </c>
      <c r="M3841" s="64"/>
      <c r="N3841" s="69"/>
      <c r="O3841" s="64"/>
      <c r="P3841" s="64"/>
      <c r="Q3841" s="69"/>
      <c r="R3841" s="69"/>
      <c r="S3841" s="69"/>
    </row>
    <row r="3842" s="2" customFormat="1" ht="24.95" customHeight="1" spans="1:19">
      <c r="A3842" s="15"/>
      <c r="B3842" s="55"/>
      <c r="C3842" s="56"/>
      <c r="D3842" s="68"/>
      <c r="E3842" s="69"/>
      <c r="F3842" s="69"/>
      <c r="G3842" s="65"/>
      <c r="H3842" s="65"/>
      <c r="I3842" s="70"/>
      <c r="J3842" s="71"/>
      <c r="K3842" s="71"/>
      <c r="L3842" s="72" t="str">
        <f>IFERROR(IF(G3842="","",VLOOKUP($G3842,[1]基础信息!$B:$C,2,FALSE)+SUMIF(G$8:G3842,G3842,J$8:J3842)-SUMIF(G$8:G3842,G3842,K$8:K3842)+SUMIFS([1]内部转账!$G:$G,[1]内部转账!$C:$C,"&lt;="&amp;$D3842,[1]内部转账!$E:$E,$G3842)-SUMIFS([1]内部转账!$G:$G,[1]内部转账!$C:$C,"&lt;="&amp;$D3842,[1]内部转账!$F:$F,$G3842)),"")</f>
        <v/>
      </c>
      <c r="M3842" s="64"/>
      <c r="N3842" s="69"/>
      <c r="O3842" s="64"/>
      <c r="P3842" s="64"/>
      <c r="Q3842" s="69"/>
      <c r="R3842" s="69"/>
      <c r="S3842" s="69"/>
    </row>
    <row r="3843" s="2" customFormat="1" ht="24.95" customHeight="1" spans="1:19">
      <c r="A3843" s="15"/>
      <c r="B3843" s="55"/>
      <c r="C3843" s="56"/>
      <c r="D3843" s="68"/>
      <c r="E3843" s="69"/>
      <c r="F3843" s="69"/>
      <c r="G3843" s="65"/>
      <c r="H3843" s="65"/>
      <c r="I3843" s="70"/>
      <c r="J3843" s="71"/>
      <c r="K3843" s="71"/>
      <c r="L3843" s="72" t="str">
        <f>IFERROR(IF(G3843="","",VLOOKUP($G3843,[1]基础信息!$B:$C,2,FALSE)+SUMIF(G$8:G3843,G3843,J$8:J3843)-SUMIF(G$8:G3843,G3843,K$8:K3843)+SUMIFS([1]内部转账!$G:$G,[1]内部转账!$C:$C,"&lt;="&amp;$D3843,[1]内部转账!$E:$E,$G3843)-SUMIFS([1]内部转账!$G:$G,[1]内部转账!$C:$C,"&lt;="&amp;$D3843,[1]内部转账!$F:$F,$G3843)),"")</f>
        <v/>
      </c>
      <c r="M3843" s="64"/>
      <c r="N3843" s="69"/>
      <c r="O3843" s="64"/>
      <c r="P3843" s="64"/>
      <c r="Q3843" s="69"/>
      <c r="R3843" s="69"/>
      <c r="S3843" s="69"/>
    </row>
    <row r="3844" s="2" customFormat="1" ht="24.95" customHeight="1" spans="1:19">
      <c r="A3844" s="15"/>
      <c r="B3844" s="55"/>
      <c r="C3844" s="56"/>
      <c r="D3844" s="68"/>
      <c r="E3844" s="69"/>
      <c r="F3844" s="69"/>
      <c r="G3844" s="65"/>
      <c r="H3844" s="65"/>
      <c r="I3844" s="70"/>
      <c r="J3844" s="71"/>
      <c r="K3844" s="71"/>
      <c r="L3844" s="72" t="str">
        <f>IFERROR(IF(G3844="","",VLOOKUP($G3844,[1]基础信息!$B:$C,2,FALSE)+SUMIF(G$8:G3844,G3844,J$8:J3844)-SUMIF(G$8:G3844,G3844,K$8:K3844)+SUMIFS([1]内部转账!$G:$G,[1]内部转账!$C:$C,"&lt;="&amp;$D3844,[1]内部转账!$E:$E,$G3844)-SUMIFS([1]内部转账!$G:$G,[1]内部转账!$C:$C,"&lt;="&amp;$D3844,[1]内部转账!$F:$F,$G3844)),"")</f>
        <v/>
      </c>
      <c r="M3844" s="64"/>
      <c r="N3844" s="69"/>
      <c r="O3844" s="64"/>
      <c r="P3844" s="64"/>
      <c r="Q3844" s="69"/>
      <c r="R3844" s="69"/>
      <c r="S3844" s="69"/>
    </row>
    <row r="3845" s="2" customFormat="1" ht="24.95" customHeight="1" spans="1:19">
      <c r="A3845" s="15"/>
      <c r="B3845" s="55"/>
      <c r="C3845" s="56"/>
      <c r="D3845" s="68"/>
      <c r="E3845" s="69"/>
      <c r="F3845" s="69"/>
      <c r="G3845" s="65"/>
      <c r="H3845" s="65"/>
      <c r="I3845" s="70"/>
      <c r="J3845" s="71"/>
      <c r="K3845" s="71"/>
      <c r="L3845" s="72" t="str">
        <f>IFERROR(IF(G3845="","",VLOOKUP($G3845,[1]基础信息!$B:$C,2,FALSE)+SUMIF(G$8:G3845,G3845,J$8:J3845)-SUMIF(G$8:G3845,G3845,K$8:K3845)+SUMIFS([1]内部转账!$G:$G,[1]内部转账!$C:$C,"&lt;="&amp;$D3845,[1]内部转账!$E:$E,$G3845)-SUMIFS([1]内部转账!$G:$G,[1]内部转账!$C:$C,"&lt;="&amp;$D3845,[1]内部转账!$F:$F,$G3845)),"")</f>
        <v/>
      </c>
      <c r="M3845" s="64"/>
      <c r="N3845" s="69"/>
      <c r="O3845" s="64"/>
      <c r="P3845" s="64"/>
      <c r="Q3845" s="69"/>
      <c r="R3845" s="69"/>
      <c r="S3845" s="69"/>
    </row>
    <row r="3846" s="2" customFormat="1" ht="24.95" customHeight="1" spans="1:19">
      <c r="A3846" s="15"/>
      <c r="B3846" s="55"/>
      <c r="C3846" s="56"/>
      <c r="D3846" s="68"/>
      <c r="E3846" s="69"/>
      <c r="F3846" s="69"/>
      <c r="G3846" s="65"/>
      <c r="H3846" s="65"/>
      <c r="I3846" s="70"/>
      <c r="J3846" s="71"/>
      <c r="K3846" s="71"/>
      <c r="L3846" s="72" t="str">
        <f>IFERROR(IF(G3846="","",VLOOKUP($G3846,[1]基础信息!$B:$C,2,FALSE)+SUMIF(G$8:G3846,G3846,J$8:J3846)-SUMIF(G$8:G3846,G3846,K$8:K3846)+SUMIFS([1]内部转账!$G:$G,[1]内部转账!$C:$C,"&lt;="&amp;$D3846,[1]内部转账!$E:$E,$G3846)-SUMIFS([1]内部转账!$G:$G,[1]内部转账!$C:$C,"&lt;="&amp;$D3846,[1]内部转账!$F:$F,$G3846)),"")</f>
        <v/>
      </c>
      <c r="M3846" s="64"/>
      <c r="N3846" s="69"/>
      <c r="O3846" s="64"/>
      <c r="P3846" s="64"/>
      <c r="Q3846" s="69"/>
      <c r="R3846" s="69"/>
      <c r="S3846" s="69"/>
    </row>
    <row r="3847" s="2" customFormat="1" ht="24.95" customHeight="1" spans="1:19">
      <c r="A3847" s="15"/>
      <c r="B3847" s="55"/>
      <c r="C3847" s="56"/>
      <c r="D3847" s="68"/>
      <c r="E3847" s="69"/>
      <c r="F3847" s="69"/>
      <c r="G3847" s="65"/>
      <c r="H3847" s="65"/>
      <c r="I3847" s="70"/>
      <c r="J3847" s="71"/>
      <c r="K3847" s="71"/>
      <c r="L3847" s="72" t="str">
        <f>IFERROR(IF(G3847="","",VLOOKUP($G3847,[1]基础信息!$B:$C,2,FALSE)+SUMIF(G$8:G3847,G3847,J$8:J3847)-SUMIF(G$8:G3847,G3847,K$8:K3847)+SUMIFS([1]内部转账!$G:$G,[1]内部转账!$C:$C,"&lt;="&amp;$D3847,[1]内部转账!$E:$E,$G3847)-SUMIFS([1]内部转账!$G:$G,[1]内部转账!$C:$C,"&lt;="&amp;$D3847,[1]内部转账!$F:$F,$G3847)),"")</f>
        <v/>
      </c>
      <c r="M3847" s="64"/>
      <c r="N3847" s="69"/>
      <c r="O3847" s="64"/>
      <c r="P3847" s="64"/>
      <c r="Q3847" s="69"/>
      <c r="R3847" s="69"/>
      <c r="S3847" s="69"/>
    </row>
    <row r="3848" s="2" customFormat="1" ht="24.95" customHeight="1" spans="1:19">
      <c r="A3848" s="15"/>
      <c r="B3848" s="55"/>
      <c r="C3848" s="56"/>
      <c r="D3848" s="68"/>
      <c r="E3848" s="69"/>
      <c r="F3848" s="69"/>
      <c r="G3848" s="65"/>
      <c r="H3848" s="65"/>
      <c r="I3848" s="70"/>
      <c r="J3848" s="71"/>
      <c r="K3848" s="71"/>
      <c r="L3848" s="72" t="str">
        <f>IFERROR(IF(G3848="","",VLOOKUP($G3848,[1]基础信息!$B:$C,2,FALSE)+SUMIF(G$8:G3848,G3848,J$8:J3848)-SUMIF(G$8:G3848,G3848,K$8:K3848)+SUMIFS([1]内部转账!$G:$G,[1]内部转账!$C:$C,"&lt;="&amp;$D3848,[1]内部转账!$E:$E,$G3848)-SUMIFS([1]内部转账!$G:$G,[1]内部转账!$C:$C,"&lt;="&amp;$D3848,[1]内部转账!$F:$F,$G3848)),"")</f>
        <v/>
      </c>
      <c r="M3848" s="64"/>
      <c r="N3848" s="69"/>
      <c r="O3848" s="64"/>
      <c r="P3848" s="64"/>
      <c r="Q3848" s="69"/>
      <c r="R3848" s="69"/>
      <c r="S3848" s="69"/>
    </row>
    <row r="3849" s="2" customFormat="1" ht="24.95" customHeight="1" spans="1:19">
      <c r="A3849" s="15"/>
      <c r="B3849" s="55"/>
      <c r="C3849" s="56"/>
      <c r="D3849" s="68"/>
      <c r="E3849" s="69"/>
      <c r="F3849" s="69"/>
      <c r="G3849" s="65"/>
      <c r="H3849" s="65"/>
      <c r="I3849" s="70"/>
      <c r="J3849" s="71"/>
      <c r="K3849" s="71"/>
      <c r="L3849" s="72" t="str">
        <f>IFERROR(IF(G3849="","",VLOOKUP($G3849,[1]基础信息!$B:$C,2,FALSE)+SUMIF(G$8:G3849,G3849,J$8:J3849)-SUMIF(G$8:G3849,G3849,K$8:K3849)+SUMIFS([1]内部转账!$G:$G,[1]内部转账!$C:$C,"&lt;="&amp;$D3849,[1]内部转账!$E:$E,$G3849)-SUMIFS([1]内部转账!$G:$G,[1]内部转账!$C:$C,"&lt;="&amp;$D3849,[1]内部转账!$F:$F,$G3849)),"")</f>
        <v/>
      </c>
      <c r="M3849" s="64"/>
      <c r="N3849" s="69"/>
      <c r="O3849" s="64"/>
      <c r="P3849" s="64"/>
      <c r="Q3849" s="69"/>
      <c r="R3849" s="69"/>
      <c r="S3849" s="69"/>
    </row>
    <row r="3850" s="2" customFormat="1" ht="24.95" customHeight="1" spans="1:19">
      <c r="A3850" s="15"/>
      <c r="B3850" s="55"/>
      <c r="C3850" s="56"/>
      <c r="D3850" s="68"/>
      <c r="E3850" s="69"/>
      <c r="F3850" s="69"/>
      <c r="G3850" s="65"/>
      <c r="H3850" s="65"/>
      <c r="I3850" s="70"/>
      <c r="J3850" s="71"/>
      <c r="K3850" s="71"/>
      <c r="L3850" s="72" t="str">
        <f>IFERROR(IF(G3850="","",VLOOKUP($G3850,[1]基础信息!$B:$C,2,FALSE)+SUMIF(G$8:G3850,G3850,J$8:J3850)-SUMIF(G$8:G3850,G3850,K$8:K3850)+SUMIFS([1]内部转账!$G:$G,[1]内部转账!$C:$C,"&lt;="&amp;$D3850,[1]内部转账!$E:$E,$G3850)-SUMIFS([1]内部转账!$G:$G,[1]内部转账!$C:$C,"&lt;="&amp;$D3850,[1]内部转账!$F:$F,$G3850)),"")</f>
        <v/>
      </c>
      <c r="M3850" s="64"/>
      <c r="N3850" s="69"/>
      <c r="O3850" s="64"/>
      <c r="P3850" s="64"/>
      <c r="Q3850" s="69"/>
      <c r="R3850" s="69"/>
      <c r="S3850" s="69"/>
    </row>
    <row r="3851" s="2" customFormat="1" ht="24.95" customHeight="1" spans="1:19">
      <c r="A3851" s="15"/>
      <c r="B3851" s="55"/>
      <c r="C3851" s="56"/>
      <c r="D3851" s="68"/>
      <c r="E3851" s="69"/>
      <c r="F3851" s="69"/>
      <c r="G3851" s="65"/>
      <c r="H3851" s="65"/>
      <c r="I3851" s="70"/>
      <c r="J3851" s="71"/>
      <c r="K3851" s="71"/>
      <c r="L3851" s="72" t="str">
        <f>IFERROR(IF(G3851="","",VLOOKUP($G3851,[1]基础信息!$B:$C,2,FALSE)+SUMIF(G$8:G3851,G3851,J$8:J3851)-SUMIF(G$8:G3851,G3851,K$8:K3851)+SUMIFS([1]内部转账!$G:$G,[1]内部转账!$C:$C,"&lt;="&amp;$D3851,[1]内部转账!$E:$E,$G3851)-SUMIFS([1]内部转账!$G:$G,[1]内部转账!$C:$C,"&lt;="&amp;$D3851,[1]内部转账!$F:$F,$G3851)),"")</f>
        <v/>
      </c>
      <c r="M3851" s="64"/>
      <c r="N3851" s="69"/>
      <c r="O3851" s="64"/>
      <c r="P3851" s="64"/>
      <c r="Q3851" s="69"/>
      <c r="R3851" s="69"/>
      <c r="S3851" s="69"/>
    </row>
    <row r="3852" s="2" customFormat="1" ht="24.95" customHeight="1" spans="1:19">
      <c r="A3852" s="15"/>
      <c r="B3852" s="55"/>
      <c r="C3852" s="56"/>
      <c r="D3852" s="68"/>
      <c r="E3852" s="69"/>
      <c r="F3852" s="69"/>
      <c r="G3852" s="65"/>
      <c r="H3852" s="65"/>
      <c r="I3852" s="70"/>
      <c r="J3852" s="71"/>
      <c r="K3852" s="71"/>
      <c r="L3852" s="72" t="str">
        <f>IFERROR(IF(G3852="","",VLOOKUP($G3852,[1]基础信息!$B:$C,2,FALSE)+SUMIF(G$8:G3852,G3852,J$8:J3852)-SUMIF(G$8:G3852,G3852,K$8:K3852)+SUMIFS([1]内部转账!$G:$G,[1]内部转账!$C:$C,"&lt;="&amp;$D3852,[1]内部转账!$E:$E,$G3852)-SUMIFS([1]内部转账!$G:$G,[1]内部转账!$C:$C,"&lt;="&amp;$D3852,[1]内部转账!$F:$F,$G3852)),"")</f>
        <v/>
      </c>
      <c r="M3852" s="64"/>
      <c r="N3852" s="69"/>
      <c r="O3852" s="64"/>
      <c r="P3852" s="64"/>
      <c r="Q3852" s="69"/>
      <c r="R3852" s="69"/>
      <c r="S3852" s="69"/>
    </row>
    <row r="3853" s="2" customFormat="1" ht="24.95" customHeight="1" spans="1:19">
      <c r="A3853" s="15"/>
      <c r="B3853" s="55"/>
      <c r="C3853" s="56"/>
      <c r="D3853" s="68"/>
      <c r="E3853" s="69"/>
      <c r="F3853" s="69"/>
      <c r="G3853" s="65"/>
      <c r="H3853" s="65"/>
      <c r="I3853" s="70"/>
      <c r="J3853" s="71"/>
      <c r="K3853" s="71"/>
      <c r="L3853" s="72" t="str">
        <f>IFERROR(IF(G3853="","",VLOOKUP($G3853,[1]基础信息!$B:$C,2,FALSE)+SUMIF(G$8:G3853,G3853,J$8:J3853)-SUMIF(G$8:G3853,G3853,K$8:K3853)+SUMIFS([1]内部转账!$G:$G,[1]内部转账!$C:$C,"&lt;="&amp;$D3853,[1]内部转账!$E:$E,$G3853)-SUMIFS([1]内部转账!$G:$G,[1]内部转账!$C:$C,"&lt;="&amp;$D3853,[1]内部转账!$F:$F,$G3853)),"")</f>
        <v/>
      </c>
      <c r="M3853" s="64"/>
      <c r="N3853" s="69"/>
      <c r="O3853" s="64"/>
      <c r="P3853" s="64"/>
      <c r="Q3853" s="69"/>
      <c r="R3853" s="69"/>
      <c r="S3853" s="69"/>
    </row>
    <row r="3854" s="2" customFormat="1" ht="24.95" customHeight="1" spans="1:19">
      <c r="A3854" s="15"/>
      <c r="B3854" s="55"/>
      <c r="C3854" s="56"/>
      <c r="D3854" s="68"/>
      <c r="E3854" s="69"/>
      <c r="F3854" s="69"/>
      <c r="G3854" s="65"/>
      <c r="H3854" s="65"/>
      <c r="I3854" s="70"/>
      <c r="J3854" s="71"/>
      <c r="K3854" s="71"/>
      <c r="L3854" s="72" t="str">
        <f>IFERROR(IF(G3854="","",VLOOKUP($G3854,[1]基础信息!$B:$C,2,FALSE)+SUMIF(G$8:G3854,G3854,J$8:J3854)-SUMIF(G$8:G3854,G3854,K$8:K3854)+SUMIFS([1]内部转账!$G:$G,[1]内部转账!$C:$C,"&lt;="&amp;$D3854,[1]内部转账!$E:$E,$G3854)-SUMIFS([1]内部转账!$G:$G,[1]内部转账!$C:$C,"&lt;="&amp;$D3854,[1]内部转账!$F:$F,$G3854)),"")</f>
        <v/>
      </c>
      <c r="M3854" s="64"/>
      <c r="N3854" s="69"/>
      <c r="O3854" s="64"/>
      <c r="P3854" s="64"/>
      <c r="Q3854" s="69"/>
      <c r="R3854" s="69"/>
      <c r="S3854" s="69"/>
    </row>
    <row r="3855" s="2" customFormat="1" ht="24.95" customHeight="1" spans="1:19">
      <c r="A3855" s="15"/>
      <c r="B3855" s="55"/>
      <c r="C3855" s="56"/>
      <c r="D3855" s="68"/>
      <c r="E3855" s="69"/>
      <c r="F3855" s="69"/>
      <c r="G3855" s="65"/>
      <c r="H3855" s="65"/>
      <c r="I3855" s="70"/>
      <c r="J3855" s="71"/>
      <c r="K3855" s="71"/>
      <c r="L3855" s="72" t="str">
        <f>IFERROR(IF(G3855="","",VLOOKUP($G3855,[1]基础信息!$B:$C,2,FALSE)+SUMIF(G$8:G3855,G3855,J$8:J3855)-SUMIF(G$8:G3855,G3855,K$8:K3855)+SUMIFS([1]内部转账!$G:$G,[1]内部转账!$C:$C,"&lt;="&amp;$D3855,[1]内部转账!$E:$E,$G3855)-SUMIFS([1]内部转账!$G:$G,[1]内部转账!$C:$C,"&lt;="&amp;$D3855,[1]内部转账!$F:$F,$G3855)),"")</f>
        <v/>
      </c>
      <c r="M3855" s="64"/>
      <c r="N3855" s="69"/>
      <c r="O3855" s="64"/>
      <c r="P3855" s="64"/>
      <c r="Q3855" s="69"/>
      <c r="R3855" s="69"/>
      <c r="S3855" s="69"/>
    </row>
    <row r="3856" s="2" customFormat="1" ht="24.95" customHeight="1" spans="1:19">
      <c r="A3856" s="15"/>
      <c r="B3856" s="55"/>
      <c r="C3856" s="56"/>
      <c r="D3856" s="68"/>
      <c r="E3856" s="69"/>
      <c r="F3856" s="69"/>
      <c r="G3856" s="65"/>
      <c r="H3856" s="65"/>
      <c r="I3856" s="70"/>
      <c r="J3856" s="71"/>
      <c r="K3856" s="71"/>
      <c r="L3856" s="72" t="str">
        <f>IFERROR(IF(G3856="","",VLOOKUP($G3856,[1]基础信息!$B:$C,2,FALSE)+SUMIF(G$8:G3856,G3856,J$8:J3856)-SUMIF(G$8:G3856,G3856,K$8:K3856)+SUMIFS([1]内部转账!$G:$G,[1]内部转账!$C:$C,"&lt;="&amp;$D3856,[1]内部转账!$E:$E,$G3856)-SUMIFS([1]内部转账!$G:$G,[1]内部转账!$C:$C,"&lt;="&amp;$D3856,[1]内部转账!$F:$F,$G3856)),"")</f>
        <v/>
      </c>
      <c r="M3856" s="64"/>
      <c r="N3856" s="69"/>
      <c r="O3856" s="64"/>
      <c r="P3856" s="64"/>
      <c r="Q3856" s="69"/>
      <c r="R3856" s="69"/>
      <c r="S3856" s="69"/>
    </row>
    <row r="3857" s="2" customFormat="1" ht="24.95" customHeight="1" spans="1:19">
      <c r="A3857" s="15"/>
      <c r="B3857" s="55"/>
      <c r="C3857" s="56"/>
      <c r="D3857" s="68"/>
      <c r="E3857" s="69"/>
      <c r="F3857" s="69"/>
      <c r="G3857" s="65"/>
      <c r="H3857" s="65"/>
      <c r="I3857" s="70"/>
      <c r="J3857" s="71"/>
      <c r="K3857" s="71"/>
      <c r="L3857" s="72" t="str">
        <f>IFERROR(IF(G3857="","",VLOOKUP($G3857,[1]基础信息!$B:$C,2,FALSE)+SUMIF(G$8:G3857,G3857,J$8:J3857)-SUMIF(G$8:G3857,G3857,K$8:K3857)+SUMIFS([1]内部转账!$G:$G,[1]内部转账!$C:$C,"&lt;="&amp;$D3857,[1]内部转账!$E:$E,$G3857)-SUMIFS([1]内部转账!$G:$G,[1]内部转账!$C:$C,"&lt;="&amp;$D3857,[1]内部转账!$F:$F,$G3857)),"")</f>
        <v/>
      </c>
      <c r="M3857" s="64"/>
      <c r="N3857" s="69"/>
      <c r="O3857" s="64"/>
      <c r="P3857" s="64"/>
      <c r="Q3857" s="69"/>
      <c r="R3857" s="69"/>
      <c r="S3857" s="69"/>
    </row>
    <row r="3858" s="2" customFormat="1" ht="24.95" customHeight="1" spans="1:19">
      <c r="A3858" s="15"/>
      <c r="B3858" s="55"/>
      <c r="C3858" s="56"/>
      <c r="D3858" s="68"/>
      <c r="E3858" s="69"/>
      <c r="F3858" s="69"/>
      <c r="G3858" s="65"/>
      <c r="H3858" s="65"/>
      <c r="I3858" s="70"/>
      <c r="J3858" s="71"/>
      <c r="K3858" s="71"/>
      <c r="L3858" s="72" t="str">
        <f>IFERROR(IF(G3858="","",VLOOKUP($G3858,[1]基础信息!$B:$C,2,FALSE)+SUMIF(G$8:G3858,G3858,J$8:J3858)-SUMIF(G$8:G3858,G3858,K$8:K3858)+SUMIFS([1]内部转账!$G:$G,[1]内部转账!$C:$C,"&lt;="&amp;$D3858,[1]内部转账!$E:$E,$G3858)-SUMIFS([1]内部转账!$G:$G,[1]内部转账!$C:$C,"&lt;="&amp;$D3858,[1]内部转账!$F:$F,$G3858)),"")</f>
        <v/>
      </c>
      <c r="M3858" s="64"/>
      <c r="N3858" s="69"/>
      <c r="O3858" s="64"/>
      <c r="P3858" s="64"/>
      <c r="Q3858" s="69"/>
      <c r="R3858" s="69"/>
      <c r="S3858" s="69"/>
    </row>
    <row r="3859" s="2" customFormat="1" ht="24.95" customHeight="1" spans="1:19">
      <c r="A3859" s="15"/>
      <c r="B3859" s="55"/>
      <c r="C3859" s="56"/>
      <c r="D3859" s="68"/>
      <c r="E3859" s="69"/>
      <c r="F3859" s="69"/>
      <c r="G3859" s="65"/>
      <c r="H3859" s="65"/>
      <c r="I3859" s="70"/>
      <c r="J3859" s="71"/>
      <c r="K3859" s="71"/>
      <c r="L3859" s="72" t="str">
        <f>IFERROR(IF(G3859="","",VLOOKUP($G3859,[1]基础信息!$B:$C,2,FALSE)+SUMIF(G$8:G3859,G3859,J$8:J3859)-SUMIF(G$8:G3859,G3859,K$8:K3859)+SUMIFS([1]内部转账!$G:$G,[1]内部转账!$C:$C,"&lt;="&amp;$D3859,[1]内部转账!$E:$E,$G3859)-SUMIFS([1]内部转账!$G:$G,[1]内部转账!$C:$C,"&lt;="&amp;$D3859,[1]内部转账!$F:$F,$G3859)),"")</f>
        <v/>
      </c>
      <c r="M3859" s="64"/>
      <c r="N3859" s="69"/>
      <c r="O3859" s="64"/>
      <c r="P3859" s="64"/>
      <c r="Q3859" s="69"/>
      <c r="R3859" s="69"/>
      <c r="S3859" s="69"/>
    </row>
    <row r="3860" s="2" customFormat="1" ht="24.95" customHeight="1" spans="1:19">
      <c r="A3860" s="15"/>
      <c r="B3860" s="55"/>
      <c r="C3860" s="56"/>
      <c r="D3860" s="68"/>
      <c r="E3860" s="69"/>
      <c r="F3860" s="69"/>
      <c r="G3860" s="65"/>
      <c r="H3860" s="65"/>
      <c r="I3860" s="70"/>
      <c r="J3860" s="71"/>
      <c r="K3860" s="71"/>
      <c r="L3860" s="72" t="str">
        <f>IFERROR(IF(G3860="","",VLOOKUP($G3860,[1]基础信息!$B:$C,2,FALSE)+SUMIF(G$8:G3860,G3860,J$8:J3860)-SUMIF(G$8:G3860,G3860,K$8:K3860)+SUMIFS([1]内部转账!$G:$G,[1]内部转账!$C:$C,"&lt;="&amp;$D3860,[1]内部转账!$E:$E,$G3860)-SUMIFS([1]内部转账!$G:$G,[1]内部转账!$C:$C,"&lt;="&amp;$D3860,[1]内部转账!$F:$F,$G3860)),"")</f>
        <v/>
      </c>
      <c r="M3860" s="64"/>
      <c r="N3860" s="69"/>
      <c r="O3860" s="64"/>
      <c r="P3860" s="64"/>
      <c r="Q3860" s="69"/>
      <c r="R3860" s="69"/>
      <c r="S3860" s="69"/>
    </row>
    <row r="3861" s="2" customFormat="1" ht="24.95" customHeight="1" spans="1:19">
      <c r="A3861" s="15"/>
      <c r="B3861" s="55"/>
      <c r="C3861" s="56"/>
      <c r="D3861" s="68"/>
      <c r="E3861" s="69"/>
      <c r="F3861" s="69"/>
      <c r="G3861" s="65"/>
      <c r="H3861" s="65"/>
      <c r="I3861" s="70"/>
      <c r="J3861" s="71"/>
      <c r="K3861" s="71"/>
      <c r="L3861" s="72" t="str">
        <f>IFERROR(IF(G3861="","",VLOOKUP($G3861,[1]基础信息!$B:$C,2,FALSE)+SUMIF(G$8:G3861,G3861,J$8:J3861)-SUMIF(G$8:G3861,G3861,K$8:K3861)+SUMIFS([1]内部转账!$G:$G,[1]内部转账!$C:$C,"&lt;="&amp;$D3861,[1]内部转账!$E:$E,$G3861)-SUMIFS([1]内部转账!$G:$G,[1]内部转账!$C:$C,"&lt;="&amp;$D3861,[1]内部转账!$F:$F,$G3861)),"")</f>
        <v/>
      </c>
      <c r="M3861" s="64"/>
      <c r="N3861" s="69"/>
      <c r="O3861" s="64"/>
      <c r="P3861" s="64"/>
      <c r="Q3861" s="69"/>
      <c r="R3861" s="69"/>
      <c r="S3861" s="69"/>
    </row>
    <row r="3862" s="2" customFormat="1" ht="24.95" customHeight="1" spans="1:19">
      <c r="A3862" s="15"/>
      <c r="B3862" s="55"/>
      <c r="C3862" s="56"/>
      <c r="D3862" s="68"/>
      <c r="E3862" s="69"/>
      <c r="F3862" s="69"/>
      <c r="G3862" s="65"/>
      <c r="H3862" s="65"/>
      <c r="I3862" s="70"/>
      <c r="J3862" s="71"/>
      <c r="K3862" s="71"/>
      <c r="L3862" s="72" t="str">
        <f>IFERROR(IF(G3862="","",VLOOKUP($G3862,[1]基础信息!$B:$C,2,FALSE)+SUMIF(G$8:G3862,G3862,J$8:J3862)-SUMIF(G$8:G3862,G3862,K$8:K3862)+SUMIFS([1]内部转账!$G:$G,[1]内部转账!$C:$C,"&lt;="&amp;$D3862,[1]内部转账!$E:$E,$G3862)-SUMIFS([1]内部转账!$G:$G,[1]内部转账!$C:$C,"&lt;="&amp;$D3862,[1]内部转账!$F:$F,$G3862)),"")</f>
        <v/>
      </c>
      <c r="M3862" s="64"/>
      <c r="N3862" s="69"/>
      <c r="O3862" s="64"/>
      <c r="P3862" s="64"/>
      <c r="Q3862" s="69"/>
      <c r="R3862" s="69"/>
      <c r="S3862" s="69"/>
    </row>
    <row r="3863" s="2" customFormat="1" ht="24.95" customHeight="1" spans="1:19">
      <c r="A3863" s="15"/>
      <c r="B3863" s="55"/>
      <c r="C3863" s="56"/>
      <c r="D3863" s="68"/>
      <c r="E3863" s="69"/>
      <c r="F3863" s="69"/>
      <c r="G3863" s="65"/>
      <c r="H3863" s="65"/>
      <c r="I3863" s="70"/>
      <c r="J3863" s="71"/>
      <c r="K3863" s="71"/>
      <c r="L3863" s="72" t="str">
        <f>IFERROR(IF(G3863="","",VLOOKUP($G3863,[1]基础信息!$B:$C,2,FALSE)+SUMIF(G$8:G3863,G3863,J$8:J3863)-SUMIF(G$8:G3863,G3863,K$8:K3863)+SUMIFS([1]内部转账!$G:$G,[1]内部转账!$C:$C,"&lt;="&amp;$D3863,[1]内部转账!$E:$E,$G3863)-SUMIFS([1]内部转账!$G:$G,[1]内部转账!$C:$C,"&lt;="&amp;$D3863,[1]内部转账!$F:$F,$G3863)),"")</f>
        <v/>
      </c>
      <c r="M3863" s="64"/>
      <c r="N3863" s="69"/>
      <c r="O3863" s="64"/>
      <c r="P3863" s="64"/>
      <c r="Q3863" s="69"/>
      <c r="R3863" s="69"/>
      <c r="S3863" s="69"/>
    </row>
    <row r="3864" s="2" customFormat="1" ht="24.95" customHeight="1" spans="1:19">
      <c r="A3864" s="15"/>
      <c r="B3864" s="55"/>
      <c r="C3864" s="56"/>
      <c r="D3864" s="68"/>
      <c r="E3864" s="69"/>
      <c r="F3864" s="69"/>
      <c r="G3864" s="65"/>
      <c r="H3864" s="65"/>
      <c r="I3864" s="70"/>
      <c r="J3864" s="71"/>
      <c r="K3864" s="71"/>
      <c r="L3864" s="72" t="str">
        <f>IFERROR(IF(G3864="","",VLOOKUP($G3864,[1]基础信息!$B:$C,2,FALSE)+SUMIF(G$8:G3864,G3864,J$8:J3864)-SUMIF(G$8:G3864,G3864,K$8:K3864)+SUMIFS([1]内部转账!$G:$G,[1]内部转账!$C:$C,"&lt;="&amp;$D3864,[1]内部转账!$E:$E,$G3864)-SUMIFS([1]内部转账!$G:$G,[1]内部转账!$C:$C,"&lt;="&amp;$D3864,[1]内部转账!$F:$F,$G3864)),"")</f>
        <v/>
      </c>
      <c r="M3864" s="64"/>
      <c r="N3864" s="69"/>
      <c r="O3864" s="64"/>
      <c r="P3864" s="64"/>
      <c r="Q3864" s="69"/>
      <c r="R3864" s="69"/>
      <c r="S3864" s="69"/>
    </row>
    <row r="3865" s="2" customFormat="1" ht="24.95" customHeight="1" spans="1:19">
      <c r="A3865" s="15"/>
      <c r="B3865" s="55"/>
      <c r="C3865" s="56"/>
      <c r="D3865" s="68"/>
      <c r="E3865" s="69"/>
      <c r="F3865" s="69"/>
      <c r="G3865" s="65"/>
      <c r="H3865" s="65"/>
      <c r="I3865" s="70"/>
      <c r="J3865" s="71"/>
      <c r="K3865" s="71"/>
      <c r="L3865" s="72" t="str">
        <f>IFERROR(IF(G3865="","",VLOOKUP($G3865,[1]基础信息!$B:$C,2,FALSE)+SUMIF(G$8:G3865,G3865,J$8:J3865)-SUMIF(G$8:G3865,G3865,K$8:K3865)+SUMIFS([1]内部转账!$G:$G,[1]内部转账!$C:$C,"&lt;="&amp;$D3865,[1]内部转账!$E:$E,$G3865)-SUMIFS([1]内部转账!$G:$G,[1]内部转账!$C:$C,"&lt;="&amp;$D3865,[1]内部转账!$F:$F,$G3865)),"")</f>
        <v/>
      </c>
      <c r="M3865" s="64"/>
      <c r="N3865" s="69"/>
      <c r="O3865" s="64"/>
      <c r="P3865" s="64"/>
      <c r="Q3865" s="69"/>
      <c r="R3865" s="69"/>
      <c r="S3865" s="69"/>
    </row>
    <row r="3866" s="2" customFormat="1" ht="24.95" customHeight="1" spans="1:19">
      <c r="A3866" s="15"/>
      <c r="B3866" s="55"/>
      <c r="C3866" s="56"/>
      <c r="D3866" s="68"/>
      <c r="E3866" s="69"/>
      <c r="F3866" s="69"/>
      <c r="G3866" s="65"/>
      <c r="H3866" s="65"/>
      <c r="I3866" s="70"/>
      <c r="J3866" s="71"/>
      <c r="K3866" s="71"/>
      <c r="L3866" s="72" t="str">
        <f>IFERROR(IF(G3866="","",VLOOKUP($G3866,[1]基础信息!$B:$C,2,FALSE)+SUMIF(G$8:G3866,G3866,J$8:J3866)-SUMIF(G$8:G3866,G3866,K$8:K3866)+SUMIFS([1]内部转账!$G:$G,[1]内部转账!$C:$C,"&lt;="&amp;$D3866,[1]内部转账!$E:$E,$G3866)-SUMIFS([1]内部转账!$G:$G,[1]内部转账!$C:$C,"&lt;="&amp;$D3866,[1]内部转账!$F:$F,$G3866)),"")</f>
        <v/>
      </c>
      <c r="M3866" s="64"/>
      <c r="N3866" s="69"/>
      <c r="O3866" s="64"/>
      <c r="P3866" s="64"/>
      <c r="Q3866" s="69"/>
      <c r="R3866" s="69"/>
      <c r="S3866" s="69"/>
    </row>
    <row r="3867" s="2" customFormat="1" ht="24.95" customHeight="1" spans="1:19">
      <c r="A3867" s="15"/>
      <c r="B3867" s="55"/>
      <c r="C3867" s="56"/>
      <c r="D3867" s="68"/>
      <c r="E3867" s="69"/>
      <c r="F3867" s="69"/>
      <c r="G3867" s="65"/>
      <c r="H3867" s="65"/>
      <c r="I3867" s="70"/>
      <c r="J3867" s="71"/>
      <c r="K3867" s="71"/>
      <c r="L3867" s="72" t="str">
        <f>IFERROR(IF(G3867="","",VLOOKUP($G3867,[1]基础信息!$B:$C,2,FALSE)+SUMIF(G$8:G3867,G3867,J$8:J3867)-SUMIF(G$8:G3867,G3867,K$8:K3867)+SUMIFS([1]内部转账!$G:$G,[1]内部转账!$C:$C,"&lt;="&amp;$D3867,[1]内部转账!$E:$E,$G3867)-SUMIFS([1]内部转账!$G:$G,[1]内部转账!$C:$C,"&lt;="&amp;$D3867,[1]内部转账!$F:$F,$G3867)),"")</f>
        <v/>
      </c>
      <c r="M3867" s="64"/>
      <c r="N3867" s="69"/>
      <c r="O3867" s="64"/>
      <c r="P3867" s="64"/>
      <c r="Q3867" s="69"/>
      <c r="R3867" s="69"/>
      <c r="S3867" s="69"/>
    </row>
    <row r="3868" s="2" customFormat="1" ht="24.95" customHeight="1" spans="1:19">
      <c r="A3868" s="15"/>
      <c r="B3868" s="55"/>
      <c r="C3868" s="56"/>
      <c r="D3868" s="68"/>
      <c r="E3868" s="69"/>
      <c r="F3868" s="69"/>
      <c r="G3868" s="65"/>
      <c r="H3868" s="65"/>
      <c r="I3868" s="70"/>
      <c r="J3868" s="71"/>
      <c r="K3868" s="71"/>
      <c r="L3868" s="72" t="str">
        <f>IFERROR(IF(G3868="","",VLOOKUP($G3868,[1]基础信息!$B:$C,2,FALSE)+SUMIF(G$8:G3868,G3868,J$8:J3868)-SUMIF(G$8:G3868,G3868,K$8:K3868)+SUMIFS([1]内部转账!$G:$G,[1]内部转账!$C:$C,"&lt;="&amp;$D3868,[1]内部转账!$E:$E,$G3868)-SUMIFS([1]内部转账!$G:$G,[1]内部转账!$C:$C,"&lt;="&amp;$D3868,[1]内部转账!$F:$F,$G3868)),"")</f>
        <v/>
      </c>
      <c r="M3868" s="64"/>
      <c r="N3868" s="69"/>
      <c r="O3868" s="64"/>
      <c r="P3868" s="64"/>
      <c r="Q3868" s="69"/>
      <c r="R3868" s="69"/>
      <c r="S3868" s="69"/>
    </row>
    <row r="3869" s="2" customFormat="1" ht="24.95" customHeight="1" spans="1:19">
      <c r="A3869" s="15"/>
      <c r="B3869" s="55"/>
      <c r="C3869" s="56"/>
      <c r="D3869" s="68"/>
      <c r="E3869" s="69"/>
      <c r="F3869" s="69"/>
      <c r="G3869" s="65"/>
      <c r="H3869" s="65"/>
      <c r="I3869" s="70"/>
      <c r="J3869" s="71"/>
      <c r="K3869" s="71"/>
      <c r="L3869" s="72" t="str">
        <f>IFERROR(IF(G3869="","",VLOOKUP($G3869,[1]基础信息!$B:$C,2,FALSE)+SUMIF(G$8:G3869,G3869,J$8:J3869)-SUMIF(G$8:G3869,G3869,K$8:K3869)+SUMIFS([1]内部转账!$G:$G,[1]内部转账!$C:$C,"&lt;="&amp;$D3869,[1]内部转账!$E:$E,$G3869)-SUMIFS([1]内部转账!$G:$G,[1]内部转账!$C:$C,"&lt;="&amp;$D3869,[1]内部转账!$F:$F,$G3869)),"")</f>
        <v/>
      </c>
      <c r="M3869" s="64"/>
      <c r="N3869" s="69"/>
      <c r="O3869" s="64"/>
      <c r="P3869" s="64"/>
      <c r="Q3869" s="69"/>
      <c r="R3869" s="69"/>
      <c r="S3869" s="69"/>
    </row>
    <row r="3870" s="2" customFormat="1" ht="24.95" customHeight="1" spans="1:19">
      <c r="A3870" s="15"/>
      <c r="B3870" s="55"/>
      <c r="C3870" s="56"/>
      <c r="D3870" s="68"/>
      <c r="E3870" s="69"/>
      <c r="F3870" s="69"/>
      <c r="G3870" s="65"/>
      <c r="H3870" s="65"/>
      <c r="I3870" s="70"/>
      <c r="J3870" s="71"/>
      <c r="K3870" s="71"/>
      <c r="L3870" s="72" t="str">
        <f>IFERROR(IF(G3870="","",VLOOKUP($G3870,[1]基础信息!$B:$C,2,FALSE)+SUMIF(G$8:G3870,G3870,J$8:J3870)-SUMIF(G$8:G3870,G3870,K$8:K3870)+SUMIFS([1]内部转账!$G:$G,[1]内部转账!$C:$C,"&lt;="&amp;$D3870,[1]内部转账!$E:$E,$G3870)-SUMIFS([1]内部转账!$G:$G,[1]内部转账!$C:$C,"&lt;="&amp;$D3870,[1]内部转账!$F:$F,$G3870)),"")</f>
        <v/>
      </c>
      <c r="M3870" s="64"/>
      <c r="N3870" s="69"/>
      <c r="O3870" s="64"/>
      <c r="P3870" s="64"/>
      <c r="Q3870" s="69"/>
      <c r="R3870" s="69"/>
      <c r="S3870" s="69"/>
    </row>
    <row r="3871" s="2" customFormat="1" ht="24.95" customHeight="1" spans="1:19">
      <c r="A3871" s="15"/>
      <c r="B3871" s="55"/>
      <c r="C3871" s="56"/>
      <c r="D3871" s="68"/>
      <c r="E3871" s="69"/>
      <c r="F3871" s="69"/>
      <c r="G3871" s="65"/>
      <c r="H3871" s="65"/>
      <c r="I3871" s="70"/>
      <c r="J3871" s="71"/>
      <c r="K3871" s="71"/>
      <c r="L3871" s="72" t="str">
        <f>IFERROR(IF(G3871="","",VLOOKUP($G3871,[1]基础信息!$B:$C,2,FALSE)+SUMIF(G$8:G3871,G3871,J$8:J3871)-SUMIF(G$8:G3871,G3871,K$8:K3871)+SUMIFS([1]内部转账!$G:$G,[1]内部转账!$C:$C,"&lt;="&amp;$D3871,[1]内部转账!$E:$E,$G3871)-SUMIFS([1]内部转账!$G:$G,[1]内部转账!$C:$C,"&lt;="&amp;$D3871,[1]内部转账!$F:$F,$G3871)),"")</f>
        <v/>
      </c>
      <c r="M3871" s="64"/>
      <c r="N3871" s="69"/>
      <c r="O3871" s="64"/>
      <c r="P3871" s="64"/>
      <c r="Q3871" s="69"/>
      <c r="R3871" s="69"/>
      <c r="S3871" s="69"/>
    </row>
    <row r="3872" s="2" customFormat="1" ht="24.95" customHeight="1" spans="1:19">
      <c r="A3872" s="15"/>
      <c r="B3872" s="55"/>
      <c r="C3872" s="56"/>
      <c r="D3872" s="68"/>
      <c r="E3872" s="69"/>
      <c r="F3872" s="69"/>
      <c r="G3872" s="65"/>
      <c r="H3872" s="65"/>
      <c r="I3872" s="70"/>
      <c r="J3872" s="71"/>
      <c r="K3872" s="71"/>
      <c r="L3872" s="72" t="str">
        <f>IFERROR(IF(G3872="","",VLOOKUP($G3872,[1]基础信息!$B:$C,2,FALSE)+SUMIF(G$8:G3872,G3872,J$8:J3872)-SUMIF(G$8:G3872,G3872,K$8:K3872)+SUMIFS([1]内部转账!$G:$G,[1]内部转账!$C:$C,"&lt;="&amp;$D3872,[1]内部转账!$E:$E,$G3872)-SUMIFS([1]内部转账!$G:$G,[1]内部转账!$C:$C,"&lt;="&amp;$D3872,[1]内部转账!$F:$F,$G3872)),"")</f>
        <v/>
      </c>
      <c r="M3872" s="64"/>
      <c r="N3872" s="69"/>
      <c r="O3872" s="64"/>
      <c r="P3872" s="64"/>
      <c r="Q3872" s="69"/>
      <c r="R3872" s="69"/>
      <c r="S3872" s="69"/>
    </row>
    <row r="3873" s="2" customFormat="1" ht="24.95" customHeight="1" spans="1:19">
      <c r="A3873" s="15"/>
      <c r="B3873" s="55"/>
      <c r="C3873" s="56"/>
      <c r="D3873" s="68"/>
      <c r="E3873" s="69"/>
      <c r="F3873" s="69"/>
      <c r="G3873" s="65"/>
      <c r="H3873" s="65"/>
      <c r="I3873" s="70"/>
      <c r="J3873" s="71"/>
      <c r="K3873" s="71"/>
      <c r="L3873" s="72" t="str">
        <f>IFERROR(IF(G3873="","",VLOOKUP($G3873,[1]基础信息!$B:$C,2,FALSE)+SUMIF(G$8:G3873,G3873,J$8:J3873)-SUMIF(G$8:G3873,G3873,K$8:K3873)+SUMIFS([1]内部转账!$G:$G,[1]内部转账!$C:$C,"&lt;="&amp;$D3873,[1]内部转账!$E:$E,$G3873)-SUMIFS([1]内部转账!$G:$G,[1]内部转账!$C:$C,"&lt;="&amp;$D3873,[1]内部转账!$F:$F,$G3873)),"")</f>
        <v/>
      </c>
      <c r="M3873" s="64"/>
      <c r="N3873" s="69"/>
      <c r="O3873" s="64"/>
      <c r="P3873" s="64"/>
      <c r="Q3873" s="69"/>
      <c r="R3873" s="69"/>
      <c r="S3873" s="69"/>
    </row>
    <row r="3874" s="2" customFormat="1" ht="24.95" customHeight="1" spans="1:19">
      <c r="A3874" s="15"/>
      <c r="B3874" s="55"/>
      <c r="C3874" s="56"/>
      <c r="D3874" s="68"/>
      <c r="E3874" s="69"/>
      <c r="F3874" s="69"/>
      <c r="G3874" s="65"/>
      <c r="H3874" s="65"/>
      <c r="I3874" s="70"/>
      <c r="J3874" s="71"/>
      <c r="K3874" s="71"/>
      <c r="L3874" s="72" t="str">
        <f>IFERROR(IF(G3874="","",VLOOKUP($G3874,[1]基础信息!$B:$C,2,FALSE)+SUMIF(G$8:G3874,G3874,J$8:J3874)-SUMIF(G$8:G3874,G3874,K$8:K3874)+SUMIFS([1]内部转账!$G:$G,[1]内部转账!$C:$C,"&lt;="&amp;$D3874,[1]内部转账!$E:$E,$G3874)-SUMIFS([1]内部转账!$G:$G,[1]内部转账!$C:$C,"&lt;="&amp;$D3874,[1]内部转账!$F:$F,$G3874)),"")</f>
        <v/>
      </c>
      <c r="M3874" s="64"/>
      <c r="N3874" s="69"/>
      <c r="O3874" s="64"/>
      <c r="P3874" s="64"/>
      <c r="Q3874" s="69"/>
      <c r="R3874" s="69"/>
      <c r="S3874" s="69"/>
    </row>
    <row r="3875" s="2" customFormat="1" ht="24.95" customHeight="1" spans="1:19">
      <c r="A3875" s="15"/>
      <c r="B3875" s="55"/>
      <c r="C3875" s="56"/>
      <c r="D3875" s="68"/>
      <c r="E3875" s="69"/>
      <c r="F3875" s="69"/>
      <c r="G3875" s="65"/>
      <c r="H3875" s="65"/>
      <c r="I3875" s="70"/>
      <c r="J3875" s="71"/>
      <c r="K3875" s="71"/>
      <c r="L3875" s="72" t="str">
        <f>IFERROR(IF(G3875="","",VLOOKUP($G3875,[1]基础信息!$B:$C,2,FALSE)+SUMIF(G$8:G3875,G3875,J$8:J3875)-SUMIF(G$8:G3875,G3875,K$8:K3875)+SUMIFS([1]内部转账!$G:$G,[1]内部转账!$C:$C,"&lt;="&amp;$D3875,[1]内部转账!$E:$E,$G3875)-SUMIFS([1]内部转账!$G:$G,[1]内部转账!$C:$C,"&lt;="&amp;$D3875,[1]内部转账!$F:$F,$G3875)),"")</f>
        <v/>
      </c>
      <c r="M3875" s="64"/>
      <c r="N3875" s="69"/>
      <c r="O3875" s="64"/>
      <c r="P3875" s="64"/>
      <c r="Q3875" s="69"/>
      <c r="R3875" s="69"/>
      <c r="S3875" s="69"/>
    </row>
    <row r="3876" s="2" customFormat="1" ht="24.95" customHeight="1" spans="1:19">
      <c r="A3876" s="15"/>
      <c r="B3876" s="55"/>
      <c r="C3876" s="56"/>
      <c r="D3876" s="68"/>
      <c r="E3876" s="69"/>
      <c r="F3876" s="69"/>
      <c r="G3876" s="65"/>
      <c r="H3876" s="65"/>
      <c r="I3876" s="70"/>
      <c r="J3876" s="71"/>
      <c r="K3876" s="71"/>
      <c r="L3876" s="72" t="str">
        <f>IFERROR(IF(G3876="","",VLOOKUP($G3876,[1]基础信息!$B:$C,2,FALSE)+SUMIF(G$8:G3876,G3876,J$8:J3876)-SUMIF(G$8:G3876,G3876,K$8:K3876)+SUMIFS([1]内部转账!$G:$G,[1]内部转账!$C:$C,"&lt;="&amp;$D3876,[1]内部转账!$E:$E,$G3876)-SUMIFS([1]内部转账!$G:$G,[1]内部转账!$C:$C,"&lt;="&amp;$D3876,[1]内部转账!$F:$F,$G3876)),"")</f>
        <v/>
      </c>
      <c r="M3876" s="64"/>
      <c r="N3876" s="69"/>
      <c r="O3876" s="64"/>
      <c r="P3876" s="64"/>
      <c r="Q3876" s="69"/>
      <c r="R3876" s="69"/>
      <c r="S3876" s="69"/>
    </row>
    <row r="3877" s="2" customFormat="1" ht="24.95" customHeight="1" spans="1:19">
      <c r="A3877" s="15"/>
      <c r="B3877" s="55"/>
      <c r="C3877" s="56"/>
      <c r="D3877" s="68"/>
      <c r="E3877" s="69"/>
      <c r="F3877" s="69"/>
      <c r="G3877" s="65"/>
      <c r="H3877" s="65"/>
      <c r="I3877" s="70"/>
      <c r="J3877" s="71"/>
      <c r="K3877" s="71"/>
      <c r="L3877" s="72" t="str">
        <f>IFERROR(IF(G3877="","",VLOOKUP($G3877,[1]基础信息!$B:$C,2,FALSE)+SUMIF(G$8:G3877,G3877,J$8:J3877)-SUMIF(G$8:G3877,G3877,K$8:K3877)+SUMIFS([1]内部转账!$G:$G,[1]内部转账!$C:$C,"&lt;="&amp;$D3877,[1]内部转账!$E:$E,$G3877)-SUMIFS([1]内部转账!$G:$G,[1]内部转账!$C:$C,"&lt;="&amp;$D3877,[1]内部转账!$F:$F,$G3877)),"")</f>
        <v/>
      </c>
      <c r="M3877" s="64"/>
      <c r="N3877" s="69"/>
      <c r="O3877" s="64"/>
      <c r="P3877" s="64"/>
      <c r="Q3877" s="69"/>
      <c r="R3877" s="69"/>
      <c r="S3877" s="69"/>
    </row>
    <row r="3878" s="2" customFormat="1" ht="24.95" customHeight="1" spans="1:19">
      <c r="A3878" s="15"/>
      <c r="B3878" s="55"/>
      <c r="C3878" s="56"/>
      <c r="D3878" s="68"/>
      <c r="E3878" s="69"/>
      <c r="F3878" s="69"/>
      <c r="G3878" s="65"/>
      <c r="H3878" s="65"/>
      <c r="I3878" s="70"/>
      <c r="J3878" s="71"/>
      <c r="K3878" s="71"/>
      <c r="L3878" s="72" t="str">
        <f>IFERROR(IF(G3878="","",VLOOKUP($G3878,[1]基础信息!$B:$C,2,FALSE)+SUMIF(G$8:G3878,G3878,J$8:J3878)-SUMIF(G$8:G3878,G3878,K$8:K3878)+SUMIFS([1]内部转账!$G:$G,[1]内部转账!$C:$C,"&lt;="&amp;$D3878,[1]内部转账!$E:$E,$G3878)-SUMIFS([1]内部转账!$G:$G,[1]内部转账!$C:$C,"&lt;="&amp;$D3878,[1]内部转账!$F:$F,$G3878)),"")</f>
        <v/>
      </c>
      <c r="M3878" s="64"/>
      <c r="N3878" s="69"/>
      <c r="O3878" s="64"/>
      <c r="P3878" s="64"/>
      <c r="Q3878" s="69"/>
      <c r="R3878" s="69"/>
      <c r="S3878" s="69"/>
    </row>
    <row r="3879" s="2" customFormat="1" ht="24.95" customHeight="1" spans="1:19">
      <c r="A3879" s="15"/>
      <c r="B3879" s="55"/>
      <c r="C3879" s="56"/>
      <c r="D3879" s="68"/>
      <c r="E3879" s="69"/>
      <c r="F3879" s="69"/>
      <c r="G3879" s="65"/>
      <c r="H3879" s="65"/>
      <c r="I3879" s="70"/>
      <c r="J3879" s="71"/>
      <c r="K3879" s="71"/>
      <c r="L3879" s="72" t="str">
        <f>IFERROR(IF(G3879="","",VLOOKUP($G3879,[1]基础信息!$B:$C,2,FALSE)+SUMIF(G$8:G3879,G3879,J$8:J3879)-SUMIF(G$8:G3879,G3879,K$8:K3879)+SUMIFS([1]内部转账!$G:$G,[1]内部转账!$C:$C,"&lt;="&amp;$D3879,[1]内部转账!$E:$E,$G3879)-SUMIFS([1]内部转账!$G:$G,[1]内部转账!$C:$C,"&lt;="&amp;$D3879,[1]内部转账!$F:$F,$G3879)),"")</f>
        <v/>
      </c>
      <c r="M3879" s="64"/>
      <c r="N3879" s="69"/>
      <c r="O3879" s="64"/>
      <c r="P3879" s="64"/>
      <c r="Q3879" s="69"/>
      <c r="R3879" s="69"/>
      <c r="S3879" s="69"/>
    </row>
    <row r="3880" s="2" customFormat="1" ht="24.95" customHeight="1" spans="1:19">
      <c r="A3880" s="15"/>
      <c r="B3880" s="55"/>
      <c r="C3880" s="56"/>
      <c r="D3880" s="68"/>
      <c r="E3880" s="69"/>
      <c r="F3880" s="69"/>
      <c r="G3880" s="65"/>
      <c r="H3880" s="65"/>
      <c r="I3880" s="70"/>
      <c r="J3880" s="71"/>
      <c r="K3880" s="71"/>
      <c r="L3880" s="72" t="str">
        <f>IFERROR(IF(G3880="","",VLOOKUP($G3880,[1]基础信息!$B:$C,2,FALSE)+SUMIF(G$8:G3880,G3880,J$8:J3880)-SUMIF(G$8:G3880,G3880,K$8:K3880)+SUMIFS([1]内部转账!$G:$G,[1]内部转账!$C:$C,"&lt;="&amp;$D3880,[1]内部转账!$E:$E,$G3880)-SUMIFS([1]内部转账!$G:$G,[1]内部转账!$C:$C,"&lt;="&amp;$D3880,[1]内部转账!$F:$F,$G3880)),"")</f>
        <v/>
      </c>
      <c r="M3880" s="64"/>
      <c r="N3880" s="69"/>
      <c r="O3880" s="64"/>
      <c r="P3880" s="64"/>
      <c r="Q3880" s="69"/>
      <c r="R3880" s="69"/>
      <c r="S3880" s="69"/>
    </row>
    <row r="3881" s="2" customFormat="1" ht="24.95" customHeight="1" spans="1:19">
      <c r="A3881" s="15"/>
      <c r="B3881" s="55"/>
      <c r="C3881" s="56"/>
      <c r="D3881" s="68"/>
      <c r="E3881" s="69"/>
      <c r="F3881" s="69"/>
      <c r="G3881" s="65"/>
      <c r="H3881" s="65"/>
      <c r="I3881" s="70"/>
      <c r="J3881" s="71"/>
      <c r="K3881" s="71"/>
      <c r="L3881" s="72" t="str">
        <f>IFERROR(IF(G3881="","",VLOOKUP($G3881,[1]基础信息!$B:$C,2,FALSE)+SUMIF(G$8:G3881,G3881,J$8:J3881)-SUMIF(G$8:G3881,G3881,K$8:K3881)+SUMIFS([1]内部转账!$G:$G,[1]内部转账!$C:$C,"&lt;="&amp;$D3881,[1]内部转账!$E:$E,$G3881)-SUMIFS([1]内部转账!$G:$G,[1]内部转账!$C:$C,"&lt;="&amp;$D3881,[1]内部转账!$F:$F,$G3881)),"")</f>
        <v/>
      </c>
      <c r="M3881" s="64"/>
      <c r="N3881" s="69"/>
      <c r="O3881" s="64"/>
      <c r="P3881" s="64"/>
      <c r="Q3881" s="69"/>
      <c r="R3881" s="69"/>
      <c r="S3881" s="69"/>
    </row>
    <row r="3882" s="2" customFormat="1" ht="24.95" customHeight="1" spans="1:19">
      <c r="A3882" s="15"/>
      <c r="B3882" s="55"/>
      <c r="C3882" s="56"/>
      <c r="D3882" s="68"/>
      <c r="E3882" s="69"/>
      <c r="F3882" s="69"/>
      <c r="G3882" s="65"/>
      <c r="H3882" s="65"/>
      <c r="I3882" s="70"/>
      <c r="J3882" s="71"/>
      <c r="K3882" s="71"/>
      <c r="L3882" s="72" t="str">
        <f>IFERROR(IF(G3882="","",VLOOKUP($G3882,[1]基础信息!$B:$C,2,FALSE)+SUMIF(G$8:G3882,G3882,J$8:J3882)-SUMIF(G$8:G3882,G3882,K$8:K3882)+SUMIFS([1]内部转账!$G:$G,[1]内部转账!$C:$C,"&lt;="&amp;$D3882,[1]内部转账!$E:$E,$G3882)-SUMIFS([1]内部转账!$G:$G,[1]内部转账!$C:$C,"&lt;="&amp;$D3882,[1]内部转账!$F:$F,$G3882)),"")</f>
        <v/>
      </c>
      <c r="M3882" s="64"/>
      <c r="N3882" s="69"/>
      <c r="O3882" s="64"/>
      <c r="P3882" s="64"/>
      <c r="Q3882" s="69"/>
      <c r="R3882" s="69"/>
      <c r="S3882" s="69"/>
    </row>
    <row r="3883" s="2" customFormat="1" ht="24.95" customHeight="1" spans="1:19">
      <c r="A3883" s="15"/>
      <c r="B3883" s="55"/>
      <c r="C3883" s="56"/>
      <c r="D3883" s="68"/>
      <c r="E3883" s="69"/>
      <c r="F3883" s="69"/>
      <c r="G3883" s="65"/>
      <c r="H3883" s="65"/>
      <c r="I3883" s="70"/>
      <c r="J3883" s="71"/>
      <c r="K3883" s="71"/>
      <c r="L3883" s="72" t="str">
        <f>IFERROR(IF(G3883="","",VLOOKUP($G3883,[1]基础信息!$B:$C,2,FALSE)+SUMIF(G$8:G3883,G3883,J$8:J3883)-SUMIF(G$8:G3883,G3883,K$8:K3883)+SUMIFS([1]内部转账!$G:$G,[1]内部转账!$C:$C,"&lt;="&amp;$D3883,[1]内部转账!$E:$E,$G3883)-SUMIFS([1]内部转账!$G:$G,[1]内部转账!$C:$C,"&lt;="&amp;$D3883,[1]内部转账!$F:$F,$G3883)),"")</f>
        <v/>
      </c>
      <c r="M3883" s="64"/>
      <c r="N3883" s="69"/>
      <c r="O3883" s="64"/>
      <c r="P3883" s="64"/>
      <c r="Q3883" s="69"/>
      <c r="R3883" s="69"/>
      <c r="S3883" s="69"/>
    </row>
    <row r="3884" s="2" customFormat="1" ht="24.95" customHeight="1" spans="1:19">
      <c r="A3884" s="15"/>
      <c r="B3884" s="55"/>
      <c r="C3884" s="56"/>
      <c r="D3884" s="68"/>
      <c r="E3884" s="69"/>
      <c r="F3884" s="69"/>
      <c r="G3884" s="65"/>
      <c r="H3884" s="65"/>
      <c r="I3884" s="70"/>
      <c r="J3884" s="71"/>
      <c r="K3884" s="71"/>
      <c r="L3884" s="72" t="str">
        <f>IFERROR(IF(G3884="","",VLOOKUP($G3884,[1]基础信息!$B:$C,2,FALSE)+SUMIF(G$8:G3884,G3884,J$8:J3884)-SUMIF(G$8:G3884,G3884,K$8:K3884)+SUMIFS([1]内部转账!$G:$G,[1]内部转账!$C:$C,"&lt;="&amp;$D3884,[1]内部转账!$E:$E,$G3884)-SUMIFS([1]内部转账!$G:$G,[1]内部转账!$C:$C,"&lt;="&amp;$D3884,[1]内部转账!$F:$F,$G3884)),"")</f>
        <v/>
      </c>
      <c r="M3884" s="64"/>
      <c r="N3884" s="69"/>
      <c r="O3884" s="64"/>
      <c r="P3884" s="64"/>
      <c r="Q3884" s="69"/>
      <c r="R3884" s="69"/>
      <c r="S3884" s="69"/>
    </row>
    <row r="3885" s="2" customFormat="1" ht="24.95" customHeight="1" spans="1:19">
      <c r="A3885" s="15"/>
      <c r="B3885" s="55"/>
      <c r="C3885" s="56"/>
      <c r="D3885" s="68"/>
      <c r="E3885" s="69"/>
      <c r="F3885" s="69"/>
      <c r="G3885" s="65"/>
      <c r="H3885" s="65"/>
      <c r="I3885" s="70"/>
      <c r="J3885" s="71"/>
      <c r="K3885" s="71"/>
      <c r="L3885" s="72" t="str">
        <f>IFERROR(IF(G3885="","",VLOOKUP($G3885,[1]基础信息!$B:$C,2,FALSE)+SUMIF(G$8:G3885,G3885,J$8:J3885)-SUMIF(G$8:G3885,G3885,K$8:K3885)+SUMIFS([1]内部转账!$G:$G,[1]内部转账!$C:$C,"&lt;="&amp;$D3885,[1]内部转账!$E:$E,$G3885)-SUMIFS([1]内部转账!$G:$G,[1]内部转账!$C:$C,"&lt;="&amp;$D3885,[1]内部转账!$F:$F,$G3885)),"")</f>
        <v/>
      </c>
      <c r="M3885" s="64"/>
      <c r="N3885" s="69"/>
      <c r="O3885" s="64"/>
      <c r="P3885" s="64"/>
      <c r="Q3885" s="69"/>
      <c r="R3885" s="69"/>
      <c r="S3885" s="69"/>
    </row>
    <row r="3886" s="2" customFormat="1" ht="24.95" customHeight="1" spans="1:19">
      <c r="A3886" s="15"/>
      <c r="B3886" s="55"/>
      <c r="C3886" s="56"/>
      <c r="D3886" s="68"/>
      <c r="E3886" s="69"/>
      <c r="F3886" s="69"/>
      <c r="G3886" s="65"/>
      <c r="H3886" s="65"/>
      <c r="I3886" s="70"/>
      <c r="J3886" s="71"/>
      <c r="K3886" s="71"/>
      <c r="L3886" s="72" t="str">
        <f>IFERROR(IF(G3886="","",VLOOKUP($G3886,[1]基础信息!$B:$C,2,FALSE)+SUMIF(G$8:G3886,G3886,J$8:J3886)-SUMIF(G$8:G3886,G3886,K$8:K3886)+SUMIFS([1]内部转账!$G:$G,[1]内部转账!$C:$C,"&lt;="&amp;$D3886,[1]内部转账!$E:$E,$G3886)-SUMIFS([1]内部转账!$G:$G,[1]内部转账!$C:$C,"&lt;="&amp;$D3886,[1]内部转账!$F:$F,$G3886)),"")</f>
        <v/>
      </c>
      <c r="M3886" s="64"/>
      <c r="N3886" s="69"/>
      <c r="O3886" s="64"/>
      <c r="P3886" s="64"/>
      <c r="Q3886" s="69"/>
      <c r="R3886" s="69"/>
      <c r="S3886" s="69"/>
    </row>
    <row r="3887" s="2" customFormat="1" ht="24.95" customHeight="1" spans="1:19">
      <c r="A3887" s="15"/>
      <c r="B3887" s="55"/>
      <c r="C3887" s="56"/>
      <c r="D3887" s="68"/>
      <c r="E3887" s="69"/>
      <c r="F3887" s="69"/>
      <c r="G3887" s="65"/>
      <c r="H3887" s="65"/>
      <c r="I3887" s="70"/>
      <c r="J3887" s="71"/>
      <c r="K3887" s="71"/>
      <c r="L3887" s="72" t="str">
        <f>IFERROR(IF(G3887="","",VLOOKUP($G3887,[1]基础信息!$B:$C,2,FALSE)+SUMIF(G$8:G3887,G3887,J$8:J3887)-SUMIF(G$8:G3887,G3887,K$8:K3887)+SUMIFS([1]内部转账!$G:$G,[1]内部转账!$C:$C,"&lt;="&amp;$D3887,[1]内部转账!$E:$E,$G3887)-SUMIFS([1]内部转账!$G:$G,[1]内部转账!$C:$C,"&lt;="&amp;$D3887,[1]内部转账!$F:$F,$G3887)),"")</f>
        <v/>
      </c>
      <c r="M3887" s="64"/>
      <c r="N3887" s="69"/>
      <c r="O3887" s="64"/>
      <c r="P3887" s="64"/>
      <c r="Q3887" s="69"/>
      <c r="R3887" s="69"/>
      <c r="S3887" s="69"/>
    </row>
    <row r="3888" s="2" customFormat="1" ht="24.95" customHeight="1" spans="1:19">
      <c r="A3888" s="15"/>
      <c r="B3888" s="55"/>
      <c r="C3888" s="56"/>
      <c r="D3888" s="68"/>
      <c r="E3888" s="69"/>
      <c r="F3888" s="69"/>
      <c r="G3888" s="65"/>
      <c r="H3888" s="65"/>
      <c r="I3888" s="70"/>
      <c r="J3888" s="71"/>
      <c r="K3888" s="71"/>
      <c r="L3888" s="72" t="str">
        <f>IFERROR(IF(G3888="","",VLOOKUP($G3888,[1]基础信息!$B:$C,2,FALSE)+SUMIF(G$8:G3888,G3888,J$8:J3888)-SUMIF(G$8:G3888,G3888,K$8:K3888)+SUMIFS([1]内部转账!$G:$G,[1]内部转账!$C:$C,"&lt;="&amp;$D3888,[1]内部转账!$E:$E,$G3888)-SUMIFS([1]内部转账!$G:$G,[1]内部转账!$C:$C,"&lt;="&amp;$D3888,[1]内部转账!$F:$F,$G3888)),"")</f>
        <v/>
      </c>
      <c r="M3888" s="64"/>
      <c r="N3888" s="69"/>
      <c r="O3888" s="64"/>
      <c r="P3888" s="64"/>
      <c r="Q3888" s="69"/>
      <c r="R3888" s="69"/>
      <c r="S3888" s="69"/>
    </row>
    <row r="3889" s="2" customFormat="1" ht="24.95" customHeight="1" spans="1:19">
      <c r="A3889" s="15"/>
      <c r="B3889" s="55"/>
      <c r="C3889" s="56"/>
      <c r="D3889" s="68"/>
      <c r="E3889" s="69"/>
      <c r="F3889" s="69"/>
      <c r="G3889" s="65"/>
      <c r="H3889" s="65"/>
      <c r="I3889" s="70"/>
      <c r="J3889" s="71"/>
      <c r="K3889" s="71"/>
      <c r="L3889" s="72" t="str">
        <f>IFERROR(IF(G3889="","",VLOOKUP($G3889,[1]基础信息!$B:$C,2,FALSE)+SUMIF(G$8:G3889,G3889,J$8:J3889)-SUMIF(G$8:G3889,G3889,K$8:K3889)+SUMIFS([1]内部转账!$G:$G,[1]内部转账!$C:$C,"&lt;="&amp;$D3889,[1]内部转账!$E:$E,$G3889)-SUMIFS([1]内部转账!$G:$G,[1]内部转账!$C:$C,"&lt;="&amp;$D3889,[1]内部转账!$F:$F,$G3889)),"")</f>
        <v/>
      </c>
      <c r="M3889" s="64"/>
      <c r="N3889" s="69"/>
      <c r="O3889" s="64"/>
      <c r="P3889" s="64"/>
      <c r="Q3889" s="69"/>
      <c r="R3889" s="69"/>
      <c r="S3889" s="69"/>
    </row>
    <row r="3890" s="2" customFormat="1" ht="24.95" customHeight="1" spans="1:19">
      <c r="A3890" s="15"/>
      <c r="B3890" s="55"/>
      <c r="C3890" s="56"/>
      <c r="D3890" s="68"/>
      <c r="E3890" s="69"/>
      <c r="F3890" s="69"/>
      <c r="G3890" s="65"/>
      <c r="H3890" s="65"/>
      <c r="I3890" s="70"/>
      <c r="J3890" s="71"/>
      <c r="K3890" s="71"/>
      <c r="L3890" s="72" t="str">
        <f>IFERROR(IF(G3890="","",VLOOKUP($G3890,[1]基础信息!$B:$C,2,FALSE)+SUMIF(G$8:G3890,G3890,J$8:J3890)-SUMIF(G$8:G3890,G3890,K$8:K3890)+SUMIFS([1]内部转账!$G:$G,[1]内部转账!$C:$C,"&lt;="&amp;$D3890,[1]内部转账!$E:$E,$G3890)-SUMIFS([1]内部转账!$G:$G,[1]内部转账!$C:$C,"&lt;="&amp;$D3890,[1]内部转账!$F:$F,$G3890)),"")</f>
        <v/>
      </c>
      <c r="M3890" s="64"/>
      <c r="N3890" s="69"/>
      <c r="O3890" s="64"/>
      <c r="P3890" s="64"/>
      <c r="Q3890" s="69"/>
      <c r="R3890" s="69"/>
      <c r="S3890" s="69"/>
    </row>
    <row r="3891" s="2" customFormat="1" ht="24.95" customHeight="1" spans="1:19">
      <c r="A3891" s="15"/>
      <c r="B3891" s="55"/>
      <c r="C3891" s="56"/>
      <c r="D3891" s="68"/>
      <c r="E3891" s="69"/>
      <c r="F3891" s="69"/>
      <c r="G3891" s="65"/>
      <c r="H3891" s="65"/>
      <c r="I3891" s="70"/>
      <c r="J3891" s="71"/>
      <c r="K3891" s="71"/>
      <c r="L3891" s="72" t="str">
        <f>IFERROR(IF(G3891="","",VLOOKUP($G3891,[1]基础信息!$B:$C,2,FALSE)+SUMIF(G$8:G3891,G3891,J$8:J3891)-SUMIF(G$8:G3891,G3891,K$8:K3891)+SUMIFS([1]内部转账!$G:$G,[1]内部转账!$C:$C,"&lt;="&amp;$D3891,[1]内部转账!$E:$E,$G3891)-SUMIFS([1]内部转账!$G:$G,[1]内部转账!$C:$C,"&lt;="&amp;$D3891,[1]内部转账!$F:$F,$G3891)),"")</f>
        <v/>
      </c>
      <c r="M3891" s="64"/>
      <c r="N3891" s="69"/>
      <c r="O3891" s="64"/>
      <c r="P3891" s="64"/>
      <c r="Q3891" s="69"/>
      <c r="R3891" s="69"/>
      <c r="S3891" s="69"/>
    </row>
    <row r="3892" s="2" customFormat="1" ht="24.95" customHeight="1" spans="1:19">
      <c r="A3892" s="15"/>
      <c r="B3892" s="55"/>
      <c r="C3892" s="56"/>
      <c r="D3892" s="68"/>
      <c r="E3892" s="69"/>
      <c r="F3892" s="69"/>
      <c r="G3892" s="65"/>
      <c r="H3892" s="65"/>
      <c r="I3892" s="70"/>
      <c r="J3892" s="71"/>
      <c r="K3892" s="71"/>
      <c r="L3892" s="72" t="str">
        <f>IFERROR(IF(G3892="","",VLOOKUP($G3892,[1]基础信息!$B:$C,2,FALSE)+SUMIF(G$8:G3892,G3892,J$8:J3892)-SUMIF(G$8:G3892,G3892,K$8:K3892)+SUMIFS([1]内部转账!$G:$G,[1]内部转账!$C:$C,"&lt;="&amp;$D3892,[1]内部转账!$E:$E,$G3892)-SUMIFS([1]内部转账!$G:$G,[1]内部转账!$C:$C,"&lt;="&amp;$D3892,[1]内部转账!$F:$F,$G3892)),"")</f>
        <v/>
      </c>
      <c r="M3892" s="64"/>
      <c r="N3892" s="69"/>
      <c r="O3892" s="64"/>
      <c r="P3892" s="64"/>
      <c r="Q3892" s="69"/>
      <c r="R3892" s="69"/>
      <c r="S3892" s="69"/>
    </row>
    <row r="3893" s="2" customFormat="1" ht="24.95" customHeight="1" spans="1:19">
      <c r="A3893" s="15"/>
      <c r="B3893" s="55"/>
      <c r="C3893" s="56"/>
      <c r="D3893" s="68"/>
      <c r="E3893" s="69"/>
      <c r="F3893" s="69"/>
      <c r="G3893" s="65"/>
      <c r="H3893" s="65"/>
      <c r="I3893" s="70"/>
      <c r="J3893" s="71"/>
      <c r="K3893" s="71"/>
      <c r="L3893" s="72" t="str">
        <f>IFERROR(IF(G3893="","",VLOOKUP($G3893,[1]基础信息!$B:$C,2,FALSE)+SUMIF(G$8:G3893,G3893,J$8:J3893)-SUMIF(G$8:G3893,G3893,K$8:K3893)+SUMIFS([1]内部转账!$G:$G,[1]内部转账!$C:$C,"&lt;="&amp;$D3893,[1]内部转账!$E:$E,$G3893)-SUMIFS([1]内部转账!$G:$G,[1]内部转账!$C:$C,"&lt;="&amp;$D3893,[1]内部转账!$F:$F,$G3893)),"")</f>
        <v/>
      </c>
      <c r="M3893" s="64"/>
      <c r="N3893" s="69"/>
      <c r="O3893" s="64"/>
      <c r="P3893" s="64"/>
      <c r="Q3893" s="69"/>
      <c r="R3893" s="69"/>
      <c r="S3893" s="69"/>
    </row>
    <row r="3894" s="2" customFormat="1" ht="24.95" customHeight="1" spans="1:19">
      <c r="A3894" s="15"/>
      <c r="B3894" s="55"/>
      <c r="C3894" s="56"/>
      <c r="D3894" s="68"/>
      <c r="E3894" s="69"/>
      <c r="F3894" s="69"/>
      <c r="G3894" s="65"/>
      <c r="H3894" s="65"/>
      <c r="I3894" s="70"/>
      <c r="J3894" s="71"/>
      <c r="K3894" s="71"/>
      <c r="L3894" s="72" t="str">
        <f>IFERROR(IF(G3894="","",VLOOKUP($G3894,[1]基础信息!$B:$C,2,FALSE)+SUMIF(G$8:G3894,G3894,J$8:J3894)-SUMIF(G$8:G3894,G3894,K$8:K3894)+SUMIFS([1]内部转账!$G:$G,[1]内部转账!$C:$C,"&lt;="&amp;$D3894,[1]内部转账!$E:$E,$G3894)-SUMIFS([1]内部转账!$G:$G,[1]内部转账!$C:$C,"&lt;="&amp;$D3894,[1]内部转账!$F:$F,$G3894)),"")</f>
        <v/>
      </c>
      <c r="M3894" s="64"/>
      <c r="N3894" s="69"/>
      <c r="O3894" s="64"/>
      <c r="P3894" s="64"/>
      <c r="Q3894" s="69"/>
      <c r="R3894" s="69"/>
      <c r="S3894" s="69"/>
    </row>
    <row r="3895" s="2" customFormat="1" ht="24.95" customHeight="1" spans="1:19">
      <c r="A3895" s="15"/>
      <c r="B3895" s="55"/>
      <c r="C3895" s="56"/>
      <c r="D3895" s="68"/>
      <c r="E3895" s="69"/>
      <c r="F3895" s="69"/>
      <c r="G3895" s="65"/>
      <c r="H3895" s="65"/>
      <c r="I3895" s="70"/>
      <c r="J3895" s="71"/>
      <c r="K3895" s="71"/>
      <c r="L3895" s="72" t="str">
        <f>IFERROR(IF(G3895="","",VLOOKUP($G3895,[1]基础信息!$B:$C,2,FALSE)+SUMIF(G$8:G3895,G3895,J$8:J3895)-SUMIF(G$8:G3895,G3895,K$8:K3895)+SUMIFS([1]内部转账!$G:$G,[1]内部转账!$C:$C,"&lt;="&amp;$D3895,[1]内部转账!$E:$E,$G3895)-SUMIFS([1]内部转账!$G:$G,[1]内部转账!$C:$C,"&lt;="&amp;$D3895,[1]内部转账!$F:$F,$G3895)),"")</f>
        <v/>
      </c>
      <c r="M3895" s="64"/>
      <c r="N3895" s="69"/>
      <c r="O3895" s="64"/>
      <c r="P3895" s="64"/>
      <c r="Q3895" s="69"/>
      <c r="R3895" s="69"/>
      <c r="S3895" s="69"/>
    </row>
    <row r="3896" s="2" customFormat="1" ht="24.95" customHeight="1" spans="1:19">
      <c r="A3896" s="15"/>
      <c r="B3896" s="55"/>
      <c r="C3896" s="56"/>
      <c r="D3896" s="68"/>
      <c r="E3896" s="69"/>
      <c r="F3896" s="69"/>
      <c r="G3896" s="65"/>
      <c r="H3896" s="65"/>
      <c r="I3896" s="70"/>
      <c r="J3896" s="71"/>
      <c r="K3896" s="71"/>
      <c r="L3896" s="72" t="str">
        <f>IFERROR(IF(G3896="","",VLOOKUP($G3896,[1]基础信息!$B:$C,2,FALSE)+SUMIF(G$8:G3896,G3896,J$8:J3896)-SUMIF(G$8:G3896,G3896,K$8:K3896)+SUMIFS([1]内部转账!$G:$G,[1]内部转账!$C:$C,"&lt;="&amp;$D3896,[1]内部转账!$E:$E,$G3896)-SUMIFS([1]内部转账!$G:$G,[1]内部转账!$C:$C,"&lt;="&amp;$D3896,[1]内部转账!$F:$F,$G3896)),"")</f>
        <v/>
      </c>
      <c r="M3896" s="64"/>
      <c r="N3896" s="69"/>
      <c r="O3896" s="64"/>
      <c r="P3896" s="64"/>
      <c r="Q3896" s="69"/>
      <c r="R3896" s="69"/>
      <c r="S3896" s="69"/>
    </row>
    <row r="3897" s="2" customFormat="1" ht="24.95" customHeight="1" spans="1:19">
      <c r="A3897" s="15"/>
      <c r="B3897" s="55"/>
      <c r="C3897" s="56"/>
      <c r="D3897" s="68"/>
      <c r="E3897" s="69"/>
      <c r="F3897" s="69"/>
      <c r="G3897" s="65"/>
      <c r="H3897" s="65"/>
      <c r="I3897" s="70"/>
      <c r="J3897" s="71"/>
      <c r="K3897" s="71"/>
      <c r="L3897" s="72" t="str">
        <f>IFERROR(IF(G3897="","",VLOOKUP($G3897,[1]基础信息!$B:$C,2,FALSE)+SUMIF(G$8:G3897,G3897,J$8:J3897)-SUMIF(G$8:G3897,G3897,K$8:K3897)+SUMIFS([1]内部转账!$G:$G,[1]内部转账!$C:$C,"&lt;="&amp;$D3897,[1]内部转账!$E:$E,$G3897)-SUMIFS([1]内部转账!$G:$G,[1]内部转账!$C:$C,"&lt;="&amp;$D3897,[1]内部转账!$F:$F,$G3897)),"")</f>
        <v/>
      </c>
      <c r="M3897" s="64"/>
      <c r="N3897" s="69"/>
      <c r="O3897" s="64"/>
      <c r="P3897" s="64"/>
      <c r="Q3897" s="69"/>
      <c r="R3897" s="69"/>
      <c r="S3897" s="69"/>
    </row>
    <row r="3898" s="2" customFormat="1" ht="24.95" customHeight="1" spans="1:19">
      <c r="A3898" s="15"/>
      <c r="B3898" s="55"/>
      <c r="C3898" s="56"/>
      <c r="D3898" s="68"/>
      <c r="E3898" s="69"/>
      <c r="F3898" s="69"/>
      <c r="G3898" s="65"/>
      <c r="H3898" s="65"/>
      <c r="I3898" s="70"/>
      <c r="J3898" s="71"/>
      <c r="K3898" s="71"/>
      <c r="L3898" s="72" t="str">
        <f>IFERROR(IF(G3898="","",VLOOKUP($G3898,[1]基础信息!$B:$C,2,FALSE)+SUMIF(G$8:G3898,G3898,J$8:J3898)-SUMIF(G$8:G3898,G3898,K$8:K3898)+SUMIFS([1]内部转账!$G:$G,[1]内部转账!$C:$C,"&lt;="&amp;$D3898,[1]内部转账!$E:$E,$G3898)-SUMIFS([1]内部转账!$G:$G,[1]内部转账!$C:$C,"&lt;="&amp;$D3898,[1]内部转账!$F:$F,$G3898)),"")</f>
        <v/>
      </c>
      <c r="M3898" s="64"/>
      <c r="N3898" s="69"/>
      <c r="O3898" s="64"/>
      <c r="P3898" s="64"/>
      <c r="Q3898" s="69"/>
      <c r="R3898" s="69"/>
      <c r="S3898" s="69"/>
    </row>
    <row r="3899" s="2" customFormat="1" ht="24.95" customHeight="1" spans="1:19">
      <c r="A3899" s="15"/>
      <c r="B3899" s="55"/>
      <c r="C3899" s="56"/>
      <c r="D3899" s="68"/>
      <c r="E3899" s="69"/>
      <c r="F3899" s="69"/>
      <c r="G3899" s="65"/>
      <c r="H3899" s="65"/>
      <c r="I3899" s="70"/>
      <c r="J3899" s="71"/>
      <c r="K3899" s="71"/>
      <c r="L3899" s="72" t="str">
        <f>IFERROR(IF(G3899="","",VLOOKUP($G3899,[1]基础信息!$B:$C,2,FALSE)+SUMIF(G$8:G3899,G3899,J$8:J3899)-SUMIF(G$8:G3899,G3899,K$8:K3899)+SUMIFS([1]内部转账!$G:$G,[1]内部转账!$C:$C,"&lt;="&amp;$D3899,[1]内部转账!$E:$E,$G3899)-SUMIFS([1]内部转账!$G:$G,[1]内部转账!$C:$C,"&lt;="&amp;$D3899,[1]内部转账!$F:$F,$G3899)),"")</f>
        <v/>
      </c>
      <c r="M3899" s="64"/>
      <c r="N3899" s="69"/>
      <c r="O3899" s="64"/>
      <c r="P3899" s="64"/>
      <c r="Q3899" s="69"/>
      <c r="R3899" s="69"/>
      <c r="S3899" s="69"/>
    </row>
    <row r="3900" s="2" customFormat="1" ht="24.95" customHeight="1" spans="1:19">
      <c r="A3900" s="15"/>
      <c r="B3900" s="55"/>
      <c r="C3900" s="56"/>
      <c r="D3900" s="68"/>
      <c r="E3900" s="69"/>
      <c r="F3900" s="69"/>
      <c r="G3900" s="65"/>
      <c r="H3900" s="65"/>
      <c r="I3900" s="70"/>
      <c r="J3900" s="71"/>
      <c r="K3900" s="71"/>
      <c r="L3900" s="72" t="str">
        <f>IFERROR(IF(G3900="","",VLOOKUP($G3900,[1]基础信息!$B:$C,2,FALSE)+SUMIF(G$8:G3900,G3900,J$8:J3900)-SUMIF(G$8:G3900,G3900,K$8:K3900)+SUMIFS([1]内部转账!$G:$G,[1]内部转账!$C:$C,"&lt;="&amp;$D3900,[1]内部转账!$E:$E,$G3900)-SUMIFS([1]内部转账!$G:$G,[1]内部转账!$C:$C,"&lt;="&amp;$D3900,[1]内部转账!$F:$F,$G3900)),"")</f>
        <v/>
      </c>
      <c r="M3900" s="64"/>
      <c r="N3900" s="69"/>
      <c r="O3900" s="64"/>
      <c r="P3900" s="64"/>
      <c r="Q3900" s="69"/>
      <c r="R3900" s="69"/>
      <c r="S3900" s="69"/>
    </row>
    <row r="3901" s="2" customFormat="1" ht="24.95" customHeight="1" spans="1:19">
      <c r="A3901" s="15"/>
      <c r="B3901" s="55"/>
      <c r="C3901" s="56"/>
      <c r="D3901" s="68"/>
      <c r="E3901" s="69"/>
      <c r="F3901" s="69"/>
      <c r="G3901" s="65"/>
      <c r="H3901" s="65"/>
      <c r="I3901" s="70"/>
      <c r="J3901" s="71"/>
      <c r="K3901" s="71"/>
      <c r="L3901" s="72" t="str">
        <f>IFERROR(IF(G3901="","",VLOOKUP($G3901,[1]基础信息!$B:$C,2,FALSE)+SUMIF(G$8:G3901,G3901,J$8:J3901)-SUMIF(G$8:G3901,G3901,K$8:K3901)+SUMIFS([1]内部转账!$G:$G,[1]内部转账!$C:$C,"&lt;="&amp;$D3901,[1]内部转账!$E:$E,$G3901)-SUMIFS([1]内部转账!$G:$G,[1]内部转账!$C:$C,"&lt;="&amp;$D3901,[1]内部转账!$F:$F,$G3901)),"")</f>
        <v/>
      </c>
      <c r="M3901" s="64"/>
      <c r="N3901" s="69"/>
      <c r="O3901" s="64"/>
      <c r="P3901" s="64"/>
      <c r="Q3901" s="69"/>
      <c r="R3901" s="69"/>
      <c r="S3901" s="69"/>
    </row>
    <row r="3902" s="2" customFormat="1" ht="24.95" customHeight="1" spans="1:19">
      <c r="A3902" s="15"/>
      <c r="B3902" s="55"/>
      <c r="C3902" s="56"/>
      <c r="D3902" s="68"/>
      <c r="E3902" s="69"/>
      <c r="F3902" s="69"/>
      <c r="G3902" s="65"/>
      <c r="H3902" s="65"/>
      <c r="I3902" s="70"/>
      <c r="J3902" s="71"/>
      <c r="K3902" s="71"/>
      <c r="L3902" s="72" t="str">
        <f>IFERROR(IF(G3902="","",VLOOKUP($G3902,[1]基础信息!$B:$C,2,FALSE)+SUMIF(G$8:G3902,G3902,J$8:J3902)-SUMIF(G$8:G3902,G3902,K$8:K3902)+SUMIFS([1]内部转账!$G:$G,[1]内部转账!$C:$C,"&lt;="&amp;$D3902,[1]内部转账!$E:$E,$G3902)-SUMIFS([1]内部转账!$G:$G,[1]内部转账!$C:$C,"&lt;="&amp;$D3902,[1]内部转账!$F:$F,$G3902)),"")</f>
        <v/>
      </c>
      <c r="M3902" s="64"/>
      <c r="N3902" s="69"/>
      <c r="O3902" s="64"/>
      <c r="P3902" s="64"/>
      <c r="Q3902" s="69"/>
      <c r="R3902" s="69"/>
      <c r="S3902" s="69"/>
    </row>
    <row r="3903" s="2" customFormat="1" ht="24.95" customHeight="1" spans="1:19">
      <c r="A3903" s="15"/>
      <c r="B3903" s="55"/>
      <c r="C3903" s="56"/>
      <c r="D3903" s="68"/>
      <c r="E3903" s="69"/>
      <c r="F3903" s="69"/>
      <c r="G3903" s="65"/>
      <c r="H3903" s="65"/>
      <c r="I3903" s="70"/>
      <c r="J3903" s="71"/>
      <c r="K3903" s="71"/>
      <c r="L3903" s="72" t="str">
        <f>IFERROR(IF(G3903="","",VLOOKUP($G3903,[1]基础信息!$B:$C,2,FALSE)+SUMIF(G$8:G3903,G3903,J$8:J3903)-SUMIF(G$8:G3903,G3903,K$8:K3903)+SUMIFS([1]内部转账!$G:$G,[1]内部转账!$C:$C,"&lt;="&amp;$D3903,[1]内部转账!$E:$E,$G3903)-SUMIFS([1]内部转账!$G:$G,[1]内部转账!$C:$C,"&lt;="&amp;$D3903,[1]内部转账!$F:$F,$G3903)),"")</f>
        <v/>
      </c>
      <c r="M3903" s="64"/>
      <c r="N3903" s="69"/>
      <c r="O3903" s="64"/>
      <c r="P3903" s="64"/>
      <c r="Q3903" s="69"/>
      <c r="R3903" s="69"/>
      <c r="S3903" s="69"/>
    </row>
    <row r="3904" s="2" customFormat="1" ht="24.95" customHeight="1" spans="1:19">
      <c r="A3904" s="15"/>
      <c r="B3904" s="55"/>
      <c r="C3904" s="56"/>
      <c r="D3904" s="68"/>
      <c r="E3904" s="69"/>
      <c r="F3904" s="69"/>
      <c r="G3904" s="65"/>
      <c r="H3904" s="65"/>
      <c r="I3904" s="70"/>
      <c r="J3904" s="71"/>
      <c r="K3904" s="71"/>
      <c r="L3904" s="72" t="str">
        <f>IFERROR(IF(G3904="","",VLOOKUP($G3904,[1]基础信息!$B:$C,2,FALSE)+SUMIF(G$8:G3904,G3904,J$8:J3904)-SUMIF(G$8:G3904,G3904,K$8:K3904)+SUMIFS([1]内部转账!$G:$G,[1]内部转账!$C:$C,"&lt;="&amp;$D3904,[1]内部转账!$E:$E,$G3904)-SUMIFS([1]内部转账!$G:$G,[1]内部转账!$C:$C,"&lt;="&amp;$D3904,[1]内部转账!$F:$F,$G3904)),"")</f>
        <v/>
      </c>
      <c r="M3904" s="64"/>
      <c r="N3904" s="69"/>
      <c r="O3904" s="64"/>
      <c r="P3904" s="64"/>
      <c r="Q3904" s="69"/>
      <c r="R3904" s="69"/>
      <c r="S3904" s="69"/>
    </row>
    <row r="3905" s="2" customFormat="1" ht="24.95" customHeight="1" spans="1:19">
      <c r="A3905" s="15"/>
      <c r="B3905" s="55"/>
      <c r="C3905" s="56"/>
      <c r="D3905" s="68"/>
      <c r="E3905" s="69"/>
      <c r="F3905" s="69"/>
      <c r="G3905" s="65"/>
      <c r="H3905" s="65"/>
      <c r="I3905" s="70"/>
      <c r="J3905" s="71"/>
      <c r="K3905" s="71"/>
      <c r="L3905" s="72" t="str">
        <f>IFERROR(IF(G3905="","",VLOOKUP($G3905,[1]基础信息!$B:$C,2,FALSE)+SUMIF(G$8:G3905,G3905,J$8:J3905)-SUMIF(G$8:G3905,G3905,K$8:K3905)+SUMIFS([1]内部转账!$G:$G,[1]内部转账!$C:$C,"&lt;="&amp;$D3905,[1]内部转账!$E:$E,$G3905)-SUMIFS([1]内部转账!$G:$G,[1]内部转账!$C:$C,"&lt;="&amp;$D3905,[1]内部转账!$F:$F,$G3905)),"")</f>
        <v/>
      </c>
      <c r="M3905" s="64"/>
      <c r="N3905" s="69"/>
      <c r="O3905" s="64"/>
      <c r="P3905" s="64"/>
      <c r="Q3905" s="69"/>
      <c r="R3905" s="69"/>
      <c r="S3905" s="69"/>
    </row>
    <row r="3906" s="2" customFormat="1" ht="24.95" customHeight="1" spans="1:19">
      <c r="A3906" s="15"/>
      <c r="B3906" s="55"/>
      <c r="C3906" s="56"/>
      <c r="D3906" s="68"/>
      <c r="E3906" s="69"/>
      <c r="F3906" s="69"/>
      <c r="G3906" s="65"/>
      <c r="H3906" s="65"/>
      <c r="I3906" s="70"/>
      <c r="J3906" s="71"/>
      <c r="K3906" s="71"/>
      <c r="L3906" s="72" t="str">
        <f>IFERROR(IF(G3906="","",VLOOKUP($G3906,[1]基础信息!$B:$C,2,FALSE)+SUMIF(G$8:G3906,G3906,J$8:J3906)-SUMIF(G$8:G3906,G3906,K$8:K3906)+SUMIFS([1]内部转账!$G:$G,[1]内部转账!$C:$C,"&lt;="&amp;$D3906,[1]内部转账!$E:$E,$G3906)-SUMIFS([1]内部转账!$G:$G,[1]内部转账!$C:$C,"&lt;="&amp;$D3906,[1]内部转账!$F:$F,$G3906)),"")</f>
        <v/>
      </c>
      <c r="M3906" s="64"/>
      <c r="N3906" s="69"/>
      <c r="O3906" s="64"/>
      <c r="P3906" s="64"/>
      <c r="Q3906" s="69"/>
      <c r="R3906" s="69"/>
      <c r="S3906" s="69"/>
    </row>
    <row r="3907" s="2" customFormat="1" ht="24.95" customHeight="1" spans="1:19">
      <c r="A3907" s="15"/>
      <c r="B3907" s="55"/>
      <c r="C3907" s="56"/>
      <c r="D3907" s="68"/>
      <c r="E3907" s="69"/>
      <c r="F3907" s="69"/>
      <c r="G3907" s="65"/>
      <c r="H3907" s="65"/>
      <c r="I3907" s="70"/>
      <c r="J3907" s="71"/>
      <c r="K3907" s="71"/>
      <c r="L3907" s="72" t="str">
        <f>IFERROR(IF(G3907="","",VLOOKUP($G3907,[1]基础信息!$B:$C,2,FALSE)+SUMIF(G$8:G3907,G3907,J$8:J3907)-SUMIF(G$8:G3907,G3907,K$8:K3907)+SUMIFS([1]内部转账!$G:$G,[1]内部转账!$C:$C,"&lt;="&amp;$D3907,[1]内部转账!$E:$E,$G3907)-SUMIFS([1]内部转账!$G:$G,[1]内部转账!$C:$C,"&lt;="&amp;$D3907,[1]内部转账!$F:$F,$G3907)),"")</f>
        <v/>
      </c>
      <c r="M3907" s="64"/>
      <c r="N3907" s="69"/>
      <c r="O3907" s="64"/>
      <c r="P3907" s="64"/>
      <c r="Q3907" s="69"/>
      <c r="R3907" s="69"/>
      <c r="S3907" s="69"/>
    </row>
    <row r="3908" s="2" customFormat="1" ht="24.95" customHeight="1" spans="1:19">
      <c r="A3908" s="15"/>
      <c r="B3908" s="55"/>
      <c r="C3908" s="56"/>
      <c r="D3908" s="68"/>
      <c r="E3908" s="69"/>
      <c r="F3908" s="69"/>
      <c r="G3908" s="65"/>
      <c r="H3908" s="65"/>
      <c r="I3908" s="70"/>
      <c r="J3908" s="71"/>
      <c r="K3908" s="71"/>
      <c r="L3908" s="72" t="str">
        <f>IFERROR(IF(G3908="","",VLOOKUP($G3908,[1]基础信息!$B:$C,2,FALSE)+SUMIF(G$8:G3908,G3908,J$8:J3908)-SUMIF(G$8:G3908,G3908,K$8:K3908)+SUMIFS([1]内部转账!$G:$G,[1]内部转账!$C:$C,"&lt;="&amp;$D3908,[1]内部转账!$E:$E,$G3908)-SUMIFS([1]内部转账!$G:$G,[1]内部转账!$C:$C,"&lt;="&amp;$D3908,[1]内部转账!$F:$F,$G3908)),"")</f>
        <v/>
      </c>
      <c r="M3908" s="64"/>
      <c r="N3908" s="69"/>
      <c r="O3908" s="64"/>
      <c r="P3908" s="64"/>
      <c r="Q3908" s="69"/>
      <c r="R3908" s="69"/>
      <c r="S3908" s="69"/>
    </row>
    <row r="3909" s="2" customFormat="1" ht="24.95" customHeight="1" spans="1:19">
      <c r="A3909" s="15"/>
      <c r="B3909" s="55"/>
      <c r="C3909" s="56"/>
      <c r="D3909" s="68"/>
      <c r="E3909" s="69"/>
      <c r="F3909" s="69"/>
      <c r="G3909" s="65"/>
      <c r="H3909" s="65"/>
      <c r="I3909" s="70"/>
      <c r="J3909" s="71"/>
      <c r="K3909" s="71"/>
      <c r="L3909" s="72" t="str">
        <f>IFERROR(IF(G3909="","",VLOOKUP($G3909,[1]基础信息!$B:$C,2,FALSE)+SUMIF(G$8:G3909,G3909,J$8:J3909)-SUMIF(G$8:G3909,G3909,K$8:K3909)+SUMIFS([1]内部转账!$G:$G,[1]内部转账!$C:$C,"&lt;="&amp;$D3909,[1]内部转账!$E:$E,$G3909)-SUMIFS([1]内部转账!$G:$G,[1]内部转账!$C:$C,"&lt;="&amp;$D3909,[1]内部转账!$F:$F,$G3909)),"")</f>
        <v/>
      </c>
      <c r="M3909" s="64"/>
      <c r="N3909" s="69"/>
      <c r="O3909" s="64"/>
      <c r="P3909" s="64"/>
      <c r="Q3909" s="69"/>
      <c r="R3909" s="69"/>
      <c r="S3909" s="69"/>
    </row>
    <row r="3910" s="2" customFormat="1" ht="24.95" customHeight="1" spans="1:19">
      <c r="A3910" s="15"/>
      <c r="B3910" s="55"/>
      <c r="C3910" s="56"/>
      <c r="D3910" s="68"/>
      <c r="E3910" s="69"/>
      <c r="F3910" s="69"/>
      <c r="G3910" s="65"/>
      <c r="H3910" s="65"/>
      <c r="I3910" s="70"/>
      <c r="J3910" s="71"/>
      <c r="K3910" s="71"/>
      <c r="L3910" s="72" t="str">
        <f>IFERROR(IF(G3910="","",VLOOKUP($G3910,[1]基础信息!$B:$C,2,FALSE)+SUMIF(G$8:G3910,G3910,J$8:J3910)-SUMIF(G$8:G3910,G3910,K$8:K3910)+SUMIFS([1]内部转账!$G:$G,[1]内部转账!$C:$C,"&lt;="&amp;$D3910,[1]内部转账!$E:$E,$G3910)-SUMIFS([1]内部转账!$G:$G,[1]内部转账!$C:$C,"&lt;="&amp;$D3910,[1]内部转账!$F:$F,$G3910)),"")</f>
        <v/>
      </c>
      <c r="M3910" s="64"/>
      <c r="N3910" s="69"/>
      <c r="O3910" s="64"/>
      <c r="P3910" s="64"/>
      <c r="Q3910" s="69"/>
      <c r="R3910" s="69"/>
      <c r="S3910" s="69"/>
    </row>
    <row r="3911" s="2" customFormat="1" ht="24.95" customHeight="1" spans="1:19">
      <c r="A3911" s="15"/>
      <c r="B3911" s="55"/>
      <c r="C3911" s="56"/>
      <c r="D3911" s="68"/>
      <c r="E3911" s="69"/>
      <c r="F3911" s="69"/>
      <c r="G3911" s="65"/>
      <c r="H3911" s="65"/>
      <c r="I3911" s="70"/>
      <c r="J3911" s="71"/>
      <c r="K3911" s="71"/>
      <c r="L3911" s="72" t="str">
        <f>IFERROR(IF(G3911="","",VLOOKUP($G3911,[1]基础信息!$B:$C,2,FALSE)+SUMIF(G$8:G3911,G3911,J$8:J3911)-SUMIF(G$8:G3911,G3911,K$8:K3911)+SUMIFS([1]内部转账!$G:$G,[1]内部转账!$C:$C,"&lt;="&amp;$D3911,[1]内部转账!$E:$E,$G3911)-SUMIFS([1]内部转账!$G:$G,[1]内部转账!$C:$C,"&lt;="&amp;$D3911,[1]内部转账!$F:$F,$G3911)),"")</f>
        <v/>
      </c>
      <c r="M3911" s="64"/>
      <c r="N3911" s="69"/>
      <c r="O3911" s="64"/>
      <c r="P3911" s="64"/>
      <c r="Q3911" s="69"/>
      <c r="R3911" s="69"/>
      <c r="S3911" s="69"/>
    </row>
    <row r="3912" s="2" customFormat="1" ht="24.95" customHeight="1" spans="1:19">
      <c r="A3912" s="15"/>
      <c r="B3912" s="55"/>
      <c r="C3912" s="56"/>
      <c r="D3912" s="68"/>
      <c r="E3912" s="69"/>
      <c r="F3912" s="69"/>
      <c r="G3912" s="65"/>
      <c r="H3912" s="65"/>
      <c r="I3912" s="70"/>
      <c r="J3912" s="71"/>
      <c r="K3912" s="71"/>
      <c r="L3912" s="72" t="str">
        <f>IFERROR(IF(G3912="","",VLOOKUP($G3912,[1]基础信息!$B:$C,2,FALSE)+SUMIF(G$8:G3912,G3912,J$8:J3912)-SUMIF(G$8:G3912,G3912,K$8:K3912)+SUMIFS([1]内部转账!$G:$G,[1]内部转账!$C:$C,"&lt;="&amp;$D3912,[1]内部转账!$E:$E,$G3912)-SUMIFS([1]内部转账!$G:$G,[1]内部转账!$C:$C,"&lt;="&amp;$D3912,[1]内部转账!$F:$F,$G3912)),"")</f>
        <v/>
      </c>
      <c r="M3912" s="64"/>
      <c r="N3912" s="69"/>
      <c r="O3912" s="64"/>
      <c r="P3912" s="64"/>
      <c r="Q3912" s="69"/>
      <c r="R3912" s="69"/>
      <c r="S3912" s="69"/>
    </row>
    <row r="3913" s="2" customFormat="1" ht="24.95" customHeight="1" spans="1:19">
      <c r="A3913" s="15"/>
      <c r="B3913" s="55"/>
      <c r="C3913" s="56"/>
      <c r="D3913" s="68"/>
      <c r="E3913" s="69"/>
      <c r="F3913" s="69"/>
      <c r="G3913" s="65"/>
      <c r="H3913" s="65"/>
      <c r="I3913" s="70"/>
      <c r="J3913" s="71"/>
      <c r="K3913" s="71"/>
      <c r="L3913" s="72" t="str">
        <f>IFERROR(IF(G3913="","",VLOOKUP($G3913,[1]基础信息!$B:$C,2,FALSE)+SUMIF(G$8:G3913,G3913,J$8:J3913)-SUMIF(G$8:G3913,G3913,K$8:K3913)+SUMIFS([1]内部转账!$G:$G,[1]内部转账!$C:$C,"&lt;="&amp;$D3913,[1]内部转账!$E:$E,$G3913)-SUMIFS([1]内部转账!$G:$G,[1]内部转账!$C:$C,"&lt;="&amp;$D3913,[1]内部转账!$F:$F,$G3913)),"")</f>
        <v/>
      </c>
      <c r="M3913" s="64"/>
      <c r="N3913" s="69"/>
      <c r="O3913" s="64"/>
      <c r="P3913" s="64"/>
      <c r="Q3913" s="69"/>
      <c r="R3913" s="69"/>
      <c r="S3913" s="69"/>
    </row>
    <row r="3914" s="2" customFormat="1" ht="24.95" customHeight="1" spans="1:19">
      <c r="A3914" s="15"/>
      <c r="B3914" s="55"/>
      <c r="C3914" s="56"/>
      <c r="D3914" s="68"/>
      <c r="E3914" s="69"/>
      <c r="F3914" s="69"/>
      <c r="G3914" s="65"/>
      <c r="H3914" s="65"/>
      <c r="I3914" s="70"/>
      <c r="J3914" s="71"/>
      <c r="K3914" s="71"/>
      <c r="L3914" s="72" t="str">
        <f>IFERROR(IF(G3914="","",VLOOKUP($G3914,[1]基础信息!$B:$C,2,FALSE)+SUMIF(G$8:G3914,G3914,J$8:J3914)-SUMIF(G$8:G3914,G3914,K$8:K3914)+SUMIFS([1]内部转账!$G:$G,[1]内部转账!$C:$C,"&lt;="&amp;$D3914,[1]内部转账!$E:$E,$G3914)-SUMIFS([1]内部转账!$G:$G,[1]内部转账!$C:$C,"&lt;="&amp;$D3914,[1]内部转账!$F:$F,$G3914)),"")</f>
        <v/>
      </c>
      <c r="M3914" s="64"/>
      <c r="N3914" s="69"/>
      <c r="O3914" s="64"/>
      <c r="P3914" s="64"/>
      <c r="Q3914" s="69"/>
      <c r="R3914" s="69"/>
      <c r="S3914" s="69"/>
    </row>
    <row r="3915" s="2" customFormat="1" ht="24.95" customHeight="1" spans="1:19">
      <c r="A3915" s="15"/>
      <c r="B3915" s="55"/>
      <c r="C3915" s="56"/>
      <c r="D3915" s="68"/>
      <c r="E3915" s="69"/>
      <c r="F3915" s="69"/>
      <c r="G3915" s="65"/>
      <c r="H3915" s="65"/>
      <c r="I3915" s="70"/>
      <c r="J3915" s="71"/>
      <c r="K3915" s="71"/>
      <c r="L3915" s="72" t="str">
        <f>IFERROR(IF(G3915="","",VLOOKUP($G3915,[1]基础信息!$B:$C,2,FALSE)+SUMIF(G$8:G3915,G3915,J$8:J3915)-SUMIF(G$8:G3915,G3915,K$8:K3915)+SUMIFS([1]内部转账!$G:$G,[1]内部转账!$C:$C,"&lt;="&amp;$D3915,[1]内部转账!$E:$E,$G3915)-SUMIFS([1]内部转账!$G:$G,[1]内部转账!$C:$C,"&lt;="&amp;$D3915,[1]内部转账!$F:$F,$G3915)),"")</f>
        <v/>
      </c>
      <c r="M3915" s="64"/>
      <c r="N3915" s="69"/>
      <c r="O3915" s="64"/>
      <c r="P3915" s="64"/>
      <c r="Q3915" s="69"/>
      <c r="R3915" s="69"/>
      <c r="S3915" s="69"/>
    </row>
    <row r="3916" s="2" customFormat="1" ht="24.95" customHeight="1" spans="1:19">
      <c r="A3916" s="15"/>
      <c r="B3916" s="55"/>
      <c r="C3916" s="56"/>
      <c r="D3916" s="68"/>
      <c r="E3916" s="69"/>
      <c r="F3916" s="69"/>
      <c r="G3916" s="65"/>
      <c r="H3916" s="65"/>
      <c r="I3916" s="70"/>
      <c r="J3916" s="71"/>
      <c r="K3916" s="71"/>
      <c r="L3916" s="72" t="str">
        <f>IFERROR(IF(G3916="","",VLOOKUP($G3916,[1]基础信息!$B:$C,2,FALSE)+SUMIF(G$8:G3916,G3916,J$8:J3916)-SUMIF(G$8:G3916,G3916,K$8:K3916)+SUMIFS([1]内部转账!$G:$G,[1]内部转账!$C:$C,"&lt;="&amp;$D3916,[1]内部转账!$E:$E,$G3916)-SUMIFS([1]内部转账!$G:$G,[1]内部转账!$C:$C,"&lt;="&amp;$D3916,[1]内部转账!$F:$F,$G3916)),"")</f>
        <v/>
      </c>
      <c r="M3916" s="64"/>
      <c r="N3916" s="69"/>
      <c r="O3916" s="64"/>
      <c r="P3916" s="64"/>
      <c r="Q3916" s="69"/>
      <c r="R3916" s="69"/>
      <c r="S3916" s="69"/>
    </row>
    <row r="3917" s="2" customFormat="1" ht="24.95" customHeight="1" spans="1:19">
      <c r="A3917" s="15"/>
      <c r="B3917" s="55"/>
      <c r="C3917" s="56"/>
      <c r="D3917" s="68"/>
      <c r="E3917" s="69"/>
      <c r="F3917" s="69"/>
      <c r="G3917" s="65"/>
      <c r="H3917" s="65"/>
      <c r="I3917" s="70"/>
      <c r="J3917" s="71"/>
      <c r="K3917" s="71"/>
      <c r="L3917" s="72" t="str">
        <f>IFERROR(IF(G3917="","",VLOOKUP($G3917,[1]基础信息!$B:$C,2,FALSE)+SUMIF(G$8:G3917,G3917,J$8:J3917)-SUMIF(G$8:G3917,G3917,K$8:K3917)+SUMIFS([1]内部转账!$G:$G,[1]内部转账!$C:$C,"&lt;="&amp;$D3917,[1]内部转账!$E:$E,$G3917)-SUMIFS([1]内部转账!$G:$G,[1]内部转账!$C:$C,"&lt;="&amp;$D3917,[1]内部转账!$F:$F,$G3917)),"")</f>
        <v/>
      </c>
      <c r="M3917" s="64"/>
      <c r="N3917" s="69"/>
      <c r="O3917" s="64"/>
      <c r="P3917" s="64"/>
      <c r="Q3917" s="69"/>
      <c r="R3917" s="69"/>
      <c r="S3917" s="69"/>
    </row>
    <row r="3918" s="2" customFormat="1" ht="24.95" customHeight="1" spans="1:19">
      <c r="A3918" s="15"/>
      <c r="B3918" s="55"/>
      <c r="C3918" s="56"/>
      <c r="D3918" s="68"/>
      <c r="E3918" s="69"/>
      <c r="F3918" s="69"/>
      <c r="G3918" s="65"/>
      <c r="H3918" s="65"/>
      <c r="I3918" s="70"/>
      <c r="J3918" s="71"/>
      <c r="K3918" s="71"/>
      <c r="L3918" s="72" t="str">
        <f>IFERROR(IF(G3918="","",VLOOKUP($G3918,[1]基础信息!$B:$C,2,FALSE)+SUMIF(G$8:G3918,G3918,J$8:J3918)-SUMIF(G$8:G3918,G3918,K$8:K3918)+SUMIFS([1]内部转账!$G:$G,[1]内部转账!$C:$C,"&lt;="&amp;$D3918,[1]内部转账!$E:$E,$G3918)-SUMIFS([1]内部转账!$G:$G,[1]内部转账!$C:$C,"&lt;="&amp;$D3918,[1]内部转账!$F:$F,$G3918)),"")</f>
        <v/>
      </c>
      <c r="M3918" s="64"/>
      <c r="N3918" s="69"/>
      <c r="O3918" s="64"/>
      <c r="P3918" s="64"/>
      <c r="Q3918" s="69"/>
      <c r="R3918" s="69"/>
      <c r="S3918" s="69"/>
    </row>
    <row r="3919" s="2" customFormat="1" ht="24.95" customHeight="1" spans="1:19">
      <c r="A3919" s="15"/>
      <c r="B3919" s="55"/>
      <c r="C3919" s="56"/>
      <c r="D3919" s="68"/>
      <c r="E3919" s="69"/>
      <c r="F3919" s="69"/>
      <c r="G3919" s="65"/>
      <c r="H3919" s="65"/>
      <c r="I3919" s="70"/>
      <c r="J3919" s="71"/>
      <c r="K3919" s="71"/>
      <c r="L3919" s="72" t="str">
        <f>IFERROR(IF(G3919="","",VLOOKUP($G3919,[1]基础信息!$B:$C,2,FALSE)+SUMIF(G$8:G3919,G3919,J$8:J3919)-SUMIF(G$8:G3919,G3919,K$8:K3919)+SUMIFS([1]内部转账!$G:$G,[1]内部转账!$C:$C,"&lt;="&amp;$D3919,[1]内部转账!$E:$E,$G3919)-SUMIFS([1]内部转账!$G:$G,[1]内部转账!$C:$C,"&lt;="&amp;$D3919,[1]内部转账!$F:$F,$G3919)),"")</f>
        <v/>
      </c>
      <c r="M3919" s="64"/>
      <c r="N3919" s="69"/>
      <c r="O3919" s="64"/>
      <c r="P3919" s="64"/>
      <c r="Q3919" s="69"/>
      <c r="R3919" s="69"/>
      <c r="S3919" s="69"/>
    </row>
    <row r="3920" s="2" customFormat="1" ht="24.95" customHeight="1" spans="1:19">
      <c r="A3920" s="15"/>
      <c r="B3920" s="55"/>
      <c r="C3920" s="56"/>
      <c r="D3920" s="68"/>
      <c r="E3920" s="69"/>
      <c r="F3920" s="69"/>
      <c r="G3920" s="65"/>
      <c r="H3920" s="65"/>
      <c r="I3920" s="70"/>
      <c r="J3920" s="71"/>
      <c r="K3920" s="71"/>
      <c r="L3920" s="72" t="str">
        <f>IFERROR(IF(G3920="","",VLOOKUP($G3920,[1]基础信息!$B:$C,2,FALSE)+SUMIF(G$8:G3920,G3920,J$8:J3920)-SUMIF(G$8:G3920,G3920,K$8:K3920)+SUMIFS([1]内部转账!$G:$G,[1]内部转账!$C:$C,"&lt;="&amp;$D3920,[1]内部转账!$E:$E,$G3920)-SUMIFS([1]内部转账!$G:$G,[1]内部转账!$C:$C,"&lt;="&amp;$D3920,[1]内部转账!$F:$F,$G3920)),"")</f>
        <v/>
      </c>
      <c r="M3920" s="64"/>
      <c r="N3920" s="69"/>
      <c r="O3920" s="64"/>
      <c r="P3920" s="64"/>
      <c r="Q3920" s="69"/>
      <c r="R3920" s="69"/>
      <c r="S3920" s="69"/>
    </row>
    <row r="3921" s="2" customFormat="1" ht="24.95" customHeight="1" spans="1:19">
      <c r="A3921" s="15"/>
      <c r="B3921" s="55"/>
      <c r="C3921" s="56"/>
      <c r="D3921" s="68"/>
      <c r="E3921" s="69"/>
      <c r="F3921" s="69"/>
      <c r="G3921" s="65"/>
      <c r="H3921" s="65"/>
      <c r="I3921" s="70"/>
      <c r="J3921" s="71"/>
      <c r="K3921" s="71"/>
      <c r="L3921" s="72" t="str">
        <f>IFERROR(IF(G3921="","",VLOOKUP($G3921,[1]基础信息!$B:$C,2,FALSE)+SUMIF(G$8:G3921,G3921,J$8:J3921)-SUMIF(G$8:G3921,G3921,K$8:K3921)+SUMIFS([1]内部转账!$G:$G,[1]内部转账!$C:$C,"&lt;="&amp;$D3921,[1]内部转账!$E:$E,$G3921)-SUMIFS([1]内部转账!$G:$G,[1]内部转账!$C:$C,"&lt;="&amp;$D3921,[1]内部转账!$F:$F,$G3921)),"")</f>
        <v/>
      </c>
      <c r="M3921" s="64"/>
      <c r="N3921" s="69"/>
      <c r="O3921" s="64"/>
      <c r="P3921" s="64"/>
      <c r="Q3921" s="69"/>
      <c r="R3921" s="69"/>
      <c r="S3921" s="69"/>
    </row>
    <row r="3922" s="2" customFormat="1" ht="24.95" customHeight="1" spans="1:19">
      <c r="A3922" s="15"/>
      <c r="B3922" s="55"/>
      <c r="C3922" s="56"/>
      <c r="D3922" s="68"/>
      <c r="E3922" s="69"/>
      <c r="F3922" s="69"/>
      <c r="G3922" s="65"/>
      <c r="H3922" s="65"/>
      <c r="I3922" s="70"/>
      <c r="J3922" s="71"/>
      <c r="K3922" s="71"/>
      <c r="L3922" s="72" t="str">
        <f>IFERROR(IF(G3922="","",VLOOKUP($G3922,[1]基础信息!$B:$C,2,FALSE)+SUMIF(G$8:G3922,G3922,J$8:J3922)-SUMIF(G$8:G3922,G3922,K$8:K3922)+SUMIFS([1]内部转账!$G:$G,[1]内部转账!$C:$C,"&lt;="&amp;$D3922,[1]内部转账!$E:$E,$G3922)-SUMIFS([1]内部转账!$G:$G,[1]内部转账!$C:$C,"&lt;="&amp;$D3922,[1]内部转账!$F:$F,$G3922)),"")</f>
        <v/>
      </c>
      <c r="M3922" s="64"/>
      <c r="N3922" s="69"/>
      <c r="O3922" s="64"/>
      <c r="P3922" s="64"/>
      <c r="Q3922" s="69"/>
      <c r="R3922" s="69"/>
      <c r="S3922" s="69"/>
    </row>
    <row r="3923" s="2" customFormat="1" ht="24.95" customHeight="1" spans="1:19">
      <c r="A3923" s="15"/>
      <c r="B3923" s="55"/>
      <c r="C3923" s="56"/>
      <c r="D3923" s="68"/>
      <c r="E3923" s="69"/>
      <c r="F3923" s="69"/>
      <c r="G3923" s="65"/>
      <c r="H3923" s="65"/>
      <c r="I3923" s="70"/>
      <c r="J3923" s="71"/>
      <c r="K3923" s="71"/>
      <c r="L3923" s="72" t="str">
        <f>IFERROR(IF(G3923="","",VLOOKUP($G3923,[1]基础信息!$B:$C,2,FALSE)+SUMIF(G$8:G3923,G3923,J$8:J3923)-SUMIF(G$8:G3923,G3923,K$8:K3923)+SUMIFS([1]内部转账!$G:$G,[1]内部转账!$C:$C,"&lt;="&amp;$D3923,[1]内部转账!$E:$E,$G3923)-SUMIFS([1]内部转账!$G:$G,[1]内部转账!$C:$C,"&lt;="&amp;$D3923,[1]内部转账!$F:$F,$G3923)),"")</f>
        <v/>
      </c>
      <c r="M3923" s="64"/>
      <c r="N3923" s="69"/>
      <c r="O3923" s="64"/>
      <c r="P3923" s="64"/>
      <c r="Q3923" s="69"/>
      <c r="R3923" s="69"/>
      <c r="S3923" s="69"/>
    </row>
    <row r="3924" s="2" customFormat="1" ht="24.95" customHeight="1" spans="1:19">
      <c r="A3924" s="15"/>
      <c r="B3924" s="55"/>
      <c r="C3924" s="56"/>
      <c r="D3924" s="68"/>
      <c r="E3924" s="69"/>
      <c r="F3924" s="69"/>
      <c r="G3924" s="65"/>
      <c r="H3924" s="65"/>
      <c r="I3924" s="70"/>
      <c r="J3924" s="71"/>
      <c r="K3924" s="71"/>
      <c r="L3924" s="72" t="str">
        <f>IFERROR(IF(G3924="","",VLOOKUP($G3924,[1]基础信息!$B:$C,2,FALSE)+SUMIF(G$8:G3924,G3924,J$8:J3924)-SUMIF(G$8:G3924,G3924,K$8:K3924)+SUMIFS([1]内部转账!$G:$G,[1]内部转账!$C:$C,"&lt;="&amp;$D3924,[1]内部转账!$E:$E,$G3924)-SUMIFS([1]内部转账!$G:$G,[1]内部转账!$C:$C,"&lt;="&amp;$D3924,[1]内部转账!$F:$F,$G3924)),"")</f>
        <v/>
      </c>
      <c r="M3924" s="64"/>
      <c r="N3924" s="69"/>
      <c r="O3924" s="64"/>
      <c r="P3924" s="64"/>
      <c r="Q3924" s="69"/>
      <c r="R3924" s="69"/>
      <c r="S3924" s="69"/>
    </row>
    <row r="3925" s="2" customFormat="1" ht="24.95" customHeight="1" spans="1:19">
      <c r="A3925" s="15"/>
      <c r="B3925" s="55"/>
      <c r="C3925" s="56"/>
      <c r="D3925" s="68"/>
      <c r="E3925" s="69"/>
      <c r="F3925" s="69"/>
      <c r="G3925" s="65"/>
      <c r="H3925" s="65"/>
      <c r="I3925" s="70"/>
      <c r="J3925" s="71"/>
      <c r="K3925" s="71"/>
      <c r="L3925" s="72" t="str">
        <f>IFERROR(IF(G3925="","",VLOOKUP($G3925,[1]基础信息!$B:$C,2,FALSE)+SUMIF(G$8:G3925,G3925,J$8:J3925)-SUMIF(G$8:G3925,G3925,K$8:K3925)+SUMIFS([1]内部转账!$G:$G,[1]内部转账!$C:$C,"&lt;="&amp;$D3925,[1]内部转账!$E:$E,$G3925)-SUMIFS([1]内部转账!$G:$G,[1]内部转账!$C:$C,"&lt;="&amp;$D3925,[1]内部转账!$F:$F,$G3925)),"")</f>
        <v/>
      </c>
      <c r="M3925" s="64"/>
      <c r="N3925" s="69"/>
      <c r="O3925" s="64"/>
      <c r="P3925" s="64"/>
      <c r="Q3925" s="69"/>
      <c r="R3925" s="69"/>
      <c r="S3925" s="69"/>
    </row>
    <row r="3926" s="2" customFormat="1" ht="24.95" customHeight="1" spans="1:19">
      <c r="A3926" s="15"/>
      <c r="B3926" s="55"/>
      <c r="C3926" s="56"/>
      <c r="D3926" s="68"/>
      <c r="E3926" s="69"/>
      <c r="F3926" s="69"/>
      <c r="G3926" s="65"/>
      <c r="H3926" s="65"/>
      <c r="I3926" s="70"/>
      <c r="J3926" s="71"/>
      <c r="K3926" s="71"/>
      <c r="L3926" s="72" t="str">
        <f>IFERROR(IF(G3926="","",VLOOKUP($G3926,[1]基础信息!$B:$C,2,FALSE)+SUMIF(G$8:G3926,G3926,J$8:J3926)-SUMIF(G$8:G3926,G3926,K$8:K3926)+SUMIFS([1]内部转账!$G:$G,[1]内部转账!$C:$C,"&lt;="&amp;$D3926,[1]内部转账!$E:$E,$G3926)-SUMIFS([1]内部转账!$G:$G,[1]内部转账!$C:$C,"&lt;="&amp;$D3926,[1]内部转账!$F:$F,$G3926)),"")</f>
        <v/>
      </c>
      <c r="M3926" s="64"/>
      <c r="N3926" s="69"/>
      <c r="O3926" s="64"/>
      <c r="P3926" s="64"/>
      <c r="Q3926" s="69"/>
      <c r="R3926" s="69"/>
      <c r="S3926" s="69"/>
    </row>
    <row r="3927" s="2" customFormat="1" ht="24.95" customHeight="1" spans="1:19">
      <c r="A3927" s="15"/>
      <c r="B3927" s="55"/>
      <c r="C3927" s="56"/>
      <c r="D3927" s="68"/>
      <c r="E3927" s="69"/>
      <c r="F3927" s="69"/>
      <c r="G3927" s="65"/>
      <c r="H3927" s="65"/>
      <c r="I3927" s="70"/>
      <c r="J3927" s="71"/>
      <c r="K3927" s="71"/>
      <c r="L3927" s="72" t="str">
        <f>IFERROR(IF(G3927="","",VLOOKUP($G3927,[1]基础信息!$B:$C,2,FALSE)+SUMIF(G$8:G3927,G3927,J$8:J3927)-SUMIF(G$8:G3927,G3927,K$8:K3927)+SUMIFS([1]内部转账!$G:$G,[1]内部转账!$C:$C,"&lt;="&amp;$D3927,[1]内部转账!$E:$E,$G3927)-SUMIFS([1]内部转账!$G:$G,[1]内部转账!$C:$C,"&lt;="&amp;$D3927,[1]内部转账!$F:$F,$G3927)),"")</f>
        <v/>
      </c>
      <c r="M3927" s="64"/>
      <c r="N3927" s="69"/>
      <c r="O3927" s="64"/>
      <c r="P3927" s="64"/>
      <c r="Q3927" s="69"/>
      <c r="R3927" s="69"/>
      <c r="S3927" s="69"/>
    </row>
    <row r="3928" s="2" customFormat="1" ht="24.95" customHeight="1" spans="1:19">
      <c r="A3928" s="15"/>
      <c r="B3928" s="55"/>
      <c r="C3928" s="56"/>
      <c r="D3928" s="68"/>
      <c r="E3928" s="69"/>
      <c r="F3928" s="69"/>
      <c r="G3928" s="65"/>
      <c r="H3928" s="65"/>
      <c r="I3928" s="70"/>
      <c r="J3928" s="71"/>
      <c r="K3928" s="71"/>
      <c r="L3928" s="72" t="str">
        <f>IFERROR(IF(G3928="","",VLOOKUP($G3928,[1]基础信息!$B:$C,2,FALSE)+SUMIF(G$8:G3928,G3928,J$8:J3928)-SUMIF(G$8:G3928,G3928,K$8:K3928)+SUMIFS([1]内部转账!$G:$G,[1]内部转账!$C:$C,"&lt;="&amp;$D3928,[1]内部转账!$E:$E,$G3928)-SUMIFS([1]内部转账!$G:$G,[1]内部转账!$C:$C,"&lt;="&amp;$D3928,[1]内部转账!$F:$F,$G3928)),"")</f>
        <v/>
      </c>
      <c r="M3928" s="64"/>
      <c r="N3928" s="69"/>
      <c r="O3928" s="64"/>
      <c r="P3928" s="64"/>
      <c r="Q3928" s="69"/>
      <c r="R3928" s="69"/>
      <c r="S3928" s="69"/>
    </row>
    <row r="3929" s="2" customFormat="1" ht="24.95" customHeight="1" spans="1:19">
      <c r="A3929" s="15"/>
      <c r="B3929" s="55"/>
      <c r="C3929" s="56"/>
      <c r="D3929" s="68"/>
      <c r="E3929" s="69"/>
      <c r="F3929" s="69"/>
      <c r="G3929" s="65"/>
      <c r="H3929" s="65"/>
      <c r="I3929" s="70"/>
      <c r="J3929" s="71"/>
      <c r="K3929" s="71"/>
      <c r="L3929" s="72" t="str">
        <f>IFERROR(IF(G3929="","",VLOOKUP($G3929,[1]基础信息!$B:$C,2,FALSE)+SUMIF(G$8:G3929,G3929,J$8:J3929)-SUMIF(G$8:G3929,G3929,K$8:K3929)+SUMIFS([1]内部转账!$G:$G,[1]内部转账!$C:$C,"&lt;="&amp;$D3929,[1]内部转账!$E:$E,$G3929)-SUMIFS([1]内部转账!$G:$G,[1]内部转账!$C:$C,"&lt;="&amp;$D3929,[1]内部转账!$F:$F,$G3929)),"")</f>
        <v/>
      </c>
      <c r="M3929" s="64"/>
      <c r="N3929" s="69"/>
      <c r="O3929" s="64"/>
      <c r="P3929" s="64"/>
      <c r="Q3929" s="69"/>
      <c r="R3929" s="69"/>
      <c r="S3929" s="69"/>
    </row>
    <row r="3930" s="2" customFormat="1" ht="24.95" customHeight="1" spans="1:19">
      <c r="A3930" s="15"/>
      <c r="B3930" s="55"/>
      <c r="C3930" s="56"/>
      <c r="D3930" s="68"/>
      <c r="E3930" s="69"/>
      <c r="F3930" s="69"/>
      <c r="G3930" s="65"/>
      <c r="H3930" s="65"/>
      <c r="I3930" s="70"/>
      <c r="J3930" s="71"/>
      <c r="K3930" s="71"/>
      <c r="L3930" s="72" t="str">
        <f>IFERROR(IF(G3930="","",VLOOKUP($G3930,[1]基础信息!$B:$C,2,FALSE)+SUMIF(G$8:G3930,G3930,J$8:J3930)-SUMIF(G$8:G3930,G3930,K$8:K3930)+SUMIFS([1]内部转账!$G:$G,[1]内部转账!$C:$C,"&lt;="&amp;$D3930,[1]内部转账!$E:$E,$G3930)-SUMIFS([1]内部转账!$G:$G,[1]内部转账!$C:$C,"&lt;="&amp;$D3930,[1]内部转账!$F:$F,$G3930)),"")</f>
        <v/>
      </c>
      <c r="M3930" s="64"/>
      <c r="N3930" s="69"/>
      <c r="O3930" s="64"/>
      <c r="P3930" s="64"/>
      <c r="Q3930" s="69"/>
      <c r="R3930" s="69"/>
      <c r="S3930" s="69"/>
    </row>
    <row r="3931" s="2" customFormat="1" ht="24.95" customHeight="1" spans="1:19">
      <c r="A3931" s="15"/>
      <c r="B3931" s="55"/>
      <c r="C3931" s="56"/>
      <c r="D3931" s="68"/>
      <c r="E3931" s="69"/>
      <c r="F3931" s="69"/>
      <c r="G3931" s="65"/>
      <c r="H3931" s="65"/>
      <c r="I3931" s="70"/>
      <c r="J3931" s="71"/>
      <c r="K3931" s="71"/>
      <c r="L3931" s="72" t="str">
        <f>IFERROR(IF(G3931="","",VLOOKUP($G3931,[1]基础信息!$B:$C,2,FALSE)+SUMIF(G$8:G3931,G3931,J$8:J3931)-SUMIF(G$8:G3931,G3931,K$8:K3931)+SUMIFS([1]内部转账!$G:$G,[1]内部转账!$C:$C,"&lt;="&amp;$D3931,[1]内部转账!$E:$E,$G3931)-SUMIFS([1]内部转账!$G:$G,[1]内部转账!$C:$C,"&lt;="&amp;$D3931,[1]内部转账!$F:$F,$G3931)),"")</f>
        <v/>
      </c>
      <c r="M3931" s="64"/>
      <c r="N3931" s="69"/>
      <c r="O3931" s="64"/>
      <c r="P3931" s="64"/>
      <c r="Q3931" s="69"/>
      <c r="R3931" s="69"/>
      <c r="S3931" s="69"/>
    </row>
    <row r="3932" s="2" customFormat="1" ht="24.95" customHeight="1" spans="1:19">
      <c r="A3932" s="15"/>
      <c r="B3932" s="55"/>
      <c r="C3932" s="56"/>
      <c r="D3932" s="68"/>
      <c r="E3932" s="69"/>
      <c r="F3932" s="69"/>
      <c r="G3932" s="65"/>
      <c r="H3932" s="65"/>
      <c r="I3932" s="70"/>
      <c r="J3932" s="71"/>
      <c r="K3932" s="71"/>
      <c r="L3932" s="72" t="str">
        <f>IFERROR(IF(G3932="","",VLOOKUP($G3932,[1]基础信息!$B:$C,2,FALSE)+SUMIF(G$8:G3932,G3932,J$8:J3932)-SUMIF(G$8:G3932,G3932,K$8:K3932)+SUMIFS([1]内部转账!$G:$G,[1]内部转账!$C:$C,"&lt;="&amp;$D3932,[1]内部转账!$E:$E,$G3932)-SUMIFS([1]内部转账!$G:$G,[1]内部转账!$C:$C,"&lt;="&amp;$D3932,[1]内部转账!$F:$F,$G3932)),"")</f>
        <v/>
      </c>
      <c r="M3932" s="64"/>
      <c r="N3932" s="69"/>
      <c r="O3932" s="64"/>
      <c r="P3932" s="64"/>
      <c r="Q3932" s="69"/>
      <c r="R3932" s="69"/>
      <c r="S3932" s="69"/>
    </row>
    <row r="3933" s="2" customFormat="1" ht="24.95" customHeight="1" spans="1:19">
      <c r="A3933" s="15"/>
      <c r="B3933" s="55"/>
      <c r="C3933" s="56"/>
      <c r="D3933" s="68"/>
      <c r="E3933" s="69"/>
      <c r="F3933" s="69"/>
      <c r="G3933" s="65"/>
      <c r="H3933" s="65"/>
      <c r="I3933" s="70"/>
      <c r="J3933" s="71"/>
      <c r="K3933" s="71"/>
      <c r="L3933" s="72" t="str">
        <f>IFERROR(IF(G3933="","",VLOOKUP($G3933,[1]基础信息!$B:$C,2,FALSE)+SUMIF(G$8:G3933,G3933,J$8:J3933)-SUMIF(G$8:G3933,G3933,K$8:K3933)+SUMIFS([1]内部转账!$G:$G,[1]内部转账!$C:$C,"&lt;="&amp;$D3933,[1]内部转账!$E:$E,$G3933)-SUMIFS([1]内部转账!$G:$G,[1]内部转账!$C:$C,"&lt;="&amp;$D3933,[1]内部转账!$F:$F,$G3933)),"")</f>
        <v/>
      </c>
      <c r="M3933" s="64"/>
      <c r="N3933" s="69"/>
      <c r="O3933" s="64"/>
      <c r="P3933" s="64"/>
      <c r="Q3933" s="69"/>
      <c r="R3933" s="69"/>
      <c r="S3933" s="69"/>
    </row>
    <row r="3934" s="2" customFormat="1" ht="24.95" customHeight="1" spans="1:19">
      <c r="A3934" s="15"/>
      <c r="B3934" s="55"/>
      <c r="C3934" s="56"/>
      <c r="D3934" s="68"/>
      <c r="E3934" s="69"/>
      <c r="F3934" s="69"/>
      <c r="G3934" s="65"/>
      <c r="H3934" s="65"/>
      <c r="I3934" s="70"/>
      <c r="J3934" s="71"/>
      <c r="K3934" s="71"/>
      <c r="L3934" s="72" t="str">
        <f>IFERROR(IF(G3934="","",VLOOKUP($G3934,[1]基础信息!$B:$C,2,FALSE)+SUMIF(G$8:G3934,G3934,J$8:J3934)-SUMIF(G$8:G3934,G3934,K$8:K3934)+SUMIFS([1]内部转账!$G:$G,[1]内部转账!$C:$C,"&lt;="&amp;$D3934,[1]内部转账!$E:$E,$G3934)-SUMIFS([1]内部转账!$G:$G,[1]内部转账!$C:$C,"&lt;="&amp;$D3934,[1]内部转账!$F:$F,$G3934)),"")</f>
        <v/>
      </c>
      <c r="M3934" s="64"/>
      <c r="N3934" s="69"/>
      <c r="O3934" s="64"/>
      <c r="P3934" s="64"/>
      <c r="Q3934" s="69"/>
      <c r="R3934" s="69"/>
      <c r="S3934" s="69"/>
    </row>
    <row r="3935" s="2" customFormat="1" ht="24.95" customHeight="1" spans="1:19">
      <c r="A3935" s="15"/>
      <c r="B3935" s="55"/>
      <c r="C3935" s="56"/>
      <c r="D3935" s="68"/>
      <c r="E3935" s="69"/>
      <c r="F3935" s="69"/>
      <c r="G3935" s="65"/>
      <c r="H3935" s="65"/>
      <c r="I3935" s="70"/>
      <c r="J3935" s="71"/>
      <c r="K3935" s="71"/>
      <c r="L3935" s="72" t="str">
        <f>IFERROR(IF(G3935="","",VLOOKUP($G3935,[1]基础信息!$B:$C,2,FALSE)+SUMIF(G$8:G3935,G3935,J$8:J3935)-SUMIF(G$8:G3935,G3935,K$8:K3935)+SUMIFS([1]内部转账!$G:$G,[1]内部转账!$C:$C,"&lt;="&amp;$D3935,[1]内部转账!$E:$E,$G3935)-SUMIFS([1]内部转账!$G:$G,[1]内部转账!$C:$C,"&lt;="&amp;$D3935,[1]内部转账!$F:$F,$G3935)),"")</f>
        <v/>
      </c>
      <c r="M3935" s="64"/>
      <c r="N3935" s="69"/>
      <c r="O3935" s="64"/>
      <c r="P3935" s="64"/>
      <c r="Q3935" s="69"/>
      <c r="R3935" s="69"/>
      <c r="S3935" s="69"/>
    </row>
    <row r="3936" s="2" customFormat="1" ht="24.95" customHeight="1" spans="1:19">
      <c r="A3936" s="15"/>
      <c r="B3936" s="55"/>
      <c r="C3936" s="56"/>
      <c r="D3936" s="68"/>
      <c r="E3936" s="69"/>
      <c r="F3936" s="69"/>
      <c r="G3936" s="65"/>
      <c r="H3936" s="65"/>
      <c r="I3936" s="70"/>
      <c r="J3936" s="71"/>
      <c r="K3936" s="71"/>
      <c r="L3936" s="72" t="str">
        <f>IFERROR(IF(G3936="","",VLOOKUP($G3936,[1]基础信息!$B:$C,2,FALSE)+SUMIF(G$8:G3936,G3936,J$8:J3936)-SUMIF(G$8:G3936,G3936,K$8:K3936)+SUMIFS([1]内部转账!$G:$G,[1]内部转账!$C:$C,"&lt;="&amp;$D3936,[1]内部转账!$E:$E,$G3936)-SUMIFS([1]内部转账!$G:$G,[1]内部转账!$C:$C,"&lt;="&amp;$D3936,[1]内部转账!$F:$F,$G3936)),"")</f>
        <v/>
      </c>
      <c r="M3936" s="64"/>
      <c r="N3936" s="69"/>
      <c r="O3936" s="64"/>
      <c r="P3936" s="64"/>
      <c r="Q3936" s="69"/>
      <c r="R3936" s="69"/>
      <c r="S3936" s="69"/>
    </row>
    <row r="3937" s="2" customFormat="1" ht="24.95" customHeight="1" spans="1:19">
      <c r="A3937" s="15"/>
      <c r="B3937" s="55"/>
      <c r="C3937" s="56"/>
      <c r="D3937" s="68"/>
      <c r="E3937" s="69"/>
      <c r="F3937" s="69"/>
      <c r="G3937" s="65"/>
      <c r="H3937" s="65"/>
      <c r="I3937" s="70"/>
      <c r="J3937" s="71"/>
      <c r="K3937" s="71"/>
      <c r="L3937" s="72" t="str">
        <f>IFERROR(IF(G3937="","",VLOOKUP($G3937,[1]基础信息!$B:$C,2,FALSE)+SUMIF(G$8:G3937,G3937,J$8:J3937)-SUMIF(G$8:G3937,G3937,K$8:K3937)+SUMIFS([1]内部转账!$G:$G,[1]内部转账!$C:$C,"&lt;="&amp;$D3937,[1]内部转账!$E:$E,$G3937)-SUMIFS([1]内部转账!$G:$G,[1]内部转账!$C:$C,"&lt;="&amp;$D3937,[1]内部转账!$F:$F,$G3937)),"")</f>
        <v/>
      </c>
      <c r="M3937" s="64"/>
      <c r="N3937" s="69"/>
      <c r="O3937" s="64"/>
      <c r="P3937" s="64"/>
      <c r="Q3937" s="69"/>
      <c r="R3937" s="69"/>
      <c r="S3937" s="69"/>
    </row>
    <row r="3938" s="2" customFormat="1" ht="24.95" customHeight="1" spans="1:19">
      <c r="A3938" s="15"/>
      <c r="B3938" s="55"/>
      <c r="C3938" s="56"/>
      <c r="D3938" s="68"/>
      <c r="E3938" s="69"/>
      <c r="F3938" s="69"/>
      <c r="G3938" s="65"/>
      <c r="H3938" s="65"/>
      <c r="I3938" s="70"/>
      <c r="J3938" s="71"/>
      <c r="K3938" s="71"/>
      <c r="L3938" s="72" t="str">
        <f>IFERROR(IF(G3938="","",VLOOKUP($G3938,[1]基础信息!$B:$C,2,FALSE)+SUMIF(G$8:G3938,G3938,J$8:J3938)-SUMIF(G$8:G3938,G3938,K$8:K3938)+SUMIFS([1]内部转账!$G:$G,[1]内部转账!$C:$C,"&lt;="&amp;$D3938,[1]内部转账!$E:$E,$G3938)-SUMIFS([1]内部转账!$G:$G,[1]内部转账!$C:$C,"&lt;="&amp;$D3938,[1]内部转账!$F:$F,$G3938)),"")</f>
        <v/>
      </c>
      <c r="M3938" s="64"/>
      <c r="N3938" s="69"/>
      <c r="O3938" s="64"/>
      <c r="P3938" s="64"/>
      <c r="Q3938" s="69"/>
      <c r="R3938" s="69"/>
      <c r="S3938" s="69"/>
    </row>
    <row r="3939" s="2" customFormat="1" ht="24.95" customHeight="1" spans="1:19">
      <c r="A3939" s="15"/>
      <c r="B3939" s="55"/>
      <c r="C3939" s="56"/>
      <c r="D3939" s="68"/>
      <c r="E3939" s="69"/>
      <c r="F3939" s="69"/>
      <c r="G3939" s="65"/>
      <c r="H3939" s="65"/>
      <c r="I3939" s="70"/>
      <c r="J3939" s="71"/>
      <c r="K3939" s="71"/>
      <c r="L3939" s="72" t="str">
        <f>IFERROR(IF(G3939="","",VLOOKUP($G3939,[1]基础信息!$B:$C,2,FALSE)+SUMIF(G$8:G3939,G3939,J$8:J3939)-SUMIF(G$8:G3939,G3939,K$8:K3939)+SUMIFS([1]内部转账!$G:$G,[1]内部转账!$C:$C,"&lt;="&amp;$D3939,[1]内部转账!$E:$E,$G3939)-SUMIFS([1]内部转账!$G:$G,[1]内部转账!$C:$C,"&lt;="&amp;$D3939,[1]内部转账!$F:$F,$G3939)),"")</f>
        <v/>
      </c>
      <c r="M3939" s="64"/>
      <c r="N3939" s="69"/>
      <c r="O3939" s="64"/>
      <c r="P3939" s="64"/>
      <c r="Q3939" s="69"/>
      <c r="R3939" s="69"/>
      <c r="S3939" s="69"/>
    </row>
    <row r="3940" s="2" customFormat="1" ht="24.95" customHeight="1" spans="1:19">
      <c r="A3940" s="15"/>
      <c r="B3940" s="55"/>
      <c r="C3940" s="56"/>
      <c r="D3940" s="68"/>
      <c r="E3940" s="69"/>
      <c r="F3940" s="69"/>
      <c r="G3940" s="65"/>
      <c r="H3940" s="65"/>
      <c r="I3940" s="70"/>
      <c r="J3940" s="71"/>
      <c r="K3940" s="71"/>
      <c r="L3940" s="72" t="str">
        <f>IFERROR(IF(G3940="","",VLOOKUP($G3940,[1]基础信息!$B:$C,2,FALSE)+SUMIF(G$8:G3940,G3940,J$8:J3940)-SUMIF(G$8:G3940,G3940,K$8:K3940)+SUMIFS([1]内部转账!$G:$G,[1]内部转账!$C:$C,"&lt;="&amp;$D3940,[1]内部转账!$E:$E,$G3940)-SUMIFS([1]内部转账!$G:$G,[1]内部转账!$C:$C,"&lt;="&amp;$D3940,[1]内部转账!$F:$F,$G3940)),"")</f>
        <v/>
      </c>
      <c r="M3940" s="64"/>
      <c r="N3940" s="69"/>
      <c r="O3940" s="64"/>
      <c r="P3940" s="64"/>
      <c r="Q3940" s="69"/>
      <c r="R3940" s="69"/>
      <c r="S3940" s="69"/>
    </row>
    <row r="3941" s="2" customFormat="1" ht="24.95" customHeight="1" spans="1:19">
      <c r="A3941" s="15"/>
      <c r="B3941" s="55"/>
      <c r="C3941" s="56"/>
      <c r="D3941" s="68"/>
      <c r="E3941" s="69"/>
      <c r="F3941" s="69"/>
      <c r="G3941" s="65"/>
      <c r="H3941" s="65"/>
      <c r="I3941" s="70"/>
      <c r="J3941" s="71"/>
      <c r="K3941" s="71"/>
      <c r="L3941" s="72" t="str">
        <f>IFERROR(IF(G3941="","",VLOOKUP($G3941,[1]基础信息!$B:$C,2,FALSE)+SUMIF(G$8:G3941,G3941,J$8:J3941)-SUMIF(G$8:G3941,G3941,K$8:K3941)+SUMIFS([1]内部转账!$G:$G,[1]内部转账!$C:$C,"&lt;="&amp;$D3941,[1]内部转账!$E:$E,$G3941)-SUMIFS([1]内部转账!$G:$G,[1]内部转账!$C:$C,"&lt;="&amp;$D3941,[1]内部转账!$F:$F,$G3941)),"")</f>
        <v/>
      </c>
      <c r="M3941" s="64"/>
      <c r="N3941" s="69"/>
      <c r="O3941" s="64"/>
      <c r="P3941" s="64"/>
      <c r="Q3941" s="69"/>
      <c r="R3941" s="69"/>
      <c r="S3941" s="69"/>
    </row>
    <row r="3942" s="2" customFormat="1" ht="24.95" customHeight="1" spans="1:19">
      <c r="A3942" s="15"/>
      <c r="B3942" s="55"/>
      <c r="C3942" s="56"/>
      <c r="D3942" s="68"/>
      <c r="E3942" s="69"/>
      <c r="F3942" s="69"/>
      <c r="G3942" s="65"/>
      <c r="H3942" s="65"/>
      <c r="I3942" s="70"/>
      <c r="J3942" s="71"/>
      <c r="K3942" s="71"/>
      <c r="L3942" s="72" t="str">
        <f>IFERROR(IF(G3942="","",VLOOKUP($G3942,[1]基础信息!$B:$C,2,FALSE)+SUMIF(G$8:G3942,G3942,J$8:J3942)-SUMIF(G$8:G3942,G3942,K$8:K3942)+SUMIFS([1]内部转账!$G:$G,[1]内部转账!$C:$C,"&lt;="&amp;$D3942,[1]内部转账!$E:$E,$G3942)-SUMIFS([1]内部转账!$G:$G,[1]内部转账!$C:$C,"&lt;="&amp;$D3942,[1]内部转账!$F:$F,$G3942)),"")</f>
        <v/>
      </c>
      <c r="M3942" s="64"/>
      <c r="N3942" s="69"/>
      <c r="O3942" s="64"/>
      <c r="P3942" s="64"/>
      <c r="Q3942" s="69"/>
      <c r="R3942" s="69"/>
      <c r="S3942" s="69"/>
    </row>
    <row r="3943" s="2" customFormat="1" ht="24.95" customHeight="1" spans="1:19">
      <c r="A3943" s="15"/>
      <c r="B3943" s="55"/>
      <c r="C3943" s="56"/>
      <c r="D3943" s="68"/>
      <c r="E3943" s="69"/>
      <c r="F3943" s="69"/>
      <c r="G3943" s="65"/>
      <c r="H3943" s="65"/>
      <c r="I3943" s="70"/>
      <c r="J3943" s="71"/>
      <c r="K3943" s="71"/>
      <c r="L3943" s="72" t="str">
        <f>IFERROR(IF(G3943="","",VLOOKUP($G3943,[1]基础信息!$B:$C,2,FALSE)+SUMIF(G$8:G3943,G3943,J$8:J3943)-SUMIF(G$8:G3943,G3943,K$8:K3943)+SUMIFS([1]内部转账!$G:$G,[1]内部转账!$C:$C,"&lt;="&amp;$D3943,[1]内部转账!$E:$E,$G3943)-SUMIFS([1]内部转账!$G:$G,[1]内部转账!$C:$C,"&lt;="&amp;$D3943,[1]内部转账!$F:$F,$G3943)),"")</f>
        <v/>
      </c>
      <c r="M3943" s="64"/>
      <c r="N3943" s="69"/>
      <c r="O3943" s="64"/>
      <c r="P3943" s="64"/>
      <c r="Q3943" s="69"/>
      <c r="R3943" s="69"/>
      <c r="S3943" s="69"/>
    </row>
    <row r="3944" s="2" customFormat="1" ht="24.95" customHeight="1" spans="1:19">
      <c r="A3944" s="15"/>
      <c r="B3944" s="55"/>
      <c r="C3944" s="56"/>
      <c r="D3944" s="68"/>
      <c r="E3944" s="69"/>
      <c r="F3944" s="69"/>
      <c r="G3944" s="65"/>
      <c r="H3944" s="65"/>
      <c r="I3944" s="70"/>
      <c r="J3944" s="71"/>
      <c r="K3944" s="71"/>
      <c r="L3944" s="72" t="str">
        <f>IFERROR(IF(G3944="","",VLOOKUP($G3944,[1]基础信息!$B:$C,2,FALSE)+SUMIF(G$8:G3944,G3944,J$8:J3944)-SUMIF(G$8:G3944,G3944,K$8:K3944)+SUMIFS([1]内部转账!$G:$G,[1]内部转账!$C:$C,"&lt;="&amp;$D3944,[1]内部转账!$E:$E,$G3944)-SUMIFS([1]内部转账!$G:$G,[1]内部转账!$C:$C,"&lt;="&amp;$D3944,[1]内部转账!$F:$F,$G3944)),"")</f>
        <v/>
      </c>
      <c r="M3944" s="64"/>
      <c r="N3944" s="69"/>
      <c r="O3944" s="64"/>
      <c r="P3944" s="64"/>
      <c r="Q3944" s="69"/>
      <c r="R3944" s="69"/>
      <c r="S3944" s="69"/>
    </row>
    <row r="3945" s="2" customFormat="1" ht="24.95" customHeight="1" spans="1:19">
      <c r="A3945" s="15"/>
      <c r="B3945" s="55"/>
      <c r="C3945" s="56"/>
      <c r="D3945" s="68"/>
      <c r="E3945" s="69"/>
      <c r="F3945" s="69"/>
      <c r="G3945" s="65"/>
      <c r="H3945" s="65"/>
      <c r="I3945" s="70"/>
      <c r="J3945" s="71"/>
      <c r="K3945" s="71"/>
      <c r="L3945" s="72" t="str">
        <f>IFERROR(IF(G3945="","",VLOOKUP($G3945,[1]基础信息!$B:$C,2,FALSE)+SUMIF(G$8:G3945,G3945,J$8:J3945)-SUMIF(G$8:G3945,G3945,K$8:K3945)+SUMIFS([1]内部转账!$G:$G,[1]内部转账!$C:$C,"&lt;="&amp;$D3945,[1]内部转账!$E:$E,$G3945)-SUMIFS([1]内部转账!$G:$G,[1]内部转账!$C:$C,"&lt;="&amp;$D3945,[1]内部转账!$F:$F,$G3945)),"")</f>
        <v/>
      </c>
      <c r="M3945" s="64"/>
      <c r="N3945" s="69"/>
      <c r="O3945" s="64"/>
      <c r="P3945" s="64"/>
      <c r="Q3945" s="69"/>
      <c r="R3945" s="69"/>
      <c r="S3945" s="69"/>
    </row>
    <row r="3946" s="2" customFormat="1" ht="24.95" customHeight="1" spans="1:19">
      <c r="A3946" s="15"/>
      <c r="B3946" s="55"/>
      <c r="C3946" s="56"/>
      <c r="D3946" s="68"/>
      <c r="E3946" s="69"/>
      <c r="F3946" s="69"/>
      <c r="G3946" s="65"/>
      <c r="H3946" s="65"/>
      <c r="I3946" s="70"/>
      <c r="J3946" s="71"/>
      <c r="K3946" s="71"/>
      <c r="L3946" s="72" t="str">
        <f>IFERROR(IF(G3946="","",VLOOKUP($G3946,[1]基础信息!$B:$C,2,FALSE)+SUMIF(G$8:G3946,G3946,J$8:J3946)-SUMIF(G$8:G3946,G3946,K$8:K3946)+SUMIFS([1]内部转账!$G:$G,[1]内部转账!$C:$C,"&lt;="&amp;$D3946,[1]内部转账!$E:$E,$G3946)-SUMIFS([1]内部转账!$G:$G,[1]内部转账!$C:$C,"&lt;="&amp;$D3946,[1]内部转账!$F:$F,$G3946)),"")</f>
        <v/>
      </c>
      <c r="M3946" s="64"/>
      <c r="N3946" s="69"/>
      <c r="O3946" s="64"/>
      <c r="P3946" s="64"/>
      <c r="Q3946" s="69"/>
      <c r="R3946" s="69"/>
      <c r="S3946" s="69"/>
    </row>
    <row r="3947" s="2" customFormat="1" ht="24.95" customHeight="1" spans="1:19">
      <c r="A3947" s="15"/>
      <c r="B3947" s="55"/>
      <c r="C3947" s="56"/>
      <c r="D3947" s="68"/>
      <c r="E3947" s="69"/>
      <c r="F3947" s="69"/>
      <c r="G3947" s="65"/>
      <c r="H3947" s="65"/>
      <c r="I3947" s="70"/>
      <c r="J3947" s="71"/>
      <c r="K3947" s="71"/>
      <c r="L3947" s="72" t="str">
        <f>IFERROR(IF(G3947="","",VLOOKUP($G3947,[1]基础信息!$B:$C,2,FALSE)+SUMIF(G$8:G3947,G3947,J$8:J3947)-SUMIF(G$8:G3947,G3947,K$8:K3947)+SUMIFS([1]内部转账!$G:$G,[1]内部转账!$C:$C,"&lt;="&amp;$D3947,[1]内部转账!$E:$E,$G3947)-SUMIFS([1]内部转账!$G:$G,[1]内部转账!$C:$C,"&lt;="&amp;$D3947,[1]内部转账!$F:$F,$G3947)),"")</f>
        <v/>
      </c>
      <c r="M3947" s="64"/>
      <c r="N3947" s="69"/>
      <c r="O3947" s="64"/>
      <c r="P3947" s="64"/>
      <c r="Q3947" s="69"/>
      <c r="R3947" s="69"/>
      <c r="S3947" s="69"/>
    </row>
    <row r="3948" s="2" customFormat="1" ht="24.95" customHeight="1" spans="1:19">
      <c r="A3948" s="15"/>
      <c r="B3948" s="55"/>
      <c r="C3948" s="56"/>
      <c r="D3948" s="68"/>
      <c r="E3948" s="69"/>
      <c r="F3948" s="69"/>
      <c r="G3948" s="65"/>
      <c r="H3948" s="65"/>
      <c r="I3948" s="70"/>
      <c r="J3948" s="71"/>
      <c r="K3948" s="71"/>
      <c r="L3948" s="72" t="str">
        <f>IFERROR(IF(G3948="","",VLOOKUP($G3948,[1]基础信息!$B:$C,2,FALSE)+SUMIF(G$8:G3948,G3948,J$8:J3948)-SUMIF(G$8:G3948,G3948,K$8:K3948)+SUMIFS([1]内部转账!$G:$G,[1]内部转账!$C:$C,"&lt;="&amp;$D3948,[1]内部转账!$E:$E,$G3948)-SUMIFS([1]内部转账!$G:$G,[1]内部转账!$C:$C,"&lt;="&amp;$D3948,[1]内部转账!$F:$F,$G3948)),"")</f>
        <v/>
      </c>
      <c r="M3948" s="64"/>
      <c r="N3948" s="69"/>
      <c r="O3948" s="64"/>
      <c r="P3948" s="64"/>
      <c r="Q3948" s="69"/>
      <c r="R3948" s="69"/>
      <c r="S3948" s="69"/>
    </row>
    <row r="3949" s="2" customFormat="1" ht="24.95" customHeight="1" spans="1:19">
      <c r="A3949" s="15"/>
      <c r="B3949" s="55"/>
      <c r="C3949" s="56"/>
      <c r="D3949" s="68"/>
      <c r="E3949" s="69"/>
      <c r="F3949" s="69"/>
      <c r="G3949" s="65"/>
      <c r="H3949" s="65"/>
      <c r="I3949" s="70"/>
      <c r="J3949" s="71"/>
      <c r="K3949" s="71"/>
      <c r="L3949" s="72" t="str">
        <f>IFERROR(IF(G3949="","",VLOOKUP($G3949,[1]基础信息!$B:$C,2,FALSE)+SUMIF(G$8:G3949,G3949,J$8:J3949)-SUMIF(G$8:G3949,G3949,K$8:K3949)+SUMIFS([1]内部转账!$G:$G,[1]内部转账!$C:$C,"&lt;="&amp;$D3949,[1]内部转账!$E:$E,$G3949)-SUMIFS([1]内部转账!$G:$G,[1]内部转账!$C:$C,"&lt;="&amp;$D3949,[1]内部转账!$F:$F,$G3949)),"")</f>
        <v/>
      </c>
      <c r="M3949" s="64"/>
      <c r="N3949" s="69"/>
      <c r="O3949" s="64"/>
      <c r="P3949" s="64"/>
      <c r="Q3949" s="69"/>
      <c r="R3949" s="69"/>
      <c r="S3949" s="69"/>
    </row>
    <row r="3950" s="2" customFormat="1" ht="24.95" customHeight="1" spans="1:19">
      <c r="A3950" s="15"/>
      <c r="B3950" s="55"/>
      <c r="C3950" s="56"/>
      <c r="D3950" s="68"/>
      <c r="E3950" s="69"/>
      <c r="F3950" s="69"/>
      <c r="G3950" s="65"/>
      <c r="H3950" s="65"/>
      <c r="I3950" s="70"/>
      <c r="J3950" s="71"/>
      <c r="K3950" s="71"/>
      <c r="L3950" s="72" t="str">
        <f>IFERROR(IF(G3950="","",VLOOKUP($G3950,[1]基础信息!$B:$C,2,FALSE)+SUMIF(G$8:G3950,G3950,J$8:J3950)-SUMIF(G$8:G3950,G3950,K$8:K3950)+SUMIFS([1]内部转账!$G:$G,[1]内部转账!$C:$C,"&lt;="&amp;$D3950,[1]内部转账!$E:$E,$G3950)-SUMIFS([1]内部转账!$G:$G,[1]内部转账!$C:$C,"&lt;="&amp;$D3950,[1]内部转账!$F:$F,$G3950)),"")</f>
        <v/>
      </c>
      <c r="M3950" s="64"/>
      <c r="N3950" s="69"/>
      <c r="O3950" s="64"/>
      <c r="P3950" s="64"/>
      <c r="Q3950" s="69"/>
      <c r="R3950" s="69"/>
      <c r="S3950" s="69"/>
    </row>
    <row r="3951" s="2" customFormat="1" ht="24.95" customHeight="1" spans="1:19">
      <c r="A3951" s="15"/>
      <c r="B3951" s="55"/>
      <c r="C3951" s="56"/>
      <c r="D3951" s="68"/>
      <c r="E3951" s="69"/>
      <c r="F3951" s="69"/>
      <c r="G3951" s="65"/>
      <c r="H3951" s="65"/>
      <c r="I3951" s="70"/>
      <c r="J3951" s="71"/>
      <c r="K3951" s="71"/>
      <c r="L3951" s="72" t="str">
        <f>IFERROR(IF(G3951="","",VLOOKUP($G3951,[1]基础信息!$B:$C,2,FALSE)+SUMIF(G$8:G3951,G3951,J$8:J3951)-SUMIF(G$8:G3951,G3951,K$8:K3951)+SUMIFS([1]内部转账!$G:$G,[1]内部转账!$C:$C,"&lt;="&amp;$D3951,[1]内部转账!$E:$E,$G3951)-SUMIFS([1]内部转账!$G:$G,[1]内部转账!$C:$C,"&lt;="&amp;$D3951,[1]内部转账!$F:$F,$G3951)),"")</f>
        <v/>
      </c>
      <c r="M3951" s="64"/>
      <c r="N3951" s="69"/>
      <c r="O3951" s="64"/>
      <c r="P3951" s="64"/>
      <c r="Q3951" s="69"/>
      <c r="R3951" s="69"/>
      <c r="S3951" s="69"/>
    </row>
    <row r="3952" s="2" customFormat="1" ht="24.95" customHeight="1" spans="1:19">
      <c r="A3952" s="15"/>
      <c r="B3952" s="55"/>
      <c r="C3952" s="56"/>
      <c r="D3952" s="68"/>
      <c r="E3952" s="69"/>
      <c r="F3952" s="69"/>
      <c r="G3952" s="65"/>
      <c r="H3952" s="65"/>
      <c r="I3952" s="70"/>
      <c r="J3952" s="71"/>
      <c r="K3952" s="71"/>
      <c r="L3952" s="72" t="str">
        <f>IFERROR(IF(G3952="","",VLOOKUP($G3952,[1]基础信息!$B:$C,2,FALSE)+SUMIF(G$8:G3952,G3952,J$8:J3952)-SUMIF(G$8:G3952,G3952,K$8:K3952)+SUMIFS([1]内部转账!$G:$G,[1]内部转账!$C:$C,"&lt;="&amp;$D3952,[1]内部转账!$E:$E,$G3952)-SUMIFS([1]内部转账!$G:$G,[1]内部转账!$C:$C,"&lt;="&amp;$D3952,[1]内部转账!$F:$F,$G3952)),"")</f>
        <v/>
      </c>
      <c r="M3952" s="64"/>
      <c r="N3952" s="69"/>
      <c r="O3952" s="64"/>
      <c r="P3952" s="64"/>
      <c r="Q3952" s="69"/>
      <c r="R3952" s="69"/>
      <c r="S3952" s="69"/>
    </row>
    <row r="3953" s="2" customFormat="1" ht="24.95" customHeight="1" spans="1:19">
      <c r="A3953" s="15"/>
      <c r="B3953" s="55"/>
      <c r="C3953" s="56"/>
      <c r="D3953" s="68"/>
      <c r="E3953" s="69"/>
      <c r="F3953" s="69"/>
      <c r="G3953" s="65"/>
      <c r="H3953" s="65"/>
      <c r="I3953" s="70"/>
      <c r="J3953" s="71"/>
      <c r="K3953" s="71"/>
      <c r="L3953" s="72" t="str">
        <f>IFERROR(IF(G3953="","",VLOOKUP($G3953,[1]基础信息!$B:$C,2,FALSE)+SUMIF(G$8:G3953,G3953,J$8:J3953)-SUMIF(G$8:G3953,G3953,K$8:K3953)+SUMIFS([1]内部转账!$G:$G,[1]内部转账!$C:$C,"&lt;="&amp;$D3953,[1]内部转账!$E:$E,$G3953)-SUMIFS([1]内部转账!$G:$G,[1]内部转账!$C:$C,"&lt;="&amp;$D3953,[1]内部转账!$F:$F,$G3953)),"")</f>
        <v/>
      </c>
      <c r="M3953" s="64"/>
      <c r="N3953" s="69"/>
      <c r="O3953" s="64"/>
      <c r="P3953" s="64"/>
      <c r="Q3953" s="69"/>
      <c r="R3953" s="69"/>
      <c r="S3953" s="69"/>
    </row>
    <row r="3954" s="2" customFormat="1" ht="24.95" customHeight="1" spans="1:19">
      <c r="A3954" s="15"/>
      <c r="B3954" s="55"/>
      <c r="C3954" s="56"/>
      <c r="D3954" s="68"/>
      <c r="E3954" s="69"/>
      <c r="F3954" s="69"/>
      <c r="G3954" s="65"/>
      <c r="H3954" s="65"/>
      <c r="I3954" s="70"/>
      <c r="J3954" s="71"/>
      <c r="K3954" s="71"/>
      <c r="L3954" s="72" t="str">
        <f>IFERROR(IF(G3954="","",VLOOKUP($G3954,[1]基础信息!$B:$C,2,FALSE)+SUMIF(G$8:G3954,G3954,J$8:J3954)-SUMIF(G$8:G3954,G3954,K$8:K3954)+SUMIFS([1]内部转账!$G:$G,[1]内部转账!$C:$C,"&lt;="&amp;$D3954,[1]内部转账!$E:$E,$G3954)-SUMIFS([1]内部转账!$G:$G,[1]内部转账!$C:$C,"&lt;="&amp;$D3954,[1]内部转账!$F:$F,$G3954)),"")</f>
        <v/>
      </c>
      <c r="M3954" s="64"/>
      <c r="N3954" s="69"/>
      <c r="O3954" s="64"/>
      <c r="P3954" s="64"/>
      <c r="Q3954" s="69"/>
      <c r="R3954" s="69"/>
      <c r="S3954" s="69"/>
    </row>
    <row r="3955" s="2" customFormat="1" ht="24.95" customHeight="1" spans="1:19">
      <c r="A3955" s="15"/>
      <c r="B3955" s="55"/>
      <c r="C3955" s="56"/>
      <c r="D3955" s="68"/>
      <c r="E3955" s="69"/>
      <c r="F3955" s="69"/>
      <c r="G3955" s="65"/>
      <c r="H3955" s="65"/>
      <c r="I3955" s="70"/>
      <c r="J3955" s="71"/>
      <c r="K3955" s="71"/>
      <c r="L3955" s="72" t="str">
        <f>IFERROR(IF(G3955="","",VLOOKUP($G3955,[1]基础信息!$B:$C,2,FALSE)+SUMIF(G$8:G3955,G3955,J$8:J3955)-SUMIF(G$8:G3955,G3955,K$8:K3955)+SUMIFS([1]内部转账!$G:$G,[1]内部转账!$C:$C,"&lt;="&amp;$D3955,[1]内部转账!$E:$E,$G3955)-SUMIFS([1]内部转账!$G:$G,[1]内部转账!$C:$C,"&lt;="&amp;$D3955,[1]内部转账!$F:$F,$G3955)),"")</f>
        <v/>
      </c>
      <c r="M3955" s="64"/>
      <c r="N3955" s="69"/>
      <c r="O3955" s="64"/>
      <c r="P3955" s="64"/>
      <c r="Q3955" s="69"/>
      <c r="R3955" s="69"/>
      <c r="S3955" s="69"/>
    </row>
    <row r="3956" s="2" customFormat="1" ht="24.95" customHeight="1" spans="1:19">
      <c r="A3956" s="15"/>
      <c r="B3956" s="55"/>
      <c r="C3956" s="56"/>
      <c r="D3956" s="68"/>
      <c r="E3956" s="69"/>
      <c r="F3956" s="69"/>
      <c r="G3956" s="65"/>
      <c r="H3956" s="65"/>
      <c r="I3956" s="70"/>
      <c r="J3956" s="71"/>
      <c r="K3956" s="71"/>
      <c r="L3956" s="72" t="str">
        <f>IFERROR(IF(G3956="","",VLOOKUP($G3956,[1]基础信息!$B:$C,2,FALSE)+SUMIF(G$8:G3956,G3956,J$8:J3956)-SUMIF(G$8:G3956,G3956,K$8:K3956)+SUMIFS([1]内部转账!$G:$G,[1]内部转账!$C:$C,"&lt;="&amp;$D3956,[1]内部转账!$E:$E,$G3956)-SUMIFS([1]内部转账!$G:$G,[1]内部转账!$C:$C,"&lt;="&amp;$D3956,[1]内部转账!$F:$F,$G3956)),"")</f>
        <v/>
      </c>
      <c r="M3956" s="64"/>
      <c r="N3956" s="69"/>
      <c r="O3956" s="64"/>
      <c r="P3956" s="64"/>
      <c r="Q3956" s="69"/>
      <c r="R3956" s="69"/>
      <c r="S3956" s="69"/>
    </row>
    <row r="3957" s="2" customFormat="1" ht="24.95" customHeight="1" spans="1:19">
      <c r="A3957" s="15"/>
      <c r="B3957" s="55"/>
      <c r="C3957" s="56"/>
      <c r="D3957" s="68"/>
      <c r="E3957" s="69"/>
      <c r="F3957" s="69"/>
      <c r="G3957" s="65"/>
      <c r="H3957" s="65"/>
      <c r="I3957" s="70"/>
      <c r="J3957" s="71"/>
      <c r="K3957" s="71"/>
      <c r="L3957" s="72" t="str">
        <f>IFERROR(IF(G3957="","",VLOOKUP($G3957,[1]基础信息!$B:$C,2,FALSE)+SUMIF(G$8:G3957,G3957,J$8:J3957)-SUMIF(G$8:G3957,G3957,K$8:K3957)+SUMIFS([1]内部转账!$G:$G,[1]内部转账!$C:$C,"&lt;="&amp;$D3957,[1]内部转账!$E:$E,$G3957)-SUMIFS([1]内部转账!$G:$G,[1]内部转账!$C:$C,"&lt;="&amp;$D3957,[1]内部转账!$F:$F,$G3957)),"")</f>
        <v/>
      </c>
      <c r="M3957" s="64"/>
      <c r="N3957" s="69"/>
      <c r="O3957" s="64"/>
      <c r="P3957" s="64"/>
      <c r="Q3957" s="69"/>
      <c r="R3957" s="69"/>
      <c r="S3957" s="69"/>
    </row>
    <row r="3958" s="2" customFormat="1" ht="24.95" customHeight="1" spans="1:19">
      <c r="A3958" s="15"/>
      <c r="B3958" s="55"/>
      <c r="C3958" s="56"/>
      <c r="D3958" s="68"/>
      <c r="E3958" s="69"/>
      <c r="F3958" s="69"/>
      <c r="G3958" s="65"/>
      <c r="H3958" s="65"/>
      <c r="I3958" s="70"/>
      <c r="J3958" s="71"/>
      <c r="K3958" s="71"/>
      <c r="L3958" s="72" t="str">
        <f>IFERROR(IF(G3958="","",VLOOKUP($G3958,[1]基础信息!$B:$C,2,FALSE)+SUMIF(G$8:G3958,G3958,J$8:J3958)-SUMIF(G$8:G3958,G3958,K$8:K3958)+SUMIFS([1]内部转账!$G:$G,[1]内部转账!$C:$C,"&lt;="&amp;$D3958,[1]内部转账!$E:$E,$G3958)-SUMIFS([1]内部转账!$G:$G,[1]内部转账!$C:$C,"&lt;="&amp;$D3958,[1]内部转账!$F:$F,$G3958)),"")</f>
        <v/>
      </c>
      <c r="M3958" s="64"/>
      <c r="N3958" s="69"/>
      <c r="O3958" s="64"/>
      <c r="P3958" s="64"/>
      <c r="Q3958" s="69"/>
      <c r="R3958" s="69"/>
      <c r="S3958" s="69"/>
    </row>
    <row r="3959" s="2" customFormat="1" ht="24.95" customHeight="1" spans="1:19">
      <c r="A3959" s="15"/>
      <c r="B3959" s="55"/>
      <c r="C3959" s="56"/>
      <c r="D3959" s="68"/>
      <c r="E3959" s="69"/>
      <c r="F3959" s="69"/>
      <c r="G3959" s="65"/>
      <c r="H3959" s="65"/>
      <c r="I3959" s="70"/>
      <c r="J3959" s="71"/>
      <c r="K3959" s="71"/>
      <c r="L3959" s="72" t="str">
        <f>IFERROR(IF(G3959="","",VLOOKUP($G3959,[1]基础信息!$B:$C,2,FALSE)+SUMIF(G$8:G3959,G3959,J$8:J3959)-SUMIF(G$8:G3959,G3959,K$8:K3959)+SUMIFS([1]内部转账!$G:$G,[1]内部转账!$C:$C,"&lt;="&amp;$D3959,[1]内部转账!$E:$E,$G3959)-SUMIFS([1]内部转账!$G:$G,[1]内部转账!$C:$C,"&lt;="&amp;$D3959,[1]内部转账!$F:$F,$G3959)),"")</f>
        <v/>
      </c>
      <c r="M3959" s="64"/>
      <c r="N3959" s="69"/>
      <c r="O3959" s="64"/>
      <c r="P3959" s="64"/>
      <c r="Q3959" s="69"/>
      <c r="R3959" s="69"/>
      <c r="S3959" s="69"/>
    </row>
    <row r="3960" s="2" customFormat="1" ht="24.95" customHeight="1" spans="1:19">
      <c r="A3960" s="15"/>
      <c r="B3960" s="55"/>
      <c r="C3960" s="56"/>
      <c r="D3960" s="68"/>
      <c r="E3960" s="69"/>
      <c r="F3960" s="69"/>
      <c r="G3960" s="65"/>
      <c r="H3960" s="65"/>
      <c r="I3960" s="70"/>
      <c r="J3960" s="71"/>
      <c r="K3960" s="71"/>
      <c r="L3960" s="72" t="str">
        <f>IFERROR(IF(G3960="","",VLOOKUP($G3960,[1]基础信息!$B:$C,2,FALSE)+SUMIF(G$8:G3960,G3960,J$8:J3960)-SUMIF(G$8:G3960,G3960,K$8:K3960)+SUMIFS([1]内部转账!$G:$G,[1]内部转账!$C:$C,"&lt;="&amp;$D3960,[1]内部转账!$E:$E,$G3960)-SUMIFS([1]内部转账!$G:$G,[1]内部转账!$C:$C,"&lt;="&amp;$D3960,[1]内部转账!$F:$F,$G3960)),"")</f>
        <v/>
      </c>
      <c r="M3960" s="64"/>
      <c r="N3960" s="69"/>
      <c r="O3960" s="64"/>
      <c r="P3960" s="64"/>
      <c r="Q3960" s="69"/>
      <c r="R3960" s="69"/>
      <c r="S3960" s="69"/>
    </row>
    <row r="3961" s="2" customFormat="1" ht="24.95" customHeight="1" spans="1:19">
      <c r="A3961" s="15"/>
      <c r="B3961" s="55"/>
      <c r="C3961" s="56"/>
      <c r="D3961" s="68"/>
      <c r="E3961" s="69"/>
      <c r="F3961" s="69"/>
      <c r="G3961" s="65"/>
      <c r="H3961" s="65"/>
      <c r="I3961" s="70"/>
      <c r="J3961" s="71"/>
      <c r="K3961" s="71"/>
      <c r="L3961" s="72" t="str">
        <f>IFERROR(IF(G3961="","",VLOOKUP($G3961,[1]基础信息!$B:$C,2,FALSE)+SUMIF(G$8:G3961,G3961,J$8:J3961)-SUMIF(G$8:G3961,G3961,K$8:K3961)+SUMIFS([1]内部转账!$G:$G,[1]内部转账!$C:$C,"&lt;="&amp;$D3961,[1]内部转账!$E:$E,$G3961)-SUMIFS([1]内部转账!$G:$G,[1]内部转账!$C:$C,"&lt;="&amp;$D3961,[1]内部转账!$F:$F,$G3961)),"")</f>
        <v/>
      </c>
      <c r="M3961" s="64"/>
      <c r="N3961" s="69"/>
      <c r="O3961" s="64"/>
      <c r="P3961" s="64"/>
      <c r="Q3961" s="69"/>
      <c r="R3961" s="69"/>
      <c r="S3961" s="69"/>
    </row>
    <row r="3962" s="2" customFormat="1" ht="24.95" customHeight="1" spans="1:19">
      <c r="A3962" s="15"/>
      <c r="B3962" s="55"/>
      <c r="C3962" s="56"/>
      <c r="D3962" s="68"/>
      <c r="E3962" s="69"/>
      <c r="F3962" s="69"/>
      <c r="G3962" s="65"/>
      <c r="H3962" s="65"/>
      <c r="I3962" s="70"/>
      <c r="J3962" s="71"/>
      <c r="K3962" s="71"/>
      <c r="L3962" s="72" t="str">
        <f>IFERROR(IF(G3962="","",VLOOKUP($G3962,[1]基础信息!$B:$C,2,FALSE)+SUMIF(G$8:G3962,G3962,J$8:J3962)-SUMIF(G$8:G3962,G3962,K$8:K3962)+SUMIFS([1]内部转账!$G:$G,[1]内部转账!$C:$C,"&lt;="&amp;$D3962,[1]内部转账!$E:$E,$G3962)-SUMIFS([1]内部转账!$G:$G,[1]内部转账!$C:$C,"&lt;="&amp;$D3962,[1]内部转账!$F:$F,$G3962)),"")</f>
        <v/>
      </c>
      <c r="M3962" s="64"/>
      <c r="N3962" s="69"/>
      <c r="O3962" s="64"/>
      <c r="P3962" s="64"/>
      <c r="Q3962" s="69"/>
      <c r="R3962" s="69"/>
      <c r="S3962" s="69"/>
    </row>
    <row r="3963" s="2" customFormat="1" ht="24.95" customHeight="1" spans="1:19">
      <c r="A3963" s="15"/>
      <c r="B3963" s="55"/>
      <c r="C3963" s="56"/>
      <c r="D3963" s="68"/>
      <c r="E3963" s="69"/>
      <c r="F3963" s="69"/>
      <c r="G3963" s="65"/>
      <c r="H3963" s="65"/>
      <c r="I3963" s="70"/>
      <c r="J3963" s="71"/>
      <c r="K3963" s="71"/>
      <c r="L3963" s="72" t="str">
        <f>IFERROR(IF(G3963="","",VLOOKUP($G3963,[1]基础信息!$B:$C,2,FALSE)+SUMIF(G$8:G3963,G3963,J$8:J3963)-SUMIF(G$8:G3963,G3963,K$8:K3963)+SUMIFS([1]内部转账!$G:$G,[1]内部转账!$C:$C,"&lt;="&amp;$D3963,[1]内部转账!$E:$E,$G3963)-SUMIFS([1]内部转账!$G:$G,[1]内部转账!$C:$C,"&lt;="&amp;$D3963,[1]内部转账!$F:$F,$G3963)),"")</f>
        <v/>
      </c>
      <c r="M3963" s="64"/>
      <c r="N3963" s="69"/>
      <c r="O3963" s="64"/>
      <c r="P3963" s="64"/>
      <c r="Q3963" s="69"/>
      <c r="R3963" s="69"/>
      <c r="S3963" s="69"/>
    </row>
    <row r="3964" s="2" customFormat="1" ht="24.95" customHeight="1" spans="1:19">
      <c r="A3964" s="15"/>
      <c r="B3964" s="55"/>
      <c r="C3964" s="56"/>
      <c r="D3964" s="68"/>
      <c r="E3964" s="69"/>
      <c r="F3964" s="69"/>
      <c r="G3964" s="65"/>
      <c r="H3964" s="65"/>
      <c r="I3964" s="70"/>
      <c r="J3964" s="71"/>
      <c r="K3964" s="71"/>
      <c r="L3964" s="72" t="str">
        <f>IFERROR(IF(G3964="","",VLOOKUP($G3964,[1]基础信息!$B:$C,2,FALSE)+SUMIF(G$8:G3964,G3964,J$8:J3964)-SUMIF(G$8:G3964,G3964,K$8:K3964)+SUMIFS([1]内部转账!$G:$G,[1]内部转账!$C:$C,"&lt;="&amp;$D3964,[1]内部转账!$E:$E,$G3964)-SUMIFS([1]内部转账!$G:$G,[1]内部转账!$C:$C,"&lt;="&amp;$D3964,[1]内部转账!$F:$F,$G3964)),"")</f>
        <v/>
      </c>
      <c r="M3964" s="64"/>
      <c r="N3964" s="69"/>
      <c r="O3964" s="64"/>
      <c r="P3964" s="64"/>
      <c r="Q3964" s="69"/>
      <c r="R3964" s="69"/>
      <c r="S3964" s="69"/>
    </row>
    <row r="3965" s="2" customFormat="1" ht="24.95" customHeight="1" spans="1:19">
      <c r="A3965" s="15"/>
      <c r="B3965" s="55"/>
      <c r="C3965" s="56"/>
      <c r="D3965" s="68"/>
      <c r="E3965" s="69"/>
      <c r="F3965" s="69"/>
      <c r="G3965" s="65"/>
      <c r="H3965" s="65"/>
      <c r="I3965" s="70"/>
      <c r="J3965" s="71"/>
      <c r="K3965" s="71"/>
      <c r="L3965" s="72" t="str">
        <f>IFERROR(IF(G3965="","",VLOOKUP($G3965,[1]基础信息!$B:$C,2,FALSE)+SUMIF(G$8:G3965,G3965,J$8:J3965)-SUMIF(G$8:G3965,G3965,K$8:K3965)+SUMIFS([1]内部转账!$G:$G,[1]内部转账!$C:$C,"&lt;="&amp;$D3965,[1]内部转账!$E:$E,$G3965)-SUMIFS([1]内部转账!$G:$G,[1]内部转账!$C:$C,"&lt;="&amp;$D3965,[1]内部转账!$F:$F,$G3965)),"")</f>
        <v/>
      </c>
      <c r="M3965" s="64"/>
      <c r="N3965" s="69"/>
      <c r="O3965" s="64"/>
      <c r="P3965" s="64"/>
      <c r="Q3965" s="69"/>
      <c r="R3965" s="69"/>
      <c r="S3965" s="69"/>
    </row>
    <row r="3966" s="2" customFormat="1" ht="24.95" customHeight="1" spans="1:19">
      <c r="A3966" s="15"/>
      <c r="B3966" s="55"/>
      <c r="C3966" s="56"/>
      <c r="D3966" s="68"/>
      <c r="E3966" s="69"/>
      <c r="F3966" s="69"/>
      <c r="G3966" s="65"/>
      <c r="H3966" s="65"/>
      <c r="I3966" s="70"/>
      <c r="J3966" s="71"/>
      <c r="K3966" s="71"/>
      <c r="L3966" s="72" t="str">
        <f>IFERROR(IF(G3966="","",VLOOKUP($G3966,[1]基础信息!$B:$C,2,FALSE)+SUMIF(G$8:G3966,G3966,J$8:J3966)-SUMIF(G$8:G3966,G3966,K$8:K3966)+SUMIFS([1]内部转账!$G:$G,[1]内部转账!$C:$C,"&lt;="&amp;$D3966,[1]内部转账!$E:$E,$G3966)-SUMIFS([1]内部转账!$G:$G,[1]内部转账!$C:$C,"&lt;="&amp;$D3966,[1]内部转账!$F:$F,$G3966)),"")</f>
        <v/>
      </c>
      <c r="M3966" s="64"/>
      <c r="N3966" s="69"/>
      <c r="O3966" s="64"/>
      <c r="P3966" s="64"/>
      <c r="Q3966" s="69"/>
      <c r="R3966" s="69"/>
      <c r="S3966" s="69"/>
    </row>
    <row r="3967" s="2" customFormat="1" ht="24.95" customHeight="1" spans="1:19">
      <c r="A3967" s="15"/>
      <c r="B3967" s="55"/>
      <c r="C3967" s="56"/>
      <c r="D3967" s="68"/>
      <c r="E3967" s="69"/>
      <c r="F3967" s="69"/>
      <c r="G3967" s="65"/>
      <c r="H3967" s="65"/>
      <c r="I3967" s="70"/>
      <c r="J3967" s="71"/>
      <c r="K3967" s="71"/>
      <c r="L3967" s="72" t="str">
        <f>IFERROR(IF(G3967="","",VLOOKUP($G3967,[1]基础信息!$B:$C,2,FALSE)+SUMIF(G$8:G3967,G3967,J$8:J3967)-SUMIF(G$8:G3967,G3967,K$8:K3967)+SUMIFS([1]内部转账!$G:$G,[1]内部转账!$C:$C,"&lt;="&amp;$D3967,[1]内部转账!$E:$E,$G3967)-SUMIFS([1]内部转账!$G:$G,[1]内部转账!$C:$C,"&lt;="&amp;$D3967,[1]内部转账!$F:$F,$G3967)),"")</f>
        <v/>
      </c>
      <c r="M3967" s="64"/>
      <c r="N3967" s="69"/>
      <c r="O3967" s="64"/>
      <c r="P3967" s="64"/>
      <c r="Q3967" s="69"/>
      <c r="R3967" s="69"/>
      <c r="S3967" s="69"/>
    </row>
    <row r="3968" s="2" customFormat="1" ht="24.95" customHeight="1" spans="1:19">
      <c r="A3968" s="15"/>
      <c r="B3968" s="55"/>
      <c r="C3968" s="56"/>
      <c r="D3968" s="68"/>
      <c r="E3968" s="69"/>
      <c r="F3968" s="69"/>
      <c r="G3968" s="65"/>
      <c r="H3968" s="65"/>
      <c r="I3968" s="70"/>
      <c r="J3968" s="71"/>
      <c r="K3968" s="71"/>
      <c r="L3968" s="72" t="str">
        <f>IFERROR(IF(G3968="","",VLOOKUP($G3968,[1]基础信息!$B:$C,2,FALSE)+SUMIF(G$8:G3968,G3968,J$8:J3968)-SUMIF(G$8:G3968,G3968,K$8:K3968)+SUMIFS([1]内部转账!$G:$G,[1]内部转账!$C:$C,"&lt;="&amp;$D3968,[1]内部转账!$E:$E,$G3968)-SUMIFS([1]内部转账!$G:$G,[1]内部转账!$C:$C,"&lt;="&amp;$D3968,[1]内部转账!$F:$F,$G3968)),"")</f>
        <v/>
      </c>
      <c r="M3968" s="64"/>
      <c r="N3968" s="69"/>
      <c r="O3968" s="64"/>
      <c r="P3968" s="64"/>
      <c r="Q3968" s="69"/>
      <c r="R3968" s="69"/>
      <c r="S3968" s="69"/>
    </row>
    <row r="3969" s="2" customFormat="1" ht="24.95" customHeight="1" spans="1:19">
      <c r="A3969" s="15"/>
      <c r="B3969" s="55"/>
      <c r="C3969" s="56"/>
      <c r="D3969" s="68"/>
      <c r="E3969" s="69"/>
      <c r="F3969" s="69"/>
      <c r="G3969" s="65"/>
      <c r="H3969" s="65"/>
      <c r="I3969" s="70"/>
      <c r="J3969" s="71"/>
      <c r="K3969" s="71"/>
      <c r="L3969" s="72" t="str">
        <f>IFERROR(IF(G3969="","",VLOOKUP($G3969,[1]基础信息!$B:$C,2,FALSE)+SUMIF(G$8:G3969,G3969,J$8:J3969)-SUMIF(G$8:G3969,G3969,K$8:K3969)+SUMIFS([1]内部转账!$G:$G,[1]内部转账!$C:$C,"&lt;="&amp;$D3969,[1]内部转账!$E:$E,$G3969)-SUMIFS([1]内部转账!$G:$G,[1]内部转账!$C:$C,"&lt;="&amp;$D3969,[1]内部转账!$F:$F,$G3969)),"")</f>
        <v/>
      </c>
      <c r="M3969" s="64"/>
      <c r="N3969" s="69"/>
      <c r="O3969" s="64"/>
      <c r="P3969" s="64"/>
      <c r="Q3969" s="69"/>
      <c r="R3969" s="69"/>
      <c r="S3969" s="69"/>
    </row>
    <row r="3970" s="2" customFormat="1" ht="24.95" customHeight="1" spans="1:19">
      <c r="A3970" s="15"/>
      <c r="B3970" s="55"/>
      <c r="C3970" s="56"/>
      <c r="D3970" s="68"/>
      <c r="E3970" s="69"/>
      <c r="F3970" s="69"/>
      <c r="G3970" s="65"/>
      <c r="H3970" s="65"/>
      <c r="I3970" s="70"/>
      <c r="J3970" s="71"/>
      <c r="K3970" s="71"/>
      <c r="L3970" s="72" t="str">
        <f>IFERROR(IF(G3970="","",VLOOKUP($G3970,[1]基础信息!$B:$C,2,FALSE)+SUMIF(G$8:G3970,G3970,J$8:J3970)-SUMIF(G$8:G3970,G3970,K$8:K3970)+SUMIFS([1]内部转账!$G:$G,[1]内部转账!$C:$C,"&lt;="&amp;$D3970,[1]内部转账!$E:$E,$G3970)-SUMIFS([1]内部转账!$G:$G,[1]内部转账!$C:$C,"&lt;="&amp;$D3970,[1]内部转账!$F:$F,$G3970)),"")</f>
        <v/>
      </c>
      <c r="M3970" s="64"/>
      <c r="N3970" s="69"/>
      <c r="O3970" s="64"/>
      <c r="P3970" s="64"/>
      <c r="Q3970" s="69"/>
      <c r="R3970" s="69"/>
      <c r="S3970" s="69"/>
    </row>
    <row r="3971" s="2" customFormat="1" ht="24.95" customHeight="1" spans="1:19">
      <c r="A3971" s="15"/>
      <c r="B3971" s="55"/>
      <c r="C3971" s="56"/>
      <c r="D3971" s="68"/>
      <c r="E3971" s="69"/>
      <c r="F3971" s="69"/>
      <c r="G3971" s="65"/>
      <c r="H3971" s="65"/>
      <c r="I3971" s="70"/>
      <c r="J3971" s="71"/>
      <c r="K3971" s="71"/>
      <c r="L3971" s="72" t="str">
        <f>IFERROR(IF(G3971="","",VLOOKUP($G3971,[1]基础信息!$B:$C,2,FALSE)+SUMIF(G$8:G3971,G3971,J$8:J3971)-SUMIF(G$8:G3971,G3971,K$8:K3971)+SUMIFS([1]内部转账!$G:$G,[1]内部转账!$C:$C,"&lt;="&amp;$D3971,[1]内部转账!$E:$E,$G3971)-SUMIFS([1]内部转账!$G:$G,[1]内部转账!$C:$C,"&lt;="&amp;$D3971,[1]内部转账!$F:$F,$G3971)),"")</f>
        <v/>
      </c>
      <c r="M3971" s="64"/>
      <c r="N3971" s="69"/>
      <c r="O3971" s="64"/>
      <c r="P3971" s="64"/>
      <c r="Q3971" s="69"/>
      <c r="R3971" s="69"/>
      <c r="S3971" s="69"/>
    </row>
    <row r="3972" s="2" customFormat="1" ht="24.95" customHeight="1" spans="1:19">
      <c r="A3972" s="15"/>
      <c r="B3972" s="55"/>
      <c r="C3972" s="56"/>
      <c r="D3972" s="68"/>
      <c r="E3972" s="69"/>
      <c r="F3972" s="69"/>
      <c r="G3972" s="65"/>
      <c r="H3972" s="65"/>
      <c r="I3972" s="70"/>
      <c r="J3972" s="71"/>
      <c r="K3972" s="71"/>
      <c r="L3972" s="72" t="str">
        <f>IFERROR(IF(G3972="","",VLOOKUP($G3972,[1]基础信息!$B:$C,2,FALSE)+SUMIF(G$8:G3972,G3972,J$8:J3972)-SUMIF(G$8:G3972,G3972,K$8:K3972)+SUMIFS([1]内部转账!$G:$G,[1]内部转账!$C:$C,"&lt;="&amp;$D3972,[1]内部转账!$E:$E,$G3972)-SUMIFS([1]内部转账!$G:$G,[1]内部转账!$C:$C,"&lt;="&amp;$D3972,[1]内部转账!$F:$F,$G3972)),"")</f>
        <v/>
      </c>
      <c r="M3972" s="64"/>
      <c r="N3972" s="69"/>
      <c r="O3972" s="64"/>
      <c r="P3972" s="64"/>
      <c r="Q3972" s="69"/>
      <c r="R3972" s="69"/>
      <c r="S3972" s="69"/>
    </row>
    <row r="3973" s="2" customFormat="1" ht="24.95" customHeight="1" spans="1:19">
      <c r="A3973" s="15"/>
      <c r="B3973" s="55"/>
      <c r="C3973" s="56"/>
      <c r="D3973" s="68"/>
      <c r="E3973" s="69"/>
      <c r="F3973" s="69"/>
      <c r="G3973" s="65"/>
      <c r="H3973" s="65"/>
      <c r="I3973" s="70"/>
      <c r="J3973" s="71"/>
      <c r="K3973" s="71"/>
      <c r="L3973" s="72" t="str">
        <f>IFERROR(IF(G3973="","",VLOOKUP($G3973,[1]基础信息!$B:$C,2,FALSE)+SUMIF(G$8:G3973,G3973,J$8:J3973)-SUMIF(G$8:G3973,G3973,K$8:K3973)+SUMIFS([1]内部转账!$G:$G,[1]内部转账!$C:$C,"&lt;="&amp;$D3973,[1]内部转账!$E:$E,$G3973)-SUMIFS([1]内部转账!$G:$G,[1]内部转账!$C:$C,"&lt;="&amp;$D3973,[1]内部转账!$F:$F,$G3973)),"")</f>
        <v/>
      </c>
      <c r="M3973" s="64"/>
      <c r="N3973" s="69"/>
      <c r="O3973" s="64"/>
      <c r="P3973" s="64"/>
      <c r="Q3973" s="69"/>
      <c r="R3973" s="69"/>
      <c r="S3973" s="69"/>
    </row>
    <row r="3974" s="2" customFormat="1" ht="24.95" customHeight="1" spans="1:19">
      <c r="A3974" s="15"/>
      <c r="B3974" s="55"/>
      <c r="C3974" s="56"/>
      <c r="D3974" s="68"/>
      <c r="E3974" s="69"/>
      <c r="F3974" s="69"/>
      <c r="G3974" s="65"/>
      <c r="H3974" s="65"/>
      <c r="I3974" s="70"/>
      <c r="J3974" s="71"/>
      <c r="K3974" s="71"/>
      <c r="L3974" s="72" t="str">
        <f>IFERROR(IF(G3974="","",VLOOKUP($G3974,[1]基础信息!$B:$C,2,FALSE)+SUMIF(G$8:G3974,G3974,J$8:J3974)-SUMIF(G$8:G3974,G3974,K$8:K3974)+SUMIFS([1]内部转账!$G:$G,[1]内部转账!$C:$C,"&lt;="&amp;$D3974,[1]内部转账!$E:$E,$G3974)-SUMIFS([1]内部转账!$G:$G,[1]内部转账!$C:$C,"&lt;="&amp;$D3974,[1]内部转账!$F:$F,$G3974)),"")</f>
        <v/>
      </c>
      <c r="M3974" s="64"/>
      <c r="N3974" s="69"/>
      <c r="O3974" s="64"/>
      <c r="P3974" s="64"/>
      <c r="Q3974" s="69"/>
      <c r="R3974" s="69"/>
      <c r="S3974" s="69"/>
    </row>
    <row r="3975" s="2" customFormat="1" ht="24.95" customHeight="1" spans="1:19">
      <c r="A3975" s="15"/>
      <c r="B3975" s="55"/>
      <c r="C3975" s="56"/>
      <c r="D3975" s="68"/>
      <c r="E3975" s="69"/>
      <c r="F3975" s="69"/>
      <c r="G3975" s="65"/>
      <c r="H3975" s="65"/>
      <c r="I3975" s="70"/>
      <c r="J3975" s="71"/>
      <c r="K3975" s="71"/>
      <c r="L3975" s="72" t="str">
        <f>IFERROR(IF(G3975="","",VLOOKUP($G3975,[1]基础信息!$B:$C,2,FALSE)+SUMIF(G$8:G3975,G3975,J$8:J3975)-SUMIF(G$8:G3975,G3975,K$8:K3975)+SUMIFS([1]内部转账!$G:$G,[1]内部转账!$C:$C,"&lt;="&amp;$D3975,[1]内部转账!$E:$E,$G3975)-SUMIFS([1]内部转账!$G:$G,[1]内部转账!$C:$C,"&lt;="&amp;$D3975,[1]内部转账!$F:$F,$G3975)),"")</f>
        <v/>
      </c>
      <c r="M3975" s="64"/>
      <c r="N3975" s="69"/>
      <c r="O3975" s="64"/>
      <c r="P3975" s="64"/>
      <c r="Q3975" s="69"/>
      <c r="R3975" s="69"/>
      <c r="S3975" s="69"/>
    </row>
    <row r="3976" s="2" customFormat="1" ht="24.95" customHeight="1" spans="1:19">
      <c r="A3976" s="15"/>
      <c r="B3976" s="55"/>
      <c r="C3976" s="56"/>
      <c r="D3976" s="68"/>
      <c r="E3976" s="69"/>
      <c r="F3976" s="69"/>
      <c r="G3976" s="65"/>
      <c r="H3976" s="65"/>
      <c r="I3976" s="70"/>
      <c r="J3976" s="71"/>
      <c r="K3976" s="71"/>
      <c r="L3976" s="72" t="str">
        <f>IFERROR(IF(G3976="","",VLOOKUP($G3976,[1]基础信息!$B:$C,2,FALSE)+SUMIF(G$8:G3976,G3976,J$8:J3976)-SUMIF(G$8:G3976,G3976,K$8:K3976)+SUMIFS([1]内部转账!$G:$G,[1]内部转账!$C:$C,"&lt;="&amp;$D3976,[1]内部转账!$E:$E,$G3976)-SUMIFS([1]内部转账!$G:$G,[1]内部转账!$C:$C,"&lt;="&amp;$D3976,[1]内部转账!$F:$F,$G3976)),"")</f>
        <v/>
      </c>
      <c r="M3976" s="64"/>
      <c r="N3976" s="69"/>
      <c r="O3976" s="64"/>
      <c r="P3976" s="64"/>
      <c r="Q3976" s="69"/>
      <c r="R3976" s="69"/>
      <c r="S3976" s="69"/>
    </row>
    <row r="3977" s="2" customFormat="1" ht="24.95" customHeight="1" spans="1:19">
      <c r="A3977" s="15"/>
      <c r="B3977" s="55"/>
      <c r="C3977" s="56"/>
      <c r="D3977" s="68"/>
      <c r="E3977" s="69"/>
      <c r="F3977" s="69"/>
      <c r="G3977" s="65"/>
      <c r="H3977" s="65"/>
      <c r="I3977" s="70"/>
      <c r="J3977" s="71"/>
      <c r="K3977" s="71"/>
      <c r="L3977" s="72" t="str">
        <f>IFERROR(IF(G3977="","",VLOOKUP($G3977,[1]基础信息!$B:$C,2,FALSE)+SUMIF(G$8:G3977,G3977,J$8:J3977)-SUMIF(G$8:G3977,G3977,K$8:K3977)+SUMIFS([1]内部转账!$G:$G,[1]内部转账!$C:$C,"&lt;="&amp;$D3977,[1]内部转账!$E:$E,$G3977)-SUMIFS([1]内部转账!$G:$G,[1]内部转账!$C:$C,"&lt;="&amp;$D3977,[1]内部转账!$F:$F,$G3977)),"")</f>
        <v/>
      </c>
      <c r="M3977" s="64"/>
      <c r="N3977" s="69"/>
      <c r="O3977" s="64"/>
      <c r="P3977" s="64"/>
      <c r="Q3977" s="69"/>
      <c r="R3977" s="69"/>
      <c r="S3977" s="69"/>
    </row>
    <row r="3978" s="2" customFormat="1" ht="24.95" customHeight="1" spans="1:19">
      <c r="A3978" s="15"/>
      <c r="B3978" s="55"/>
      <c r="C3978" s="56"/>
      <c r="D3978" s="68"/>
      <c r="E3978" s="69"/>
      <c r="F3978" s="69"/>
      <c r="G3978" s="65"/>
      <c r="H3978" s="65"/>
      <c r="I3978" s="70"/>
      <c r="J3978" s="71"/>
      <c r="K3978" s="71"/>
      <c r="L3978" s="72" t="str">
        <f>IFERROR(IF(G3978="","",VLOOKUP($G3978,[1]基础信息!$B:$C,2,FALSE)+SUMIF(G$8:G3978,G3978,J$8:J3978)-SUMIF(G$8:G3978,G3978,K$8:K3978)+SUMIFS([1]内部转账!$G:$G,[1]内部转账!$C:$C,"&lt;="&amp;$D3978,[1]内部转账!$E:$E,$G3978)-SUMIFS([1]内部转账!$G:$G,[1]内部转账!$C:$C,"&lt;="&amp;$D3978,[1]内部转账!$F:$F,$G3978)),"")</f>
        <v/>
      </c>
      <c r="M3978" s="64"/>
      <c r="N3978" s="69"/>
      <c r="O3978" s="64"/>
      <c r="P3978" s="64"/>
      <c r="Q3978" s="69"/>
      <c r="R3978" s="69"/>
      <c r="S3978" s="69"/>
    </row>
    <row r="3979" s="2" customFormat="1" ht="24.95" customHeight="1" spans="1:19">
      <c r="A3979" s="15"/>
      <c r="B3979" s="55"/>
      <c r="C3979" s="56"/>
      <c r="D3979" s="68"/>
      <c r="E3979" s="69"/>
      <c r="F3979" s="69"/>
      <c r="G3979" s="65"/>
      <c r="H3979" s="65"/>
      <c r="I3979" s="70"/>
      <c r="J3979" s="71"/>
      <c r="K3979" s="71"/>
      <c r="L3979" s="72" t="str">
        <f>IFERROR(IF(G3979="","",VLOOKUP($G3979,[1]基础信息!$B:$C,2,FALSE)+SUMIF(G$8:G3979,G3979,J$8:J3979)-SUMIF(G$8:G3979,G3979,K$8:K3979)+SUMIFS([1]内部转账!$G:$G,[1]内部转账!$C:$C,"&lt;="&amp;$D3979,[1]内部转账!$E:$E,$G3979)-SUMIFS([1]内部转账!$G:$G,[1]内部转账!$C:$C,"&lt;="&amp;$D3979,[1]内部转账!$F:$F,$G3979)),"")</f>
        <v/>
      </c>
      <c r="M3979" s="64"/>
      <c r="N3979" s="69"/>
      <c r="O3979" s="64"/>
      <c r="P3979" s="64"/>
      <c r="Q3979" s="69"/>
      <c r="R3979" s="69"/>
      <c r="S3979" s="69"/>
    </row>
    <row r="3980" s="2" customFormat="1" ht="24.95" customHeight="1" spans="1:19">
      <c r="A3980" s="15"/>
      <c r="B3980" s="55"/>
      <c r="C3980" s="56"/>
      <c r="D3980" s="68"/>
      <c r="E3980" s="69"/>
      <c r="F3980" s="69"/>
      <c r="G3980" s="65"/>
      <c r="H3980" s="65"/>
      <c r="I3980" s="70"/>
      <c r="J3980" s="71"/>
      <c r="K3980" s="71"/>
      <c r="L3980" s="72" t="str">
        <f>IFERROR(IF(G3980="","",VLOOKUP($G3980,[1]基础信息!$B:$C,2,FALSE)+SUMIF(G$8:G3980,G3980,J$8:J3980)-SUMIF(G$8:G3980,G3980,K$8:K3980)+SUMIFS([1]内部转账!$G:$G,[1]内部转账!$C:$C,"&lt;="&amp;$D3980,[1]内部转账!$E:$E,$G3980)-SUMIFS([1]内部转账!$G:$G,[1]内部转账!$C:$C,"&lt;="&amp;$D3980,[1]内部转账!$F:$F,$G3980)),"")</f>
        <v/>
      </c>
      <c r="M3980" s="64"/>
      <c r="N3980" s="69"/>
      <c r="O3980" s="64"/>
      <c r="P3980" s="64"/>
      <c r="Q3980" s="69"/>
      <c r="R3980" s="69"/>
      <c r="S3980" s="69"/>
    </row>
    <row r="3981" s="2" customFormat="1" ht="24.95" customHeight="1" spans="1:19">
      <c r="A3981" s="15"/>
      <c r="B3981" s="55"/>
      <c r="C3981" s="56"/>
      <c r="D3981" s="68"/>
      <c r="E3981" s="69"/>
      <c r="F3981" s="69"/>
      <c r="G3981" s="65"/>
      <c r="H3981" s="65"/>
      <c r="I3981" s="70"/>
      <c r="J3981" s="71"/>
      <c r="K3981" s="71"/>
      <c r="L3981" s="72" t="str">
        <f>IFERROR(IF(G3981="","",VLOOKUP($G3981,[1]基础信息!$B:$C,2,FALSE)+SUMIF(G$8:G3981,G3981,J$8:J3981)-SUMIF(G$8:G3981,G3981,K$8:K3981)+SUMIFS([1]内部转账!$G:$G,[1]内部转账!$C:$C,"&lt;="&amp;$D3981,[1]内部转账!$E:$E,$G3981)-SUMIFS([1]内部转账!$G:$G,[1]内部转账!$C:$C,"&lt;="&amp;$D3981,[1]内部转账!$F:$F,$G3981)),"")</f>
        <v/>
      </c>
      <c r="M3981" s="64"/>
      <c r="N3981" s="69"/>
      <c r="O3981" s="64"/>
      <c r="P3981" s="64"/>
      <c r="Q3981" s="69"/>
      <c r="R3981" s="69"/>
      <c r="S3981" s="69"/>
    </row>
    <row r="3982" s="2" customFormat="1" ht="24.95" customHeight="1" spans="1:19">
      <c r="A3982" s="15"/>
      <c r="B3982" s="55"/>
      <c r="C3982" s="56"/>
      <c r="D3982" s="68"/>
      <c r="E3982" s="69"/>
      <c r="F3982" s="69"/>
      <c r="G3982" s="65"/>
      <c r="H3982" s="65"/>
      <c r="I3982" s="70"/>
      <c r="J3982" s="71"/>
      <c r="K3982" s="71"/>
      <c r="L3982" s="72" t="str">
        <f>IFERROR(IF(G3982="","",VLOOKUP($G3982,[1]基础信息!$B:$C,2,FALSE)+SUMIF(G$8:G3982,G3982,J$8:J3982)-SUMIF(G$8:G3982,G3982,K$8:K3982)+SUMIFS([1]内部转账!$G:$G,[1]内部转账!$C:$C,"&lt;="&amp;$D3982,[1]内部转账!$E:$E,$G3982)-SUMIFS([1]内部转账!$G:$G,[1]内部转账!$C:$C,"&lt;="&amp;$D3982,[1]内部转账!$F:$F,$G3982)),"")</f>
        <v/>
      </c>
      <c r="M3982" s="64"/>
      <c r="N3982" s="69"/>
      <c r="O3982" s="64"/>
      <c r="P3982" s="64"/>
      <c r="Q3982" s="69"/>
      <c r="R3982" s="69"/>
      <c r="S3982" s="69"/>
    </row>
    <row r="3983" s="2" customFormat="1" ht="24.95" customHeight="1" spans="1:19">
      <c r="A3983" s="15"/>
      <c r="B3983" s="55"/>
      <c r="C3983" s="56"/>
      <c r="D3983" s="68"/>
      <c r="E3983" s="69"/>
      <c r="F3983" s="69"/>
      <c r="G3983" s="65"/>
      <c r="H3983" s="65"/>
      <c r="I3983" s="70"/>
      <c r="J3983" s="71"/>
      <c r="K3983" s="71"/>
      <c r="L3983" s="72" t="str">
        <f>IFERROR(IF(G3983="","",VLOOKUP($G3983,[1]基础信息!$B:$C,2,FALSE)+SUMIF(G$8:G3983,G3983,J$8:J3983)-SUMIF(G$8:G3983,G3983,K$8:K3983)+SUMIFS([1]内部转账!$G:$G,[1]内部转账!$C:$C,"&lt;="&amp;$D3983,[1]内部转账!$E:$E,$G3983)-SUMIFS([1]内部转账!$G:$G,[1]内部转账!$C:$C,"&lt;="&amp;$D3983,[1]内部转账!$F:$F,$G3983)),"")</f>
        <v/>
      </c>
      <c r="M3983" s="64"/>
      <c r="N3983" s="69"/>
      <c r="O3983" s="64"/>
      <c r="P3983" s="64"/>
      <c r="Q3983" s="69"/>
      <c r="R3983" s="69"/>
      <c r="S3983" s="69"/>
    </row>
    <row r="3984" s="2" customFormat="1" ht="24.95" customHeight="1" spans="1:19">
      <c r="A3984" s="15"/>
      <c r="B3984" s="55"/>
      <c r="C3984" s="56"/>
      <c r="D3984" s="68"/>
      <c r="E3984" s="69"/>
      <c r="F3984" s="69"/>
      <c r="G3984" s="65"/>
      <c r="H3984" s="65"/>
      <c r="I3984" s="70"/>
      <c r="J3984" s="71"/>
      <c r="K3984" s="71"/>
      <c r="L3984" s="72" t="str">
        <f>IFERROR(IF(G3984="","",VLOOKUP($G3984,[1]基础信息!$B:$C,2,FALSE)+SUMIF(G$8:G3984,G3984,J$8:J3984)-SUMIF(G$8:G3984,G3984,K$8:K3984)+SUMIFS([1]内部转账!$G:$G,[1]内部转账!$C:$C,"&lt;="&amp;$D3984,[1]内部转账!$E:$E,$G3984)-SUMIFS([1]内部转账!$G:$G,[1]内部转账!$C:$C,"&lt;="&amp;$D3984,[1]内部转账!$F:$F,$G3984)),"")</f>
        <v/>
      </c>
      <c r="M3984" s="64"/>
      <c r="N3984" s="69"/>
      <c r="O3984" s="64"/>
      <c r="P3984" s="64"/>
      <c r="Q3984" s="69"/>
      <c r="R3984" s="69"/>
      <c r="S3984" s="69"/>
    </row>
    <row r="3985" s="2" customFormat="1" ht="24.95" customHeight="1" spans="1:19">
      <c r="A3985" s="15"/>
      <c r="B3985" s="55"/>
      <c r="C3985" s="56"/>
      <c r="D3985" s="68"/>
      <c r="E3985" s="69"/>
      <c r="F3985" s="69"/>
      <c r="G3985" s="65"/>
      <c r="H3985" s="65"/>
      <c r="I3985" s="70"/>
      <c r="J3985" s="71"/>
      <c r="K3985" s="71"/>
      <c r="L3985" s="72" t="str">
        <f>IFERROR(IF(G3985="","",VLOOKUP($G3985,[1]基础信息!$B:$C,2,FALSE)+SUMIF(G$8:G3985,G3985,J$8:J3985)-SUMIF(G$8:G3985,G3985,K$8:K3985)+SUMIFS([1]内部转账!$G:$G,[1]内部转账!$C:$C,"&lt;="&amp;$D3985,[1]内部转账!$E:$E,$G3985)-SUMIFS([1]内部转账!$G:$G,[1]内部转账!$C:$C,"&lt;="&amp;$D3985,[1]内部转账!$F:$F,$G3985)),"")</f>
        <v/>
      </c>
      <c r="M3985" s="64"/>
      <c r="N3985" s="69"/>
      <c r="O3985" s="64"/>
      <c r="P3985" s="64"/>
      <c r="Q3985" s="69"/>
      <c r="R3985" s="69"/>
      <c r="S3985" s="69"/>
    </row>
    <row r="3986" s="2" customFormat="1" ht="24.95" customHeight="1" spans="1:19">
      <c r="A3986" s="15"/>
      <c r="B3986" s="55"/>
      <c r="C3986" s="56"/>
      <c r="D3986" s="68"/>
      <c r="E3986" s="69"/>
      <c r="F3986" s="69"/>
      <c r="G3986" s="65"/>
      <c r="H3986" s="65"/>
      <c r="I3986" s="70"/>
      <c r="J3986" s="71"/>
      <c r="K3986" s="71"/>
      <c r="L3986" s="72" t="str">
        <f>IFERROR(IF(G3986="","",VLOOKUP($G3986,[1]基础信息!$B:$C,2,FALSE)+SUMIF(G$8:G3986,G3986,J$8:J3986)-SUMIF(G$8:G3986,G3986,K$8:K3986)+SUMIFS([1]内部转账!$G:$G,[1]内部转账!$C:$C,"&lt;="&amp;$D3986,[1]内部转账!$E:$E,$G3986)-SUMIFS([1]内部转账!$G:$G,[1]内部转账!$C:$C,"&lt;="&amp;$D3986,[1]内部转账!$F:$F,$G3986)),"")</f>
        <v/>
      </c>
      <c r="M3986" s="64"/>
      <c r="N3986" s="69"/>
      <c r="O3986" s="64"/>
      <c r="P3986" s="64"/>
      <c r="Q3986" s="69"/>
      <c r="R3986" s="69"/>
      <c r="S3986" s="69"/>
    </row>
    <row r="3987" s="2" customFormat="1" ht="24.95" customHeight="1" spans="1:19">
      <c r="A3987" s="15"/>
      <c r="B3987" s="55"/>
      <c r="C3987" s="56"/>
      <c r="D3987" s="68"/>
      <c r="E3987" s="69"/>
      <c r="F3987" s="69"/>
      <c r="G3987" s="65"/>
      <c r="H3987" s="65"/>
      <c r="I3987" s="70"/>
      <c r="J3987" s="71"/>
      <c r="K3987" s="71"/>
      <c r="L3987" s="72" t="str">
        <f>IFERROR(IF(G3987="","",VLOOKUP($G3987,[1]基础信息!$B:$C,2,FALSE)+SUMIF(G$8:G3987,G3987,J$8:J3987)-SUMIF(G$8:G3987,G3987,K$8:K3987)+SUMIFS([1]内部转账!$G:$G,[1]内部转账!$C:$C,"&lt;="&amp;$D3987,[1]内部转账!$E:$E,$G3987)-SUMIFS([1]内部转账!$G:$G,[1]内部转账!$C:$C,"&lt;="&amp;$D3987,[1]内部转账!$F:$F,$G3987)),"")</f>
        <v/>
      </c>
      <c r="M3987" s="64"/>
      <c r="N3987" s="69"/>
      <c r="O3987" s="64"/>
      <c r="P3987" s="64"/>
      <c r="Q3987" s="69"/>
      <c r="R3987" s="69"/>
      <c r="S3987" s="69"/>
    </row>
    <row r="3988" s="2" customFormat="1" ht="24.95" customHeight="1" spans="1:19">
      <c r="A3988" s="15"/>
      <c r="B3988" s="55"/>
      <c r="C3988" s="56"/>
      <c r="D3988" s="68"/>
      <c r="E3988" s="69"/>
      <c r="F3988" s="69"/>
      <c r="G3988" s="65"/>
      <c r="H3988" s="65"/>
      <c r="I3988" s="70"/>
      <c r="J3988" s="71"/>
      <c r="K3988" s="71"/>
      <c r="L3988" s="72" t="str">
        <f>IFERROR(IF(G3988="","",VLOOKUP($G3988,[1]基础信息!$B:$C,2,FALSE)+SUMIF(G$8:G3988,G3988,J$8:J3988)-SUMIF(G$8:G3988,G3988,K$8:K3988)+SUMIFS([1]内部转账!$G:$G,[1]内部转账!$C:$C,"&lt;="&amp;$D3988,[1]内部转账!$E:$E,$G3988)-SUMIFS([1]内部转账!$G:$G,[1]内部转账!$C:$C,"&lt;="&amp;$D3988,[1]内部转账!$F:$F,$G3988)),"")</f>
        <v/>
      </c>
      <c r="M3988" s="64"/>
      <c r="N3988" s="69"/>
      <c r="O3988" s="64"/>
      <c r="P3988" s="64"/>
      <c r="Q3988" s="69"/>
      <c r="R3988" s="69"/>
      <c r="S3988" s="69"/>
    </row>
    <row r="3989" s="2" customFormat="1" ht="24.95" customHeight="1" spans="1:19">
      <c r="A3989" s="15"/>
      <c r="B3989" s="55"/>
      <c r="C3989" s="56"/>
      <c r="D3989" s="68"/>
      <c r="E3989" s="69"/>
      <c r="F3989" s="69"/>
      <c r="G3989" s="65"/>
      <c r="H3989" s="65"/>
      <c r="I3989" s="70"/>
      <c r="J3989" s="71"/>
      <c r="K3989" s="71"/>
      <c r="L3989" s="72" t="str">
        <f>IFERROR(IF(G3989="","",VLOOKUP($G3989,[1]基础信息!$B:$C,2,FALSE)+SUMIF(G$8:G3989,G3989,J$8:J3989)-SUMIF(G$8:G3989,G3989,K$8:K3989)+SUMIFS([1]内部转账!$G:$G,[1]内部转账!$C:$C,"&lt;="&amp;$D3989,[1]内部转账!$E:$E,$G3989)-SUMIFS([1]内部转账!$G:$G,[1]内部转账!$C:$C,"&lt;="&amp;$D3989,[1]内部转账!$F:$F,$G3989)),"")</f>
        <v/>
      </c>
      <c r="M3989" s="64"/>
      <c r="N3989" s="69"/>
      <c r="O3989" s="64"/>
      <c r="P3989" s="64"/>
      <c r="Q3989" s="69"/>
      <c r="R3989" s="69"/>
      <c r="S3989" s="69"/>
    </row>
    <row r="3990" s="2" customFormat="1" ht="24.95" customHeight="1" spans="1:19">
      <c r="A3990" s="15"/>
      <c r="B3990" s="55"/>
      <c r="C3990" s="56"/>
      <c r="D3990" s="68"/>
      <c r="E3990" s="69"/>
      <c r="F3990" s="69"/>
      <c r="G3990" s="65"/>
      <c r="H3990" s="65"/>
      <c r="I3990" s="70"/>
      <c r="J3990" s="71"/>
      <c r="K3990" s="71"/>
      <c r="L3990" s="72" t="str">
        <f>IFERROR(IF(G3990="","",VLOOKUP($G3990,[1]基础信息!$B:$C,2,FALSE)+SUMIF(G$8:G3990,G3990,J$8:J3990)-SUMIF(G$8:G3990,G3990,K$8:K3990)+SUMIFS([1]内部转账!$G:$G,[1]内部转账!$C:$C,"&lt;="&amp;$D3990,[1]内部转账!$E:$E,$G3990)-SUMIFS([1]内部转账!$G:$G,[1]内部转账!$C:$C,"&lt;="&amp;$D3990,[1]内部转账!$F:$F,$G3990)),"")</f>
        <v/>
      </c>
      <c r="M3990" s="64"/>
      <c r="N3990" s="69"/>
      <c r="O3990" s="64"/>
      <c r="P3990" s="64"/>
      <c r="Q3990" s="69"/>
      <c r="R3990" s="69"/>
      <c r="S3990" s="69"/>
    </row>
    <row r="3991" s="2" customFormat="1" ht="24.95" customHeight="1" spans="1:19">
      <c r="A3991" s="15"/>
      <c r="B3991" s="55"/>
      <c r="C3991" s="56"/>
      <c r="D3991" s="68"/>
      <c r="E3991" s="69"/>
      <c r="F3991" s="69"/>
      <c r="G3991" s="65"/>
      <c r="H3991" s="65"/>
      <c r="I3991" s="70"/>
      <c r="J3991" s="71"/>
      <c r="K3991" s="71"/>
      <c r="L3991" s="72" t="str">
        <f>IFERROR(IF(G3991="","",VLOOKUP($G3991,[1]基础信息!$B:$C,2,FALSE)+SUMIF(G$8:G3991,G3991,J$8:J3991)-SUMIF(G$8:G3991,G3991,K$8:K3991)+SUMIFS([1]内部转账!$G:$G,[1]内部转账!$C:$C,"&lt;="&amp;$D3991,[1]内部转账!$E:$E,$G3991)-SUMIFS([1]内部转账!$G:$G,[1]内部转账!$C:$C,"&lt;="&amp;$D3991,[1]内部转账!$F:$F,$G3991)),"")</f>
        <v/>
      </c>
      <c r="M3991" s="64"/>
      <c r="N3991" s="69"/>
      <c r="O3991" s="64"/>
      <c r="P3991" s="64"/>
      <c r="Q3991" s="69"/>
      <c r="R3991" s="69"/>
      <c r="S3991" s="69"/>
    </row>
    <row r="3992" s="2" customFormat="1" ht="24.95" customHeight="1" spans="1:19">
      <c r="A3992" s="15"/>
      <c r="B3992" s="55"/>
      <c r="C3992" s="56"/>
      <c r="D3992" s="68"/>
      <c r="E3992" s="69"/>
      <c r="F3992" s="69"/>
      <c r="G3992" s="65"/>
      <c r="H3992" s="65"/>
      <c r="I3992" s="70"/>
      <c r="J3992" s="71"/>
      <c r="K3992" s="71"/>
      <c r="L3992" s="72" t="str">
        <f>IFERROR(IF(G3992="","",VLOOKUP($G3992,[1]基础信息!$B:$C,2,FALSE)+SUMIF(G$8:G3992,G3992,J$8:J3992)-SUMIF(G$8:G3992,G3992,K$8:K3992)+SUMIFS([1]内部转账!$G:$G,[1]内部转账!$C:$C,"&lt;="&amp;$D3992,[1]内部转账!$E:$E,$G3992)-SUMIFS([1]内部转账!$G:$G,[1]内部转账!$C:$C,"&lt;="&amp;$D3992,[1]内部转账!$F:$F,$G3992)),"")</f>
        <v/>
      </c>
      <c r="M3992" s="64"/>
      <c r="N3992" s="69"/>
      <c r="O3992" s="64"/>
      <c r="P3992" s="64"/>
      <c r="Q3992" s="69"/>
      <c r="R3992" s="69"/>
      <c r="S3992" s="69"/>
    </row>
    <row r="3993" s="2" customFormat="1" ht="24.95" customHeight="1" spans="1:19">
      <c r="A3993" s="15"/>
      <c r="B3993" s="55"/>
      <c r="C3993" s="56"/>
      <c r="D3993" s="68"/>
      <c r="E3993" s="69"/>
      <c r="F3993" s="69"/>
      <c r="G3993" s="65"/>
      <c r="H3993" s="65"/>
      <c r="I3993" s="70"/>
      <c r="J3993" s="71"/>
      <c r="K3993" s="71"/>
      <c r="L3993" s="72" t="str">
        <f>IFERROR(IF(G3993="","",VLOOKUP($G3993,[1]基础信息!$B:$C,2,FALSE)+SUMIF(G$8:G3993,G3993,J$8:J3993)-SUMIF(G$8:G3993,G3993,K$8:K3993)+SUMIFS([1]内部转账!$G:$G,[1]内部转账!$C:$C,"&lt;="&amp;$D3993,[1]内部转账!$E:$E,$G3993)-SUMIFS([1]内部转账!$G:$G,[1]内部转账!$C:$C,"&lt;="&amp;$D3993,[1]内部转账!$F:$F,$G3993)),"")</f>
        <v/>
      </c>
      <c r="M3993" s="64"/>
      <c r="N3993" s="69"/>
      <c r="O3993" s="64"/>
      <c r="P3993" s="64"/>
      <c r="Q3993" s="69"/>
      <c r="R3993" s="69"/>
      <c r="S3993" s="69"/>
    </row>
    <row r="3994" s="2" customFormat="1" ht="24.95" customHeight="1" spans="1:19">
      <c r="A3994" s="15"/>
      <c r="B3994" s="55"/>
      <c r="C3994" s="56"/>
      <c r="D3994" s="68"/>
      <c r="E3994" s="69"/>
      <c r="F3994" s="69"/>
      <c r="G3994" s="65"/>
      <c r="H3994" s="65"/>
      <c r="I3994" s="70"/>
      <c r="J3994" s="71"/>
      <c r="K3994" s="71"/>
      <c r="L3994" s="72" t="str">
        <f>IFERROR(IF(G3994="","",VLOOKUP($G3994,[1]基础信息!$B:$C,2,FALSE)+SUMIF(G$8:G3994,G3994,J$8:J3994)-SUMIF(G$8:G3994,G3994,K$8:K3994)+SUMIFS([1]内部转账!$G:$G,[1]内部转账!$C:$C,"&lt;="&amp;$D3994,[1]内部转账!$E:$E,$G3994)-SUMIFS([1]内部转账!$G:$G,[1]内部转账!$C:$C,"&lt;="&amp;$D3994,[1]内部转账!$F:$F,$G3994)),"")</f>
        <v/>
      </c>
      <c r="M3994" s="64"/>
      <c r="N3994" s="69"/>
      <c r="O3994" s="64"/>
      <c r="P3994" s="64"/>
      <c r="Q3994" s="69"/>
      <c r="R3994" s="69"/>
      <c r="S3994" s="69"/>
    </row>
    <row r="3995" s="2" customFormat="1" ht="24.95" customHeight="1" spans="1:19">
      <c r="A3995" s="15"/>
      <c r="B3995" s="55"/>
      <c r="C3995" s="56"/>
      <c r="D3995" s="68"/>
      <c r="E3995" s="69"/>
      <c r="F3995" s="69"/>
      <c r="G3995" s="65"/>
      <c r="H3995" s="65"/>
      <c r="I3995" s="70"/>
      <c r="J3995" s="71"/>
      <c r="K3995" s="71"/>
      <c r="L3995" s="72" t="str">
        <f>IFERROR(IF(G3995="","",VLOOKUP($G3995,[1]基础信息!$B:$C,2,FALSE)+SUMIF(G$8:G3995,G3995,J$8:J3995)-SUMIF(G$8:G3995,G3995,K$8:K3995)+SUMIFS([1]内部转账!$G:$G,[1]内部转账!$C:$C,"&lt;="&amp;$D3995,[1]内部转账!$E:$E,$G3995)-SUMIFS([1]内部转账!$G:$G,[1]内部转账!$C:$C,"&lt;="&amp;$D3995,[1]内部转账!$F:$F,$G3995)),"")</f>
        <v/>
      </c>
      <c r="M3995" s="64"/>
      <c r="N3995" s="69"/>
      <c r="O3995" s="64"/>
      <c r="P3995" s="64"/>
      <c r="Q3995" s="69"/>
      <c r="R3995" s="69"/>
      <c r="S3995" s="69"/>
    </row>
    <row r="3996" s="2" customFormat="1" ht="24.95" customHeight="1" spans="1:19">
      <c r="A3996" s="15"/>
      <c r="B3996" s="55"/>
      <c r="C3996" s="56"/>
      <c r="D3996" s="68"/>
      <c r="E3996" s="69"/>
      <c r="F3996" s="69"/>
      <c r="G3996" s="65"/>
      <c r="H3996" s="65"/>
      <c r="I3996" s="70"/>
      <c r="J3996" s="71"/>
      <c r="K3996" s="71"/>
      <c r="L3996" s="72" t="str">
        <f>IFERROR(IF(G3996="","",VLOOKUP($G3996,[1]基础信息!$B:$C,2,FALSE)+SUMIF(G$8:G3996,G3996,J$8:J3996)-SUMIF(G$8:G3996,G3996,K$8:K3996)+SUMIFS([1]内部转账!$G:$G,[1]内部转账!$C:$C,"&lt;="&amp;$D3996,[1]内部转账!$E:$E,$G3996)-SUMIFS([1]内部转账!$G:$G,[1]内部转账!$C:$C,"&lt;="&amp;$D3996,[1]内部转账!$F:$F,$G3996)),"")</f>
        <v/>
      </c>
      <c r="M3996" s="64"/>
      <c r="N3996" s="69"/>
      <c r="O3996" s="64"/>
      <c r="P3996" s="64"/>
      <c r="Q3996" s="69"/>
      <c r="R3996" s="69"/>
      <c r="S3996" s="69"/>
    </row>
    <row r="3997" s="2" customFormat="1" ht="24.95" customHeight="1" spans="1:19">
      <c r="A3997" s="15"/>
      <c r="B3997" s="55"/>
      <c r="C3997" s="56"/>
      <c r="D3997" s="68"/>
      <c r="E3997" s="69"/>
      <c r="F3997" s="69"/>
      <c r="G3997" s="65"/>
      <c r="H3997" s="65"/>
      <c r="I3997" s="70"/>
      <c r="J3997" s="71"/>
      <c r="K3997" s="71"/>
      <c r="L3997" s="72" t="str">
        <f>IFERROR(IF(G3997="","",VLOOKUP($G3997,[1]基础信息!$B:$C,2,FALSE)+SUMIF(G$8:G3997,G3997,J$8:J3997)-SUMIF(G$8:G3997,G3997,K$8:K3997)+SUMIFS([1]内部转账!$G:$G,[1]内部转账!$C:$C,"&lt;="&amp;$D3997,[1]内部转账!$E:$E,$G3997)-SUMIFS([1]内部转账!$G:$G,[1]内部转账!$C:$C,"&lt;="&amp;$D3997,[1]内部转账!$F:$F,$G3997)),"")</f>
        <v/>
      </c>
      <c r="M3997" s="64"/>
      <c r="N3997" s="69"/>
      <c r="O3997" s="64"/>
      <c r="P3997" s="64"/>
      <c r="Q3997" s="69"/>
      <c r="R3997" s="69"/>
      <c r="S3997" s="69"/>
    </row>
    <row r="3998" s="2" customFormat="1" ht="24.95" customHeight="1" spans="1:19">
      <c r="A3998" s="15"/>
      <c r="B3998" s="55"/>
      <c r="C3998" s="56"/>
      <c r="D3998" s="68"/>
      <c r="E3998" s="69"/>
      <c r="F3998" s="69"/>
      <c r="G3998" s="65"/>
      <c r="H3998" s="65"/>
      <c r="I3998" s="70"/>
      <c r="J3998" s="71"/>
      <c r="K3998" s="71"/>
      <c r="L3998" s="72" t="str">
        <f>IFERROR(IF(G3998="","",VLOOKUP($G3998,[1]基础信息!$B:$C,2,FALSE)+SUMIF(G$8:G3998,G3998,J$8:J3998)-SUMIF(G$8:G3998,G3998,K$8:K3998)+SUMIFS([1]内部转账!$G:$G,[1]内部转账!$C:$C,"&lt;="&amp;$D3998,[1]内部转账!$E:$E,$G3998)-SUMIFS([1]内部转账!$G:$G,[1]内部转账!$C:$C,"&lt;="&amp;$D3998,[1]内部转账!$F:$F,$G3998)),"")</f>
        <v/>
      </c>
      <c r="M3998" s="64"/>
      <c r="N3998" s="69"/>
      <c r="O3998" s="64"/>
      <c r="P3998" s="64"/>
      <c r="Q3998" s="69"/>
      <c r="R3998" s="69"/>
      <c r="S3998" s="69"/>
    </row>
    <row r="3999" s="2" customFormat="1" ht="24.95" customHeight="1" spans="1:19">
      <c r="A3999" s="15"/>
      <c r="B3999" s="55"/>
      <c r="C3999" s="56"/>
      <c r="D3999" s="68"/>
      <c r="E3999" s="69"/>
      <c r="F3999" s="69"/>
      <c r="G3999" s="65"/>
      <c r="H3999" s="65"/>
      <c r="I3999" s="70"/>
      <c r="J3999" s="71"/>
      <c r="K3999" s="71"/>
      <c r="L3999" s="72" t="str">
        <f>IFERROR(IF(G3999="","",VLOOKUP($G3999,[1]基础信息!$B:$C,2,FALSE)+SUMIF(G$8:G3999,G3999,J$8:J3999)-SUMIF(G$8:G3999,G3999,K$8:K3999)+SUMIFS([1]内部转账!$G:$G,[1]内部转账!$C:$C,"&lt;="&amp;$D3999,[1]内部转账!$E:$E,$G3999)-SUMIFS([1]内部转账!$G:$G,[1]内部转账!$C:$C,"&lt;="&amp;$D3999,[1]内部转账!$F:$F,$G3999)),"")</f>
        <v/>
      </c>
      <c r="M3999" s="64"/>
      <c r="N3999" s="69"/>
      <c r="O3999" s="64"/>
      <c r="P3999" s="64"/>
      <c r="Q3999" s="69"/>
      <c r="R3999" s="69"/>
      <c r="S3999" s="69"/>
    </row>
    <row r="4000" s="2" customFormat="1" ht="24.95" customHeight="1" spans="1:19">
      <c r="A4000" s="15"/>
      <c r="B4000" s="55"/>
      <c r="C4000" s="56"/>
      <c r="D4000" s="68"/>
      <c r="E4000" s="69"/>
      <c r="F4000" s="69"/>
      <c r="G4000" s="65"/>
      <c r="H4000" s="65"/>
      <c r="I4000" s="70"/>
      <c r="J4000" s="71"/>
      <c r="K4000" s="71"/>
      <c r="L4000" s="72" t="str">
        <f>IFERROR(IF(G4000="","",VLOOKUP($G4000,[1]基础信息!$B:$C,2,FALSE)+SUMIF(G$8:G4000,G4000,J$8:J4000)-SUMIF(G$8:G4000,G4000,K$8:K4000)+SUMIFS([1]内部转账!$G:$G,[1]内部转账!$C:$C,"&lt;="&amp;$D4000,[1]内部转账!$E:$E,$G4000)-SUMIFS([1]内部转账!$G:$G,[1]内部转账!$C:$C,"&lt;="&amp;$D4000,[1]内部转账!$F:$F,$G4000)),"")</f>
        <v/>
      </c>
      <c r="M4000" s="64"/>
      <c r="N4000" s="69"/>
      <c r="O4000" s="64"/>
      <c r="P4000" s="64"/>
      <c r="Q4000" s="69"/>
      <c r="R4000" s="69"/>
      <c r="S4000" s="69"/>
    </row>
    <row r="4001" s="2" customFormat="1" ht="24.95" customHeight="1" spans="1:19">
      <c r="A4001" s="15"/>
      <c r="B4001" s="55"/>
      <c r="C4001" s="56"/>
      <c r="D4001" s="68"/>
      <c r="E4001" s="69"/>
      <c r="F4001" s="69"/>
      <c r="G4001" s="65"/>
      <c r="H4001" s="65"/>
      <c r="I4001" s="70"/>
      <c r="J4001" s="71"/>
      <c r="K4001" s="71"/>
      <c r="L4001" s="72" t="str">
        <f>IFERROR(IF(G4001="","",VLOOKUP($G4001,[1]基础信息!$B:$C,2,FALSE)+SUMIF(G$8:G4001,G4001,J$8:J4001)-SUMIF(G$8:G4001,G4001,K$8:K4001)+SUMIFS([1]内部转账!$G:$G,[1]内部转账!$C:$C,"&lt;="&amp;$D4001,[1]内部转账!$E:$E,$G4001)-SUMIFS([1]内部转账!$G:$G,[1]内部转账!$C:$C,"&lt;="&amp;$D4001,[1]内部转账!$F:$F,$G4001)),"")</f>
        <v/>
      </c>
      <c r="M4001" s="64"/>
      <c r="N4001" s="69"/>
      <c r="O4001" s="64"/>
      <c r="P4001" s="64"/>
      <c r="Q4001" s="69"/>
      <c r="R4001" s="69"/>
      <c r="S4001" s="69"/>
    </row>
    <row r="4002" s="2" customFormat="1" ht="24.95" customHeight="1" spans="1:19">
      <c r="A4002" s="15"/>
      <c r="B4002" s="55"/>
      <c r="C4002" s="56"/>
      <c r="D4002" s="68"/>
      <c r="E4002" s="69"/>
      <c r="F4002" s="69"/>
      <c r="G4002" s="65"/>
      <c r="H4002" s="65"/>
      <c r="I4002" s="70"/>
      <c r="J4002" s="71"/>
      <c r="K4002" s="71"/>
      <c r="L4002" s="72" t="str">
        <f>IFERROR(IF(G4002="","",VLOOKUP($G4002,[1]基础信息!$B:$C,2,FALSE)+SUMIF(G$8:G4002,G4002,J$8:J4002)-SUMIF(G$8:G4002,G4002,K$8:K4002)+SUMIFS([1]内部转账!$G:$G,[1]内部转账!$C:$C,"&lt;="&amp;$D4002,[1]内部转账!$E:$E,$G4002)-SUMIFS([1]内部转账!$G:$G,[1]内部转账!$C:$C,"&lt;="&amp;$D4002,[1]内部转账!$F:$F,$G4002)),"")</f>
        <v/>
      </c>
      <c r="M4002" s="64"/>
      <c r="N4002" s="69"/>
      <c r="O4002" s="64"/>
      <c r="P4002" s="64"/>
      <c r="Q4002" s="69"/>
      <c r="R4002" s="69"/>
      <c r="S4002" s="69"/>
    </row>
    <row r="4003" s="2" customFormat="1" ht="24.95" customHeight="1" spans="1:19">
      <c r="A4003" s="15"/>
      <c r="B4003" s="55"/>
      <c r="C4003" s="56"/>
      <c r="D4003" s="68"/>
      <c r="E4003" s="69"/>
      <c r="F4003" s="69"/>
      <c r="G4003" s="65"/>
      <c r="H4003" s="65"/>
      <c r="I4003" s="70"/>
      <c r="J4003" s="71"/>
      <c r="K4003" s="71"/>
      <c r="L4003" s="72" t="str">
        <f>IFERROR(IF(G4003="","",VLOOKUP($G4003,[1]基础信息!$B:$C,2,FALSE)+SUMIF(G$8:G4003,G4003,J$8:J4003)-SUMIF(G$8:G4003,G4003,K$8:K4003)+SUMIFS([1]内部转账!$G:$G,[1]内部转账!$C:$C,"&lt;="&amp;$D4003,[1]内部转账!$E:$E,$G4003)-SUMIFS([1]内部转账!$G:$G,[1]内部转账!$C:$C,"&lt;="&amp;$D4003,[1]内部转账!$F:$F,$G4003)),"")</f>
        <v/>
      </c>
      <c r="M4003" s="64"/>
      <c r="N4003" s="69"/>
      <c r="O4003" s="64"/>
      <c r="P4003" s="64"/>
      <c r="Q4003" s="69"/>
      <c r="R4003" s="69"/>
      <c r="S4003" s="69"/>
    </row>
    <row r="4004" s="2" customFormat="1" ht="24.95" customHeight="1" spans="1:19">
      <c r="A4004" s="15"/>
      <c r="B4004" s="55"/>
      <c r="C4004" s="56"/>
      <c r="D4004" s="68"/>
      <c r="E4004" s="69"/>
      <c r="F4004" s="69"/>
      <c r="G4004" s="65"/>
      <c r="H4004" s="65"/>
      <c r="I4004" s="70"/>
      <c r="J4004" s="71"/>
      <c r="K4004" s="71"/>
      <c r="L4004" s="72" t="str">
        <f>IFERROR(IF(G4004="","",VLOOKUP($G4004,[1]基础信息!$B:$C,2,FALSE)+SUMIF(G$8:G4004,G4004,J$8:J4004)-SUMIF(G$8:G4004,G4004,K$8:K4004)+SUMIFS([1]内部转账!$G:$G,[1]内部转账!$C:$C,"&lt;="&amp;$D4004,[1]内部转账!$E:$E,$G4004)-SUMIFS([1]内部转账!$G:$G,[1]内部转账!$C:$C,"&lt;="&amp;$D4004,[1]内部转账!$F:$F,$G4004)),"")</f>
        <v/>
      </c>
      <c r="M4004" s="64"/>
      <c r="N4004" s="69"/>
      <c r="O4004" s="64"/>
      <c r="P4004" s="64"/>
      <c r="Q4004" s="69"/>
      <c r="R4004" s="69"/>
      <c r="S4004" s="69"/>
    </row>
    <row r="4005" s="2" customFormat="1" ht="24.95" customHeight="1" spans="1:19">
      <c r="A4005" s="15"/>
      <c r="B4005" s="55"/>
      <c r="C4005" s="56"/>
      <c r="D4005" s="68"/>
      <c r="E4005" s="69"/>
      <c r="F4005" s="69"/>
      <c r="G4005" s="65"/>
      <c r="H4005" s="65"/>
      <c r="I4005" s="70"/>
      <c r="J4005" s="71"/>
      <c r="K4005" s="71"/>
      <c r="L4005" s="72" t="str">
        <f>IFERROR(IF(G4005="","",VLOOKUP($G4005,[1]基础信息!$B:$C,2,FALSE)+SUMIF(G$8:G4005,G4005,J$8:J4005)-SUMIF(G$8:G4005,G4005,K$8:K4005)+SUMIFS([1]内部转账!$G:$G,[1]内部转账!$C:$C,"&lt;="&amp;$D4005,[1]内部转账!$E:$E,$G4005)-SUMIFS([1]内部转账!$G:$G,[1]内部转账!$C:$C,"&lt;="&amp;$D4005,[1]内部转账!$F:$F,$G4005)),"")</f>
        <v/>
      </c>
      <c r="M4005" s="64"/>
      <c r="N4005" s="69"/>
      <c r="O4005" s="64"/>
      <c r="P4005" s="64"/>
      <c r="Q4005" s="69"/>
      <c r="R4005" s="69"/>
      <c r="S4005" s="69"/>
    </row>
    <row r="4006" s="2" customFormat="1" ht="24.95" customHeight="1" spans="1:19">
      <c r="A4006" s="15"/>
      <c r="B4006" s="55"/>
      <c r="C4006" s="56"/>
      <c r="D4006" s="68"/>
      <c r="E4006" s="69"/>
      <c r="F4006" s="69"/>
      <c r="G4006" s="65"/>
      <c r="H4006" s="65"/>
      <c r="I4006" s="70"/>
      <c r="J4006" s="71"/>
      <c r="K4006" s="71"/>
      <c r="L4006" s="72" t="str">
        <f>IFERROR(IF(G4006="","",VLOOKUP($G4006,[1]基础信息!$B:$C,2,FALSE)+SUMIF(G$8:G4006,G4006,J$8:J4006)-SUMIF(G$8:G4006,G4006,K$8:K4006)+SUMIFS([1]内部转账!$G:$G,[1]内部转账!$C:$C,"&lt;="&amp;$D4006,[1]内部转账!$E:$E,$G4006)-SUMIFS([1]内部转账!$G:$G,[1]内部转账!$C:$C,"&lt;="&amp;$D4006,[1]内部转账!$F:$F,$G4006)),"")</f>
        <v/>
      </c>
      <c r="M4006" s="64"/>
      <c r="N4006" s="69"/>
      <c r="O4006" s="64"/>
      <c r="P4006" s="64"/>
      <c r="Q4006" s="69"/>
      <c r="R4006" s="69"/>
      <c r="S4006" s="69"/>
    </row>
    <row r="4007" s="2" customFormat="1" ht="24.95" customHeight="1" spans="1:19">
      <c r="A4007" s="15"/>
      <c r="B4007" s="55"/>
      <c r="C4007" s="56"/>
      <c r="D4007" s="68"/>
      <c r="E4007" s="69"/>
      <c r="F4007" s="69"/>
      <c r="G4007" s="65"/>
      <c r="H4007" s="65"/>
      <c r="I4007" s="70"/>
      <c r="J4007" s="71"/>
      <c r="K4007" s="71"/>
      <c r="L4007" s="72" t="str">
        <f>IFERROR(IF(G4007="","",VLOOKUP($G4007,[1]基础信息!$B:$C,2,FALSE)+SUMIF(G$8:G4007,G4007,J$8:J4007)-SUMIF(G$8:G4007,G4007,K$8:K4007)+SUMIFS([1]内部转账!$G:$G,[1]内部转账!$C:$C,"&lt;="&amp;$D4007,[1]内部转账!$E:$E,$G4007)-SUMIFS([1]内部转账!$G:$G,[1]内部转账!$C:$C,"&lt;="&amp;$D4007,[1]内部转账!$F:$F,$G4007)),"")</f>
        <v/>
      </c>
      <c r="M4007" s="64"/>
      <c r="N4007" s="69"/>
      <c r="O4007" s="64"/>
      <c r="P4007" s="64"/>
      <c r="Q4007" s="69"/>
      <c r="R4007" s="69"/>
      <c r="S4007" s="69"/>
    </row>
    <row r="4008" s="2" customFormat="1" ht="24.95" customHeight="1" spans="1:19">
      <c r="A4008" s="15"/>
      <c r="B4008" s="55"/>
      <c r="C4008" s="56"/>
      <c r="D4008" s="68"/>
      <c r="E4008" s="69"/>
      <c r="F4008" s="69"/>
      <c r="G4008" s="65"/>
      <c r="H4008" s="65"/>
      <c r="I4008" s="70"/>
      <c r="J4008" s="71"/>
      <c r="K4008" s="71"/>
      <c r="L4008" s="72" t="str">
        <f>IFERROR(IF(G4008="","",VLOOKUP($G4008,[1]基础信息!$B:$C,2,FALSE)+SUMIF(G$8:G4008,G4008,J$8:J4008)-SUMIF(G$8:G4008,G4008,K$8:K4008)+SUMIFS([1]内部转账!$G:$G,[1]内部转账!$C:$C,"&lt;="&amp;$D4008,[1]内部转账!$E:$E,$G4008)-SUMIFS([1]内部转账!$G:$G,[1]内部转账!$C:$C,"&lt;="&amp;$D4008,[1]内部转账!$F:$F,$G4008)),"")</f>
        <v/>
      </c>
      <c r="M4008" s="64"/>
      <c r="N4008" s="69"/>
      <c r="O4008" s="64"/>
      <c r="P4008" s="64"/>
      <c r="Q4008" s="69"/>
      <c r="R4008" s="69"/>
      <c r="S4008" s="69"/>
    </row>
    <row r="4009" s="2" customFormat="1" ht="24.95" customHeight="1" spans="1:19">
      <c r="A4009" s="15"/>
      <c r="B4009" s="55"/>
      <c r="C4009" s="56"/>
      <c r="D4009" s="68"/>
      <c r="E4009" s="69"/>
      <c r="F4009" s="69"/>
      <c r="G4009" s="65"/>
      <c r="H4009" s="65"/>
      <c r="I4009" s="70"/>
      <c r="J4009" s="71"/>
      <c r="K4009" s="71"/>
      <c r="L4009" s="72" t="str">
        <f>IFERROR(IF(G4009="","",VLOOKUP($G4009,[1]基础信息!$B:$C,2,FALSE)+SUMIF(G$8:G4009,G4009,J$8:J4009)-SUMIF(G$8:G4009,G4009,K$8:K4009)+SUMIFS([1]内部转账!$G:$G,[1]内部转账!$C:$C,"&lt;="&amp;$D4009,[1]内部转账!$E:$E,$G4009)-SUMIFS([1]内部转账!$G:$G,[1]内部转账!$C:$C,"&lt;="&amp;$D4009,[1]内部转账!$F:$F,$G4009)),"")</f>
        <v/>
      </c>
      <c r="M4009" s="64"/>
      <c r="N4009" s="69"/>
      <c r="O4009" s="64"/>
      <c r="P4009" s="64"/>
      <c r="Q4009" s="69"/>
      <c r="R4009" s="69"/>
      <c r="S4009" s="69"/>
    </row>
    <row r="4010" s="2" customFormat="1" ht="24.95" customHeight="1" spans="1:19">
      <c r="A4010" s="15"/>
      <c r="B4010" s="55"/>
      <c r="C4010" s="56"/>
      <c r="D4010" s="68"/>
      <c r="E4010" s="69"/>
      <c r="F4010" s="69"/>
      <c r="G4010" s="65"/>
      <c r="H4010" s="65"/>
      <c r="I4010" s="70"/>
      <c r="J4010" s="71"/>
      <c r="K4010" s="71"/>
      <c r="L4010" s="72" t="str">
        <f>IFERROR(IF(G4010="","",VLOOKUP($G4010,[1]基础信息!$B:$C,2,FALSE)+SUMIF(G$8:G4010,G4010,J$8:J4010)-SUMIF(G$8:G4010,G4010,K$8:K4010)+SUMIFS([1]内部转账!$G:$G,[1]内部转账!$C:$C,"&lt;="&amp;$D4010,[1]内部转账!$E:$E,$G4010)-SUMIFS([1]内部转账!$G:$G,[1]内部转账!$C:$C,"&lt;="&amp;$D4010,[1]内部转账!$F:$F,$G4010)),"")</f>
        <v/>
      </c>
      <c r="M4010" s="64"/>
      <c r="N4010" s="69"/>
      <c r="O4010" s="64"/>
      <c r="P4010" s="64"/>
      <c r="Q4010" s="69"/>
      <c r="R4010" s="69"/>
      <c r="S4010" s="69"/>
    </row>
    <row r="4011" s="2" customFormat="1" ht="24.95" customHeight="1" spans="1:19">
      <c r="A4011" s="15"/>
      <c r="B4011" s="55"/>
      <c r="C4011" s="56"/>
      <c r="D4011" s="68"/>
      <c r="E4011" s="69"/>
      <c r="F4011" s="69"/>
      <c r="G4011" s="65"/>
      <c r="H4011" s="65"/>
      <c r="I4011" s="70"/>
      <c r="J4011" s="71"/>
      <c r="K4011" s="71"/>
      <c r="L4011" s="72" t="str">
        <f>IFERROR(IF(G4011="","",VLOOKUP($G4011,[1]基础信息!$B:$C,2,FALSE)+SUMIF(G$8:G4011,G4011,J$8:J4011)-SUMIF(G$8:G4011,G4011,K$8:K4011)+SUMIFS([1]内部转账!$G:$G,[1]内部转账!$C:$C,"&lt;="&amp;$D4011,[1]内部转账!$E:$E,$G4011)-SUMIFS([1]内部转账!$G:$G,[1]内部转账!$C:$C,"&lt;="&amp;$D4011,[1]内部转账!$F:$F,$G4011)),"")</f>
        <v/>
      </c>
      <c r="M4011" s="64"/>
      <c r="N4011" s="69"/>
      <c r="O4011" s="64"/>
      <c r="P4011" s="64"/>
      <c r="Q4011" s="69"/>
      <c r="R4011" s="69"/>
      <c r="S4011" s="69"/>
    </row>
    <row r="4012" s="2" customFormat="1" ht="24.95" customHeight="1" spans="1:19">
      <c r="A4012" s="15"/>
      <c r="B4012" s="55"/>
      <c r="C4012" s="56"/>
      <c r="D4012" s="68"/>
      <c r="E4012" s="69"/>
      <c r="F4012" s="69"/>
      <c r="G4012" s="65"/>
      <c r="H4012" s="65"/>
      <c r="I4012" s="70"/>
      <c r="J4012" s="71"/>
      <c r="K4012" s="71"/>
      <c r="L4012" s="72" t="str">
        <f>IFERROR(IF(G4012="","",VLOOKUP($G4012,[1]基础信息!$B:$C,2,FALSE)+SUMIF(G$8:G4012,G4012,J$8:J4012)-SUMIF(G$8:G4012,G4012,K$8:K4012)+SUMIFS([1]内部转账!$G:$G,[1]内部转账!$C:$C,"&lt;="&amp;$D4012,[1]内部转账!$E:$E,$G4012)-SUMIFS([1]内部转账!$G:$G,[1]内部转账!$C:$C,"&lt;="&amp;$D4012,[1]内部转账!$F:$F,$G4012)),"")</f>
        <v/>
      </c>
      <c r="M4012" s="64"/>
      <c r="N4012" s="69"/>
      <c r="O4012" s="64"/>
      <c r="P4012" s="64"/>
      <c r="Q4012" s="69"/>
      <c r="R4012" s="69"/>
      <c r="S4012" s="69"/>
    </row>
    <row r="4013" s="2" customFormat="1" ht="24.95" customHeight="1" spans="1:19">
      <c r="A4013" s="15"/>
      <c r="B4013" s="55"/>
      <c r="C4013" s="56"/>
      <c r="D4013" s="68"/>
      <c r="E4013" s="69"/>
      <c r="F4013" s="69"/>
      <c r="G4013" s="65"/>
      <c r="H4013" s="65"/>
      <c r="I4013" s="70"/>
      <c r="J4013" s="71"/>
      <c r="K4013" s="71"/>
      <c r="L4013" s="72" t="str">
        <f>IFERROR(IF(G4013="","",VLOOKUP($G4013,[1]基础信息!$B:$C,2,FALSE)+SUMIF(G$8:G4013,G4013,J$8:J4013)-SUMIF(G$8:G4013,G4013,K$8:K4013)+SUMIFS([1]内部转账!$G:$G,[1]内部转账!$C:$C,"&lt;="&amp;$D4013,[1]内部转账!$E:$E,$G4013)-SUMIFS([1]内部转账!$G:$G,[1]内部转账!$C:$C,"&lt;="&amp;$D4013,[1]内部转账!$F:$F,$G4013)),"")</f>
        <v/>
      </c>
      <c r="M4013" s="64"/>
      <c r="N4013" s="69"/>
      <c r="O4013" s="64"/>
      <c r="P4013" s="64"/>
      <c r="Q4013" s="69"/>
      <c r="R4013" s="69"/>
      <c r="S4013" s="69"/>
    </row>
    <row r="4014" s="2" customFormat="1" ht="24.95" customHeight="1" spans="1:19">
      <c r="A4014" s="15"/>
      <c r="B4014" s="55"/>
      <c r="C4014" s="56"/>
      <c r="D4014" s="68"/>
      <c r="E4014" s="69"/>
      <c r="F4014" s="69"/>
      <c r="G4014" s="65"/>
      <c r="H4014" s="65"/>
      <c r="I4014" s="70"/>
      <c r="J4014" s="71"/>
      <c r="K4014" s="71"/>
      <c r="L4014" s="72" t="str">
        <f>IFERROR(IF(G4014="","",VLOOKUP($G4014,[1]基础信息!$B:$C,2,FALSE)+SUMIF(G$8:G4014,G4014,J$8:J4014)-SUMIF(G$8:G4014,G4014,K$8:K4014)+SUMIFS([1]内部转账!$G:$G,[1]内部转账!$C:$C,"&lt;="&amp;$D4014,[1]内部转账!$E:$E,$G4014)-SUMIFS([1]内部转账!$G:$G,[1]内部转账!$C:$C,"&lt;="&amp;$D4014,[1]内部转账!$F:$F,$G4014)),"")</f>
        <v/>
      </c>
      <c r="M4014" s="64"/>
      <c r="N4014" s="69"/>
      <c r="O4014" s="64"/>
      <c r="P4014" s="64"/>
      <c r="Q4014" s="69"/>
      <c r="R4014" s="69"/>
      <c r="S4014" s="69"/>
    </row>
    <row r="4015" s="2" customFormat="1" ht="24.95" customHeight="1" spans="1:19">
      <c r="A4015" s="15"/>
      <c r="B4015" s="55"/>
      <c r="C4015" s="56"/>
      <c r="D4015" s="68"/>
      <c r="E4015" s="69"/>
      <c r="F4015" s="69"/>
      <c r="G4015" s="65"/>
      <c r="H4015" s="65"/>
      <c r="I4015" s="70"/>
      <c r="J4015" s="71"/>
      <c r="K4015" s="71"/>
      <c r="L4015" s="72" t="str">
        <f>IFERROR(IF(G4015="","",VLOOKUP($G4015,[1]基础信息!$B:$C,2,FALSE)+SUMIF(G$8:G4015,G4015,J$8:J4015)-SUMIF(G$8:G4015,G4015,K$8:K4015)+SUMIFS([1]内部转账!$G:$G,[1]内部转账!$C:$C,"&lt;="&amp;$D4015,[1]内部转账!$E:$E,$G4015)-SUMIFS([1]内部转账!$G:$G,[1]内部转账!$C:$C,"&lt;="&amp;$D4015,[1]内部转账!$F:$F,$G4015)),"")</f>
        <v/>
      </c>
      <c r="M4015" s="64"/>
      <c r="N4015" s="69"/>
      <c r="O4015" s="64"/>
      <c r="P4015" s="64"/>
      <c r="Q4015" s="69"/>
      <c r="R4015" s="69"/>
      <c r="S4015" s="69"/>
    </row>
    <row r="4016" s="2" customFormat="1" ht="24.95" customHeight="1" spans="1:19">
      <c r="A4016" s="15"/>
      <c r="B4016" s="55"/>
      <c r="C4016" s="56"/>
      <c r="D4016" s="68"/>
      <c r="E4016" s="69"/>
      <c r="F4016" s="69"/>
      <c r="G4016" s="65"/>
      <c r="H4016" s="65"/>
      <c r="I4016" s="70"/>
      <c r="J4016" s="71"/>
      <c r="K4016" s="71"/>
      <c r="L4016" s="72" t="str">
        <f>IFERROR(IF(G4016="","",VLOOKUP($G4016,[1]基础信息!$B:$C,2,FALSE)+SUMIF(G$8:G4016,G4016,J$8:J4016)-SUMIF(G$8:G4016,G4016,K$8:K4016)+SUMIFS([1]内部转账!$G:$G,[1]内部转账!$C:$C,"&lt;="&amp;$D4016,[1]内部转账!$E:$E,$G4016)-SUMIFS([1]内部转账!$G:$G,[1]内部转账!$C:$C,"&lt;="&amp;$D4016,[1]内部转账!$F:$F,$G4016)),"")</f>
        <v/>
      </c>
      <c r="M4016" s="64"/>
      <c r="N4016" s="69"/>
      <c r="O4016" s="64"/>
      <c r="P4016" s="64"/>
      <c r="Q4016" s="69"/>
      <c r="R4016" s="69"/>
      <c r="S4016" s="69"/>
    </row>
    <row r="4017" s="2" customFormat="1" ht="24.95" customHeight="1" spans="1:19">
      <c r="A4017" s="15"/>
      <c r="B4017" s="55"/>
      <c r="C4017" s="56"/>
      <c r="D4017" s="68"/>
      <c r="E4017" s="69"/>
      <c r="F4017" s="69"/>
      <c r="G4017" s="65"/>
      <c r="H4017" s="65"/>
      <c r="I4017" s="70"/>
      <c r="J4017" s="71"/>
      <c r="K4017" s="71"/>
      <c r="L4017" s="72" t="str">
        <f>IFERROR(IF(G4017="","",VLOOKUP($G4017,[1]基础信息!$B:$C,2,FALSE)+SUMIF(G$8:G4017,G4017,J$8:J4017)-SUMIF(G$8:G4017,G4017,K$8:K4017)+SUMIFS([1]内部转账!$G:$G,[1]内部转账!$C:$C,"&lt;="&amp;$D4017,[1]内部转账!$E:$E,$G4017)-SUMIFS([1]内部转账!$G:$G,[1]内部转账!$C:$C,"&lt;="&amp;$D4017,[1]内部转账!$F:$F,$G4017)),"")</f>
        <v/>
      </c>
      <c r="M4017" s="64"/>
      <c r="N4017" s="69"/>
      <c r="O4017" s="64"/>
      <c r="P4017" s="64"/>
      <c r="Q4017" s="69"/>
      <c r="R4017" s="69"/>
      <c r="S4017" s="69"/>
    </row>
    <row r="4018" s="2" customFormat="1" ht="24.95" customHeight="1" spans="1:19">
      <c r="A4018" s="15"/>
      <c r="B4018" s="55"/>
      <c r="C4018" s="56"/>
      <c r="D4018" s="68"/>
      <c r="E4018" s="69"/>
      <c r="F4018" s="69"/>
      <c r="G4018" s="65"/>
      <c r="H4018" s="65"/>
      <c r="I4018" s="70"/>
      <c r="J4018" s="71"/>
      <c r="K4018" s="71"/>
      <c r="L4018" s="72" t="str">
        <f>IFERROR(IF(G4018="","",VLOOKUP($G4018,[1]基础信息!$B:$C,2,FALSE)+SUMIF(G$8:G4018,G4018,J$8:J4018)-SUMIF(G$8:G4018,G4018,K$8:K4018)+SUMIFS([1]内部转账!$G:$G,[1]内部转账!$C:$C,"&lt;="&amp;$D4018,[1]内部转账!$E:$E,$G4018)-SUMIFS([1]内部转账!$G:$G,[1]内部转账!$C:$C,"&lt;="&amp;$D4018,[1]内部转账!$F:$F,$G4018)),"")</f>
        <v/>
      </c>
      <c r="M4018" s="64"/>
      <c r="N4018" s="69"/>
      <c r="O4018" s="64"/>
      <c r="P4018" s="64"/>
      <c r="Q4018" s="69"/>
      <c r="R4018" s="69"/>
      <c r="S4018" s="69"/>
    </row>
    <row r="4019" s="2" customFormat="1" ht="24.95" customHeight="1" spans="1:19">
      <c r="A4019" s="15"/>
      <c r="B4019" s="55"/>
      <c r="C4019" s="56"/>
      <c r="D4019" s="68"/>
      <c r="E4019" s="69"/>
      <c r="F4019" s="69"/>
      <c r="G4019" s="65"/>
      <c r="H4019" s="65"/>
      <c r="I4019" s="70"/>
      <c r="J4019" s="71"/>
      <c r="K4019" s="71"/>
      <c r="L4019" s="72" t="str">
        <f>IFERROR(IF(G4019="","",VLOOKUP($G4019,[1]基础信息!$B:$C,2,FALSE)+SUMIF(G$8:G4019,G4019,J$8:J4019)-SUMIF(G$8:G4019,G4019,K$8:K4019)+SUMIFS([1]内部转账!$G:$G,[1]内部转账!$C:$C,"&lt;="&amp;$D4019,[1]内部转账!$E:$E,$G4019)-SUMIFS([1]内部转账!$G:$G,[1]内部转账!$C:$C,"&lt;="&amp;$D4019,[1]内部转账!$F:$F,$G4019)),"")</f>
        <v/>
      </c>
      <c r="M4019" s="64"/>
      <c r="N4019" s="69"/>
      <c r="O4019" s="64"/>
      <c r="P4019" s="64"/>
      <c r="Q4019" s="69"/>
      <c r="R4019" s="69"/>
      <c r="S4019" s="69"/>
    </row>
    <row r="4020" s="2" customFormat="1" ht="24.95" customHeight="1" spans="1:19">
      <c r="A4020" s="15"/>
      <c r="B4020" s="55"/>
      <c r="C4020" s="56"/>
      <c r="D4020" s="68"/>
      <c r="E4020" s="69"/>
      <c r="F4020" s="69"/>
      <c r="G4020" s="65"/>
      <c r="H4020" s="65"/>
      <c r="I4020" s="70"/>
      <c r="J4020" s="71"/>
      <c r="K4020" s="71"/>
      <c r="L4020" s="72" t="str">
        <f>IFERROR(IF(G4020="","",VLOOKUP($G4020,[1]基础信息!$B:$C,2,FALSE)+SUMIF(G$8:G4020,G4020,J$8:J4020)-SUMIF(G$8:G4020,G4020,K$8:K4020)+SUMIFS([1]内部转账!$G:$G,[1]内部转账!$C:$C,"&lt;="&amp;$D4020,[1]内部转账!$E:$E,$G4020)-SUMIFS([1]内部转账!$G:$G,[1]内部转账!$C:$C,"&lt;="&amp;$D4020,[1]内部转账!$F:$F,$G4020)),"")</f>
        <v/>
      </c>
      <c r="M4020" s="64"/>
      <c r="N4020" s="69"/>
      <c r="O4020" s="64"/>
      <c r="P4020" s="64"/>
      <c r="Q4020" s="69"/>
      <c r="R4020" s="69"/>
      <c r="S4020" s="69"/>
    </row>
    <row r="4021" s="2" customFormat="1" ht="24.95" customHeight="1" spans="1:19">
      <c r="A4021" s="15"/>
      <c r="B4021" s="55"/>
      <c r="C4021" s="56"/>
      <c r="D4021" s="68"/>
      <c r="E4021" s="69"/>
      <c r="F4021" s="69"/>
      <c r="G4021" s="65"/>
      <c r="H4021" s="65"/>
      <c r="I4021" s="70"/>
      <c r="J4021" s="71"/>
      <c r="K4021" s="71"/>
      <c r="L4021" s="72" t="str">
        <f>IFERROR(IF(G4021="","",VLOOKUP($G4021,[1]基础信息!$B:$C,2,FALSE)+SUMIF(G$8:G4021,G4021,J$8:J4021)-SUMIF(G$8:G4021,G4021,K$8:K4021)+SUMIFS([1]内部转账!$G:$G,[1]内部转账!$C:$C,"&lt;="&amp;$D4021,[1]内部转账!$E:$E,$G4021)-SUMIFS([1]内部转账!$G:$G,[1]内部转账!$C:$C,"&lt;="&amp;$D4021,[1]内部转账!$F:$F,$G4021)),"")</f>
        <v/>
      </c>
      <c r="M4021" s="64"/>
      <c r="N4021" s="69"/>
      <c r="O4021" s="64"/>
      <c r="P4021" s="64"/>
      <c r="Q4021" s="69"/>
      <c r="R4021" s="69"/>
      <c r="S4021" s="69"/>
    </row>
    <row r="4022" s="2" customFormat="1" ht="24.95" customHeight="1" spans="1:19">
      <c r="A4022" s="15"/>
      <c r="B4022" s="55"/>
      <c r="C4022" s="56"/>
      <c r="D4022" s="68"/>
      <c r="E4022" s="69"/>
      <c r="F4022" s="69"/>
      <c r="G4022" s="65"/>
      <c r="H4022" s="65"/>
      <c r="I4022" s="70"/>
      <c r="J4022" s="71"/>
      <c r="K4022" s="71"/>
      <c r="L4022" s="72" t="str">
        <f>IFERROR(IF(G4022="","",VLOOKUP($G4022,[1]基础信息!$B:$C,2,FALSE)+SUMIF(G$8:G4022,G4022,J$8:J4022)-SUMIF(G$8:G4022,G4022,K$8:K4022)+SUMIFS([1]内部转账!$G:$G,[1]内部转账!$C:$C,"&lt;="&amp;$D4022,[1]内部转账!$E:$E,$G4022)-SUMIFS([1]内部转账!$G:$G,[1]内部转账!$C:$C,"&lt;="&amp;$D4022,[1]内部转账!$F:$F,$G4022)),"")</f>
        <v/>
      </c>
      <c r="M4022" s="64"/>
      <c r="N4022" s="69"/>
      <c r="O4022" s="64"/>
      <c r="P4022" s="64"/>
      <c r="Q4022" s="69"/>
      <c r="R4022" s="69"/>
      <c r="S4022" s="69"/>
    </row>
    <row r="4023" s="2" customFormat="1" ht="24.95" customHeight="1" spans="1:19">
      <c r="A4023" s="15"/>
      <c r="B4023" s="55"/>
      <c r="C4023" s="56"/>
      <c r="D4023" s="68"/>
      <c r="E4023" s="69"/>
      <c r="F4023" s="69"/>
      <c r="G4023" s="65"/>
      <c r="H4023" s="65"/>
      <c r="I4023" s="70"/>
      <c r="J4023" s="71"/>
      <c r="K4023" s="71"/>
      <c r="L4023" s="72" t="str">
        <f>IFERROR(IF(G4023="","",VLOOKUP($G4023,[1]基础信息!$B:$C,2,FALSE)+SUMIF(G$8:G4023,G4023,J$8:J4023)-SUMIF(G$8:G4023,G4023,K$8:K4023)+SUMIFS([1]内部转账!$G:$G,[1]内部转账!$C:$C,"&lt;="&amp;$D4023,[1]内部转账!$E:$E,$G4023)-SUMIFS([1]内部转账!$G:$G,[1]内部转账!$C:$C,"&lt;="&amp;$D4023,[1]内部转账!$F:$F,$G4023)),"")</f>
        <v/>
      </c>
      <c r="M4023" s="64"/>
      <c r="N4023" s="69"/>
      <c r="O4023" s="64"/>
      <c r="P4023" s="64"/>
      <c r="Q4023" s="69"/>
      <c r="R4023" s="69"/>
      <c r="S4023" s="69"/>
    </row>
    <row r="4024" s="2" customFormat="1" ht="24.95" customHeight="1" spans="1:19">
      <c r="A4024" s="15"/>
      <c r="B4024" s="55"/>
      <c r="C4024" s="56"/>
      <c r="D4024" s="68"/>
      <c r="E4024" s="69"/>
      <c r="F4024" s="69"/>
      <c r="G4024" s="65"/>
      <c r="H4024" s="65"/>
      <c r="I4024" s="70"/>
      <c r="J4024" s="71"/>
      <c r="K4024" s="71"/>
      <c r="L4024" s="72" t="str">
        <f>IFERROR(IF(G4024="","",VLOOKUP($G4024,[1]基础信息!$B:$C,2,FALSE)+SUMIF(G$8:G4024,G4024,J$8:J4024)-SUMIF(G$8:G4024,G4024,K$8:K4024)+SUMIFS([1]内部转账!$G:$G,[1]内部转账!$C:$C,"&lt;="&amp;$D4024,[1]内部转账!$E:$E,$G4024)-SUMIFS([1]内部转账!$G:$G,[1]内部转账!$C:$C,"&lt;="&amp;$D4024,[1]内部转账!$F:$F,$G4024)),"")</f>
        <v/>
      </c>
      <c r="M4024" s="64"/>
      <c r="N4024" s="69"/>
      <c r="O4024" s="64"/>
      <c r="P4024" s="64"/>
      <c r="Q4024" s="69"/>
      <c r="R4024" s="69"/>
      <c r="S4024" s="69"/>
    </row>
    <row r="4025" s="2" customFormat="1" ht="24.95" customHeight="1" spans="1:19">
      <c r="A4025" s="15"/>
      <c r="B4025" s="55"/>
      <c r="C4025" s="56"/>
      <c r="D4025" s="68"/>
      <c r="E4025" s="69"/>
      <c r="F4025" s="69"/>
      <c r="G4025" s="65"/>
      <c r="H4025" s="65"/>
      <c r="I4025" s="70"/>
      <c r="J4025" s="71"/>
      <c r="K4025" s="71"/>
      <c r="L4025" s="72" t="str">
        <f>IFERROR(IF(G4025="","",VLOOKUP($G4025,[1]基础信息!$B:$C,2,FALSE)+SUMIF(G$8:G4025,G4025,J$8:J4025)-SUMIF(G$8:G4025,G4025,K$8:K4025)+SUMIFS([1]内部转账!$G:$G,[1]内部转账!$C:$C,"&lt;="&amp;$D4025,[1]内部转账!$E:$E,$G4025)-SUMIFS([1]内部转账!$G:$G,[1]内部转账!$C:$C,"&lt;="&amp;$D4025,[1]内部转账!$F:$F,$G4025)),"")</f>
        <v/>
      </c>
      <c r="M4025" s="64"/>
      <c r="N4025" s="69"/>
      <c r="O4025" s="64"/>
      <c r="P4025" s="64"/>
      <c r="Q4025" s="69"/>
      <c r="R4025" s="69"/>
      <c r="S4025" s="69"/>
    </row>
    <row r="4026" s="2" customFormat="1" ht="24.95" customHeight="1" spans="1:19">
      <c r="A4026" s="15"/>
      <c r="B4026" s="55"/>
      <c r="C4026" s="56"/>
      <c r="D4026" s="68"/>
      <c r="E4026" s="69"/>
      <c r="F4026" s="69"/>
      <c r="G4026" s="65"/>
      <c r="H4026" s="65"/>
      <c r="I4026" s="70"/>
      <c r="J4026" s="71"/>
      <c r="K4026" s="71"/>
      <c r="L4026" s="72" t="str">
        <f>IFERROR(IF(G4026="","",VLOOKUP($G4026,[1]基础信息!$B:$C,2,FALSE)+SUMIF(G$8:G4026,G4026,J$8:J4026)-SUMIF(G$8:G4026,G4026,K$8:K4026)+SUMIFS([1]内部转账!$G:$G,[1]内部转账!$C:$C,"&lt;="&amp;$D4026,[1]内部转账!$E:$E,$G4026)-SUMIFS([1]内部转账!$G:$G,[1]内部转账!$C:$C,"&lt;="&amp;$D4026,[1]内部转账!$F:$F,$G4026)),"")</f>
        <v/>
      </c>
      <c r="M4026" s="64"/>
      <c r="N4026" s="69"/>
      <c r="O4026" s="64"/>
      <c r="P4026" s="64"/>
      <c r="Q4026" s="69"/>
      <c r="R4026" s="69"/>
      <c r="S4026" s="69"/>
    </row>
    <row r="4027" s="2" customFormat="1" ht="24.95" customHeight="1" spans="1:19">
      <c r="A4027" s="15"/>
      <c r="B4027" s="55"/>
      <c r="C4027" s="56"/>
      <c r="D4027" s="68"/>
      <c r="E4027" s="69"/>
      <c r="F4027" s="69"/>
      <c r="G4027" s="65"/>
      <c r="H4027" s="65"/>
      <c r="I4027" s="70"/>
      <c r="J4027" s="71"/>
      <c r="K4027" s="71"/>
      <c r="L4027" s="72" t="str">
        <f>IFERROR(IF(G4027="","",VLOOKUP($G4027,[1]基础信息!$B:$C,2,FALSE)+SUMIF(G$8:G4027,G4027,J$8:J4027)-SUMIF(G$8:G4027,G4027,K$8:K4027)+SUMIFS([1]内部转账!$G:$G,[1]内部转账!$C:$C,"&lt;="&amp;$D4027,[1]内部转账!$E:$E,$G4027)-SUMIFS([1]内部转账!$G:$G,[1]内部转账!$C:$C,"&lt;="&amp;$D4027,[1]内部转账!$F:$F,$G4027)),"")</f>
        <v/>
      </c>
      <c r="M4027" s="64"/>
      <c r="N4027" s="69"/>
      <c r="O4027" s="64"/>
      <c r="P4027" s="64"/>
      <c r="Q4027" s="69"/>
      <c r="R4027" s="69"/>
      <c r="S4027" s="69"/>
    </row>
    <row r="4028" s="2" customFormat="1" ht="24.95" customHeight="1" spans="1:19">
      <c r="A4028" s="15"/>
      <c r="B4028" s="55"/>
      <c r="C4028" s="56"/>
      <c r="D4028" s="68"/>
      <c r="E4028" s="69"/>
      <c r="F4028" s="69"/>
      <c r="G4028" s="65"/>
      <c r="H4028" s="65"/>
      <c r="I4028" s="70"/>
      <c r="J4028" s="71"/>
      <c r="K4028" s="71"/>
      <c r="L4028" s="72" t="str">
        <f>IFERROR(IF(G4028="","",VLOOKUP($G4028,[1]基础信息!$B:$C,2,FALSE)+SUMIF(G$8:G4028,G4028,J$8:J4028)-SUMIF(G$8:G4028,G4028,K$8:K4028)+SUMIFS([1]内部转账!$G:$G,[1]内部转账!$C:$C,"&lt;="&amp;$D4028,[1]内部转账!$E:$E,$G4028)-SUMIFS([1]内部转账!$G:$G,[1]内部转账!$C:$C,"&lt;="&amp;$D4028,[1]内部转账!$F:$F,$G4028)),"")</f>
        <v/>
      </c>
      <c r="M4028" s="64"/>
      <c r="N4028" s="69"/>
      <c r="O4028" s="64"/>
      <c r="P4028" s="64"/>
      <c r="Q4028" s="69"/>
      <c r="R4028" s="69"/>
      <c r="S4028" s="69"/>
    </row>
    <row r="4029" s="2" customFormat="1" ht="24.95" customHeight="1" spans="1:19">
      <c r="A4029" s="15"/>
      <c r="B4029" s="55"/>
      <c r="C4029" s="56"/>
      <c r="D4029" s="68"/>
      <c r="E4029" s="69"/>
      <c r="F4029" s="69"/>
      <c r="G4029" s="65"/>
      <c r="H4029" s="65"/>
      <c r="I4029" s="70"/>
      <c r="J4029" s="71"/>
      <c r="K4029" s="71"/>
      <c r="L4029" s="72" t="str">
        <f>IFERROR(IF(G4029="","",VLOOKUP($G4029,[1]基础信息!$B:$C,2,FALSE)+SUMIF(G$8:G4029,G4029,J$8:J4029)-SUMIF(G$8:G4029,G4029,K$8:K4029)+SUMIFS([1]内部转账!$G:$G,[1]内部转账!$C:$C,"&lt;="&amp;$D4029,[1]内部转账!$E:$E,$G4029)-SUMIFS([1]内部转账!$G:$G,[1]内部转账!$C:$C,"&lt;="&amp;$D4029,[1]内部转账!$F:$F,$G4029)),"")</f>
        <v/>
      </c>
      <c r="M4029" s="64"/>
      <c r="N4029" s="69"/>
      <c r="O4029" s="64"/>
      <c r="P4029" s="64"/>
      <c r="Q4029" s="69"/>
      <c r="R4029" s="69"/>
      <c r="S4029" s="69"/>
    </row>
    <row r="4030" s="2" customFormat="1" ht="24.95" customHeight="1" spans="1:19">
      <c r="A4030" s="15"/>
      <c r="B4030" s="55"/>
      <c r="C4030" s="56"/>
      <c r="D4030" s="68"/>
      <c r="E4030" s="69"/>
      <c r="F4030" s="69"/>
      <c r="G4030" s="65"/>
      <c r="H4030" s="65"/>
      <c r="I4030" s="70"/>
      <c r="J4030" s="71"/>
      <c r="K4030" s="71"/>
      <c r="L4030" s="72" t="str">
        <f>IFERROR(IF(G4030="","",VLOOKUP($G4030,[1]基础信息!$B:$C,2,FALSE)+SUMIF(G$8:G4030,G4030,J$8:J4030)-SUMIF(G$8:G4030,G4030,K$8:K4030)+SUMIFS([1]内部转账!$G:$G,[1]内部转账!$C:$C,"&lt;="&amp;$D4030,[1]内部转账!$E:$E,$G4030)-SUMIFS([1]内部转账!$G:$G,[1]内部转账!$C:$C,"&lt;="&amp;$D4030,[1]内部转账!$F:$F,$G4030)),"")</f>
        <v/>
      </c>
      <c r="M4030" s="64"/>
      <c r="N4030" s="69"/>
      <c r="O4030" s="64"/>
      <c r="P4030" s="64"/>
      <c r="Q4030" s="69"/>
      <c r="R4030" s="69"/>
      <c r="S4030" s="69"/>
    </row>
    <row r="4031" s="2" customFormat="1" ht="24.95" customHeight="1" spans="1:19">
      <c r="A4031" s="15"/>
      <c r="B4031" s="55"/>
      <c r="C4031" s="56"/>
      <c r="D4031" s="68"/>
      <c r="E4031" s="69"/>
      <c r="F4031" s="69"/>
      <c r="G4031" s="65"/>
      <c r="H4031" s="65"/>
      <c r="I4031" s="70"/>
      <c r="J4031" s="71"/>
      <c r="K4031" s="71"/>
      <c r="L4031" s="72" t="str">
        <f>IFERROR(IF(G4031="","",VLOOKUP($G4031,[1]基础信息!$B:$C,2,FALSE)+SUMIF(G$8:G4031,G4031,J$8:J4031)-SUMIF(G$8:G4031,G4031,K$8:K4031)+SUMIFS([1]内部转账!$G:$G,[1]内部转账!$C:$C,"&lt;="&amp;$D4031,[1]内部转账!$E:$E,$G4031)-SUMIFS([1]内部转账!$G:$G,[1]内部转账!$C:$C,"&lt;="&amp;$D4031,[1]内部转账!$F:$F,$G4031)),"")</f>
        <v/>
      </c>
      <c r="M4031" s="64"/>
      <c r="N4031" s="69"/>
      <c r="O4031" s="64"/>
      <c r="P4031" s="64"/>
      <c r="Q4031" s="69"/>
      <c r="R4031" s="69"/>
      <c r="S4031" s="69"/>
    </row>
    <row r="4032" s="2" customFormat="1" ht="24.95" customHeight="1" spans="1:19">
      <c r="A4032" s="15"/>
      <c r="B4032" s="55"/>
      <c r="C4032" s="56"/>
      <c r="D4032" s="68"/>
      <c r="E4032" s="69"/>
      <c r="F4032" s="69"/>
      <c r="G4032" s="65"/>
      <c r="H4032" s="65"/>
      <c r="I4032" s="70"/>
      <c r="J4032" s="71"/>
      <c r="K4032" s="71"/>
      <c r="L4032" s="72" t="str">
        <f>IFERROR(IF(G4032="","",VLOOKUP($G4032,[1]基础信息!$B:$C,2,FALSE)+SUMIF(G$8:G4032,G4032,J$8:J4032)-SUMIF(G$8:G4032,G4032,K$8:K4032)+SUMIFS([1]内部转账!$G:$G,[1]内部转账!$C:$C,"&lt;="&amp;$D4032,[1]内部转账!$E:$E,$G4032)-SUMIFS([1]内部转账!$G:$G,[1]内部转账!$C:$C,"&lt;="&amp;$D4032,[1]内部转账!$F:$F,$G4032)),"")</f>
        <v/>
      </c>
      <c r="M4032" s="64"/>
      <c r="N4032" s="69"/>
      <c r="O4032" s="64"/>
      <c r="P4032" s="64"/>
      <c r="Q4032" s="69"/>
      <c r="R4032" s="69"/>
      <c r="S4032" s="69"/>
    </row>
    <row r="4033" s="2" customFormat="1" ht="24.95" customHeight="1" spans="1:19">
      <c r="A4033" s="15"/>
      <c r="B4033" s="55"/>
      <c r="C4033" s="56"/>
      <c r="D4033" s="68"/>
      <c r="E4033" s="69"/>
      <c r="F4033" s="69"/>
      <c r="G4033" s="65"/>
      <c r="H4033" s="65"/>
      <c r="I4033" s="70"/>
      <c r="J4033" s="71"/>
      <c r="K4033" s="71"/>
      <c r="L4033" s="72" t="str">
        <f>IFERROR(IF(G4033="","",VLOOKUP($G4033,[1]基础信息!$B:$C,2,FALSE)+SUMIF(G$8:G4033,G4033,J$8:J4033)-SUMIF(G$8:G4033,G4033,K$8:K4033)+SUMIFS([1]内部转账!$G:$G,[1]内部转账!$C:$C,"&lt;="&amp;$D4033,[1]内部转账!$E:$E,$G4033)-SUMIFS([1]内部转账!$G:$G,[1]内部转账!$C:$C,"&lt;="&amp;$D4033,[1]内部转账!$F:$F,$G4033)),"")</f>
        <v/>
      </c>
      <c r="M4033" s="64"/>
      <c r="N4033" s="69"/>
      <c r="O4033" s="64"/>
      <c r="P4033" s="64"/>
      <c r="Q4033" s="69"/>
      <c r="R4033" s="69"/>
      <c r="S4033" s="69"/>
    </row>
    <row r="4034" s="2" customFormat="1" ht="24.95" customHeight="1" spans="1:19">
      <c r="A4034" s="15"/>
      <c r="B4034" s="55"/>
      <c r="C4034" s="56"/>
      <c r="D4034" s="68"/>
      <c r="E4034" s="69"/>
      <c r="F4034" s="69"/>
      <c r="G4034" s="65"/>
      <c r="H4034" s="65"/>
      <c r="I4034" s="70"/>
      <c r="J4034" s="71"/>
      <c r="K4034" s="71"/>
      <c r="L4034" s="72" t="str">
        <f>IFERROR(IF(G4034="","",VLOOKUP($G4034,[1]基础信息!$B:$C,2,FALSE)+SUMIF(G$8:G4034,G4034,J$8:J4034)-SUMIF(G$8:G4034,G4034,K$8:K4034)+SUMIFS([1]内部转账!$G:$G,[1]内部转账!$C:$C,"&lt;="&amp;$D4034,[1]内部转账!$E:$E,$G4034)-SUMIFS([1]内部转账!$G:$G,[1]内部转账!$C:$C,"&lt;="&amp;$D4034,[1]内部转账!$F:$F,$G4034)),"")</f>
        <v/>
      </c>
      <c r="M4034" s="64"/>
      <c r="N4034" s="69"/>
      <c r="O4034" s="64"/>
      <c r="P4034" s="64"/>
      <c r="Q4034" s="69"/>
      <c r="R4034" s="69"/>
      <c r="S4034" s="69"/>
    </row>
    <row r="4035" s="2" customFormat="1" ht="24.95" customHeight="1" spans="1:19">
      <c r="A4035" s="15"/>
      <c r="B4035" s="55"/>
      <c r="C4035" s="56"/>
      <c r="D4035" s="68"/>
      <c r="E4035" s="69"/>
      <c r="F4035" s="69"/>
      <c r="G4035" s="65"/>
      <c r="H4035" s="65"/>
      <c r="I4035" s="70"/>
      <c r="J4035" s="71"/>
      <c r="K4035" s="71"/>
      <c r="L4035" s="72" t="str">
        <f>IFERROR(IF(G4035="","",VLOOKUP($G4035,[1]基础信息!$B:$C,2,FALSE)+SUMIF(G$8:G4035,G4035,J$8:J4035)-SUMIF(G$8:G4035,G4035,K$8:K4035)+SUMIFS([1]内部转账!$G:$G,[1]内部转账!$C:$C,"&lt;="&amp;$D4035,[1]内部转账!$E:$E,$G4035)-SUMIFS([1]内部转账!$G:$G,[1]内部转账!$C:$C,"&lt;="&amp;$D4035,[1]内部转账!$F:$F,$G4035)),"")</f>
        <v/>
      </c>
      <c r="M4035" s="64"/>
      <c r="N4035" s="69"/>
      <c r="O4035" s="64"/>
      <c r="P4035" s="64"/>
      <c r="Q4035" s="69"/>
      <c r="R4035" s="69"/>
      <c r="S4035" s="69"/>
    </row>
    <row r="4036" s="2" customFormat="1" ht="24.95" customHeight="1" spans="1:19">
      <c r="A4036" s="15"/>
      <c r="B4036" s="55"/>
      <c r="C4036" s="56"/>
      <c r="D4036" s="68"/>
      <c r="E4036" s="69"/>
      <c r="F4036" s="69"/>
      <c r="G4036" s="65"/>
      <c r="H4036" s="65"/>
      <c r="I4036" s="70"/>
      <c r="J4036" s="71"/>
      <c r="K4036" s="71"/>
      <c r="L4036" s="72" t="str">
        <f>IFERROR(IF(G4036="","",VLOOKUP($G4036,[1]基础信息!$B:$C,2,FALSE)+SUMIF(G$8:G4036,G4036,J$8:J4036)-SUMIF(G$8:G4036,G4036,K$8:K4036)+SUMIFS([1]内部转账!$G:$G,[1]内部转账!$C:$C,"&lt;="&amp;$D4036,[1]内部转账!$E:$E,$G4036)-SUMIFS([1]内部转账!$G:$G,[1]内部转账!$C:$C,"&lt;="&amp;$D4036,[1]内部转账!$F:$F,$G4036)),"")</f>
        <v/>
      </c>
      <c r="M4036" s="64"/>
      <c r="N4036" s="69"/>
      <c r="O4036" s="64"/>
      <c r="P4036" s="64"/>
      <c r="Q4036" s="69"/>
      <c r="R4036" s="69"/>
      <c r="S4036" s="69"/>
    </row>
    <row r="4037" s="2" customFormat="1" ht="24.95" customHeight="1" spans="1:19">
      <c r="A4037" s="15"/>
      <c r="B4037" s="55"/>
      <c r="C4037" s="56"/>
      <c r="D4037" s="68"/>
      <c r="E4037" s="69"/>
      <c r="F4037" s="69"/>
      <c r="G4037" s="65"/>
      <c r="H4037" s="65"/>
      <c r="I4037" s="70"/>
      <c r="J4037" s="71"/>
      <c r="K4037" s="71"/>
      <c r="L4037" s="72" t="str">
        <f>IFERROR(IF(G4037="","",VLOOKUP($G4037,[1]基础信息!$B:$C,2,FALSE)+SUMIF(G$8:G4037,G4037,J$8:J4037)-SUMIF(G$8:G4037,G4037,K$8:K4037)+SUMIFS([1]内部转账!$G:$G,[1]内部转账!$C:$C,"&lt;="&amp;$D4037,[1]内部转账!$E:$E,$G4037)-SUMIFS([1]内部转账!$G:$G,[1]内部转账!$C:$C,"&lt;="&amp;$D4037,[1]内部转账!$F:$F,$G4037)),"")</f>
        <v/>
      </c>
      <c r="M4037" s="64"/>
      <c r="N4037" s="69"/>
      <c r="O4037" s="64"/>
      <c r="P4037" s="64"/>
      <c r="Q4037" s="69"/>
      <c r="R4037" s="69"/>
      <c r="S4037" s="69"/>
    </row>
    <row r="4038" s="2" customFormat="1" ht="24.95" customHeight="1" spans="1:19">
      <c r="A4038" s="15"/>
      <c r="B4038" s="55"/>
      <c r="C4038" s="56"/>
      <c r="D4038" s="68"/>
      <c r="E4038" s="69"/>
      <c r="F4038" s="69"/>
      <c r="G4038" s="65"/>
      <c r="H4038" s="65"/>
      <c r="I4038" s="70"/>
      <c r="J4038" s="71"/>
      <c r="K4038" s="71"/>
      <c r="L4038" s="72" t="str">
        <f>IFERROR(IF(G4038="","",VLOOKUP($G4038,[1]基础信息!$B:$C,2,FALSE)+SUMIF(G$8:G4038,G4038,J$8:J4038)-SUMIF(G$8:G4038,G4038,K$8:K4038)+SUMIFS([1]内部转账!$G:$G,[1]内部转账!$C:$C,"&lt;="&amp;$D4038,[1]内部转账!$E:$E,$G4038)-SUMIFS([1]内部转账!$G:$G,[1]内部转账!$C:$C,"&lt;="&amp;$D4038,[1]内部转账!$F:$F,$G4038)),"")</f>
        <v/>
      </c>
      <c r="M4038" s="64"/>
      <c r="N4038" s="69"/>
      <c r="O4038" s="64"/>
      <c r="P4038" s="64"/>
      <c r="Q4038" s="69"/>
      <c r="R4038" s="69"/>
      <c r="S4038" s="69"/>
    </row>
    <row r="4039" s="2" customFormat="1" ht="24.95" customHeight="1" spans="1:19">
      <c r="A4039" s="15"/>
      <c r="B4039" s="55"/>
      <c r="C4039" s="56"/>
      <c r="D4039" s="68"/>
      <c r="E4039" s="69"/>
      <c r="F4039" s="69"/>
      <c r="G4039" s="65"/>
      <c r="H4039" s="65"/>
      <c r="I4039" s="70"/>
      <c r="J4039" s="71"/>
      <c r="K4039" s="71"/>
      <c r="L4039" s="72" t="str">
        <f>IFERROR(IF(G4039="","",VLOOKUP($G4039,[1]基础信息!$B:$C,2,FALSE)+SUMIF(G$8:G4039,G4039,J$8:J4039)-SUMIF(G$8:G4039,G4039,K$8:K4039)+SUMIFS([1]内部转账!$G:$G,[1]内部转账!$C:$C,"&lt;="&amp;$D4039,[1]内部转账!$E:$E,$G4039)-SUMIFS([1]内部转账!$G:$G,[1]内部转账!$C:$C,"&lt;="&amp;$D4039,[1]内部转账!$F:$F,$G4039)),"")</f>
        <v/>
      </c>
      <c r="M4039" s="64"/>
      <c r="N4039" s="69"/>
      <c r="O4039" s="64"/>
      <c r="P4039" s="64"/>
      <c r="Q4039" s="69"/>
      <c r="R4039" s="69"/>
      <c r="S4039" s="69"/>
    </row>
    <row r="4040" s="2" customFormat="1" ht="24.95" customHeight="1" spans="1:19">
      <c r="A4040" s="15"/>
      <c r="B4040" s="55"/>
      <c r="C4040" s="56"/>
      <c r="D4040" s="68"/>
      <c r="E4040" s="69"/>
      <c r="F4040" s="69"/>
      <c r="G4040" s="65"/>
      <c r="H4040" s="65"/>
      <c r="I4040" s="70"/>
      <c r="J4040" s="71"/>
      <c r="K4040" s="71"/>
      <c r="L4040" s="72" t="str">
        <f>IFERROR(IF(G4040="","",VLOOKUP($G4040,[1]基础信息!$B:$C,2,FALSE)+SUMIF(G$8:G4040,G4040,J$8:J4040)-SUMIF(G$8:G4040,G4040,K$8:K4040)+SUMIFS([1]内部转账!$G:$G,[1]内部转账!$C:$C,"&lt;="&amp;$D4040,[1]内部转账!$E:$E,$G4040)-SUMIFS([1]内部转账!$G:$G,[1]内部转账!$C:$C,"&lt;="&amp;$D4040,[1]内部转账!$F:$F,$G4040)),"")</f>
        <v/>
      </c>
      <c r="M4040" s="64"/>
      <c r="N4040" s="69"/>
      <c r="O4040" s="64"/>
      <c r="P4040" s="64"/>
      <c r="Q4040" s="69"/>
      <c r="R4040" s="69"/>
      <c r="S4040" s="69"/>
    </row>
    <row r="4041" s="2" customFormat="1" ht="24.95" customHeight="1" spans="1:19">
      <c r="A4041" s="15"/>
      <c r="B4041" s="55"/>
      <c r="C4041" s="56"/>
      <c r="D4041" s="68"/>
      <c r="E4041" s="69"/>
      <c r="F4041" s="69"/>
      <c r="G4041" s="65"/>
      <c r="H4041" s="65"/>
      <c r="I4041" s="70"/>
      <c r="J4041" s="71"/>
      <c r="K4041" s="71"/>
      <c r="L4041" s="72" t="str">
        <f>IFERROR(IF(G4041="","",VLOOKUP($G4041,[1]基础信息!$B:$C,2,FALSE)+SUMIF(G$8:G4041,G4041,J$8:J4041)-SUMIF(G$8:G4041,G4041,K$8:K4041)+SUMIFS([1]内部转账!$G:$G,[1]内部转账!$C:$C,"&lt;="&amp;$D4041,[1]内部转账!$E:$E,$G4041)-SUMIFS([1]内部转账!$G:$G,[1]内部转账!$C:$C,"&lt;="&amp;$D4041,[1]内部转账!$F:$F,$G4041)),"")</f>
        <v/>
      </c>
      <c r="M4041" s="64"/>
      <c r="N4041" s="69"/>
      <c r="O4041" s="64"/>
      <c r="P4041" s="64"/>
      <c r="Q4041" s="69"/>
      <c r="R4041" s="69"/>
      <c r="S4041" s="69"/>
    </row>
    <row r="4042" s="2" customFormat="1" ht="24.95" customHeight="1" spans="1:19">
      <c r="A4042" s="15"/>
      <c r="B4042" s="55"/>
      <c r="C4042" s="56"/>
      <c r="D4042" s="68"/>
      <c r="E4042" s="69"/>
      <c r="F4042" s="69"/>
      <c r="G4042" s="65"/>
      <c r="H4042" s="65"/>
      <c r="I4042" s="70"/>
      <c r="J4042" s="71"/>
      <c r="K4042" s="71"/>
      <c r="L4042" s="72" t="str">
        <f>IFERROR(IF(G4042="","",VLOOKUP($G4042,[1]基础信息!$B:$C,2,FALSE)+SUMIF(G$8:G4042,G4042,J$8:J4042)-SUMIF(G$8:G4042,G4042,K$8:K4042)+SUMIFS([1]内部转账!$G:$G,[1]内部转账!$C:$C,"&lt;="&amp;$D4042,[1]内部转账!$E:$E,$G4042)-SUMIFS([1]内部转账!$G:$G,[1]内部转账!$C:$C,"&lt;="&amp;$D4042,[1]内部转账!$F:$F,$G4042)),"")</f>
        <v/>
      </c>
      <c r="M4042" s="64"/>
      <c r="N4042" s="69"/>
      <c r="O4042" s="64"/>
      <c r="P4042" s="64"/>
      <c r="Q4042" s="69"/>
      <c r="R4042" s="69"/>
      <c r="S4042" s="69"/>
    </row>
    <row r="4043" s="2" customFormat="1" ht="24.95" customHeight="1" spans="1:19">
      <c r="A4043" s="15"/>
      <c r="B4043" s="55"/>
      <c r="C4043" s="56"/>
      <c r="D4043" s="68"/>
      <c r="E4043" s="69"/>
      <c r="F4043" s="69"/>
      <c r="G4043" s="65"/>
      <c r="H4043" s="65"/>
      <c r="I4043" s="70"/>
      <c r="J4043" s="71"/>
      <c r="K4043" s="71"/>
      <c r="L4043" s="72" t="str">
        <f>IFERROR(IF(G4043="","",VLOOKUP($G4043,[1]基础信息!$B:$C,2,FALSE)+SUMIF(G$8:G4043,G4043,J$8:J4043)-SUMIF(G$8:G4043,G4043,K$8:K4043)+SUMIFS([1]内部转账!$G:$G,[1]内部转账!$C:$C,"&lt;="&amp;$D4043,[1]内部转账!$E:$E,$G4043)-SUMIFS([1]内部转账!$G:$G,[1]内部转账!$C:$C,"&lt;="&amp;$D4043,[1]内部转账!$F:$F,$G4043)),"")</f>
        <v/>
      </c>
      <c r="M4043" s="64"/>
      <c r="N4043" s="69"/>
      <c r="O4043" s="64"/>
      <c r="P4043" s="64"/>
      <c r="Q4043" s="69"/>
      <c r="R4043" s="69"/>
      <c r="S4043" s="69"/>
    </row>
    <row r="4044" s="2" customFormat="1" ht="24.95" customHeight="1" spans="1:19">
      <c r="A4044" s="15"/>
      <c r="B4044" s="55"/>
      <c r="C4044" s="56"/>
      <c r="D4044" s="68"/>
      <c r="E4044" s="69"/>
      <c r="F4044" s="69"/>
      <c r="G4044" s="65"/>
      <c r="H4044" s="65"/>
      <c r="I4044" s="70"/>
      <c r="J4044" s="71"/>
      <c r="K4044" s="71"/>
      <c r="L4044" s="72" t="str">
        <f>IFERROR(IF(G4044="","",VLOOKUP($G4044,[1]基础信息!$B:$C,2,FALSE)+SUMIF(G$8:G4044,G4044,J$8:J4044)-SUMIF(G$8:G4044,G4044,K$8:K4044)+SUMIFS([1]内部转账!$G:$G,[1]内部转账!$C:$C,"&lt;="&amp;$D4044,[1]内部转账!$E:$E,$G4044)-SUMIFS([1]内部转账!$G:$G,[1]内部转账!$C:$C,"&lt;="&amp;$D4044,[1]内部转账!$F:$F,$G4044)),"")</f>
        <v/>
      </c>
      <c r="M4044" s="64"/>
      <c r="N4044" s="69"/>
      <c r="O4044" s="64"/>
      <c r="P4044" s="64"/>
      <c r="Q4044" s="69"/>
      <c r="R4044" s="69"/>
      <c r="S4044" s="69"/>
    </row>
    <row r="4045" s="2" customFormat="1" ht="24.95" customHeight="1" spans="1:19">
      <c r="A4045" s="15"/>
      <c r="B4045" s="55"/>
      <c r="C4045" s="56"/>
      <c r="D4045" s="68"/>
      <c r="E4045" s="69"/>
      <c r="F4045" s="69"/>
      <c r="G4045" s="65"/>
      <c r="H4045" s="65"/>
      <c r="I4045" s="70"/>
      <c r="J4045" s="71"/>
      <c r="K4045" s="71"/>
      <c r="L4045" s="72" t="str">
        <f>IFERROR(IF(G4045="","",VLOOKUP($G4045,[1]基础信息!$B:$C,2,FALSE)+SUMIF(G$8:G4045,G4045,J$8:J4045)-SUMIF(G$8:G4045,G4045,K$8:K4045)+SUMIFS([1]内部转账!$G:$G,[1]内部转账!$C:$C,"&lt;="&amp;$D4045,[1]内部转账!$E:$E,$G4045)-SUMIFS([1]内部转账!$G:$G,[1]内部转账!$C:$C,"&lt;="&amp;$D4045,[1]内部转账!$F:$F,$G4045)),"")</f>
        <v/>
      </c>
      <c r="M4045" s="64"/>
      <c r="N4045" s="69"/>
      <c r="O4045" s="64"/>
      <c r="P4045" s="64"/>
      <c r="Q4045" s="69"/>
      <c r="R4045" s="69"/>
      <c r="S4045" s="69"/>
    </row>
    <row r="4046" s="2" customFormat="1" ht="24.95" customHeight="1" spans="1:19">
      <c r="A4046" s="15"/>
      <c r="B4046" s="55"/>
      <c r="C4046" s="56"/>
      <c r="D4046" s="68"/>
      <c r="E4046" s="69"/>
      <c r="F4046" s="69"/>
      <c r="G4046" s="65"/>
      <c r="H4046" s="65"/>
      <c r="I4046" s="70"/>
      <c r="J4046" s="71"/>
      <c r="K4046" s="71"/>
      <c r="L4046" s="72" t="str">
        <f>IFERROR(IF(G4046="","",VLOOKUP($G4046,[1]基础信息!$B:$C,2,FALSE)+SUMIF(G$8:G4046,G4046,J$8:J4046)-SUMIF(G$8:G4046,G4046,K$8:K4046)+SUMIFS([1]内部转账!$G:$G,[1]内部转账!$C:$C,"&lt;="&amp;$D4046,[1]内部转账!$E:$E,$G4046)-SUMIFS([1]内部转账!$G:$G,[1]内部转账!$C:$C,"&lt;="&amp;$D4046,[1]内部转账!$F:$F,$G4046)),"")</f>
        <v/>
      </c>
      <c r="M4046" s="64"/>
      <c r="N4046" s="69"/>
      <c r="O4046" s="64"/>
      <c r="P4046" s="64"/>
      <c r="Q4046" s="69"/>
      <c r="R4046" s="69"/>
      <c r="S4046" s="69"/>
    </row>
    <row r="4047" s="2" customFormat="1" ht="24.95" customHeight="1" spans="1:19">
      <c r="A4047" s="15"/>
      <c r="B4047" s="55"/>
      <c r="C4047" s="56"/>
      <c r="D4047" s="68"/>
      <c r="E4047" s="69"/>
      <c r="F4047" s="69"/>
      <c r="G4047" s="65"/>
      <c r="H4047" s="65"/>
      <c r="I4047" s="70"/>
      <c r="J4047" s="71"/>
      <c r="K4047" s="71"/>
      <c r="L4047" s="72" t="str">
        <f>IFERROR(IF(G4047="","",VLOOKUP($G4047,[1]基础信息!$B:$C,2,FALSE)+SUMIF(G$8:G4047,G4047,J$8:J4047)-SUMIF(G$8:G4047,G4047,K$8:K4047)+SUMIFS([1]内部转账!$G:$G,[1]内部转账!$C:$C,"&lt;="&amp;$D4047,[1]内部转账!$E:$E,$G4047)-SUMIFS([1]内部转账!$G:$G,[1]内部转账!$C:$C,"&lt;="&amp;$D4047,[1]内部转账!$F:$F,$G4047)),"")</f>
        <v/>
      </c>
      <c r="M4047" s="64"/>
      <c r="N4047" s="69"/>
      <c r="O4047" s="64"/>
      <c r="P4047" s="64"/>
      <c r="Q4047" s="69"/>
      <c r="R4047" s="69"/>
      <c r="S4047" s="69"/>
    </row>
    <row r="4048" s="2" customFormat="1" ht="24.95" customHeight="1" spans="1:19">
      <c r="A4048" s="15"/>
      <c r="B4048" s="55"/>
      <c r="C4048" s="56"/>
      <c r="D4048" s="68"/>
      <c r="E4048" s="69"/>
      <c r="F4048" s="69"/>
      <c r="G4048" s="65"/>
      <c r="H4048" s="65"/>
      <c r="I4048" s="70"/>
      <c r="J4048" s="71"/>
      <c r="K4048" s="71"/>
      <c r="L4048" s="72" t="str">
        <f>IFERROR(IF(G4048="","",VLOOKUP($G4048,[1]基础信息!$B:$C,2,FALSE)+SUMIF(G$8:G4048,G4048,J$8:J4048)-SUMIF(G$8:G4048,G4048,K$8:K4048)+SUMIFS([1]内部转账!$G:$G,[1]内部转账!$C:$C,"&lt;="&amp;$D4048,[1]内部转账!$E:$E,$G4048)-SUMIFS([1]内部转账!$G:$G,[1]内部转账!$C:$C,"&lt;="&amp;$D4048,[1]内部转账!$F:$F,$G4048)),"")</f>
        <v/>
      </c>
      <c r="M4048" s="64"/>
      <c r="N4048" s="69"/>
      <c r="O4048" s="64"/>
      <c r="P4048" s="64"/>
      <c r="Q4048" s="69"/>
      <c r="R4048" s="69"/>
      <c r="S4048" s="69"/>
    </row>
    <row r="4049" s="2" customFormat="1" ht="24.95" customHeight="1" spans="1:19">
      <c r="A4049" s="15"/>
      <c r="B4049" s="55"/>
      <c r="C4049" s="56"/>
      <c r="D4049" s="68"/>
      <c r="E4049" s="69"/>
      <c r="F4049" s="69"/>
      <c r="G4049" s="65"/>
      <c r="H4049" s="65"/>
      <c r="I4049" s="70"/>
      <c r="J4049" s="71"/>
      <c r="K4049" s="71"/>
      <c r="L4049" s="72" t="str">
        <f>IFERROR(IF(G4049="","",VLOOKUP($G4049,[1]基础信息!$B:$C,2,FALSE)+SUMIF(G$8:G4049,G4049,J$8:J4049)-SUMIF(G$8:G4049,G4049,K$8:K4049)+SUMIFS([1]内部转账!$G:$G,[1]内部转账!$C:$C,"&lt;="&amp;$D4049,[1]内部转账!$E:$E,$G4049)-SUMIFS([1]内部转账!$G:$G,[1]内部转账!$C:$C,"&lt;="&amp;$D4049,[1]内部转账!$F:$F,$G4049)),"")</f>
        <v/>
      </c>
      <c r="M4049" s="64"/>
      <c r="N4049" s="69"/>
      <c r="O4049" s="64"/>
      <c r="P4049" s="64"/>
      <c r="Q4049" s="69"/>
      <c r="R4049" s="69"/>
      <c r="S4049" s="69"/>
    </row>
    <row r="4050" s="2" customFormat="1" ht="24.95" customHeight="1" spans="1:19">
      <c r="A4050" s="15"/>
      <c r="B4050" s="55"/>
      <c r="C4050" s="56"/>
      <c r="D4050" s="68"/>
      <c r="E4050" s="69"/>
      <c r="F4050" s="69"/>
      <c r="G4050" s="65"/>
      <c r="H4050" s="65"/>
      <c r="I4050" s="70"/>
      <c r="J4050" s="71"/>
      <c r="K4050" s="71"/>
      <c r="L4050" s="72" t="str">
        <f>IFERROR(IF(G4050="","",VLOOKUP($G4050,[1]基础信息!$B:$C,2,FALSE)+SUMIF(G$8:G4050,G4050,J$8:J4050)-SUMIF(G$8:G4050,G4050,K$8:K4050)+SUMIFS([1]内部转账!$G:$G,[1]内部转账!$C:$C,"&lt;="&amp;$D4050,[1]内部转账!$E:$E,$G4050)-SUMIFS([1]内部转账!$G:$G,[1]内部转账!$C:$C,"&lt;="&amp;$D4050,[1]内部转账!$F:$F,$G4050)),"")</f>
        <v/>
      </c>
      <c r="M4050" s="64"/>
      <c r="N4050" s="69"/>
      <c r="O4050" s="64"/>
      <c r="P4050" s="64"/>
      <c r="Q4050" s="69"/>
      <c r="R4050" s="69"/>
      <c r="S4050" s="69"/>
    </row>
    <row r="4051" s="2" customFormat="1" ht="24.95" customHeight="1" spans="1:19">
      <c r="A4051" s="15"/>
      <c r="B4051" s="55"/>
      <c r="C4051" s="56"/>
      <c r="D4051" s="68"/>
      <c r="E4051" s="69"/>
      <c r="F4051" s="69"/>
      <c r="G4051" s="65"/>
      <c r="H4051" s="65"/>
      <c r="I4051" s="70"/>
      <c r="J4051" s="71"/>
      <c r="K4051" s="71"/>
      <c r="L4051" s="72" t="str">
        <f>IFERROR(IF(G4051="","",VLOOKUP($G4051,[1]基础信息!$B:$C,2,FALSE)+SUMIF(G$8:G4051,G4051,J$8:J4051)-SUMIF(G$8:G4051,G4051,K$8:K4051)+SUMIFS([1]内部转账!$G:$G,[1]内部转账!$C:$C,"&lt;="&amp;$D4051,[1]内部转账!$E:$E,$G4051)-SUMIFS([1]内部转账!$G:$G,[1]内部转账!$C:$C,"&lt;="&amp;$D4051,[1]内部转账!$F:$F,$G4051)),"")</f>
        <v/>
      </c>
      <c r="M4051" s="64"/>
      <c r="N4051" s="69"/>
      <c r="O4051" s="64"/>
      <c r="P4051" s="64"/>
      <c r="Q4051" s="69"/>
      <c r="R4051" s="69"/>
      <c r="S4051" s="69"/>
    </row>
    <row r="4052" s="2" customFormat="1" ht="24.95" customHeight="1" spans="1:19">
      <c r="A4052" s="15"/>
      <c r="B4052" s="55"/>
      <c r="C4052" s="56"/>
      <c r="D4052" s="68"/>
      <c r="E4052" s="69"/>
      <c r="F4052" s="69"/>
      <c r="G4052" s="65"/>
      <c r="H4052" s="65"/>
      <c r="I4052" s="70"/>
      <c r="J4052" s="71"/>
      <c r="K4052" s="71"/>
      <c r="L4052" s="72" t="str">
        <f>IFERROR(IF(G4052="","",VLOOKUP($G4052,[1]基础信息!$B:$C,2,FALSE)+SUMIF(G$8:G4052,G4052,J$8:J4052)-SUMIF(G$8:G4052,G4052,K$8:K4052)+SUMIFS([1]内部转账!$G:$G,[1]内部转账!$C:$C,"&lt;="&amp;$D4052,[1]内部转账!$E:$E,$G4052)-SUMIFS([1]内部转账!$G:$G,[1]内部转账!$C:$C,"&lt;="&amp;$D4052,[1]内部转账!$F:$F,$G4052)),"")</f>
        <v/>
      </c>
      <c r="M4052" s="64"/>
      <c r="N4052" s="69"/>
      <c r="O4052" s="64"/>
      <c r="P4052" s="64"/>
      <c r="Q4052" s="69"/>
      <c r="R4052" s="69"/>
      <c r="S4052" s="69"/>
    </row>
    <row r="4053" s="2" customFormat="1" ht="24.95" customHeight="1" spans="1:19">
      <c r="A4053" s="15"/>
      <c r="B4053" s="55"/>
      <c r="C4053" s="56"/>
      <c r="D4053" s="68"/>
      <c r="E4053" s="69"/>
      <c r="F4053" s="69"/>
      <c r="G4053" s="65"/>
      <c r="H4053" s="65"/>
      <c r="I4053" s="70"/>
      <c r="J4053" s="71"/>
      <c r="K4053" s="71"/>
      <c r="L4053" s="72" t="str">
        <f>IFERROR(IF(G4053="","",VLOOKUP($G4053,[1]基础信息!$B:$C,2,FALSE)+SUMIF(G$8:G4053,G4053,J$8:J4053)-SUMIF(G$8:G4053,G4053,K$8:K4053)+SUMIFS([1]内部转账!$G:$G,[1]内部转账!$C:$C,"&lt;="&amp;$D4053,[1]内部转账!$E:$E,$G4053)-SUMIFS([1]内部转账!$G:$G,[1]内部转账!$C:$C,"&lt;="&amp;$D4053,[1]内部转账!$F:$F,$G4053)),"")</f>
        <v/>
      </c>
      <c r="M4053" s="64"/>
      <c r="N4053" s="69"/>
      <c r="O4053" s="64"/>
      <c r="P4053" s="64"/>
      <c r="Q4053" s="69"/>
      <c r="R4053" s="69"/>
      <c r="S4053" s="69"/>
    </row>
    <row r="4054" s="2" customFormat="1" ht="24.95" customHeight="1" spans="1:19">
      <c r="A4054" s="15"/>
      <c r="B4054" s="55"/>
      <c r="C4054" s="56"/>
      <c r="D4054" s="68"/>
      <c r="E4054" s="69"/>
      <c r="F4054" s="69"/>
      <c r="G4054" s="65"/>
      <c r="H4054" s="65"/>
      <c r="I4054" s="70"/>
      <c r="J4054" s="71"/>
      <c r="K4054" s="71"/>
      <c r="L4054" s="72" t="str">
        <f>IFERROR(IF(G4054="","",VLOOKUP($G4054,[1]基础信息!$B:$C,2,FALSE)+SUMIF(G$8:G4054,G4054,J$8:J4054)-SUMIF(G$8:G4054,G4054,K$8:K4054)+SUMIFS([1]内部转账!$G:$G,[1]内部转账!$C:$C,"&lt;="&amp;$D4054,[1]内部转账!$E:$E,$G4054)-SUMIFS([1]内部转账!$G:$G,[1]内部转账!$C:$C,"&lt;="&amp;$D4054,[1]内部转账!$F:$F,$G4054)),"")</f>
        <v/>
      </c>
      <c r="M4054" s="64"/>
      <c r="N4054" s="69"/>
      <c r="O4054" s="64"/>
      <c r="P4054" s="64"/>
      <c r="Q4054" s="69"/>
      <c r="R4054" s="69"/>
      <c r="S4054" s="69"/>
    </row>
    <row r="4055" s="2" customFormat="1" ht="24.95" customHeight="1" spans="1:19">
      <c r="A4055" s="15"/>
      <c r="B4055" s="55"/>
      <c r="C4055" s="56"/>
      <c r="D4055" s="68"/>
      <c r="E4055" s="69"/>
      <c r="F4055" s="69"/>
      <c r="G4055" s="65"/>
      <c r="H4055" s="65"/>
      <c r="I4055" s="70"/>
      <c r="J4055" s="71"/>
      <c r="K4055" s="71"/>
      <c r="L4055" s="72" t="str">
        <f>IFERROR(IF(G4055="","",VLOOKUP($G4055,[1]基础信息!$B:$C,2,FALSE)+SUMIF(G$8:G4055,G4055,J$8:J4055)-SUMIF(G$8:G4055,G4055,K$8:K4055)+SUMIFS([1]内部转账!$G:$G,[1]内部转账!$C:$C,"&lt;="&amp;$D4055,[1]内部转账!$E:$E,$G4055)-SUMIFS([1]内部转账!$G:$G,[1]内部转账!$C:$C,"&lt;="&amp;$D4055,[1]内部转账!$F:$F,$G4055)),"")</f>
        <v/>
      </c>
      <c r="M4055" s="64"/>
      <c r="N4055" s="69"/>
      <c r="O4055" s="64"/>
      <c r="P4055" s="64"/>
      <c r="Q4055" s="69"/>
      <c r="R4055" s="69"/>
      <c r="S4055" s="69"/>
    </row>
    <row r="4056" s="2" customFormat="1" ht="24.95" customHeight="1" spans="1:19">
      <c r="A4056" s="15"/>
      <c r="B4056" s="55"/>
      <c r="C4056" s="56"/>
      <c r="D4056" s="68"/>
      <c r="E4056" s="69"/>
      <c r="F4056" s="69"/>
      <c r="G4056" s="65"/>
      <c r="H4056" s="65"/>
      <c r="I4056" s="70"/>
      <c r="J4056" s="71"/>
      <c r="K4056" s="71"/>
      <c r="L4056" s="72" t="str">
        <f>IFERROR(IF(G4056="","",VLOOKUP($G4056,[1]基础信息!$B:$C,2,FALSE)+SUMIF(G$8:G4056,G4056,J$8:J4056)-SUMIF(G$8:G4056,G4056,K$8:K4056)+SUMIFS([1]内部转账!$G:$G,[1]内部转账!$C:$C,"&lt;="&amp;$D4056,[1]内部转账!$E:$E,$G4056)-SUMIFS([1]内部转账!$G:$G,[1]内部转账!$C:$C,"&lt;="&amp;$D4056,[1]内部转账!$F:$F,$G4056)),"")</f>
        <v/>
      </c>
      <c r="M4056" s="64"/>
      <c r="N4056" s="69"/>
      <c r="O4056" s="64"/>
      <c r="P4056" s="64"/>
      <c r="Q4056" s="69"/>
      <c r="R4056" s="69"/>
      <c r="S4056" s="69"/>
    </row>
    <row r="4057" s="2" customFormat="1" ht="24.95" customHeight="1" spans="1:19">
      <c r="A4057" s="15"/>
      <c r="B4057" s="55"/>
      <c r="C4057" s="56"/>
      <c r="D4057" s="68"/>
      <c r="E4057" s="69"/>
      <c r="F4057" s="69"/>
      <c r="G4057" s="65"/>
      <c r="H4057" s="65"/>
      <c r="I4057" s="70"/>
      <c r="J4057" s="71"/>
      <c r="K4057" s="71"/>
      <c r="L4057" s="72" t="str">
        <f>IFERROR(IF(G4057="","",VLOOKUP($G4057,[1]基础信息!$B:$C,2,FALSE)+SUMIF(G$8:G4057,G4057,J$8:J4057)-SUMIF(G$8:G4057,G4057,K$8:K4057)+SUMIFS([1]内部转账!$G:$G,[1]内部转账!$C:$C,"&lt;="&amp;$D4057,[1]内部转账!$E:$E,$G4057)-SUMIFS([1]内部转账!$G:$G,[1]内部转账!$C:$C,"&lt;="&amp;$D4057,[1]内部转账!$F:$F,$G4057)),"")</f>
        <v/>
      </c>
      <c r="M4057" s="64"/>
      <c r="N4057" s="69"/>
      <c r="O4057" s="64"/>
      <c r="P4057" s="64"/>
      <c r="Q4057" s="69"/>
      <c r="R4057" s="69"/>
      <c r="S4057" s="69"/>
    </row>
    <row r="4058" s="2" customFormat="1" ht="24.95" customHeight="1" spans="1:19">
      <c r="A4058" s="15"/>
      <c r="B4058" s="55"/>
      <c r="C4058" s="56"/>
      <c r="D4058" s="68"/>
      <c r="E4058" s="69"/>
      <c r="F4058" s="69"/>
      <c r="G4058" s="65"/>
      <c r="H4058" s="65"/>
      <c r="I4058" s="70"/>
      <c r="J4058" s="71"/>
      <c r="K4058" s="71"/>
      <c r="L4058" s="72" t="str">
        <f>IFERROR(IF(G4058="","",VLOOKUP($G4058,[1]基础信息!$B:$C,2,FALSE)+SUMIF(G$8:G4058,G4058,J$8:J4058)-SUMIF(G$8:G4058,G4058,K$8:K4058)+SUMIFS([1]内部转账!$G:$G,[1]内部转账!$C:$C,"&lt;="&amp;$D4058,[1]内部转账!$E:$E,$G4058)-SUMIFS([1]内部转账!$G:$G,[1]内部转账!$C:$C,"&lt;="&amp;$D4058,[1]内部转账!$F:$F,$G4058)),"")</f>
        <v/>
      </c>
      <c r="M4058" s="64"/>
      <c r="N4058" s="69"/>
      <c r="O4058" s="64"/>
      <c r="P4058" s="64"/>
      <c r="Q4058" s="69"/>
      <c r="R4058" s="69"/>
      <c r="S4058" s="69"/>
    </row>
    <row r="4059" s="2" customFormat="1" ht="24.95" customHeight="1" spans="1:19">
      <c r="A4059" s="15"/>
      <c r="B4059" s="55"/>
      <c r="C4059" s="56"/>
      <c r="D4059" s="68"/>
      <c r="E4059" s="69"/>
      <c r="F4059" s="69"/>
      <c r="G4059" s="65"/>
      <c r="H4059" s="65"/>
      <c r="I4059" s="70"/>
      <c r="J4059" s="71"/>
      <c r="K4059" s="71"/>
      <c r="L4059" s="72" t="str">
        <f>IFERROR(IF(G4059="","",VLOOKUP($G4059,[1]基础信息!$B:$C,2,FALSE)+SUMIF(G$8:G4059,G4059,J$8:J4059)-SUMIF(G$8:G4059,G4059,K$8:K4059)+SUMIFS([1]内部转账!$G:$G,[1]内部转账!$C:$C,"&lt;="&amp;$D4059,[1]内部转账!$E:$E,$G4059)-SUMIFS([1]内部转账!$G:$G,[1]内部转账!$C:$C,"&lt;="&amp;$D4059,[1]内部转账!$F:$F,$G4059)),"")</f>
        <v/>
      </c>
      <c r="M4059" s="64"/>
      <c r="N4059" s="69"/>
      <c r="O4059" s="64"/>
      <c r="P4059" s="64"/>
      <c r="Q4059" s="69"/>
      <c r="R4059" s="69"/>
      <c r="S4059" s="69"/>
    </row>
    <row r="4060" s="2" customFormat="1" ht="24.95" customHeight="1" spans="1:19">
      <c r="A4060" s="15"/>
      <c r="B4060" s="55"/>
      <c r="C4060" s="56"/>
      <c r="D4060" s="68"/>
      <c r="E4060" s="69"/>
      <c r="F4060" s="69"/>
      <c r="G4060" s="65"/>
      <c r="H4060" s="65"/>
      <c r="I4060" s="70"/>
      <c r="J4060" s="71"/>
      <c r="K4060" s="71"/>
      <c r="L4060" s="72" t="str">
        <f>IFERROR(IF(G4060="","",VLOOKUP($G4060,[1]基础信息!$B:$C,2,FALSE)+SUMIF(G$8:G4060,G4060,J$8:J4060)-SUMIF(G$8:G4060,G4060,K$8:K4060)+SUMIFS([1]内部转账!$G:$G,[1]内部转账!$C:$C,"&lt;="&amp;$D4060,[1]内部转账!$E:$E,$G4060)-SUMIFS([1]内部转账!$G:$G,[1]内部转账!$C:$C,"&lt;="&amp;$D4060,[1]内部转账!$F:$F,$G4060)),"")</f>
        <v/>
      </c>
      <c r="M4060" s="64"/>
      <c r="N4060" s="69"/>
      <c r="O4060" s="64"/>
      <c r="P4060" s="64"/>
      <c r="Q4060" s="69"/>
      <c r="R4060" s="69"/>
      <c r="S4060" s="69"/>
    </row>
    <row r="4061" s="2" customFormat="1" ht="24.95" customHeight="1" spans="1:19">
      <c r="A4061" s="15"/>
      <c r="B4061" s="55"/>
      <c r="C4061" s="56"/>
      <c r="D4061" s="68"/>
      <c r="E4061" s="69"/>
      <c r="F4061" s="69"/>
      <c r="G4061" s="65"/>
      <c r="H4061" s="65"/>
      <c r="I4061" s="70"/>
      <c r="J4061" s="71"/>
      <c r="K4061" s="71"/>
      <c r="L4061" s="72" t="str">
        <f>IFERROR(IF(G4061="","",VLOOKUP($G4061,[1]基础信息!$B:$C,2,FALSE)+SUMIF(G$8:G4061,G4061,J$8:J4061)-SUMIF(G$8:G4061,G4061,K$8:K4061)+SUMIFS([1]内部转账!$G:$G,[1]内部转账!$C:$C,"&lt;="&amp;$D4061,[1]内部转账!$E:$E,$G4061)-SUMIFS([1]内部转账!$G:$G,[1]内部转账!$C:$C,"&lt;="&amp;$D4061,[1]内部转账!$F:$F,$G4061)),"")</f>
        <v/>
      </c>
      <c r="M4061" s="64"/>
      <c r="N4061" s="69"/>
      <c r="O4061" s="64"/>
      <c r="P4061" s="64"/>
      <c r="Q4061" s="69"/>
      <c r="R4061" s="69"/>
      <c r="S4061" s="69"/>
    </row>
    <row r="4062" s="2" customFormat="1" ht="24.95" customHeight="1" spans="1:19">
      <c r="A4062" s="15"/>
      <c r="B4062" s="55"/>
      <c r="C4062" s="56"/>
      <c r="D4062" s="68"/>
      <c r="E4062" s="69"/>
      <c r="F4062" s="69"/>
      <c r="G4062" s="65"/>
      <c r="H4062" s="65"/>
      <c r="I4062" s="70"/>
      <c r="J4062" s="71"/>
      <c r="K4062" s="71"/>
      <c r="L4062" s="72" t="str">
        <f>IFERROR(IF(G4062="","",VLOOKUP($G4062,[1]基础信息!$B:$C,2,FALSE)+SUMIF(G$8:G4062,G4062,J$8:J4062)-SUMIF(G$8:G4062,G4062,K$8:K4062)+SUMIFS([1]内部转账!$G:$G,[1]内部转账!$C:$C,"&lt;="&amp;$D4062,[1]内部转账!$E:$E,$G4062)-SUMIFS([1]内部转账!$G:$G,[1]内部转账!$C:$C,"&lt;="&amp;$D4062,[1]内部转账!$F:$F,$G4062)),"")</f>
        <v/>
      </c>
      <c r="M4062" s="64"/>
      <c r="N4062" s="69"/>
      <c r="O4062" s="64"/>
      <c r="P4062" s="64"/>
      <c r="Q4062" s="69"/>
      <c r="R4062" s="69"/>
      <c r="S4062" s="69"/>
    </row>
    <row r="4063" s="2" customFormat="1" ht="24.95" customHeight="1" spans="1:19">
      <c r="A4063" s="15"/>
      <c r="B4063" s="55"/>
      <c r="C4063" s="56"/>
      <c r="D4063" s="68"/>
      <c r="E4063" s="69"/>
      <c r="F4063" s="69"/>
      <c r="G4063" s="65"/>
      <c r="H4063" s="65"/>
      <c r="I4063" s="70"/>
      <c r="J4063" s="71"/>
      <c r="K4063" s="71"/>
      <c r="L4063" s="72" t="str">
        <f>IFERROR(IF(G4063="","",VLOOKUP($G4063,[1]基础信息!$B:$C,2,FALSE)+SUMIF(G$8:G4063,G4063,J$8:J4063)-SUMIF(G$8:G4063,G4063,K$8:K4063)+SUMIFS([1]内部转账!$G:$G,[1]内部转账!$C:$C,"&lt;="&amp;$D4063,[1]内部转账!$E:$E,$G4063)-SUMIFS([1]内部转账!$G:$G,[1]内部转账!$C:$C,"&lt;="&amp;$D4063,[1]内部转账!$F:$F,$G4063)),"")</f>
        <v/>
      </c>
      <c r="M4063" s="64"/>
      <c r="N4063" s="69"/>
      <c r="O4063" s="64"/>
      <c r="P4063" s="64"/>
      <c r="Q4063" s="69"/>
      <c r="R4063" s="69"/>
      <c r="S4063" s="69"/>
    </row>
    <row r="4064" s="2" customFormat="1" ht="24.95" customHeight="1" spans="1:19">
      <c r="A4064" s="15"/>
      <c r="B4064" s="55"/>
      <c r="C4064" s="56"/>
      <c r="D4064" s="68"/>
      <c r="E4064" s="69"/>
      <c r="F4064" s="69"/>
      <c r="G4064" s="65"/>
      <c r="H4064" s="65"/>
      <c r="I4064" s="70"/>
      <c r="J4064" s="71"/>
      <c r="K4064" s="71"/>
      <c r="L4064" s="72" t="str">
        <f>IFERROR(IF(G4064="","",VLOOKUP($G4064,[1]基础信息!$B:$C,2,FALSE)+SUMIF(G$8:G4064,G4064,J$8:J4064)-SUMIF(G$8:G4064,G4064,K$8:K4064)+SUMIFS([1]内部转账!$G:$G,[1]内部转账!$C:$C,"&lt;="&amp;$D4064,[1]内部转账!$E:$E,$G4064)-SUMIFS([1]内部转账!$G:$G,[1]内部转账!$C:$C,"&lt;="&amp;$D4064,[1]内部转账!$F:$F,$G4064)),"")</f>
        <v/>
      </c>
      <c r="M4064" s="64"/>
      <c r="N4064" s="69"/>
      <c r="O4064" s="64"/>
      <c r="P4064" s="64"/>
      <c r="Q4064" s="69"/>
      <c r="R4064" s="69"/>
      <c r="S4064" s="69"/>
    </row>
    <row r="4065" s="2" customFormat="1" ht="24.95" customHeight="1" spans="1:19">
      <c r="A4065" s="15"/>
      <c r="B4065" s="55"/>
      <c r="C4065" s="56"/>
      <c r="D4065" s="68"/>
      <c r="E4065" s="69"/>
      <c r="F4065" s="69"/>
      <c r="G4065" s="65"/>
      <c r="H4065" s="65"/>
      <c r="I4065" s="70"/>
      <c r="J4065" s="71"/>
      <c r="K4065" s="71"/>
      <c r="L4065" s="72" t="str">
        <f>IFERROR(IF(G4065="","",VLOOKUP($G4065,[1]基础信息!$B:$C,2,FALSE)+SUMIF(G$8:G4065,G4065,J$8:J4065)-SUMIF(G$8:G4065,G4065,K$8:K4065)+SUMIFS([1]内部转账!$G:$G,[1]内部转账!$C:$C,"&lt;="&amp;$D4065,[1]内部转账!$E:$E,$G4065)-SUMIFS([1]内部转账!$G:$G,[1]内部转账!$C:$C,"&lt;="&amp;$D4065,[1]内部转账!$F:$F,$G4065)),"")</f>
        <v/>
      </c>
      <c r="M4065" s="64"/>
      <c r="N4065" s="69"/>
      <c r="O4065" s="64"/>
      <c r="P4065" s="64"/>
      <c r="Q4065" s="69"/>
      <c r="R4065" s="69"/>
      <c r="S4065" s="69"/>
    </row>
    <row r="4066" s="2" customFormat="1" ht="24.95" customHeight="1" spans="1:19">
      <c r="A4066" s="15"/>
      <c r="B4066" s="55"/>
      <c r="C4066" s="56"/>
      <c r="D4066" s="68"/>
      <c r="E4066" s="69"/>
      <c r="F4066" s="69"/>
      <c r="G4066" s="65"/>
      <c r="H4066" s="65"/>
      <c r="I4066" s="70"/>
      <c r="J4066" s="71"/>
      <c r="K4066" s="71"/>
      <c r="L4066" s="72" t="str">
        <f>IFERROR(IF(G4066="","",VLOOKUP($G4066,[1]基础信息!$B:$C,2,FALSE)+SUMIF(G$8:G4066,G4066,J$8:J4066)-SUMIF(G$8:G4066,G4066,K$8:K4066)+SUMIFS([1]内部转账!$G:$G,[1]内部转账!$C:$C,"&lt;="&amp;$D4066,[1]内部转账!$E:$E,$G4066)-SUMIFS([1]内部转账!$G:$G,[1]内部转账!$C:$C,"&lt;="&amp;$D4066,[1]内部转账!$F:$F,$G4066)),"")</f>
        <v/>
      </c>
      <c r="M4066" s="64"/>
      <c r="N4066" s="69"/>
      <c r="O4066" s="64"/>
      <c r="P4066" s="64"/>
      <c r="Q4066" s="69"/>
      <c r="R4066" s="69"/>
      <c r="S4066" s="69"/>
    </row>
    <row r="4067" s="2" customFormat="1" ht="24.95" customHeight="1" spans="1:19">
      <c r="A4067" s="15"/>
      <c r="B4067" s="55"/>
      <c r="C4067" s="56"/>
      <c r="D4067" s="68"/>
      <c r="E4067" s="69"/>
      <c r="F4067" s="69"/>
      <c r="G4067" s="65"/>
      <c r="H4067" s="65"/>
      <c r="I4067" s="70"/>
      <c r="J4067" s="71"/>
      <c r="K4067" s="71"/>
      <c r="L4067" s="72" t="str">
        <f>IFERROR(IF(G4067="","",VLOOKUP($G4067,[1]基础信息!$B:$C,2,FALSE)+SUMIF(G$8:G4067,G4067,J$8:J4067)-SUMIF(G$8:G4067,G4067,K$8:K4067)+SUMIFS([1]内部转账!$G:$G,[1]内部转账!$C:$C,"&lt;="&amp;$D4067,[1]内部转账!$E:$E,$G4067)-SUMIFS([1]内部转账!$G:$G,[1]内部转账!$C:$C,"&lt;="&amp;$D4067,[1]内部转账!$F:$F,$G4067)),"")</f>
        <v/>
      </c>
      <c r="M4067" s="64"/>
      <c r="N4067" s="69"/>
      <c r="O4067" s="64"/>
      <c r="P4067" s="64"/>
      <c r="Q4067" s="69"/>
      <c r="R4067" s="69"/>
      <c r="S4067" s="69"/>
    </row>
    <row r="4068" s="2" customFormat="1" ht="24.95" customHeight="1" spans="1:19">
      <c r="A4068" s="15"/>
      <c r="B4068" s="55"/>
      <c r="C4068" s="56"/>
      <c r="D4068" s="68"/>
      <c r="E4068" s="69"/>
      <c r="F4068" s="69"/>
      <c r="G4068" s="65"/>
      <c r="H4068" s="65"/>
      <c r="I4068" s="70"/>
      <c r="J4068" s="71"/>
      <c r="K4068" s="71"/>
      <c r="L4068" s="72" t="str">
        <f>IFERROR(IF(G4068="","",VLOOKUP($G4068,[1]基础信息!$B:$C,2,FALSE)+SUMIF(G$8:G4068,G4068,J$8:J4068)-SUMIF(G$8:G4068,G4068,K$8:K4068)+SUMIFS([1]内部转账!$G:$G,[1]内部转账!$C:$C,"&lt;="&amp;$D4068,[1]内部转账!$E:$E,$G4068)-SUMIFS([1]内部转账!$G:$G,[1]内部转账!$C:$C,"&lt;="&amp;$D4068,[1]内部转账!$F:$F,$G4068)),"")</f>
        <v/>
      </c>
      <c r="M4068" s="64"/>
      <c r="N4068" s="69"/>
      <c r="O4068" s="64"/>
      <c r="P4068" s="64"/>
      <c r="Q4068" s="69"/>
      <c r="R4068" s="69"/>
      <c r="S4068" s="69"/>
    </row>
    <row r="4069" s="2" customFormat="1" ht="24.95" customHeight="1" spans="1:19">
      <c r="A4069" s="15"/>
      <c r="B4069" s="55"/>
      <c r="C4069" s="56"/>
      <c r="D4069" s="68"/>
      <c r="E4069" s="69"/>
      <c r="F4069" s="69"/>
      <c r="G4069" s="65"/>
      <c r="H4069" s="65"/>
      <c r="I4069" s="70"/>
      <c r="J4069" s="71"/>
      <c r="K4069" s="71"/>
      <c r="L4069" s="72" t="str">
        <f>IFERROR(IF(G4069="","",VLOOKUP($G4069,[1]基础信息!$B:$C,2,FALSE)+SUMIF(G$8:G4069,G4069,J$8:J4069)-SUMIF(G$8:G4069,G4069,K$8:K4069)+SUMIFS([1]内部转账!$G:$G,[1]内部转账!$C:$C,"&lt;="&amp;$D4069,[1]内部转账!$E:$E,$G4069)-SUMIFS([1]内部转账!$G:$G,[1]内部转账!$C:$C,"&lt;="&amp;$D4069,[1]内部转账!$F:$F,$G4069)),"")</f>
        <v/>
      </c>
      <c r="M4069" s="64"/>
      <c r="N4069" s="69"/>
      <c r="O4069" s="64"/>
      <c r="P4069" s="64"/>
      <c r="Q4069" s="69"/>
      <c r="R4069" s="69"/>
      <c r="S4069" s="69"/>
    </row>
    <row r="4070" s="2" customFormat="1" ht="24.95" customHeight="1" spans="1:19">
      <c r="A4070" s="15"/>
      <c r="B4070" s="55"/>
      <c r="C4070" s="56"/>
      <c r="D4070" s="68"/>
      <c r="E4070" s="69"/>
      <c r="F4070" s="69"/>
      <c r="G4070" s="65"/>
      <c r="H4070" s="65"/>
      <c r="I4070" s="70"/>
      <c r="J4070" s="71"/>
      <c r="K4070" s="71"/>
      <c r="L4070" s="72" t="str">
        <f>IFERROR(IF(G4070="","",VLOOKUP($G4070,[1]基础信息!$B:$C,2,FALSE)+SUMIF(G$8:G4070,G4070,J$8:J4070)-SUMIF(G$8:G4070,G4070,K$8:K4070)+SUMIFS([1]内部转账!$G:$G,[1]内部转账!$C:$C,"&lt;="&amp;$D4070,[1]内部转账!$E:$E,$G4070)-SUMIFS([1]内部转账!$G:$G,[1]内部转账!$C:$C,"&lt;="&amp;$D4070,[1]内部转账!$F:$F,$G4070)),"")</f>
        <v/>
      </c>
      <c r="M4070" s="64"/>
      <c r="N4070" s="69"/>
      <c r="O4070" s="64"/>
      <c r="P4070" s="64"/>
      <c r="Q4070" s="69"/>
      <c r="R4070" s="69"/>
      <c r="S4070" s="69"/>
    </row>
    <row r="4071" s="2" customFormat="1" ht="24.95" customHeight="1" spans="1:19">
      <c r="A4071" s="15"/>
      <c r="B4071" s="55"/>
      <c r="C4071" s="56"/>
      <c r="D4071" s="68"/>
      <c r="E4071" s="69"/>
      <c r="F4071" s="69"/>
      <c r="G4071" s="65"/>
      <c r="H4071" s="65"/>
      <c r="I4071" s="70"/>
      <c r="J4071" s="71"/>
      <c r="K4071" s="71"/>
      <c r="L4071" s="72" t="str">
        <f>IFERROR(IF(G4071="","",VLOOKUP($G4071,[1]基础信息!$B:$C,2,FALSE)+SUMIF(G$8:G4071,G4071,J$8:J4071)-SUMIF(G$8:G4071,G4071,K$8:K4071)+SUMIFS([1]内部转账!$G:$G,[1]内部转账!$C:$C,"&lt;="&amp;$D4071,[1]内部转账!$E:$E,$G4071)-SUMIFS([1]内部转账!$G:$G,[1]内部转账!$C:$C,"&lt;="&amp;$D4071,[1]内部转账!$F:$F,$G4071)),"")</f>
        <v/>
      </c>
      <c r="M4071" s="64"/>
      <c r="N4071" s="69"/>
      <c r="O4071" s="64"/>
      <c r="P4071" s="64"/>
      <c r="Q4071" s="69"/>
      <c r="R4071" s="69"/>
      <c r="S4071" s="69"/>
    </row>
    <row r="4072" s="2" customFormat="1" ht="24.95" customHeight="1" spans="1:19">
      <c r="A4072" s="15"/>
      <c r="B4072" s="55"/>
      <c r="C4072" s="56"/>
      <c r="D4072" s="68"/>
      <c r="E4072" s="69"/>
      <c r="F4072" s="69"/>
      <c r="G4072" s="65"/>
      <c r="H4072" s="65"/>
      <c r="I4072" s="70"/>
      <c r="J4072" s="71"/>
      <c r="K4072" s="71"/>
      <c r="L4072" s="72" t="str">
        <f>IFERROR(IF(G4072="","",VLOOKUP($G4072,[1]基础信息!$B:$C,2,FALSE)+SUMIF(G$8:G4072,G4072,J$8:J4072)-SUMIF(G$8:G4072,G4072,K$8:K4072)+SUMIFS([1]内部转账!$G:$G,[1]内部转账!$C:$C,"&lt;="&amp;$D4072,[1]内部转账!$E:$E,$G4072)-SUMIFS([1]内部转账!$G:$G,[1]内部转账!$C:$C,"&lt;="&amp;$D4072,[1]内部转账!$F:$F,$G4072)),"")</f>
        <v/>
      </c>
      <c r="M4072" s="64"/>
      <c r="N4072" s="69"/>
      <c r="O4072" s="64"/>
      <c r="P4072" s="64"/>
      <c r="Q4072" s="69"/>
      <c r="R4072" s="69"/>
      <c r="S4072" s="69"/>
    </row>
    <row r="4073" s="2" customFormat="1" ht="24.95" customHeight="1" spans="1:19">
      <c r="A4073" s="15"/>
      <c r="B4073" s="55"/>
      <c r="C4073" s="56"/>
      <c r="D4073" s="68"/>
      <c r="E4073" s="69"/>
      <c r="F4073" s="69"/>
      <c r="G4073" s="65"/>
      <c r="H4073" s="65"/>
      <c r="I4073" s="70"/>
      <c r="J4073" s="71"/>
      <c r="K4073" s="71"/>
      <c r="L4073" s="72" t="str">
        <f>IFERROR(IF(G4073="","",VLOOKUP($G4073,[1]基础信息!$B:$C,2,FALSE)+SUMIF(G$8:G4073,G4073,J$8:J4073)-SUMIF(G$8:G4073,G4073,K$8:K4073)+SUMIFS([1]内部转账!$G:$G,[1]内部转账!$C:$C,"&lt;="&amp;$D4073,[1]内部转账!$E:$E,$G4073)-SUMIFS([1]内部转账!$G:$G,[1]内部转账!$C:$C,"&lt;="&amp;$D4073,[1]内部转账!$F:$F,$G4073)),"")</f>
        <v/>
      </c>
      <c r="M4073" s="64"/>
      <c r="N4073" s="69"/>
      <c r="O4073" s="64"/>
      <c r="P4073" s="64"/>
      <c r="Q4073" s="69"/>
      <c r="R4073" s="69"/>
      <c r="S4073" s="69"/>
    </row>
    <row r="4074" s="2" customFormat="1" ht="24.95" customHeight="1" spans="1:19">
      <c r="A4074" s="15"/>
      <c r="B4074" s="55"/>
      <c r="C4074" s="56"/>
      <c r="D4074" s="68"/>
      <c r="E4074" s="69"/>
      <c r="F4074" s="69"/>
      <c r="G4074" s="65"/>
      <c r="H4074" s="65"/>
      <c r="I4074" s="70"/>
      <c r="J4074" s="71"/>
      <c r="K4074" s="71"/>
      <c r="L4074" s="72" t="str">
        <f>IFERROR(IF(G4074="","",VLOOKUP($G4074,[1]基础信息!$B:$C,2,FALSE)+SUMIF(G$8:G4074,G4074,J$8:J4074)-SUMIF(G$8:G4074,G4074,K$8:K4074)+SUMIFS([1]内部转账!$G:$G,[1]内部转账!$C:$C,"&lt;="&amp;$D4074,[1]内部转账!$E:$E,$G4074)-SUMIFS([1]内部转账!$G:$G,[1]内部转账!$C:$C,"&lt;="&amp;$D4074,[1]内部转账!$F:$F,$G4074)),"")</f>
        <v/>
      </c>
      <c r="M4074" s="64"/>
      <c r="N4074" s="69"/>
      <c r="O4074" s="64"/>
      <c r="P4074" s="64"/>
      <c r="Q4074" s="69"/>
      <c r="R4074" s="69"/>
      <c r="S4074" s="69"/>
    </row>
    <row r="4075" s="2" customFormat="1" ht="24.95" customHeight="1" spans="1:19">
      <c r="A4075" s="15"/>
      <c r="B4075" s="55"/>
      <c r="C4075" s="56"/>
      <c r="D4075" s="68"/>
      <c r="E4075" s="69"/>
      <c r="F4075" s="69"/>
      <c r="G4075" s="65"/>
      <c r="H4075" s="65"/>
      <c r="I4075" s="70"/>
      <c r="J4075" s="71"/>
      <c r="K4075" s="71"/>
      <c r="L4075" s="72" t="str">
        <f>IFERROR(IF(G4075="","",VLOOKUP($G4075,[1]基础信息!$B:$C,2,FALSE)+SUMIF(G$8:G4075,G4075,J$8:J4075)-SUMIF(G$8:G4075,G4075,K$8:K4075)+SUMIFS([1]内部转账!$G:$G,[1]内部转账!$C:$C,"&lt;="&amp;$D4075,[1]内部转账!$E:$E,$G4075)-SUMIFS([1]内部转账!$G:$G,[1]内部转账!$C:$C,"&lt;="&amp;$D4075,[1]内部转账!$F:$F,$G4075)),"")</f>
        <v/>
      </c>
      <c r="M4075" s="64"/>
      <c r="N4075" s="69"/>
      <c r="O4075" s="64"/>
      <c r="P4075" s="64"/>
      <c r="Q4075" s="69"/>
      <c r="R4075" s="69"/>
      <c r="S4075" s="69"/>
    </row>
    <row r="4076" s="2" customFormat="1" ht="24.95" customHeight="1" spans="1:19">
      <c r="A4076" s="15"/>
      <c r="B4076" s="55"/>
      <c r="C4076" s="56"/>
      <c r="D4076" s="68"/>
      <c r="E4076" s="69"/>
      <c r="F4076" s="69"/>
      <c r="G4076" s="65"/>
      <c r="H4076" s="65"/>
      <c r="I4076" s="70"/>
      <c r="J4076" s="71"/>
      <c r="K4076" s="71"/>
      <c r="L4076" s="72" t="str">
        <f>IFERROR(IF(G4076="","",VLOOKUP($G4076,[1]基础信息!$B:$C,2,FALSE)+SUMIF(G$8:G4076,G4076,J$8:J4076)-SUMIF(G$8:G4076,G4076,K$8:K4076)+SUMIFS([1]内部转账!$G:$G,[1]内部转账!$C:$C,"&lt;="&amp;$D4076,[1]内部转账!$E:$E,$G4076)-SUMIFS([1]内部转账!$G:$G,[1]内部转账!$C:$C,"&lt;="&amp;$D4076,[1]内部转账!$F:$F,$G4076)),"")</f>
        <v/>
      </c>
      <c r="M4076" s="64"/>
      <c r="N4076" s="69"/>
      <c r="O4076" s="64"/>
      <c r="P4076" s="64"/>
      <c r="Q4076" s="69"/>
      <c r="R4076" s="69"/>
      <c r="S4076" s="69"/>
    </row>
    <row r="4077" s="2" customFormat="1" ht="24.95" customHeight="1" spans="1:19">
      <c r="A4077" s="15"/>
      <c r="B4077" s="55"/>
      <c r="C4077" s="56"/>
      <c r="D4077" s="68"/>
      <c r="E4077" s="69"/>
      <c r="F4077" s="69"/>
      <c r="G4077" s="65"/>
      <c r="H4077" s="65"/>
      <c r="I4077" s="70"/>
      <c r="J4077" s="71"/>
      <c r="K4077" s="71"/>
      <c r="L4077" s="72" t="str">
        <f>IFERROR(IF(G4077="","",VLOOKUP($G4077,[1]基础信息!$B:$C,2,FALSE)+SUMIF(G$8:G4077,G4077,J$8:J4077)-SUMIF(G$8:G4077,G4077,K$8:K4077)+SUMIFS([1]内部转账!$G:$G,[1]内部转账!$C:$C,"&lt;="&amp;$D4077,[1]内部转账!$E:$E,$G4077)-SUMIFS([1]内部转账!$G:$G,[1]内部转账!$C:$C,"&lt;="&amp;$D4077,[1]内部转账!$F:$F,$G4077)),"")</f>
        <v/>
      </c>
      <c r="M4077" s="64"/>
      <c r="N4077" s="69"/>
      <c r="O4077" s="64"/>
      <c r="P4077" s="64"/>
      <c r="Q4077" s="69"/>
      <c r="R4077" s="69"/>
      <c r="S4077" s="69"/>
    </row>
    <row r="4078" s="2" customFormat="1" ht="24.95" customHeight="1" spans="1:19">
      <c r="A4078" s="15"/>
      <c r="B4078" s="55"/>
      <c r="C4078" s="56"/>
      <c r="D4078" s="68"/>
      <c r="E4078" s="69"/>
      <c r="F4078" s="69"/>
      <c r="G4078" s="65"/>
      <c r="H4078" s="65"/>
      <c r="I4078" s="70"/>
      <c r="J4078" s="71"/>
      <c r="K4078" s="71"/>
      <c r="L4078" s="72" t="str">
        <f>IFERROR(IF(G4078="","",VLOOKUP($G4078,[1]基础信息!$B:$C,2,FALSE)+SUMIF(G$8:G4078,G4078,J$8:J4078)-SUMIF(G$8:G4078,G4078,K$8:K4078)+SUMIFS([1]内部转账!$G:$G,[1]内部转账!$C:$C,"&lt;="&amp;$D4078,[1]内部转账!$E:$E,$G4078)-SUMIFS([1]内部转账!$G:$G,[1]内部转账!$C:$C,"&lt;="&amp;$D4078,[1]内部转账!$F:$F,$G4078)),"")</f>
        <v/>
      </c>
      <c r="M4078" s="64"/>
      <c r="N4078" s="69"/>
      <c r="O4078" s="64"/>
      <c r="P4078" s="64"/>
      <c r="Q4078" s="69"/>
      <c r="R4078" s="69"/>
      <c r="S4078" s="69"/>
    </row>
    <row r="4079" s="2" customFormat="1" ht="24.95" customHeight="1" spans="1:19">
      <c r="A4079" s="15"/>
      <c r="B4079" s="55"/>
      <c r="C4079" s="56"/>
      <c r="D4079" s="68"/>
      <c r="E4079" s="69"/>
      <c r="F4079" s="69"/>
      <c r="G4079" s="65"/>
      <c r="H4079" s="65"/>
      <c r="I4079" s="70"/>
      <c r="J4079" s="71"/>
      <c r="K4079" s="71"/>
      <c r="L4079" s="72" t="str">
        <f>IFERROR(IF(G4079="","",VLOOKUP($G4079,[1]基础信息!$B:$C,2,FALSE)+SUMIF(G$8:G4079,G4079,J$8:J4079)-SUMIF(G$8:G4079,G4079,K$8:K4079)+SUMIFS([1]内部转账!$G:$G,[1]内部转账!$C:$C,"&lt;="&amp;$D4079,[1]内部转账!$E:$E,$G4079)-SUMIFS([1]内部转账!$G:$G,[1]内部转账!$C:$C,"&lt;="&amp;$D4079,[1]内部转账!$F:$F,$G4079)),"")</f>
        <v/>
      </c>
      <c r="M4079" s="64"/>
      <c r="N4079" s="69"/>
      <c r="O4079" s="64"/>
      <c r="P4079" s="64"/>
      <c r="Q4079" s="69"/>
      <c r="R4079" s="69"/>
      <c r="S4079" s="69"/>
    </row>
    <row r="4080" s="2" customFormat="1" ht="24.95" customHeight="1" spans="1:19">
      <c r="A4080" s="15"/>
      <c r="B4080" s="55"/>
      <c r="C4080" s="56"/>
      <c r="D4080" s="68"/>
      <c r="E4080" s="69"/>
      <c r="F4080" s="69"/>
      <c r="G4080" s="65"/>
      <c r="H4080" s="65"/>
      <c r="I4080" s="70"/>
      <c r="J4080" s="71"/>
      <c r="K4080" s="71"/>
      <c r="L4080" s="72" t="str">
        <f>IFERROR(IF(G4080="","",VLOOKUP($G4080,[1]基础信息!$B:$C,2,FALSE)+SUMIF(G$8:G4080,G4080,J$8:J4080)-SUMIF(G$8:G4080,G4080,K$8:K4080)+SUMIFS([1]内部转账!$G:$G,[1]内部转账!$C:$C,"&lt;="&amp;$D4080,[1]内部转账!$E:$E,$G4080)-SUMIFS([1]内部转账!$G:$G,[1]内部转账!$C:$C,"&lt;="&amp;$D4080,[1]内部转账!$F:$F,$G4080)),"")</f>
        <v/>
      </c>
      <c r="M4080" s="64"/>
      <c r="N4080" s="69"/>
      <c r="O4080" s="64"/>
      <c r="P4080" s="64"/>
      <c r="Q4080" s="69"/>
      <c r="R4080" s="69"/>
      <c r="S4080" s="69"/>
    </row>
    <row r="4081" s="2" customFormat="1" ht="24.95" customHeight="1" spans="1:19">
      <c r="A4081" s="15"/>
      <c r="B4081" s="55"/>
      <c r="C4081" s="56"/>
      <c r="D4081" s="68"/>
      <c r="E4081" s="69"/>
      <c r="F4081" s="69"/>
      <c r="G4081" s="65"/>
      <c r="H4081" s="65"/>
      <c r="I4081" s="70"/>
      <c r="J4081" s="71"/>
      <c r="K4081" s="71"/>
      <c r="L4081" s="72" t="str">
        <f>IFERROR(IF(G4081="","",VLOOKUP($G4081,[1]基础信息!$B:$C,2,FALSE)+SUMIF(G$8:G4081,G4081,J$8:J4081)-SUMIF(G$8:G4081,G4081,K$8:K4081)+SUMIFS([1]内部转账!$G:$G,[1]内部转账!$C:$C,"&lt;="&amp;$D4081,[1]内部转账!$E:$E,$G4081)-SUMIFS([1]内部转账!$G:$G,[1]内部转账!$C:$C,"&lt;="&amp;$D4081,[1]内部转账!$F:$F,$G4081)),"")</f>
        <v/>
      </c>
      <c r="M4081" s="64"/>
      <c r="N4081" s="69"/>
      <c r="O4081" s="64"/>
      <c r="P4081" s="64"/>
      <c r="Q4081" s="69"/>
      <c r="R4081" s="69"/>
      <c r="S4081" s="69"/>
    </row>
    <row r="4082" s="2" customFormat="1" ht="24.95" customHeight="1" spans="1:19">
      <c r="A4082" s="15"/>
      <c r="B4082" s="55"/>
      <c r="C4082" s="56"/>
      <c r="D4082" s="68"/>
      <c r="E4082" s="69"/>
      <c r="F4082" s="69"/>
      <c r="G4082" s="65"/>
      <c r="H4082" s="65"/>
      <c r="I4082" s="70"/>
      <c r="J4082" s="71"/>
      <c r="K4082" s="71"/>
      <c r="L4082" s="72" t="str">
        <f>IFERROR(IF(G4082="","",VLOOKUP($G4082,[1]基础信息!$B:$C,2,FALSE)+SUMIF(G$8:G4082,G4082,J$8:J4082)-SUMIF(G$8:G4082,G4082,K$8:K4082)+SUMIFS([1]内部转账!$G:$G,[1]内部转账!$C:$C,"&lt;="&amp;$D4082,[1]内部转账!$E:$E,$G4082)-SUMIFS([1]内部转账!$G:$G,[1]内部转账!$C:$C,"&lt;="&amp;$D4082,[1]内部转账!$F:$F,$G4082)),"")</f>
        <v/>
      </c>
      <c r="M4082" s="64"/>
      <c r="N4082" s="69"/>
      <c r="O4082" s="64"/>
      <c r="P4082" s="64"/>
      <c r="Q4082" s="69"/>
      <c r="R4082" s="69"/>
      <c r="S4082" s="69"/>
    </row>
    <row r="4083" s="2" customFormat="1" ht="24.95" customHeight="1" spans="1:19">
      <c r="A4083" s="15"/>
      <c r="B4083" s="55"/>
      <c r="C4083" s="56"/>
      <c r="D4083" s="68"/>
      <c r="E4083" s="69"/>
      <c r="F4083" s="69"/>
      <c r="G4083" s="65"/>
      <c r="H4083" s="65"/>
      <c r="I4083" s="70"/>
      <c r="J4083" s="71"/>
      <c r="K4083" s="71"/>
      <c r="L4083" s="72" t="str">
        <f>IFERROR(IF(G4083="","",VLOOKUP($G4083,[1]基础信息!$B:$C,2,FALSE)+SUMIF(G$8:G4083,G4083,J$8:J4083)-SUMIF(G$8:G4083,G4083,K$8:K4083)+SUMIFS([1]内部转账!$G:$G,[1]内部转账!$C:$C,"&lt;="&amp;$D4083,[1]内部转账!$E:$E,$G4083)-SUMIFS([1]内部转账!$G:$G,[1]内部转账!$C:$C,"&lt;="&amp;$D4083,[1]内部转账!$F:$F,$G4083)),"")</f>
        <v/>
      </c>
      <c r="M4083" s="64"/>
      <c r="N4083" s="69"/>
      <c r="O4083" s="64"/>
      <c r="P4083" s="64"/>
      <c r="Q4083" s="69"/>
      <c r="R4083" s="69"/>
      <c r="S4083" s="69"/>
    </row>
    <row r="4084" s="2" customFormat="1" ht="24.95" customHeight="1" spans="1:19">
      <c r="A4084" s="15"/>
      <c r="B4084" s="55"/>
      <c r="C4084" s="56"/>
      <c r="D4084" s="68"/>
      <c r="E4084" s="69"/>
      <c r="F4084" s="69"/>
      <c r="G4084" s="65"/>
      <c r="H4084" s="65"/>
      <c r="I4084" s="70"/>
      <c r="J4084" s="71"/>
      <c r="K4084" s="71"/>
      <c r="L4084" s="72" t="str">
        <f>IFERROR(IF(G4084="","",VLOOKUP($G4084,[1]基础信息!$B:$C,2,FALSE)+SUMIF(G$8:G4084,G4084,J$8:J4084)-SUMIF(G$8:G4084,G4084,K$8:K4084)+SUMIFS([1]内部转账!$G:$G,[1]内部转账!$C:$C,"&lt;="&amp;$D4084,[1]内部转账!$E:$E,$G4084)-SUMIFS([1]内部转账!$G:$G,[1]内部转账!$C:$C,"&lt;="&amp;$D4084,[1]内部转账!$F:$F,$G4084)),"")</f>
        <v/>
      </c>
      <c r="M4084" s="64"/>
      <c r="N4084" s="69"/>
      <c r="O4084" s="64"/>
      <c r="P4084" s="64"/>
      <c r="Q4084" s="69"/>
      <c r="R4084" s="69"/>
      <c r="S4084" s="69"/>
    </row>
    <row r="4085" s="2" customFormat="1" ht="24.95" customHeight="1" spans="1:19">
      <c r="A4085" s="15"/>
      <c r="B4085" s="55"/>
      <c r="C4085" s="56"/>
      <c r="D4085" s="68"/>
      <c r="E4085" s="69"/>
      <c r="F4085" s="69"/>
      <c r="G4085" s="65"/>
      <c r="H4085" s="65"/>
      <c r="I4085" s="70"/>
      <c r="J4085" s="71"/>
      <c r="K4085" s="71"/>
      <c r="L4085" s="72" t="str">
        <f>IFERROR(IF(G4085="","",VLOOKUP($G4085,[1]基础信息!$B:$C,2,FALSE)+SUMIF(G$8:G4085,G4085,J$8:J4085)-SUMIF(G$8:G4085,G4085,K$8:K4085)+SUMIFS([1]内部转账!$G:$G,[1]内部转账!$C:$C,"&lt;="&amp;$D4085,[1]内部转账!$E:$E,$G4085)-SUMIFS([1]内部转账!$G:$G,[1]内部转账!$C:$C,"&lt;="&amp;$D4085,[1]内部转账!$F:$F,$G4085)),"")</f>
        <v/>
      </c>
      <c r="M4085" s="64"/>
      <c r="N4085" s="69"/>
      <c r="O4085" s="64"/>
      <c r="P4085" s="64"/>
      <c r="Q4085" s="69"/>
      <c r="R4085" s="69"/>
      <c r="S4085" s="69"/>
    </row>
    <row r="4086" s="2" customFormat="1" ht="24.95" customHeight="1" spans="1:19">
      <c r="A4086" s="15"/>
      <c r="B4086" s="55"/>
      <c r="C4086" s="56"/>
      <c r="D4086" s="68"/>
      <c r="E4086" s="69"/>
      <c r="F4086" s="69"/>
      <c r="G4086" s="65"/>
      <c r="H4086" s="65"/>
      <c r="I4086" s="70"/>
      <c r="J4086" s="71"/>
      <c r="K4086" s="71"/>
      <c r="L4086" s="72" t="str">
        <f>IFERROR(IF(G4086="","",VLOOKUP($G4086,[1]基础信息!$B:$C,2,FALSE)+SUMIF(G$8:G4086,G4086,J$8:J4086)-SUMIF(G$8:G4086,G4086,K$8:K4086)+SUMIFS([1]内部转账!$G:$G,[1]内部转账!$C:$C,"&lt;="&amp;$D4086,[1]内部转账!$E:$E,$G4086)-SUMIFS([1]内部转账!$G:$G,[1]内部转账!$C:$C,"&lt;="&amp;$D4086,[1]内部转账!$F:$F,$G4086)),"")</f>
        <v/>
      </c>
      <c r="M4086" s="64"/>
      <c r="N4086" s="69"/>
      <c r="O4086" s="64"/>
      <c r="P4086" s="64"/>
      <c r="Q4086" s="69"/>
      <c r="R4086" s="69"/>
      <c r="S4086" s="69"/>
    </row>
    <row r="4087" s="2" customFormat="1" ht="24.95" customHeight="1" spans="1:19">
      <c r="A4087" s="15"/>
      <c r="B4087" s="55"/>
      <c r="C4087" s="56"/>
      <c r="D4087" s="68"/>
      <c r="E4087" s="69"/>
      <c r="F4087" s="69"/>
      <c r="G4087" s="65"/>
      <c r="H4087" s="65"/>
      <c r="I4087" s="70"/>
      <c r="J4087" s="71"/>
      <c r="K4087" s="71"/>
      <c r="L4087" s="72" t="str">
        <f>IFERROR(IF(G4087="","",VLOOKUP($G4087,[1]基础信息!$B:$C,2,FALSE)+SUMIF(G$8:G4087,G4087,J$8:J4087)-SUMIF(G$8:G4087,G4087,K$8:K4087)+SUMIFS([1]内部转账!$G:$G,[1]内部转账!$C:$C,"&lt;="&amp;$D4087,[1]内部转账!$E:$E,$G4087)-SUMIFS([1]内部转账!$G:$G,[1]内部转账!$C:$C,"&lt;="&amp;$D4087,[1]内部转账!$F:$F,$G4087)),"")</f>
        <v/>
      </c>
      <c r="M4087" s="64"/>
      <c r="N4087" s="69"/>
      <c r="O4087" s="64"/>
      <c r="P4087" s="64"/>
      <c r="Q4087" s="69"/>
      <c r="R4087" s="69"/>
      <c r="S4087" s="69"/>
    </row>
    <row r="4088" s="2" customFormat="1" ht="24.95" customHeight="1" spans="1:19">
      <c r="A4088" s="15"/>
      <c r="B4088" s="55"/>
      <c r="C4088" s="56"/>
      <c r="D4088" s="68"/>
      <c r="E4088" s="69"/>
      <c r="F4088" s="69"/>
      <c r="G4088" s="65"/>
      <c r="H4088" s="65"/>
      <c r="I4088" s="70"/>
      <c r="J4088" s="71"/>
      <c r="K4088" s="71"/>
      <c r="L4088" s="72" t="str">
        <f>IFERROR(IF(G4088="","",VLOOKUP($G4088,[1]基础信息!$B:$C,2,FALSE)+SUMIF(G$8:G4088,G4088,J$8:J4088)-SUMIF(G$8:G4088,G4088,K$8:K4088)+SUMIFS([1]内部转账!$G:$G,[1]内部转账!$C:$C,"&lt;="&amp;$D4088,[1]内部转账!$E:$E,$G4088)-SUMIFS([1]内部转账!$G:$G,[1]内部转账!$C:$C,"&lt;="&amp;$D4088,[1]内部转账!$F:$F,$G4088)),"")</f>
        <v/>
      </c>
      <c r="M4088" s="64"/>
      <c r="N4088" s="69"/>
      <c r="O4088" s="64"/>
      <c r="P4088" s="64"/>
      <c r="Q4088" s="69"/>
      <c r="R4088" s="69"/>
      <c r="S4088" s="69"/>
    </row>
    <row r="4089" s="2" customFormat="1" ht="24.95" customHeight="1" spans="1:19">
      <c r="A4089" s="15"/>
      <c r="B4089" s="55"/>
      <c r="C4089" s="56"/>
      <c r="D4089" s="68"/>
      <c r="E4089" s="69"/>
      <c r="F4089" s="69"/>
      <c r="G4089" s="65"/>
      <c r="H4089" s="65"/>
      <c r="I4089" s="70"/>
      <c r="J4089" s="71"/>
      <c r="K4089" s="71"/>
      <c r="L4089" s="72" t="str">
        <f>IFERROR(IF(G4089="","",VLOOKUP($G4089,[1]基础信息!$B:$C,2,FALSE)+SUMIF(G$8:G4089,G4089,J$8:J4089)-SUMIF(G$8:G4089,G4089,K$8:K4089)+SUMIFS([1]内部转账!$G:$G,[1]内部转账!$C:$C,"&lt;="&amp;$D4089,[1]内部转账!$E:$E,$G4089)-SUMIFS([1]内部转账!$G:$G,[1]内部转账!$C:$C,"&lt;="&amp;$D4089,[1]内部转账!$F:$F,$G4089)),"")</f>
        <v/>
      </c>
      <c r="M4089" s="64"/>
      <c r="N4089" s="69"/>
      <c r="O4089" s="64"/>
      <c r="P4089" s="64"/>
      <c r="Q4089" s="69"/>
      <c r="R4089" s="69"/>
      <c r="S4089" s="69"/>
    </row>
    <row r="4090" s="2" customFormat="1" ht="24.95" customHeight="1" spans="1:19">
      <c r="A4090" s="15"/>
      <c r="B4090" s="55"/>
      <c r="C4090" s="56"/>
      <c r="D4090" s="68"/>
      <c r="E4090" s="69"/>
      <c r="F4090" s="69"/>
      <c r="G4090" s="65"/>
      <c r="H4090" s="65"/>
      <c r="I4090" s="70"/>
      <c r="J4090" s="71"/>
      <c r="K4090" s="71"/>
      <c r="L4090" s="72" t="str">
        <f>IFERROR(IF(G4090="","",VLOOKUP($G4090,[1]基础信息!$B:$C,2,FALSE)+SUMIF(G$8:G4090,G4090,J$8:J4090)-SUMIF(G$8:G4090,G4090,K$8:K4090)+SUMIFS([1]内部转账!$G:$G,[1]内部转账!$C:$C,"&lt;="&amp;$D4090,[1]内部转账!$E:$E,$G4090)-SUMIFS([1]内部转账!$G:$G,[1]内部转账!$C:$C,"&lt;="&amp;$D4090,[1]内部转账!$F:$F,$G4090)),"")</f>
        <v/>
      </c>
      <c r="M4090" s="64"/>
      <c r="N4090" s="69"/>
      <c r="O4090" s="64"/>
      <c r="P4090" s="64"/>
      <c r="Q4090" s="69"/>
      <c r="R4090" s="69"/>
      <c r="S4090" s="69"/>
    </row>
    <row r="4091" s="2" customFormat="1" ht="24.95" customHeight="1" spans="1:19">
      <c r="A4091" s="15"/>
      <c r="B4091" s="55"/>
      <c r="C4091" s="56"/>
      <c r="D4091" s="68"/>
      <c r="E4091" s="69"/>
      <c r="F4091" s="69"/>
      <c r="G4091" s="65"/>
      <c r="H4091" s="65"/>
      <c r="I4091" s="70"/>
      <c r="J4091" s="71"/>
      <c r="K4091" s="71"/>
      <c r="L4091" s="72" t="str">
        <f>IFERROR(IF(G4091="","",VLOOKUP($G4091,[1]基础信息!$B:$C,2,FALSE)+SUMIF(G$8:G4091,G4091,J$8:J4091)-SUMIF(G$8:G4091,G4091,K$8:K4091)+SUMIFS([1]内部转账!$G:$G,[1]内部转账!$C:$C,"&lt;="&amp;$D4091,[1]内部转账!$E:$E,$G4091)-SUMIFS([1]内部转账!$G:$G,[1]内部转账!$C:$C,"&lt;="&amp;$D4091,[1]内部转账!$F:$F,$G4091)),"")</f>
        <v/>
      </c>
      <c r="M4091" s="64"/>
      <c r="N4091" s="69"/>
      <c r="O4091" s="64"/>
      <c r="P4091" s="64"/>
      <c r="Q4091" s="69"/>
      <c r="R4091" s="69"/>
      <c r="S4091" s="69"/>
    </row>
    <row r="4092" s="2" customFormat="1" ht="24.95" customHeight="1" spans="1:19">
      <c r="A4092" s="15"/>
      <c r="B4092" s="55"/>
      <c r="C4092" s="56"/>
      <c r="D4092" s="68"/>
      <c r="E4092" s="69"/>
      <c r="F4092" s="69"/>
      <c r="G4092" s="65"/>
      <c r="H4092" s="65"/>
      <c r="I4092" s="70"/>
      <c r="J4092" s="71"/>
      <c r="K4092" s="71"/>
      <c r="L4092" s="72" t="str">
        <f>IFERROR(IF(G4092="","",VLOOKUP($G4092,[1]基础信息!$B:$C,2,FALSE)+SUMIF(G$8:G4092,G4092,J$8:J4092)-SUMIF(G$8:G4092,G4092,K$8:K4092)+SUMIFS([1]内部转账!$G:$G,[1]内部转账!$C:$C,"&lt;="&amp;$D4092,[1]内部转账!$E:$E,$G4092)-SUMIFS([1]内部转账!$G:$G,[1]内部转账!$C:$C,"&lt;="&amp;$D4092,[1]内部转账!$F:$F,$G4092)),"")</f>
        <v/>
      </c>
      <c r="M4092" s="64"/>
      <c r="N4092" s="69"/>
      <c r="O4092" s="64"/>
      <c r="P4092" s="64"/>
      <c r="Q4092" s="69"/>
      <c r="R4092" s="69"/>
      <c r="S4092" s="69"/>
    </row>
    <row r="4093" s="2" customFormat="1" ht="24.95" customHeight="1" spans="1:19">
      <c r="A4093" s="15"/>
      <c r="B4093" s="55"/>
      <c r="C4093" s="56"/>
      <c r="D4093" s="68"/>
      <c r="E4093" s="69"/>
      <c r="F4093" s="69"/>
      <c r="G4093" s="65"/>
      <c r="H4093" s="65"/>
      <c r="I4093" s="70"/>
      <c r="J4093" s="71"/>
      <c r="K4093" s="71"/>
      <c r="L4093" s="72" t="str">
        <f>IFERROR(IF(G4093="","",VLOOKUP($G4093,[1]基础信息!$B:$C,2,FALSE)+SUMIF(G$8:G4093,G4093,J$8:J4093)-SUMIF(G$8:G4093,G4093,K$8:K4093)+SUMIFS([1]内部转账!$G:$G,[1]内部转账!$C:$C,"&lt;="&amp;$D4093,[1]内部转账!$E:$E,$G4093)-SUMIFS([1]内部转账!$G:$G,[1]内部转账!$C:$C,"&lt;="&amp;$D4093,[1]内部转账!$F:$F,$G4093)),"")</f>
        <v/>
      </c>
      <c r="M4093" s="64"/>
      <c r="N4093" s="69"/>
      <c r="O4093" s="64"/>
      <c r="P4093" s="64"/>
      <c r="Q4093" s="69"/>
      <c r="R4093" s="69"/>
      <c r="S4093" s="69"/>
    </row>
    <row r="4094" s="2" customFormat="1" ht="24.95" customHeight="1" spans="1:19">
      <c r="A4094" s="15"/>
      <c r="B4094" s="55"/>
      <c r="C4094" s="56"/>
      <c r="D4094" s="68"/>
      <c r="E4094" s="69"/>
      <c r="F4094" s="69"/>
      <c r="G4094" s="65"/>
      <c r="H4094" s="65"/>
      <c r="I4094" s="70"/>
      <c r="J4094" s="71"/>
      <c r="K4094" s="71"/>
      <c r="L4094" s="72" t="str">
        <f>IFERROR(IF(G4094="","",VLOOKUP($G4094,[1]基础信息!$B:$C,2,FALSE)+SUMIF(G$8:G4094,G4094,J$8:J4094)-SUMIF(G$8:G4094,G4094,K$8:K4094)+SUMIFS([1]内部转账!$G:$G,[1]内部转账!$C:$C,"&lt;="&amp;$D4094,[1]内部转账!$E:$E,$G4094)-SUMIFS([1]内部转账!$G:$G,[1]内部转账!$C:$C,"&lt;="&amp;$D4094,[1]内部转账!$F:$F,$G4094)),"")</f>
        <v/>
      </c>
      <c r="M4094" s="64"/>
      <c r="N4094" s="69"/>
      <c r="O4094" s="64"/>
      <c r="P4094" s="64"/>
      <c r="Q4094" s="69"/>
      <c r="R4094" s="69"/>
      <c r="S4094" s="69"/>
    </row>
    <row r="4095" s="2" customFormat="1" ht="24.95" customHeight="1" spans="1:19">
      <c r="A4095" s="15"/>
      <c r="B4095" s="55"/>
      <c r="C4095" s="56"/>
      <c r="D4095" s="68"/>
      <c r="E4095" s="69"/>
      <c r="F4095" s="69"/>
      <c r="G4095" s="65"/>
      <c r="H4095" s="65"/>
      <c r="I4095" s="70"/>
      <c r="J4095" s="71"/>
      <c r="K4095" s="71"/>
      <c r="L4095" s="72" t="str">
        <f>IFERROR(IF(G4095="","",VLOOKUP($G4095,[1]基础信息!$B:$C,2,FALSE)+SUMIF(G$8:G4095,G4095,J$8:J4095)-SUMIF(G$8:G4095,G4095,K$8:K4095)+SUMIFS([1]内部转账!$G:$G,[1]内部转账!$C:$C,"&lt;="&amp;$D4095,[1]内部转账!$E:$E,$G4095)-SUMIFS([1]内部转账!$G:$G,[1]内部转账!$C:$C,"&lt;="&amp;$D4095,[1]内部转账!$F:$F,$G4095)),"")</f>
        <v/>
      </c>
      <c r="M4095" s="64"/>
      <c r="N4095" s="69"/>
      <c r="O4095" s="64"/>
      <c r="P4095" s="64"/>
      <c r="Q4095" s="69"/>
      <c r="R4095" s="69"/>
      <c r="S4095" s="69"/>
    </row>
    <row r="4096" s="2" customFormat="1" ht="24.95" customHeight="1" spans="1:19">
      <c r="A4096" s="15"/>
      <c r="B4096" s="55"/>
      <c r="C4096" s="56"/>
      <c r="D4096" s="68"/>
      <c r="E4096" s="69"/>
      <c r="F4096" s="69"/>
      <c r="G4096" s="65"/>
      <c r="H4096" s="65"/>
      <c r="I4096" s="70"/>
      <c r="J4096" s="71"/>
      <c r="K4096" s="71"/>
      <c r="L4096" s="72" t="str">
        <f>IFERROR(IF(G4096="","",VLOOKUP($G4096,[1]基础信息!$B:$C,2,FALSE)+SUMIF(G$8:G4096,G4096,J$8:J4096)-SUMIF(G$8:G4096,G4096,K$8:K4096)+SUMIFS([1]内部转账!$G:$G,[1]内部转账!$C:$C,"&lt;="&amp;$D4096,[1]内部转账!$E:$E,$G4096)-SUMIFS([1]内部转账!$G:$G,[1]内部转账!$C:$C,"&lt;="&amp;$D4096,[1]内部转账!$F:$F,$G4096)),"")</f>
        <v/>
      </c>
      <c r="M4096" s="64"/>
      <c r="N4096" s="69"/>
      <c r="O4096" s="64"/>
      <c r="P4096" s="64"/>
      <c r="Q4096" s="69"/>
      <c r="R4096" s="69"/>
      <c r="S4096" s="69"/>
    </row>
    <row r="4097" s="2" customFormat="1" ht="24.95" customHeight="1" spans="1:19">
      <c r="A4097" s="15"/>
      <c r="B4097" s="55"/>
      <c r="C4097" s="56"/>
      <c r="D4097" s="68"/>
      <c r="E4097" s="69"/>
      <c r="F4097" s="69"/>
      <c r="G4097" s="65"/>
      <c r="H4097" s="65"/>
      <c r="I4097" s="70"/>
      <c r="J4097" s="71"/>
      <c r="K4097" s="71"/>
      <c r="L4097" s="72" t="str">
        <f>IFERROR(IF(G4097="","",VLOOKUP($G4097,[1]基础信息!$B:$C,2,FALSE)+SUMIF(G$8:G4097,G4097,J$8:J4097)-SUMIF(G$8:G4097,G4097,K$8:K4097)+SUMIFS([1]内部转账!$G:$G,[1]内部转账!$C:$C,"&lt;="&amp;$D4097,[1]内部转账!$E:$E,$G4097)-SUMIFS([1]内部转账!$G:$G,[1]内部转账!$C:$C,"&lt;="&amp;$D4097,[1]内部转账!$F:$F,$G4097)),"")</f>
        <v/>
      </c>
      <c r="M4097" s="64"/>
      <c r="N4097" s="69"/>
      <c r="O4097" s="64"/>
      <c r="P4097" s="64"/>
      <c r="Q4097" s="69"/>
      <c r="R4097" s="69"/>
      <c r="S4097" s="69"/>
    </row>
    <row r="4098" s="2" customFormat="1" ht="24.95" customHeight="1" spans="1:19">
      <c r="A4098" s="15"/>
      <c r="B4098" s="55"/>
      <c r="C4098" s="56"/>
      <c r="D4098" s="68"/>
      <c r="E4098" s="69"/>
      <c r="F4098" s="69"/>
      <c r="G4098" s="65"/>
      <c r="H4098" s="65"/>
      <c r="I4098" s="70"/>
      <c r="J4098" s="71"/>
      <c r="K4098" s="71"/>
      <c r="L4098" s="72" t="str">
        <f>IFERROR(IF(G4098="","",VLOOKUP($G4098,[1]基础信息!$B:$C,2,FALSE)+SUMIF(G$8:G4098,G4098,J$8:J4098)-SUMIF(G$8:G4098,G4098,K$8:K4098)+SUMIFS([1]内部转账!$G:$G,[1]内部转账!$C:$C,"&lt;="&amp;$D4098,[1]内部转账!$E:$E,$G4098)-SUMIFS([1]内部转账!$G:$G,[1]内部转账!$C:$C,"&lt;="&amp;$D4098,[1]内部转账!$F:$F,$G4098)),"")</f>
        <v/>
      </c>
      <c r="M4098" s="64"/>
      <c r="N4098" s="69"/>
      <c r="O4098" s="64"/>
      <c r="P4098" s="64"/>
      <c r="Q4098" s="69"/>
      <c r="R4098" s="69"/>
      <c r="S4098" s="69"/>
    </row>
    <row r="4099" s="2" customFormat="1" ht="24.95" customHeight="1" spans="1:19">
      <c r="A4099" s="15"/>
      <c r="B4099" s="55"/>
      <c r="C4099" s="56"/>
      <c r="D4099" s="68"/>
      <c r="E4099" s="69"/>
      <c r="F4099" s="69"/>
      <c r="G4099" s="65"/>
      <c r="H4099" s="65"/>
      <c r="I4099" s="70"/>
      <c r="J4099" s="71"/>
      <c r="K4099" s="71"/>
      <c r="L4099" s="72" t="str">
        <f>IFERROR(IF(G4099="","",VLOOKUP($G4099,[1]基础信息!$B:$C,2,FALSE)+SUMIF(G$8:G4099,G4099,J$8:J4099)-SUMIF(G$8:G4099,G4099,K$8:K4099)+SUMIFS([1]内部转账!$G:$G,[1]内部转账!$C:$C,"&lt;="&amp;$D4099,[1]内部转账!$E:$E,$G4099)-SUMIFS([1]内部转账!$G:$G,[1]内部转账!$C:$C,"&lt;="&amp;$D4099,[1]内部转账!$F:$F,$G4099)),"")</f>
        <v/>
      </c>
      <c r="M4099" s="64"/>
      <c r="N4099" s="69"/>
      <c r="O4099" s="64"/>
      <c r="P4099" s="64"/>
      <c r="Q4099" s="69"/>
      <c r="R4099" s="69"/>
      <c r="S4099" s="69"/>
    </row>
    <row r="4100" s="2" customFormat="1" ht="24.95" customHeight="1" spans="1:19">
      <c r="A4100" s="15"/>
      <c r="B4100" s="55"/>
      <c r="C4100" s="56"/>
      <c r="D4100" s="68"/>
      <c r="E4100" s="69"/>
      <c r="F4100" s="69"/>
      <c r="G4100" s="65"/>
      <c r="H4100" s="65"/>
      <c r="I4100" s="70"/>
      <c r="J4100" s="71"/>
      <c r="K4100" s="71"/>
      <c r="L4100" s="72" t="str">
        <f>IFERROR(IF(G4100="","",VLOOKUP($G4100,[1]基础信息!$B:$C,2,FALSE)+SUMIF(G$8:G4100,G4100,J$8:J4100)-SUMIF(G$8:G4100,G4100,K$8:K4100)+SUMIFS([1]内部转账!$G:$G,[1]内部转账!$C:$C,"&lt;="&amp;$D4100,[1]内部转账!$E:$E,$G4100)-SUMIFS([1]内部转账!$G:$G,[1]内部转账!$C:$C,"&lt;="&amp;$D4100,[1]内部转账!$F:$F,$G4100)),"")</f>
        <v/>
      </c>
      <c r="M4100" s="64"/>
      <c r="N4100" s="69"/>
      <c r="O4100" s="64"/>
      <c r="P4100" s="64"/>
      <c r="Q4100" s="69"/>
      <c r="R4100" s="69"/>
      <c r="S4100" s="69"/>
    </row>
    <row r="4101" s="2" customFormat="1" ht="24.95" customHeight="1" spans="1:19">
      <c r="A4101" s="15"/>
      <c r="B4101" s="55"/>
      <c r="C4101" s="56"/>
      <c r="D4101" s="68"/>
      <c r="E4101" s="69"/>
      <c r="F4101" s="69"/>
      <c r="G4101" s="65"/>
      <c r="H4101" s="65"/>
      <c r="I4101" s="70"/>
      <c r="J4101" s="71"/>
      <c r="K4101" s="71"/>
      <c r="L4101" s="72" t="str">
        <f>IFERROR(IF(G4101="","",VLOOKUP($G4101,[1]基础信息!$B:$C,2,FALSE)+SUMIF(G$8:G4101,G4101,J$8:J4101)-SUMIF(G$8:G4101,G4101,K$8:K4101)+SUMIFS([1]内部转账!$G:$G,[1]内部转账!$C:$C,"&lt;="&amp;$D4101,[1]内部转账!$E:$E,$G4101)-SUMIFS([1]内部转账!$G:$G,[1]内部转账!$C:$C,"&lt;="&amp;$D4101,[1]内部转账!$F:$F,$G4101)),"")</f>
        <v/>
      </c>
      <c r="M4101" s="64"/>
      <c r="N4101" s="69"/>
      <c r="O4101" s="64"/>
      <c r="P4101" s="64"/>
      <c r="Q4101" s="69"/>
      <c r="R4101" s="69"/>
      <c r="S4101" s="69"/>
    </row>
    <row r="4102" s="2" customFormat="1" ht="24.95" customHeight="1" spans="1:19">
      <c r="A4102" s="15"/>
      <c r="B4102" s="55"/>
      <c r="C4102" s="56"/>
      <c r="D4102" s="68"/>
      <c r="E4102" s="69"/>
      <c r="F4102" s="69"/>
      <c r="G4102" s="65"/>
      <c r="H4102" s="65"/>
      <c r="I4102" s="70"/>
      <c r="J4102" s="71"/>
      <c r="K4102" s="71"/>
      <c r="L4102" s="72" t="str">
        <f>IFERROR(IF(G4102="","",VLOOKUP($G4102,[1]基础信息!$B:$C,2,FALSE)+SUMIF(G$8:G4102,G4102,J$8:J4102)-SUMIF(G$8:G4102,G4102,K$8:K4102)+SUMIFS([1]内部转账!$G:$G,[1]内部转账!$C:$C,"&lt;="&amp;$D4102,[1]内部转账!$E:$E,$G4102)-SUMIFS([1]内部转账!$G:$G,[1]内部转账!$C:$C,"&lt;="&amp;$D4102,[1]内部转账!$F:$F,$G4102)),"")</f>
        <v/>
      </c>
      <c r="M4102" s="64"/>
      <c r="N4102" s="69"/>
      <c r="O4102" s="64"/>
      <c r="P4102" s="64"/>
      <c r="Q4102" s="69"/>
      <c r="R4102" s="69"/>
      <c r="S4102" s="69"/>
    </row>
    <row r="4103" s="2" customFormat="1" ht="24.95" customHeight="1" spans="1:19">
      <c r="A4103" s="15"/>
      <c r="B4103" s="55"/>
      <c r="C4103" s="56"/>
      <c r="D4103" s="68"/>
      <c r="E4103" s="69"/>
      <c r="F4103" s="69"/>
      <c r="G4103" s="65"/>
      <c r="H4103" s="65"/>
      <c r="I4103" s="70"/>
      <c r="J4103" s="71"/>
      <c r="K4103" s="71"/>
      <c r="L4103" s="72" t="str">
        <f>IFERROR(IF(G4103="","",VLOOKUP($G4103,[1]基础信息!$B:$C,2,FALSE)+SUMIF(G$8:G4103,G4103,J$8:J4103)-SUMIF(G$8:G4103,G4103,K$8:K4103)+SUMIFS([1]内部转账!$G:$G,[1]内部转账!$C:$C,"&lt;="&amp;$D4103,[1]内部转账!$E:$E,$G4103)-SUMIFS([1]内部转账!$G:$G,[1]内部转账!$C:$C,"&lt;="&amp;$D4103,[1]内部转账!$F:$F,$G4103)),"")</f>
        <v/>
      </c>
      <c r="M4103" s="64"/>
      <c r="N4103" s="69"/>
      <c r="O4103" s="64"/>
      <c r="P4103" s="64"/>
      <c r="Q4103" s="69"/>
      <c r="R4103" s="69"/>
      <c r="S4103" s="69"/>
    </row>
    <row r="4104" s="2" customFormat="1" ht="24.95" customHeight="1" spans="1:19">
      <c r="A4104" s="15"/>
      <c r="B4104" s="55"/>
      <c r="C4104" s="56"/>
      <c r="D4104" s="68"/>
      <c r="E4104" s="69"/>
      <c r="F4104" s="69"/>
      <c r="G4104" s="65"/>
      <c r="H4104" s="65"/>
      <c r="I4104" s="70"/>
      <c r="J4104" s="71"/>
      <c r="K4104" s="71"/>
      <c r="L4104" s="72" t="str">
        <f>IFERROR(IF(G4104="","",VLOOKUP($G4104,[1]基础信息!$B:$C,2,FALSE)+SUMIF(G$8:G4104,G4104,J$8:J4104)-SUMIF(G$8:G4104,G4104,K$8:K4104)+SUMIFS([1]内部转账!$G:$G,[1]内部转账!$C:$C,"&lt;="&amp;$D4104,[1]内部转账!$E:$E,$G4104)-SUMIFS([1]内部转账!$G:$G,[1]内部转账!$C:$C,"&lt;="&amp;$D4104,[1]内部转账!$F:$F,$G4104)),"")</f>
        <v/>
      </c>
      <c r="M4104" s="64"/>
      <c r="N4104" s="69"/>
      <c r="O4104" s="64"/>
      <c r="P4104" s="64"/>
      <c r="Q4104" s="69"/>
      <c r="R4104" s="69"/>
      <c r="S4104" s="69"/>
    </row>
    <row r="4105" s="2" customFormat="1" ht="24.95" customHeight="1" spans="1:19">
      <c r="A4105" s="15"/>
      <c r="B4105" s="55"/>
      <c r="C4105" s="56"/>
      <c r="D4105" s="68"/>
      <c r="E4105" s="69"/>
      <c r="F4105" s="69"/>
      <c r="G4105" s="65"/>
      <c r="H4105" s="65"/>
      <c r="I4105" s="70"/>
      <c r="J4105" s="71"/>
      <c r="K4105" s="71"/>
      <c r="L4105" s="72" t="str">
        <f>IFERROR(IF(G4105="","",VLOOKUP($G4105,[1]基础信息!$B:$C,2,FALSE)+SUMIF(G$8:G4105,G4105,J$8:J4105)-SUMIF(G$8:G4105,G4105,K$8:K4105)+SUMIFS([1]内部转账!$G:$G,[1]内部转账!$C:$C,"&lt;="&amp;$D4105,[1]内部转账!$E:$E,$G4105)-SUMIFS([1]内部转账!$G:$G,[1]内部转账!$C:$C,"&lt;="&amp;$D4105,[1]内部转账!$F:$F,$G4105)),"")</f>
        <v/>
      </c>
      <c r="M4105" s="64"/>
      <c r="N4105" s="69"/>
      <c r="O4105" s="64"/>
      <c r="P4105" s="64"/>
      <c r="Q4105" s="69"/>
      <c r="R4105" s="69"/>
      <c r="S4105" s="69"/>
    </row>
    <row r="4106" s="2" customFormat="1" ht="24.95" customHeight="1" spans="1:19">
      <c r="A4106" s="15"/>
      <c r="B4106" s="55"/>
      <c r="C4106" s="56"/>
      <c r="D4106" s="68"/>
      <c r="E4106" s="69"/>
      <c r="F4106" s="69"/>
      <c r="G4106" s="65"/>
      <c r="H4106" s="65"/>
      <c r="I4106" s="70"/>
      <c r="J4106" s="71"/>
      <c r="K4106" s="71"/>
      <c r="L4106" s="72" t="str">
        <f>IFERROR(IF(G4106="","",VLOOKUP($G4106,[1]基础信息!$B:$C,2,FALSE)+SUMIF(G$8:G4106,G4106,J$8:J4106)-SUMIF(G$8:G4106,G4106,K$8:K4106)+SUMIFS([1]内部转账!$G:$G,[1]内部转账!$C:$C,"&lt;="&amp;$D4106,[1]内部转账!$E:$E,$G4106)-SUMIFS([1]内部转账!$G:$G,[1]内部转账!$C:$C,"&lt;="&amp;$D4106,[1]内部转账!$F:$F,$G4106)),"")</f>
        <v/>
      </c>
      <c r="M4106" s="64"/>
      <c r="N4106" s="69"/>
      <c r="O4106" s="64"/>
      <c r="P4106" s="64"/>
      <c r="Q4106" s="69"/>
      <c r="R4106" s="69"/>
      <c r="S4106" s="69"/>
    </row>
    <row r="4107" s="2" customFormat="1" ht="24.95" customHeight="1" spans="1:19">
      <c r="A4107" s="15"/>
      <c r="B4107" s="55"/>
      <c r="C4107" s="56"/>
      <c r="D4107" s="68"/>
      <c r="E4107" s="69"/>
      <c r="F4107" s="69"/>
      <c r="G4107" s="65"/>
      <c r="H4107" s="65"/>
      <c r="I4107" s="70"/>
      <c r="J4107" s="71"/>
      <c r="K4107" s="71"/>
      <c r="L4107" s="72" t="str">
        <f>IFERROR(IF(G4107="","",VLOOKUP($G4107,[1]基础信息!$B:$C,2,FALSE)+SUMIF(G$8:G4107,G4107,J$8:J4107)-SUMIF(G$8:G4107,G4107,K$8:K4107)+SUMIFS([1]内部转账!$G:$G,[1]内部转账!$C:$C,"&lt;="&amp;$D4107,[1]内部转账!$E:$E,$G4107)-SUMIFS([1]内部转账!$G:$G,[1]内部转账!$C:$C,"&lt;="&amp;$D4107,[1]内部转账!$F:$F,$G4107)),"")</f>
        <v/>
      </c>
      <c r="M4107" s="64"/>
      <c r="N4107" s="69"/>
      <c r="O4107" s="64"/>
      <c r="P4107" s="64"/>
      <c r="Q4107" s="69"/>
      <c r="R4107" s="69"/>
      <c r="S4107" s="69"/>
    </row>
    <row r="4108" s="2" customFormat="1" ht="24.95" customHeight="1" spans="1:19">
      <c r="A4108" s="15"/>
      <c r="B4108" s="55"/>
      <c r="C4108" s="56"/>
      <c r="D4108" s="68"/>
      <c r="E4108" s="69"/>
      <c r="F4108" s="69"/>
      <c r="G4108" s="65"/>
      <c r="H4108" s="65"/>
      <c r="I4108" s="70"/>
      <c r="J4108" s="71"/>
      <c r="K4108" s="71"/>
      <c r="L4108" s="72" t="str">
        <f>IFERROR(IF(G4108="","",VLOOKUP($G4108,[1]基础信息!$B:$C,2,FALSE)+SUMIF(G$8:G4108,G4108,J$8:J4108)-SUMIF(G$8:G4108,G4108,K$8:K4108)+SUMIFS([1]内部转账!$G:$G,[1]内部转账!$C:$C,"&lt;="&amp;$D4108,[1]内部转账!$E:$E,$G4108)-SUMIFS([1]内部转账!$G:$G,[1]内部转账!$C:$C,"&lt;="&amp;$D4108,[1]内部转账!$F:$F,$G4108)),"")</f>
        <v/>
      </c>
      <c r="M4108" s="64"/>
      <c r="N4108" s="69"/>
      <c r="O4108" s="64"/>
      <c r="P4108" s="64"/>
      <c r="Q4108" s="69"/>
      <c r="R4108" s="69"/>
      <c r="S4108" s="69"/>
    </row>
    <row r="4109" s="2" customFormat="1" ht="24.95" customHeight="1" spans="1:19">
      <c r="A4109" s="15"/>
      <c r="B4109" s="55"/>
      <c r="C4109" s="56"/>
      <c r="D4109" s="68"/>
      <c r="E4109" s="69"/>
      <c r="F4109" s="69"/>
      <c r="G4109" s="65"/>
      <c r="H4109" s="65"/>
      <c r="I4109" s="70"/>
      <c r="J4109" s="71"/>
      <c r="K4109" s="71"/>
      <c r="L4109" s="72" t="str">
        <f>IFERROR(IF(G4109="","",VLOOKUP($G4109,[1]基础信息!$B:$C,2,FALSE)+SUMIF(G$8:G4109,G4109,J$8:J4109)-SUMIF(G$8:G4109,G4109,K$8:K4109)+SUMIFS([1]内部转账!$G:$G,[1]内部转账!$C:$C,"&lt;="&amp;$D4109,[1]内部转账!$E:$E,$G4109)-SUMIFS([1]内部转账!$G:$G,[1]内部转账!$C:$C,"&lt;="&amp;$D4109,[1]内部转账!$F:$F,$G4109)),"")</f>
        <v/>
      </c>
      <c r="M4109" s="64"/>
      <c r="N4109" s="69"/>
      <c r="O4109" s="64"/>
      <c r="P4109" s="64"/>
      <c r="Q4109" s="69"/>
      <c r="R4109" s="69"/>
      <c r="S4109" s="69"/>
    </row>
    <row r="4110" s="2" customFormat="1" ht="24.95" customHeight="1" spans="1:19">
      <c r="A4110" s="15"/>
      <c r="B4110" s="55"/>
      <c r="C4110" s="56"/>
      <c r="D4110" s="68"/>
      <c r="E4110" s="69"/>
      <c r="F4110" s="69"/>
      <c r="G4110" s="65"/>
      <c r="H4110" s="65"/>
      <c r="I4110" s="70"/>
      <c r="J4110" s="71"/>
      <c r="K4110" s="71"/>
      <c r="L4110" s="72" t="str">
        <f>IFERROR(IF(G4110="","",VLOOKUP($G4110,[1]基础信息!$B:$C,2,FALSE)+SUMIF(G$8:G4110,G4110,J$8:J4110)-SUMIF(G$8:G4110,G4110,K$8:K4110)+SUMIFS([1]内部转账!$G:$G,[1]内部转账!$C:$C,"&lt;="&amp;$D4110,[1]内部转账!$E:$E,$G4110)-SUMIFS([1]内部转账!$G:$G,[1]内部转账!$C:$C,"&lt;="&amp;$D4110,[1]内部转账!$F:$F,$G4110)),"")</f>
        <v/>
      </c>
      <c r="M4110" s="64"/>
      <c r="N4110" s="69"/>
      <c r="O4110" s="64"/>
      <c r="P4110" s="64"/>
      <c r="Q4110" s="69"/>
      <c r="R4110" s="69"/>
      <c r="S4110" s="69"/>
    </row>
    <row r="4111" s="2" customFormat="1" ht="24.95" customHeight="1" spans="1:19">
      <c r="A4111" s="15"/>
      <c r="B4111" s="55"/>
      <c r="C4111" s="56"/>
      <c r="D4111" s="68"/>
      <c r="E4111" s="69"/>
      <c r="F4111" s="69"/>
      <c r="G4111" s="65"/>
      <c r="H4111" s="65"/>
      <c r="I4111" s="70"/>
      <c r="J4111" s="71"/>
      <c r="K4111" s="71"/>
      <c r="L4111" s="72" t="str">
        <f>IFERROR(IF(G4111="","",VLOOKUP($G4111,[1]基础信息!$B:$C,2,FALSE)+SUMIF(G$8:G4111,G4111,J$8:J4111)-SUMIF(G$8:G4111,G4111,K$8:K4111)+SUMIFS([1]内部转账!$G:$G,[1]内部转账!$C:$C,"&lt;="&amp;$D4111,[1]内部转账!$E:$E,$G4111)-SUMIFS([1]内部转账!$G:$G,[1]内部转账!$C:$C,"&lt;="&amp;$D4111,[1]内部转账!$F:$F,$G4111)),"")</f>
        <v/>
      </c>
      <c r="M4111" s="64"/>
      <c r="N4111" s="69"/>
      <c r="O4111" s="64"/>
      <c r="P4111" s="64"/>
      <c r="Q4111" s="69"/>
      <c r="R4111" s="69"/>
      <c r="S4111" s="69"/>
    </row>
    <row r="4112" s="2" customFormat="1" ht="24.95" customHeight="1" spans="1:19">
      <c r="A4112" s="15"/>
      <c r="B4112" s="55"/>
      <c r="C4112" s="56"/>
      <c r="D4112" s="68"/>
      <c r="E4112" s="69"/>
      <c r="F4112" s="69"/>
      <c r="G4112" s="65"/>
      <c r="H4112" s="65"/>
      <c r="I4112" s="70"/>
      <c r="J4112" s="71"/>
      <c r="K4112" s="71"/>
      <c r="L4112" s="72" t="str">
        <f>IFERROR(IF(G4112="","",VLOOKUP($G4112,[1]基础信息!$B:$C,2,FALSE)+SUMIF(G$8:G4112,G4112,J$8:J4112)-SUMIF(G$8:G4112,G4112,K$8:K4112)+SUMIFS([1]内部转账!$G:$G,[1]内部转账!$C:$C,"&lt;="&amp;$D4112,[1]内部转账!$E:$E,$G4112)-SUMIFS([1]内部转账!$G:$G,[1]内部转账!$C:$C,"&lt;="&amp;$D4112,[1]内部转账!$F:$F,$G4112)),"")</f>
        <v/>
      </c>
      <c r="M4112" s="64"/>
      <c r="N4112" s="69"/>
      <c r="O4112" s="64"/>
      <c r="P4112" s="64"/>
      <c r="Q4112" s="69"/>
      <c r="R4112" s="69"/>
      <c r="S4112" s="69"/>
    </row>
    <row r="4113" s="2" customFormat="1" ht="24.95" customHeight="1" spans="1:19">
      <c r="A4113" s="15"/>
      <c r="B4113" s="55"/>
      <c r="C4113" s="56"/>
      <c r="D4113" s="68"/>
      <c r="E4113" s="69"/>
      <c r="F4113" s="69"/>
      <c r="G4113" s="65"/>
      <c r="H4113" s="65"/>
      <c r="I4113" s="70"/>
      <c r="J4113" s="71"/>
      <c r="K4113" s="71"/>
      <c r="L4113" s="72" t="str">
        <f>IFERROR(IF(G4113="","",VLOOKUP($G4113,[1]基础信息!$B:$C,2,FALSE)+SUMIF(G$8:G4113,G4113,J$8:J4113)-SUMIF(G$8:G4113,G4113,K$8:K4113)+SUMIFS([1]内部转账!$G:$G,[1]内部转账!$C:$C,"&lt;="&amp;$D4113,[1]内部转账!$E:$E,$G4113)-SUMIFS([1]内部转账!$G:$G,[1]内部转账!$C:$C,"&lt;="&amp;$D4113,[1]内部转账!$F:$F,$G4113)),"")</f>
        <v/>
      </c>
      <c r="M4113" s="64"/>
      <c r="N4113" s="69"/>
      <c r="O4113" s="64"/>
      <c r="P4113" s="64"/>
      <c r="Q4113" s="69"/>
      <c r="R4113" s="69"/>
      <c r="S4113" s="69"/>
    </row>
    <row r="4114" s="2" customFormat="1" ht="24.95" customHeight="1" spans="1:19">
      <c r="A4114" s="15"/>
      <c r="B4114" s="55"/>
      <c r="C4114" s="56"/>
      <c r="D4114" s="68"/>
      <c r="E4114" s="69"/>
      <c r="F4114" s="69"/>
      <c r="G4114" s="65"/>
      <c r="H4114" s="65"/>
      <c r="I4114" s="70"/>
      <c r="J4114" s="71"/>
      <c r="K4114" s="71"/>
      <c r="L4114" s="72" t="str">
        <f>IFERROR(IF(G4114="","",VLOOKUP($G4114,[1]基础信息!$B:$C,2,FALSE)+SUMIF(G$8:G4114,G4114,J$8:J4114)-SUMIF(G$8:G4114,G4114,K$8:K4114)+SUMIFS([1]内部转账!$G:$G,[1]内部转账!$C:$C,"&lt;="&amp;$D4114,[1]内部转账!$E:$E,$G4114)-SUMIFS([1]内部转账!$G:$G,[1]内部转账!$C:$C,"&lt;="&amp;$D4114,[1]内部转账!$F:$F,$G4114)),"")</f>
        <v/>
      </c>
      <c r="M4114" s="64"/>
      <c r="N4114" s="69"/>
      <c r="O4114" s="64"/>
      <c r="P4114" s="64"/>
      <c r="Q4114" s="69"/>
      <c r="R4114" s="69"/>
      <c r="S4114" s="69"/>
    </row>
    <row r="4115" s="2" customFormat="1" ht="24.95" customHeight="1" spans="1:19">
      <c r="A4115" s="15"/>
      <c r="B4115" s="55"/>
      <c r="C4115" s="56"/>
      <c r="D4115" s="68"/>
      <c r="E4115" s="69"/>
      <c r="F4115" s="69"/>
      <c r="G4115" s="65"/>
      <c r="H4115" s="65"/>
      <c r="I4115" s="70"/>
      <c r="J4115" s="71"/>
      <c r="K4115" s="71"/>
      <c r="L4115" s="72" t="str">
        <f>IFERROR(IF(G4115="","",VLOOKUP($G4115,[1]基础信息!$B:$C,2,FALSE)+SUMIF(G$8:G4115,G4115,J$8:J4115)-SUMIF(G$8:G4115,G4115,K$8:K4115)+SUMIFS([1]内部转账!$G:$G,[1]内部转账!$C:$C,"&lt;="&amp;$D4115,[1]内部转账!$E:$E,$G4115)-SUMIFS([1]内部转账!$G:$G,[1]内部转账!$C:$C,"&lt;="&amp;$D4115,[1]内部转账!$F:$F,$G4115)),"")</f>
        <v/>
      </c>
      <c r="M4115" s="64"/>
      <c r="N4115" s="69"/>
      <c r="O4115" s="64"/>
      <c r="P4115" s="64"/>
      <c r="Q4115" s="69"/>
      <c r="R4115" s="69"/>
      <c r="S4115" s="69"/>
    </row>
    <row r="4116" s="2" customFormat="1" ht="24.95" customHeight="1" spans="1:19">
      <c r="A4116" s="15"/>
      <c r="B4116" s="55"/>
      <c r="C4116" s="56"/>
      <c r="D4116" s="68"/>
      <c r="E4116" s="69"/>
      <c r="F4116" s="69"/>
      <c r="G4116" s="65"/>
      <c r="H4116" s="65"/>
      <c r="I4116" s="70"/>
      <c r="J4116" s="71"/>
      <c r="K4116" s="71"/>
      <c r="L4116" s="72" t="str">
        <f>IFERROR(IF(G4116="","",VLOOKUP($G4116,[1]基础信息!$B:$C,2,FALSE)+SUMIF(G$8:G4116,G4116,J$8:J4116)-SUMIF(G$8:G4116,G4116,K$8:K4116)+SUMIFS([1]内部转账!$G:$G,[1]内部转账!$C:$C,"&lt;="&amp;$D4116,[1]内部转账!$E:$E,$G4116)-SUMIFS([1]内部转账!$G:$G,[1]内部转账!$C:$C,"&lt;="&amp;$D4116,[1]内部转账!$F:$F,$G4116)),"")</f>
        <v/>
      </c>
      <c r="M4116" s="64"/>
      <c r="N4116" s="69"/>
      <c r="O4116" s="64"/>
      <c r="P4116" s="64"/>
      <c r="Q4116" s="69"/>
      <c r="R4116" s="69"/>
      <c r="S4116" s="69"/>
    </row>
    <row r="4117" s="2" customFormat="1" ht="24.95" customHeight="1" spans="1:19">
      <c r="A4117" s="15"/>
      <c r="B4117" s="55"/>
      <c r="C4117" s="56"/>
      <c r="D4117" s="68"/>
      <c r="E4117" s="69"/>
      <c r="F4117" s="69"/>
      <c r="G4117" s="65"/>
      <c r="H4117" s="65"/>
      <c r="I4117" s="70"/>
      <c r="J4117" s="71"/>
      <c r="K4117" s="71"/>
      <c r="L4117" s="72" t="str">
        <f>IFERROR(IF(G4117="","",VLOOKUP($G4117,[1]基础信息!$B:$C,2,FALSE)+SUMIF(G$8:G4117,G4117,J$8:J4117)-SUMIF(G$8:G4117,G4117,K$8:K4117)+SUMIFS([1]内部转账!$G:$G,[1]内部转账!$C:$C,"&lt;="&amp;$D4117,[1]内部转账!$E:$E,$G4117)-SUMIFS([1]内部转账!$G:$G,[1]内部转账!$C:$C,"&lt;="&amp;$D4117,[1]内部转账!$F:$F,$G4117)),"")</f>
        <v/>
      </c>
      <c r="M4117" s="64"/>
      <c r="N4117" s="69"/>
      <c r="O4117" s="64"/>
      <c r="P4117" s="64"/>
      <c r="Q4117" s="69"/>
      <c r="R4117" s="69"/>
      <c r="S4117" s="69"/>
    </row>
    <row r="4118" s="2" customFormat="1" ht="24.95" customHeight="1" spans="1:19">
      <c r="A4118" s="15"/>
      <c r="B4118" s="55"/>
      <c r="C4118" s="56"/>
      <c r="D4118" s="68"/>
      <c r="E4118" s="69"/>
      <c r="F4118" s="69"/>
      <c r="G4118" s="65"/>
      <c r="H4118" s="65"/>
      <c r="I4118" s="70"/>
      <c r="J4118" s="71"/>
      <c r="K4118" s="71"/>
      <c r="L4118" s="72" t="str">
        <f>IFERROR(IF(G4118="","",VLOOKUP($G4118,[1]基础信息!$B:$C,2,FALSE)+SUMIF(G$8:G4118,G4118,J$8:J4118)-SUMIF(G$8:G4118,G4118,K$8:K4118)+SUMIFS([1]内部转账!$G:$G,[1]内部转账!$C:$C,"&lt;="&amp;$D4118,[1]内部转账!$E:$E,$G4118)-SUMIFS([1]内部转账!$G:$G,[1]内部转账!$C:$C,"&lt;="&amp;$D4118,[1]内部转账!$F:$F,$G4118)),"")</f>
        <v/>
      </c>
      <c r="M4118" s="64"/>
      <c r="N4118" s="69"/>
      <c r="O4118" s="64"/>
      <c r="P4118" s="64"/>
      <c r="Q4118" s="69"/>
      <c r="R4118" s="69"/>
      <c r="S4118" s="69"/>
    </row>
    <row r="4119" s="2" customFormat="1" ht="24.95" customHeight="1" spans="1:19">
      <c r="A4119" s="15"/>
      <c r="B4119" s="55"/>
      <c r="C4119" s="56"/>
      <c r="D4119" s="68"/>
      <c r="E4119" s="69"/>
      <c r="F4119" s="69"/>
      <c r="G4119" s="65"/>
      <c r="H4119" s="65"/>
      <c r="I4119" s="70"/>
      <c r="J4119" s="71"/>
      <c r="K4119" s="71"/>
      <c r="L4119" s="72" t="str">
        <f>IFERROR(IF(G4119="","",VLOOKUP($G4119,[1]基础信息!$B:$C,2,FALSE)+SUMIF(G$8:G4119,G4119,J$8:J4119)-SUMIF(G$8:G4119,G4119,K$8:K4119)+SUMIFS([1]内部转账!$G:$G,[1]内部转账!$C:$C,"&lt;="&amp;$D4119,[1]内部转账!$E:$E,$G4119)-SUMIFS([1]内部转账!$G:$G,[1]内部转账!$C:$C,"&lt;="&amp;$D4119,[1]内部转账!$F:$F,$G4119)),"")</f>
        <v/>
      </c>
      <c r="M4119" s="64"/>
      <c r="N4119" s="69"/>
      <c r="O4119" s="64"/>
      <c r="P4119" s="64"/>
      <c r="Q4119" s="69"/>
      <c r="R4119" s="69"/>
      <c r="S4119" s="69"/>
    </row>
    <row r="4120" s="2" customFormat="1" ht="24.95" customHeight="1" spans="1:19">
      <c r="A4120" s="15"/>
      <c r="B4120" s="55"/>
      <c r="C4120" s="56"/>
      <c r="D4120" s="68"/>
      <c r="E4120" s="69"/>
      <c r="F4120" s="69"/>
      <c r="G4120" s="65"/>
      <c r="H4120" s="65"/>
      <c r="I4120" s="70"/>
      <c r="J4120" s="71"/>
      <c r="K4120" s="71"/>
      <c r="L4120" s="72" t="str">
        <f>IFERROR(IF(G4120="","",VLOOKUP($G4120,[1]基础信息!$B:$C,2,FALSE)+SUMIF(G$8:G4120,G4120,J$8:J4120)-SUMIF(G$8:G4120,G4120,K$8:K4120)+SUMIFS([1]内部转账!$G:$G,[1]内部转账!$C:$C,"&lt;="&amp;$D4120,[1]内部转账!$E:$E,$G4120)-SUMIFS([1]内部转账!$G:$G,[1]内部转账!$C:$C,"&lt;="&amp;$D4120,[1]内部转账!$F:$F,$G4120)),"")</f>
        <v/>
      </c>
      <c r="M4120" s="64"/>
      <c r="N4120" s="69"/>
      <c r="O4120" s="64"/>
      <c r="P4120" s="64"/>
      <c r="Q4120" s="69"/>
      <c r="R4120" s="69"/>
      <c r="S4120" s="69"/>
    </row>
    <row r="4121" s="2" customFormat="1" ht="24.95" customHeight="1" spans="1:19">
      <c r="A4121" s="15"/>
      <c r="B4121" s="55"/>
      <c r="C4121" s="56"/>
      <c r="D4121" s="68"/>
      <c r="E4121" s="69"/>
      <c r="F4121" s="69"/>
      <c r="G4121" s="65"/>
      <c r="H4121" s="65"/>
      <c r="I4121" s="70"/>
      <c r="J4121" s="71"/>
      <c r="K4121" s="71"/>
      <c r="L4121" s="72" t="str">
        <f>IFERROR(IF(G4121="","",VLOOKUP($G4121,[1]基础信息!$B:$C,2,FALSE)+SUMIF(G$8:G4121,G4121,J$8:J4121)-SUMIF(G$8:G4121,G4121,K$8:K4121)+SUMIFS([1]内部转账!$G:$G,[1]内部转账!$C:$C,"&lt;="&amp;$D4121,[1]内部转账!$E:$E,$G4121)-SUMIFS([1]内部转账!$G:$G,[1]内部转账!$C:$C,"&lt;="&amp;$D4121,[1]内部转账!$F:$F,$G4121)),"")</f>
        <v/>
      </c>
      <c r="M4121" s="64"/>
      <c r="N4121" s="69"/>
      <c r="O4121" s="64"/>
      <c r="P4121" s="64"/>
      <c r="Q4121" s="69"/>
      <c r="R4121" s="69"/>
      <c r="S4121" s="69"/>
    </row>
    <row r="4122" s="2" customFormat="1" ht="24.95" customHeight="1" spans="1:19">
      <c r="A4122" s="15"/>
      <c r="B4122" s="55"/>
      <c r="C4122" s="56"/>
      <c r="D4122" s="68"/>
      <c r="E4122" s="69"/>
      <c r="F4122" s="69"/>
      <c r="G4122" s="65"/>
      <c r="H4122" s="65"/>
      <c r="I4122" s="70"/>
      <c r="J4122" s="71"/>
      <c r="K4122" s="71"/>
      <c r="L4122" s="72" t="str">
        <f>IFERROR(IF(G4122="","",VLOOKUP($G4122,[1]基础信息!$B:$C,2,FALSE)+SUMIF(G$8:G4122,G4122,J$8:J4122)-SUMIF(G$8:G4122,G4122,K$8:K4122)+SUMIFS([1]内部转账!$G:$G,[1]内部转账!$C:$C,"&lt;="&amp;$D4122,[1]内部转账!$E:$E,$G4122)-SUMIFS([1]内部转账!$G:$G,[1]内部转账!$C:$C,"&lt;="&amp;$D4122,[1]内部转账!$F:$F,$G4122)),"")</f>
        <v/>
      </c>
      <c r="M4122" s="64"/>
      <c r="N4122" s="69"/>
      <c r="O4122" s="64"/>
      <c r="P4122" s="64"/>
      <c r="Q4122" s="69"/>
      <c r="R4122" s="69"/>
      <c r="S4122" s="69"/>
    </row>
    <row r="4123" s="2" customFormat="1" ht="24.95" customHeight="1" spans="1:19">
      <c r="A4123" s="15"/>
      <c r="B4123" s="55"/>
      <c r="C4123" s="56"/>
      <c r="D4123" s="68"/>
      <c r="E4123" s="69"/>
      <c r="F4123" s="69"/>
      <c r="G4123" s="65"/>
      <c r="H4123" s="65"/>
      <c r="I4123" s="70"/>
      <c r="J4123" s="71"/>
      <c r="K4123" s="71"/>
      <c r="L4123" s="72" t="str">
        <f>IFERROR(IF(G4123="","",VLOOKUP($G4123,[1]基础信息!$B:$C,2,FALSE)+SUMIF(G$8:G4123,G4123,J$8:J4123)-SUMIF(G$8:G4123,G4123,K$8:K4123)+SUMIFS([1]内部转账!$G:$G,[1]内部转账!$C:$C,"&lt;="&amp;$D4123,[1]内部转账!$E:$E,$G4123)-SUMIFS([1]内部转账!$G:$G,[1]内部转账!$C:$C,"&lt;="&amp;$D4123,[1]内部转账!$F:$F,$G4123)),"")</f>
        <v/>
      </c>
      <c r="M4123" s="64"/>
      <c r="N4123" s="69"/>
      <c r="O4123" s="64"/>
      <c r="P4123" s="64"/>
      <c r="Q4123" s="69"/>
      <c r="R4123" s="69"/>
      <c r="S4123" s="69"/>
    </row>
    <row r="4124" s="2" customFormat="1" ht="24.95" customHeight="1" spans="1:19">
      <c r="A4124" s="15"/>
      <c r="B4124" s="55"/>
      <c r="C4124" s="56"/>
      <c r="D4124" s="68"/>
      <c r="E4124" s="69"/>
      <c r="F4124" s="69"/>
      <c r="G4124" s="65"/>
      <c r="H4124" s="65"/>
      <c r="I4124" s="70"/>
      <c r="J4124" s="71"/>
      <c r="K4124" s="71"/>
      <c r="L4124" s="72" t="str">
        <f>IFERROR(IF(G4124="","",VLOOKUP($G4124,[1]基础信息!$B:$C,2,FALSE)+SUMIF(G$8:G4124,G4124,J$8:J4124)-SUMIF(G$8:G4124,G4124,K$8:K4124)+SUMIFS([1]内部转账!$G:$G,[1]内部转账!$C:$C,"&lt;="&amp;$D4124,[1]内部转账!$E:$E,$G4124)-SUMIFS([1]内部转账!$G:$G,[1]内部转账!$C:$C,"&lt;="&amp;$D4124,[1]内部转账!$F:$F,$G4124)),"")</f>
        <v/>
      </c>
      <c r="M4124" s="64"/>
      <c r="N4124" s="69"/>
      <c r="O4124" s="64"/>
      <c r="P4124" s="64"/>
      <c r="Q4124" s="69"/>
      <c r="R4124" s="69"/>
      <c r="S4124" s="69"/>
    </row>
    <row r="4125" s="2" customFormat="1" ht="24.95" customHeight="1" spans="1:19">
      <c r="A4125" s="15"/>
      <c r="B4125" s="55"/>
      <c r="C4125" s="56"/>
      <c r="D4125" s="68"/>
      <c r="E4125" s="69"/>
      <c r="F4125" s="69"/>
      <c r="G4125" s="65"/>
      <c r="H4125" s="65"/>
      <c r="I4125" s="70"/>
      <c r="J4125" s="71"/>
      <c r="K4125" s="71"/>
      <c r="L4125" s="72" t="str">
        <f>IFERROR(IF(G4125="","",VLOOKUP($G4125,[1]基础信息!$B:$C,2,FALSE)+SUMIF(G$8:G4125,G4125,J$8:J4125)-SUMIF(G$8:G4125,G4125,K$8:K4125)+SUMIFS([1]内部转账!$G:$G,[1]内部转账!$C:$C,"&lt;="&amp;$D4125,[1]内部转账!$E:$E,$G4125)-SUMIFS([1]内部转账!$G:$G,[1]内部转账!$C:$C,"&lt;="&amp;$D4125,[1]内部转账!$F:$F,$G4125)),"")</f>
        <v/>
      </c>
      <c r="M4125" s="64"/>
      <c r="N4125" s="69"/>
      <c r="O4125" s="64"/>
      <c r="P4125" s="64"/>
      <c r="Q4125" s="69"/>
      <c r="R4125" s="69"/>
      <c r="S4125" s="69"/>
    </row>
    <row r="4126" s="2" customFormat="1" ht="24.95" customHeight="1" spans="1:19">
      <c r="A4126" s="15"/>
      <c r="B4126" s="55"/>
      <c r="C4126" s="56"/>
      <c r="D4126" s="68"/>
      <c r="E4126" s="69"/>
      <c r="F4126" s="69"/>
      <c r="G4126" s="65"/>
      <c r="H4126" s="65"/>
      <c r="I4126" s="70"/>
      <c r="J4126" s="71"/>
      <c r="K4126" s="71"/>
      <c r="L4126" s="72" t="str">
        <f>IFERROR(IF(G4126="","",VLOOKUP($G4126,[1]基础信息!$B:$C,2,FALSE)+SUMIF(G$8:G4126,G4126,J$8:J4126)-SUMIF(G$8:G4126,G4126,K$8:K4126)+SUMIFS([1]内部转账!$G:$G,[1]内部转账!$C:$C,"&lt;="&amp;$D4126,[1]内部转账!$E:$E,$G4126)-SUMIFS([1]内部转账!$G:$G,[1]内部转账!$C:$C,"&lt;="&amp;$D4126,[1]内部转账!$F:$F,$G4126)),"")</f>
        <v/>
      </c>
      <c r="M4126" s="64"/>
      <c r="N4126" s="69"/>
      <c r="O4126" s="64"/>
      <c r="P4126" s="64"/>
      <c r="Q4126" s="69"/>
      <c r="R4126" s="69"/>
      <c r="S4126" s="69"/>
    </row>
    <row r="4127" s="2" customFormat="1" ht="24.95" customHeight="1" spans="1:19">
      <c r="A4127" s="15"/>
      <c r="B4127" s="55"/>
      <c r="C4127" s="56"/>
      <c r="D4127" s="68"/>
      <c r="E4127" s="69"/>
      <c r="F4127" s="69"/>
      <c r="G4127" s="65"/>
      <c r="H4127" s="65"/>
      <c r="I4127" s="70"/>
      <c r="J4127" s="71"/>
      <c r="K4127" s="71"/>
      <c r="L4127" s="72" t="str">
        <f>IFERROR(IF(G4127="","",VLOOKUP($G4127,[1]基础信息!$B:$C,2,FALSE)+SUMIF(G$8:G4127,G4127,J$8:J4127)-SUMIF(G$8:G4127,G4127,K$8:K4127)+SUMIFS([1]内部转账!$G:$G,[1]内部转账!$C:$C,"&lt;="&amp;$D4127,[1]内部转账!$E:$E,$G4127)-SUMIFS([1]内部转账!$G:$G,[1]内部转账!$C:$C,"&lt;="&amp;$D4127,[1]内部转账!$F:$F,$G4127)),"")</f>
        <v/>
      </c>
      <c r="M4127" s="64"/>
      <c r="N4127" s="69"/>
      <c r="O4127" s="64"/>
      <c r="P4127" s="64"/>
      <c r="Q4127" s="69"/>
      <c r="R4127" s="69"/>
      <c r="S4127" s="69"/>
    </row>
    <row r="4128" s="2" customFormat="1" ht="24.95" customHeight="1" spans="1:19">
      <c r="A4128" s="15"/>
      <c r="B4128" s="55"/>
      <c r="C4128" s="56"/>
      <c r="D4128" s="68"/>
      <c r="E4128" s="69"/>
      <c r="F4128" s="69"/>
      <c r="G4128" s="65"/>
      <c r="H4128" s="65"/>
      <c r="I4128" s="70"/>
      <c r="J4128" s="71"/>
      <c r="K4128" s="71"/>
      <c r="L4128" s="72" t="str">
        <f>IFERROR(IF(G4128="","",VLOOKUP($G4128,[1]基础信息!$B:$C,2,FALSE)+SUMIF(G$8:G4128,G4128,J$8:J4128)-SUMIF(G$8:G4128,G4128,K$8:K4128)+SUMIFS([1]内部转账!$G:$G,[1]内部转账!$C:$C,"&lt;="&amp;$D4128,[1]内部转账!$E:$E,$G4128)-SUMIFS([1]内部转账!$G:$G,[1]内部转账!$C:$C,"&lt;="&amp;$D4128,[1]内部转账!$F:$F,$G4128)),"")</f>
        <v/>
      </c>
      <c r="M4128" s="64"/>
      <c r="N4128" s="69"/>
      <c r="O4128" s="64"/>
      <c r="P4128" s="64"/>
      <c r="Q4128" s="69"/>
      <c r="R4128" s="69"/>
      <c r="S4128" s="69"/>
    </row>
    <row r="4129" s="2" customFormat="1" ht="24.95" customHeight="1" spans="1:19">
      <c r="A4129" s="15"/>
      <c r="B4129" s="55"/>
      <c r="C4129" s="56"/>
      <c r="D4129" s="68"/>
      <c r="E4129" s="69"/>
      <c r="F4129" s="69"/>
      <c r="G4129" s="65"/>
      <c r="H4129" s="65"/>
      <c r="I4129" s="70"/>
      <c r="J4129" s="71"/>
      <c r="K4129" s="71"/>
      <c r="L4129" s="72" t="str">
        <f>IFERROR(IF(G4129="","",VLOOKUP($G4129,[1]基础信息!$B:$C,2,FALSE)+SUMIF(G$8:G4129,G4129,J$8:J4129)-SUMIF(G$8:G4129,G4129,K$8:K4129)+SUMIFS([1]内部转账!$G:$G,[1]内部转账!$C:$C,"&lt;="&amp;$D4129,[1]内部转账!$E:$E,$G4129)-SUMIFS([1]内部转账!$G:$G,[1]内部转账!$C:$C,"&lt;="&amp;$D4129,[1]内部转账!$F:$F,$G4129)),"")</f>
        <v/>
      </c>
      <c r="M4129" s="64"/>
      <c r="N4129" s="69"/>
      <c r="O4129" s="64"/>
      <c r="P4129" s="64"/>
      <c r="Q4129" s="69"/>
      <c r="R4129" s="69"/>
      <c r="S4129" s="69"/>
    </row>
    <row r="4130" s="2" customFormat="1" ht="24.95" customHeight="1" spans="1:19">
      <c r="A4130" s="15"/>
      <c r="B4130" s="55"/>
      <c r="C4130" s="56"/>
      <c r="D4130" s="68"/>
      <c r="E4130" s="69"/>
      <c r="F4130" s="69"/>
      <c r="G4130" s="65"/>
      <c r="H4130" s="65"/>
      <c r="I4130" s="70"/>
      <c r="J4130" s="71"/>
      <c r="K4130" s="71"/>
      <c r="L4130" s="72" t="str">
        <f>IFERROR(IF(G4130="","",VLOOKUP($G4130,[1]基础信息!$B:$C,2,FALSE)+SUMIF(G$8:G4130,G4130,J$8:J4130)-SUMIF(G$8:G4130,G4130,K$8:K4130)+SUMIFS([1]内部转账!$G:$G,[1]内部转账!$C:$C,"&lt;="&amp;$D4130,[1]内部转账!$E:$E,$G4130)-SUMIFS([1]内部转账!$G:$G,[1]内部转账!$C:$C,"&lt;="&amp;$D4130,[1]内部转账!$F:$F,$G4130)),"")</f>
        <v/>
      </c>
      <c r="M4130" s="64"/>
      <c r="N4130" s="69"/>
      <c r="O4130" s="64"/>
      <c r="P4130" s="64"/>
      <c r="Q4130" s="69"/>
      <c r="R4130" s="69"/>
      <c r="S4130" s="69"/>
    </row>
    <row r="4131" s="2" customFormat="1" ht="24.95" customHeight="1" spans="1:19">
      <c r="A4131" s="15"/>
      <c r="B4131" s="55"/>
      <c r="C4131" s="56"/>
      <c r="D4131" s="68"/>
      <c r="E4131" s="69"/>
      <c r="F4131" s="69"/>
      <c r="G4131" s="65"/>
      <c r="H4131" s="65"/>
      <c r="I4131" s="70"/>
      <c r="J4131" s="71"/>
      <c r="K4131" s="71"/>
      <c r="L4131" s="72" t="str">
        <f>IFERROR(IF(G4131="","",VLOOKUP($G4131,[1]基础信息!$B:$C,2,FALSE)+SUMIF(G$8:G4131,G4131,J$8:J4131)-SUMIF(G$8:G4131,G4131,K$8:K4131)+SUMIFS([1]内部转账!$G:$G,[1]内部转账!$C:$C,"&lt;="&amp;$D4131,[1]内部转账!$E:$E,$G4131)-SUMIFS([1]内部转账!$G:$G,[1]内部转账!$C:$C,"&lt;="&amp;$D4131,[1]内部转账!$F:$F,$G4131)),"")</f>
        <v/>
      </c>
      <c r="M4131" s="64"/>
      <c r="N4131" s="69"/>
      <c r="O4131" s="64"/>
      <c r="P4131" s="64"/>
      <c r="Q4131" s="69"/>
      <c r="R4131" s="69"/>
      <c r="S4131" s="69"/>
    </row>
    <row r="4132" s="2" customFormat="1" ht="24.95" customHeight="1" spans="1:19">
      <c r="A4132" s="15"/>
      <c r="B4132" s="55"/>
      <c r="C4132" s="56"/>
      <c r="D4132" s="68"/>
      <c r="E4132" s="69"/>
      <c r="F4132" s="69"/>
      <c r="G4132" s="65"/>
      <c r="H4132" s="65"/>
      <c r="I4132" s="70"/>
      <c r="J4132" s="71"/>
      <c r="K4132" s="71"/>
      <c r="L4132" s="72" t="str">
        <f>IFERROR(IF(G4132="","",VLOOKUP($G4132,[1]基础信息!$B:$C,2,FALSE)+SUMIF(G$8:G4132,G4132,J$8:J4132)-SUMIF(G$8:G4132,G4132,K$8:K4132)+SUMIFS([1]内部转账!$G:$G,[1]内部转账!$C:$C,"&lt;="&amp;$D4132,[1]内部转账!$E:$E,$G4132)-SUMIFS([1]内部转账!$G:$G,[1]内部转账!$C:$C,"&lt;="&amp;$D4132,[1]内部转账!$F:$F,$G4132)),"")</f>
        <v/>
      </c>
      <c r="M4132" s="64"/>
      <c r="N4132" s="69"/>
      <c r="O4132" s="64"/>
      <c r="P4132" s="64"/>
      <c r="Q4132" s="69"/>
      <c r="R4132" s="69"/>
      <c r="S4132" s="69"/>
    </row>
    <row r="4133" s="2" customFormat="1" ht="24.95" customHeight="1" spans="1:19">
      <c r="A4133" s="15"/>
      <c r="B4133" s="55"/>
      <c r="C4133" s="56"/>
      <c r="D4133" s="68"/>
      <c r="E4133" s="69"/>
      <c r="F4133" s="69"/>
      <c r="G4133" s="65"/>
      <c r="H4133" s="65"/>
      <c r="I4133" s="70"/>
      <c r="J4133" s="71"/>
      <c r="K4133" s="71"/>
      <c r="L4133" s="72" t="str">
        <f>IFERROR(IF(G4133="","",VLOOKUP($G4133,[1]基础信息!$B:$C,2,FALSE)+SUMIF(G$8:G4133,G4133,J$8:J4133)-SUMIF(G$8:G4133,G4133,K$8:K4133)+SUMIFS([1]内部转账!$G:$G,[1]内部转账!$C:$C,"&lt;="&amp;$D4133,[1]内部转账!$E:$E,$G4133)-SUMIFS([1]内部转账!$G:$G,[1]内部转账!$C:$C,"&lt;="&amp;$D4133,[1]内部转账!$F:$F,$G4133)),"")</f>
        <v/>
      </c>
      <c r="M4133" s="64"/>
      <c r="N4133" s="69"/>
      <c r="O4133" s="64"/>
      <c r="P4133" s="64"/>
      <c r="Q4133" s="69"/>
      <c r="R4133" s="69"/>
      <c r="S4133" s="69"/>
    </row>
    <row r="4134" s="2" customFormat="1" ht="24.95" customHeight="1" spans="1:19">
      <c r="A4134" s="15"/>
      <c r="B4134" s="55"/>
      <c r="C4134" s="56"/>
      <c r="D4134" s="68"/>
      <c r="E4134" s="69"/>
      <c r="F4134" s="69"/>
      <c r="G4134" s="65"/>
      <c r="H4134" s="65"/>
      <c r="I4134" s="70"/>
      <c r="J4134" s="71"/>
      <c r="K4134" s="71"/>
      <c r="L4134" s="72" t="str">
        <f>IFERROR(IF(G4134="","",VLOOKUP($G4134,[1]基础信息!$B:$C,2,FALSE)+SUMIF(G$8:G4134,G4134,J$8:J4134)-SUMIF(G$8:G4134,G4134,K$8:K4134)+SUMIFS([1]内部转账!$G:$G,[1]内部转账!$C:$C,"&lt;="&amp;$D4134,[1]内部转账!$E:$E,$G4134)-SUMIFS([1]内部转账!$G:$G,[1]内部转账!$C:$C,"&lt;="&amp;$D4134,[1]内部转账!$F:$F,$G4134)),"")</f>
        <v/>
      </c>
      <c r="M4134" s="64"/>
      <c r="N4134" s="69"/>
      <c r="O4134" s="64"/>
      <c r="P4134" s="64"/>
      <c r="Q4134" s="69"/>
      <c r="R4134" s="69"/>
      <c r="S4134" s="69"/>
    </row>
    <row r="4135" s="2" customFormat="1" ht="24.95" customHeight="1" spans="1:19">
      <c r="A4135" s="15"/>
      <c r="B4135" s="55"/>
      <c r="C4135" s="56"/>
      <c r="D4135" s="68"/>
      <c r="E4135" s="69"/>
      <c r="F4135" s="69"/>
      <c r="G4135" s="65"/>
      <c r="H4135" s="65"/>
      <c r="I4135" s="70"/>
      <c r="J4135" s="71"/>
      <c r="K4135" s="71"/>
      <c r="L4135" s="72" t="str">
        <f>IFERROR(IF(G4135="","",VLOOKUP($G4135,[1]基础信息!$B:$C,2,FALSE)+SUMIF(G$8:G4135,G4135,J$8:J4135)-SUMIF(G$8:G4135,G4135,K$8:K4135)+SUMIFS([1]内部转账!$G:$G,[1]内部转账!$C:$C,"&lt;="&amp;$D4135,[1]内部转账!$E:$E,$G4135)-SUMIFS([1]内部转账!$G:$G,[1]内部转账!$C:$C,"&lt;="&amp;$D4135,[1]内部转账!$F:$F,$G4135)),"")</f>
        <v/>
      </c>
      <c r="M4135" s="64"/>
      <c r="N4135" s="69"/>
      <c r="O4135" s="64"/>
      <c r="P4135" s="64"/>
      <c r="Q4135" s="69"/>
      <c r="R4135" s="69"/>
      <c r="S4135" s="69"/>
    </row>
    <row r="4136" s="2" customFormat="1" ht="24.95" customHeight="1" spans="1:19">
      <c r="A4136" s="15"/>
      <c r="B4136" s="55"/>
      <c r="C4136" s="56"/>
      <c r="D4136" s="68"/>
      <c r="E4136" s="69"/>
      <c r="F4136" s="69"/>
      <c r="G4136" s="65"/>
      <c r="H4136" s="65"/>
      <c r="I4136" s="70"/>
      <c r="J4136" s="71"/>
      <c r="K4136" s="71"/>
      <c r="L4136" s="72" t="str">
        <f>IFERROR(IF(G4136="","",VLOOKUP($G4136,[1]基础信息!$B:$C,2,FALSE)+SUMIF(G$8:G4136,G4136,J$8:J4136)-SUMIF(G$8:G4136,G4136,K$8:K4136)+SUMIFS([1]内部转账!$G:$G,[1]内部转账!$C:$C,"&lt;="&amp;$D4136,[1]内部转账!$E:$E,$G4136)-SUMIFS([1]内部转账!$G:$G,[1]内部转账!$C:$C,"&lt;="&amp;$D4136,[1]内部转账!$F:$F,$G4136)),"")</f>
        <v/>
      </c>
      <c r="M4136" s="64"/>
      <c r="N4136" s="69"/>
      <c r="O4136" s="64"/>
      <c r="P4136" s="64"/>
      <c r="Q4136" s="69"/>
      <c r="R4136" s="69"/>
      <c r="S4136" s="69"/>
    </row>
    <row r="4137" s="2" customFormat="1" ht="24.95" customHeight="1" spans="1:19">
      <c r="A4137" s="15"/>
      <c r="B4137" s="55"/>
      <c r="C4137" s="56"/>
      <c r="D4137" s="68"/>
      <c r="E4137" s="69"/>
      <c r="F4137" s="69"/>
      <c r="G4137" s="65"/>
      <c r="H4137" s="65"/>
      <c r="I4137" s="70"/>
      <c r="J4137" s="71"/>
      <c r="K4137" s="71"/>
      <c r="L4137" s="72" t="str">
        <f>IFERROR(IF(G4137="","",VLOOKUP($G4137,[1]基础信息!$B:$C,2,FALSE)+SUMIF(G$8:G4137,G4137,J$8:J4137)-SUMIF(G$8:G4137,G4137,K$8:K4137)+SUMIFS([1]内部转账!$G:$G,[1]内部转账!$C:$C,"&lt;="&amp;$D4137,[1]内部转账!$E:$E,$G4137)-SUMIFS([1]内部转账!$G:$G,[1]内部转账!$C:$C,"&lt;="&amp;$D4137,[1]内部转账!$F:$F,$G4137)),"")</f>
        <v/>
      </c>
      <c r="M4137" s="64"/>
      <c r="N4137" s="69"/>
      <c r="O4137" s="64"/>
      <c r="P4137" s="64"/>
      <c r="Q4137" s="69"/>
      <c r="R4137" s="69"/>
      <c r="S4137" s="69"/>
    </row>
    <row r="4138" s="2" customFormat="1" ht="24.95" customHeight="1" spans="1:19">
      <c r="A4138" s="15"/>
      <c r="B4138" s="55"/>
      <c r="C4138" s="56"/>
      <c r="D4138" s="68"/>
      <c r="E4138" s="69"/>
      <c r="F4138" s="69"/>
      <c r="G4138" s="65"/>
      <c r="H4138" s="65"/>
      <c r="I4138" s="70"/>
      <c r="J4138" s="71"/>
      <c r="K4138" s="71"/>
      <c r="L4138" s="72" t="str">
        <f>IFERROR(IF(G4138="","",VLOOKUP($G4138,[1]基础信息!$B:$C,2,FALSE)+SUMIF(G$8:G4138,G4138,J$8:J4138)-SUMIF(G$8:G4138,G4138,K$8:K4138)+SUMIFS([1]内部转账!$G:$G,[1]内部转账!$C:$C,"&lt;="&amp;$D4138,[1]内部转账!$E:$E,$G4138)-SUMIFS([1]内部转账!$G:$G,[1]内部转账!$C:$C,"&lt;="&amp;$D4138,[1]内部转账!$F:$F,$G4138)),"")</f>
        <v/>
      </c>
      <c r="M4138" s="64"/>
      <c r="N4138" s="69"/>
      <c r="O4138" s="64"/>
      <c r="P4138" s="64"/>
      <c r="Q4138" s="69"/>
      <c r="R4138" s="69"/>
      <c r="S4138" s="69"/>
    </row>
    <row r="4139" s="2" customFormat="1" ht="24.95" customHeight="1" spans="1:19">
      <c r="A4139" s="15"/>
      <c r="B4139" s="55"/>
      <c r="C4139" s="56"/>
      <c r="D4139" s="68"/>
      <c r="E4139" s="69"/>
      <c r="F4139" s="69"/>
      <c r="G4139" s="65"/>
      <c r="H4139" s="65"/>
      <c r="I4139" s="70"/>
      <c r="J4139" s="71"/>
      <c r="K4139" s="71"/>
      <c r="L4139" s="72" t="str">
        <f>IFERROR(IF(G4139="","",VLOOKUP($G4139,[1]基础信息!$B:$C,2,FALSE)+SUMIF(G$8:G4139,G4139,J$8:J4139)-SUMIF(G$8:G4139,G4139,K$8:K4139)+SUMIFS([1]内部转账!$G:$G,[1]内部转账!$C:$C,"&lt;="&amp;$D4139,[1]内部转账!$E:$E,$G4139)-SUMIFS([1]内部转账!$G:$G,[1]内部转账!$C:$C,"&lt;="&amp;$D4139,[1]内部转账!$F:$F,$G4139)),"")</f>
        <v/>
      </c>
      <c r="M4139" s="64"/>
      <c r="N4139" s="69"/>
      <c r="O4139" s="64"/>
      <c r="P4139" s="64"/>
      <c r="Q4139" s="69"/>
      <c r="R4139" s="69"/>
      <c r="S4139" s="69"/>
    </row>
    <row r="4140" s="2" customFormat="1" ht="24.95" customHeight="1" spans="1:19">
      <c r="A4140" s="15"/>
      <c r="B4140" s="55"/>
      <c r="C4140" s="56"/>
      <c r="D4140" s="68"/>
      <c r="E4140" s="69"/>
      <c r="F4140" s="69"/>
      <c r="G4140" s="65"/>
      <c r="H4140" s="65"/>
      <c r="I4140" s="70"/>
      <c r="J4140" s="71"/>
      <c r="K4140" s="71"/>
      <c r="L4140" s="72" t="str">
        <f>IFERROR(IF(G4140="","",VLOOKUP($G4140,[1]基础信息!$B:$C,2,FALSE)+SUMIF(G$8:G4140,G4140,J$8:J4140)-SUMIF(G$8:G4140,G4140,K$8:K4140)+SUMIFS([1]内部转账!$G:$G,[1]内部转账!$C:$C,"&lt;="&amp;$D4140,[1]内部转账!$E:$E,$G4140)-SUMIFS([1]内部转账!$G:$G,[1]内部转账!$C:$C,"&lt;="&amp;$D4140,[1]内部转账!$F:$F,$G4140)),"")</f>
        <v/>
      </c>
      <c r="M4140" s="64"/>
      <c r="N4140" s="69"/>
      <c r="O4140" s="64"/>
      <c r="P4140" s="64"/>
      <c r="Q4140" s="69"/>
      <c r="R4140" s="69"/>
      <c r="S4140" s="69"/>
    </row>
    <row r="4141" s="2" customFormat="1" ht="24.95" customHeight="1" spans="1:19">
      <c r="A4141" s="15"/>
      <c r="B4141" s="55"/>
      <c r="C4141" s="56"/>
      <c r="D4141" s="68"/>
      <c r="E4141" s="69"/>
      <c r="F4141" s="69"/>
      <c r="G4141" s="65"/>
      <c r="H4141" s="65"/>
      <c r="I4141" s="70"/>
      <c r="J4141" s="71"/>
      <c r="K4141" s="71"/>
      <c r="L4141" s="72" t="str">
        <f>IFERROR(IF(G4141="","",VLOOKUP($G4141,[1]基础信息!$B:$C,2,FALSE)+SUMIF(G$8:G4141,G4141,J$8:J4141)-SUMIF(G$8:G4141,G4141,K$8:K4141)+SUMIFS([1]内部转账!$G:$G,[1]内部转账!$C:$C,"&lt;="&amp;$D4141,[1]内部转账!$E:$E,$G4141)-SUMIFS([1]内部转账!$G:$G,[1]内部转账!$C:$C,"&lt;="&amp;$D4141,[1]内部转账!$F:$F,$G4141)),"")</f>
        <v/>
      </c>
      <c r="M4141" s="64"/>
      <c r="N4141" s="69"/>
      <c r="O4141" s="64"/>
      <c r="P4141" s="64"/>
      <c r="Q4141" s="69"/>
      <c r="R4141" s="69"/>
      <c r="S4141" s="69"/>
    </row>
    <row r="4142" s="2" customFormat="1" ht="24.95" customHeight="1" spans="1:19">
      <c r="A4142" s="15"/>
      <c r="B4142" s="55"/>
      <c r="C4142" s="56"/>
      <c r="D4142" s="68"/>
      <c r="E4142" s="69"/>
      <c r="F4142" s="69"/>
      <c r="G4142" s="65"/>
      <c r="H4142" s="65"/>
      <c r="I4142" s="70"/>
      <c r="J4142" s="71"/>
      <c r="K4142" s="71"/>
      <c r="L4142" s="72" t="str">
        <f>IFERROR(IF(G4142="","",VLOOKUP($G4142,[1]基础信息!$B:$C,2,FALSE)+SUMIF(G$8:G4142,G4142,J$8:J4142)-SUMIF(G$8:G4142,G4142,K$8:K4142)+SUMIFS([1]内部转账!$G:$G,[1]内部转账!$C:$C,"&lt;="&amp;$D4142,[1]内部转账!$E:$E,$G4142)-SUMIFS([1]内部转账!$G:$G,[1]内部转账!$C:$C,"&lt;="&amp;$D4142,[1]内部转账!$F:$F,$G4142)),"")</f>
        <v/>
      </c>
      <c r="M4142" s="64"/>
      <c r="N4142" s="69"/>
      <c r="O4142" s="64"/>
      <c r="P4142" s="64"/>
      <c r="Q4142" s="69"/>
      <c r="R4142" s="69"/>
      <c r="S4142" s="69"/>
    </row>
    <row r="4143" s="2" customFormat="1" ht="24.95" customHeight="1" spans="1:19">
      <c r="A4143" s="15"/>
      <c r="B4143" s="55"/>
      <c r="C4143" s="56"/>
      <c r="D4143" s="68"/>
      <c r="E4143" s="69"/>
      <c r="F4143" s="69"/>
      <c r="G4143" s="65"/>
      <c r="H4143" s="65"/>
      <c r="I4143" s="70"/>
      <c r="J4143" s="71"/>
      <c r="K4143" s="71"/>
      <c r="L4143" s="72" t="str">
        <f>IFERROR(IF(G4143="","",VLOOKUP($G4143,[1]基础信息!$B:$C,2,FALSE)+SUMIF(G$8:G4143,G4143,J$8:J4143)-SUMIF(G$8:G4143,G4143,K$8:K4143)+SUMIFS([1]内部转账!$G:$G,[1]内部转账!$C:$C,"&lt;="&amp;$D4143,[1]内部转账!$E:$E,$G4143)-SUMIFS([1]内部转账!$G:$G,[1]内部转账!$C:$C,"&lt;="&amp;$D4143,[1]内部转账!$F:$F,$G4143)),"")</f>
        <v/>
      </c>
      <c r="M4143" s="64"/>
      <c r="N4143" s="69"/>
      <c r="O4143" s="64"/>
      <c r="P4143" s="64"/>
      <c r="Q4143" s="69"/>
      <c r="R4143" s="69"/>
      <c r="S4143" s="69"/>
    </row>
    <row r="4144" s="2" customFormat="1" ht="24.95" customHeight="1" spans="1:19">
      <c r="A4144" s="15"/>
      <c r="B4144" s="55"/>
      <c r="C4144" s="56"/>
      <c r="D4144" s="68"/>
      <c r="E4144" s="69"/>
      <c r="F4144" s="69"/>
      <c r="G4144" s="65"/>
      <c r="H4144" s="65"/>
      <c r="I4144" s="70"/>
      <c r="J4144" s="71"/>
      <c r="K4144" s="71"/>
      <c r="L4144" s="72" t="str">
        <f>IFERROR(IF(G4144="","",VLOOKUP($G4144,[1]基础信息!$B:$C,2,FALSE)+SUMIF(G$8:G4144,G4144,J$8:J4144)-SUMIF(G$8:G4144,G4144,K$8:K4144)+SUMIFS([1]内部转账!$G:$G,[1]内部转账!$C:$C,"&lt;="&amp;$D4144,[1]内部转账!$E:$E,$G4144)-SUMIFS([1]内部转账!$G:$G,[1]内部转账!$C:$C,"&lt;="&amp;$D4144,[1]内部转账!$F:$F,$G4144)),"")</f>
        <v/>
      </c>
      <c r="M4144" s="64"/>
      <c r="N4144" s="69"/>
      <c r="O4144" s="64"/>
      <c r="P4144" s="64"/>
      <c r="Q4144" s="69"/>
      <c r="R4144" s="69"/>
      <c r="S4144" s="69"/>
    </row>
    <row r="4145" s="2" customFormat="1" ht="24.95" customHeight="1" spans="1:19">
      <c r="A4145" s="15"/>
      <c r="B4145" s="55"/>
      <c r="C4145" s="56"/>
      <c r="D4145" s="68"/>
      <c r="E4145" s="69"/>
      <c r="F4145" s="69"/>
      <c r="G4145" s="65"/>
      <c r="H4145" s="65"/>
      <c r="I4145" s="70"/>
      <c r="J4145" s="71"/>
      <c r="K4145" s="71"/>
      <c r="L4145" s="72" t="str">
        <f>IFERROR(IF(G4145="","",VLOOKUP($G4145,[1]基础信息!$B:$C,2,FALSE)+SUMIF(G$8:G4145,G4145,J$8:J4145)-SUMIF(G$8:G4145,G4145,K$8:K4145)+SUMIFS([1]内部转账!$G:$G,[1]内部转账!$C:$C,"&lt;="&amp;$D4145,[1]内部转账!$E:$E,$G4145)-SUMIFS([1]内部转账!$G:$G,[1]内部转账!$C:$C,"&lt;="&amp;$D4145,[1]内部转账!$F:$F,$G4145)),"")</f>
        <v/>
      </c>
      <c r="M4145" s="64"/>
      <c r="N4145" s="69"/>
      <c r="O4145" s="64"/>
      <c r="P4145" s="64"/>
      <c r="Q4145" s="69"/>
      <c r="R4145" s="69"/>
      <c r="S4145" s="69"/>
    </row>
    <row r="4146" s="2" customFormat="1" ht="24.95" customHeight="1" spans="1:19">
      <c r="A4146" s="15"/>
      <c r="B4146" s="55"/>
      <c r="C4146" s="56"/>
      <c r="D4146" s="68"/>
      <c r="E4146" s="69"/>
      <c r="F4146" s="69"/>
      <c r="G4146" s="65"/>
      <c r="H4146" s="65"/>
      <c r="I4146" s="70"/>
      <c r="J4146" s="71"/>
      <c r="K4146" s="71"/>
      <c r="L4146" s="72" t="str">
        <f>IFERROR(IF(G4146="","",VLOOKUP($G4146,[1]基础信息!$B:$C,2,FALSE)+SUMIF(G$8:G4146,G4146,J$8:J4146)-SUMIF(G$8:G4146,G4146,K$8:K4146)+SUMIFS([1]内部转账!$G:$G,[1]内部转账!$C:$C,"&lt;="&amp;$D4146,[1]内部转账!$E:$E,$G4146)-SUMIFS([1]内部转账!$G:$G,[1]内部转账!$C:$C,"&lt;="&amp;$D4146,[1]内部转账!$F:$F,$G4146)),"")</f>
        <v/>
      </c>
      <c r="M4146" s="64"/>
      <c r="N4146" s="69"/>
      <c r="O4146" s="64"/>
      <c r="P4146" s="64"/>
      <c r="Q4146" s="69"/>
      <c r="R4146" s="69"/>
      <c r="S4146" s="69"/>
    </row>
    <row r="4147" s="2" customFormat="1" ht="24.95" customHeight="1" spans="1:19">
      <c r="A4147" s="15"/>
      <c r="B4147" s="55"/>
      <c r="C4147" s="56"/>
      <c r="D4147" s="68"/>
      <c r="E4147" s="69"/>
      <c r="F4147" s="69"/>
      <c r="G4147" s="65"/>
      <c r="H4147" s="65"/>
      <c r="I4147" s="70"/>
      <c r="J4147" s="71"/>
      <c r="K4147" s="71"/>
      <c r="L4147" s="72" t="str">
        <f>IFERROR(IF(G4147="","",VLOOKUP($G4147,[1]基础信息!$B:$C,2,FALSE)+SUMIF(G$8:G4147,G4147,J$8:J4147)-SUMIF(G$8:G4147,G4147,K$8:K4147)+SUMIFS([1]内部转账!$G:$G,[1]内部转账!$C:$C,"&lt;="&amp;$D4147,[1]内部转账!$E:$E,$G4147)-SUMIFS([1]内部转账!$G:$G,[1]内部转账!$C:$C,"&lt;="&amp;$D4147,[1]内部转账!$F:$F,$G4147)),"")</f>
        <v/>
      </c>
      <c r="M4147" s="64"/>
      <c r="N4147" s="69"/>
      <c r="O4147" s="64"/>
      <c r="P4147" s="64"/>
      <c r="Q4147" s="69"/>
      <c r="R4147" s="69"/>
      <c r="S4147" s="69"/>
    </row>
    <row r="4148" s="2" customFormat="1" ht="24.95" customHeight="1" spans="1:19">
      <c r="A4148" s="15"/>
      <c r="B4148" s="55"/>
      <c r="C4148" s="56"/>
      <c r="D4148" s="68"/>
      <c r="E4148" s="69"/>
      <c r="F4148" s="69"/>
      <c r="G4148" s="65"/>
      <c r="H4148" s="65"/>
      <c r="I4148" s="70"/>
      <c r="J4148" s="71"/>
      <c r="K4148" s="71"/>
      <c r="L4148" s="72" t="str">
        <f>IFERROR(IF(G4148="","",VLOOKUP($G4148,[1]基础信息!$B:$C,2,FALSE)+SUMIF(G$8:G4148,G4148,J$8:J4148)-SUMIF(G$8:G4148,G4148,K$8:K4148)+SUMIFS([1]内部转账!$G:$G,[1]内部转账!$C:$C,"&lt;="&amp;$D4148,[1]内部转账!$E:$E,$G4148)-SUMIFS([1]内部转账!$G:$G,[1]内部转账!$C:$C,"&lt;="&amp;$D4148,[1]内部转账!$F:$F,$G4148)),"")</f>
        <v/>
      </c>
      <c r="M4148" s="64"/>
      <c r="N4148" s="69"/>
      <c r="O4148" s="64"/>
      <c r="P4148" s="64"/>
      <c r="Q4148" s="69"/>
      <c r="R4148" s="69"/>
      <c r="S4148" s="69"/>
    </row>
    <row r="4149" s="2" customFormat="1" ht="24.95" customHeight="1" spans="1:19">
      <c r="A4149" s="15"/>
      <c r="B4149" s="55"/>
      <c r="C4149" s="56"/>
      <c r="D4149" s="68"/>
      <c r="E4149" s="69"/>
      <c r="F4149" s="69"/>
      <c r="G4149" s="65"/>
      <c r="H4149" s="65"/>
      <c r="I4149" s="70"/>
      <c r="J4149" s="71"/>
      <c r="K4149" s="71"/>
      <c r="L4149" s="72" t="str">
        <f>IFERROR(IF(G4149="","",VLOOKUP($G4149,[1]基础信息!$B:$C,2,FALSE)+SUMIF(G$8:G4149,G4149,J$8:J4149)-SUMIF(G$8:G4149,G4149,K$8:K4149)+SUMIFS([1]内部转账!$G:$G,[1]内部转账!$C:$C,"&lt;="&amp;$D4149,[1]内部转账!$E:$E,$G4149)-SUMIFS([1]内部转账!$G:$G,[1]内部转账!$C:$C,"&lt;="&amp;$D4149,[1]内部转账!$F:$F,$G4149)),"")</f>
        <v/>
      </c>
      <c r="M4149" s="64"/>
      <c r="N4149" s="69"/>
      <c r="O4149" s="64"/>
      <c r="P4149" s="64"/>
      <c r="Q4149" s="69"/>
      <c r="R4149" s="69"/>
      <c r="S4149" s="69"/>
    </row>
    <row r="4150" s="2" customFormat="1" ht="24.95" customHeight="1" spans="1:19">
      <c r="A4150" s="15"/>
      <c r="B4150" s="55"/>
      <c r="C4150" s="56"/>
      <c r="D4150" s="68"/>
      <c r="E4150" s="69"/>
      <c r="F4150" s="69"/>
      <c r="G4150" s="65"/>
      <c r="H4150" s="65"/>
      <c r="I4150" s="70"/>
      <c r="J4150" s="71"/>
      <c r="K4150" s="71"/>
      <c r="L4150" s="72" t="str">
        <f>IFERROR(IF(G4150="","",VLOOKUP($G4150,[1]基础信息!$B:$C,2,FALSE)+SUMIF(G$8:G4150,G4150,J$8:J4150)-SUMIF(G$8:G4150,G4150,K$8:K4150)+SUMIFS([1]内部转账!$G:$G,[1]内部转账!$C:$C,"&lt;="&amp;$D4150,[1]内部转账!$E:$E,$G4150)-SUMIFS([1]内部转账!$G:$G,[1]内部转账!$C:$C,"&lt;="&amp;$D4150,[1]内部转账!$F:$F,$G4150)),"")</f>
        <v/>
      </c>
      <c r="M4150" s="64"/>
      <c r="N4150" s="69"/>
      <c r="O4150" s="64"/>
      <c r="P4150" s="64"/>
      <c r="Q4150" s="69"/>
      <c r="R4150" s="69"/>
      <c r="S4150" s="69"/>
    </row>
    <row r="4151" s="2" customFormat="1" ht="24.95" customHeight="1" spans="1:19">
      <c r="A4151" s="15"/>
      <c r="B4151" s="55"/>
      <c r="C4151" s="56"/>
      <c r="D4151" s="68"/>
      <c r="E4151" s="69"/>
      <c r="F4151" s="69"/>
      <c r="G4151" s="65"/>
      <c r="H4151" s="65"/>
      <c r="I4151" s="70"/>
      <c r="J4151" s="71"/>
      <c r="K4151" s="71"/>
      <c r="L4151" s="72" t="str">
        <f>IFERROR(IF(G4151="","",VLOOKUP($G4151,[1]基础信息!$B:$C,2,FALSE)+SUMIF(G$8:G4151,G4151,J$8:J4151)-SUMIF(G$8:G4151,G4151,K$8:K4151)+SUMIFS([1]内部转账!$G:$G,[1]内部转账!$C:$C,"&lt;="&amp;$D4151,[1]内部转账!$E:$E,$G4151)-SUMIFS([1]内部转账!$G:$G,[1]内部转账!$C:$C,"&lt;="&amp;$D4151,[1]内部转账!$F:$F,$G4151)),"")</f>
        <v/>
      </c>
      <c r="M4151" s="64"/>
      <c r="N4151" s="69"/>
      <c r="O4151" s="64"/>
      <c r="P4151" s="64"/>
      <c r="Q4151" s="69"/>
      <c r="R4151" s="69"/>
      <c r="S4151" s="69"/>
    </row>
    <row r="4152" s="2" customFormat="1" ht="24.95" customHeight="1" spans="1:19">
      <c r="A4152" s="15"/>
      <c r="B4152" s="55"/>
      <c r="C4152" s="56"/>
      <c r="D4152" s="68"/>
      <c r="E4152" s="69"/>
      <c r="F4152" s="69"/>
      <c r="G4152" s="65"/>
      <c r="H4152" s="65"/>
      <c r="I4152" s="70"/>
      <c r="J4152" s="71"/>
      <c r="K4152" s="71"/>
      <c r="L4152" s="72" t="str">
        <f>IFERROR(IF(G4152="","",VLOOKUP($G4152,[1]基础信息!$B:$C,2,FALSE)+SUMIF(G$8:G4152,G4152,J$8:J4152)-SUMIF(G$8:G4152,G4152,K$8:K4152)+SUMIFS([1]内部转账!$G:$G,[1]内部转账!$C:$C,"&lt;="&amp;$D4152,[1]内部转账!$E:$E,$G4152)-SUMIFS([1]内部转账!$G:$G,[1]内部转账!$C:$C,"&lt;="&amp;$D4152,[1]内部转账!$F:$F,$G4152)),"")</f>
        <v/>
      </c>
      <c r="M4152" s="64"/>
      <c r="N4152" s="69"/>
      <c r="O4152" s="64"/>
      <c r="P4152" s="64"/>
      <c r="Q4152" s="69"/>
      <c r="R4152" s="69"/>
      <c r="S4152" s="69"/>
    </row>
    <row r="4153" s="2" customFormat="1" ht="24.95" customHeight="1" spans="1:19">
      <c r="A4153" s="15"/>
      <c r="B4153" s="55"/>
      <c r="C4153" s="56"/>
      <c r="D4153" s="68"/>
      <c r="E4153" s="69"/>
      <c r="F4153" s="69"/>
      <c r="G4153" s="65"/>
      <c r="H4153" s="65"/>
      <c r="I4153" s="70"/>
      <c r="J4153" s="71"/>
      <c r="K4153" s="71"/>
      <c r="L4153" s="72" t="str">
        <f>IFERROR(IF(G4153="","",VLOOKUP($G4153,[1]基础信息!$B:$C,2,FALSE)+SUMIF(G$8:G4153,G4153,J$8:J4153)-SUMIF(G$8:G4153,G4153,K$8:K4153)+SUMIFS([1]内部转账!$G:$G,[1]内部转账!$C:$C,"&lt;="&amp;$D4153,[1]内部转账!$E:$E,$G4153)-SUMIFS([1]内部转账!$G:$G,[1]内部转账!$C:$C,"&lt;="&amp;$D4153,[1]内部转账!$F:$F,$G4153)),"")</f>
        <v/>
      </c>
      <c r="M4153" s="64"/>
      <c r="N4153" s="69"/>
      <c r="O4153" s="64"/>
      <c r="P4153" s="64"/>
      <c r="Q4153" s="69"/>
      <c r="R4153" s="69"/>
      <c r="S4153" s="69"/>
    </row>
    <row r="4154" s="2" customFormat="1" ht="24.95" customHeight="1" spans="1:19">
      <c r="A4154" s="15"/>
      <c r="B4154" s="55"/>
      <c r="C4154" s="56"/>
      <c r="D4154" s="68"/>
      <c r="E4154" s="69"/>
      <c r="F4154" s="69"/>
      <c r="G4154" s="65"/>
      <c r="H4154" s="65"/>
      <c r="I4154" s="70"/>
      <c r="J4154" s="71"/>
      <c r="K4154" s="71"/>
      <c r="L4154" s="72" t="str">
        <f>IFERROR(IF(G4154="","",VLOOKUP($G4154,[1]基础信息!$B:$C,2,FALSE)+SUMIF(G$8:G4154,G4154,J$8:J4154)-SUMIF(G$8:G4154,G4154,K$8:K4154)+SUMIFS([1]内部转账!$G:$G,[1]内部转账!$C:$C,"&lt;="&amp;$D4154,[1]内部转账!$E:$E,$G4154)-SUMIFS([1]内部转账!$G:$G,[1]内部转账!$C:$C,"&lt;="&amp;$D4154,[1]内部转账!$F:$F,$G4154)),"")</f>
        <v/>
      </c>
      <c r="M4154" s="64"/>
      <c r="N4154" s="69"/>
      <c r="O4154" s="64"/>
      <c r="P4154" s="64"/>
      <c r="Q4154" s="69"/>
      <c r="R4154" s="69"/>
      <c r="S4154" s="69"/>
    </row>
    <row r="4155" s="2" customFormat="1" ht="24.95" customHeight="1" spans="1:19">
      <c r="A4155" s="15"/>
      <c r="B4155" s="55"/>
      <c r="C4155" s="56"/>
      <c r="D4155" s="68"/>
      <c r="E4155" s="69"/>
      <c r="F4155" s="69"/>
      <c r="G4155" s="65"/>
      <c r="H4155" s="65"/>
      <c r="I4155" s="70"/>
      <c r="J4155" s="71"/>
      <c r="K4155" s="71"/>
      <c r="L4155" s="72" t="str">
        <f>IFERROR(IF(G4155="","",VLOOKUP($G4155,[1]基础信息!$B:$C,2,FALSE)+SUMIF(G$8:G4155,G4155,J$8:J4155)-SUMIF(G$8:G4155,G4155,K$8:K4155)+SUMIFS([1]内部转账!$G:$G,[1]内部转账!$C:$C,"&lt;="&amp;$D4155,[1]内部转账!$E:$E,$G4155)-SUMIFS([1]内部转账!$G:$G,[1]内部转账!$C:$C,"&lt;="&amp;$D4155,[1]内部转账!$F:$F,$G4155)),"")</f>
        <v/>
      </c>
      <c r="M4155" s="64"/>
      <c r="N4155" s="69"/>
      <c r="O4155" s="64"/>
      <c r="P4155" s="64"/>
      <c r="Q4155" s="69"/>
      <c r="R4155" s="69"/>
      <c r="S4155" s="69"/>
    </row>
    <row r="4156" s="2" customFormat="1" ht="24.95" customHeight="1" spans="1:19">
      <c r="A4156" s="15"/>
      <c r="B4156" s="55"/>
      <c r="C4156" s="56"/>
      <c r="D4156" s="68"/>
      <c r="E4156" s="69"/>
      <c r="F4156" s="69"/>
      <c r="G4156" s="65"/>
      <c r="H4156" s="65"/>
      <c r="I4156" s="70"/>
      <c r="J4156" s="71"/>
      <c r="K4156" s="71"/>
      <c r="L4156" s="72" t="str">
        <f>IFERROR(IF(G4156="","",VLOOKUP($G4156,[1]基础信息!$B:$C,2,FALSE)+SUMIF(G$8:G4156,G4156,J$8:J4156)-SUMIF(G$8:G4156,G4156,K$8:K4156)+SUMIFS([1]内部转账!$G:$G,[1]内部转账!$C:$C,"&lt;="&amp;$D4156,[1]内部转账!$E:$E,$G4156)-SUMIFS([1]内部转账!$G:$G,[1]内部转账!$C:$C,"&lt;="&amp;$D4156,[1]内部转账!$F:$F,$G4156)),"")</f>
        <v/>
      </c>
      <c r="M4156" s="64"/>
      <c r="N4156" s="69"/>
      <c r="O4156" s="64"/>
      <c r="P4156" s="64"/>
      <c r="Q4156" s="69"/>
      <c r="R4156" s="69"/>
      <c r="S4156" s="69"/>
    </row>
    <row r="4157" s="2" customFormat="1" ht="24.95" customHeight="1" spans="1:19">
      <c r="A4157" s="15"/>
      <c r="B4157" s="55"/>
      <c r="C4157" s="56"/>
      <c r="D4157" s="68"/>
      <c r="E4157" s="69"/>
      <c r="F4157" s="69"/>
      <c r="G4157" s="65"/>
      <c r="H4157" s="65"/>
      <c r="I4157" s="70"/>
      <c r="J4157" s="71"/>
      <c r="K4157" s="71"/>
      <c r="L4157" s="72" t="str">
        <f>IFERROR(IF(G4157="","",VLOOKUP($G4157,[1]基础信息!$B:$C,2,FALSE)+SUMIF(G$8:G4157,G4157,J$8:J4157)-SUMIF(G$8:G4157,G4157,K$8:K4157)+SUMIFS([1]内部转账!$G:$G,[1]内部转账!$C:$C,"&lt;="&amp;$D4157,[1]内部转账!$E:$E,$G4157)-SUMIFS([1]内部转账!$G:$G,[1]内部转账!$C:$C,"&lt;="&amp;$D4157,[1]内部转账!$F:$F,$G4157)),"")</f>
        <v/>
      </c>
      <c r="M4157" s="64"/>
      <c r="N4157" s="69"/>
      <c r="O4157" s="64"/>
      <c r="P4157" s="64"/>
      <c r="Q4157" s="69"/>
      <c r="R4157" s="69"/>
      <c r="S4157" s="69"/>
    </row>
    <row r="4158" s="2" customFormat="1" ht="24.95" customHeight="1" spans="1:19">
      <c r="A4158" s="15"/>
      <c r="B4158" s="55"/>
      <c r="C4158" s="56"/>
      <c r="D4158" s="68"/>
      <c r="E4158" s="69"/>
      <c r="F4158" s="69"/>
      <c r="G4158" s="65"/>
      <c r="H4158" s="65"/>
      <c r="I4158" s="70"/>
      <c r="J4158" s="71"/>
      <c r="K4158" s="71"/>
      <c r="L4158" s="72" t="str">
        <f>IFERROR(IF(G4158="","",VLOOKUP($G4158,[1]基础信息!$B:$C,2,FALSE)+SUMIF(G$8:G4158,G4158,J$8:J4158)-SUMIF(G$8:G4158,G4158,K$8:K4158)+SUMIFS([1]内部转账!$G:$G,[1]内部转账!$C:$C,"&lt;="&amp;$D4158,[1]内部转账!$E:$E,$G4158)-SUMIFS([1]内部转账!$G:$G,[1]内部转账!$C:$C,"&lt;="&amp;$D4158,[1]内部转账!$F:$F,$G4158)),"")</f>
        <v/>
      </c>
      <c r="M4158" s="64"/>
      <c r="N4158" s="69"/>
      <c r="O4158" s="64"/>
      <c r="P4158" s="64"/>
      <c r="Q4158" s="69"/>
      <c r="R4158" s="69"/>
      <c r="S4158" s="69"/>
    </row>
    <row r="4159" s="2" customFormat="1" ht="24.95" customHeight="1" spans="1:19">
      <c r="A4159" s="15"/>
      <c r="B4159" s="55"/>
      <c r="C4159" s="56"/>
      <c r="D4159" s="68"/>
      <c r="E4159" s="69"/>
      <c r="F4159" s="69"/>
      <c r="G4159" s="65"/>
      <c r="H4159" s="65"/>
      <c r="I4159" s="70"/>
      <c r="J4159" s="71"/>
      <c r="K4159" s="71"/>
      <c r="L4159" s="72" t="str">
        <f>IFERROR(IF(G4159="","",VLOOKUP($G4159,[1]基础信息!$B:$C,2,FALSE)+SUMIF(G$8:G4159,G4159,J$8:J4159)-SUMIF(G$8:G4159,G4159,K$8:K4159)+SUMIFS([1]内部转账!$G:$G,[1]内部转账!$C:$C,"&lt;="&amp;$D4159,[1]内部转账!$E:$E,$G4159)-SUMIFS([1]内部转账!$G:$G,[1]内部转账!$C:$C,"&lt;="&amp;$D4159,[1]内部转账!$F:$F,$G4159)),"")</f>
        <v/>
      </c>
      <c r="M4159" s="64"/>
      <c r="N4159" s="69"/>
      <c r="O4159" s="64"/>
      <c r="P4159" s="64"/>
      <c r="Q4159" s="69"/>
      <c r="R4159" s="69"/>
      <c r="S4159" s="69"/>
    </row>
    <row r="4160" s="2" customFormat="1" ht="24.95" customHeight="1" spans="1:19">
      <c r="A4160" s="15"/>
      <c r="B4160" s="55"/>
      <c r="C4160" s="56"/>
      <c r="D4160" s="68"/>
      <c r="E4160" s="69"/>
      <c r="F4160" s="69"/>
      <c r="G4160" s="65"/>
      <c r="H4160" s="65"/>
      <c r="I4160" s="70"/>
      <c r="J4160" s="71"/>
      <c r="K4160" s="71"/>
      <c r="L4160" s="72" t="str">
        <f>IFERROR(IF(G4160="","",VLOOKUP($G4160,[1]基础信息!$B:$C,2,FALSE)+SUMIF(G$8:G4160,G4160,J$8:J4160)-SUMIF(G$8:G4160,G4160,K$8:K4160)+SUMIFS([1]内部转账!$G:$G,[1]内部转账!$C:$C,"&lt;="&amp;$D4160,[1]内部转账!$E:$E,$G4160)-SUMIFS([1]内部转账!$G:$G,[1]内部转账!$C:$C,"&lt;="&amp;$D4160,[1]内部转账!$F:$F,$G4160)),"")</f>
        <v/>
      </c>
      <c r="M4160" s="64"/>
      <c r="N4160" s="69"/>
      <c r="O4160" s="64"/>
      <c r="P4160" s="64"/>
      <c r="Q4160" s="69"/>
      <c r="R4160" s="69"/>
      <c r="S4160" s="69"/>
    </row>
    <row r="4161" s="2" customFormat="1" ht="24.95" customHeight="1" spans="1:19">
      <c r="A4161" s="15"/>
      <c r="B4161" s="55"/>
      <c r="C4161" s="56"/>
      <c r="D4161" s="68"/>
      <c r="E4161" s="69"/>
      <c r="F4161" s="69"/>
      <c r="G4161" s="65"/>
      <c r="H4161" s="65"/>
      <c r="I4161" s="70"/>
      <c r="J4161" s="71"/>
      <c r="K4161" s="71"/>
      <c r="L4161" s="72" t="str">
        <f>IFERROR(IF(G4161="","",VLOOKUP($G4161,[1]基础信息!$B:$C,2,FALSE)+SUMIF(G$8:G4161,G4161,J$8:J4161)-SUMIF(G$8:G4161,G4161,K$8:K4161)+SUMIFS([1]内部转账!$G:$G,[1]内部转账!$C:$C,"&lt;="&amp;$D4161,[1]内部转账!$E:$E,$G4161)-SUMIFS([1]内部转账!$G:$G,[1]内部转账!$C:$C,"&lt;="&amp;$D4161,[1]内部转账!$F:$F,$G4161)),"")</f>
        <v/>
      </c>
      <c r="M4161" s="64"/>
      <c r="N4161" s="69"/>
      <c r="O4161" s="64"/>
      <c r="P4161" s="64"/>
      <c r="Q4161" s="69"/>
      <c r="R4161" s="69"/>
      <c r="S4161" s="69"/>
    </row>
    <row r="4162" s="2" customFormat="1" ht="24.95" customHeight="1" spans="1:19">
      <c r="A4162" s="15"/>
      <c r="B4162" s="55"/>
      <c r="C4162" s="56"/>
      <c r="D4162" s="68"/>
      <c r="E4162" s="69"/>
      <c r="F4162" s="69"/>
      <c r="G4162" s="65"/>
      <c r="H4162" s="65"/>
      <c r="I4162" s="70"/>
      <c r="J4162" s="71"/>
      <c r="K4162" s="71"/>
      <c r="L4162" s="72" t="str">
        <f>IFERROR(IF(G4162="","",VLOOKUP($G4162,[1]基础信息!$B:$C,2,FALSE)+SUMIF(G$8:G4162,G4162,J$8:J4162)-SUMIF(G$8:G4162,G4162,K$8:K4162)+SUMIFS([1]内部转账!$G:$G,[1]内部转账!$C:$C,"&lt;="&amp;$D4162,[1]内部转账!$E:$E,$G4162)-SUMIFS([1]内部转账!$G:$G,[1]内部转账!$C:$C,"&lt;="&amp;$D4162,[1]内部转账!$F:$F,$G4162)),"")</f>
        <v/>
      </c>
      <c r="M4162" s="64"/>
      <c r="N4162" s="69"/>
      <c r="O4162" s="64"/>
      <c r="P4162" s="64"/>
      <c r="Q4162" s="69"/>
      <c r="R4162" s="69"/>
      <c r="S4162" s="69"/>
    </row>
    <row r="4163" s="2" customFormat="1" ht="24.95" customHeight="1" spans="1:19">
      <c r="A4163" s="15"/>
      <c r="B4163" s="55"/>
      <c r="C4163" s="56"/>
      <c r="D4163" s="68"/>
      <c r="E4163" s="69"/>
      <c r="F4163" s="69"/>
      <c r="G4163" s="65"/>
      <c r="H4163" s="65"/>
      <c r="I4163" s="70"/>
      <c r="J4163" s="71"/>
      <c r="K4163" s="71"/>
      <c r="L4163" s="72" t="str">
        <f>IFERROR(IF(G4163="","",VLOOKUP($G4163,[1]基础信息!$B:$C,2,FALSE)+SUMIF(G$8:G4163,G4163,J$8:J4163)-SUMIF(G$8:G4163,G4163,K$8:K4163)+SUMIFS([1]内部转账!$G:$G,[1]内部转账!$C:$C,"&lt;="&amp;$D4163,[1]内部转账!$E:$E,$G4163)-SUMIFS([1]内部转账!$G:$G,[1]内部转账!$C:$C,"&lt;="&amp;$D4163,[1]内部转账!$F:$F,$G4163)),"")</f>
        <v/>
      </c>
      <c r="M4163" s="64"/>
      <c r="N4163" s="69"/>
      <c r="O4163" s="64"/>
      <c r="P4163" s="64"/>
      <c r="Q4163" s="69"/>
      <c r="R4163" s="69"/>
      <c r="S4163" s="69"/>
    </row>
    <row r="4164" s="2" customFormat="1" ht="24.95" customHeight="1" spans="1:19">
      <c r="A4164" s="15"/>
      <c r="B4164" s="55"/>
      <c r="C4164" s="56"/>
      <c r="D4164" s="68"/>
      <c r="E4164" s="69"/>
      <c r="F4164" s="69"/>
      <c r="G4164" s="65"/>
      <c r="H4164" s="65"/>
      <c r="I4164" s="70"/>
      <c r="J4164" s="71"/>
      <c r="K4164" s="71"/>
      <c r="L4164" s="72" t="str">
        <f>IFERROR(IF(G4164="","",VLOOKUP($G4164,[1]基础信息!$B:$C,2,FALSE)+SUMIF(G$8:G4164,G4164,J$8:J4164)-SUMIF(G$8:G4164,G4164,K$8:K4164)+SUMIFS([1]内部转账!$G:$G,[1]内部转账!$C:$C,"&lt;="&amp;$D4164,[1]内部转账!$E:$E,$G4164)-SUMIFS([1]内部转账!$G:$G,[1]内部转账!$C:$C,"&lt;="&amp;$D4164,[1]内部转账!$F:$F,$G4164)),"")</f>
        <v/>
      </c>
      <c r="M4164" s="64"/>
      <c r="N4164" s="69"/>
      <c r="O4164" s="64"/>
      <c r="P4164" s="64"/>
      <c r="Q4164" s="69"/>
      <c r="R4164" s="69"/>
      <c r="S4164" s="69"/>
    </row>
    <row r="4165" s="2" customFormat="1" ht="24.95" customHeight="1" spans="1:19">
      <c r="A4165" s="15"/>
      <c r="B4165" s="55"/>
      <c r="C4165" s="56"/>
      <c r="D4165" s="68"/>
      <c r="E4165" s="69"/>
      <c r="F4165" s="69"/>
      <c r="G4165" s="65"/>
      <c r="H4165" s="65"/>
      <c r="I4165" s="70"/>
      <c r="J4165" s="71"/>
      <c r="K4165" s="71"/>
      <c r="L4165" s="72" t="str">
        <f>IFERROR(IF(G4165="","",VLOOKUP($G4165,[1]基础信息!$B:$C,2,FALSE)+SUMIF(G$8:G4165,G4165,J$8:J4165)-SUMIF(G$8:G4165,G4165,K$8:K4165)+SUMIFS([1]内部转账!$G:$G,[1]内部转账!$C:$C,"&lt;="&amp;$D4165,[1]内部转账!$E:$E,$G4165)-SUMIFS([1]内部转账!$G:$G,[1]内部转账!$C:$C,"&lt;="&amp;$D4165,[1]内部转账!$F:$F,$G4165)),"")</f>
        <v/>
      </c>
      <c r="M4165" s="64"/>
      <c r="N4165" s="69"/>
      <c r="O4165" s="64"/>
      <c r="P4165" s="64"/>
      <c r="Q4165" s="69"/>
      <c r="R4165" s="69"/>
      <c r="S4165" s="69"/>
    </row>
    <row r="4166" s="2" customFormat="1" ht="24.95" customHeight="1" spans="1:19">
      <c r="A4166" s="15"/>
      <c r="B4166" s="55"/>
      <c r="C4166" s="56"/>
      <c r="D4166" s="68"/>
      <c r="E4166" s="69"/>
      <c r="F4166" s="69"/>
      <c r="G4166" s="65"/>
      <c r="H4166" s="65"/>
      <c r="I4166" s="70"/>
      <c r="J4166" s="71"/>
      <c r="K4166" s="71"/>
      <c r="L4166" s="72" t="str">
        <f>IFERROR(IF(G4166="","",VLOOKUP($G4166,[1]基础信息!$B:$C,2,FALSE)+SUMIF(G$8:G4166,G4166,J$8:J4166)-SUMIF(G$8:G4166,G4166,K$8:K4166)+SUMIFS([1]内部转账!$G:$G,[1]内部转账!$C:$C,"&lt;="&amp;$D4166,[1]内部转账!$E:$E,$G4166)-SUMIFS([1]内部转账!$G:$G,[1]内部转账!$C:$C,"&lt;="&amp;$D4166,[1]内部转账!$F:$F,$G4166)),"")</f>
        <v/>
      </c>
      <c r="M4166" s="64"/>
      <c r="N4166" s="69"/>
      <c r="O4166" s="64"/>
      <c r="P4166" s="64"/>
      <c r="Q4166" s="69"/>
      <c r="R4166" s="69"/>
      <c r="S4166" s="69"/>
    </row>
    <row r="4167" s="2" customFormat="1" ht="24.95" customHeight="1" spans="1:19">
      <c r="A4167" s="15"/>
      <c r="B4167" s="55"/>
      <c r="C4167" s="56"/>
      <c r="D4167" s="68"/>
      <c r="E4167" s="69"/>
      <c r="F4167" s="69"/>
      <c r="G4167" s="65"/>
      <c r="H4167" s="65"/>
      <c r="I4167" s="70"/>
      <c r="J4167" s="71"/>
      <c r="K4167" s="71"/>
      <c r="L4167" s="72" t="str">
        <f>IFERROR(IF(G4167="","",VLOOKUP($G4167,[1]基础信息!$B:$C,2,FALSE)+SUMIF(G$8:G4167,G4167,J$8:J4167)-SUMIF(G$8:G4167,G4167,K$8:K4167)+SUMIFS([1]内部转账!$G:$G,[1]内部转账!$C:$C,"&lt;="&amp;$D4167,[1]内部转账!$E:$E,$G4167)-SUMIFS([1]内部转账!$G:$G,[1]内部转账!$C:$C,"&lt;="&amp;$D4167,[1]内部转账!$F:$F,$G4167)),"")</f>
        <v/>
      </c>
      <c r="M4167" s="64"/>
      <c r="N4167" s="69"/>
      <c r="O4167" s="64"/>
      <c r="P4167" s="64"/>
      <c r="Q4167" s="69"/>
      <c r="R4167" s="69"/>
      <c r="S4167" s="69"/>
    </row>
    <row r="4168" s="2" customFormat="1" ht="24.95" customHeight="1" spans="1:19">
      <c r="A4168" s="15"/>
      <c r="B4168" s="55"/>
      <c r="C4168" s="56"/>
      <c r="D4168" s="68"/>
      <c r="E4168" s="69"/>
      <c r="F4168" s="69"/>
      <c r="G4168" s="65"/>
      <c r="H4168" s="65"/>
      <c r="I4168" s="70"/>
      <c r="J4168" s="71"/>
      <c r="K4168" s="71"/>
      <c r="L4168" s="72" t="str">
        <f>IFERROR(IF(G4168="","",VLOOKUP($G4168,[1]基础信息!$B:$C,2,FALSE)+SUMIF(G$8:G4168,G4168,J$8:J4168)-SUMIF(G$8:G4168,G4168,K$8:K4168)+SUMIFS([1]内部转账!$G:$G,[1]内部转账!$C:$C,"&lt;="&amp;$D4168,[1]内部转账!$E:$E,$G4168)-SUMIFS([1]内部转账!$G:$G,[1]内部转账!$C:$C,"&lt;="&amp;$D4168,[1]内部转账!$F:$F,$G4168)),"")</f>
        <v/>
      </c>
      <c r="M4168" s="64"/>
      <c r="N4168" s="69"/>
      <c r="O4168" s="64"/>
      <c r="P4168" s="64"/>
      <c r="Q4168" s="69"/>
      <c r="R4168" s="69"/>
      <c r="S4168" s="69"/>
    </row>
    <row r="4169" s="2" customFormat="1" ht="24.95" customHeight="1" spans="1:19">
      <c r="A4169" s="15"/>
      <c r="B4169" s="55"/>
      <c r="C4169" s="56"/>
      <c r="D4169" s="68"/>
      <c r="E4169" s="69"/>
      <c r="F4169" s="69"/>
      <c r="G4169" s="65"/>
      <c r="H4169" s="65"/>
      <c r="I4169" s="70"/>
      <c r="J4169" s="71"/>
      <c r="K4169" s="71"/>
      <c r="L4169" s="72" t="str">
        <f>IFERROR(IF(G4169="","",VLOOKUP($G4169,[1]基础信息!$B:$C,2,FALSE)+SUMIF(G$8:G4169,G4169,J$8:J4169)-SUMIF(G$8:G4169,G4169,K$8:K4169)+SUMIFS([1]内部转账!$G:$G,[1]内部转账!$C:$C,"&lt;="&amp;$D4169,[1]内部转账!$E:$E,$G4169)-SUMIFS([1]内部转账!$G:$G,[1]内部转账!$C:$C,"&lt;="&amp;$D4169,[1]内部转账!$F:$F,$G4169)),"")</f>
        <v/>
      </c>
      <c r="M4169" s="64"/>
      <c r="N4169" s="69"/>
      <c r="O4169" s="64"/>
      <c r="P4169" s="64"/>
      <c r="Q4169" s="69"/>
      <c r="R4169" s="69"/>
      <c r="S4169" s="69"/>
    </row>
    <row r="4170" s="2" customFormat="1" ht="24.95" customHeight="1" spans="1:19">
      <c r="A4170" s="15"/>
      <c r="B4170" s="55"/>
      <c r="C4170" s="56"/>
      <c r="D4170" s="68"/>
      <c r="E4170" s="69"/>
      <c r="F4170" s="69"/>
      <c r="G4170" s="65"/>
      <c r="H4170" s="65"/>
      <c r="I4170" s="70"/>
      <c r="J4170" s="71"/>
      <c r="K4170" s="71"/>
      <c r="L4170" s="72" t="str">
        <f>IFERROR(IF(G4170="","",VLOOKUP($G4170,[1]基础信息!$B:$C,2,FALSE)+SUMIF(G$8:G4170,G4170,J$8:J4170)-SUMIF(G$8:G4170,G4170,K$8:K4170)+SUMIFS([1]内部转账!$G:$G,[1]内部转账!$C:$C,"&lt;="&amp;$D4170,[1]内部转账!$E:$E,$G4170)-SUMIFS([1]内部转账!$G:$G,[1]内部转账!$C:$C,"&lt;="&amp;$D4170,[1]内部转账!$F:$F,$G4170)),"")</f>
        <v/>
      </c>
      <c r="M4170" s="64"/>
      <c r="N4170" s="69"/>
      <c r="O4170" s="64"/>
      <c r="P4170" s="64"/>
      <c r="Q4170" s="69"/>
      <c r="R4170" s="69"/>
      <c r="S4170" s="69"/>
    </row>
    <row r="4171" s="2" customFormat="1" ht="24.95" customHeight="1" spans="1:19">
      <c r="A4171" s="15"/>
      <c r="B4171" s="55"/>
      <c r="C4171" s="56"/>
      <c r="D4171" s="68"/>
      <c r="E4171" s="69"/>
      <c r="F4171" s="69"/>
      <c r="G4171" s="65"/>
      <c r="H4171" s="65"/>
      <c r="I4171" s="70"/>
      <c r="J4171" s="71"/>
      <c r="K4171" s="71"/>
      <c r="L4171" s="72" t="str">
        <f>IFERROR(IF(G4171="","",VLOOKUP($G4171,[1]基础信息!$B:$C,2,FALSE)+SUMIF(G$8:G4171,G4171,J$8:J4171)-SUMIF(G$8:G4171,G4171,K$8:K4171)+SUMIFS([1]内部转账!$G:$G,[1]内部转账!$C:$C,"&lt;="&amp;$D4171,[1]内部转账!$E:$E,$G4171)-SUMIFS([1]内部转账!$G:$G,[1]内部转账!$C:$C,"&lt;="&amp;$D4171,[1]内部转账!$F:$F,$G4171)),"")</f>
        <v/>
      </c>
      <c r="M4171" s="64"/>
      <c r="N4171" s="69"/>
      <c r="O4171" s="64"/>
      <c r="P4171" s="64"/>
      <c r="Q4171" s="69"/>
      <c r="R4171" s="69"/>
      <c r="S4171" s="69"/>
    </row>
    <row r="4172" s="2" customFormat="1" ht="24.95" customHeight="1" spans="1:19">
      <c r="A4172" s="15"/>
      <c r="B4172" s="55"/>
      <c r="C4172" s="56"/>
      <c r="D4172" s="68"/>
      <c r="E4172" s="69"/>
      <c r="F4172" s="69"/>
      <c r="G4172" s="65"/>
      <c r="H4172" s="65"/>
      <c r="I4172" s="70"/>
      <c r="J4172" s="71"/>
      <c r="K4172" s="71"/>
      <c r="L4172" s="72" t="str">
        <f>IFERROR(IF(G4172="","",VLOOKUP($G4172,[1]基础信息!$B:$C,2,FALSE)+SUMIF(G$8:G4172,G4172,J$8:J4172)-SUMIF(G$8:G4172,G4172,K$8:K4172)+SUMIFS([1]内部转账!$G:$G,[1]内部转账!$C:$C,"&lt;="&amp;$D4172,[1]内部转账!$E:$E,$G4172)-SUMIFS([1]内部转账!$G:$G,[1]内部转账!$C:$C,"&lt;="&amp;$D4172,[1]内部转账!$F:$F,$G4172)),"")</f>
        <v/>
      </c>
      <c r="M4172" s="64"/>
      <c r="N4172" s="69"/>
      <c r="O4172" s="64"/>
      <c r="P4172" s="64"/>
      <c r="Q4172" s="69"/>
      <c r="R4172" s="69"/>
      <c r="S4172" s="69"/>
    </row>
    <row r="4173" s="2" customFormat="1" ht="24.95" customHeight="1" spans="1:19">
      <c r="A4173" s="15"/>
      <c r="B4173" s="55"/>
      <c r="C4173" s="56"/>
      <c r="D4173" s="68"/>
      <c r="E4173" s="69"/>
      <c r="F4173" s="69"/>
      <c r="G4173" s="65"/>
      <c r="H4173" s="65"/>
      <c r="I4173" s="70"/>
      <c r="J4173" s="71"/>
      <c r="K4173" s="71"/>
      <c r="L4173" s="72" t="str">
        <f>IFERROR(IF(G4173="","",VLOOKUP($G4173,[1]基础信息!$B:$C,2,FALSE)+SUMIF(G$8:G4173,G4173,J$8:J4173)-SUMIF(G$8:G4173,G4173,K$8:K4173)+SUMIFS([1]内部转账!$G:$G,[1]内部转账!$C:$C,"&lt;="&amp;$D4173,[1]内部转账!$E:$E,$G4173)-SUMIFS([1]内部转账!$G:$G,[1]内部转账!$C:$C,"&lt;="&amp;$D4173,[1]内部转账!$F:$F,$G4173)),"")</f>
        <v/>
      </c>
      <c r="M4173" s="64"/>
      <c r="N4173" s="69"/>
      <c r="O4173" s="64"/>
      <c r="P4173" s="64"/>
      <c r="Q4173" s="69"/>
      <c r="R4173" s="69"/>
      <c r="S4173" s="69"/>
    </row>
    <row r="4174" s="2" customFormat="1" ht="24.95" customHeight="1" spans="1:19">
      <c r="A4174" s="15"/>
      <c r="B4174" s="55"/>
      <c r="C4174" s="56"/>
      <c r="D4174" s="68"/>
      <c r="E4174" s="69"/>
      <c r="F4174" s="69"/>
      <c r="G4174" s="65"/>
      <c r="H4174" s="65"/>
      <c r="I4174" s="70"/>
      <c r="J4174" s="71"/>
      <c r="K4174" s="71"/>
      <c r="L4174" s="72" t="str">
        <f>IFERROR(IF(G4174="","",VLOOKUP($G4174,[1]基础信息!$B:$C,2,FALSE)+SUMIF(G$8:G4174,G4174,J$8:J4174)-SUMIF(G$8:G4174,G4174,K$8:K4174)+SUMIFS([1]内部转账!$G:$G,[1]内部转账!$C:$C,"&lt;="&amp;$D4174,[1]内部转账!$E:$E,$G4174)-SUMIFS([1]内部转账!$G:$G,[1]内部转账!$C:$C,"&lt;="&amp;$D4174,[1]内部转账!$F:$F,$G4174)),"")</f>
        <v/>
      </c>
      <c r="M4174" s="64"/>
      <c r="N4174" s="69"/>
      <c r="O4174" s="64"/>
      <c r="P4174" s="64"/>
      <c r="Q4174" s="69"/>
      <c r="R4174" s="69"/>
      <c r="S4174" s="69"/>
    </row>
    <row r="4175" s="2" customFormat="1" ht="24.95" customHeight="1" spans="1:19">
      <c r="A4175" s="15"/>
      <c r="B4175" s="55"/>
      <c r="C4175" s="56"/>
      <c r="D4175" s="68"/>
      <c r="E4175" s="69"/>
      <c r="F4175" s="69"/>
      <c r="G4175" s="65"/>
      <c r="H4175" s="65"/>
      <c r="I4175" s="70"/>
      <c r="J4175" s="71"/>
      <c r="K4175" s="71"/>
      <c r="L4175" s="72" t="str">
        <f>IFERROR(IF(G4175="","",VLOOKUP($G4175,[1]基础信息!$B:$C,2,FALSE)+SUMIF(G$8:G4175,G4175,J$8:J4175)-SUMIF(G$8:G4175,G4175,K$8:K4175)+SUMIFS([1]内部转账!$G:$G,[1]内部转账!$C:$C,"&lt;="&amp;$D4175,[1]内部转账!$E:$E,$G4175)-SUMIFS([1]内部转账!$G:$G,[1]内部转账!$C:$C,"&lt;="&amp;$D4175,[1]内部转账!$F:$F,$G4175)),"")</f>
        <v/>
      </c>
      <c r="M4175" s="64"/>
      <c r="N4175" s="69"/>
      <c r="O4175" s="64"/>
      <c r="P4175" s="64"/>
      <c r="Q4175" s="69"/>
      <c r="R4175" s="69"/>
      <c r="S4175" s="69"/>
    </row>
    <row r="4176" s="2" customFormat="1" ht="24.95" customHeight="1" spans="1:19">
      <c r="A4176" s="15"/>
      <c r="B4176" s="55"/>
      <c r="C4176" s="56"/>
      <c r="D4176" s="68"/>
      <c r="E4176" s="69"/>
      <c r="F4176" s="69"/>
      <c r="G4176" s="65"/>
      <c r="H4176" s="65"/>
      <c r="I4176" s="70"/>
      <c r="J4176" s="71"/>
      <c r="K4176" s="71"/>
      <c r="L4176" s="72" t="str">
        <f>IFERROR(IF(G4176="","",VLOOKUP($G4176,[1]基础信息!$B:$C,2,FALSE)+SUMIF(G$8:G4176,G4176,J$8:J4176)-SUMIF(G$8:G4176,G4176,K$8:K4176)+SUMIFS([1]内部转账!$G:$G,[1]内部转账!$C:$C,"&lt;="&amp;$D4176,[1]内部转账!$E:$E,$G4176)-SUMIFS([1]内部转账!$G:$G,[1]内部转账!$C:$C,"&lt;="&amp;$D4176,[1]内部转账!$F:$F,$G4176)),"")</f>
        <v/>
      </c>
      <c r="M4176" s="64"/>
      <c r="N4176" s="69"/>
      <c r="O4176" s="64"/>
      <c r="P4176" s="64"/>
      <c r="Q4176" s="69"/>
      <c r="R4176" s="69"/>
      <c r="S4176" s="69"/>
    </row>
    <row r="4177" s="2" customFormat="1" ht="24.95" customHeight="1" spans="1:19">
      <c r="A4177" s="15"/>
      <c r="B4177" s="55"/>
      <c r="C4177" s="56"/>
      <c r="D4177" s="68"/>
      <c r="E4177" s="69"/>
      <c r="F4177" s="69"/>
      <c r="G4177" s="65"/>
      <c r="H4177" s="65"/>
      <c r="I4177" s="70"/>
      <c r="J4177" s="71"/>
      <c r="K4177" s="71"/>
      <c r="L4177" s="72" t="str">
        <f>IFERROR(IF(G4177="","",VLOOKUP($G4177,[1]基础信息!$B:$C,2,FALSE)+SUMIF(G$8:G4177,G4177,J$8:J4177)-SUMIF(G$8:G4177,G4177,K$8:K4177)+SUMIFS([1]内部转账!$G:$G,[1]内部转账!$C:$C,"&lt;="&amp;$D4177,[1]内部转账!$E:$E,$G4177)-SUMIFS([1]内部转账!$G:$G,[1]内部转账!$C:$C,"&lt;="&amp;$D4177,[1]内部转账!$F:$F,$G4177)),"")</f>
        <v/>
      </c>
      <c r="M4177" s="64"/>
      <c r="N4177" s="69"/>
      <c r="O4177" s="64"/>
      <c r="P4177" s="64"/>
      <c r="Q4177" s="69"/>
      <c r="R4177" s="69"/>
      <c r="S4177" s="69"/>
    </row>
    <row r="4178" s="2" customFormat="1" ht="24.95" customHeight="1" spans="1:19">
      <c r="A4178" s="15"/>
      <c r="B4178" s="55"/>
      <c r="C4178" s="56"/>
      <c r="D4178" s="68"/>
      <c r="E4178" s="69"/>
      <c r="F4178" s="69"/>
      <c r="G4178" s="65"/>
      <c r="H4178" s="65"/>
      <c r="I4178" s="70"/>
      <c r="J4178" s="71"/>
      <c r="K4178" s="71"/>
      <c r="L4178" s="72" t="str">
        <f>IFERROR(IF(G4178="","",VLOOKUP($G4178,[1]基础信息!$B:$C,2,FALSE)+SUMIF(G$8:G4178,G4178,J$8:J4178)-SUMIF(G$8:G4178,G4178,K$8:K4178)+SUMIFS([1]内部转账!$G:$G,[1]内部转账!$C:$C,"&lt;="&amp;$D4178,[1]内部转账!$E:$E,$G4178)-SUMIFS([1]内部转账!$G:$G,[1]内部转账!$C:$C,"&lt;="&amp;$D4178,[1]内部转账!$F:$F,$G4178)),"")</f>
        <v/>
      </c>
      <c r="M4178" s="64"/>
      <c r="N4178" s="69"/>
      <c r="O4178" s="64"/>
      <c r="P4178" s="64"/>
      <c r="Q4178" s="69"/>
      <c r="R4178" s="69"/>
      <c r="S4178" s="69"/>
    </row>
    <row r="4179" s="2" customFormat="1" ht="24.95" customHeight="1" spans="1:19">
      <c r="A4179" s="15"/>
      <c r="B4179" s="55"/>
      <c r="C4179" s="56"/>
      <c r="D4179" s="68"/>
      <c r="E4179" s="69"/>
      <c r="F4179" s="69"/>
      <c r="G4179" s="65"/>
      <c r="H4179" s="65"/>
      <c r="I4179" s="70"/>
      <c r="J4179" s="71"/>
      <c r="K4179" s="71"/>
      <c r="L4179" s="72" t="str">
        <f>IFERROR(IF(G4179="","",VLOOKUP($G4179,[1]基础信息!$B:$C,2,FALSE)+SUMIF(G$8:G4179,G4179,J$8:J4179)-SUMIF(G$8:G4179,G4179,K$8:K4179)+SUMIFS([1]内部转账!$G:$G,[1]内部转账!$C:$C,"&lt;="&amp;$D4179,[1]内部转账!$E:$E,$G4179)-SUMIFS([1]内部转账!$G:$G,[1]内部转账!$C:$C,"&lt;="&amp;$D4179,[1]内部转账!$F:$F,$G4179)),"")</f>
        <v/>
      </c>
      <c r="M4179" s="64"/>
      <c r="N4179" s="69"/>
      <c r="O4179" s="64"/>
      <c r="P4179" s="64"/>
      <c r="Q4179" s="69"/>
      <c r="R4179" s="69"/>
      <c r="S4179" s="69"/>
    </row>
    <row r="4180" s="2" customFormat="1" ht="24.95" customHeight="1" spans="1:19">
      <c r="A4180" s="15"/>
      <c r="B4180" s="55"/>
      <c r="C4180" s="56"/>
      <c r="D4180" s="68"/>
      <c r="E4180" s="69"/>
      <c r="F4180" s="69"/>
      <c r="G4180" s="65"/>
      <c r="H4180" s="65"/>
      <c r="I4180" s="70"/>
      <c r="J4180" s="71"/>
      <c r="K4180" s="71"/>
      <c r="L4180" s="72" t="str">
        <f>IFERROR(IF(G4180="","",VLOOKUP($G4180,[1]基础信息!$B:$C,2,FALSE)+SUMIF(G$8:G4180,G4180,J$8:J4180)-SUMIF(G$8:G4180,G4180,K$8:K4180)+SUMIFS([1]内部转账!$G:$G,[1]内部转账!$C:$C,"&lt;="&amp;$D4180,[1]内部转账!$E:$E,$G4180)-SUMIFS([1]内部转账!$G:$G,[1]内部转账!$C:$C,"&lt;="&amp;$D4180,[1]内部转账!$F:$F,$G4180)),"")</f>
        <v/>
      </c>
      <c r="M4180" s="64"/>
      <c r="N4180" s="69"/>
      <c r="O4180" s="64"/>
      <c r="P4180" s="64"/>
      <c r="Q4180" s="69"/>
      <c r="R4180" s="69"/>
      <c r="S4180" s="69"/>
    </row>
    <row r="4181" s="2" customFormat="1" ht="24.95" customHeight="1" spans="1:19">
      <c r="A4181" s="15"/>
      <c r="B4181" s="55"/>
      <c r="C4181" s="56"/>
      <c r="D4181" s="68"/>
      <c r="E4181" s="69"/>
      <c r="F4181" s="69"/>
      <c r="G4181" s="65"/>
      <c r="H4181" s="65"/>
      <c r="I4181" s="70"/>
      <c r="J4181" s="71"/>
      <c r="K4181" s="71"/>
      <c r="L4181" s="72" t="str">
        <f>IFERROR(IF(G4181="","",VLOOKUP($G4181,[1]基础信息!$B:$C,2,FALSE)+SUMIF(G$8:G4181,G4181,J$8:J4181)-SUMIF(G$8:G4181,G4181,K$8:K4181)+SUMIFS([1]内部转账!$G:$G,[1]内部转账!$C:$C,"&lt;="&amp;$D4181,[1]内部转账!$E:$E,$G4181)-SUMIFS([1]内部转账!$G:$G,[1]内部转账!$C:$C,"&lt;="&amp;$D4181,[1]内部转账!$F:$F,$G4181)),"")</f>
        <v/>
      </c>
      <c r="M4181" s="64"/>
      <c r="N4181" s="69"/>
      <c r="O4181" s="64"/>
      <c r="P4181" s="64"/>
      <c r="Q4181" s="69"/>
      <c r="R4181" s="69"/>
      <c r="S4181" s="69"/>
    </row>
    <row r="4182" s="2" customFormat="1" ht="24.95" customHeight="1" spans="1:19">
      <c r="A4182" s="15"/>
      <c r="B4182" s="55"/>
      <c r="C4182" s="56"/>
      <c r="D4182" s="68"/>
      <c r="E4182" s="69"/>
      <c r="F4182" s="69"/>
      <c r="G4182" s="65"/>
      <c r="H4182" s="65"/>
      <c r="I4182" s="70"/>
      <c r="J4182" s="71"/>
      <c r="K4182" s="71"/>
      <c r="L4182" s="72" t="str">
        <f>IFERROR(IF(G4182="","",VLOOKUP($G4182,[1]基础信息!$B:$C,2,FALSE)+SUMIF(G$8:G4182,G4182,J$8:J4182)-SUMIF(G$8:G4182,G4182,K$8:K4182)+SUMIFS([1]内部转账!$G:$G,[1]内部转账!$C:$C,"&lt;="&amp;$D4182,[1]内部转账!$E:$E,$G4182)-SUMIFS([1]内部转账!$G:$G,[1]内部转账!$C:$C,"&lt;="&amp;$D4182,[1]内部转账!$F:$F,$G4182)),"")</f>
        <v/>
      </c>
      <c r="M4182" s="64"/>
      <c r="N4182" s="69"/>
      <c r="O4182" s="64"/>
      <c r="P4182" s="64"/>
      <c r="Q4182" s="69"/>
      <c r="R4182" s="69"/>
      <c r="S4182" s="69"/>
    </row>
    <row r="4183" s="2" customFormat="1" ht="24.95" customHeight="1" spans="1:19">
      <c r="A4183" s="15"/>
      <c r="B4183" s="55"/>
      <c r="C4183" s="56"/>
      <c r="D4183" s="68"/>
      <c r="E4183" s="69"/>
      <c r="F4183" s="69"/>
      <c r="G4183" s="65"/>
      <c r="H4183" s="65"/>
      <c r="I4183" s="70"/>
      <c r="J4183" s="71"/>
      <c r="K4183" s="71"/>
      <c r="L4183" s="72" t="str">
        <f>IFERROR(IF(G4183="","",VLOOKUP($G4183,[1]基础信息!$B:$C,2,FALSE)+SUMIF(G$8:G4183,G4183,J$8:J4183)-SUMIF(G$8:G4183,G4183,K$8:K4183)+SUMIFS([1]内部转账!$G:$G,[1]内部转账!$C:$C,"&lt;="&amp;$D4183,[1]内部转账!$E:$E,$G4183)-SUMIFS([1]内部转账!$G:$G,[1]内部转账!$C:$C,"&lt;="&amp;$D4183,[1]内部转账!$F:$F,$G4183)),"")</f>
        <v/>
      </c>
      <c r="M4183" s="64"/>
      <c r="N4183" s="69"/>
      <c r="O4183" s="64"/>
      <c r="P4183" s="64"/>
      <c r="Q4183" s="69"/>
      <c r="R4183" s="69"/>
      <c r="S4183" s="69"/>
    </row>
    <row r="4184" s="2" customFormat="1" ht="24.95" customHeight="1" spans="1:19">
      <c r="A4184" s="15"/>
      <c r="B4184" s="55"/>
      <c r="C4184" s="56"/>
      <c r="D4184" s="68"/>
      <c r="E4184" s="69"/>
      <c r="F4184" s="69"/>
      <c r="G4184" s="65"/>
      <c r="H4184" s="65"/>
      <c r="I4184" s="70"/>
      <c r="J4184" s="71"/>
      <c r="K4184" s="71"/>
      <c r="L4184" s="72" t="str">
        <f>IFERROR(IF(G4184="","",VLOOKUP($G4184,[1]基础信息!$B:$C,2,FALSE)+SUMIF(G$8:G4184,G4184,J$8:J4184)-SUMIF(G$8:G4184,G4184,K$8:K4184)+SUMIFS([1]内部转账!$G:$G,[1]内部转账!$C:$C,"&lt;="&amp;$D4184,[1]内部转账!$E:$E,$G4184)-SUMIFS([1]内部转账!$G:$G,[1]内部转账!$C:$C,"&lt;="&amp;$D4184,[1]内部转账!$F:$F,$G4184)),"")</f>
        <v/>
      </c>
      <c r="M4184" s="64"/>
      <c r="N4184" s="69"/>
      <c r="O4184" s="64"/>
      <c r="P4184" s="64"/>
      <c r="Q4184" s="69"/>
      <c r="R4184" s="69"/>
      <c r="S4184" s="69"/>
    </row>
    <row r="4185" s="2" customFormat="1" ht="24.95" customHeight="1" spans="1:19">
      <c r="A4185" s="15"/>
      <c r="B4185" s="55"/>
      <c r="C4185" s="56"/>
      <c r="D4185" s="68"/>
      <c r="E4185" s="69"/>
      <c r="F4185" s="69"/>
      <c r="G4185" s="65"/>
      <c r="H4185" s="65"/>
      <c r="I4185" s="70"/>
      <c r="J4185" s="71"/>
      <c r="K4185" s="71"/>
      <c r="L4185" s="72" t="str">
        <f>IFERROR(IF(G4185="","",VLOOKUP($G4185,[1]基础信息!$B:$C,2,FALSE)+SUMIF(G$8:G4185,G4185,J$8:J4185)-SUMIF(G$8:G4185,G4185,K$8:K4185)+SUMIFS([1]内部转账!$G:$G,[1]内部转账!$C:$C,"&lt;="&amp;$D4185,[1]内部转账!$E:$E,$G4185)-SUMIFS([1]内部转账!$G:$G,[1]内部转账!$C:$C,"&lt;="&amp;$D4185,[1]内部转账!$F:$F,$G4185)),"")</f>
        <v/>
      </c>
      <c r="M4185" s="64"/>
      <c r="N4185" s="69"/>
      <c r="O4185" s="64"/>
      <c r="P4185" s="64"/>
      <c r="Q4185" s="69"/>
      <c r="R4185" s="69"/>
      <c r="S4185" s="69"/>
    </row>
    <row r="4186" s="2" customFormat="1" ht="24.95" customHeight="1" spans="1:19">
      <c r="A4186" s="15"/>
      <c r="B4186" s="55"/>
      <c r="C4186" s="56"/>
      <c r="D4186" s="68"/>
      <c r="E4186" s="69"/>
      <c r="F4186" s="69"/>
      <c r="G4186" s="65"/>
      <c r="H4186" s="65"/>
      <c r="I4186" s="70"/>
      <c r="J4186" s="71"/>
      <c r="K4186" s="71"/>
      <c r="L4186" s="72" t="str">
        <f>IFERROR(IF(G4186="","",VLOOKUP($G4186,[1]基础信息!$B:$C,2,FALSE)+SUMIF(G$8:G4186,G4186,J$8:J4186)-SUMIF(G$8:G4186,G4186,K$8:K4186)+SUMIFS([1]内部转账!$G:$G,[1]内部转账!$C:$C,"&lt;="&amp;$D4186,[1]内部转账!$E:$E,$G4186)-SUMIFS([1]内部转账!$G:$G,[1]内部转账!$C:$C,"&lt;="&amp;$D4186,[1]内部转账!$F:$F,$G4186)),"")</f>
        <v/>
      </c>
      <c r="M4186" s="64"/>
      <c r="N4186" s="69"/>
      <c r="O4186" s="64"/>
      <c r="P4186" s="64"/>
      <c r="Q4186" s="69"/>
      <c r="R4186" s="69"/>
      <c r="S4186" s="69"/>
    </row>
    <row r="4187" s="2" customFormat="1" ht="24.95" customHeight="1" spans="1:19">
      <c r="A4187" s="15"/>
      <c r="B4187" s="55"/>
      <c r="C4187" s="56"/>
      <c r="D4187" s="68"/>
      <c r="E4187" s="69"/>
      <c r="F4187" s="69"/>
      <c r="G4187" s="65"/>
      <c r="H4187" s="65"/>
      <c r="I4187" s="70"/>
      <c r="J4187" s="71"/>
      <c r="K4187" s="71"/>
      <c r="L4187" s="72" t="str">
        <f>IFERROR(IF(G4187="","",VLOOKUP($G4187,[1]基础信息!$B:$C,2,FALSE)+SUMIF(G$8:G4187,G4187,J$8:J4187)-SUMIF(G$8:G4187,G4187,K$8:K4187)+SUMIFS([1]内部转账!$G:$G,[1]内部转账!$C:$C,"&lt;="&amp;$D4187,[1]内部转账!$E:$E,$G4187)-SUMIFS([1]内部转账!$G:$G,[1]内部转账!$C:$C,"&lt;="&amp;$D4187,[1]内部转账!$F:$F,$G4187)),"")</f>
        <v/>
      </c>
      <c r="M4187" s="64"/>
      <c r="N4187" s="69"/>
      <c r="O4187" s="64"/>
      <c r="P4187" s="64"/>
      <c r="Q4187" s="69"/>
      <c r="R4187" s="69"/>
      <c r="S4187" s="69"/>
    </row>
    <row r="4188" s="2" customFormat="1" ht="24.95" customHeight="1" spans="1:19">
      <c r="A4188" s="15"/>
      <c r="B4188" s="55"/>
      <c r="C4188" s="56"/>
      <c r="D4188" s="68"/>
      <c r="E4188" s="69"/>
      <c r="F4188" s="69"/>
      <c r="G4188" s="65"/>
      <c r="H4188" s="65"/>
      <c r="I4188" s="70"/>
      <c r="J4188" s="71"/>
      <c r="K4188" s="71"/>
      <c r="L4188" s="72" t="str">
        <f>IFERROR(IF(G4188="","",VLOOKUP($G4188,[1]基础信息!$B:$C,2,FALSE)+SUMIF(G$8:G4188,G4188,J$8:J4188)-SUMIF(G$8:G4188,G4188,K$8:K4188)+SUMIFS([1]内部转账!$G:$G,[1]内部转账!$C:$C,"&lt;="&amp;$D4188,[1]内部转账!$E:$E,$G4188)-SUMIFS([1]内部转账!$G:$G,[1]内部转账!$C:$C,"&lt;="&amp;$D4188,[1]内部转账!$F:$F,$G4188)),"")</f>
        <v/>
      </c>
      <c r="M4188" s="64"/>
      <c r="N4188" s="69"/>
      <c r="O4188" s="64"/>
      <c r="P4188" s="64"/>
      <c r="Q4188" s="69"/>
      <c r="R4188" s="69"/>
      <c r="S4188" s="69"/>
    </row>
    <row r="4189" s="2" customFormat="1" ht="24.95" customHeight="1" spans="1:19">
      <c r="A4189" s="15"/>
      <c r="B4189" s="55"/>
      <c r="C4189" s="56"/>
      <c r="D4189" s="68"/>
      <c r="E4189" s="69"/>
      <c r="F4189" s="69"/>
      <c r="G4189" s="65"/>
      <c r="H4189" s="65"/>
      <c r="I4189" s="70"/>
      <c r="J4189" s="71"/>
      <c r="K4189" s="71"/>
      <c r="L4189" s="72" t="str">
        <f>IFERROR(IF(G4189="","",VLOOKUP($G4189,[1]基础信息!$B:$C,2,FALSE)+SUMIF(G$8:G4189,G4189,J$8:J4189)-SUMIF(G$8:G4189,G4189,K$8:K4189)+SUMIFS([1]内部转账!$G:$G,[1]内部转账!$C:$C,"&lt;="&amp;$D4189,[1]内部转账!$E:$E,$G4189)-SUMIFS([1]内部转账!$G:$G,[1]内部转账!$C:$C,"&lt;="&amp;$D4189,[1]内部转账!$F:$F,$G4189)),"")</f>
        <v/>
      </c>
      <c r="M4189" s="64"/>
      <c r="N4189" s="69"/>
      <c r="O4189" s="64"/>
      <c r="P4189" s="64"/>
      <c r="Q4189" s="69"/>
      <c r="R4189" s="69"/>
      <c r="S4189" s="69"/>
    </row>
    <row r="4190" s="2" customFormat="1" ht="24.95" customHeight="1" spans="1:19">
      <c r="A4190" s="15"/>
      <c r="B4190" s="55"/>
      <c r="C4190" s="56"/>
      <c r="D4190" s="68"/>
      <c r="E4190" s="69"/>
      <c r="F4190" s="69"/>
      <c r="G4190" s="65"/>
      <c r="H4190" s="65"/>
      <c r="I4190" s="70"/>
      <c r="J4190" s="71"/>
      <c r="K4190" s="71"/>
      <c r="L4190" s="72" t="str">
        <f>IFERROR(IF(G4190="","",VLOOKUP($G4190,[1]基础信息!$B:$C,2,FALSE)+SUMIF(G$8:G4190,G4190,J$8:J4190)-SUMIF(G$8:G4190,G4190,K$8:K4190)+SUMIFS([1]内部转账!$G:$G,[1]内部转账!$C:$C,"&lt;="&amp;$D4190,[1]内部转账!$E:$E,$G4190)-SUMIFS([1]内部转账!$G:$G,[1]内部转账!$C:$C,"&lt;="&amp;$D4190,[1]内部转账!$F:$F,$G4190)),"")</f>
        <v/>
      </c>
      <c r="M4190" s="64"/>
      <c r="N4190" s="69"/>
      <c r="O4190" s="64"/>
      <c r="P4190" s="64"/>
      <c r="Q4190" s="69"/>
      <c r="R4190" s="69"/>
      <c r="S4190" s="69"/>
    </row>
    <row r="4191" s="2" customFormat="1" ht="24.95" customHeight="1" spans="1:19">
      <c r="A4191" s="15"/>
      <c r="B4191" s="55"/>
      <c r="C4191" s="56"/>
      <c r="D4191" s="68"/>
      <c r="E4191" s="69"/>
      <c r="F4191" s="69"/>
      <c r="G4191" s="65"/>
      <c r="H4191" s="65"/>
      <c r="I4191" s="70"/>
      <c r="J4191" s="71"/>
      <c r="K4191" s="71"/>
      <c r="L4191" s="72" t="str">
        <f>IFERROR(IF(G4191="","",VLOOKUP($G4191,[1]基础信息!$B:$C,2,FALSE)+SUMIF(G$8:G4191,G4191,J$8:J4191)-SUMIF(G$8:G4191,G4191,K$8:K4191)+SUMIFS([1]内部转账!$G:$G,[1]内部转账!$C:$C,"&lt;="&amp;$D4191,[1]内部转账!$E:$E,$G4191)-SUMIFS([1]内部转账!$G:$G,[1]内部转账!$C:$C,"&lt;="&amp;$D4191,[1]内部转账!$F:$F,$G4191)),"")</f>
        <v/>
      </c>
      <c r="M4191" s="64"/>
      <c r="N4191" s="69"/>
      <c r="O4191" s="64"/>
      <c r="P4191" s="64"/>
      <c r="Q4191" s="69"/>
      <c r="R4191" s="69"/>
      <c r="S4191" s="69"/>
    </row>
    <row r="4192" s="2" customFormat="1" ht="24.95" customHeight="1" spans="1:19">
      <c r="A4192" s="15"/>
      <c r="B4192" s="55"/>
      <c r="C4192" s="56"/>
      <c r="D4192" s="68"/>
      <c r="E4192" s="69"/>
      <c r="F4192" s="69"/>
      <c r="G4192" s="65"/>
      <c r="H4192" s="65"/>
      <c r="I4192" s="70"/>
      <c r="J4192" s="71"/>
      <c r="K4192" s="71"/>
      <c r="L4192" s="72" t="str">
        <f>IFERROR(IF(G4192="","",VLOOKUP($G4192,[1]基础信息!$B:$C,2,FALSE)+SUMIF(G$8:G4192,G4192,J$8:J4192)-SUMIF(G$8:G4192,G4192,K$8:K4192)+SUMIFS([1]内部转账!$G:$G,[1]内部转账!$C:$C,"&lt;="&amp;$D4192,[1]内部转账!$E:$E,$G4192)-SUMIFS([1]内部转账!$G:$G,[1]内部转账!$C:$C,"&lt;="&amp;$D4192,[1]内部转账!$F:$F,$G4192)),"")</f>
        <v/>
      </c>
      <c r="M4192" s="64"/>
      <c r="N4192" s="69"/>
      <c r="O4192" s="64"/>
      <c r="P4192" s="64"/>
      <c r="Q4192" s="69"/>
      <c r="R4192" s="69"/>
      <c r="S4192" s="69"/>
    </row>
    <row r="4193" s="2" customFormat="1" ht="24.95" customHeight="1" spans="1:19">
      <c r="A4193" s="15"/>
      <c r="B4193" s="55"/>
      <c r="C4193" s="56"/>
      <c r="D4193" s="68"/>
      <c r="E4193" s="69"/>
      <c r="F4193" s="69"/>
      <c r="G4193" s="65"/>
      <c r="H4193" s="65"/>
      <c r="I4193" s="70"/>
      <c r="J4193" s="71"/>
      <c r="K4193" s="71"/>
      <c r="L4193" s="72" t="str">
        <f>IFERROR(IF(G4193="","",VLOOKUP($G4193,[1]基础信息!$B:$C,2,FALSE)+SUMIF(G$8:G4193,G4193,J$8:J4193)-SUMIF(G$8:G4193,G4193,K$8:K4193)+SUMIFS([1]内部转账!$G:$G,[1]内部转账!$C:$C,"&lt;="&amp;$D4193,[1]内部转账!$E:$E,$G4193)-SUMIFS([1]内部转账!$G:$G,[1]内部转账!$C:$C,"&lt;="&amp;$D4193,[1]内部转账!$F:$F,$G4193)),"")</f>
        <v/>
      </c>
      <c r="M4193" s="64"/>
      <c r="N4193" s="69"/>
      <c r="O4193" s="64"/>
      <c r="P4193" s="64"/>
      <c r="Q4193" s="69"/>
      <c r="R4193" s="69"/>
      <c r="S4193" s="69"/>
    </row>
    <row r="4194" s="2" customFormat="1" ht="24.95" customHeight="1" spans="1:19">
      <c r="A4194" s="15"/>
      <c r="B4194" s="55"/>
      <c r="C4194" s="56"/>
      <c r="D4194" s="68"/>
      <c r="E4194" s="69"/>
      <c r="F4194" s="69"/>
      <c r="G4194" s="65"/>
      <c r="H4194" s="65"/>
      <c r="I4194" s="70"/>
      <c r="J4194" s="71"/>
      <c r="K4194" s="71"/>
      <c r="L4194" s="72" t="str">
        <f>IFERROR(IF(G4194="","",VLOOKUP($G4194,[1]基础信息!$B:$C,2,FALSE)+SUMIF(G$8:G4194,G4194,J$8:J4194)-SUMIF(G$8:G4194,G4194,K$8:K4194)+SUMIFS([1]内部转账!$G:$G,[1]内部转账!$C:$C,"&lt;="&amp;$D4194,[1]内部转账!$E:$E,$G4194)-SUMIFS([1]内部转账!$G:$G,[1]内部转账!$C:$C,"&lt;="&amp;$D4194,[1]内部转账!$F:$F,$G4194)),"")</f>
        <v/>
      </c>
      <c r="M4194" s="64"/>
      <c r="N4194" s="69"/>
      <c r="O4194" s="64"/>
      <c r="P4194" s="64"/>
      <c r="Q4194" s="69"/>
      <c r="R4194" s="69"/>
      <c r="S4194" s="69"/>
    </row>
    <row r="4195" s="2" customFormat="1" ht="24.95" customHeight="1" spans="1:19">
      <c r="A4195" s="15"/>
      <c r="B4195" s="55"/>
      <c r="C4195" s="56"/>
      <c r="D4195" s="68"/>
      <c r="E4195" s="69"/>
      <c r="F4195" s="69"/>
      <c r="G4195" s="65"/>
      <c r="H4195" s="65"/>
      <c r="I4195" s="70"/>
      <c r="J4195" s="71"/>
      <c r="K4195" s="71"/>
      <c r="L4195" s="72" t="str">
        <f>IFERROR(IF(G4195="","",VLOOKUP($G4195,[1]基础信息!$B:$C,2,FALSE)+SUMIF(G$8:G4195,G4195,J$8:J4195)-SUMIF(G$8:G4195,G4195,K$8:K4195)+SUMIFS([1]内部转账!$G:$G,[1]内部转账!$C:$C,"&lt;="&amp;$D4195,[1]内部转账!$E:$E,$G4195)-SUMIFS([1]内部转账!$G:$G,[1]内部转账!$C:$C,"&lt;="&amp;$D4195,[1]内部转账!$F:$F,$G4195)),"")</f>
        <v/>
      </c>
      <c r="M4195" s="64"/>
      <c r="N4195" s="69"/>
      <c r="O4195" s="64"/>
      <c r="P4195" s="64"/>
      <c r="Q4195" s="69"/>
      <c r="R4195" s="69"/>
      <c r="S4195" s="69"/>
    </row>
    <row r="4196" s="2" customFormat="1" ht="24.95" customHeight="1" spans="1:19">
      <c r="A4196" s="15"/>
      <c r="B4196" s="55"/>
      <c r="C4196" s="56"/>
      <c r="D4196" s="68"/>
      <c r="E4196" s="69"/>
      <c r="F4196" s="69"/>
      <c r="G4196" s="65"/>
      <c r="H4196" s="65"/>
      <c r="I4196" s="70"/>
      <c r="J4196" s="71"/>
      <c r="K4196" s="71"/>
      <c r="L4196" s="72" t="str">
        <f>IFERROR(IF(G4196="","",VLOOKUP($G4196,[1]基础信息!$B:$C,2,FALSE)+SUMIF(G$8:G4196,G4196,J$8:J4196)-SUMIF(G$8:G4196,G4196,K$8:K4196)+SUMIFS([1]内部转账!$G:$G,[1]内部转账!$C:$C,"&lt;="&amp;$D4196,[1]内部转账!$E:$E,$G4196)-SUMIFS([1]内部转账!$G:$G,[1]内部转账!$C:$C,"&lt;="&amp;$D4196,[1]内部转账!$F:$F,$G4196)),"")</f>
        <v/>
      </c>
      <c r="M4196" s="64"/>
      <c r="N4196" s="69"/>
      <c r="O4196" s="64"/>
      <c r="P4196" s="64"/>
      <c r="Q4196" s="69"/>
      <c r="R4196" s="69"/>
      <c r="S4196" s="69"/>
    </row>
    <row r="4197" s="2" customFormat="1" ht="24.95" customHeight="1" spans="1:19">
      <c r="A4197" s="15"/>
      <c r="B4197" s="55"/>
      <c r="C4197" s="56"/>
      <c r="D4197" s="68"/>
      <c r="E4197" s="69"/>
      <c r="F4197" s="69"/>
      <c r="G4197" s="65"/>
      <c r="H4197" s="65"/>
      <c r="I4197" s="70"/>
      <c r="J4197" s="71"/>
      <c r="K4197" s="71"/>
      <c r="L4197" s="72" t="str">
        <f>IFERROR(IF(G4197="","",VLOOKUP($G4197,[1]基础信息!$B:$C,2,FALSE)+SUMIF(G$8:G4197,G4197,J$8:J4197)-SUMIF(G$8:G4197,G4197,K$8:K4197)+SUMIFS([1]内部转账!$G:$G,[1]内部转账!$C:$C,"&lt;="&amp;$D4197,[1]内部转账!$E:$E,$G4197)-SUMIFS([1]内部转账!$G:$G,[1]内部转账!$C:$C,"&lt;="&amp;$D4197,[1]内部转账!$F:$F,$G4197)),"")</f>
        <v/>
      </c>
      <c r="M4197" s="64"/>
      <c r="N4197" s="69"/>
      <c r="O4197" s="64"/>
      <c r="P4197" s="64"/>
      <c r="Q4197" s="69"/>
      <c r="R4197" s="69"/>
      <c r="S4197" s="69"/>
    </row>
    <row r="4198" s="2" customFormat="1" ht="24.95" customHeight="1" spans="1:19">
      <c r="A4198" s="15"/>
      <c r="B4198" s="55"/>
      <c r="C4198" s="56"/>
      <c r="D4198" s="68"/>
      <c r="E4198" s="69"/>
      <c r="F4198" s="69"/>
      <c r="G4198" s="65"/>
      <c r="H4198" s="65"/>
      <c r="I4198" s="70"/>
      <c r="J4198" s="71"/>
      <c r="K4198" s="71"/>
      <c r="L4198" s="72" t="str">
        <f>IFERROR(IF(G4198="","",VLOOKUP($G4198,[1]基础信息!$B:$C,2,FALSE)+SUMIF(G$8:G4198,G4198,J$8:J4198)-SUMIF(G$8:G4198,G4198,K$8:K4198)+SUMIFS([1]内部转账!$G:$G,[1]内部转账!$C:$C,"&lt;="&amp;$D4198,[1]内部转账!$E:$E,$G4198)-SUMIFS([1]内部转账!$G:$G,[1]内部转账!$C:$C,"&lt;="&amp;$D4198,[1]内部转账!$F:$F,$G4198)),"")</f>
        <v/>
      </c>
      <c r="M4198" s="64"/>
      <c r="N4198" s="69"/>
      <c r="O4198" s="64"/>
      <c r="P4198" s="64"/>
      <c r="Q4198" s="69"/>
      <c r="R4198" s="69"/>
      <c r="S4198" s="69"/>
    </row>
    <row r="4199" s="2" customFormat="1" ht="24.95" customHeight="1" spans="1:19">
      <c r="A4199" s="15"/>
      <c r="B4199" s="55"/>
      <c r="C4199" s="56"/>
      <c r="D4199" s="68"/>
      <c r="E4199" s="69"/>
      <c r="F4199" s="69"/>
      <c r="G4199" s="65"/>
      <c r="H4199" s="65"/>
      <c r="I4199" s="70"/>
      <c r="J4199" s="71"/>
      <c r="K4199" s="71"/>
      <c r="L4199" s="72" t="str">
        <f>IFERROR(IF(G4199="","",VLOOKUP($G4199,[1]基础信息!$B:$C,2,FALSE)+SUMIF(G$8:G4199,G4199,J$8:J4199)-SUMIF(G$8:G4199,G4199,K$8:K4199)+SUMIFS([1]内部转账!$G:$G,[1]内部转账!$C:$C,"&lt;="&amp;$D4199,[1]内部转账!$E:$E,$G4199)-SUMIFS([1]内部转账!$G:$G,[1]内部转账!$C:$C,"&lt;="&amp;$D4199,[1]内部转账!$F:$F,$G4199)),"")</f>
        <v/>
      </c>
      <c r="M4199" s="64"/>
      <c r="N4199" s="69"/>
      <c r="O4199" s="64"/>
      <c r="P4199" s="64"/>
      <c r="Q4199" s="69"/>
      <c r="R4199" s="69"/>
      <c r="S4199" s="69"/>
    </row>
    <row r="4200" s="2" customFormat="1" ht="24.95" customHeight="1" spans="1:19">
      <c r="A4200" s="15"/>
      <c r="B4200" s="55"/>
      <c r="C4200" s="56"/>
      <c r="D4200" s="68"/>
      <c r="E4200" s="69"/>
      <c r="F4200" s="69"/>
      <c r="G4200" s="65"/>
      <c r="H4200" s="65"/>
      <c r="I4200" s="70"/>
      <c r="J4200" s="71"/>
      <c r="K4200" s="71"/>
      <c r="L4200" s="72" t="str">
        <f>IFERROR(IF(G4200="","",VLOOKUP($G4200,[1]基础信息!$B:$C,2,FALSE)+SUMIF(G$8:G4200,G4200,J$8:J4200)-SUMIF(G$8:G4200,G4200,K$8:K4200)+SUMIFS([1]内部转账!$G:$G,[1]内部转账!$C:$C,"&lt;="&amp;$D4200,[1]内部转账!$E:$E,$G4200)-SUMIFS([1]内部转账!$G:$G,[1]内部转账!$C:$C,"&lt;="&amp;$D4200,[1]内部转账!$F:$F,$G4200)),"")</f>
        <v/>
      </c>
      <c r="M4200" s="64"/>
      <c r="N4200" s="69"/>
      <c r="O4200" s="64"/>
      <c r="P4200" s="64"/>
      <c r="Q4200" s="69"/>
      <c r="R4200" s="69"/>
      <c r="S4200" s="69"/>
    </row>
    <row r="4201" s="2" customFormat="1" ht="24.95" customHeight="1" spans="1:19">
      <c r="A4201" s="15"/>
      <c r="B4201" s="55"/>
      <c r="C4201" s="56"/>
      <c r="D4201" s="68"/>
      <c r="E4201" s="69"/>
      <c r="F4201" s="69"/>
      <c r="G4201" s="65"/>
      <c r="H4201" s="65"/>
      <c r="I4201" s="70"/>
      <c r="J4201" s="71"/>
      <c r="K4201" s="71"/>
      <c r="L4201" s="72" t="str">
        <f>IFERROR(IF(G4201="","",VLOOKUP($G4201,[1]基础信息!$B:$C,2,FALSE)+SUMIF(G$8:G4201,G4201,J$8:J4201)-SUMIF(G$8:G4201,G4201,K$8:K4201)+SUMIFS([1]内部转账!$G:$G,[1]内部转账!$C:$C,"&lt;="&amp;$D4201,[1]内部转账!$E:$E,$G4201)-SUMIFS([1]内部转账!$G:$G,[1]内部转账!$C:$C,"&lt;="&amp;$D4201,[1]内部转账!$F:$F,$G4201)),"")</f>
        <v/>
      </c>
      <c r="M4201" s="64"/>
      <c r="N4201" s="69"/>
      <c r="O4201" s="64"/>
      <c r="P4201" s="64"/>
      <c r="Q4201" s="69"/>
      <c r="R4201" s="69"/>
      <c r="S4201" s="69"/>
    </row>
    <row r="4202" s="2" customFormat="1" ht="24.95" customHeight="1" spans="1:19">
      <c r="A4202" s="15"/>
      <c r="B4202" s="55"/>
      <c r="C4202" s="56"/>
      <c r="D4202" s="68"/>
      <c r="E4202" s="69"/>
      <c r="F4202" s="69"/>
      <c r="G4202" s="65"/>
      <c r="H4202" s="65"/>
      <c r="I4202" s="70"/>
      <c r="J4202" s="71"/>
      <c r="K4202" s="71"/>
      <c r="L4202" s="72" t="str">
        <f>IFERROR(IF(G4202="","",VLOOKUP($G4202,[1]基础信息!$B:$C,2,FALSE)+SUMIF(G$8:G4202,G4202,J$8:J4202)-SUMIF(G$8:G4202,G4202,K$8:K4202)+SUMIFS([1]内部转账!$G:$G,[1]内部转账!$C:$C,"&lt;="&amp;$D4202,[1]内部转账!$E:$E,$G4202)-SUMIFS([1]内部转账!$G:$G,[1]内部转账!$C:$C,"&lt;="&amp;$D4202,[1]内部转账!$F:$F,$G4202)),"")</f>
        <v/>
      </c>
      <c r="M4202" s="64"/>
      <c r="N4202" s="69"/>
      <c r="O4202" s="64"/>
      <c r="P4202" s="64"/>
      <c r="Q4202" s="69"/>
      <c r="R4202" s="69"/>
      <c r="S4202" s="69"/>
    </row>
    <row r="4203" s="2" customFormat="1" ht="24.95" customHeight="1" spans="1:19">
      <c r="A4203" s="15"/>
      <c r="B4203" s="55"/>
      <c r="C4203" s="56"/>
      <c r="D4203" s="68"/>
      <c r="E4203" s="69"/>
      <c r="F4203" s="69"/>
      <c r="G4203" s="65"/>
      <c r="H4203" s="65"/>
      <c r="I4203" s="70"/>
      <c r="J4203" s="71"/>
      <c r="K4203" s="71"/>
      <c r="L4203" s="72" t="str">
        <f>IFERROR(IF(G4203="","",VLOOKUP($G4203,[1]基础信息!$B:$C,2,FALSE)+SUMIF(G$8:G4203,G4203,J$8:J4203)-SUMIF(G$8:G4203,G4203,K$8:K4203)+SUMIFS([1]内部转账!$G:$G,[1]内部转账!$C:$C,"&lt;="&amp;$D4203,[1]内部转账!$E:$E,$G4203)-SUMIFS([1]内部转账!$G:$G,[1]内部转账!$C:$C,"&lt;="&amp;$D4203,[1]内部转账!$F:$F,$G4203)),"")</f>
        <v/>
      </c>
      <c r="M4203" s="64"/>
      <c r="N4203" s="69"/>
      <c r="O4203" s="64"/>
      <c r="P4203" s="64"/>
      <c r="Q4203" s="69"/>
      <c r="R4203" s="69"/>
      <c r="S4203" s="69"/>
    </row>
    <row r="4204" s="2" customFormat="1" ht="24.95" customHeight="1" spans="1:19">
      <c r="A4204" s="15"/>
      <c r="B4204" s="55"/>
      <c r="C4204" s="56"/>
      <c r="D4204" s="68"/>
      <c r="E4204" s="69"/>
      <c r="F4204" s="69"/>
      <c r="G4204" s="65"/>
      <c r="H4204" s="65"/>
      <c r="I4204" s="70"/>
      <c r="J4204" s="71"/>
      <c r="K4204" s="71"/>
      <c r="L4204" s="72" t="str">
        <f>IFERROR(IF(G4204="","",VLOOKUP($G4204,[1]基础信息!$B:$C,2,FALSE)+SUMIF(G$8:G4204,G4204,J$8:J4204)-SUMIF(G$8:G4204,G4204,K$8:K4204)+SUMIFS([1]内部转账!$G:$G,[1]内部转账!$C:$C,"&lt;="&amp;$D4204,[1]内部转账!$E:$E,$G4204)-SUMIFS([1]内部转账!$G:$G,[1]内部转账!$C:$C,"&lt;="&amp;$D4204,[1]内部转账!$F:$F,$G4204)),"")</f>
        <v/>
      </c>
      <c r="M4204" s="64"/>
      <c r="N4204" s="69"/>
      <c r="O4204" s="64"/>
      <c r="P4204" s="64"/>
      <c r="Q4204" s="69"/>
      <c r="R4204" s="69"/>
      <c r="S4204" s="69"/>
    </row>
    <row r="4205" s="2" customFormat="1" ht="24.95" customHeight="1" spans="1:19">
      <c r="A4205" s="15"/>
      <c r="B4205" s="55"/>
      <c r="C4205" s="56"/>
      <c r="D4205" s="68"/>
      <c r="E4205" s="69"/>
      <c r="F4205" s="69"/>
      <c r="G4205" s="65"/>
      <c r="H4205" s="65"/>
      <c r="I4205" s="70"/>
      <c r="J4205" s="71"/>
      <c r="K4205" s="71"/>
      <c r="L4205" s="72" t="str">
        <f>IFERROR(IF(G4205="","",VLOOKUP($G4205,[1]基础信息!$B:$C,2,FALSE)+SUMIF(G$8:G4205,G4205,J$8:J4205)-SUMIF(G$8:G4205,G4205,K$8:K4205)+SUMIFS([1]内部转账!$G:$G,[1]内部转账!$C:$C,"&lt;="&amp;$D4205,[1]内部转账!$E:$E,$G4205)-SUMIFS([1]内部转账!$G:$G,[1]内部转账!$C:$C,"&lt;="&amp;$D4205,[1]内部转账!$F:$F,$G4205)),"")</f>
        <v/>
      </c>
      <c r="M4205" s="64"/>
      <c r="N4205" s="69"/>
      <c r="O4205" s="64"/>
      <c r="P4205" s="64"/>
      <c r="Q4205" s="69"/>
      <c r="R4205" s="69"/>
      <c r="S4205" s="69"/>
    </row>
    <row r="4206" s="2" customFormat="1" ht="24.95" customHeight="1" spans="1:19">
      <c r="A4206" s="15"/>
      <c r="B4206" s="55"/>
      <c r="C4206" s="56"/>
      <c r="D4206" s="68"/>
      <c r="E4206" s="69"/>
      <c r="F4206" s="69"/>
      <c r="G4206" s="65"/>
      <c r="H4206" s="65"/>
      <c r="I4206" s="70"/>
      <c r="J4206" s="71"/>
      <c r="K4206" s="71"/>
      <c r="L4206" s="72" t="str">
        <f>IFERROR(IF(G4206="","",VLOOKUP($G4206,[1]基础信息!$B:$C,2,FALSE)+SUMIF(G$8:G4206,G4206,J$8:J4206)-SUMIF(G$8:G4206,G4206,K$8:K4206)+SUMIFS([1]内部转账!$G:$G,[1]内部转账!$C:$C,"&lt;="&amp;$D4206,[1]内部转账!$E:$E,$G4206)-SUMIFS([1]内部转账!$G:$G,[1]内部转账!$C:$C,"&lt;="&amp;$D4206,[1]内部转账!$F:$F,$G4206)),"")</f>
        <v/>
      </c>
      <c r="M4206" s="64"/>
      <c r="N4206" s="69"/>
      <c r="O4206" s="64"/>
      <c r="P4206" s="64"/>
      <c r="Q4206" s="69"/>
      <c r="R4206" s="69"/>
      <c r="S4206" s="69"/>
    </row>
    <row r="4207" s="2" customFormat="1" ht="24.95" customHeight="1" spans="1:19">
      <c r="A4207" s="15"/>
      <c r="B4207" s="55"/>
      <c r="C4207" s="56"/>
      <c r="D4207" s="68"/>
      <c r="E4207" s="69"/>
      <c r="F4207" s="69"/>
      <c r="G4207" s="65"/>
      <c r="H4207" s="65"/>
      <c r="I4207" s="70"/>
      <c r="J4207" s="71"/>
      <c r="K4207" s="71"/>
      <c r="L4207" s="72" t="str">
        <f>IFERROR(IF(G4207="","",VLOOKUP($G4207,[1]基础信息!$B:$C,2,FALSE)+SUMIF(G$8:G4207,G4207,J$8:J4207)-SUMIF(G$8:G4207,G4207,K$8:K4207)+SUMIFS([1]内部转账!$G:$G,[1]内部转账!$C:$C,"&lt;="&amp;$D4207,[1]内部转账!$E:$E,$G4207)-SUMIFS([1]内部转账!$G:$G,[1]内部转账!$C:$C,"&lt;="&amp;$D4207,[1]内部转账!$F:$F,$G4207)),"")</f>
        <v/>
      </c>
      <c r="M4207" s="64"/>
      <c r="N4207" s="69"/>
      <c r="O4207" s="64"/>
      <c r="P4207" s="64"/>
      <c r="Q4207" s="69"/>
      <c r="R4207" s="69"/>
      <c r="S4207" s="69"/>
    </row>
    <row r="4208" s="2" customFormat="1" ht="24.95" customHeight="1" spans="1:19">
      <c r="A4208" s="15"/>
      <c r="B4208" s="55"/>
      <c r="C4208" s="56"/>
      <c r="D4208" s="68"/>
      <c r="E4208" s="69"/>
      <c r="F4208" s="69"/>
      <c r="G4208" s="65"/>
      <c r="H4208" s="65"/>
      <c r="I4208" s="70"/>
      <c r="J4208" s="71"/>
      <c r="K4208" s="71"/>
      <c r="L4208" s="72" t="str">
        <f>IFERROR(IF(G4208="","",VLOOKUP($G4208,[1]基础信息!$B:$C,2,FALSE)+SUMIF(G$8:G4208,G4208,J$8:J4208)-SUMIF(G$8:G4208,G4208,K$8:K4208)+SUMIFS([1]内部转账!$G:$G,[1]内部转账!$C:$C,"&lt;="&amp;$D4208,[1]内部转账!$E:$E,$G4208)-SUMIFS([1]内部转账!$G:$G,[1]内部转账!$C:$C,"&lt;="&amp;$D4208,[1]内部转账!$F:$F,$G4208)),"")</f>
        <v/>
      </c>
      <c r="M4208" s="64"/>
      <c r="N4208" s="69"/>
      <c r="O4208" s="64"/>
      <c r="P4208" s="64"/>
      <c r="Q4208" s="69"/>
      <c r="R4208" s="69"/>
      <c r="S4208" s="69"/>
    </row>
    <row r="4209" s="2" customFormat="1" ht="24.95" customHeight="1" spans="1:19">
      <c r="A4209" s="15"/>
      <c r="B4209" s="55"/>
      <c r="C4209" s="56"/>
      <c r="D4209" s="68"/>
      <c r="E4209" s="69"/>
      <c r="F4209" s="69"/>
      <c r="G4209" s="65"/>
      <c r="H4209" s="65"/>
      <c r="I4209" s="70"/>
      <c r="J4209" s="71"/>
      <c r="K4209" s="71"/>
      <c r="L4209" s="72" t="str">
        <f>IFERROR(IF(G4209="","",VLOOKUP($G4209,[1]基础信息!$B:$C,2,FALSE)+SUMIF(G$8:G4209,G4209,J$8:J4209)-SUMIF(G$8:G4209,G4209,K$8:K4209)+SUMIFS([1]内部转账!$G:$G,[1]内部转账!$C:$C,"&lt;="&amp;$D4209,[1]内部转账!$E:$E,$G4209)-SUMIFS([1]内部转账!$G:$G,[1]内部转账!$C:$C,"&lt;="&amp;$D4209,[1]内部转账!$F:$F,$G4209)),"")</f>
        <v/>
      </c>
      <c r="M4209" s="64"/>
      <c r="N4209" s="69"/>
      <c r="O4209" s="64"/>
      <c r="P4209" s="64"/>
      <c r="Q4209" s="69"/>
      <c r="R4209" s="69"/>
      <c r="S4209" s="69"/>
    </row>
    <row r="4210" s="2" customFormat="1" ht="24.95" customHeight="1" spans="1:19">
      <c r="A4210" s="15"/>
      <c r="B4210" s="55"/>
      <c r="C4210" s="56"/>
      <c r="D4210" s="68"/>
      <c r="E4210" s="69"/>
      <c r="F4210" s="69"/>
      <c r="G4210" s="65"/>
      <c r="H4210" s="65"/>
      <c r="I4210" s="70"/>
      <c r="J4210" s="71"/>
      <c r="K4210" s="71"/>
      <c r="L4210" s="72" t="str">
        <f>IFERROR(IF(G4210="","",VLOOKUP($G4210,[1]基础信息!$B:$C,2,FALSE)+SUMIF(G$8:G4210,G4210,J$8:J4210)-SUMIF(G$8:G4210,G4210,K$8:K4210)+SUMIFS([1]内部转账!$G:$G,[1]内部转账!$C:$C,"&lt;="&amp;$D4210,[1]内部转账!$E:$E,$G4210)-SUMIFS([1]内部转账!$G:$G,[1]内部转账!$C:$C,"&lt;="&amp;$D4210,[1]内部转账!$F:$F,$G4210)),"")</f>
        <v/>
      </c>
      <c r="M4210" s="64"/>
      <c r="N4210" s="69"/>
      <c r="O4210" s="64"/>
      <c r="P4210" s="64"/>
      <c r="Q4210" s="69"/>
      <c r="R4210" s="69"/>
      <c r="S4210" s="69"/>
    </row>
    <row r="4211" s="2" customFormat="1" ht="24.95" customHeight="1" spans="1:19">
      <c r="A4211" s="15"/>
      <c r="B4211" s="55"/>
      <c r="C4211" s="56"/>
      <c r="D4211" s="68"/>
      <c r="E4211" s="69"/>
      <c r="F4211" s="69"/>
      <c r="G4211" s="65"/>
      <c r="H4211" s="65"/>
      <c r="I4211" s="70"/>
      <c r="J4211" s="71"/>
      <c r="K4211" s="71"/>
      <c r="L4211" s="72" t="str">
        <f>IFERROR(IF(G4211="","",VLOOKUP($G4211,[1]基础信息!$B:$C,2,FALSE)+SUMIF(G$8:G4211,G4211,J$8:J4211)-SUMIF(G$8:G4211,G4211,K$8:K4211)+SUMIFS([1]内部转账!$G:$G,[1]内部转账!$C:$C,"&lt;="&amp;$D4211,[1]内部转账!$E:$E,$G4211)-SUMIFS([1]内部转账!$G:$G,[1]内部转账!$C:$C,"&lt;="&amp;$D4211,[1]内部转账!$F:$F,$G4211)),"")</f>
        <v/>
      </c>
      <c r="M4211" s="64"/>
      <c r="N4211" s="69"/>
      <c r="O4211" s="64"/>
      <c r="P4211" s="64"/>
      <c r="Q4211" s="69"/>
      <c r="R4211" s="69"/>
      <c r="S4211" s="69"/>
    </row>
    <row r="4212" s="2" customFormat="1" ht="24.95" customHeight="1" spans="1:19">
      <c r="A4212" s="15"/>
      <c r="B4212" s="55"/>
      <c r="C4212" s="56"/>
      <c r="D4212" s="68"/>
      <c r="E4212" s="69"/>
      <c r="F4212" s="69"/>
      <c r="G4212" s="65"/>
      <c r="H4212" s="65"/>
      <c r="I4212" s="70"/>
      <c r="J4212" s="71"/>
      <c r="K4212" s="71"/>
      <c r="L4212" s="72" t="str">
        <f>IFERROR(IF(G4212="","",VLOOKUP($G4212,[1]基础信息!$B:$C,2,FALSE)+SUMIF(G$8:G4212,G4212,J$8:J4212)-SUMIF(G$8:G4212,G4212,K$8:K4212)+SUMIFS([1]内部转账!$G:$G,[1]内部转账!$C:$C,"&lt;="&amp;$D4212,[1]内部转账!$E:$E,$G4212)-SUMIFS([1]内部转账!$G:$G,[1]内部转账!$C:$C,"&lt;="&amp;$D4212,[1]内部转账!$F:$F,$G4212)),"")</f>
        <v/>
      </c>
      <c r="M4212" s="64"/>
      <c r="N4212" s="69"/>
      <c r="O4212" s="64"/>
      <c r="P4212" s="64"/>
      <c r="Q4212" s="69"/>
      <c r="R4212" s="69"/>
      <c r="S4212" s="69"/>
    </row>
    <row r="4213" s="2" customFormat="1" ht="24.95" customHeight="1" spans="1:19">
      <c r="A4213" s="15"/>
      <c r="B4213" s="55"/>
      <c r="C4213" s="56"/>
      <c r="D4213" s="68"/>
      <c r="E4213" s="69"/>
      <c r="F4213" s="69"/>
      <c r="G4213" s="65"/>
      <c r="H4213" s="65"/>
      <c r="I4213" s="70"/>
      <c r="J4213" s="71"/>
      <c r="K4213" s="71"/>
      <c r="L4213" s="72" t="str">
        <f>IFERROR(IF(G4213="","",VLOOKUP($G4213,[1]基础信息!$B:$C,2,FALSE)+SUMIF(G$8:G4213,G4213,J$8:J4213)-SUMIF(G$8:G4213,G4213,K$8:K4213)+SUMIFS([1]内部转账!$G:$G,[1]内部转账!$C:$C,"&lt;="&amp;$D4213,[1]内部转账!$E:$E,$G4213)-SUMIFS([1]内部转账!$G:$G,[1]内部转账!$C:$C,"&lt;="&amp;$D4213,[1]内部转账!$F:$F,$G4213)),"")</f>
        <v/>
      </c>
      <c r="M4213" s="64"/>
      <c r="N4213" s="69"/>
      <c r="O4213" s="64"/>
      <c r="P4213" s="64"/>
      <c r="Q4213" s="69"/>
      <c r="R4213" s="69"/>
      <c r="S4213" s="69"/>
    </row>
    <row r="4214" s="2" customFormat="1" ht="24.95" customHeight="1" spans="1:19">
      <c r="A4214" s="15"/>
      <c r="B4214" s="55"/>
      <c r="C4214" s="56"/>
      <c r="D4214" s="68"/>
      <c r="E4214" s="69"/>
      <c r="F4214" s="69"/>
      <c r="G4214" s="65"/>
      <c r="H4214" s="65"/>
      <c r="I4214" s="70"/>
      <c r="J4214" s="71"/>
      <c r="K4214" s="71"/>
      <c r="L4214" s="72" t="str">
        <f>IFERROR(IF(G4214="","",VLOOKUP($G4214,[1]基础信息!$B:$C,2,FALSE)+SUMIF(G$8:G4214,G4214,J$8:J4214)-SUMIF(G$8:G4214,G4214,K$8:K4214)+SUMIFS([1]内部转账!$G:$G,[1]内部转账!$C:$C,"&lt;="&amp;$D4214,[1]内部转账!$E:$E,$G4214)-SUMIFS([1]内部转账!$G:$G,[1]内部转账!$C:$C,"&lt;="&amp;$D4214,[1]内部转账!$F:$F,$G4214)),"")</f>
        <v/>
      </c>
      <c r="M4214" s="64"/>
      <c r="N4214" s="69"/>
      <c r="O4214" s="64"/>
      <c r="P4214" s="64"/>
      <c r="Q4214" s="69"/>
      <c r="R4214" s="69"/>
      <c r="S4214" s="69"/>
    </row>
    <row r="4215" s="2" customFormat="1" ht="24.95" customHeight="1" spans="1:19">
      <c r="A4215" s="15"/>
      <c r="B4215" s="55"/>
      <c r="C4215" s="56"/>
      <c r="D4215" s="68"/>
      <c r="E4215" s="69"/>
      <c r="F4215" s="69"/>
      <c r="G4215" s="65"/>
      <c r="H4215" s="65"/>
      <c r="I4215" s="70"/>
      <c r="J4215" s="71"/>
      <c r="K4215" s="71"/>
      <c r="L4215" s="72" t="str">
        <f>IFERROR(IF(G4215="","",VLOOKUP($G4215,[1]基础信息!$B:$C,2,FALSE)+SUMIF(G$8:G4215,G4215,J$8:J4215)-SUMIF(G$8:G4215,G4215,K$8:K4215)+SUMIFS([1]内部转账!$G:$G,[1]内部转账!$C:$C,"&lt;="&amp;$D4215,[1]内部转账!$E:$E,$G4215)-SUMIFS([1]内部转账!$G:$G,[1]内部转账!$C:$C,"&lt;="&amp;$D4215,[1]内部转账!$F:$F,$G4215)),"")</f>
        <v/>
      </c>
      <c r="M4215" s="64"/>
      <c r="N4215" s="69"/>
      <c r="O4215" s="64"/>
      <c r="P4215" s="64"/>
      <c r="Q4215" s="69"/>
      <c r="R4215" s="69"/>
      <c r="S4215" s="69"/>
    </row>
    <row r="4216" s="2" customFormat="1" ht="24.95" customHeight="1" spans="1:19">
      <c r="A4216" s="15"/>
      <c r="B4216" s="55"/>
      <c r="C4216" s="56"/>
      <c r="D4216" s="68"/>
      <c r="E4216" s="69"/>
      <c r="F4216" s="69"/>
      <c r="G4216" s="65"/>
      <c r="H4216" s="65"/>
      <c r="I4216" s="70"/>
      <c r="J4216" s="71"/>
      <c r="K4216" s="71"/>
      <c r="L4216" s="72" t="str">
        <f>IFERROR(IF(G4216="","",VLOOKUP($G4216,[1]基础信息!$B:$C,2,FALSE)+SUMIF(G$8:G4216,G4216,J$8:J4216)-SUMIF(G$8:G4216,G4216,K$8:K4216)+SUMIFS([1]内部转账!$G:$G,[1]内部转账!$C:$C,"&lt;="&amp;$D4216,[1]内部转账!$E:$E,$G4216)-SUMIFS([1]内部转账!$G:$G,[1]内部转账!$C:$C,"&lt;="&amp;$D4216,[1]内部转账!$F:$F,$G4216)),"")</f>
        <v/>
      </c>
      <c r="M4216" s="64"/>
      <c r="N4216" s="69"/>
      <c r="O4216" s="64"/>
      <c r="P4216" s="64"/>
      <c r="Q4216" s="69"/>
      <c r="R4216" s="69"/>
      <c r="S4216" s="69"/>
    </row>
    <row r="4217" s="2" customFormat="1" ht="24.95" customHeight="1" spans="1:19">
      <c r="A4217" s="15"/>
      <c r="B4217" s="55"/>
      <c r="C4217" s="56"/>
      <c r="D4217" s="68"/>
      <c r="E4217" s="69"/>
      <c r="F4217" s="69"/>
      <c r="G4217" s="65"/>
      <c r="H4217" s="65"/>
      <c r="I4217" s="70"/>
      <c r="J4217" s="71"/>
      <c r="K4217" s="71"/>
      <c r="L4217" s="72" t="str">
        <f>IFERROR(IF(G4217="","",VLOOKUP($G4217,[1]基础信息!$B:$C,2,FALSE)+SUMIF(G$8:G4217,G4217,J$8:J4217)-SUMIF(G$8:G4217,G4217,K$8:K4217)+SUMIFS([1]内部转账!$G:$G,[1]内部转账!$C:$C,"&lt;="&amp;$D4217,[1]内部转账!$E:$E,$G4217)-SUMIFS([1]内部转账!$G:$G,[1]内部转账!$C:$C,"&lt;="&amp;$D4217,[1]内部转账!$F:$F,$G4217)),"")</f>
        <v/>
      </c>
      <c r="M4217" s="64"/>
      <c r="N4217" s="69"/>
      <c r="O4217" s="64"/>
      <c r="P4217" s="64"/>
      <c r="Q4217" s="69"/>
      <c r="R4217" s="69"/>
      <c r="S4217" s="69"/>
    </row>
    <row r="4218" s="2" customFormat="1" ht="24.95" customHeight="1" spans="1:19">
      <c r="A4218" s="15"/>
      <c r="B4218" s="55"/>
      <c r="C4218" s="56"/>
      <c r="D4218" s="68"/>
      <c r="E4218" s="69"/>
      <c r="F4218" s="69"/>
      <c r="G4218" s="65"/>
      <c r="H4218" s="65"/>
      <c r="I4218" s="70"/>
      <c r="J4218" s="71"/>
      <c r="K4218" s="71"/>
      <c r="L4218" s="72" t="str">
        <f>IFERROR(IF(G4218="","",VLOOKUP($G4218,[1]基础信息!$B:$C,2,FALSE)+SUMIF(G$8:G4218,G4218,J$8:J4218)-SUMIF(G$8:G4218,G4218,K$8:K4218)+SUMIFS([1]内部转账!$G:$G,[1]内部转账!$C:$C,"&lt;="&amp;$D4218,[1]内部转账!$E:$E,$G4218)-SUMIFS([1]内部转账!$G:$G,[1]内部转账!$C:$C,"&lt;="&amp;$D4218,[1]内部转账!$F:$F,$G4218)),"")</f>
        <v/>
      </c>
      <c r="M4218" s="64"/>
      <c r="N4218" s="69"/>
      <c r="O4218" s="64"/>
      <c r="P4218" s="64"/>
      <c r="Q4218" s="69"/>
      <c r="R4218" s="69"/>
      <c r="S4218" s="69"/>
    </row>
    <row r="4219" s="2" customFormat="1" ht="24.95" customHeight="1" spans="1:19">
      <c r="A4219" s="15"/>
      <c r="B4219" s="55"/>
      <c r="C4219" s="56"/>
      <c r="D4219" s="68"/>
      <c r="E4219" s="69"/>
      <c r="F4219" s="69"/>
      <c r="G4219" s="65"/>
      <c r="H4219" s="65"/>
      <c r="I4219" s="70"/>
      <c r="J4219" s="71"/>
      <c r="K4219" s="71"/>
      <c r="L4219" s="72" t="str">
        <f>IFERROR(IF(G4219="","",VLOOKUP($G4219,[1]基础信息!$B:$C,2,FALSE)+SUMIF(G$8:G4219,G4219,J$8:J4219)-SUMIF(G$8:G4219,G4219,K$8:K4219)+SUMIFS([1]内部转账!$G:$G,[1]内部转账!$C:$C,"&lt;="&amp;$D4219,[1]内部转账!$E:$E,$G4219)-SUMIFS([1]内部转账!$G:$G,[1]内部转账!$C:$C,"&lt;="&amp;$D4219,[1]内部转账!$F:$F,$G4219)),"")</f>
        <v/>
      </c>
      <c r="M4219" s="64"/>
      <c r="N4219" s="69"/>
      <c r="O4219" s="64"/>
      <c r="P4219" s="64"/>
      <c r="Q4219" s="69"/>
      <c r="R4219" s="69"/>
      <c r="S4219" s="69"/>
    </row>
    <row r="4220" s="2" customFormat="1" ht="24.95" customHeight="1" spans="1:19">
      <c r="A4220" s="15"/>
      <c r="B4220" s="55"/>
      <c r="C4220" s="56"/>
      <c r="D4220" s="68"/>
      <c r="E4220" s="69"/>
      <c r="F4220" s="69"/>
      <c r="G4220" s="65"/>
      <c r="H4220" s="65"/>
      <c r="I4220" s="70"/>
      <c r="J4220" s="71"/>
      <c r="K4220" s="71"/>
      <c r="L4220" s="72" t="str">
        <f>IFERROR(IF(G4220="","",VLOOKUP($G4220,[1]基础信息!$B:$C,2,FALSE)+SUMIF(G$8:G4220,G4220,J$8:J4220)-SUMIF(G$8:G4220,G4220,K$8:K4220)+SUMIFS([1]内部转账!$G:$G,[1]内部转账!$C:$C,"&lt;="&amp;$D4220,[1]内部转账!$E:$E,$G4220)-SUMIFS([1]内部转账!$G:$G,[1]内部转账!$C:$C,"&lt;="&amp;$D4220,[1]内部转账!$F:$F,$G4220)),"")</f>
        <v/>
      </c>
      <c r="M4220" s="64"/>
      <c r="N4220" s="69"/>
      <c r="O4220" s="64"/>
      <c r="P4220" s="64"/>
      <c r="Q4220" s="69"/>
      <c r="R4220" s="69"/>
      <c r="S4220" s="69"/>
    </row>
    <row r="4221" s="2" customFormat="1" ht="24.95" customHeight="1" spans="1:19">
      <c r="A4221" s="15"/>
      <c r="B4221" s="55"/>
      <c r="C4221" s="56"/>
      <c r="D4221" s="68"/>
      <c r="E4221" s="69"/>
      <c r="F4221" s="69"/>
      <c r="G4221" s="65"/>
      <c r="H4221" s="65"/>
      <c r="I4221" s="70"/>
      <c r="J4221" s="71"/>
      <c r="K4221" s="71"/>
      <c r="L4221" s="72" t="str">
        <f>IFERROR(IF(G4221="","",VLOOKUP($G4221,[1]基础信息!$B:$C,2,FALSE)+SUMIF(G$8:G4221,G4221,J$8:J4221)-SUMIF(G$8:G4221,G4221,K$8:K4221)+SUMIFS([1]内部转账!$G:$G,[1]内部转账!$C:$C,"&lt;="&amp;$D4221,[1]内部转账!$E:$E,$G4221)-SUMIFS([1]内部转账!$G:$G,[1]内部转账!$C:$C,"&lt;="&amp;$D4221,[1]内部转账!$F:$F,$G4221)),"")</f>
        <v/>
      </c>
      <c r="M4221" s="64"/>
      <c r="N4221" s="69"/>
      <c r="O4221" s="64"/>
      <c r="P4221" s="64"/>
      <c r="Q4221" s="69"/>
      <c r="R4221" s="69"/>
      <c r="S4221" s="69"/>
    </row>
    <row r="4222" s="2" customFormat="1" ht="24.95" customHeight="1" spans="1:19">
      <c r="A4222" s="15"/>
      <c r="B4222" s="55"/>
      <c r="C4222" s="56"/>
      <c r="D4222" s="68"/>
      <c r="E4222" s="69"/>
      <c r="F4222" s="69"/>
      <c r="G4222" s="65"/>
      <c r="H4222" s="65"/>
      <c r="I4222" s="70"/>
      <c r="J4222" s="71"/>
      <c r="K4222" s="71"/>
      <c r="L4222" s="72" t="str">
        <f>IFERROR(IF(G4222="","",VLOOKUP($G4222,[1]基础信息!$B:$C,2,FALSE)+SUMIF(G$8:G4222,G4222,J$8:J4222)-SUMIF(G$8:G4222,G4222,K$8:K4222)+SUMIFS([1]内部转账!$G:$G,[1]内部转账!$C:$C,"&lt;="&amp;$D4222,[1]内部转账!$E:$E,$G4222)-SUMIFS([1]内部转账!$G:$G,[1]内部转账!$C:$C,"&lt;="&amp;$D4222,[1]内部转账!$F:$F,$G4222)),"")</f>
        <v/>
      </c>
      <c r="M4222" s="64"/>
      <c r="N4222" s="69"/>
      <c r="O4222" s="64"/>
      <c r="P4222" s="64"/>
      <c r="Q4222" s="69"/>
      <c r="R4222" s="69"/>
      <c r="S4222" s="69"/>
    </row>
    <row r="4223" s="2" customFormat="1" ht="24.95" customHeight="1" spans="1:19">
      <c r="A4223" s="15"/>
      <c r="B4223" s="55"/>
      <c r="C4223" s="56"/>
      <c r="D4223" s="68"/>
      <c r="E4223" s="69"/>
      <c r="F4223" s="69"/>
      <c r="G4223" s="65"/>
      <c r="H4223" s="65"/>
      <c r="I4223" s="70"/>
      <c r="J4223" s="71"/>
      <c r="K4223" s="71"/>
      <c r="L4223" s="72" t="str">
        <f>IFERROR(IF(G4223="","",VLOOKUP($G4223,[1]基础信息!$B:$C,2,FALSE)+SUMIF(G$8:G4223,G4223,J$8:J4223)-SUMIF(G$8:G4223,G4223,K$8:K4223)+SUMIFS([1]内部转账!$G:$G,[1]内部转账!$C:$C,"&lt;="&amp;$D4223,[1]内部转账!$E:$E,$G4223)-SUMIFS([1]内部转账!$G:$G,[1]内部转账!$C:$C,"&lt;="&amp;$D4223,[1]内部转账!$F:$F,$G4223)),"")</f>
        <v/>
      </c>
      <c r="M4223" s="64"/>
      <c r="N4223" s="69"/>
      <c r="O4223" s="64"/>
      <c r="P4223" s="64"/>
      <c r="Q4223" s="69"/>
      <c r="R4223" s="69"/>
      <c r="S4223" s="69"/>
    </row>
    <row r="4224" s="2" customFormat="1" ht="24.95" customHeight="1" spans="1:19">
      <c r="A4224" s="15"/>
      <c r="B4224" s="55"/>
      <c r="C4224" s="56"/>
      <c r="D4224" s="68"/>
      <c r="E4224" s="69"/>
      <c r="F4224" s="69"/>
      <c r="G4224" s="65"/>
      <c r="H4224" s="65"/>
      <c r="I4224" s="70"/>
      <c r="J4224" s="71"/>
      <c r="K4224" s="71"/>
      <c r="L4224" s="72" t="str">
        <f>IFERROR(IF(G4224="","",VLOOKUP($G4224,[1]基础信息!$B:$C,2,FALSE)+SUMIF(G$8:G4224,G4224,J$8:J4224)-SUMIF(G$8:G4224,G4224,K$8:K4224)+SUMIFS([1]内部转账!$G:$G,[1]内部转账!$C:$C,"&lt;="&amp;$D4224,[1]内部转账!$E:$E,$G4224)-SUMIFS([1]内部转账!$G:$G,[1]内部转账!$C:$C,"&lt;="&amp;$D4224,[1]内部转账!$F:$F,$G4224)),"")</f>
        <v/>
      </c>
      <c r="M4224" s="64"/>
      <c r="N4224" s="69"/>
      <c r="O4224" s="64"/>
      <c r="P4224" s="64"/>
      <c r="Q4224" s="69"/>
      <c r="R4224" s="69"/>
      <c r="S4224" s="69"/>
    </row>
    <row r="4225" s="2" customFormat="1" ht="24.95" customHeight="1" spans="1:19">
      <c r="A4225" s="15"/>
      <c r="B4225" s="55"/>
      <c r="C4225" s="56"/>
      <c r="D4225" s="68"/>
      <c r="E4225" s="69"/>
      <c r="F4225" s="69"/>
      <c r="G4225" s="65"/>
      <c r="H4225" s="65"/>
      <c r="I4225" s="70"/>
      <c r="J4225" s="71"/>
      <c r="K4225" s="71"/>
      <c r="L4225" s="72" t="str">
        <f>IFERROR(IF(G4225="","",VLOOKUP($G4225,[1]基础信息!$B:$C,2,FALSE)+SUMIF(G$8:G4225,G4225,J$8:J4225)-SUMIF(G$8:G4225,G4225,K$8:K4225)+SUMIFS([1]内部转账!$G:$G,[1]内部转账!$C:$C,"&lt;="&amp;$D4225,[1]内部转账!$E:$E,$G4225)-SUMIFS([1]内部转账!$G:$G,[1]内部转账!$C:$C,"&lt;="&amp;$D4225,[1]内部转账!$F:$F,$G4225)),"")</f>
        <v/>
      </c>
      <c r="M4225" s="64"/>
      <c r="N4225" s="69"/>
      <c r="O4225" s="64"/>
      <c r="P4225" s="64"/>
      <c r="Q4225" s="69"/>
      <c r="R4225" s="69"/>
      <c r="S4225" s="69"/>
    </row>
    <row r="4226" s="2" customFormat="1" ht="24.95" customHeight="1" spans="1:19">
      <c r="A4226" s="15"/>
      <c r="B4226" s="55"/>
      <c r="C4226" s="56"/>
      <c r="D4226" s="68"/>
      <c r="E4226" s="69"/>
      <c r="F4226" s="69"/>
      <c r="G4226" s="65"/>
      <c r="H4226" s="65"/>
      <c r="I4226" s="70"/>
      <c r="J4226" s="71"/>
      <c r="K4226" s="71"/>
      <c r="L4226" s="72" t="str">
        <f>IFERROR(IF(G4226="","",VLOOKUP($G4226,[1]基础信息!$B:$C,2,FALSE)+SUMIF(G$8:G4226,G4226,J$8:J4226)-SUMIF(G$8:G4226,G4226,K$8:K4226)+SUMIFS([1]内部转账!$G:$G,[1]内部转账!$C:$C,"&lt;="&amp;$D4226,[1]内部转账!$E:$E,$G4226)-SUMIFS([1]内部转账!$G:$G,[1]内部转账!$C:$C,"&lt;="&amp;$D4226,[1]内部转账!$F:$F,$G4226)),"")</f>
        <v/>
      </c>
      <c r="M4226" s="64"/>
      <c r="N4226" s="69"/>
      <c r="O4226" s="64"/>
      <c r="P4226" s="64"/>
      <c r="Q4226" s="69"/>
      <c r="R4226" s="69"/>
      <c r="S4226" s="69"/>
    </row>
    <row r="4227" s="2" customFormat="1" ht="24.95" customHeight="1" spans="1:19">
      <c r="A4227" s="15"/>
      <c r="B4227" s="55"/>
      <c r="C4227" s="56"/>
      <c r="D4227" s="68"/>
      <c r="E4227" s="69"/>
      <c r="F4227" s="69"/>
      <c r="G4227" s="65"/>
      <c r="H4227" s="65"/>
      <c r="I4227" s="70"/>
      <c r="J4227" s="71"/>
      <c r="K4227" s="71"/>
      <c r="L4227" s="72" t="str">
        <f>IFERROR(IF(G4227="","",VLOOKUP($G4227,[1]基础信息!$B:$C,2,FALSE)+SUMIF(G$8:G4227,G4227,J$8:J4227)-SUMIF(G$8:G4227,G4227,K$8:K4227)+SUMIFS([1]内部转账!$G:$G,[1]内部转账!$C:$C,"&lt;="&amp;$D4227,[1]内部转账!$E:$E,$G4227)-SUMIFS([1]内部转账!$G:$G,[1]内部转账!$C:$C,"&lt;="&amp;$D4227,[1]内部转账!$F:$F,$G4227)),"")</f>
        <v/>
      </c>
      <c r="M4227" s="64"/>
      <c r="N4227" s="69"/>
      <c r="O4227" s="64"/>
      <c r="P4227" s="64"/>
      <c r="Q4227" s="69"/>
      <c r="R4227" s="69"/>
      <c r="S4227" s="69"/>
    </row>
    <row r="4228" s="2" customFormat="1" ht="24.95" customHeight="1" spans="1:19">
      <c r="A4228" s="15"/>
      <c r="B4228" s="55"/>
      <c r="C4228" s="56"/>
      <c r="D4228" s="68"/>
      <c r="E4228" s="69"/>
      <c r="F4228" s="69"/>
      <c r="G4228" s="65"/>
      <c r="H4228" s="65"/>
      <c r="I4228" s="70"/>
      <c r="J4228" s="71"/>
      <c r="K4228" s="71"/>
      <c r="L4228" s="72" t="str">
        <f>IFERROR(IF(G4228="","",VLOOKUP($G4228,[1]基础信息!$B:$C,2,FALSE)+SUMIF(G$8:G4228,G4228,J$8:J4228)-SUMIF(G$8:G4228,G4228,K$8:K4228)+SUMIFS([1]内部转账!$G:$G,[1]内部转账!$C:$C,"&lt;="&amp;$D4228,[1]内部转账!$E:$E,$G4228)-SUMIFS([1]内部转账!$G:$G,[1]内部转账!$C:$C,"&lt;="&amp;$D4228,[1]内部转账!$F:$F,$G4228)),"")</f>
        <v/>
      </c>
      <c r="M4228" s="64"/>
      <c r="N4228" s="69"/>
      <c r="O4228" s="64"/>
      <c r="P4228" s="64"/>
      <c r="Q4228" s="69"/>
      <c r="R4228" s="69"/>
      <c r="S4228" s="69"/>
    </row>
    <row r="4229" s="2" customFormat="1" ht="24.95" customHeight="1" spans="1:19">
      <c r="A4229" s="15"/>
      <c r="B4229" s="55"/>
      <c r="C4229" s="56"/>
      <c r="D4229" s="68"/>
      <c r="E4229" s="69"/>
      <c r="F4229" s="69"/>
      <c r="G4229" s="65"/>
      <c r="H4229" s="65"/>
      <c r="I4229" s="70"/>
      <c r="J4229" s="71"/>
      <c r="K4229" s="71"/>
      <c r="L4229" s="72" t="str">
        <f>IFERROR(IF(G4229="","",VLOOKUP($G4229,[1]基础信息!$B:$C,2,FALSE)+SUMIF(G$8:G4229,G4229,J$8:J4229)-SUMIF(G$8:G4229,G4229,K$8:K4229)+SUMIFS([1]内部转账!$G:$G,[1]内部转账!$C:$C,"&lt;="&amp;$D4229,[1]内部转账!$E:$E,$G4229)-SUMIFS([1]内部转账!$G:$G,[1]内部转账!$C:$C,"&lt;="&amp;$D4229,[1]内部转账!$F:$F,$G4229)),"")</f>
        <v/>
      </c>
      <c r="M4229" s="64"/>
      <c r="N4229" s="69"/>
      <c r="O4229" s="64"/>
      <c r="P4229" s="64"/>
      <c r="Q4229" s="69"/>
      <c r="R4229" s="69"/>
      <c r="S4229" s="69"/>
    </row>
    <row r="4230" s="2" customFormat="1" ht="24.95" customHeight="1" spans="1:19">
      <c r="A4230" s="15"/>
      <c r="B4230" s="55"/>
      <c r="C4230" s="56"/>
      <c r="D4230" s="68"/>
      <c r="E4230" s="69"/>
      <c r="F4230" s="69"/>
      <c r="G4230" s="65"/>
      <c r="H4230" s="65"/>
      <c r="I4230" s="70"/>
      <c r="J4230" s="71"/>
      <c r="K4230" s="71"/>
      <c r="L4230" s="72" t="str">
        <f>IFERROR(IF(G4230="","",VLOOKUP($G4230,[1]基础信息!$B:$C,2,FALSE)+SUMIF(G$8:G4230,G4230,J$8:J4230)-SUMIF(G$8:G4230,G4230,K$8:K4230)+SUMIFS([1]内部转账!$G:$G,[1]内部转账!$C:$C,"&lt;="&amp;$D4230,[1]内部转账!$E:$E,$G4230)-SUMIFS([1]内部转账!$G:$G,[1]内部转账!$C:$C,"&lt;="&amp;$D4230,[1]内部转账!$F:$F,$G4230)),"")</f>
        <v/>
      </c>
      <c r="M4230" s="64"/>
      <c r="N4230" s="69"/>
      <c r="O4230" s="64"/>
      <c r="P4230" s="64"/>
      <c r="Q4230" s="69"/>
      <c r="R4230" s="69"/>
      <c r="S4230" s="69"/>
    </row>
    <row r="4231" s="2" customFormat="1" ht="24.95" customHeight="1" spans="1:19">
      <c r="A4231" s="15"/>
      <c r="B4231" s="55"/>
      <c r="C4231" s="56"/>
      <c r="D4231" s="68"/>
      <c r="E4231" s="69"/>
      <c r="F4231" s="69"/>
      <c r="G4231" s="65"/>
      <c r="H4231" s="65"/>
      <c r="I4231" s="70"/>
      <c r="J4231" s="71"/>
      <c r="K4231" s="71"/>
      <c r="L4231" s="72" t="str">
        <f>IFERROR(IF(G4231="","",VLOOKUP($G4231,[1]基础信息!$B:$C,2,FALSE)+SUMIF(G$8:G4231,G4231,J$8:J4231)-SUMIF(G$8:G4231,G4231,K$8:K4231)+SUMIFS([1]内部转账!$G:$G,[1]内部转账!$C:$C,"&lt;="&amp;$D4231,[1]内部转账!$E:$E,$G4231)-SUMIFS([1]内部转账!$G:$G,[1]内部转账!$C:$C,"&lt;="&amp;$D4231,[1]内部转账!$F:$F,$G4231)),"")</f>
        <v/>
      </c>
      <c r="M4231" s="64"/>
      <c r="N4231" s="69"/>
      <c r="O4231" s="64"/>
      <c r="P4231" s="64"/>
      <c r="Q4231" s="69"/>
      <c r="R4231" s="69"/>
      <c r="S4231" s="69"/>
    </row>
    <row r="4232" s="2" customFormat="1" ht="24.95" customHeight="1" spans="1:19">
      <c r="A4232" s="15"/>
      <c r="B4232" s="55"/>
      <c r="C4232" s="56"/>
      <c r="D4232" s="68"/>
      <c r="E4232" s="69"/>
      <c r="F4232" s="69"/>
      <c r="G4232" s="65"/>
      <c r="H4232" s="65"/>
      <c r="I4232" s="70"/>
      <c r="J4232" s="71"/>
      <c r="K4232" s="71"/>
      <c r="L4232" s="72" t="str">
        <f>IFERROR(IF(G4232="","",VLOOKUP($G4232,[1]基础信息!$B:$C,2,FALSE)+SUMIF(G$8:G4232,G4232,J$8:J4232)-SUMIF(G$8:G4232,G4232,K$8:K4232)+SUMIFS([1]内部转账!$G:$G,[1]内部转账!$C:$C,"&lt;="&amp;$D4232,[1]内部转账!$E:$E,$G4232)-SUMIFS([1]内部转账!$G:$G,[1]内部转账!$C:$C,"&lt;="&amp;$D4232,[1]内部转账!$F:$F,$G4232)),"")</f>
        <v/>
      </c>
      <c r="M4232" s="64"/>
      <c r="N4232" s="69"/>
      <c r="O4232" s="64"/>
      <c r="P4232" s="64"/>
      <c r="Q4232" s="69"/>
      <c r="R4232" s="69"/>
      <c r="S4232" s="69"/>
    </row>
    <row r="4233" s="2" customFormat="1" ht="24.95" customHeight="1" spans="1:19">
      <c r="A4233" s="15"/>
      <c r="B4233" s="55"/>
      <c r="C4233" s="56"/>
      <c r="D4233" s="68"/>
      <c r="E4233" s="69"/>
      <c r="F4233" s="69"/>
      <c r="G4233" s="65"/>
      <c r="H4233" s="65"/>
      <c r="I4233" s="70"/>
      <c r="J4233" s="71"/>
      <c r="K4233" s="71"/>
      <c r="L4233" s="72" t="str">
        <f>IFERROR(IF(G4233="","",VLOOKUP($G4233,[1]基础信息!$B:$C,2,FALSE)+SUMIF(G$8:G4233,G4233,J$8:J4233)-SUMIF(G$8:G4233,G4233,K$8:K4233)+SUMIFS([1]内部转账!$G:$G,[1]内部转账!$C:$C,"&lt;="&amp;$D4233,[1]内部转账!$E:$E,$G4233)-SUMIFS([1]内部转账!$G:$G,[1]内部转账!$C:$C,"&lt;="&amp;$D4233,[1]内部转账!$F:$F,$G4233)),"")</f>
        <v/>
      </c>
      <c r="M4233" s="64"/>
      <c r="N4233" s="69"/>
      <c r="O4233" s="64"/>
      <c r="P4233" s="64"/>
      <c r="Q4233" s="69"/>
      <c r="R4233" s="69"/>
      <c r="S4233" s="69"/>
    </row>
    <row r="4234" s="2" customFormat="1" ht="24.95" customHeight="1" spans="1:19">
      <c r="A4234" s="15"/>
      <c r="B4234" s="55"/>
      <c r="C4234" s="56"/>
      <c r="D4234" s="68"/>
      <c r="E4234" s="69"/>
      <c r="F4234" s="69"/>
      <c r="G4234" s="65"/>
      <c r="H4234" s="65"/>
      <c r="I4234" s="70"/>
      <c r="J4234" s="71"/>
      <c r="K4234" s="71"/>
      <c r="L4234" s="72" t="str">
        <f>IFERROR(IF(G4234="","",VLOOKUP($G4234,[1]基础信息!$B:$C,2,FALSE)+SUMIF(G$8:G4234,G4234,J$8:J4234)-SUMIF(G$8:G4234,G4234,K$8:K4234)+SUMIFS([1]内部转账!$G:$G,[1]内部转账!$C:$C,"&lt;="&amp;$D4234,[1]内部转账!$E:$E,$G4234)-SUMIFS([1]内部转账!$G:$G,[1]内部转账!$C:$C,"&lt;="&amp;$D4234,[1]内部转账!$F:$F,$G4234)),"")</f>
        <v/>
      </c>
      <c r="M4234" s="64"/>
      <c r="N4234" s="69"/>
      <c r="O4234" s="64"/>
      <c r="P4234" s="64"/>
      <c r="Q4234" s="69"/>
      <c r="R4234" s="69"/>
      <c r="S4234" s="69"/>
    </row>
    <row r="4235" s="2" customFormat="1" ht="24.95" customHeight="1" spans="1:19">
      <c r="A4235" s="15"/>
      <c r="B4235" s="55"/>
      <c r="C4235" s="56"/>
      <c r="D4235" s="68"/>
      <c r="E4235" s="69"/>
      <c r="F4235" s="69"/>
      <c r="G4235" s="65"/>
      <c r="H4235" s="65"/>
      <c r="I4235" s="70"/>
      <c r="J4235" s="71"/>
      <c r="K4235" s="71"/>
      <c r="L4235" s="72" t="str">
        <f>IFERROR(IF(G4235="","",VLOOKUP($G4235,[1]基础信息!$B:$C,2,FALSE)+SUMIF(G$8:G4235,G4235,J$8:J4235)-SUMIF(G$8:G4235,G4235,K$8:K4235)+SUMIFS([1]内部转账!$G:$G,[1]内部转账!$C:$C,"&lt;="&amp;$D4235,[1]内部转账!$E:$E,$G4235)-SUMIFS([1]内部转账!$G:$G,[1]内部转账!$C:$C,"&lt;="&amp;$D4235,[1]内部转账!$F:$F,$G4235)),"")</f>
        <v/>
      </c>
      <c r="M4235" s="64"/>
      <c r="N4235" s="69"/>
      <c r="O4235" s="64"/>
      <c r="P4235" s="64"/>
      <c r="Q4235" s="69"/>
      <c r="R4235" s="69"/>
      <c r="S4235" s="69"/>
    </row>
    <row r="4236" s="2" customFormat="1" ht="24.95" customHeight="1" spans="1:19">
      <c r="A4236" s="15"/>
      <c r="B4236" s="55"/>
      <c r="C4236" s="56"/>
      <c r="D4236" s="68"/>
      <c r="E4236" s="69"/>
      <c r="F4236" s="69"/>
      <c r="G4236" s="65"/>
      <c r="H4236" s="65"/>
      <c r="I4236" s="70"/>
      <c r="J4236" s="71"/>
      <c r="K4236" s="71"/>
      <c r="L4236" s="72" t="str">
        <f>IFERROR(IF(G4236="","",VLOOKUP($G4236,[1]基础信息!$B:$C,2,FALSE)+SUMIF(G$8:G4236,G4236,J$8:J4236)-SUMIF(G$8:G4236,G4236,K$8:K4236)+SUMIFS([1]内部转账!$G:$G,[1]内部转账!$C:$C,"&lt;="&amp;$D4236,[1]内部转账!$E:$E,$G4236)-SUMIFS([1]内部转账!$G:$G,[1]内部转账!$C:$C,"&lt;="&amp;$D4236,[1]内部转账!$F:$F,$G4236)),"")</f>
        <v/>
      </c>
      <c r="M4236" s="64"/>
      <c r="N4236" s="69"/>
      <c r="O4236" s="64"/>
      <c r="P4236" s="64"/>
      <c r="Q4236" s="69"/>
      <c r="R4236" s="69"/>
      <c r="S4236" s="69"/>
    </row>
    <row r="4237" s="2" customFormat="1" ht="24.95" customHeight="1" spans="1:19">
      <c r="A4237" s="15"/>
      <c r="B4237" s="55"/>
      <c r="C4237" s="56"/>
      <c r="D4237" s="68"/>
      <c r="E4237" s="69"/>
      <c r="F4237" s="69"/>
      <c r="G4237" s="65"/>
      <c r="H4237" s="65"/>
      <c r="I4237" s="70"/>
      <c r="J4237" s="71"/>
      <c r="K4237" s="71"/>
      <c r="L4237" s="72" t="str">
        <f>IFERROR(IF(G4237="","",VLOOKUP($G4237,[1]基础信息!$B:$C,2,FALSE)+SUMIF(G$8:G4237,G4237,J$8:J4237)-SUMIF(G$8:G4237,G4237,K$8:K4237)+SUMIFS([1]内部转账!$G:$G,[1]内部转账!$C:$C,"&lt;="&amp;$D4237,[1]内部转账!$E:$E,$G4237)-SUMIFS([1]内部转账!$G:$G,[1]内部转账!$C:$C,"&lt;="&amp;$D4237,[1]内部转账!$F:$F,$G4237)),"")</f>
        <v/>
      </c>
      <c r="M4237" s="64"/>
      <c r="N4237" s="69"/>
      <c r="O4237" s="64"/>
      <c r="P4237" s="64"/>
      <c r="Q4237" s="69"/>
      <c r="R4237" s="69"/>
      <c r="S4237" s="69"/>
    </row>
    <row r="4238" s="2" customFormat="1" ht="24.95" customHeight="1" spans="1:19">
      <c r="A4238" s="15"/>
      <c r="B4238" s="55"/>
      <c r="C4238" s="56"/>
      <c r="D4238" s="68"/>
      <c r="E4238" s="69"/>
      <c r="F4238" s="69"/>
      <c r="G4238" s="65"/>
      <c r="H4238" s="65"/>
      <c r="I4238" s="70"/>
      <c r="J4238" s="71"/>
      <c r="K4238" s="71"/>
      <c r="L4238" s="72" t="str">
        <f>IFERROR(IF(G4238="","",VLOOKUP($G4238,[1]基础信息!$B:$C,2,FALSE)+SUMIF(G$8:G4238,G4238,J$8:J4238)-SUMIF(G$8:G4238,G4238,K$8:K4238)+SUMIFS([1]内部转账!$G:$G,[1]内部转账!$C:$C,"&lt;="&amp;$D4238,[1]内部转账!$E:$E,$G4238)-SUMIFS([1]内部转账!$G:$G,[1]内部转账!$C:$C,"&lt;="&amp;$D4238,[1]内部转账!$F:$F,$G4238)),"")</f>
        <v/>
      </c>
      <c r="M4238" s="64"/>
      <c r="N4238" s="69"/>
      <c r="O4238" s="64"/>
      <c r="P4238" s="64"/>
      <c r="Q4238" s="69"/>
      <c r="R4238" s="69"/>
      <c r="S4238" s="69"/>
    </row>
    <row r="4239" s="2" customFormat="1" ht="24.95" customHeight="1" spans="1:19">
      <c r="A4239" s="15"/>
      <c r="B4239" s="55"/>
      <c r="C4239" s="56"/>
      <c r="D4239" s="68"/>
      <c r="E4239" s="69"/>
      <c r="F4239" s="69"/>
      <c r="G4239" s="65"/>
      <c r="H4239" s="65"/>
      <c r="I4239" s="70"/>
      <c r="J4239" s="71"/>
      <c r="K4239" s="71"/>
      <c r="L4239" s="72" t="str">
        <f>IFERROR(IF(G4239="","",VLOOKUP($G4239,[1]基础信息!$B:$C,2,FALSE)+SUMIF(G$8:G4239,G4239,J$8:J4239)-SUMIF(G$8:G4239,G4239,K$8:K4239)+SUMIFS([1]内部转账!$G:$G,[1]内部转账!$C:$C,"&lt;="&amp;$D4239,[1]内部转账!$E:$E,$G4239)-SUMIFS([1]内部转账!$G:$G,[1]内部转账!$C:$C,"&lt;="&amp;$D4239,[1]内部转账!$F:$F,$G4239)),"")</f>
        <v/>
      </c>
      <c r="M4239" s="64"/>
      <c r="N4239" s="69"/>
      <c r="O4239" s="64"/>
      <c r="P4239" s="64"/>
      <c r="Q4239" s="69"/>
      <c r="R4239" s="69"/>
      <c r="S4239" s="69"/>
    </row>
    <row r="4240" s="2" customFormat="1" ht="24.95" customHeight="1" spans="1:19">
      <c r="A4240" s="15"/>
      <c r="B4240" s="55"/>
      <c r="C4240" s="56"/>
      <c r="D4240" s="68"/>
      <c r="E4240" s="69"/>
      <c r="F4240" s="69"/>
      <c r="G4240" s="65"/>
      <c r="H4240" s="65"/>
      <c r="I4240" s="70"/>
      <c r="J4240" s="71"/>
      <c r="K4240" s="71"/>
      <c r="L4240" s="72" t="str">
        <f>IFERROR(IF(G4240="","",VLOOKUP($G4240,[1]基础信息!$B:$C,2,FALSE)+SUMIF(G$8:G4240,G4240,J$8:J4240)-SUMIF(G$8:G4240,G4240,K$8:K4240)+SUMIFS([1]内部转账!$G:$G,[1]内部转账!$C:$C,"&lt;="&amp;$D4240,[1]内部转账!$E:$E,$G4240)-SUMIFS([1]内部转账!$G:$G,[1]内部转账!$C:$C,"&lt;="&amp;$D4240,[1]内部转账!$F:$F,$G4240)),"")</f>
        <v/>
      </c>
      <c r="M4240" s="64"/>
      <c r="N4240" s="69"/>
      <c r="O4240" s="64"/>
      <c r="P4240" s="64"/>
      <c r="Q4240" s="69"/>
      <c r="R4240" s="69"/>
      <c r="S4240" s="69"/>
    </row>
    <row r="4241" s="2" customFormat="1" ht="24.95" customHeight="1" spans="1:19">
      <c r="A4241" s="15"/>
      <c r="B4241" s="55"/>
      <c r="C4241" s="56"/>
      <c r="D4241" s="68"/>
      <c r="E4241" s="69"/>
      <c r="F4241" s="69"/>
      <c r="G4241" s="65"/>
      <c r="H4241" s="65"/>
      <c r="I4241" s="70"/>
      <c r="J4241" s="71"/>
      <c r="K4241" s="71"/>
      <c r="L4241" s="72" t="str">
        <f>IFERROR(IF(G4241="","",VLOOKUP($G4241,[1]基础信息!$B:$C,2,FALSE)+SUMIF(G$8:G4241,G4241,J$8:J4241)-SUMIF(G$8:G4241,G4241,K$8:K4241)+SUMIFS([1]内部转账!$G:$G,[1]内部转账!$C:$C,"&lt;="&amp;$D4241,[1]内部转账!$E:$E,$G4241)-SUMIFS([1]内部转账!$G:$G,[1]内部转账!$C:$C,"&lt;="&amp;$D4241,[1]内部转账!$F:$F,$G4241)),"")</f>
        <v/>
      </c>
      <c r="M4241" s="64"/>
      <c r="N4241" s="69"/>
      <c r="O4241" s="64"/>
      <c r="P4241" s="64"/>
      <c r="Q4241" s="69"/>
      <c r="R4241" s="69"/>
      <c r="S4241" s="69"/>
    </row>
    <row r="4242" s="2" customFormat="1" ht="24.95" customHeight="1" spans="1:19">
      <c r="A4242" s="15"/>
      <c r="B4242" s="55"/>
      <c r="C4242" s="56"/>
      <c r="D4242" s="68"/>
      <c r="E4242" s="69"/>
      <c r="F4242" s="69"/>
      <c r="G4242" s="65"/>
      <c r="H4242" s="65"/>
      <c r="I4242" s="70"/>
      <c r="J4242" s="71"/>
      <c r="K4242" s="71"/>
      <c r="L4242" s="72" t="str">
        <f>IFERROR(IF(G4242="","",VLOOKUP($G4242,[1]基础信息!$B:$C,2,FALSE)+SUMIF(G$8:G4242,G4242,J$8:J4242)-SUMIF(G$8:G4242,G4242,K$8:K4242)+SUMIFS([1]内部转账!$G:$G,[1]内部转账!$C:$C,"&lt;="&amp;$D4242,[1]内部转账!$E:$E,$G4242)-SUMIFS([1]内部转账!$G:$G,[1]内部转账!$C:$C,"&lt;="&amp;$D4242,[1]内部转账!$F:$F,$G4242)),"")</f>
        <v/>
      </c>
      <c r="M4242" s="64"/>
      <c r="N4242" s="69"/>
      <c r="O4242" s="64"/>
      <c r="P4242" s="64"/>
      <c r="Q4242" s="69"/>
      <c r="R4242" s="69"/>
      <c r="S4242" s="69"/>
    </row>
    <row r="4243" s="2" customFormat="1" ht="24.95" customHeight="1" spans="1:19">
      <c r="A4243" s="15"/>
      <c r="B4243" s="55"/>
      <c r="C4243" s="56"/>
      <c r="D4243" s="68"/>
      <c r="E4243" s="69"/>
      <c r="F4243" s="69"/>
      <c r="G4243" s="65"/>
      <c r="H4243" s="65"/>
      <c r="I4243" s="70"/>
      <c r="J4243" s="71"/>
      <c r="K4243" s="71"/>
      <c r="L4243" s="72" t="str">
        <f>IFERROR(IF(G4243="","",VLOOKUP($G4243,[1]基础信息!$B:$C,2,FALSE)+SUMIF(G$8:G4243,G4243,J$8:J4243)-SUMIF(G$8:G4243,G4243,K$8:K4243)+SUMIFS([1]内部转账!$G:$G,[1]内部转账!$C:$C,"&lt;="&amp;$D4243,[1]内部转账!$E:$E,$G4243)-SUMIFS([1]内部转账!$G:$G,[1]内部转账!$C:$C,"&lt;="&amp;$D4243,[1]内部转账!$F:$F,$G4243)),"")</f>
        <v/>
      </c>
      <c r="M4243" s="64"/>
      <c r="N4243" s="69"/>
      <c r="O4243" s="64"/>
      <c r="P4243" s="64"/>
      <c r="Q4243" s="69"/>
      <c r="R4243" s="69"/>
      <c r="S4243" s="69"/>
    </row>
    <row r="4244" s="2" customFormat="1" ht="24.95" customHeight="1" spans="1:19">
      <c r="A4244" s="15"/>
      <c r="B4244" s="55"/>
      <c r="C4244" s="56"/>
      <c r="D4244" s="68"/>
      <c r="E4244" s="69"/>
      <c r="F4244" s="69"/>
      <c r="G4244" s="65"/>
      <c r="H4244" s="65"/>
      <c r="I4244" s="70"/>
      <c r="J4244" s="71"/>
      <c r="K4244" s="71"/>
      <c r="L4244" s="72" t="str">
        <f>IFERROR(IF(G4244="","",VLOOKUP($G4244,[1]基础信息!$B:$C,2,FALSE)+SUMIF(G$8:G4244,G4244,J$8:J4244)-SUMIF(G$8:G4244,G4244,K$8:K4244)+SUMIFS([1]内部转账!$G:$G,[1]内部转账!$C:$C,"&lt;="&amp;$D4244,[1]内部转账!$E:$E,$G4244)-SUMIFS([1]内部转账!$G:$G,[1]内部转账!$C:$C,"&lt;="&amp;$D4244,[1]内部转账!$F:$F,$G4244)),"")</f>
        <v/>
      </c>
      <c r="M4244" s="64"/>
      <c r="N4244" s="69"/>
      <c r="O4244" s="64"/>
      <c r="P4244" s="64"/>
      <c r="Q4244" s="69"/>
      <c r="R4244" s="69"/>
      <c r="S4244" s="69"/>
    </row>
    <row r="4245" s="2" customFormat="1" ht="24.95" customHeight="1" spans="1:19">
      <c r="A4245" s="15"/>
      <c r="B4245" s="55"/>
      <c r="C4245" s="56"/>
      <c r="D4245" s="68"/>
      <c r="E4245" s="69"/>
      <c r="F4245" s="69"/>
      <c r="G4245" s="65"/>
      <c r="H4245" s="65"/>
      <c r="I4245" s="70"/>
      <c r="J4245" s="71"/>
      <c r="K4245" s="71"/>
      <c r="L4245" s="72" t="str">
        <f>IFERROR(IF(G4245="","",VLOOKUP($G4245,[1]基础信息!$B:$C,2,FALSE)+SUMIF(G$8:G4245,G4245,J$8:J4245)-SUMIF(G$8:G4245,G4245,K$8:K4245)+SUMIFS([1]内部转账!$G:$G,[1]内部转账!$C:$C,"&lt;="&amp;$D4245,[1]内部转账!$E:$E,$G4245)-SUMIFS([1]内部转账!$G:$G,[1]内部转账!$C:$C,"&lt;="&amp;$D4245,[1]内部转账!$F:$F,$G4245)),"")</f>
        <v/>
      </c>
      <c r="M4245" s="64"/>
      <c r="N4245" s="69"/>
      <c r="O4245" s="64"/>
      <c r="P4245" s="64"/>
      <c r="Q4245" s="69"/>
      <c r="R4245" s="69"/>
      <c r="S4245" s="69"/>
    </row>
    <row r="4246" s="2" customFormat="1" ht="24.95" customHeight="1" spans="1:19">
      <c r="A4246" s="15"/>
      <c r="B4246" s="55"/>
      <c r="C4246" s="56"/>
      <c r="D4246" s="68"/>
      <c r="E4246" s="69"/>
      <c r="F4246" s="69"/>
      <c r="G4246" s="65"/>
      <c r="H4246" s="65"/>
      <c r="I4246" s="70"/>
      <c r="J4246" s="71"/>
      <c r="K4246" s="71"/>
      <c r="L4246" s="72" t="str">
        <f>IFERROR(IF(G4246="","",VLOOKUP($G4246,[1]基础信息!$B:$C,2,FALSE)+SUMIF(G$8:G4246,G4246,J$8:J4246)-SUMIF(G$8:G4246,G4246,K$8:K4246)+SUMIFS([1]内部转账!$G:$G,[1]内部转账!$C:$C,"&lt;="&amp;$D4246,[1]内部转账!$E:$E,$G4246)-SUMIFS([1]内部转账!$G:$G,[1]内部转账!$C:$C,"&lt;="&amp;$D4246,[1]内部转账!$F:$F,$G4246)),"")</f>
        <v/>
      </c>
      <c r="M4246" s="64"/>
      <c r="N4246" s="69"/>
      <c r="O4246" s="64"/>
      <c r="P4246" s="64"/>
      <c r="Q4246" s="69"/>
      <c r="R4246" s="69"/>
      <c r="S4246" s="69"/>
    </row>
    <row r="4247" s="2" customFormat="1" ht="24.95" customHeight="1" spans="1:19">
      <c r="A4247" s="15"/>
      <c r="B4247" s="55"/>
      <c r="C4247" s="56"/>
      <c r="D4247" s="68"/>
      <c r="E4247" s="69"/>
      <c r="F4247" s="69"/>
      <c r="G4247" s="65"/>
      <c r="H4247" s="65"/>
      <c r="I4247" s="70"/>
      <c r="J4247" s="71"/>
      <c r="K4247" s="71"/>
      <c r="L4247" s="72" t="str">
        <f>IFERROR(IF(G4247="","",VLOOKUP($G4247,[1]基础信息!$B:$C,2,FALSE)+SUMIF(G$8:G4247,G4247,J$8:J4247)-SUMIF(G$8:G4247,G4247,K$8:K4247)+SUMIFS([1]内部转账!$G:$G,[1]内部转账!$C:$C,"&lt;="&amp;$D4247,[1]内部转账!$E:$E,$G4247)-SUMIFS([1]内部转账!$G:$G,[1]内部转账!$C:$C,"&lt;="&amp;$D4247,[1]内部转账!$F:$F,$G4247)),"")</f>
        <v/>
      </c>
      <c r="M4247" s="64"/>
      <c r="N4247" s="69"/>
      <c r="O4247" s="64"/>
      <c r="P4247" s="64"/>
      <c r="Q4247" s="69"/>
      <c r="R4247" s="69"/>
      <c r="S4247" s="69"/>
    </row>
    <row r="4248" s="2" customFormat="1" ht="24.95" customHeight="1" spans="1:19">
      <c r="A4248" s="15"/>
      <c r="B4248" s="55"/>
      <c r="C4248" s="56"/>
      <c r="D4248" s="68"/>
      <c r="E4248" s="69"/>
      <c r="F4248" s="69"/>
      <c r="G4248" s="65"/>
      <c r="H4248" s="65"/>
      <c r="I4248" s="70"/>
      <c r="J4248" s="71"/>
      <c r="K4248" s="71"/>
      <c r="L4248" s="72" t="str">
        <f>IFERROR(IF(G4248="","",VLOOKUP($G4248,[1]基础信息!$B:$C,2,FALSE)+SUMIF(G$8:G4248,G4248,J$8:J4248)-SUMIF(G$8:G4248,G4248,K$8:K4248)+SUMIFS([1]内部转账!$G:$G,[1]内部转账!$C:$C,"&lt;="&amp;$D4248,[1]内部转账!$E:$E,$G4248)-SUMIFS([1]内部转账!$G:$G,[1]内部转账!$C:$C,"&lt;="&amp;$D4248,[1]内部转账!$F:$F,$G4248)),"")</f>
        <v/>
      </c>
      <c r="M4248" s="64"/>
      <c r="N4248" s="69"/>
      <c r="O4248" s="64"/>
      <c r="P4248" s="64"/>
      <c r="Q4248" s="69"/>
      <c r="R4248" s="69"/>
      <c r="S4248" s="69"/>
    </row>
    <row r="4249" s="2" customFormat="1" ht="24.95" customHeight="1" spans="1:19">
      <c r="A4249" s="15"/>
      <c r="B4249" s="55"/>
      <c r="C4249" s="56"/>
      <c r="D4249" s="68"/>
      <c r="E4249" s="69"/>
      <c r="F4249" s="69"/>
      <c r="G4249" s="65"/>
      <c r="H4249" s="65"/>
      <c r="I4249" s="70"/>
      <c r="J4249" s="71"/>
      <c r="K4249" s="71"/>
      <c r="L4249" s="72" t="str">
        <f>IFERROR(IF(G4249="","",VLOOKUP($G4249,[1]基础信息!$B:$C,2,FALSE)+SUMIF(G$8:G4249,G4249,J$8:J4249)-SUMIF(G$8:G4249,G4249,K$8:K4249)+SUMIFS([1]内部转账!$G:$G,[1]内部转账!$C:$C,"&lt;="&amp;$D4249,[1]内部转账!$E:$E,$G4249)-SUMIFS([1]内部转账!$G:$G,[1]内部转账!$C:$C,"&lt;="&amp;$D4249,[1]内部转账!$F:$F,$G4249)),"")</f>
        <v/>
      </c>
      <c r="M4249" s="64"/>
      <c r="N4249" s="69"/>
      <c r="O4249" s="64"/>
      <c r="P4249" s="64"/>
      <c r="Q4249" s="69"/>
      <c r="R4249" s="69"/>
      <c r="S4249" s="69"/>
    </row>
    <row r="4250" s="2" customFormat="1" ht="24.95" customHeight="1" spans="1:19">
      <c r="A4250" s="15"/>
      <c r="B4250" s="55"/>
      <c r="C4250" s="56"/>
      <c r="D4250" s="68"/>
      <c r="E4250" s="69"/>
      <c r="F4250" s="69"/>
      <c r="G4250" s="65"/>
      <c r="H4250" s="65"/>
      <c r="I4250" s="70"/>
      <c r="J4250" s="71"/>
      <c r="K4250" s="71"/>
      <c r="L4250" s="72" t="str">
        <f>IFERROR(IF(G4250="","",VLOOKUP($G4250,[1]基础信息!$B:$C,2,FALSE)+SUMIF(G$8:G4250,G4250,J$8:J4250)-SUMIF(G$8:G4250,G4250,K$8:K4250)+SUMIFS([1]内部转账!$G:$G,[1]内部转账!$C:$C,"&lt;="&amp;$D4250,[1]内部转账!$E:$E,$G4250)-SUMIFS([1]内部转账!$G:$G,[1]内部转账!$C:$C,"&lt;="&amp;$D4250,[1]内部转账!$F:$F,$G4250)),"")</f>
        <v/>
      </c>
      <c r="M4250" s="64"/>
      <c r="N4250" s="69"/>
      <c r="O4250" s="64"/>
      <c r="P4250" s="64"/>
      <c r="Q4250" s="69"/>
      <c r="R4250" s="69"/>
      <c r="S4250" s="69"/>
    </row>
    <row r="4251" s="2" customFormat="1" ht="24.95" customHeight="1" spans="1:19">
      <c r="A4251" s="15"/>
      <c r="B4251" s="55"/>
      <c r="C4251" s="56"/>
      <c r="D4251" s="68"/>
      <c r="E4251" s="69"/>
      <c r="F4251" s="69"/>
      <c r="G4251" s="65"/>
      <c r="H4251" s="65"/>
      <c r="I4251" s="70"/>
      <c r="J4251" s="71"/>
      <c r="K4251" s="71"/>
      <c r="L4251" s="72" t="str">
        <f>IFERROR(IF(G4251="","",VLOOKUP($G4251,[1]基础信息!$B:$C,2,FALSE)+SUMIF(G$8:G4251,G4251,J$8:J4251)-SUMIF(G$8:G4251,G4251,K$8:K4251)+SUMIFS([1]内部转账!$G:$G,[1]内部转账!$C:$C,"&lt;="&amp;$D4251,[1]内部转账!$E:$E,$G4251)-SUMIFS([1]内部转账!$G:$G,[1]内部转账!$C:$C,"&lt;="&amp;$D4251,[1]内部转账!$F:$F,$G4251)),"")</f>
        <v/>
      </c>
      <c r="M4251" s="64"/>
      <c r="N4251" s="69"/>
      <c r="O4251" s="64"/>
      <c r="P4251" s="64"/>
      <c r="Q4251" s="69"/>
      <c r="R4251" s="69"/>
      <c r="S4251" s="69"/>
    </row>
    <row r="4252" s="2" customFormat="1" ht="24.95" customHeight="1" spans="1:19">
      <c r="A4252" s="15"/>
      <c r="B4252" s="55"/>
      <c r="C4252" s="56"/>
      <c r="D4252" s="68"/>
      <c r="E4252" s="69"/>
      <c r="F4252" s="69"/>
      <c r="G4252" s="65"/>
      <c r="H4252" s="65"/>
      <c r="I4252" s="70"/>
      <c r="J4252" s="71"/>
      <c r="K4252" s="71"/>
      <c r="L4252" s="72" t="str">
        <f>IFERROR(IF(G4252="","",VLOOKUP($G4252,[1]基础信息!$B:$C,2,FALSE)+SUMIF(G$8:G4252,G4252,J$8:J4252)-SUMIF(G$8:G4252,G4252,K$8:K4252)+SUMIFS([1]内部转账!$G:$G,[1]内部转账!$C:$C,"&lt;="&amp;$D4252,[1]内部转账!$E:$E,$G4252)-SUMIFS([1]内部转账!$G:$G,[1]内部转账!$C:$C,"&lt;="&amp;$D4252,[1]内部转账!$F:$F,$G4252)),"")</f>
        <v/>
      </c>
      <c r="M4252" s="64"/>
      <c r="N4252" s="69"/>
      <c r="O4252" s="64"/>
      <c r="P4252" s="64"/>
      <c r="Q4252" s="69"/>
      <c r="R4252" s="69"/>
      <c r="S4252" s="69"/>
    </row>
    <row r="4253" s="2" customFormat="1" ht="24.95" customHeight="1" spans="1:19">
      <c r="A4253" s="15"/>
      <c r="B4253" s="55"/>
      <c r="C4253" s="56"/>
      <c r="D4253" s="68"/>
      <c r="E4253" s="69"/>
      <c r="F4253" s="69"/>
      <c r="G4253" s="65"/>
      <c r="H4253" s="65"/>
      <c r="I4253" s="70"/>
      <c r="J4253" s="71"/>
      <c r="K4253" s="71"/>
      <c r="L4253" s="72" t="str">
        <f>IFERROR(IF(G4253="","",VLOOKUP($G4253,[1]基础信息!$B:$C,2,FALSE)+SUMIF(G$8:G4253,G4253,J$8:J4253)-SUMIF(G$8:G4253,G4253,K$8:K4253)+SUMIFS([1]内部转账!$G:$G,[1]内部转账!$C:$C,"&lt;="&amp;$D4253,[1]内部转账!$E:$E,$G4253)-SUMIFS([1]内部转账!$G:$G,[1]内部转账!$C:$C,"&lt;="&amp;$D4253,[1]内部转账!$F:$F,$G4253)),"")</f>
        <v/>
      </c>
      <c r="M4253" s="64"/>
      <c r="N4253" s="69"/>
      <c r="O4253" s="64"/>
      <c r="P4253" s="64"/>
      <c r="Q4253" s="69"/>
      <c r="R4253" s="69"/>
      <c r="S4253" s="69"/>
    </row>
    <row r="4254" s="2" customFormat="1" ht="24.95" customHeight="1" spans="1:19">
      <c r="A4254" s="15"/>
      <c r="B4254" s="55"/>
      <c r="C4254" s="56"/>
      <c r="D4254" s="68"/>
      <c r="E4254" s="69"/>
      <c r="F4254" s="69"/>
      <c r="G4254" s="65"/>
      <c r="H4254" s="65"/>
      <c r="I4254" s="70"/>
      <c r="J4254" s="71"/>
      <c r="K4254" s="71"/>
      <c r="L4254" s="72" t="str">
        <f>IFERROR(IF(G4254="","",VLOOKUP($G4254,[1]基础信息!$B:$C,2,FALSE)+SUMIF(G$8:G4254,G4254,J$8:J4254)-SUMIF(G$8:G4254,G4254,K$8:K4254)+SUMIFS([1]内部转账!$G:$G,[1]内部转账!$C:$C,"&lt;="&amp;$D4254,[1]内部转账!$E:$E,$G4254)-SUMIFS([1]内部转账!$G:$G,[1]内部转账!$C:$C,"&lt;="&amp;$D4254,[1]内部转账!$F:$F,$G4254)),"")</f>
        <v/>
      </c>
      <c r="M4254" s="64"/>
      <c r="N4254" s="69"/>
      <c r="O4254" s="64"/>
      <c r="P4254" s="64"/>
      <c r="Q4254" s="69"/>
      <c r="R4254" s="69"/>
      <c r="S4254" s="69"/>
    </row>
    <row r="4255" s="2" customFormat="1" ht="24.95" customHeight="1" spans="1:19">
      <c r="A4255" s="15"/>
      <c r="B4255" s="55"/>
      <c r="C4255" s="56"/>
      <c r="D4255" s="68"/>
      <c r="E4255" s="69"/>
      <c r="F4255" s="69"/>
      <c r="G4255" s="65"/>
      <c r="H4255" s="65"/>
      <c r="I4255" s="70"/>
      <c r="J4255" s="71"/>
      <c r="K4255" s="71"/>
      <c r="L4255" s="72" t="str">
        <f>IFERROR(IF(G4255="","",VLOOKUP($G4255,[1]基础信息!$B:$C,2,FALSE)+SUMIF(G$8:G4255,G4255,J$8:J4255)-SUMIF(G$8:G4255,G4255,K$8:K4255)+SUMIFS([1]内部转账!$G:$G,[1]内部转账!$C:$C,"&lt;="&amp;$D4255,[1]内部转账!$E:$E,$G4255)-SUMIFS([1]内部转账!$G:$G,[1]内部转账!$C:$C,"&lt;="&amp;$D4255,[1]内部转账!$F:$F,$G4255)),"")</f>
        <v/>
      </c>
      <c r="M4255" s="64"/>
      <c r="N4255" s="69"/>
      <c r="O4255" s="64"/>
      <c r="P4255" s="64"/>
      <c r="Q4255" s="69"/>
      <c r="R4255" s="69"/>
      <c r="S4255" s="69"/>
    </row>
    <row r="4256" s="2" customFormat="1" ht="24.95" customHeight="1" spans="1:19">
      <c r="A4256" s="15"/>
      <c r="B4256" s="55"/>
      <c r="C4256" s="56"/>
      <c r="D4256" s="68"/>
      <c r="E4256" s="69"/>
      <c r="F4256" s="69"/>
      <c r="G4256" s="65"/>
      <c r="H4256" s="65"/>
      <c r="I4256" s="70"/>
      <c r="J4256" s="71"/>
      <c r="K4256" s="71"/>
      <c r="L4256" s="72" t="str">
        <f>IFERROR(IF(G4256="","",VLOOKUP($G4256,[1]基础信息!$B:$C,2,FALSE)+SUMIF(G$8:G4256,G4256,J$8:J4256)-SUMIF(G$8:G4256,G4256,K$8:K4256)+SUMIFS([1]内部转账!$G:$G,[1]内部转账!$C:$C,"&lt;="&amp;$D4256,[1]内部转账!$E:$E,$G4256)-SUMIFS([1]内部转账!$G:$G,[1]内部转账!$C:$C,"&lt;="&amp;$D4256,[1]内部转账!$F:$F,$G4256)),"")</f>
        <v/>
      </c>
      <c r="M4256" s="64"/>
      <c r="N4256" s="69"/>
      <c r="O4256" s="64"/>
      <c r="P4256" s="64"/>
      <c r="Q4256" s="69"/>
      <c r="R4256" s="69"/>
      <c r="S4256" s="69"/>
    </row>
    <row r="4257" s="2" customFormat="1" ht="24.95" customHeight="1" spans="1:19">
      <c r="A4257" s="15"/>
      <c r="B4257" s="55"/>
      <c r="C4257" s="56"/>
      <c r="D4257" s="68"/>
      <c r="E4257" s="69"/>
      <c r="F4257" s="69"/>
      <c r="G4257" s="65"/>
      <c r="H4257" s="65"/>
      <c r="I4257" s="70"/>
      <c r="J4257" s="71"/>
      <c r="K4257" s="71"/>
      <c r="L4257" s="72" t="str">
        <f>IFERROR(IF(G4257="","",VLOOKUP($G4257,[1]基础信息!$B:$C,2,FALSE)+SUMIF(G$8:G4257,G4257,J$8:J4257)-SUMIF(G$8:G4257,G4257,K$8:K4257)+SUMIFS([1]内部转账!$G:$G,[1]内部转账!$C:$C,"&lt;="&amp;$D4257,[1]内部转账!$E:$E,$G4257)-SUMIFS([1]内部转账!$G:$G,[1]内部转账!$C:$C,"&lt;="&amp;$D4257,[1]内部转账!$F:$F,$G4257)),"")</f>
        <v/>
      </c>
      <c r="M4257" s="64"/>
      <c r="N4257" s="69"/>
      <c r="O4257" s="64"/>
      <c r="P4257" s="64"/>
      <c r="Q4257" s="69"/>
      <c r="R4257" s="69"/>
      <c r="S4257" s="69"/>
    </row>
    <row r="4258" s="2" customFormat="1" ht="24.95" customHeight="1" spans="1:19">
      <c r="A4258" s="15"/>
      <c r="B4258" s="55"/>
      <c r="C4258" s="56"/>
      <c r="D4258" s="68"/>
      <c r="E4258" s="69"/>
      <c r="F4258" s="69"/>
      <c r="G4258" s="65"/>
      <c r="H4258" s="65"/>
      <c r="I4258" s="70"/>
      <c r="J4258" s="71"/>
      <c r="K4258" s="71"/>
      <c r="L4258" s="72" t="str">
        <f>IFERROR(IF(G4258="","",VLOOKUP($G4258,[1]基础信息!$B:$C,2,FALSE)+SUMIF(G$8:G4258,G4258,J$8:J4258)-SUMIF(G$8:G4258,G4258,K$8:K4258)+SUMIFS([1]内部转账!$G:$G,[1]内部转账!$C:$C,"&lt;="&amp;$D4258,[1]内部转账!$E:$E,$G4258)-SUMIFS([1]内部转账!$G:$G,[1]内部转账!$C:$C,"&lt;="&amp;$D4258,[1]内部转账!$F:$F,$G4258)),"")</f>
        <v/>
      </c>
      <c r="M4258" s="64"/>
      <c r="N4258" s="69"/>
      <c r="O4258" s="64"/>
      <c r="P4258" s="64"/>
      <c r="Q4258" s="69"/>
      <c r="R4258" s="69"/>
      <c r="S4258" s="69"/>
    </row>
    <row r="4259" s="2" customFormat="1" ht="24.95" customHeight="1" spans="1:19">
      <c r="A4259" s="15"/>
      <c r="B4259" s="55"/>
      <c r="C4259" s="56"/>
      <c r="D4259" s="68"/>
      <c r="E4259" s="69"/>
      <c r="F4259" s="69"/>
      <c r="G4259" s="65"/>
      <c r="H4259" s="65"/>
      <c r="I4259" s="70"/>
      <c r="J4259" s="71"/>
      <c r="K4259" s="71"/>
      <c r="L4259" s="72" t="str">
        <f>IFERROR(IF(G4259="","",VLOOKUP($G4259,[1]基础信息!$B:$C,2,FALSE)+SUMIF(G$8:G4259,G4259,J$8:J4259)-SUMIF(G$8:G4259,G4259,K$8:K4259)+SUMIFS([1]内部转账!$G:$G,[1]内部转账!$C:$C,"&lt;="&amp;$D4259,[1]内部转账!$E:$E,$G4259)-SUMIFS([1]内部转账!$G:$G,[1]内部转账!$C:$C,"&lt;="&amp;$D4259,[1]内部转账!$F:$F,$G4259)),"")</f>
        <v/>
      </c>
      <c r="M4259" s="64"/>
      <c r="N4259" s="69"/>
      <c r="O4259" s="64"/>
      <c r="P4259" s="64"/>
      <c r="Q4259" s="69"/>
      <c r="R4259" s="69"/>
      <c r="S4259" s="69"/>
    </row>
    <row r="4260" s="2" customFormat="1" ht="24.95" customHeight="1" spans="1:19">
      <c r="A4260" s="15"/>
      <c r="B4260" s="55"/>
      <c r="C4260" s="56"/>
      <c r="D4260" s="68"/>
      <c r="E4260" s="69"/>
      <c r="F4260" s="69"/>
      <c r="G4260" s="65"/>
      <c r="H4260" s="65"/>
      <c r="I4260" s="70"/>
      <c r="J4260" s="71"/>
      <c r="K4260" s="71"/>
      <c r="L4260" s="72" t="str">
        <f>IFERROR(IF(G4260="","",VLOOKUP($G4260,[1]基础信息!$B:$C,2,FALSE)+SUMIF(G$8:G4260,G4260,J$8:J4260)-SUMIF(G$8:G4260,G4260,K$8:K4260)+SUMIFS([1]内部转账!$G:$G,[1]内部转账!$C:$C,"&lt;="&amp;$D4260,[1]内部转账!$E:$E,$G4260)-SUMIFS([1]内部转账!$G:$G,[1]内部转账!$C:$C,"&lt;="&amp;$D4260,[1]内部转账!$F:$F,$G4260)),"")</f>
        <v/>
      </c>
      <c r="M4260" s="64"/>
      <c r="N4260" s="69"/>
      <c r="O4260" s="64"/>
      <c r="P4260" s="64"/>
      <c r="Q4260" s="69"/>
      <c r="R4260" s="69"/>
      <c r="S4260" s="69"/>
    </row>
    <row r="4261" s="2" customFormat="1" ht="24.95" customHeight="1" spans="1:19">
      <c r="A4261" s="15"/>
      <c r="B4261" s="55"/>
      <c r="C4261" s="56"/>
      <c r="D4261" s="68"/>
      <c r="E4261" s="69"/>
      <c r="F4261" s="69"/>
      <c r="G4261" s="65"/>
      <c r="H4261" s="65"/>
      <c r="I4261" s="70"/>
      <c r="J4261" s="71"/>
      <c r="K4261" s="71"/>
      <c r="L4261" s="72" t="str">
        <f>IFERROR(IF(G4261="","",VLOOKUP($G4261,[1]基础信息!$B:$C,2,FALSE)+SUMIF(G$8:G4261,G4261,J$8:J4261)-SUMIF(G$8:G4261,G4261,K$8:K4261)+SUMIFS([1]内部转账!$G:$G,[1]内部转账!$C:$C,"&lt;="&amp;$D4261,[1]内部转账!$E:$E,$G4261)-SUMIFS([1]内部转账!$G:$G,[1]内部转账!$C:$C,"&lt;="&amp;$D4261,[1]内部转账!$F:$F,$G4261)),"")</f>
        <v/>
      </c>
      <c r="M4261" s="64"/>
      <c r="N4261" s="69"/>
      <c r="O4261" s="64"/>
      <c r="P4261" s="64"/>
      <c r="Q4261" s="69"/>
      <c r="R4261" s="69"/>
      <c r="S4261" s="69"/>
    </row>
    <row r="4262" s="2" customFormat="1" ht="24.95" customHeight="1" spans="1:19">
      <c r="A4262" s="15"/>
      <c r="B4262" s="55"/>
      <c r="C4262" s="56"/>
      <c r="D4262" s="68"/>
      <c r="E4262" s="69"/>
      <c r="F4262" s="69"/>
      <c r="G4262" s="65"/>
      <c r="H4262" s="65"/>
      <c r="I4262" s="70"/>
      <c r="J4262" s="71"/>
      <c r="K4262" s="71"/>
      <c r="L4262" s="72" t="str">
        <f>IFERROR(IF(G4262="","",VLOOKUP($G4262,[1]基础信息!$B:$C,2,FALSE)+SUMIF(G$8:G4262,G4262,J$8:J4262)-SUMIF(G$8:G4262,G4262,K$8:K4262)+SUMIFS([1]内部转账!$G:$G,[1]内部转账!$C:$C,"&lt;="&amp;$D4262,[1]内部转账!$E:$E,$G4262)-SUMIFS([1]内部转账!$G:$G,[1]内部转账!$C:$C,"&lt;="&amp;$D4262,[1]内部转账!$F:$F,$G4262)),"")</f>
        <v/>
      </c>
      <c r="M4262" s="64"/>
      <c r="N4262" s="69"/>
      <c r="O4262" s="64"/>
      <c r="P4262" s="64"/>
      <c r="Q4262" s="69"/>
      <c r="R4262" s="69"/>
      <c r="S4262" s="69"/>
    </row>
    <row r="4263" s="2" customFormat="1" ht="24.95" customHeight="1" spans="1:19">
      <c r="A4263" s="15"/>
      <c r="B4263" s="55"/>
      <c r="C4263" s="56"/>
      <c r="D4263" s="68"/>
      <c r="E4263" s="69"/>
      <c r="F4263" s="69"/>
      <c r="G4263" s="65"/>
      <c r="H4263" s="65"/>
      <c r="I4263" s="70"/>
      <c r="J4263" s="71"/>
      <c r="K4263" s="71"/>
      <c r="L4263" s="72" t="str">
        <f>IFERROR(IF(G4263="","",VLOOKUP($G4263,[1]基础信息!$B:$C,2,FALSE)+SUMIF(G$8:G4263,G4263,J$8:J4263)-SUMIF(G$8:G4263,G4263,K$8:K4263)+SUMIFS([1]内部转账!$G:$G,[1]内部转账!$C:$C,"&lt;="&amp;$D4263,[1]内部转账!$E:$E,$G4263)-SUMIFS([1]内部转账!$G:$G,[1]内部转账!$C:$C,"&lt;="&amp;$D4263,[1]内部转账!$F:$F,$G4263)),"")</f>
        <v/>
      </c>
      <c r="M4263" s="64"/>
      <c r="N4263" s="69"/>
      <c r="O4263" s="64"/>
      <c r="P4263" s="64"/>
      <c r="Q4263" s="69"/>
      <c r="R4263" s="69"/>
      <c r="S4263" s="69"/>
    </row>
    <row r="4264" s="2" customFormat="1" ht="24.95" customHeight="1" spans="1:19">
      <c r="A4264" s="15"/>
      <c r="B4264" s="55"/>
      <c r="C4264" s="56"/>
      <c r="D4264" s="68"/>
      <c r="E4264" s="69"/>
      <c r="F4264" s="69"/>
      <c r="G4264" s="65"/>
      <c r="H4264" s="65"/>
      <c r="I4264" s="70"/>
      <c r="J4264" s="71"/>
      <c r="K4264" s="71"/>
      <c r="L4264" s="72" t="str">
        <f>IFERROR(IF(G4264="","",VLOOKUP($G4264,[1]基础信息!$B:$C,2,FALSE)+SUMIF(G$8:G4264,G4264,J$8:J4264)-SUMIF(G$8:G4264,G4264,K$8:K4264)+SUMIFS([1]内部转账!$G:$G,[1]内部转账!$C:$C,"&lt;="&amp;$D4264,[1]内部转账!$E:$E,$G4264)-SUMIFS([1]内部转账!$G:$G,[1]内部转账!$C:$C,"&lt;="&amp;$D4264,[1]内部转账!$F:$F,$G4264)),"")</f>
        <v/>
      </c>
      <c r="M4264" s="64"/>
      <c r="N4264" s="69"/>
      <c r="O4264" s="64"/>
      <c r="P4264" s="64"/>
      <c r="Q4264" s="69"/>
      <c r="R4264" s="69"/>
      <c r="S4264" s="69"/>
    </row>
    <row r="4265" s="2" customFormat="1" ht="24.95" customHeight="1" spans="1:19">
      <c r="A4265" s="15"/>
      <c r="B4265" s="55"/>
      <c r="C4265" s="56"/>
      <c r="D4265" s="68"/>
      <c r="E4265" s="69"/>
      <c r="F4265" s="69"/>
      <c r="G4265" s="65"/>
      <c r="H4265" s="65"/>
      <c r="I4265" s="70"/>
      <c r="J4265" s="71"/>
      <c r="K4265" s="71"/>
      <c r="L4265" s="72" t="str">
        <f>IFERROR(IF(G4265="","",VLOOKUP($G4265,[1]基础信息!$B:$C,2,FALSE)+SUMIF(G$8:G4265,G4265,J$8:J4265)-SUMIF(G$8:G4265,G4265,K$8:K4265)+SUMIFS([1]内部转账!$G:$G,[1]内部转账!$C:$C,"&lt;="&amp;$D4265,[1]内部转账!$E:$E,$G4265)-SUMIFS([1]内部转账!$G:$G,[1]内部转账!$C:$C,"&lt;="&amp;$D4265,[1]内部转账!$F:$F,$G4265)),"")</f>
        <v/>
      </c>
      <c r="M4265" s="64"/>
      <c r="N4265" s="69"/>
      <c r="O4265" s="64"/>
      <c r="P4265" s="64"/>
      <c r="Q4265" s="69"/>
      <c r="R4265" s="69"/>
      <c r="S4265" s="69"/>
    </row>
    <row r="4266" s="2" customFormat="1" ht="24.95" customHeight="1" spans="1:19">
      <c r="A4266" s="15"/>
      <c r="B4266" s="55"/>
      <c r="C4266" s="56"/>
      <c r="D4266" s="68"/>
      <c r="E4266" s="69"/>
      <c r="F4266" s="69"/>
      <c r="G4266" s="65"/>
      <c r="H4266" s="65"/>
      <c r="I4266" s="70"/>
      <c r="J4266" s="71"/>
      <c r="K4266" s="71"/>
      <c r="L4266" s="72" t="str">
        <f>IFERROR(IF(G4266="","",VLOOKUP($G4266,[1]基础信息!$B:$C,2,FALSE)+SUMIF(G$8:G4266,G4266,J$8:J4266)-SUMIF(G$8:G4266,G4266,K$8:K4266)+SUMIFS([1]内部转账!$G:$G,[1]内部转账!$C:$C,"&lt;="&amp;$D4266,[1]内部转账!$E:$E,$G4266)-SUMIFS([1]内部转账!$G:$G,[1]内部转账!$C:$C,"&lt;="&amp;$D4266,[1]内部转账!$F:$F,$G4266)),"")</f>
        <v/>
      </c>
      <c r="M4266" s="64"/>
      <c r="N4266" s="69"/>
      <c r="O4266" s="64"/>
      <c r="P4266" s="64"/>
      <c r="Q4266" s="69"/>
      <c r="R4266" s="69"/>
      <c r="S4266" s="69"/>
    </row>
    <row r="4267" s="2" customFormat="1" ht="24.95" customHeight="1" spans="1:19">
      <c r="A4267" s="15"/>
      <c r="B4267" s="55"/>
      <c r="C4267" s="56"/>
      <c r="D4267" s="68"/>
      <c r="E4267" s="69"/>
      <c r="F4267" s="69"/>
      <c r="G4267" s="65"/>
      <c r="H4267" s="65"/>
      <c r="I4267" s="70"/>
      <c r="J4267" s="71"/>
      <c r="K4267" s="71"/>
      <c r="L4267" s="72" t="str">
        <f>IFERROR(IF(G4267="","",VLOOKUP($G4267,[1]基础信息!$B:$C,2,FALSE)+SUMIF(G$8:G4267,G4267,J$8:J4267)-SUMIF(G$8:G4267,G4267,K$8:K4267)+SUMIFS([1]内部转账!$G:$G,[1]内部转账!$C:$C,"&lt;="&amp;$D4267,[1]内部转账!$E:$E,$G4267)-SUMIFS([1]内部转账!$G:$G,[1]内部转账!$C:$C,"&lt;="&amp;$D4267,[1]内部转账!$F:$F,$G4267)),"")</f>
        <v/>
      </c>
      <c r="M4267" s="64"/>
      <c r="N4267" s="69"/>
      <c r="O4267" s="64"/>
      <c r="P4267" s="64"/>
      <c r="Q4267" s="69"/>
      <c r="R4267" s="69"/>
      <c r="S4267" s="69"/>
    </row>
    <row r="4268" s="2" customFormat="1" ht="24.95" customHeight="1" spans="1:19">
      <c r="A4268" s="15"/>
      <c r="B4268" s="55"/>
      <c r="C4268" s="56"/>
      <c r="D4268" s="68"/>
      <c r="E4268" s="69"/>
      <c r="F4268" s="69"/>
      <c r="G4268" s="65"/>
      <c r="H4268" s="65"/>
      <c r="I4268" s="70"/>
      <c r="J4268" s="71"/>
      <c r="K4268" s="71"/>
      <c r="L4268" s="72" t="str">
        <f>IFERROR(IF(G4268="","",VLOOKUP($G4268,[1]基础信息!$B:$C,2,FALSE)+SUMIF(G$8:G4268,G4268,J$8:J4268)-SUMIF(G$8:G4268,G4268,K$8:K4268)+SUMIFS([1]内部转账!$G:$G,[1]内部转账!$C:$C,"&lt;="&amp;$D4268,[1]内部转账!$E:$E,$G4268)-SUMIFS([1]内部转账!$G:$G,[1]内部转账!$C:$C,"&lt;="&amp;$D4268,[1]内部转账!$F:$F,$G4268)),"")</f>
        <v/>
      </c>
      <c r="M4268" s="64"/>
      <c r="N4268" s="69"/>
      <c r="O4268" s="64"/>
      <c r="P4268" s="64"/>
      <c r="Q4268" s="69"/>
      <c r="R4268" s="69"/>
      <c r="S4268" s="69"/>
    </row>
    <row r="4269" s="2" customFormat="1" ht="24.95" customHeight="1" spans="1:19">
      <c r="A4269" s="15"/>
      <c r="B4269" s="55"/>
      <c r="C4269" s="56"/>
      <c r="D4269" s="68"/>
      <c r="E4269" s="69"/>
      <c r="F4269" s="69"/>
      <c r="G4269" s="65"/>
      <c r="H4269" s="65"/>
      <c r="I4269" s="70"/>
      <c r="J4269" s="71"/>
      <c r="K4269" s="71"/>
      <c r="L4269" s="72" t="str">
        <f>IFERROR(IF(G4269="","",VLOOKUP($G4269,[1]基础信息!$B:$C,2,FALSE)+SUMIF(G$8:G4269,G4269,J$8:J4269)-SUMIF(G$8:G4269,G4269,K$8:K4269)+SUMIFS([1]内部转账!$G:$G,[1]内部转账!$C:$C,"&lt;="&amp;$D4269,[1]内部转账!$E:$E,$G4269)-SUMIFS([1]内部转账!$G:$G,[1]内部转账!$C:$C,"&lt;="&amp;$D4269,[1]内部转账!$F:$F,$G4269)),"")</f>
        <v/>
      </c>
      <c r="M4269" s="64"/>
      <c r="N4269" s="69"/>
      <c r="O4269" s="64"/>
      <c r="P4269" s="64"/>
      <c r="Q4269" s="69"/>
      <c r="R4269" s="69"/>
      <c r="S4269" s="69"/>
    </row>
    <row r="4270" s="2" customFormat="1" ht="24.95" customHeight="1" spans="1:19">
      <c r="A4270" s="15"/>
      <c r="B4270" s="55"/>
      <c r="C4270" s="56"/>
      <c r="D4270" s="68"/>
      <c r="E4270" s="69"/>
      <c r="F4270" s="69"/>
      <c r="G4270" s="65"/>
      <c r="H4270" s="65"/>
      <c r="I4270" s="70"/>
      <c r="J4270" s="71"/>
      <c r="K4270" s="71"/>
      <c r="L4270" s="72" t="str">
        <f>IFERROR(IF(G4270="","",VLOOKUP($G4270,[1]基础信息!$B:$C,2,FALSE)+SUMIF(G$8:G4270,G4270,J$8:J4270)-SUMIF(G$8:G4270,G4270,K$8:K4270)+SUMIFS([1]内部转账!$G:$G,[1]内部转账!$C:$C,"&lt;="&amp;$D4270,[1]内部转账!$E:$E,$G4270)-SUMIFS([1]内部转账!$G:$G,[1]内部转账!$C:$C,"&lt;="&amp;$D4270,[1]内部转账!$F:$F,$G4270)),"")</f>
        <v/>
      </c>
      <c r="M4270" s="64"/>
      <c r="N4270" s="69"/>
      <c r="O4270" s="64"/>
      <c r="P4270" s="64"/>
      <c r="Q4270" s="69"/>
      <c r="R4270" s="69"/>
      <c r="S4270" s="69"/>
    </row>
    <row r="4271" s="2" customFormat="1" ht="24.95" customHeight="1" spans="1:19">
      <c r="A4271" s="15"/>
      <c r="B4271" s="55"/>
      <c r="C4271" s="56"/>
      <c r="D4271" s="68"/>
      <c r="E4271" s="69"/>
      <c r="F4271" s="69"/>
      <c r="G4271" s="65"/>
      <c r="H4271" s="65"/>
      <c r="I4271" s="70"/>
      <c r="J4271" s="71"/>
      <c r="K4271" s="71"/>
      <c r="L4271" s="72" t="str">
        <f>IFERROR(IF(G4271="","",VLOOKUP($G4271,[1]基础信息!$B:$C,2,FALSE)+SUMIF(G$8:G4271,G4271,J$8:J4271)-SUMIF(G$8:G4271,G4271,K$8:K4271)+SUMIFS([1]内部转账!$G:$G,[1]内部转账!$C:$C,"&lt;="&amp;$D4271,[1]内部转账!$E:$E,$G4271)-SUMIFS([1]内部转账!$G:$G,[1]内部转账!$C:$C,"&lt;="&amp;$D4271,[1]内部转账!$F:$F,$G4271)),"")</f>
        <v/>
      </c>
      <c r="M4271" s="64"/>
      <c r="N4271" s="69"/>
      <c r="O4271" s="64"/>
      <c r="P4271" s="64"/>
      <c r="Q4271" s="69"/>
      <c r="R4271" s="69"/>
      <c r="S4271" s="69"/>
    </row>
    <row r="4272" s="2" customFormat="1" ht="24.95" customHeight="1" spans="1:19">
      <c r="A4272" s="15"/>
      <c r="B4272" s="55"/>
      <c r="C4272" s="56"/>
      <c r="D4272" s="68"/>
      <c r="E4272" s="69"/>
      <c r="F4272" s="69"/>
      <c r="G4272" s="65"/>
      <c r="H4272" s="65"/>
      <c r="I4272" s="70"/>
      <c r="J4272" s="71"/>
      <c r="K4272" s="71"/>
      <c r="L4272" s="72" t="str">
        <f>IFERROR(IF(G4272="","",VLOOKUP($G4272,[1]基础信息!$B:$C,2,FALSE)+SUMIF(G$8:G4272,G4272,J$8:J4272)-SUMIF(G$8:G4272,G4272,K$8:K4272)+SUMIFS([1]内部转账!$G:$G,[1]内部转账!$C:$C,"&lt;="&amp;$D4272,[1]内部转账!$E:$E,$G4272)-SUMIFS([1]内部转账!$G:$G,[1]内部转账!$C:$C,"&lt;="&amp;$D4272,[1]内部转账!$F:$F,$G4272)),"")</f>
        <v/>
      </c>
      <c r="M4272" s="64"/>
      <c r="N4272" s="69"/>
      <c r="O4272" s="64"/>
      <c r="P4272" s="64"/>
      <c r="Q4272" s="69"/>
      <c r="R4272" s="69"/>
      <c r="S4272" s="69"/>
    </row>
    <row r="4273" s="2" customFormat="1" ht="24.95" customHeight="1" spans="1:19">
      <c r="A4273" s="15"/>
      <c r="B4273" s="55"/>
      <c r="C4273" s="56"/>
      <c r="D4273" s="68"/>
      <c r="E4273" s="69"/>
      <c r="F4273" s="69"/>
      <c r="G4273" s="65"/>
      <c r="H4273" s="65"/>
      <c r="I4273" s="70"/>
      <c r="J4273" s="71"/>
      <c r="K4273" s="71"/>
      <c r="L4273" s="72" t="str">
        <f>IFERROR(IF(G4273="","",VLOOKUP($G4273,[1]基础信息!$B:$C,2,FALSE)+SUMIF(G$8:G4273,G4273,J$8:J4273)-SUMIF(G$8:G4273,G4273,K$8:K4273)+SUMIFS([1]内部转账!$G:$G,[1]内部转账!$C:$C,"&lt;="&amp;$D4273,[1]内部转账!$E:$E,$G4273)-SUMIFS([1]内部转账!$G:$G,[1]内部转账!$C:$C,"&lt;="&amp;$D4273,[1]内部转账!$F:$F,$G4273)),"")</f>
        <v/>
      </c>
      <c r="M4273" s="64"/>
      <c r="N4273" s="69"/>
      <c r="O4273" s="64"/>
      <c r="P4273" s="64"/>
      <c r="Q4273" s="69"/>
      <c r="R4273" s="69"/>
      <c r="S4273" s="69"/>
    </row>
    <row r="4274" s="2" customFormat="1" ht="24.95" customHeight="1" spans="1:19">
      <c r="A4274" s="15"/>
      <c r="B4274" s="55"/>
      <c r="C4274" s="56"/>
      <c r="D4274" s="68"/>
      <c r="E4274" s="69"/>
      <c r="F4274" s="69"/>
      <c r="G4274" s="65"/>
      <c r="H4274" s="65"/>
      <c r="I4274" s="70"/>
      <c r="J4274" s="71"/>
      <c r="K4274" s="71"/>
      <c r="L4274" s="72" t="str">
        <f>IFERROR(IF(G4274="","",VLOOKUP($G4274,[1]基础信息!$B:$C,2,FALSE)+SUMIF(G$8:G4274,G4274,J$8:J4274)-SUMIF(G$8:G4274,G4274,K$8:K4274)+SUMIFS([1]内部转账!$G:$G,[1]内部转账!$C:$C,"&lt;="&amp;$D4274,[1]内部转账!$E:$E,$G4274)-SUMIFS([1]内部转账!$G:$G,[1]内部转账!$C:$C,"&lt;="&amp;$D4274,[1]内部转账!$F:$F,$G4274)),"")</f>
        <v/>
      </c>
      <c r="M4274" s="64"/>
      <c r="N4274" s="69"/>
      <c r="O4274" s="64"/>
      <c r="P4274" s="64"/>
      <c r="Q4274" s="69"/>
      <c r="R4274" s="69"/>
      <c r="S4274" s="69"/>
    </row>
    <row r="4275" s="2" customFormat="1" ht="24.95" customHeight="1" spans="1:19">
      <c r="A4275" s="15"/>
      <c r="B4275" s="55"/>
      <c r="C4275" s="56"/>
      <c r="D4275" s="68"/>
      <c r="E4275" s="69"/>
      <c r="F4275" s="69"/>
      <c r="G4275" s="65"/>
      <c r="H4275" s="65"/>
      <c r="I4275" s="70"/>
      <c r="J4275" s="71"/>
      <c r="K4275" s="71"/>
      <c r="L4275" s="72" t="str">
        <f>IFERROR(IF(G4275="","",VLOOKUP($G4275,[1]基础信息!$B:$C,2,FALSE)+SUMIF(G$8:G4275,G4275,J$8:J4275)-SUMIF(G$8:G4275,G4275,K$8:K4275)+SUMIFS([1]内部转账!$G:$G,[1]内部转账!$C:$C,"&lt;="&amp;$D4275,[1]内部转账!$E:$E,$G4275)-SUMIFS([1]内部转账!$G:$G,[1]内部转账!$C:$C,"&lt;="&amp;$D4275,[1]内部转账!$F:$F,$G4275)),"")</f>
        <v/>
      </c>
      <c r="M4275" s="64"/>
      <c r="N4275" s="69"/>
      <c r="O4275" s="64"/>
      <c r="P4275" s="64"/>
      <c r="Q4275" s="69"/>
      <c r="R4275" s="69"/>
      <c r="S4275" s="69"/>
    </row>
    <row r="4276" s="2" customFormat="1" ht="24.95" customHeight="1" spans="1:19">
      <c r="A4276" s="15"/>
      <c r="B4276" s="55"/>
      <c r="C4276" s="56"/>
      <c r="D4276" s="68"/>
      <c r="E4276" s="69"/>
      <c r="F4276" s="69"/>
      <c r="G4276" s="65"/>
      <c r="H4276" s="65"/>
      <c r="I4276" s="70"/>
      <c r="J4276" s="71"/>
      <c r="K4276" s="71"/>
      <c r="L4276" s="72" t="str">
        <f>IFERROR(IF(G4276="","",VLOOKUP($G4276,[1]基础信息!$B:$C,2,FALSE)+SUMIF(G$8:G4276,G4276,J$8:J4276)-SUMIF(G$8:G4276,G4276,K$8:K4276)+SUMIFS([1]内部转账!$G:$G,[1]内部转账!$C:$C,"&lt;="&amp;$D4276,[1]内部转账!$E:$E,$G4276)-SUMIFS([1]内部转账!$G:$G,[1]内部转账!$C:$C,"&lt;="&amp;$D4276,[1]内部转账!$F:$F,$G4276)),"")</f>
        <v/>
      </c>
      <c r="M4276" s="64"/>
      <c r="N4276" s="69"/>
      <c r="O4276" s="64"/>
      <c r="P4276" s="64"/>
      <c r="Q4276" s="69"/>
      <c r="R4276" s="69"/>
      <c r="S4276" s="69"/>
    </row>
    <row r="4277" s="2" customFormat="1" ht="24.95" customHeight="1" spans="1:19">
      <c r="A4277" s="15"/>
      <c r="B4277" s="55"/>
      <c r="C4277" s="56"/>
      <c r="D4277" s="68"/>
      <c r="E4277" s="69"/>
      <c r="F4277" s="69"/>
      <c r="G4277" s="65"/>
      <c r="H4277" s="65"/>
      <c r="I4277" s="70"/>
      <c r="J4277" s="71"/>
      <c r="K4277" s="71"/>
      <c r="L4277" s="72" t="str">
        <f>IFERROR(IF(G4277="","",VLOOKUP($G4277,[1]基础信息!$B:$C,2,FALSE)+SUMIF(G$8:G4277,G4277,J$8:J4277)-SUMIF(G$8:G4277,G4277,K$8:K4277)+SUMIFS([1]内部转账!$G:$G,[1]内部转账!$C:$C,"&lt;="&amp;$D4277,[1]内部转账!$E:$E,$G4277)-SUMIFS([1]内部转账!$G:$G,[1]内部转账!$C:$C,"&lt;="&amp;$D4277,[1]内部转账!$F:$F,$G4277)),"")</f>
        <v/>
      </c>
      <c r="M4277" s="64"/>
      <c r="N4277" s="69"/>
      <c r="O4277" s="64"/>
      <c r="P4277" s="64"/>
      <c r="Q4277" s="69"/>
      <c r="R4277" s="69"/>
      <c r="S4277" s="69"/>
    </row>
    <row r="4278" s="2" customFormat="1" ht="24.95" customHeight="1" spans="1:19">
      <c r="A4278" s="15"/>
      <c r="B4278" s="55"/>
      <c r="C4278" s="56"/>
      <c r="D4278" s="68"/>
      <c r="E4278" s="69"/>
      <c r="F4278" s="69"/>
      <c r="G4278" s="65"/>
      <c r="H4278" s="65"/>
      <c r="I4278" s="70"/>
      <c r="J4278" s="71"/>
      <c r="K4278" s="71"/>
      <c r="L4278" s="72" t="str">
        <f>IFERROR(IF(G4278="","",VLOOKUP($G4278,[1]基础信息!$B:$C,2,FALSE)+SUMIF(G$8:G4278,G4278,J$8:J4278)-SUMIF(G$8:G4278,G4278,K$8:K4278)+SUMIFS([1]内部转账!$G:$G,[1]内部转账!$C:$C,"&lt;="&amp;$D4278,[1]内部转账!$E:$E,$G4278)-SUMIFS([1]内部转账!$G:$G,[1]内部转账!$C:$C,"&lt;="&amp;$D4278,[1]内部转账!$F:$F,$G4278)),"")</f>
        <v/>
      </c>
      <c r="M4278" s="64"/>
      <c r="N4278" s="69"/>
      <c r="O4278" s="64"/>
      <c r="P4278" s="64"/>
      <c r="Q4278" s="69"/>
      <c r="R4278" s="69"/>
      <c r="S4278" s="69"/>
    </row>
    <row r="4279" s="2" customFormat="1" ht="24.95" customHeight="1" spans="1:19">
      <c r="A4279" s="15"/>
      <c r="B4279" s="55"/>
      <c r="C4279" s="56"/>
      <c r="D4279" s="68"/>
      <c r="E4279" s="69"/>
      <c r="F4279" s="69"/>
      <c r="G4279" s="65"/>
      <c r="H4279" s="65"/>
      <c r="I4279" s="70"/>
      <c r="J4279" s="71"/>
      <c r="K4279" s="71"/>
      <c r="L4279" s="72" t="str">
        <f>IFERROR(IF(G4279="","",VLOOKUP($G4279,[1]基础信息!$B:$C,2,FALSE)+SUMIF(G$8:G4279,G4279,J$8:J4279)-SUMIF(G$8:G4279,G4279,K$8:K4279)+SUMIFS([1]内部转账!$G:$G,[1]内部转账!$C:$C,"&lt;="&amp;$D4279,[1]内部转账!$E:$E,$G4279)-SUMIFS([1]内部转账!$G:$G,[1]内部转账!$C:$C,"&lt;="&amp;$D4279,[1]内部转账!$F:$F,$G4279)),"")</f>
        <v/>
      </c>
      <c r="M4279" s="64"/>
      <c r="N4279" s="69"/>
      <c r="O4279" s="64"/>
      <c r="P4279" s="64"/>
      <c r="Q4279" s="69"/>
      <c r="R4279" s="69"/>
      <c r="S4279" s="69"/>
    </row>
    <row r="4280" s="2" customFormat="1" ht="24.95" customHeight="1" spans="1:19">
      <c r="A4280" s="15"/>
      <c r="B4280" s="55"/>
      <c r="C4280" s="56"/>
      <c r="D4280" s="68"/>
      <c r="E4280" s="69"/>
      <c r="F4280" s="69"/>
      <c r="G4280" s="65"/>
      <c r="H4280" s="65"/>
      <c r="I4280" s="70"/>
      <c r="J4280" s="71"/>
      <c r="K4280" s="71"/>
      <c r="L4280" s="72" t="str">
        <f>IFERROR(IF(G4280="","",VLOOKUP($G4280,[1]基础信息!$B:$C,2,FALSE)+SUMIF(G$8:G4280,G4280,J$8:J4280)-SUMIF(G$8:G4280,G4280,K$8:K4280)+SUMIFS([1]内部转账!$G:$G,[1]内部转账!$C:$C,"&lt;="&amp;$D4280,[1]内部转账!$E:$E,$G4280)-SUMIFS([1]内部转账!$G:$G,[1]内部转账!$C:$C,"&lt;="&amp;$D4280,[1]内部转账!$F:$F,$G4280)),"")</f>
        <v/>
      </c>
      <c r="M4280" s="64"/>
      <c r="N4280" s="69"/>
      <c r="O4280" s="64"/>
      <c r="P4280" s="64"/>
      <c r="Q4280" s="69"/>
      <c r="R4280" s="69"/>
      <c r="S4280" s="69"/>
    </row>
    <row r="4281" s="2" customFormat="1" ht="24.95" customHeight="1" spans="1:19">
      <c r="A4281" s="15"/>
      <c r="B4281" s="55"/>
      <c r="C4281" s="56"/>
      <c r="D4281" s="68"/>
      <c r="E4281" s="69"/>
      <c r="F4281" s="69"/>
      <c r="G4281" s="65"/>
      <c r="H4281" s="65"/>
      <c r="I4281" s="70"/>
      <c r="J4281" s="71"/>
      <c r="K4281" s="71"/>
      <c r="L4281" s="72" t="str">
        <f>IFERROR(IF(G4281="","",VLOOKUP($G4281,[1]基础信息!$B:$C,2,FALSE)+SUMIF(G$8:G4281,G4281,J$8:J4281)-SUMIF(G$8:G4281,G4281,K$8:K4281)+SUMIFS([1]内部转账!$G:$G,[1]内部转账!$C:$C,"&lt;="&amp;$D4281,[1]内部转账!$E:$E,$G4281)-SUMIFS([1]内部转账!$G:$G,[1]内部转账!$C:$C,"&lt;="&amp;$D4281,[1]内部转账!$F:$F,$G4281)),"")</f>
        <v/>
      </c>
      <c r="M4281" s="64"/>
      <c r="N4281" s="69"/>
      <c r="O4281" s="64"/>
      <c r="P4281" s="64"/>
      <c r="Q4281" s="69"/>
      <c r="R4281" s="69"/>
      <c r="S4281" s="69"/>
    </row>
    <row r="4282" s="2" customFormat="1" ht="24.95" customHeight="1" spans="1:19">
      <c r="A4282" s="15"/>
      <c r="B4282" s="55"/>
      <c r="C4282" s="56"/>
      <c r="D4282" s="68"/>
      <c r="E4282" s="69"/>
      <c r="F4282" s="69"/>
      <c r="G4282" s="65"/>
      <c r="H4282" s="65"/>
      <c r="I4282" s="70"/>
      <c r="J4282" s="71"/>
      <c r="K4282" s="71"/>
      <c r="L4282" s="72" t="str">
        <f>IFERROR(IF(G4282="","",VLOOKUP($G4282,[1]基础信息!$B:$C,2,FALSE)+SUMIF(G$8:G4282,G4282,J$8:J4282)-SUMIF(G$8:G4282,G4282,K$8:K4282)+SUMIFS([1]内部转账!$G:$G,[1]内部转账!$C:$C,"&lt;="&amp;$D4282,[1]内部转账!$E:$E,$G4282)-SUMIFS([1]内部转账!$G:$G,[1]内部转账!$C:$C,"&lt;="&amp;$D4282,[1]内部转账!$F:$F,$G4282)),"")</f>
        <v/>
      </c>
      <c r="M4282" s="64"/>
      <c r="N4282" s="69"/>
      <c r="O4282" s="64"/>
      <c r="P4282" s="64"/>
      <c r="Q4282" s="69"/>
      <c r="R4282" s="69"/>
      <c r="S4282" s="69"/>
    </row>
    <row r="4283" s="2" customFormat="1" ht="24.95" customHeight="1" spans="1:19">
      <c r="A4283" s="15"/>
      <c r="B4283" s="55"/>
      <c r="C4283" s="56"/>
      <c r="D4283" s="68"/>
      <c r="E4283" s="69"/>
      <c r="F4283" s="69"/>
      <c r="G4283" s="65"/>
      <c r="H4283" s="65"/>
      <c r="I4283" s="70"/>
      <c r="J4283" s="71"/>
      <c r="K4283" s="71"/>
      <c r="L4283" s="72" t="str">
        <f>IFERROR(IF(G4283="","",VLOOKUP($G4283,[1]基础信息!$B:$C,2,FALSE)+SUMIF(G$8:G4283,G4283,J$8:J4283)-SUMIF(G$8:G4283,G4283,K$8:K4283)+SUMIFS([1]内部转账!$G:$G,[1]内部转账!$C:$C,"&lt;="&amp;$D4283,[1]内部转账!$E:$E,$G4283)-SUMIFS([1]内部转账!$G:$G,[1]内部转账!$C:$C,"&lt;="&amp;$D4283,[1]内部转账!$F:$F,$G4283)),"")</f>
        <v/>
      </c>
      <c r="M4283" s="64"/>
      <c r="N4283" s="69"/>
      <c r="O4283" s="64"/>
      <c r="P4283" s="64"/>
      <c r="Q4283" s="69"/>
      <c r="R4283" s="69"/>
      <c r="S4283" s="69"/>
    </row>
    <row r="4284" s="2" customFormat="1" ht="24.95" customHeight="1" spans="1:19">
      <c r="A4284" s="15"/>
      <c r="B4284" s="55"/>
      <c r="C4284" s="56"/>
      <c r="D4284" s="68"/>
      <c r="E4284" s="69"/>
      <c r="F4284" s="69"/>
      <c r="G4284" s="65"/>
      <c r="H4284" s="65"/>
      <c r="I4284" s="70"/>
      <c r="J4284" s="71"/>
      <c r="K4284" s="71"/>
      <c r="L4284" s="72" t="str">
        <f>IFERROR(IF(G4284="","",VLOOKUP($G4284,[1]基础信息!$B:$C,2,FALSE)+SUMIF(G$8:G4284,G4284,J$8:J4284)-SUMIF(G$8:G4284,G4284,K$8:K4284)+SUMIFS([1]内部转账!$G:$G,[1]内部转账!$C:$C,"&lt;="&amp;$D4284,[1]内部转账!$E:$E,$G4284)-SUMIFS([1]内部转账!$G:$G,[1]内部转账!$C:$C,"&lt;="&amp;$D4284,[1]内部转账!$F:$F,$G4284)),"")</f>
        <v/>
      </c>
      <c r="M4284" s="64"/>
      <c r="N4284" s="69"/>
      <c r="O4284" s="64"/>
      <c r="P4284" s="64"/>
      <c r="Q4284" s="69"/>
      <c r="R4284" s="69"/>
      <c r="S4284" s="69"/>
    </row>
    <row r="4285" s="2" customFormat="1" ht="24.95" customHeight="1" spans="1:19">
      <c r="A4285" s="15"/>
      <c r="B4285" s="55"/>
      <c r="C4285" s="56"/>
      <c r="D4285" s="68"/>
      <c r="E4285" s="69"/>
      <c r="F4285" s="69"/>
      <c r="G4285" s="65"/>
      <c r="H4285" s="65"/>
      <c r="I4285" s="70"/>
      <c r="J4285" s="71"/>
      <c r="K4285" s="71"/>
      <c r="L4285" s="72" t="str">
        <f>IFERROR(IF(G4285="","",VLOOKUP($G4285,[1]基础信息!$B:$C,2,FALSE)+SUMIF(G$8:G4285,G4285,J$8:J4285)-SUMIF(G$8:G4285,G4285,K$8:K4285)+SUMIFS([1]内部转账!$G:$G,[1]内部转账!$C:$C,"&lt;="&amp;$D4285,[1]内部转账!$E:$E,$G4285)-SUMIFS([1]内部转账!$G:$G,[1]内部转账!$C:$C,"&lt;="&amp;$D4285,[1]内部转账!$F:$F,$G4285)),"")</f>
        <v/>
      </c>
      <c r="M4285" s="64"/>
      <c r="N4285" s="69"/>
      <c r="O4285" s="64"/>
      <c r="P4285" s="64"/>
      <c r="Q4285" s="69"/>
      <c r="R4285" s="69"/>
      <c r="S4285" s="69"/>
    </row>
    <row r="4286" s="2" customFormat="1" ht="24.95" customHeight="1" spans="1:19">
      <c r="A4286" s="15"/>
      <c r="B4286" s="55"/>
      <c r="C4286" s="56"/>
      <c r="D4286" s="68"/>
      <c r="E4286" s="69"/>
      <c r="F4286" s="69"/>
      <c r="G4286" s="65"/>
      <c r="H4286" s="65"/>
      <c r="I4286" s="70"/>
      <c r="J4286" s="71"/>
      <c r="K4286" s="71"/>
      <c r="L4286" s="72" t="str">
        <f>IFERROR(IF(G4286="","",VLOOKUP($G4286,[1]基础信息!$B:$C,2,FALSE)+SUMIF(G$8:G4286,G4286,J$8:J4286)-SUMIF(G$8:G4286,G4286,K$8:K4286)+SUMIFS([1]内部转账!$G:$G,[1]内部转账!$C:$C,"&lt;="&amp;$D4286,[1]内部转账!$E:$E,$G4286)-SUMIFS([1]内部转账!$G:$G,[1]内部转账!$C:$C,"&lt;="&amp;$D4286,[1]内部转账!$F:$F,$G4286)),"")</f>
        <v/>
      </c>
      <c r="M4286" s="64"/>
      <c r="N4286" s="69"/>
      <c r="O4286" s="64"/>
      <c r="P4286" s="64"/>
      <c r="Q4286" s="69"/>
      <c r="R4286" s="69"/>
      <c r="S4286" s="69"/>
    </row>
    <row r="4287" s="2" customFormat="1" ht="24.95" customHeight="1" spans="1:19">
      <c r="A4287" s="15"/>
      <c r="B4287" s="55"/>
      <c r="C4287" s="56"/>
      <c r="D4287" s="68"/>
      <c r="E4287" s="69"/>
      <c r="F4287" s="69"/>
      <c r="G4287" s="65"/>
      <c r="H4287" s="65"/>
      <c r="I4287" s="70"/>
      <c r="J4287" s="71"/>
      <c r="K4287" s="71"/>
      <c r="L4287" s="72" t="str">
        <f>IFERROR(IF(G4287="","",VLOOKUP($G4287,[1]基础信息!$B:$C,2,FALSE)+SUMIF(G$8:G4287,G4287,J$8:J4287)-SUMIF(G$8:G4287,G4287,K$8:K4287)+SUMIFS([1]内部转账!$G:$G,[1]内部转账!$C:$C,"&lt;="&amp;$D4287,[1]内部转账!$E:$E,$G4287)-SUMIFS([1]内部转账!$G:$G,[1]内部转账!$C:$C,"&lt;="&amp;$D4287,[1]内部转账!$F:$F,$G4287)),"")</f>
        <v/>
      </c>
      <c r="M4287" s="64"/>
      <c r="N4287" s="69"/>
      <c r="O4287" s="64"/>
      <c r="P4287" s="64"/>
      <c r="Q4287" s="69"/>
      <c r="R4287" s="69"/>
      <c r="S4287" s="69"/>
    </row>
    <row r="4288" s="2" customFormat="1" ht="24.95" customHeight="1" spans="1:19">
      <c r="A4288" s="15"/>
      <c r="B4288" s="55"/>
      <c r="C4288" s="56"/>
      <c r="D4288" s="68"/>
      <c r="E4288" s="69"/>
      <c r="F4288" s="69"/>
      <c r="G4288" s="65"/>
      <c r="H4288" s="65"/>
      <c r="I4288" s="70"/>
      <c r="J4288" s="71"/>
      <c r="K4288" s="71"/>
      <c r="L4288" s="72" t="str">
        <f>IFERROR(IF(G4288="","",VLOOKUP($G4288,[1]基础信息!$B:$C,2,FALSE)+SUMIF(G$8:G4288,G4288,J$8:J4288)-SUMIF(G$8:G4288,G4288,K$8:K4288)+SUMIFS([1]内部转账!$G:$G,[1]内部转账!$C:$C,"&lt;="&amp;$D4288,[1]内部转账!$E:$E,$G4288)-SUMIFS([1]内部转账!$G:$G,[1]内部转账!$C:$C,"&lt;="&amp;$D4288,[1]内部转账!$F:$F,$G4288)),"")</f>
        <v/>
      </c>
      <c r="M4288" s="64"/>
      <c r="N4288" s="69"/>
      <c r="O4288" s="64"/>
      <c r="P4288" s="64"/>
      <c r="Q4288" s="69"/>
      <c r="R4288" s="69"/>
      <c r="S4288" s="69"/>
    </row>
    <row r="4289" s="2" customFormat="1" ht="24.95" customHeight="1" spans="1:19">
      <c r="A4289" s="15"/>
      <c r="B4289" s="55"/>
      <c r="C4289" s="56"/>
      <c r="D4289" s="68"/>
      <c r="E4289" s="69"/>
      <c r="F4289" s="69"/>
      <c r="G4289" s="65"/>
      <c r="H4289" s="65"/>
      <c r="I4289" s="70"/>
      <c r="J4289" s="71"/>
      <c r="K4289" s="71"/>
      <c r="L4289" s="72" t="str">
        <f>IFERROR(IF(G4289="","",VLOOKUP($G4289,[1]基础信息!$B:$C,2,FALSE)+SUMIF(G$8:G4289,G4289,J$8:J4289)-SUMIF(G$8:G4289,G4289,K$8:K4289)+SUMIFS([1]内部转账!$G:$G,[1]内部转账!$C:$C,"&lt;="&amp;$D4289,[1]内部转账!$E:$E,$G4289)-SUMIFS([1]内部转账!$G:$G,[1]内部转账!$C:$C,"&lt;="&amp;$D4289,[1]内部转账!$F:$F,$G4289)),"")</f>
        <v/>
      </c>
      <c r="M4289" s="64"/>
      <c r="N4289" s="69"/>
      <c r="O4289" s="64"/>
      <c r="P4289" s="64"/>
      <c r="Q4289" s="69"/>
      <c r="R4289" s="69"/>
      <c r="S4289" s="69"/>
    </row>
    <row r="4290" s="2" customFormat="1" ht="24.95" customHeight="1" spans="1:19">
      <c r="A4290" s="15"/>
      <c r="B4290" s="55"/>
      <c r="C4290" s="56"/>
      <c r="D4290" s="68"/>
      <c r="E4290" s="69"/>
      <c r="F4290" s="69"/>
      <c r="G4290" s="65"/>
      <c r="H4290" s="65"/>
      <c r="I4290" s="70"/>
      <c r="J4290" s="71"/>
      <c r="K4290" s="71"/>
      <c r="L4290" s="72" t="str">
        <f>IFERROR(IF(G4290="","",VLOOKUP($G4290,[1]基础信息!$B:$C,2,FALSE)+SUMIF(G$8:G4290,G4290,J$8:J4290)-SUMIF(G$8:G4290,G4290,K$8:K4290)+SUMIFS([1]内部转账!$G:$G,[1]内部转账!$C:$C,"&lt;="&amp;$D4290,[1]内部转账!$E:$E,$G4290)-SUMIFS([1]内部转账!$G:$G,[1]内部转账!$C:$C,"&lt;="&amp;$D4290,[1]内部转账!$F:$F,$G4290)),"")</f>
        <v/>
      </c>
      <c r="M4290" s="64"/>
      <c r="N4290" s="69"/>
      <c r="O4290" s="64"/>
      <c r="P4290" s="64"/>
      <c r="Q4290" s="69"/>
      <c r="R4290" s="69"/>
      <c r="S4290" s="69"/>
    </row>
    <row r="4291" s="2" customFormat="1" ht="24.95" customHeight="1" spans="1:19">
      <c r="A4291" s="15"/>
      <c r="B4291" s="55"/>
      <c r="C4291" s="56"/>
      <c r="D4291" s="68"/>
      <c r="E4291" s="69"/>
      <c r="F4291" s="69"/>
      <c r="G4291" s="65"/>
      <c r="H4291" s="65"/>
      <c r="I4291" s="70"/>
      <c r="J4291" s="71"/>
      <c r="K4291" s="71"/>
      <c r="L4291" s="72" t="str">
        <f>IFERROR(IF(G4291="","",VLOOKUP($G4291,[1]基础信息!$B:$C,2,FALSE)+SUMIF(G$8:G4291,G4291,J$8:J4291)-SUMIF(G$8:G4291,G4291,K$8:K4291)+SUMIFS([1]内部转账!$G:$G,[1]内部转账!$C:$C,"&lt;="&amp;$D4291,[1]内部转账!$E:$E,$G4291)-SUMIFS([1]内部转账!$G:$G,[1]内部转账!$C:$C,"&lt;="&amp;$D4291,[1]内部转账!$F:$F,$G4291)),"")</f>
        <v/>
      </c>
      <c r="M4291" s="64"/>
      <c r="N4291" s="69"/>
      <c r="O4291" s="64"/>
      <c r="P4291" s="64"/>
      <c r="Q4291" s="69"/>
      <c r="R4291" s="69"/>
      <c r="S4291" s="69"/>
    </row>
    <row r="4292" s="2" customFormat="1" ht="24.95" customHeight="1" spans="1:19">
      <c r="A4292" s="15"/>
      <c r="B4292" s="55"/>
      <c r="C4292" s="56"/>
      <c r="D4292" s="68"/>
      <c r="E4292" s="69"/>
      <c r="F4292" s="69"/>
      <c r="G4292" s="65"/>
      <c r="H4292" s="65"/>
      <c r="I4292" s="70"/>
      <c r="J4292" s="71"/>
      <c r="K4292" s="71"/>
      <c r="L4292" s="72" t="str">
        <f>IFERROR(IF(G4292="","",VLOOKUP($G4292,[1]基础信息!$B:$C,2,FALSE)+SUMIF(G$8:G4292,G4292,J$8:J4292)-SUMIF(G$8:G4292,G4292,K$8:K4292)+SUMIFS([1]内部转账!$G:$G,[1]内部转账!$C:$C,"&lt;="&amp;$D4292,[1]内部转账!$E:$E,$G4292)-SUMIFS([1]内部转账!$G:$G,[1]内部转账!$C:$C,"&lt;="&amp;$D4292,[1]内部转账!$F:$F,$G4292)),"")</f>
        <v/>
      </c>
      <c r="M4292" s="64"/>
      <c r="N4292" s="69"/>
      <c r="O4292" s="64"/>
      <c r="P4292" s="64"/>
      <c r="Q4292" s="69"/>
      <c r="R4292" s="69"/>
      <c r="S4292" s="69"/>
    </row>
    <row r="4293" s="2" customFormat="1" ht="24.95" customHeight="1" spans="1:19">
      <c r="A4293" s="15"/>
      <c r="B4293" s="55"/>
      <c r="C4293" s="56"/>
      <c r="D4293" s="68"/>
      <c r="E4293" s="69"/>
      <c r="F4293" s="69"/>
      <c r="G4293" s="65"/>
      <c r="H4293" s="65"/>
      <c r="I4293" s="70"/>
      <c r="J4293" s="71"/>
      <c r="K4293" s="71"/>
      <c r="L4293" s="72" t="str">
        <f>IFERROR(IF(G4293="","",VLOOKUP($G4293,[1]基础信息!$B:$C,2,FALSE)+SUMIF(G$8:G4293,G4293,J$8:J4293)-SUMIF(G$8:G4293,G4293,K$8:K4293)+SUMIFS([1]内部转账!$G:$G,[1]内部转账!$C:$C,"&lt;="&amp;$D4293,[1]内部转账!$E:$E,$G4293)-SUMIFS([1]内部转账!$G:$G,[1]内部转账!$C:$C,"&lt;="&amp;$D4293,[1]内部转账!$F:$F,$G4293)),"")</f>
        <v/>
      </c>
      <c r="M4293" s="64"/>
      <c r="N4293" s="69"/>
      <c r="O4293" s="64"/>
      <c r="P4293" s="64"/>
      <c r="Q4293" s="69"/>
      <c r="R4293" s="69"/>
      <c r="S4293" s="69"/>
    </row>
    <row r="4294" s="2" customFormat="1" ht="24.95" customHeight="1" spans="1:19">
      <c r="A4294" s="15"/>
      <c r="B4294" s="55"/>
      <c r="C4294" s="56"/>
      <c r="D4294" s="68"/>
      <c r="E4294" s="69"/>
      <c r="F4294" s="69"/>
      <c r="G4294" s="65"/>
      <c r="H4294" s="65"/>
      <c r="I4294" s="70"/>
      <c r="J4294" s="71"/>
      <c r="K4294" s="71"/>
      <c r="L4294" s="72" t="str">
        <f>IFERROR(IF(G4294="","",VLOOKUP($G4294,[1]基础信息!$B:$C,2,FALSE)+SUMIF(G$8:G4294,G4294,J$8:J4294)-SUMIF(G$8:G4294,G4294,K$8:K4294)+SUMIFS([1]内部转账!$G:$G,[1]内部转账!$C:$C,"&lt;="&amp;$D4294,[1]内部转账!$E:$E,$G4294)-SUMIFS([1]内部转账!$G:$G,[1]内部转账!$C:$C,"&lt;="&amp;$D4294,[1]内部转账!$F:$F,$G4294)),"")</f>
        <v/>
      </c>
      <c r="M4294" s="64"/>
      <c r="N4294" s="69"/>
      <c r="O4294" s="64"/>
      <c r="P4294" s="64"/>
      <c r="Q4294" s="69"/>
      <c r="R4294" s="69"/>
      <c r="S4294" s="69"/>
    </row>
    <row r="4295" s="2" customFormat="1" ht="24.95" customHeight="1" spans="1:19">
      <c r="A4295" s="15"/>
      <c r="B4295" s="55"/>
      <c r="C4295" s="56"/>
      <c r="D4295" s="68"/>
      <c r="E4295" s="69"/>
      <c r="F4295" s="69"/>
      <c r="G4295" s="65"/>
      <c r="H4295" s="65"/>
      <c r="I4295" s="70"/>
      <c r="J4295" s="71"/>
      <c r="K4295" s="71"/>
      <c r="L4295" s="72" t="str">
        <f>IFERROR(IF(G4295="","",VLOOKUP($G4295,[1]基础信息!$B:$C,2,FALSE)+SUMIF(G$8:G4295,G4295,J$8:J4295)-SUMIF(G$8:G4295,G4295,K$8:K4295)+SUMIFS([1]内部转账!$G:$G,[1]内部转账!$C:$C,"&lt;="&amp;$D4295,[1]内部转账!$E:$E,$G4295)-SUMIFS([1]内部转账!$G:$G,[1]内部转账!$C:$C,"&lt;="&amp;$D4295,[1]内部转账!$F:$F,$G4295)),"")</f>
        <v/>
      </c>
      <c r="M4295" s="64"/>
      <c r="N4295" s="69"/>
      <c r="O4295" s="64"/>
      <c r="P4295" s="64"/>
      <c r="Q4295" s="69"/>
      <c r="R4295" s="69"/>
      <c r="S4295" s="69"/>
    </row>
    <row r="4296" s="2" customFormat="1" ht="24.95" customHeight="1" spans="1:19">
      <c r="A4296" s="15"/>
      <c r="B4296" s="55"/>
      <c r="C4296" s="56"/>
      <c r="D4296" s="68"/>
      <c r="E4296" s="69"/>
      <c r="F4296" s="69"/>
      <c r="G4296" s="65"/>
      <c r="H4296" s="65"/>
      <c r="I4296" s="70"/>
      <c r="J4296" s="71"/>
      <c r="K4296" s="71"/>
      <c r="L4296" s="72" t="str">
        <f>IFERROR(IF(G4296="","",VLOOKUP($G4296,[1]基础信息!$B:$C,2,FALSE)+SUMIF(G$8:G4296,G4296,J$8:J4296)-SUMIF(G$8:G4296,G4296,K$8:K4296)+SUMIFS([1]内部转账!$G:$G,[1]内部转账!$C:$C,"&lt;="&amp;$D4296,[1]内部转账!$E:$E,$G4296)-SUMIFS([1]内部转账!$G:$G,[1]内部转账!$C:$C,"&lt;="&amp;$D4296,[1]内部转账!$F:$F,$G4296)),"")</f>
        <v/>
      </c>
      <c r="M4296" s="64"/>
      <c r="N4296" s="69"/>
      <c r="O4296" s="64"/>
      <c r="P4296" s="64"/>
      <c r="Q4296" s="69"/>
      <c r="R4296" s="69"/>
      <c r="S4296" s="69"/>
    </row>
    <row r="4297" s="2" customFormat="1" ht="24.95" customHeight="1" spans="1:19">
      <c r="A4297" s="15"/>
      <c r="B4297" s="55"/>
      <c r="C4297" s="56"/>
      <c r="D4297" s="68"/>
      <c r="E4297" s="69"/>
      <c r="F4297" s="69"/>
      <c r="G4297" s="65"/>
      <c r="H4297" s="65"/>
      <c r="I4297" s="70"/>
      <c r="J4297" s="71"/>
      <c r="K4297" s="71"/>
      <c r="L4297" s="72" t="str">
        <f>IFERROR(IF(G4297="","",VLOOKUP($G4297,[1]基础信息!$B:$C,2,FALSE)+SUMIF(G$8:G4297,G4297,J$8:J4297)-SUMIF(G$8:G4297,G4297,K$8:K4297)+SUMIFS([1]内部转账!$G:$G,[1]内部转账!$C:$C,"&lt;="&amp;$D4297,[1]内部转账!$E:$E,$G4297)-SUMIFS([1]内部转账!$G:$G,[1]内部转账!$C:$C,"&lt;="&amp;$D4297,[1]内部转账!$F:$F,$G4297)),"")</f>
        <v/>
      </c>
      <c r="M4297" s="64"/>
      <c r="N4297" s="69"/>
      <c r="O4297" s="64"/>
      <c r="P4297" s="64"/>
      <c r="Q4297" s="69"/>
      <c r="R4297" s="69"/>
      <c r="S4297" s="69"/>
    </row>
    <row r="4298" s="2" customFormat="1" ht="24.95" customHeight="1" spans="1:19">
      <c r="A4298" s="15"/>
      <c r="B4298" s="55"/>
      <c r="C4298" s="56"/>
      <c r="D4298" s="68"/>
      <c r="E4298" s="69"/>
      <c r="F4298" s="69"/>
      <c r="G4298" s="65"/>
      <c r="H4298" s="65"/>
      <c r="I4298" s="70"/>
      <c r="J4298" s="71"/>
      <c r="K4298" s="71"/>
      <c r="L4298" s="72" t="str">
        <f>IFERROR(IF(G4298="","",VLOOKUP($G4298,[1]基础信息!$B:$C,2,FALSE)+SUMIF(G$8:G4298,G4298,J$8:J4298)-SUMIF(G$8:G4298,G4298,K$8:K4298)+SUMIFS([1]内部转账!$G:$G,[1]内部转账!$C:$C,"&lt;="&amp;$D4298,[1]内部转账!$E:$E,$G4298)-SUMIFS([1]内部转账!$G:$G,[1]内部转账!$C:$C,"&lt;="&amp;$D4298,[1]内部转账!$F:$F,$G4298)),"")</f>
        <v/>
      </c>
      <c r="M4298" s="64"/>
      <c r="N4298" s="69"/>
      <c r="O4298" s="64"/>
      <c r="P4298" s="64"/>
      <c r="Q4298" s="69"/>
      <c r="R4298" s="69"/>
      <c r="S4298" s="69"/>
    </row>
    <row r="4299" s="2" customFormat="1" ht="24.95" customHeight="1" spans="1:19">
      <c r="A4299" s="15"/>
      <c r="B4299" s="55"/>
      <c r="C4299" s="56"/>
      <c r="D4299" s="68"/>
      <c r="E4299" s="69"/>
      <c r="F4299" s="69"/>
      <c r="G4299" s="65"/>
      <c r="H4299" s="65"/>
      <c r="I4299" s="70"/>
      <c r="J4299" s="71"/>
      <c r="K4299" s="71"/>
      <c r="L4299" s="72" t="str">
        <f>IFERROR(IF(G4299="","",VLOOKUP($G4299,[1]基础信息!$B:$C,2,FALSE)+SUMIF(G$8:G4299,G4299,J$8:J4299)-SUMIF(G$8:G4299,G4299,K$8:K4299)+SUMIFS([1]内部转账!$G:$G,[1]内部转账!$C:$C,"&lt;="&amp;$D4299,[1]内部转账!$E:$E,$G4299)-SUMIFS([1]内部转账!$G:$G,[1]内部转账!$C:$C,"&lt;="&amp;$D4299,[1]内部转账!$F:$F,$G4299)),"")</f>
        <v/>
      </c>
      <c r="M4299" s="64"/>
      <c r="N4299" s="69"/>
      <c r="O4299" s="64"/>
      <c r="P4299" s="64"/>
      <c r="Q4299" s="69"/>
      <c r="R4299" s="69"/>
      <c r="S4299" s="69"/>
    </row>
    <row r="4300" s="2" customFormat="1" ht="24.95" customHeight="1" spans="1:19">
      <c r="A4300" s="15"/>
      <c r="B4300" s="55"/>
      <c r="C4300" s="56"/>
      <c r="D4300" s="68"/>
      <c r="E4300" s="69"/>
      <c r="F4300" s="69"/>
      <c r="G4300" s="65"/>
      <c r="H4300" s="65"/>
      <c r="I4300" s="70"/>
      <c r="J4300" s="71"/>
      <c r="K4300" s="71"/>
      <c r="L4300" s="72" t="str">
        <f>IFERROR(IF(G4300="","",VLOOKUP($G4300,[1]基础信息!$B:$C,2,FALSE)+SUMIF(G$8:G4300,G4300,J$8:J4300)-SUMIF(G$8:G4300,G4300,K$8:K4300)+SUMIFS([1]内部转账!$G:$G,[1]内部转账!$C:$C,"&lt;="&amp;$D4300,[1]内部转账!$E:$E,$G4300)-SUMIFS([1]内部转账!$G:$G,[1]内部转账!$C:$C,"&lt;="&amp;$D4300,[1]内部转账!$F:$F,$G4300)),"")</f>
        <v/>
      </c>
      <c r="M4300" s="64"/>
      <c r="N4300" s="69"/>
      <c r="O4300" s="64"/>
      <c r="P4300" s="64"/>
      <c r="Q4300" s="69"/>
      <c r="R4300" s="69"/>
      <c r="S4300" s="69"/>
    </row>
    <row r="4301" s="2" customFormat="1" ht="24.95" customHeight="1" spans="1:19">
      <c r="A4301" s="15"/>
      <c r="B4301" s="55"/>
      <c r="C4301" s="56"/>
      <c r="D4301" s="68"/>
      <c r="E4301" s="69"/>
      <c r="F4301" s="69"/>
      <c r="G4301" s="65"/>
      <c r="H4301" s="65"/>
      <c r="I4301" s="70"/>
      <c r="J4301" s="71"/>
      <c r="K4301" s="71"/>
      <c r="L4301" s="72" t="str">
        <f>IFERROR(IF(G4301="","",VLOOKUP($G4301,[1]基础信息!$B:$C,2,FALSE)+SUMIF(G$8:G4301,G4301,J$8:J4301)-SUMIF(G$8:G4301,G4301,K$8:K4301)+SUMIFS([1]内部转账!$G:$G,[1]内部转账!$C:$C,"&lt;="&amp;$D4301,[1]内部转账!$E:$E,$G4301)-SUMIFS([1]内部转账!$G:$G,[1]内部转账!$C:$C,"&lt;="&amp;$D4301,[1]内部转账!$F:$F,$G4301)),"")</f>
        <v/>
      </c>
      <c r="M4301" s="64"/>
      <c r="N4301" s="69"/>
      <c r="O4301" s="64"/>
      <c r="P4301" s="64"/>
      <c r="Q4301" s="69"/>
      <c r="R4301" s="69"/>
      <c r="S4301" s="69"/>
    </row>
    <row r="4302" s="2" customFormat="1" ht="24.95" customHeight="1" spans="1:19">
      <c r="A4302" s="15"/>
      <c r="B4302" s="55"/>
      <c r="C4302" s="56"/>
      <c r="D4302" s="68"/>
      <c r="E4302" s="69"/>
      <c r="F4302" s="69"/>
      <c r="G4302" s="65"/>
      <c r="H4302" s="65"/>
      <c r="I4302" s="70"/>
      <c r="J4302" s="71"/>
      <c r="K4302" s="71"/>
      <c r="L4302" s="72" t="str">
        <f>IFERROR(IF(G4302="","",VLOOKUP($G4302,[1]基础信息!$B:$C,2,FALSE)+SUMIF(G$8:G4302,G4302,J$8:J4302)-SUMIF(G$8:G4302,G4302,K$8:K4302)+SUMIFS([1]内部转账!$G:$G,[1]内部转账!$C:$C,"&lt;="&amp;$D4302,[1]内部转账!$E:$E,$G4302)-SUMIFS([1]内部转账!$G:$G,[1]内部转账!$C:$C,"&lt;="&amp;$D4302,[1]内部转账!$F:$F,$G4302)),"")</f>
        <v/>
      </c>
      <c r="M4302" s="64"/>
      <c r="N4302" s="69"/>
      <c r="O4302" s="64"/>
      <c r="P4302" s="64"/>
      <c r="Q4302" s="69"/>
      <c r="R4302" s="69"/>
      <c r="S4302" s="69"/>
    </row>
    <row r="4303" s="2" customFormat="1" ht="24.95" customHeight="1" spans="1:19">
      <c r="A4303" s="15"/>
      <c r="B4303" s="55"/>
      <c r="C4303" s="56"/>
      <c r="D4303" s="68"/>
      <c r="E4303" s="69"/>
      <c r="F4303" s="69"/>
      <c r="G4303" s="65"/>
      <c r="H4303" s="65"/>
      <c r="I4303" s="70"/>
      <c r="J4303" s="71"/>
      <c r="K4303" s="71"/>
      <c r="L4303" s="72" t="str">
        <f>IFERROR(IF(G4303="","",VLOOKUP($G4303,[1]基础信息!$B:$C,2,FALSE)+SUMIF(G$8:G4303,G4303,J$8:J4303)-SUMIF(G$8:G4303,G4303,K$8:K4303)+SUMIFS([1]内部转账!$G:$G,[1]内部转账!$C:$C,"&lt;="&amp;$D4303,[1]内部转账!$E:$E,$G4303)-SUMIFS([1]内部转账!$G:$G,[1]内部转账!$C:$C,"&lt;="&amp;$D4303,[1]内部转账!$F:$F,$G4303)),"")</f>
        <v/>
      </c>
      <c r="M4303" s="64"/>
      <c r="N4303" s="69"/>
      <c r="O4303" s="64"/>
      <c r="P4303" s="64"/>
      <c r="Q4303" s="69"/>
      <c r="R4303" s="69"/>
      <c r="S4303" s="69"/>
    </row>
    <row r="4304" s="2" customFormat="1" ht="24.95" customHeight="1" spans="1:19">
      <c r="A4304" s="15"/>
      <c r="B4304" s="55"/>
      <c r="C4304" s="56"/>
      <c r="D4304" s="68"/>
      <c r="E4304" s="69"/>
      <c r="F4304" s="69"/>
      <c r="G4304" s="65"/>
      <c r="H4304" s="65"/>
      <c r="I4304" s="70"/>
      <c r="J4304" s="71"/>
      <c r="K4304" s="71"/>
      <c r="L4304" s="72" t="str">
        <f>IFERROR(IF(G4304="","",VLOOKUP($G4304,[1]基础信息!$B:$C,2,FALSE)+SUMIF(G$8:G4304,G4304,J$8:J4304)-SUMIF(G$8:G4304,G4304,K$8:K4304)+SUMIFS([1]内部转账!$G:$G,[1]内部转账!$C:$C,"&lt;="&amp;$D4304,[1]内部转账!$E:$E,$G4304)-SUMIFS([1]内部转账!$G:$G,[1]内部转账!$C:$C,"&lt;="&amp;$D4304,[1]内部转账!$F:$F,$G4304)),"")</f>
        <v/>
      </c>
      <c r="M4304" s="64"/>
      <c r="N4304" s="69"/>
      <c r="O4304" s="64"/>
      <c r="P4304" s="64"/>
      <c r="Q4304" s="69"/>
      <c r="R4304" s="69"/>
      <c r="S4304" s="69"/>
    </row>
    <row r="4305" s="2" customFormat="1" ht="24.95" customHeight="1" spans="1:19">
      <c r="A4305" s="15"/>
      <c r="B4305" s="55"/>
      <c r="C4305" s="56"/>
      <c r="D4305" s="68"/>
      <c r="E4305" s="69"/>
      <c r="F4305" s="69"/>
      <c r="G4305" s="65"/>
      <c r="H4305" s="65"/>
      <c r="I4305" s="70"/>
      <c r="J4305" s="71"/>
      <c r="K4305" s="71"/>
      <c r="L4305" s="72" t="str">
        <f>IFERROR(IF(G4305="","",VLOOKUP($G4305,[1]基础信息!$B:$C,2,FALSE)+SUMIF(G$8:G4305,G4305,J$8:J4305)-SUMIF(G$8:G4305,G4305,K$8:K4305)+SUMIFS([1]内部转账!$G:$G,[1]内部转账!$C:$C,"&lt;="&amp;$D4305,[1]内部转账!$E:$E,$G4305)-SUMIFS([1]内部转账!$G:$G,[1]内部转账!$C:$C,"&lt;="&amp;$D4305,[1]内部转账!$F:$F,$G4305)),"")</f>
        <v/>
      </c>
      <c r="M4305" s="64"/>
      <c r="N4305" s="69"/>
      <c r="O4305" s="64"/>
      <c r="P4305" s="64"/>
      <c r="Q4305" s="69"/>
      <c r="R4305" s="69"/>
      <c r="S4305" s="69"/>
    </row>
    <row r="4306" s="2" customFormat="1" ht="24.95" customHeight="1" spans="1:19">
      <c r="A4306" s="15"/>
      <c r="B4306" s="55"/>
      <c r="C4306" s="56"/>
      <c r="D4306" s="68"/>
      <c r="E4306" s="69"/>
      <c r="F4306" s="69"/>
      <c r="G4306" s="65"/>
      <c r="H4306" s="65"/>
      <c r="I4306" s="70"/>
      <c r="J4306" s="71"/>
      <c r="K4306" s="71"/>
      <c r="L4306" s="72" t="str">
        <f>IFERROR(IF(G4306="","",VLOOKUP($G4306,[1]基础信息!$B:$C,2,FALSE)+SUMIF(G$8:G4306,G4306,J$8:J4306)-SUMIF(G$8:G4306,G4306,K$8:K4306)+SUMIFS([1]内部转账!$G:$G,[1]内部转账!$C:$C,"&lt;="&amp;$D4306,[1]内部转账!$E:$E,$G4306)-SUMIFS([1]内部转账!$G:$G,[1]内部转账!$C:$C,"&lt;="&amp;$D4306,[1]内部转账!$F:$F,$G4306)),"")</f>
        <v/>
      </c>
      <c r="M4306" s="64"/>
      <c r="N4306" s="69"/>
      <c r="O4306" s="64"/>
      <c r="P4306" s="64"/>
      <c r="Q4306" s="69"/>
      <c r="R4306" s="69"/>
      <c r="S4306" s="69"/>
    </row>
    <row r="4307" s="2" customFormat="1" ht="24.95" customHeight="1" spans="1:19">
      <c r="A4307" s="15"/>
      <c r="B4307" s="55"/>
      <c r="C4307" s="56"/>
      <c r="D4307" s="68"/>
      <c r="E4307" s="69"/>
      <c r="F4307" s="69"/>
      <c r="G4307" s="65"/>
      <c r="H4307" s="65"/>
      <c r="I4307" s="70"/>
      <c r="J4307" s="71"/>
      <c r="K4307" s="71"/>
      <c r="L4307" s="72" t="str">
        <f>IFERROR(IF(G4307="","",VLOOKUP($G4307,[1]基础信息!$B:$C,2,FALSE)+SUMIF(G$8:G4307,G4307,J$8:J4307)-SUMIF(G$8:G4307,G4307,K$8:K4307)+SUMIFS([1]内部转账!$G:$G,[1]内部转账!$C:$C,"&lt;="&amp;$D4307,[1]内部转账!$E:$E,$G4307)-SUMIFS([1]内部转账!$G:$G,[1]内部转账!$C:$C,"&lt;="&amp;$D4307,[1]内部转账!$F:$F,$G4307)),"")</f>
        <v/>
      </c>
      <c r="M4307" s="64"/>
      <c r="N4307" s="69"/>
      <c r="O4307" s="64"/>
      <c r="P4307" s="64"/>
      <c r="Q4307" s="69"/>
      <c r="R4307" s="69"/>
      <c r="S4307" s="69"/>
    </row>
    <row r="4308" s="2" customFormat="1" ht="24.95" customHeight="1" spans="1:19">
      <c r="A4308" s="15"/>
      <c r="B4308" s="55"/>
      <c r="C4308" s="56"/>
      <c r="D4308" s="68"/>
      <c r="E4308" s="69"/>
      <c r="F4308" s="69"/>
      <c r="G4308" s="65"/>
      <c r="H4308" s="65"/>
      <c r="I4308" s="70"/>
      <c r="J4308" s="71"/>
      <c r="K4308" s="71"/>
      <c r="L4308" s="72" t="str">
        <f>IFERROR(IF(G4308="","",VLOOKUP($G4308,[1]基础信息!$B:$C,2,FALSE)+SUMIF(G$8:G4308,G4308,J$8:J4308)-SUMIF(G$8:G4308,G4308,K$8:K4308)+SUMIFS([1]内部转账!$G:$G,[1]内部转账!$C:$C,"&lt;="&amp;$D4308,[1]内部转账!$E:$E,$G4308)-SUMIFS([1]内部转账!$G:$G,[1]内部转账!$C:$C,"&lt;="&amp;$D4308,[1]内部转账!$F:$F,$G4308)),"")</f>
        <v/>
      </c>
      <c r="M4308" s="64"/>
      <c r="N4308" s="69"/>
      <c r="O4308" s="64"/>
      <c r="P4308" s="64"/>
      <c r="Q4308" s="69"/>
      <c r="R4308" s="69"/>
      <c r="S4308" s="69"/>
    </row>
    <row r="4309" s="2" customFormat="1" ht="24.95" customHeight="1" spans="1:19">
      <c r="A4309" s="15"/>
      <c r="B4309" s="55"/>
      <c r="C4309" s="56"/>
      <c r="D4309" s="68"/>
      <c r="E4309" s="69"/>
      <c r="F4309" s="69"/>
      <c r="G4309" s="65"/>
      <c r="H4309" s="65"/>
      <c r="I4309" s="70"/>
      <c r="J4309" s="71"/>
      <c r="K4309" s="71"/>
      <c r="L4309" s="72" t="str">
        <f>IFERROR(IF(G4309="","",VLOOKUP($G4309,[1]基础信息!$B:$C,2,FALSE)+SUMIF(G$8:G4309,G4309,J$8:J4309)-SUMIF(G$8:G4309,G4309,K$8:K4309)+SUMIFS([1]内部转账!$G:$G,[1]内部转账!$C:$C,"&lt;="&amp;$D4309,[1]内部转账!$E:$E,$G4309)-SUMIFS([1]内部转账!$G:$G,[1]内部转账!$C:$C,"&lt;="&amp;$D4309,[1]内部转账!$F:$F,$G4309)),"")</f>
        <v/>
      </c>
      <c r="M4309" s="64"/>
      <c r="N4309" s="69"/>
      <c r="O4309" s="64"/>
      <c r="P4309" s="64"/>
      <c r="Q4309" s="69"/>
      <c r="R4309" s="69"/>
      <c r="S4309" s="69"/>
    </row>
    <row r="4310" s="2" customFormat="1" ht="24.95" customHeight="1" spans="1:19">
      <c r="A4310" s="15"/>
      <c r="B4310" s="55"/>
      <c r="C4310" s="56"/>
      <c r="D4310" s="68"/>
      <c r="E4310" s="69"/>
      <c r="F4310" s="69"/>
      <c r="G4310" s="65"/>
      <c r="H4310" s="65"/>
      <c r="I4310" s="70"/>
      <c r="J4310" s="71"/>
      <c r="K4310" s="71"/>
      <c r="L4310" s="72" t="str">
        <f>IFERROR(IF(G4310="","",VLOOKUP($G4310,[1]基础信息!$B:$C,2,FALSE)+SUMIF(G$8:G4310,G4310,J$8:J4310)-SUMIF(G$8:G4310,G4310,K$8:K4310)+SUMIFS([1]内部转账!$G:$G,[1]内部转账!$C:$C,"&lt;="&amp;$D4310,[1]内部转账!$E:$E,$G4310)-SUMIFS([1]内部转账!$G:$G,[1]内部转账!$C:$C,"&lt;="&amp;$D4310,[1]内部转账!$F:$F,$G4310)),"")</f>
        <v/>
      </c>
      <c r="M4310" s="64"/>
      <c r="N4310" s="69"/>
      <c r="O4310" s="64"/>
      <c r="P4310" s="64"/>
      <c r="Q4310" s="69"/>
      <c r="R4310" s="69"/>
      <c r="S4310" s="69"/>
    </row>
    <row r="4311" s="2" customFormat="1" ht="24.95" customHeight="1" spans="1:19">
      <c r="A4311" s="15"/>
      <c r="B4311" s="55"/>
      <c r="C4311" s="56"/>
      <c r="D4311" s="68"/>
      <c r="E4311" s="69"/>
      <c r="F4311" s="69"/>
      <c r="G4311" s="65"/>
      <c r="H4311" s="65"/>
      <c r="I4311" s="70"/>
      <c r="J4311" s="71"/>
      <c r="K4311" s="71"/>
      <c r="L4311" s="72" t="str">
        <f>IFERROR(IF(G4311="","",VLOOKUP($G4311,[1]基础信息!$B:$C,2,FALSE)+SUMIF(G$8:G4311,G4311,J$8:J4311)-SUMIF(G$8:G4311,G4311,K$8:K4311)+SUMIFS([1]内部转账!$G:$G,[1]内部转账!$C:$C,"&lt;="&amp;$D4311,[1]内部转账!$E:$E,$G4311)-SUMIFS([1]内部转账!$G:$G,[1]内部转账!$C:$C,"&lt;="&amp;$D4311,[1]内部转账!$F:$F,$G4311)),"")</f>
        <v/>
      </c>
      <c r="M4311" s="64"/>
      <c r="N4311" s="69"/>
      <c r="O4311" s="64"/>
      <c r="P4311" s="64"/>
      <c r="Q4311" s="69"/>
      <c r="R4311" s="69"/>
      <c r="S4311" s="69"/>
    </row>
    <row r="4312" s="2" customFormat="1" ht="24.95" customHeight="1" spans="1:19">
      <c r="A4312" s="15"/>
      <c r="B4312" s="55"/>
      <c r="C4312" s="56"/>
      <c r="D4312" s="68"/>
      <c r="E4312" s="69"/>
      <c r="F4312" s="69"/>
      <c r="G4312" s="65"/>
      <c r="H4312" s="65"/>
      <c r="I4312" s="70"/>
      <c r="J4312" s="71"/>
      <c r="K4312" s="71"/>
      <c r="L4312" s="72" t="str">
        <f>IFERROR(IF(G4312="","",VLOOKUP($G4312,[1]基础信息!$B:$C,2,FALSE)+SUMIF(G$8:G4312,G4312,J$8:J4312)-SUMIF(G$8:G4312,G4312,K$8:K4312)+SUMIFS([1]内部转账!$G:$G,[1]内部转账!$C:$C,"&lt;="&amp;$D4312,[1]内部转账!$E:$E,$G4312)-SUMIFS([1]内部转账!$G:$G,[1]内部转账!$C:$C,"&lt;="&amp;$D4312,[1]内部转账!$F:$F,$G4312)),"")</f>
        <v/>
      </c>
      <c r="M4312" s="64"/>
      <c r="N4312" s="69"/>
      <c r="O4312" s="64"/>
      <c r="P4312" s="64"/>
      <c r="Q4312" s="69"/>
      <c r="R4312" s="69"/>
      <c r="S4312" s="69"/>
    </row>
    <row r="4313" s="2" customFormat="1" ht="24.95" customHeight="1" spans="1:19">
      <c r="A4313" s="15"/>
      <c r="B4313" s="55"/>
      <c r="C4313" s="56"/>
      <c r="D4313" s="68"/>
      <c r="E4313" s="69"/>
      <c r="F4313" s="69"/>
      <c r="G4313" s="65"/>
      <c r="H4313" s="65"/>
      <c r="I4313" s="70"/>
      <c r="J4313" s="71"/>
      <c r="K4313" s="71"/>
      <c r="L4313" s="72" t="str">
        <f>IFERROR(IF(G4313="","",VLOOKUP($G4313,[1]基础信息!$B:$C,2,FALSE)+SUMIF(G$8:G4313,G4313,J$8:J4313)-SUMIF(G$8:G4313,G4313,K$8:K4313)+SUMIFS([1]内部转账!$G:$G,[1]内部转账!$C:$C,"&lt;="&amp;$D4313,[1]内部转账!$E:$E,$G4313)-SUMIFS([1]内部转账!$G:$G,[1]内部转账!$C:$C,"&lt;="&amp;$D4313,[1]内部转账!$F:$F,$G4313)),"")</f>
        <v/>
      </c>
      <c r="M4313" s="64"/>
      <c r="N4313" s="69"/>
      <c r="O4313" s="64"/>
      <c r="P4313" s="64"/>
      <c r="Q4313" s="69"/>
      <c r="R4313" s="69"/>
      <c r="S4313" s="69"/>
    </row>
    <row r="4314" s="2" customFormat="1" ht="24.95" customHeight="1" spans="1:19">
      <c r="A4314" s="15"/>
      <c r="B4314" s="55"/>
      <c r="C4314" s="56"/>
      <c r="D4314" s="68"/>
      <c r="E4314" s="69"/>
      <c r="F4314" s="69"/>
      <c r="G4314" s="65"/>
      <c r="H4314" s="65"/>
      <c r="I4314" s="70"/>
      <c r="J4314" s="71"/>
      <c r="K4314" s="71"/>
      <c r="L4314" s="72" t="str">
        <f>IFERROR(IF(G4314="","",VLOOKUP($G4314,[1]基础信息!$B:$C,2,FALSE)+SUMIF(G$8:G4314,G4314,J$8:J4314)-SUMIF(G$8:G4314,G4314,K$8:K4314)+SUMIFS([1]内部转账!$G:$G,[1]内部转账!$C:$C,"&lt;="&amp;$D4314,[1]内部转账!$E:$E,$G4314)-SUMIFS([1]内部转账!$G:$G,[1]内部转账!$C:$C,"&lt;="&amp;$D4314,[1]内部转账!$F:$F,$G4314)),"")</f>
        <v/>
      </c>
      <c r="M4314" s="64"/>
      <c r="N4314" s="69"/>
      <c r="O4314" s="64"/>
      <c r="P4314" s="64"/>
      <c r="Q4314" s="69"/>
      <c r="R4314" s="69"/>
      <c r="S4314" s="69"/>
    </row>
    <row r="4315" s="2" customFormat="1" ht="24.95" customHeight="1" spans="1:19">
      <c r="A4315" s="15"/>
      <c r="B4315" s="55"/>
      <c r="C4315" s="56"/>
      <c r="D4315" s="68"/>
      <c r="E4315" s="69"/>
      <c r="F4315" s="69"/>
      <c r="G4315" s="65"/>
      <c r="H4315" s="65"/>
      <c r="I4315" s="70"/>
      <c r="J4315" s="71"/>
      <c r="K4315" s="71"/>
      <c r="L4315" s="72" t="str">
        <f>IFERROR(IF(G4315="","",VLOOKUP($G4315,[1]基础信息!$B:$C,2,FALSE)+SUMIF(G$8:G4315,G4315,J$8:J4315)-SUMIF(G$8:G4315,G4315,K$8:K4315)+SUMIFS([1]内部转账!$G:$G,[1]内部转账!$C:$C,"&lt;="&amp;$D4315,[1]内部转账!$E:$E,$G4315)-SUMIFS([1]内部转账!$G:$G,[1]内部转账!$C:$C,"&lt;="&amp;$D4315,[1]内部转账!$F:$F,$G4315)),"")</f>
        <v/>
      </c>
      <c r="M4315" s="64"/>
      <c r="N4315" s="69"/>
      <c r="O4315" s="64"/>
      <c r="P4315" s="64"/>
      <c r="Q4315" s="69"/>
      <c r="R4315" s="69"/>
      <c r="S4315" s="69"/>
    </row>
    <row r="4316" s="2" customFormat="1" ht="24.95" customHeight="1" spans="1:19">
      <c r="A4316" s="15"/>
      <c r="B4316" s="55"/>
      <c r="C4316" s="56"/>
      <c r="D4316" s="68"/>
      <c r="E4316" s="69"/>
      <c r="F4316" s="69"/>
      <c r="G4316" s="65"/>
      <c r="H4316" s="65"/>
      <c r="I4316" s="70"/>
      <c r="J4316" s="71"/>
      <c r="K4316" s="71"/>
      <c r="L4316" s="72" t="str">
        <f>IFERROR(IF(G4316="","",VLOOKUP($G4316,[1]基础信息!$B:$C,2,FALSE)+SUMIF(G$8:G4316,G4316,J$8:J4316)-SUMIF(G$8:G4316,G4316,K$8:K4316)+SUMIFS([1]内部转账!$G:$G,[1]内部转账!$C:$C,"&lt;="&amp;$D4316,[1]内部转账!$E:$E,$G4316)-SUMIFS([1]内部转账!$G:$G,[1]内部转账!$C:$C,"&lt;="&amp;$D4316,[1]内部转账!$F:$F,$G4316)),"")</f>
        <v/>
      </c>
      <c r="M4316" s="64"/>
      <c r="N4316" s="69"/>
      <c r="O4316" s="64"/>
      <c r="P4316" s="64"/>
      <c r="Q4316" s="69"/>
      <c r="R4316" s="69"/>
      <c r="S4316" s="69"/>
    </row>
    <row r="4317" s="2" customFormat="1" ht="24.95" customHeight="1" spans="1:19">
      <c r="A4317" s="15"/>
      <c r="B4317" s="55"/>
      <c r="C4317" s="56"/>
      <c r="D4317" s="68"/>
      <c r="E4317" s="69"/>
      <c r="F4317" s="69"/>
      <c r="G4317" s="65"/>
      <c r="H4317" s="65"/>
      <c r="I4317" s="70"/>
      <c r="J4317" s="71"/>
      <c r="K4317" s="71"/>
      <c r="L4317" s="72" t="str">
        <f>IFERROR(IF(G4317="","",VLOOKUP($G4317,[1]基础信息!$B:$C,2,FALSE)+SUMIF(G$8:G4317,G4317,J$8:J4317)-SUMIF(G$8:G4317,G4317,K$8:K4317)+SUMIFS([1]内部转账!$G:$G,[1]内部转账!$C:$C,"&lt;="&amp;$D4317,[1]内部转账!$E:$E,$G4317)-SUMIFS([1]内部转账!$G:$G,[1]内部转账!$C:$C,"&lt;="&amp;$D4317,[1]内部转账!$F:$F,$G4317)),"")</f>
        <v/>
      </c>
      <c r="M4317" s="64"/>
      <c r="N4317" s="69"/>
      <c r="O4317" s="64"/>
      <c r="P4317" s="64"/>
      <c r="Q4317" s="69"/>
      <c r="R4317" s="69"/>
      <c r="S4317" s="69"/>
    </row>
    <row r="4318" s="2" customFormat="1" ht="24.95" customHeight="1" spans="1:19">
      <c r="A4318" s="15"/>
      <c r="B4318" s="55"/>
      <c r="C4318" s="56"/>
      <c r="D4318" s="68"/>
      <c r="E4318" s="69"/>
      <c r="F4318" s="69"/>
      <c r="G4318" s="65"/>
      <c r="H4318" s="65"/>
      <c r="I4318" s="70"/>
      <c r="J4318" s="71"/>
      <c r="K4318" s="71"/>
      <c r="L4318" s="72" t="str">
        <f>IFERROR(IF(G4318="","",VLOOKUP($G4318,[1]基础信息!$B:$C,2,FALSE)+SUMIF(G$8:G4318,G4318,J$8:J4318)-SUMIF(G$8:G4318,G4318,K$8:K4318)+SUMIFS([1]内部转账!$G:$G,[1]内部转账!$C:$C,"&lt;="&amp;$D4318,[1]内部转账!$E:$E,$G4318)-SUMIFS([1]内部转账!$G:$G,[1]内部转账!$C:$C,"&lt;="&amp;$D4318,[1]内部转账!$F:$F,$G4318)),"")</f>
        <v/>
      </c>
      <c r="M4318" s="64"/>
      <c r="N4318" s="69"/>
      <c r="O4318" s="64"/>
      <c r="P4318" s="64"/>
      <c r="Q4318" s="69"/>
      <c r="R4318" s="69"/>
      <c r="S4318" s="69"/>
    </row>
    <row r="4319" s="2" customFormat="1" ht="24.95" customHeight="1" spans="1:19">
      <c r="A4319" s="15"/>
      <c r="B4319" s="55"/>
      <c r="C4319" s="56"/>
      <c r="D4319" s="68"/>
      <c r="E4319" s="69"/>
      <c r="F4319" s="69"/>
      <c r="G4319" s="65"/>
      <c r="H4319" s="65"/>
      <c r="I4319" s="70"/>
      <c r="J4319" s="71"/>
      <c r="K4319" s="71"/>
      <c r="L4319" s="72" t="str">
        <f>IFERROR(IF(G4319="","",VLOOKUP($G4319,[1]基础信息!$B:$C,2,FALSE)+SUMIF(G$8:G4319,G4319,J$8:J4319)-SUMIF(G$8:G4319,G4319,K$8:K4319)+SUMIFS([1]内部转账!$G:$G,[1]内部转账!$C:$C,"&lt;="&amp;$D4319,[1]内部转账!$E:$E,$G4319)-SUMIFS([1]内部转账!$G:$G,[1]内部转账!$C:$C,"&lt;="&amp;$D4319,[1]内部转账!$F:$F,$G4319)),"")</f>
        <v/>
      </c>
      <c r="M4319" s="64"/>
      <c r="N4319" s="69"/>
      <c r="O4319" s="64"/>
      <c r="P4319" s="64"/>
      <c r="Q4319" s="69"/>
      <c r="R4319" s="69"/>
      <c r="S4319" s="69"/>
    </row>
    <row r="4320" s="2" customFormat="1" ht="24.95" customHeight="1" spans="1:19">
      <c r="A4320" s="15"/>
      <c r="B4320" s="55"/>
      <c r="C4320" s="56"/>
      <c r="D4320" s="68"/>
      <c r="E4320" s="69"/>
      <c r="F4320" s="69"/>
      <c r="G4320" s="65"/>
      <c r="H4320" s="65"/>
      <c r="I4320" s="70"/>
      <c r="J4320" s="71"/>
      <c r="K4320" s="71"/>
      <c r="L4320" s="72" t="str">
        <f>IFERROR(IF(G4320="","",VLOOKUP($G4320,[1]基础信息!$B:$C,2,FALSE)+SUMIF(G$8:G4320,G4320,J$8:J4320)-SUMIF(G$8:G4320,G4320,K$8:K4320)+SUMIFS([1]内部转账!$G:$G,[1]内部转账!$C:$C,"&lt;="&amp;$D4320,[1]内部转账!$E:$E,$G4320)-SUMIFS([1]内部转账!$G:$G,[1]内部转账!$C:$C,"&lt;="&amp;$D4320,[1]内部转账!$F:$F,$G4320)),"")</f>
        <v/>
      </c>
      <c r="M4320" s="64"/>
      <c r="N4320" s="69"/>
      <c r="O4320" s="64"/>
      <c r="P4320" s="64"/>
      <c r="Q4320" s="69"/>
      <c r="R4320" s="69"/>
      <c r="S4320" s="69"/>
    </row>
    <row r="4321" s="2" customFormat="1" ht="24.95" customHeight="1" spans="1:19">
      <c r="A4321" s="15"/>
      <c r="B4321" s="55"/>
      <c r="C4321" s="56"/>
      <c r="D4321" s="68"/>
      <c r="E4321" s="69"/>
      <c r="F4321" s="69"/>
      <c r="G4321" s="65"/>
      <c r="H4321" s="65"/>
      <c r="I4321" s="70"/>
      <c r="J4321" s="71"/>
      <c r="K4321" s="71"/>
      <c r="L4321" s="72" t="str">
        <f>IFERROR(IF(G4321="","",VLOOKUP($G4321,[1]基础信息!$B:$C,2,FALSE)+SUMIF(G$8:G4321,G4321,J$8:J4321)-SUMIF(G$8:G4321,G4321,K$8:K4321)+SUMIFS([1]内部转账!$G:$G,[1]内部转账!$C:$C,"&lt;="&amp;$D4321,[1]内部转账!$E:$E,$G4321)-SUMIFS([1]内部转账!$G:$G,[1]内部转账!$C:$C,"&lt;="&amp;$D4321,[1]内部转账!$F:$F,$G4321)),"")</f>
        <v/>
      </c>
      <c r="M4321" s="64"/>
      <c r="N4321" s="69"/>
      <c r="O4321" s="64"/>
      <c r="P4321" s="64"/>
      <c r="Q4321" s="69"/>
      <c r="R4321" s="69"/>
      <c r="S4321" s="69"/>
    </row>
    <row r="4322" s="2" customFormat="1" ht="24.95" customHeight="1" spans="1:19">
      <c r="A4322" s="15"/>
      <c r="B4322" s="55"/>
      <c r="C4322" s="56"/>
      <c r="D4322" s="68"/>
      <c r="E4322" s="69"/>
      <c r="F4322" s="69"/>
      <c r="G4322" s="65"/>
      <c r="H4322" s="65"/>
      <c r="I4322" s="70"/>
      <c r="J4322" s="71"/>
      <c r="K4322" s="71"/>
      <c r="L4322" s="72" t="str">
        <f>IFERROR(IF(G4322="","",VLOOKUP($G4322,[1]基础信息!$B:$C,2,FALSE)+SUMIF(G$8:G4322,G4322,J$8:J4322)-SUMIF(G$8:G4322,G4322,K$8:K4322)+SUMIFS([1]内部转账!$G:$G,[1]内部转账!$C:$C,"&lt;="&amp;$D4322,[1]内部转账!$E:$E,$G4322)-SUMIFS([1]内部转账!$G:$G,[1]内部转账!$C:$C,"&lt;="&amp;$D4322,[1]内部转账!$F:$F,$G4322)),"")</f>
        <v/>
      </c>
      <c r="M4322" s="64"/>
      <c r="N4322" s="69"/>
      <c r="O4322" s="64"/>
      <c r="P4322" s="64"/>
      <c r="Q4322" s="69"/>
      <c r="R4322" s="69"/>
      <c r="S4322" s="69"/>
    </row>
    <row r="4323" s="2" customFormat="1" ht="24.95" customHeight="1" spans="1:19">
      <c r="A4323" s="15"/>
      <c r="B4323" s="55"/>
      <c r="C4323" s="56"/>
      <c r="D4323" s="68"/>
      <c r="E4323" s="69"/>
      <c r="F4323" s="69"/>
      <c r="G4323" s="65"/>
      <c r="H4323" s="65"/>
      <c r="I4323" s="70"/>
      <c r="J4323" s="71"/>
      <c r="K4323" s="71"/>
      <c r="L4323" s="72" t="str">
        <f>IFERROR(IF(G4323="","",VLOOKUP($G4323,[1]基础信息!$B:$C,2,FALSE)+SUMIF(G$8:G4323,G4323,J$8:J4323)-SUMIF(G$8:G4323,G4323,K$8:K4323)+SUMIFS([1]内部转账!$G:$G,[1]内部转账!$C:$C,"&lt;="&amp;$D4323,[1]内部转账!$E:$E,$G4323)-SUMIFS([1]内部转账!$G:$G,[1]内部转账!$C:$C,"&lt;="&amp;$D4323,[1]内部转账!$F:$F,$G4323)),"")</f>
        <v/>
      </c>
      <c r="M4323" s="64"/>
      <c r="N4323" s="69"/>
      <c r="O4323" s="64"/>
      <c r="P4323" s="64"/>
      <c r="Q4323" s="69"/>
      <c r="R4323" s="69"/>
      <c r="S4323" s="69"/>
    </row>
    <row r="4324" s="2" customFormat="1" ht="24.95" customHeight="1" spans="1:19">
      <c r="A4324" s="15"/>
      <c r="B4324" s="55"/>
      <c r="C4324" s="56"/>
      <c r="D4324" s="68"/>
      <c r="E4324" s="69"/>
      <c r="F4324" s="69"/>
      <c r="G4324" s="65"/>
      <c r="H4324" s="65"/>
      <c r="I4324" s="70"/>
      <c r="J4324" s="71"/>
      <c r="K4324" s="71"/>
      <c r="L4324" s="72" t="str">
        <f>IFERROR(IF(G4324="","",VLOOKUP($G4324,[1]基础信息!$B:$C,2,FALSE)+SUMIF(G$8:G4324,G4324,J$8:J4324)-SUMIF(G$8:G4324,G4324,K$8:K4324)+SUMIFS([1]内部转账!$G:$G,[1]内部转账!$C:$C,"&lt;="&amp;$D4324,[1]内部转账!$E:$E,$G4324)-SUMIFS([1]内部转账!$G:$G,[1]内部转账!$C:$C,"&lt;="&amp;$D4324,[1]内部转账!$F:$F,$G4324)),"")</f>
        <v/>
      </c>
      <c r="M4324" s="64"/>
      <c r="N4324" s="69"/>
      <c r="O4324" s="64"/>
      <c r="P4324" s="64"/>
      <c r="Q4324" s="69"/>
      <c r="R4324" s="69"/>
      <c r="S4324" s="69"/>
    </row>
    <row r="4325" s="2" customFormat="1" ht="24.95" customHeight="1" spans="1:19">
      <c r="A4325" s="15"/>
      <c r="B4325" s="55"/>
      <c r="C4325" s="56"/>
      <c r="D4325" s="68"/>
      <c r="E4325" s="69"/>
      <c r="F4325" s="69"/>
      <c r="G4325" s="65"/>
      <c r="H4325" s="65"/>
      <c r="I4325" s="70"/>
      <c r="J4325" s="71"/>
      <c r="K4325" s="71"/>
      <c r="L4325" s="72" t="str">
        <f>IFERROR(IF(G4325="","",VLOOKUP($G4325,[1]基础信息!$B:$C,2,FALSE)+SUMIF(G$8:G4325,G4325,J$8:J4325)-SUMIF(G$8:G4325,G4325,K$8:K4325)+SUMIFS([1]内部转账!$G:$G,[1]内部转账!$C:$C,"&lt;="&amp;$D4325,[1]内部转账!$E:$E,$G4325)-SUMIFS([1]内部转账!$G:$G,[1]内部转账!$C:$C,"&lt;="&amp;$D4325,[1]内部转账!$F:$F,$G4325)),"")</f>
        <v/>
      </c>
      <c r="M4325" s="64"/>
      <c r="N4325" s="69"/>
      <c r="O4325" s="64"/>
      <c r="P4325" s="64"/>
      <c r="Q4325" s="69"/>
      <c r="R4325" s="69"/>
      <c r="S4325" s="69"/>
    </row>
    <row r="4326" s="2" customFormat="1" ht="24.95" customHeight="1" spans="1:19">
      <c r="A4326" s="15"/>
      <c r="B4326" s="55"/>
      <c r="C4326" s="56"/>
      <c r="D4326" s="68"/>
      <c r="E4326" s="69"/>
      <c r="F4326" s="69"/>
      <c r="G4326" s="65"/>
      <c r="H4326" s="65"/>
      <c r="I4326" s="70"/>
      <c r="J4326" s="71"/>
      <c r="K4326" s="71"/>
      <c r="L4326" s="72" t="str">
        <f>IFERROR(IF(G4326="","",VLOOKUP($G4326,[1]基础信息!$B:$C,2,FALSE)+SUMIF(G$8:G4326,G4326,J$8:J4326)-SUMIF(G$8:G4326,G4326,K$8:K4326)+SUMIFS([1]内部转账!$G:$G,[1]内部转账!$C:$C,"&lt;="&amp;$D4326,[1]内部转账!$E:$E,$G4326)-SUMIFS([1]内部转账!$G:$G,[1]内部转账!$C:$C,"&lt;="&amp;$D4326,[1]内部转账!$F:$F,$G4326)),"")</f>
        <v/>
      </c>
      <c r="M4326" s="64"/>
      <c r="N4326" s="69"/>
      <c r="O4326" s="64"/>
      <c r="P4326" s="64"/>
      <c r="Q4326" s="69"/>
      <c r="R4326" s="69"/>
      <c r="S4326" s="69"/>
    </row>
    <row r="4327" s="2" customFormat="1" ht="24.95" customHeight="1" spans="1:19">
      <c r="A4327" s="15"/>
      <c r="B4327" s="55"/>
      <c r="C4327" s="56"/>
      <c r="D4327" s="68"/>
      <c r="E4327" s="69"/>
      <c r="F4327" s="69"/>
      <c r="G4327" s="65"/>
      <c r="H4327" s="65"/>
      <c r="I4327" s="70"/>
      <c r="J4327" s="71"/>
      <c r="K4327" s="71"/>
      <c r="L4327" s="72" t="str">
        <f>IFERROR(IF(G4327="","",VLOOKUP($G4327,[1]基础信息!$B:$C,2,FALSE)+SUMIF(G$8:G4327,G4327,J$8:J4327)-SUMIF(G$8:G4327,G4327,K$8:K4327)+SUMIFS([1]内部转账!$G:$G,[1]内部转账!$C:$C,"&lt;="&amp;$D4327,[1]内部转账!$E:$E,$G4327)-SUMIFS([1]内部转账!$G:$G,[1]内部转账!$C:$C,"&lt;="&amp;$D4327,[1]内部转账!$F:$F,$G4327)),"")</f>
        <v/>
      </c>
      <c r="M4327" s="64"/>
      <c r="N4327" s="69"/>
      <c r="O4327" s="64"/>
      <c r="P4327" s="64"/>
      <c r="Q4327" s="69"/>
      <c r="R4327" s="69"/>
      <c r="S4327" s="69"/>
    </row>
    <row r="4328" s="2" customFormat="1" ht="24.95" customHeight="1" spans="1:19">
      <c r="A4328" s="15"/>
      <c r="B4328" s="55"/>
      <c r="C4328" s="56"/>
      <c r="D4328" s="68"/>
      <c r="E4328" s="69"/>
      <c r="F4328" s="69"/>
      <c r="G4328" s="65"/>
      <c r="H4328" s="65"/>
      <c r="I4328" s="70"/>
      <c r="J4328" s="71"/>
      <c r="K4328" s="71"/>
      <c r="L4328" s="72" t="str">
        <f>IFERROR(IF(G4328="","",VLOOKUP($G4328,[1]基础信息!$B:$C,2,FALSE)+SUMIF(G$8:G4328,G4328,J$8:J4328)-SUMIF(G$8:G4328,G4328,K$8:K4328)+SUMIFS([1]内部转账!$G:$G,[1]内部转账!$C:$C,"&lt;="&amp;$D4328,[1]内部转账!$E:$E,$G4328)-SUMIFS([1]内部转账!$G:$G,[1]内部转账!$C:$C,"&lt;="&amp;$D4328,[1]内部转账!$F:$F,$G4328)),"")</f>
        <v/>
      </c>
      <c r="M4328" s="64"/>
      <c r="N4328" s="69"/>
      <c r="O4328" s="64"/>
      <c r="P4328" s="64"/>
      <c r="Q4328" s="69"/>
      <c r="R4328" s="69"/>
      <c r="S4328" s="69"/>
    </row>
    <row r="4329" s="2" customFormat="1" ht="24.95" customHeight="1" spans="1:19">
      <c r="A4329" s="15"/>
      <c r="B4329" s="55"/>
      <c r="C4329" s="56"/>
      <c r="D4329" s="68"/>
      <c r="E4329" s="69"/>
      <c r="F4329" s="69"/>
      <c r="G4329" s="65"/>
      <c r="H4329" s="65"/>
      <c r="I4329" s="70"/>
      <c r="J4329" s="71"/>
      <c r="K4329" s="71"/>
      <c r="L4329" s="72" t="str">
        <f>IFERROR(IF(G4329="","",VLOOKUP($G4329,[1]基础信息!$B:$C,2,FALSE)+SUMIF(G$8:G4329,G4329,J$8:J4329)-SUMIF(G$8:G4329,G4329,K$8:K4329)+SUMIFS([1]内部转账!$G:$G,[1]内部转账!$C:$C,"&lt;="&amp;$D4329,[1]内部转账!$E:$E,$G4329)-SUMIFS([1]内部转账!$G:$G,[1]内部转账!$C:$C,"&lt;="&amp;$D4329,[1]内部转账!$F:$F,$G4329)),"")</f>
        <v/>
      </c>
      <c r="M4329" s="64"/>
      <c r="N4329" s="69"/>
      <c r="O4329" s="64"/>
      <c r="P4329" s="64"/>
      <c r="Q4329" s="69"/>
      <c r="R4329" s="69"/>
      <c r="S4329" s="69"/>
    </row>
    <row r="4330" s="2" customFormat="1" ht="24.95" customHeight="1" spans="1:19">
      <c r="A4330" s="15"/>
      <c r="B4330" s="55"/>
      <c r="C4330" s="56"/>
      <c r="D4330" s="68"/>
      <c r="E4330" s="69"/>
      <c r="F4330" s="69"/>
      <c r="G4330" s="65"/>
      <c r="H4330" s="65"/>
      <c r="I4330" s="70"/>
      <c r="J4330" s="71"/>
      <c r="K4330" s="71"/>
      <c r="L4330" s="72" t="str">
        <f>IFERROR(IF(G4330="","",VLOOKUP($G4330,[1]基础信息!$B:$C,2,FALSE)+SUMIF(G$8:G4330,G4330,J$8:J4330)-SUMIF(G$8:G4330,G4330,K$8:K4330)+SUMIFS([1]内部转账!$G:$G,[1]内部转账!$C:$C,"&lt;="&amp;$D4330,[1]内部转账!$E:$E,$G4330)-SUMIFS([1]内部转账!$G:$G,[1]内部转账!$C:$C,"&lt;="&amp;$D4330,[1]内部转账!$F:$F,$G4330)),"")</f>
        <v/>
      </c>
      <c r="M4330" s="64"/>
      <c r="N4330" s="69"/>
      <c r="O4330" s="64"/>
      <c r="P4330" s="64"/>
      <c r="Q4330" s="69"/>
      <c r="R4330" s="69"/>
      <c r="S4330" s="69"/>
    </row>
    <row r="4331" s="2" customFormat="1" ht="24.95" customHeight="1" spans="1:19">
      <c r="A4331" s="15"/>
      <c r="B4331" s="55"/>
      <c r="C4331" s="56"/>
      <c r="D4331" s="68"/>
      <c r="E4331" s="69"/>
      <c r="F4331" s="69"/>
      <c r="G4331" s="65"/>
      <c r="H4331" s="65"/>
      <c r="I4331" s="70"/>
      <c r="J4331" s="71"/>
      <c r="K4331" s="71"/>
      <c r="L4331" s="72" t="str">
        <f>IFERROR(IF(G4331="","",VLOOKUP($G4331,[1]基础信息!$B:$C,2,FALSE)+SUMIF(G$8:G4331,G4331,J$8:J4331)-SUMIF(G$8:G4331,G4331,K$8:K4331)+SUMIFS([1]内部转账!$G:$G,[1]内部转账!$C:$C,"&lt;="&amp;$D4331,[1]内部转账!$E:$E,$G4331)-SUMIFS([1]内部转账!$G:$G,[1]内部转账!$C:$C,"&lt;="&amp;$D4331,[1]内部转账!$F:$F,$G4331)),"")</f>
        <v/>
      </c>
      <c r="M4331" s="64"/>
      <c r="N4331" s="69"/>
      <c r="O4331" s="64"/>
      <c r="P4331" s="64"/>
      <c r="Q4331" s="69"/>
      <c r="R4331" s="69"/>
      <c r="S4331" s="69"/>
    </row>
    <row r="4332" s="2" customFormat="1" ht="24.95" customHeight="1" spans="1:19">
      <c r="A4332" s="15"/>
      <c r="B4332" s="55"/>
      <c r="C4332" s="56"/>
      <c r="D4332" s="68"/>
      <c r="E4332" s="69"/>
      <c r="F4332" s="69"/>
      <c r="G4332" s="65"/>
      <c r="H4332" s="65"/>
      <c r="I4332" s="70"/>
      <c r="J4332" s="71"/>
      <c r="K4332" s="71"/>
      <c r="L4332" s="72" t="str">
        <f>IFERROR(IF(G4332="","",VLOOKUP($G4332,[1]基础信息!$B:$C,2,FALSE)+SUMIF(G$8:G4332,G4332,J$8:J4332)-SUMIF(G$8:G4332,G4332,K$8:K4332)+SUMIFS([1]内部转账!$G:$G,[1]内部转账!$C:$C,"&lt;="&amp;$D4332,[1]内部转账!$E:$E,$G4332)-SUMIFS([1]内部转账!$G:$G,[1]内部转账!$C:$C,"&lt;="&amp;$D4332,[1]内部转账!$F:$F,$G4332)),"")</f>
        <v/>
      </c>
      <c r="M4332" s="64"/>
      <c r="N4332" s="69"/>
      <c r="O4332" s="64"/>
      <c r="P4332" s="64"/>
      <c r="Q4332" s="69"/>
      <c r="R4332" s="69"/>
      <c r="S4332" s="69"/>
    </row>
    <row r="4333" s="2" customFormat="1" ht="24.95" customHeight="1" spans="1:19">
      <c r="A4333" s="15"/>
      <c r="B4333" s="55"/>
      <c r="C4333" s="56"/>
      <c r="D4333" s="68"/>
      <c r="E4333" s="69"/>
      <c r="F4333" s="69"/>
      <c r="G4333" s="65"/>
      <c r="H4333" s="65"/>
      <c r="I4333" s="70"/>
      <c r="J4333" s="71"/>
      <c r="K4333" s="71"/>
      <c r="L4333" s="72" t="str">
        <f>IFERROR(IF(G4333="","",VLOOKUP($G4333,[1]基础信息!$B:$C,2,FALSE)+SUMIF(G$8:G4333,G4333,J$8:J4333)-SUMIF(G$8:G4333,G4333,K$8:K4333)+SUMIFS([1]内部转账!$G:$G,[1]内部转账!$C:$C,"&lt;="&amp;$D4333,[1]内部转账!$E:$E,$G4333)-SUMIFS([1]内部转账!$G:$G,[1]内部转账!$C:$C,"&lt;="&amp;$D4333,[1]内部转账!$F:$F,$G4333)),"")</f>
        <v/>
      </c>
      <c r="M4333" s="64"/>
      <c r="N4333" s="69"/>
      <c r="O4333" s="64"/>
      <c r="P4333" s="64"/>
      <c r="Q4333" s="69"/>
      <c r="R4333" s="69"/>
      <c r="S4333" s="69"/>
    </row>
    <row r="4334" s="2" customFormat="1" ht="24.95" customHeight="1" spans="1:19">
      <c r="A4334" s="15"/>
      <c r="B4334" s="55"/>
      <c r="C4334" s="56"/>
      <c r="D4334" s="68"/>
      <c r="E4334" s="69"/>
      <c r="F4334" s="69"/>
      <c r="G4334" s="65"/>
      <c r="H4334" s="65"/>
      <c r="I4334" s="70"/>
      <c r="J4334" s="71"/>
      <c r="K4334" s="71"/>
      <c r="L4334" s="72" t="str">
        <f>IFERROR(IF(G4334="","",VLOOKUP($G4334,[1]基础信息!$B:$C,2,FALSE)+SUMIF(G$8:G4334,G4334,J$8:J4334)-SUMIF(G$8:G4334,G4334,K$8:K4334)+SUMIFS([1]内部转账!$G:$G,[1]内部转账!$C:$C,"&lt;="&amp;$D4334,[1]内部转账!$E:$E,$G4334)-SUMIFS([1]内部转账!$G:$G,[1]内部转账!$C:$C,"&lt;="&amp;$D4334,[1]内部转账!$F:$F,$G4334)),"")</f>
        <v/>
      </c>
      <c r="M4334" s="64"/>
      <c r="N4334" s="69"/>
      <c r="O4334" s="64"/>
      <c r="P4334" s="64"/>
      <c r="Q4334" s="69"/>
      <c r="R4334" s="69"/>
      <c r="S4334" s="69"/>
    </row>
    <row r="4335" s="2" customFormat="1" ht="24.95" customHeight="1" spans="1:19">
      <c r="A4335" s="15"/>
      <c r="B4335" s="55"/>
      <c r="C4335" s="56"/>
      <c r="D4335" s="68"/>
      <c r="E4335" s="69"/>
      <c r="F4335" s="69"/>
      <c r="G4335" s="65"/>
      <c r="H4335" s="65"/>
      <c r="I4335" s="70"/>
      <c r="J4335" s="71"/>
      <c r="K4335" s="71"/>
      <c r="L4335" s="72" t="str">
        <f>IFERROR(IF(G4335="","",VLOOKUP($G4335,[1]基础信息!$B:$C,2,FALSE)+SUMIF(G$8:G4335,G4335,J$8:J4335)-SUMIF(G$8:G4335,G4335,K$8:K4335)+SUMIFS([1]内部转账!$G:$G,[1]内部转账!$C:$C,"&lt;="&amp;$D4335,[1]内部转账!$E:$E,$G4335)-SUMIFS([1]内部转账!$G:$G,[1]内部转账!$C:$C,"&lt;="&amp;$D4335,[1]内部转账!$F:$F,$G4335)),"")</f>
        <v/>
      </c>
      <c r="M4335" s="64"/>
      <c r="N4335" s="69"/>
      <c r="O4335" s="64"/>
      <c r="P4335" s="64"/>
      <c r="Q4335" s="69"/>
      <c r="R4335" s="69"/>
      <c r="S4335" s="69"/>
    </row>
    <row r="4336" s="2" customFormat="1" ht="24.95" customHeight="1" spans="1:19">
      <c r="A4336" s="15"/>
      <c r="B4336" s="55"/>
      <c r="C4336" s="56"/>
      <c r="D4336" s="68"/>
      <c r="E4336" s="69"/>
      <c r="F4336" s="69"/>
      <c r="G4336" s="65"/>
      <c r="H4336" s="65"/>
      <c r="I4336" s="70"/>
      <c r="J4336" s="71"/>
      <c r="K4336" s="71"/>
      <c r="L4336" s="72" t="str">
        <f>IFERROR(IF(G4336="","",VLOOKUP($G4336,[1]基础信息!$B:$C,2,FALSE)+SUMIF(G$8:G4336,G4336,J$8:J4336)-SUMIF(G$8:G4336,G4336,K$8:K4336)+SUMIFS([1]内部转账!$G:$G,[1]内部转账!$C:$C,"&lt;="&amp;$D4336,[1]内部转账!$E:$E,$G4336)-SUMIFS([1]内部转账!$G:$G,[1]内部转账!$C:$C,"&lt;="&amp;$D4336,[1]内部转账!$F:$F,$G4336)),"")</f>
        <v/>
      </c>
      <c r="M4336" s="64"/>
      <c r="N4336" s="69"/>
      <c r="O4336" s="64"/>
      <c r="P4336" s="64"/>
      <c r="Q4336" s="69"/>
      <c r="R4336" s="69"/>
      <c r="S4336" s="69"/>
    </row>
    <row r="4337" s="2" customFormat="1" ht="24.95" customHeight="1" spans="1:19">
      <c r="A4337" s="15"/>
      <c r="B4337" s="55"/>
      <c r="C4337" s="56"/>
      <c r="D4337" s="68"/>
      <c r="E4337" s="69"/>
      <c r="F4337" s="69"/>
      <c r="G4337" s="65"/>
      <c r="H4337" s="65"/>
      <c r="I4337" s="70"/>
      <c r="J4337" s="71"/>
      <c r="K4337" s="71"/>
      <c r="L4337" s="72" t="str">
        <f>IFERROR(IF(G4337="","",VLOOKUP($G4337,[1]基础信息!$B:$C,2,FALSE)+SUMIF(G$8:G4337,G4337,J$8:J4337)-SUMIF(G$8:G4337,G4337,K$8:K4337)+SUMIFS([1]内部转账!$G:$G,[1]内部转账!$C:$C,"&lt;="&amp;$D4337,[1]内部转账!$E:$E,$G4337)-SUMIFS([1]内部转账!$G:$G,[1]内部转账!$C:$C,"&lt;="&amp;$D4337,[1]内部转账!$F:$F,$G4337)),"")</f>
        <v/>
      </c>
      <c r="M4337" s="64"/>
      <c r="N4337" s="69"/>
      <c r="O4337" s="64"/>
      <c r="P4337" s="64"/>
      <c r="Q4337" s="69"/>
      <c r="R4337" s="69"/>
      <c r="S4337" s="69"/>
    </row>
    <row r="4338" s="2" customFormat="1" ht="24.95" customHeight="1" spans="1:19">
      <c r="A4338" s="15"/>
      <c r="B4338" s="55"/>
      <c r="C4338" s="56"/>
      <c r="D4338" s="68"/>
      <c r="E4338" s="69"/>
      <c r="F4338" s="69"/>
      <c r="G4338" s="65"/>
      <c r="H4338" s="65"/>
      <c r="I4338" s="70"/>
      <c r="J4338" s="71"/>
      <c r="K4338" s="71"/>
      <c r="L4338" s="72" t="str">
        <f>IFERROR(IF(G4338="","",VLOOKUP($G4338,[1]基础信息!$B:$C,2,FALSE)+SUMIF(G$8:G4338,G4338,J$8:J4338)-SUMIF(G$8:G4338,G4338,K$8:K4338)+SUMIFS([1]内部转账!$G:$G,[1]内部转账!$C:$C,"&lt;="&amp;$D4338,[1]内部转账!$E:$E,$G4338)-SUMIFS([1]内部转账!$G:$G,[1]内部转账!$C:$C,"&lt;="&amp;$D4338,[1]内部转账!$F:$F,$G4338)),"")</f>
        <v/>
      </c>
      <c r="M4338" s="64"/>
      <c r="N4338" s="69"/>
      <c r="O4338" s="64"/>
      <c r="P4338" s="64"/>
      <c r="Q4338" s="69"/>
      <c r="R4338" s="69"/>
      <c r="S4338" s="69"/>
    </row>
    <row r="4339" s="2" customFormat="1" ht="24.95" customHeight="1" spans="1:19">
      <c r="A4339" s="15"/>
      <c r="B4339" s="55"/>
      <c r="C4339" s="56"/>
      <c r="D4339" s="68"/>
      <c r="E4339" s="69"/>
      <c r="F4339" s="69"/>
      <c r="G4339" s="65"/>
      <c r="H4339" s="65"/>
      <c r="I4339" s="70"/>
      <c r="J4339" s="71"/>
      <c r="K4339" s="71"/>
      <c r="L4339" s="72" t="str">
        <f>IFERROR(IF(G4339="","",VLOOKUP($G4339,[1]基础信息!$B:$C,2,FALSE)+SUMIF(G$8:G4339,G4339,J$8:J4339)-SUMIF(G$8:G4339,G4339,K$8:K4339)+SUMIFS([1]内部转账!$G:$G,[1]内部转账!$C:$C,"&lt;="&amp;$D4339,[1]内部转账!$E:$E,$G4339)-SUMIFS([1]内部转账!$G:$G,[1]内部转账!$C:$C,"&lt;="&amp;$D4339,[1]内部转账!$F:$F,$G4339)),"")</f>
        <v/>
      </c>
      <c r="M4339" s="64"/>
      <c r="N4339" s="69"/>
      <c r="O4339" s="64"/>
      <c r="P4339" s="64"/>
      <c r="Q4339" s="69"/>
      <c r="R4339" s="69"/>
      <c r="S4339" s="69"/>
    </row>
    <row r="4340" s="2" customFormat="1" ht="24.95" customHeight="1" spans="1:19">
      <c r="A4340" s="15"/>
      <c r="B4340" s="55"/>
      <c r="C4340" s="56"/>
      <c r="D4340" s="68"/>
      <c r="E4340" s="69"/>
      <c r="F4340" s="69"/>
      <c r="G4340" s="65"/>
      <c r="H4340" s="65"/>
      <c r="I4340" s="70"/>
      <c r="J4340" s="71"/>
      <c r="K4340" s="71"/>
      <c r="L4340" s="72" t="str">
        <f>IFERROR(IF(G4340="","",VLOOKUP($G4340,[1]基础信息!$B:$C,2,FALSE)+SUMIF(G$8:G4340,G4340,J$8:J4340)-SUMIF(G$8:G4340,G4340,K$8:K4340)+SUMIFS([1]内部转账!$G:$G,[1]内部转账!$C:$C,"&lt;="&amp;$D4340,[1]内部转账!$E:$E,$G4340)-SUMIFS([1]内部转账!$G:$G,[1]内部转账!$C:$C,"&lt;="&amp;$D4340,[1]内部转账!$F:$F,$G4340)),"")</f>
        <v/>
      </c>
      <c r="M4340" s="64"/>
      <c r="N4340" s="69"/>
      <c r="O4340" s="64"/>
      <c r="P4340" s="64"/>
      <c r="Q4340" s="69"/>
      <c r="R4340" s="69"/>
      <c r="S4340" s="69"/>
    </row>
    <row r="4341" s="2" customFormat="1" ht="24.95" customHeight="1" spans="1:19">
      <c r="A4341" s="15"/>
      <c r="B4341" s="55"/>
      <c r="C4341" s="56"/>
      <c r="D4341" s="68"/>
      <c r="E4341" s="69"/>
      <c r="F4341" s="69"/>
      <c r="G4341" s="65"/>
      <c r="H4341" s="65"/>
      <c r="I4341" s="70"/>
      <c r="J4341" s="71"/>
      <c r="K4341" s="71"/>
      <c r="L4341" s="72" t="str">
        <f>IFERROR(IF(G4341="","",VLOOKUP($G4341,[1]基础信息!$B:$C,2,FALSE)+SUMIF(G$8:G4341,G4341,J$8:J4341)-SUMIF(G$8:G4341,G4341,K$8:K4341)+SUMIFS([1]内部转账!$G:$G,[1]内部转账!$C:$C,"&lt;="&amp;$D4341,[1]内部转账!$E:$E,$G4341)-SUMIFS([1]内部转账!$G:$G,[1]内部转账!$C:$C,"&lt;="&amp;$D4341,[1]内部转账!$F:$F,$G4341)),"")</f>
        <v/>
      </c>
      <c r="M4341" s="64"/>
      <c r="N4341" s="69"/>
      <c r="O4341" s="64"/>
      <c r="P4341" s="64"/>
      <c r="Q4341" s="69"/>
      <c r="R4341" s="69"/>
      <c r="S4341" s="69"/>
    </row>
    <row r="4342" s="2" customFormat="1" ht="24.95" customHeight="1" spans="1:19">
      <c r="A4342" s="15"/>
      <c r="B4342" s="55"/>
      <c r="C4342" s="56"/>
      <c r="D4342" s="68"/>
      <c r="E4342" s="69"/>
      <c r="F4342" s="69"/>
      <c r="G4342" s="65"/>
      <c r="H4342" s="65"/>
      <c r="I4342" s="70"/>
      <c r="J4342" s="71"/>
      <c r="K4342" s="71"/>
      <c r="L4342" s="72" t="str">
        <f>IFERROR(IF(G4342="","",VLOOKUP($G4342,[1]基础信息!$B:$C,2,FALSE)+SUMIF(G$8:G4342,G4342,J$8:J4342)-SUMIF(G$8:G4342,G4342,K$8:K4342)+SUMIFS([1]内部转账!$G:$G,[1]内部转账!$C:$C,"&lt;="&amp;$D4342,[1]内部转账!$E:$E,$G4342)-SUMIFS([1]内部转账!$G:$G,[1]内部转账!$C:$C,"&lt;="&amp;$D4342,[1]内部转账!$F:$F,$G4342)),"")</f>
        <v/>
      </c>
      <c r="M4342" s="64"/>
      <c r="N4342" s="69"/>
      <c r="O4342" s="64"/>
      <c r="P4342" s="64"/>
      <c r="Q4342" s="69"/>
      <c r="R4342" s="69"/>
      <c r="S4342" s="69"/>
    </row>
    <row r="4343" s="2" customFormat="1" ht="24.95" customHeight="1" spans="1:19">
      <c r="A4343" s="15"/>
      <c r="B4343" s="55"/>
      <c r="C4343" s="56"/>
      <c r="D4343" s="68"/>
      <c r="E4343" s="69"/>
      <c r="F4343" s="69"/>
      <c r="G4343" s="65"/>
      <c r="H4343" s="65"/>
      <c r="I4343" s="70"/>
      <c r="J4343" s="71"/>
      <c r="K4343" s="71"/>
      <c r="L4343" s="72" t="str">
        <f>IFERROR(IF(G4343="","",VLOOKUP($G4343,[1]基础信息!$B:$C,2,FALSE)+SUMIF(G$8:G4343,G4343,J$8:J4343)-SUMIF(G$8:G4343,G4343,K$8:K4343)+SUMIFS([1]内部转账!$G:$G,[1]内部转账!$C:$C,"&lt;="&amp;$D4343,[1]内部转账!$E:$E,$G4343)-SUMIFS([1]内部转账!$G:$G,[1]内部转账!$C:$C,"&lt;="&amp;$D4343,[1]内部转账!$F:$F,$G4343)),"")</f>
        <v/>
      </c>
      <c r="M4343" s="64"/>
      <c r="N4343" s="69"/>
      <c r="O4343" s="64"/>
      <c r="P4343" s="64"/>
      <c r="Q4343" s="69"/>
      <c r="R4343" s="69"/>
      <c r="S4343" s="69"/>
    </row>
    <row r="4344" s="2" customFormat="1" ht="24.95" customHeight="1" spans="1:19">
      <c r="A4344" s="15"/>
      <c r="B4344" s="55"/>
      <c r="C4344" s="56"/>
      <c r="D4344" s="68"/>
      <c r="E4344" s="69"/>
      <c r="F4344" s="69"/>
      <c r="G4344" s="65"/>
      <c r="H4344" s="65"/>
      <c r="I4344" s="70"/>
      <c r="J4344" s="71"/>
      <c r="K4344" s="71"/>
      <c r="L4344" s="72" t="str">
        <f>IFERROR(IF(G4344="","",VLOOKUP($G4344,[1]基础信息!$B:$C,2,FALSE)+SUMIF(G$8:G4344,G4344,J$8:J4344)-SUMIF(G$8:G4344,G4344,K$8:K4344)+SUMIFS([1]内部转账!$G:$G,[1]内部转账!$C:$C,"&lt;="&amp;$D4344,[1]内部转账!$E:$E,$G4344)-SUMIFS([1]内部转账!$G:$G,[1]内部转账!$C:$C,"&lt;="&amp;$D4344,[1]内部转账!$F:$F,$G4344)),"")</f>
        <v/>
      </c>
      <c r="M4344" s="64"/>
      <c r="N4344" s="69"/>
      <c r="O4344" s="64"/>
      <c r="P4344" s="64"/>
      <c r="Q4344" s="69"/>
      <c r="R4344" s="69"/>
      <c r="S4344" s="69"/>
    </row>
    <row r="4345" s="2" customFormat="1" ht="24.95" customHeight="1" spans="1:19">
      <c r="A4345" s="15"/>
      <c r="B4345" s="55"/>
      <c r="C4345" s="56"/>
      <c r="D4345" s="68"/>
      <c r="E4345" s="69"/>
      <c r="F4345" s="69"/>
      <c r="G4345" s="65"/>
      <c r="H4345" s="65"/>
      <c r="I4345" s="70"/>
      <c r="J4345" s="71"/>
      <c r="K4345" s="71"/>
      <c r="L4345" s="72" t="str">
        <f>IFERROR(IF(G4345="","",VLOOKUP($G4345,[1]基础信息!$B:$C,2,FALSE)+SUMIF(G$8:G4345,G4345,J$8:J4345)-SUMIF(G$8:G4345,G4345,K$8:K4345)+SUMIFS([1]内部转账!$G:$G,[1]内部转账!$C:$C,"&lt;="&amp;$D4345,[1]内部转账!$E:$E,$G4345)-SUMIFS([1]内部转账!$G:$G,[1]内部转账!$C:$C,"&lt;="&amp;$D4345,[1]内部转账!$F:$F,$G4345)),"")</f>
        <v/>
      </c>
      <c r="M4345" s="64"/>
      <c r="N4345" s="69"/>
      <c r="O4345" s="64"/>
      <c r="P4345" s="64"/>
      <c r="Q4345" s="69"/>
      <c r="R4345" s="69"/>
      <c r="S4345" s="69"/>
    </row>
    <row r="4346" s="2" customFormat="1" ht="24.95" customHeight="1" spans="1:19">
      <c r="A4346" s="15"/>
      <c r="B4346" s="55"/>
      <c r="C4346" s="56"/>
      <c r="D4346" s="68"/>
      <c r="E4346" s="69"/>
      <c r="F4346" s="69"/>
      <c r="G4346" s="65"/>
      <c r="H4346" s="65"/>
      <c r="I4346" s="70"/>
      <c r="J4346" s="71"/>
      <c r="K4346" s="71"/>
      <c r="L4346" s="72" t="str">
        <f>IFERROR(IF(G4346="","",VLOOKUP($G4346,[1]基础信息!$B:$C,2,FALSE)+SUMIF(G$8:G4346,G4346,J$8:J4346)-SUMIF(G$8:G4346,G4346,K$8:K4346)+SUMIFS([1]内部转账!$G:$G,[1]内部转账!$C:$C,"&lt;="&amp;$D4346,[1]内部转账!$E:$E,$G4346)-SUMIFS([1]内部转账!$G:$G,[1]内部转账!$C:$C,"&lt;="&amp;$D4346,[1]内部转账!$F:$F,$G4346)),"")</f>
        <v/>
      </c>
      <c r="M4346" s="64"/>
      <c r="N4346" s="69"/>
      <c r="O4346" s="64"/>
      <c r="P4346" s="64"/>
      <c r="Q4346" s="69"/>
      <c r="R4346" s="69"/>
      <c r="S4346" s="69"/>
    </row>
    <row r="4347" s="2" customFormat="1" ht="24.95" customHeight="1" spans="1:19">
      <c r="A4347" s="15"/>
      <c r="B4347" s="55"/>
      <c r="C4347" s="56"/>
      <c r="D4347" s="68"/>
      <c r="E4347" s="69"/>
      <c r="F4347" s="69"/>
      <c r="G4347" s="65"/>
      <c r="H4347" s="65"/>
      <c r="I4347" s="70"/>
      <c r="J4347" s="71"/>
      <c r="K4347" s="71"/>
      <c r="L4347" s="72" t="str">
        <f>IFERROR(IF(G4347="","",VLOOKUP($G4347,[1]基础信息!$B:$C,2,FALSE)+SUMIF(G$8:G4347,G4347,J$8:J4347)-SUMIF(G$8:G4347,G4347,K$8:K4347)+SUMIFS([1]内部转账!$G:$G,[1]内部转账!$C:$C,"&lt;="&amp;$D4347,[1]内部转账!$E:$E,$G4347)-SUMIFS([1]内部转账!$G:$G,[1]内部转账!$C:$C,"&lt;="&amp;$D4347,[1]内部转账!$F:$F,$G4347)),"")</f>
        <v/>
      </c>
      <c r="M4347" s="64"/>
      <c r="N4347" s="69"/>
      <c r="O4347" s="64"/>
      <c r="P4347" s="64"/>
      <c r="Q4347" s="69"/>
      <c r="R4347" s="69"/>
      <c r="S4347" s="69"/>
    </row>
    <row r="4348" s="2" customFormat="1" ht="24.95" customHeight="1" spans="1:19">
      <c r="A4348" s="15"/>
      <c r="B4348" s="55"/>
      <c r="C4348" s="56"/>
      <c r="D4348" s="68"/>
      <c r="E4348" s="69"/>
      <c r="F4348" s="69"/>
      <c r="G4348" s="65"/>
      <c r="H4348" s="65"/>
      <c r="I4348" s="70"/>
      <c r="J4348" s="71"/>
      <c r="K4348" s="71"/>
      <c r="L4348" s="72" t="str">
        <f>IFERROR(IF(G4348="","",VLOOKUP($G4348,[1]基础信息!$B:$C,2,FALSE)+SUMIF(G$8:G4348,G4348,J$8:J4348)-SUMIF(G$8:G4348,G4348,K$8:K4348)+SUMIFS([1]内部转账!$G:$G,[1]内部转账!$C:$C,"&lt;="&amp;$D4348,[1]内部转账!$E:$E,$G4348)-SUMIFS([1]内部转账!$G:$G,[1]内部转账!$C:$C,"&lt;="&amp;$D4348,[1]内部转账!$F:$F,$G4348)),"")</f>
        <v/>
      </c>
      <c r="M4348" s="64"/>
      <c r="N4348" s="69"/>
      <c r="O4348" s="64"/>
      <c r="P4348" s="64"/>
      <c r="Q4348" s="69"/>
      <c r="R4348" s="69"/>
      <c r="S4348" s="69"/>
    </row>
    <row r="4349" s="2" customFormat="1" ht="24.95" customHeight="1" spans="1:19">
      <c r="A4349" s="15"/>
      <c r="B4349" s="55"/>
      <c r="C4349" s="56"/>
      <c r="D4349" s="68"/>
      <c r="E4349" s="69"/>
      <c r="F4349" s="69"/>
      <c r="G4349" s="65"/>
      <c r="H4349" s="65"/>
      <c r="I4349" s="70"/>
      <c r="J4349" s="71"/>
      <c r="K4349" s="71"/>
      <c r="L4349" s="72" t="str">
        <f>IFERROR(IF(G4349="","",VLOOKUP($G4349,[1]基础信息!$B:$C,2,FALSE)+SUMIF(G$8:G4349,G4349,J$8:J4349)-SUMIF(G$8:G4349,G4349,K$8:K4349)+SUMIFS([1]内部转账!$G:$G,[1]内部转账!$C:$C,"&lt;="&amp;$D4349,[1]内部转账!$E:$E,$G4349)-SUMIFS([1]内部转账!$G:$G,[1]内部转账!$C:$C,"&lt;="&amp;$D4349,[1]内部转账!$F:$F,$G4349)),"")</f>
        <v/>
      </c>
      <c r="M4349" s="64"/>
      <c r="N4349" s="69"/>
      <c r="O4349" s="64"/>
      <c r="P4349" s="64"/>
      <c r="Q4349" s="69"/>
      <c r="R4349" s="69"/>
      <c r="S4349" s="69"/>
    </row>
    <row r="4350" s="2" customFormat="1" ht="24.95" customHeight="1" spans="1:19">
      <c r="A4350" s="15"/>
      <c r="B4350" s="55"/>
      <c r="C4350" s="56"/>
      <c r="D4350" s="68"/>
      <c r="E4350" s="69"/>
      <c r="F4350" s="69"/>
      <c r="G4350" s="65"/>
      <c r="H4350" s="65"/>
      <c r="I4350" s="70"/>
      <c r="J4350" s="71"/>
      <c r="K4350" s="71"/>
      <c r="L4350" s="72" t="str">
        <f>IFERROR(IF(G4350="","",VLOOKUP($G4350,[1]基础信息!$B:$C,2,FALSE)+SUMIF(G$8:G4350,G4350,J$8:J4350)-SUMIF(G$8:G4350,G4350,K$8:K4350)+SUMIFS([1]内部转账!$G:$G,[1]内部转账!$C:$C,"&lt;="&amp;$D4350,[1]内部转账!$E:$E,$G4350)-SUMIFS([1]内部转账!$G:$G,[1]内部转账!$C:$C,"&lt;="&amp;$D4350,[1]内部转账!$F:$F,$G4350)),"")</f>
        <v/>
      </c>
      <c r="M4350" s="64"/>
      <c r="N4350" s="69"/>
      <c r="O4350" s="64"/>
      <c r="P4350" s="64"/>
      <c r="Q4350" s="69"/>
      <c r="R4350" s="69"/>
      <c r="S4350" s="69"/>
    </row>
    <row r="4351" s="2" customFormat="1" ht="24.95" customHeight="1" spans="1:19">
      <c r="A4351" s="15"/>
      <c r="B4351" s="55"/>
      <c r="C4351" s="56"/>
      <c r="D4351" s="68"/>
      <c r="E4351" s="69"/>
      <c r="F4351" s="69"/>
      <c r="G4351" s="65"/>
      <c r="H4351" s="65"/>
      <c r="I4351" s="70"/>
      <c r="J4351" s="71"/>
      <c r="K4351" s="71"/>
      <c r="L4351" s="72" t="str">
        <f>IFERROR(IF(G4351="","",VLOOKUP($G4351,[1]基础信息!$B:$C,2,FALSE)+SUMIF(G$8:G4351,G4351,J$8:J4351)-SUMIF(G$8:G4351,G4351,K$8:K4351)+SUMIFS([1]内部转账!$G:$G,[1]内部转账!$C:$C,"&lt;="&amp;$D4351,[1]内部转账!$E:$E,$G4351)-SUMIFS([1]内部转账!$G:$G,[1]内部转账!$C:$C,"&lt;="&amp;$D4351,[1]内部转账!$F:$F,$G4351)),"")</f>
        <v/>
      </c>
      <c r="M4351" s="64"/>
      <c r="N4351" s="69"/>
      <c r="O4351" s="64"/>
      <c r="P4351" s="64"/>
      <c r="Q4351" s="69"/>
      <c r="R4351" s="69"/>
      <c r="S4351" s="69"/>
    </row>
    <row r="4352" s="2" customFormat="1" ht="24.95" customHeight="1" spans="1:19">
      <c r="A4352" s="15"/>
      <c r="B4352" s="55"/>
      <c r="C4352" s="56"/>
      <c r="D4352" s="68"/>
      <c r="E4352" s="69"/>
      <c r="F4352" s="69"/>
      <c r="G4352" s="65"/>
      <c r="H4352" s="65"/>
      <c r="I4352" s="70"/>
      <c r="J4352" s="71"/>
      <c r="K4352" s="71"/>
      <c r="L4352" s="72" t="str">
        <f>IFERROR(IF(G4352="","",VLOOKUP($G4352,[1]基础信息!$B:$C,2,FALSE)+SUMIF(G$8:G4352,G4352,J$8:J4352)-SUMIF(G$8:G4352,G4352,K$8:K4352)+SUMIFS([1]内部转账!$G:$G,[1]内部转账!$C:$C,"&lt;="&amp;$D4352,[1]内部转账!$E:$E,$G4352)-SUMIFS([1]内部转账!$G:$G,[1]内部转账!$C:$C,"&lt;="&amp;$D4352,[1]内部转账!$F:$F,$G4352)),"")</f>
        <v/>
      </c>
      <c r="M4352" s="64"/>
      <c r="N4352" s="69"/>
      <c r="O4352" s="64"/>
      <c r="P4352" s="64"/>
      <c r="Q4352" s="69"/>
      <c r="R4352" s="69"/>
      <c r="S4352" s="69"/>
    </row>
    <row r="4353" s="2" customFormat="1" ht="24.95" customHeight="1" spans="1:19">
      <c r="A4353" s="15"/>
      <c r="B4353" s="55"/>
      <c r="C4353" s="56"/>
      <c r="D4353" s="68"/>
      <c r="E4353" s="69"/>
      <c r="F4353" s="69"/>
      <c r="G4353" s="65"/>
      <c r="H4353" s="65"/>
      <c r="I4353" s="70"/>
      <c r="J4353" s="71"/>
      <c r="K4353" s="71"/>
      <c r="L4353" s="72" t="str">
        <f>IFERROR(IF(G4353="","",VLOOKUP($G4353,[1]基础信息!$B:$C,2,FALSE)+SUMIF(G$8:G4353,G4353,J$8:J4353)-SUMIF(G$8:G4353,G4353,K$8:K4353)+SUMIFS([1]内部转账!$G:$G,[1]内部转账!$C:$C,"&lt;="&amp;$D4353,[1]内部转账!$E:$E,$G4353)-SUMIFS([1]内部转账!$G:$G,[1]内部转账!$C:$C,"&lt;="&amp;$D4353,[1]内部转账!$F:$F,$G4353)),"")</f>
        <v/>
      </c>
      <c r="M4353" s="64"/>
      <c r="N4353" s="69"/>
      <c r="O4353" s="64"/>
      <c r="P4353" s="64"/>
      <c r="Q4353" s="69"/>
      <c r="R4353" s="69"/>
      <c r="S4353" s="69"/>
    </row>
    <row r="4354" s="2" customFormat="1" ht="24.95" customHeight="1" spans="1:19">
      <c r="A4354" s="15"/>
      <c r="B4354" s="55"/>
      <c r="C4354" s="56"/>
      <c r="D4354" s="68"/>
      <c r="E4354" s="69"/>
      <c r="F4354" s="69"/>
      <c r="G4354" s="65"/>
      <c r="H4354" s="65"/>
      <c r="I4354" s="70"/>
      <c r="J4354" s="71"/>
      <c r="K4354" s="71"/>
      <c r="L4354" s="72" t="str">
        <f>IFERROR(IF(G4354="","",VLOOKUP($G4354,[1]基础信息!$B:$C,2,FALSE)+SUMIF(G$8:G4354,G4354,J$8:J4354)-SUMIF(G$8:G4354,G4354,K$8:K4354)+SUMIFS([1]内部转账!$G:$G,[1]内部转账!$C:$C,"&lt;="&amp;$D4354,[1]内部转账!$E:$E,$G4354)-SUMIFS([1]内部转账!$G:$G,[1]内部转账!$C:$C,"&lt;="&amp;$D4354,[1]内部转账!$F:$F,$G4354)),"")</f>
        <v/>
      </c>
      <c r="M4354" s="64"/>
      <c r="N4354" s="69"/>
      <c r="O4354" s="64"/>
      <c r="P4354" s="64"/>
      <c r="Q4354" s="69"/>
      <c r="R4354" s="69"/>
      <c r="S4354" s="69"/>
    </row>
    <row r="4355" s="2" customFormat="1" ht="24.95" customHeight="1" spans="1:19">
      <c r="A4355" s="15"/>
      <c r="B4355" s="55"/>
      <c r="C4355" s="56"/>
      <c r="D4355" s="68"/>
      <c r="E4355" s="69"/>
      <c r="F4355" s="69"/>
      <c r="G4355" s="65"/>
      <c r="H4355" s="65"/>
      <c r="I4355" s="70"/>
      <c r="J4355" s="71"/>
      <c r="K4355" s="71"/>
      <c r="L4355" s="72" t="str">
        <f>IFERROR(IF(G4355="","",VLOOKUP($G4355,[1]基础信息!$B:$C,2,FALSE)+SUMIF(G$8:G4355,G4355,J$8:J4355)-SUMIF(G$8:G4355,G4355,K$8:K4355)+SUMIFS([1]内部转账!$G:$G,[1]内部转账!$C:$C,"&lt;="&amp;$D4355,[1]内部转账!$E:$E,$G4355)-SUMIFS([1]内部转账!$G:$G,[1]内部转账!$C:$C,"&lt;="&amp;$D4355,[1]内部转账!$F:$F,$G4355)),"")</f>
        <v/>
      </c>
      <c r="M4355" s="64"/>
      <c r="N4355" s="69"/>
      <c r="O4355" s="64"/>
      <c r="P4355" s="64"/>
      <c r="Q4355" s="69"/>
      <c r="R4355" s="69"/>
      <c r="S4355" s="69"/>
    </row>
    <row r="4356" s="2" customFormat="1" ht="24.95" customHeight="1" spans="1:19">
      <c r="A4356" s="15"/>
      <c r="B4356" s="55"/>
      <c r="C4356" s="56"/>
      <c r="D4356" s="68"/>
      <c r="E4356" s="69"/>
      <c r="F4356" s="69"/>
      <c r="G4356" s="65"/>
      <c r="H4356" s="65"/>
      <c r="I4356" s="70"/>
      <c r="J4356" s="71"/>
      <c r="K4356" s="71"/>
      <c r="L4356" s="72" t="str">
        <f>IFERROR(IF(G4356="","",VLOOKUP($G4356,[1]基础信息!$B:$C,2,FALSE)+SUMIF(G$8:G4356,G4356,J$8:J4356)-SUMIF(G$8:G4356,G4356,K$8:K4356)+SUMIFS([1]内部转账!$G:$G,[1]内部转账!$C:$C,"&lt;="&amp;$D4356,[1]内部转账!$E:$E,$G4356)-SUMIFS([1]内部转账!$G:$G,[1]内部转账!$C:$C,"&lt;="&amp;$D4356,[1]内部转账!$F:$F,$G4356)),"")</f>
        <v/>
      </c>
      <c r="M4356" s="64"/>
      <c r="N4356" s="69"/>
      <c r="O4356" s="64"/>
      <c r="P4356" s="64"/>
      <c r="Q4356" s="69"/>
      <c r="R4356" s="69"/>
      <c r="S4356" s="69"/>
    </row>
    <row r="4357" s="2" customFormat="1" ht="24.95" customHeight="1" spans="1:19">
      <c r="A4357" s="15"/>
      <c r="B4357" s="55"/>
      <c r="C4357" s="56"/>
      <c r="D4357" s="68"/>
      <c r="E4357" s="69"/>
      <c r="F4357" s="69"/>
      <c r="G4357" s="65"/>
      <c r="H4357" s="65"/>
      <c r="I4357" s="70"/>
      <c r="J4357" s="71"/>
      <c r="K4357" s="71"/>
      <c r="L4357" s="72" t="str">
        <f>IFERROR(IF(G4357="","",VLOOKUP($G4357,[1]基础信息!$B:$C,2,FALSE)+SUMIF(G$8:G4357,G4357,J$8:J4357)-SUMIF(G$8:G4357,G4357,K$8:K4357)+SUMIFS([1]内部转账!$G:$G,[1]内部转账!$C:$C,"&lt;="&amp;$D4357,[1]内部转账!$E:$E,$G4357)-SUMIFS([1]内部转账!$G:$G,[1]内部转账!$C:$C,"&lt;="&amp;$D4357,[1]内部转账!$F:$F,$G4357)),"")</f>
        <v/>
      </c>
      <c r="M4357" s="64"/>
      <c r="N4357" s="69"/>
      <c r="O4357" s="64"/>
      <c r="P4357" s="64"/>
      <c r="Q4357" s="69"/>
      <c r="R4357" s="69"/>
      <c r="S4357" s="69"/>
    </row>
    <row r="4358" s="2" customFormat="1" ht="24.95" customHeight="1" spans="1:19">
      <c r="A4358" s="15"/>
      <c r="B4358" s="55"/>
      <c r="C4358" s="56"/>
      <c r="D4358" s="68"/>
      <c r="E4358" s="69"/>
      <c r="F4358" s="69"/>
      <c r="G4358" s="65"/>
      <c r="H4358" s="65"/>
      <c r="I4358" s="70"/>
      <c r="J4358" s="71"/>
      <c r="K4358" s="71"/>
      <c r="L4358" s="72" t="str">
        <f>IFERROR(IF(G4358="","",VLOOKUP($G4358,[1]基础信息!$B:$C,2,FALSE)+SUMIF(G$8:G4358,G4358,J$8:J4358)-SUMIF(G$8:G4358,G4358,K$8:K4358)+SUMIFS([1]内部转账!$G:$G,[1]内部转账!$C:$C,"&lt;="&amp;$D4358,[1]内部转账!$E:$E,$G4358)-SUMIFS([1]内部转账!$G:$G,[1]内部转账!$C:$C,"&lt;="&amp;$D4358,[1]内部转账!$F:$F,$G4358)),"")</f>
        <v/>
      </c>
      <c r="M4358" s="64"/>
      <c r="N4358" s="69"/>
      <c r="O4358" s="64"/>
      <c r="P4358" s="64"/>
      <c r="Q4358" s="69"/>
      <c r="R4358" s="69"/>
      <c r="S4358" s="69"/>
    </row>
    <row r="4359" s="2" customFormat="1" ht="24.95" customHeight="1" spans="1:19">
      <c r="A4359" s="15"/>
      <c r="B4359" s="55"/>
      <c r="C4359" s="56"/>
      <c r="D4359" s="68"/>
      <c r="E4359" s="69"/>
      <c r="F4359" s="69"/>
      <c r="G4359" s="65"/>
      <c r="H4359" s="65"/>
      <c r="I4359" s="70"/>
      <c r="J4359" s="71"/>
      <c r="K4359" s="71"/>
      <c r="L4359" s="72" t="str">
        <f>IFERROR(IF(G4359="","",VLOOKUP($G4359,[1]基础信息!$B:$C,2,FALSE)+SUMIF(G$8:G4359,G4359,J$8:J4359)-SUMIF(G$8:G4359,G4359,K$8:K4359)+SUMIFS([1]内部转账!$G:$G,[1]内部转账!$C:$C,"&lt;="&amp;$D4359,[1]内部转账!$E:$E,$G4359)-SUMIFS([1]内部转账!$G:$G,[1]内部转账!$C:$C,"&lt;="&amp;$D4359,[1]内部转账!$F:$F,$G4359)),"")</f>
        <v/>
      </c>
      <c r="M4359" s="64"/>
      <c r="N4359" s="69"/>
      <c r="O4359" s="64"/>
      <c r="P4359" s="64"/>
      <c r="Q4359" s="69"/>
      <c r="R4359" s="69"/>
      <c r="S4359" s="69"/>
    </row>
    <row r="4360" s="2" customFormat="1" ht="24.95" customHeight="1" spans="1:19">
      <c r="A4360" s="15"/>
      <c r="B4360" s="55"/>
      <c r="C4360" s="56"/>
      <c r="D4360" s="68"/>
      <c r="E4360" s="69"/>
      <c r="F4360" s="69"/>
      <c r="G4360" s="65"/>
      <c r="H4360" s="65"/>
      <c r="I4360" s="70"/>
      <c r="J4360" s="71"/>
      <c r="K4360" s="71"/>
      <c r="L4360" s="72" t="str">
        <f>IFERROR(IF(G4360="","",VLOOKUP($G4360,[1]基础信息!$B:$C,2,FALSE)+SUMIF(G$8:G4360,G4360,J$8:J4360)-SUMIF(G$8:G4360,G4360,K$8:K4360)+SUMIFS([1]内部转账!$G:$G,[1]内部转账!$C:$C,"&lt;="&amp;$D4360,[1]内部转账!$E:$E,$G4360)-SUMIFS([1]内部转账!$G:$G,[1]内部转账!$C:$C,"&lt;="&amp;$D4360,[1]内部转账!$F:$F,$G4360)),"")</f>
        <v/>
      </c>
      <c r="M4360" s="64"/>
      <c r="N4360" s="69"/>
      <c r="O4360" s="64"/>
      <c r="P4360" s="64"/>
      <c r="Q4360" s="69"/>
      <c r="R4360" s="69"/>
      <c r="S4360" s="69"/>
    </row>
    <row r="4361" s="2" customFormat="1" ht="24.95" customHeight="1" spans="1:19">
      <c r="A4361" s="15"/>
      <c r="B4361" s="55"/>
      <c r="C4361" s="56"/>
      <c r="D4361" s="68"/>
      <c r="E4361" s="69"/>
      <c r="F4361" s="69"/>
      <c r="G4361" s="65"/>
      <c r="H4361" s="65"/>
      <c r="I4361" s="70"/>
      <c r="J4361" s="71"/>
      <c r="K4361" s="71"/>
      <c r="L4361" s="72" t="str">
        <f>IFERROR(IF(G4361="","",VLOOKUP($G4361,[1]基础信息!$B:$C,2,FALSE)+SUMIF(G$8:G4361,G4361,J$8:J4361)-SUMIF(G$8:G4361,G4361,K$8:K4361)+SUMIFS([1]内部转账!$G:$G,[1]内部转账!$C:$C,"&lt;="&amp;$D4361,[1]内部转账!$E:$E,$G4361)-SUMIFS([1]内部转账!$G:$G,[1]内部转账!$C:$C,"&lt;="&amp;$D4361,[1]内部转账!$F:$F,$G4361)),"")</f>
        <v/>
      </c>
      <c r="M4361" s="64"/>
      <c r="N4361" s="69"/>
      <c r="O4361" s="64"/>
      <c r="P4361" s="64"/>
      <c r="Q4361" s="69"/>
      <c r="R4361" s="69"/>
      <c r="S4361" s="69"/>
    </row>
    <row r="4362" s="2" customFormat="1" ht="24.95" customHeight="1" spans="1:19">
      <c r="A4362" s="15"/>
      <c r="B4362" s="55"/>
      <c r="C4362" s="56"/>
      <c r="D4362" s="68"/>
      <c r="E4362" s="69"/>
      <c r="F4362" s="69"/>
      <c r="G4362" s="65"/>
      <c r="H4362" s="65"/>
      <c r="I4362" s="70"/>
      <c r="J4362" s="71"/>
      <c r="K4362" s="71"/>
      <c r="L4362" s="72" t="str">
        <f>IFERROR(IF(G4362="","",VLOOKUP($G4362,[1]基础信息!$B:$C,2,FALSE)+SUMIF(G$8:G4362,G4362,J$8:J4362)-SUMIF(G$8:G4362,G4362,K$8:K4362)+SUMIFS([1]内部转账!$G:$G,[1]内部转账!$C:$C,"&lt;="&amp;$D4362,[1]内部转账!$E:$E,$G4362)-SUMIFS([1]内部转账!$G:$G,[1]内部转账!$C:$C,"&lt;="&amp;$D4362,[1]内部转账!$F:$F,$G4362)),"")</f>
        <v/>
      </c>
      <c r="M4362" s="64"/>
      <c r="N4362" s="69"/>
      <c r="O4362" s="64"/>
      <c r="P4362" s="64"/>
      <c r="Q4362" s="69"/>
      <c r="R4362" s="69"/>
      <c r="S4362" s="69"/>
    </row>
    <row r="4363" s="2" customFormat="1" ht="24.95" customHeight="1" spans="1:19">
      <c r="A4363" s="15"/>
      <c r="B4363" s="55"/>
      <c r="C4363" s="56"/>
      <c r="D4363" s="68"/>
      <c r="E4363" s="69"/>
      <c r="F4363" s="69"/>
      <c r="G4363" s="65"/>
      <c r="H4363" s="65"/>
      <c r="I4363" s="70"/>
      <c r="J4363" s="71"/>
      <c r="K4363" s="71"/>
      <c r="L4363" s="72" t="str">
        <f>IFERROR(IF(G4363="","",VLOOKUP($G4363,[1]基础信息!$B:$C,2,FALSE)+SUMIF(G$8:G4363,G4363,J$8:J4363)-SUMIF(G$8:G4363,G4363,K$8:K4363)+SUMIFS([1]内部转账!$G:$G,[1]内部转账!$C:$C,"&lt;="&amp;$D4363,[1]内部转账!$E:$E,$G4363)-SUMIFS([1]内部转账!$G:$G,[1]内部转账!$C:$C,"&lt;="&amp;$D4363,[1]内部转账!$F:$F,$G4363)),"")</f>
        <v/>
      </c>
      <c r="M4363" s="64"/>
      <c r="N4363" s="69"/>
      <c r="O4363" s="64"/>
      <c r="P4363" s="64"/>
      <c r="Q4363" s="69"/>
      <c r="R4363" s="69"/>
      <c r="S4363" s="69"/>
    </row>
    <row r="4364" s="2" customFormat="1" ht="24.95" customHeight="1" spans="1:19">
      <c r="A4364" s="15"/>
      <c r="B4364" s="55"/>
      <c r="C4364" s="56"/>
      <c r="D4364" s="68"/>
      <c r="E4364" s="69"/>
      <c r="F4364" s="69"/>
      <c r="G4364" s="65"/>
      <c r="H4364" s="65"/>
      <c r="I4364" s="70"/>
      <c r="J4364" s="71"/>
      <c r="K4364" s="71"/>
      <c r="L4364" s="72" t="str">
        <f>IFERROR(IF(G4364="","",VLOOKUP($G4364,[1]基础信息!$B:$C,2,FALSE)+SUMIF(G$8:G4364,G4364,J$8:J4364)-SUMIF(G$8:G4364,G4364,K$8:K4364)+SUMIFS([1]内部转账!$G:$G,[1]内部转账!$C:$C,"&lt;="&amp;$D4364,[1]内部转账!$E:$E,$G4364)-SUMIFS([1]内部转账!$G:$G,[1]内部转账!$C:$C,"&lt;="&amp;$D4364,[1]内部转账!$F:$F,$G4364)),"")</f>
        <v/>
      </c>
      <c r="M4364" s="64"/>
      <c r="N4364" s="69"/>
      <c r="O4364" s="64"/>
      <c r="P4364" s="64"/>
      <c r="Q4364" s="69"/>
      <c r="R4364" s="69"/>
      <c r="S4364" s="69"/>
    </row>
    <row r="4365" s="2" customFormat="1" ht="24.95" customHeight="1" spans="1:19">
      <c r="A4365" s="15"/>
      <c r="B4365" s="55"/>
      <c r="C4365" s="56"/>
      <c r="D4365" s="68"/>
      <c r="E4365" s="69"/>
      <c r="F4365" s="69"/>
      <c r="G4365" s="65"/>
      <c r="H4365" s="65"/>
      <c r="I4365" s="70"/>
      <c r="J4365" s="71"/>
      <c r="K4365" s="71"/>
      <c r="L4365" s="72" t="str">
        <f>IFERROR(IF(G4365="","",VLOOKUP($G4365,[1]基础信息!$B:$C,2,FALSE)+SUMIF(G$8:G4365,G4365,J$8:J4365)-SUMIF(G$8:G4365,G4365,K$8:K4365)+SUMIFS([1]内部转账!$G:$G,[1]内部转账!$C:$C,"&lt;="&amp;$D4365,[1]内部转账!$E:$E,$G4365)-SUMIFS([1]内部转账!$G:$G,[1]内部转账!$C:$C,"&lt;="&amp;$D4365,[1]内部转账!$F:$F,$G4365)),"")</f>
        <v/>
      </c>
      <c r="M4365" s="64"/>
      <c r="N4365" s="69"/>
      <c r="O4365" s="64"/>
      <c r="P4365" s="64"/>
      <c r="Q4365" s="69"/>
      <c r="R4365" s="69"/>
      <c r="S4365" s="69"/>
    </row>
    <row r="4366" s="2" customFormat="1" ht="24.95" customHeight="1" spans="1:19">
      <c r="A4366" s="15"/>
      <c r="B4366" s="55"/>
      <c r="C4366" s="56"/>
      <c r="D4366" s="68"/>
      <c r="E4366" s="69"/>
      <c r="F4366" s="69"/>
      <c r="G4366" s="65"/>
      <c r="H4366" s="65"/>
      <c r="I4366" s="70"/>
      <c r="J4366" s="71"/>
      <c r="K4366" s="71"/>
      <c r="L4366" s="72" t="str">
        <f>IFERROR(IF(G4366="","",VLOOKUP($G4366,[1]基础信息!$B:$C,2,FALSE)+SUMIF(G$8:G4366,G4366,J$8:J4366)-SUMIF(G$8:G4366,G4366,K$8:K4366)+SUMIFS([1]内部转账!$G:$G,[1]内部转账!$C:$C,"&lt;="&amp;$D4366,[1]内部转账!$E:$E,$G4366)-SUMIFS([1]内部转账!$G:$G,[1]内部转账!$C:$C,"&lt;="&amp;$D4366,[1]内部转账!$F:$F,$G4366)),"")</f>
        <v/>
      </c>
      <c r="M4366" s="64"/>
      <c r="N4366" s="69"/>
      <c r="O4366" s="64"/>
      <c r="P4366" s="64"/>
      <c r="Q4366" s="69"/>
      <c r="R4366" s="69"/>
      <c r="S4366" s="69"/>
    </row>
    <row r="4367" s="2" customFormat="1" ht="24.95" customHeight="1" spans="1:19">
      <c r="A4367" s="15"/>
      <c r="B4367" s="55"/>
      <c r="C4367" s="56"/>
      <c r="D4367" s="68"/>
      <c r="E4367" s="69"/>
      <c r="F4367" s="69"/>
      <c r="G4367" s="65"/>
      <c r="H4367" s="65"/>
      <c r="I4367" s="70"/>
      <c r="J4367" s="71"/>
      <c r="K4367" s="71"/>
      <c r="L4367" s="72" t="str">
        <f>IFERROR(IF(G4367="","",VLOOKUP($G4367,[1]基础信息!$B:$C,2,FALSE)+SUMIF(G$8:G4367,G4367,J$8:J4367)-SUMIF(G$8:G4367,G4367,K$8:K4367)+SUMIFS([1]内部转账!$G:$G,[1]内部转账!$C:$C,"&lt;="&amp;$D4367,[1]内部转账!$E:$E,$G4367)-SUMIFS([1]内部转账!$G:$G,[1]内部转账!$C:$C,"&lt;="&amp;$D4367,[1]内部转账!$F:$F,$G4367)),"")</f>
        <v/>
      </c>
      <c r="M4367" s="64"/>
      <c r="N4367" s="69"/>
      <c r="O4367" s="64"/>
      <c r="P4367" s="64"/>
      <c r="Q4367" s="69"/>
      <c r="R4367" s="69"/>
      <c r="S4367" s="69"/>
    </row>
    <row r="4368" s="2" customFormat="1" ht="24.95" customHeight="1" spans="1:19">
      <c r="A4368" s="15"/>
      <c r="B4368" s="55"/>
      <c r="C4368" s="56"/>
      <c r="D4368" s="68"/>
      <c r="E4368" s="69"/>
      <c r="F4368" s="69"/>
      <c r="G4368" s="65"/>
      <c r="H4368" s="65"/>
      <c r="I4368" s="70"/>
      <c r="J4368" s="71"/>
      <c r="K4368" s="71"/>
      <c r="L4368" s="72" t="str">
        <f>IFERROR(IF(G4368="","",VLOOKUP($G4368,[1]基础信息!$B:$C,2,FALSE)+SUMIF(G$8:G4368,G4368,J$8:J4368)-SUMIF(G$8:G4368,G4368,K$8:K4368)+SUMIFS([1]内部转账!$G:$G,[1]内部转账!$C:$C,"&lt;="&amp;$D4368,[1]内部转账!$E:$E,$G4368)-SUMIFS([1]内部转账!$G:$G,[1]内部转账!$C:$C,"&lt;="&amp;$D4368,[1]内部转账!$F:$F,$G4368)),"")</f>
        <v/>
      </c>
      <c r="M4368" s="64"/>
      <c r="N4368" s="69"/>
      <c r="O4368" s="64"/>
      <c r="P4368" s="64"/>
      <c r="Q4368" s="69"/>
      <c r="R4368" s="69"/>
      <c r="S4368" s="69"/>
    </row>
    <row r="4369" s="2" customFormat="1" ht="24.95" customHeight="1" spans="1:19">
      <c r="A4369" s="15"/>
      <c r="B4369" s="55"/>
      <c r="C4369" s="56"/>
      <c r="D4369" s="68"/>
      <c r="E4369" s="69"/>
      <c r="F4369" s="69"/>
      <c r="G4369" s="65"/>
      <c r="H4369" s="65"/>
      <c r="I4369" s="70"/>
      <c r="J4369" s="71"/>
      <c r="K4369" s="71"/>
      <c r="L4369" s="72" t="str">
        <f>IFERROR(IF(G4369="","",VLOOKUP($G4369,[1]基础信息!$B:$C,2,FALSE)+SUMIF(G$8:G4369,G4369,J$8:J4369)-SUMIF(G$8:G4369,G4369,K$8:K4369)+SUMIFS([1]内部转账!$G:$G,[1]内部转账!$C:$C,"&lt;="&amp;$D4369,[1]内部转账!$E:$E,$G4369)-SUMIFS([1]内部转账!$G:$G,[1]内部转账!$C:$C,"&lt;="&amp;$D4369,[1]内部转账!$F:$F,$G4369)),"")</f>
        <v/>
      </c>
      <c r="M4369" s="64"/>
      <c r="N4369" s="69"/>
      <c r="O4369" s="64"/>
      <c r="P4369" s="64"/>
      <c r="Q4369" s="69"/>
      <c r="R4369" s="69"/>
      <c r="S4369" s="69"/>
    </row>
    <row r="4370" s="2" customFormat="1" ht="24.95" customHeight="1" spans="1:19">
      <c r="A4370" s="15"/>
      <c r="B4370" s="55"/>
      <c r="C4370" s="56"/>
      <c r="D4370" s="68"/>
      <c r="E4370" s="69"/>
      <c r="F4370" s="69"/>
      <c r="G4370" s="65"/>
      <c r="H4370" s="65"/>
      <c r="I4370" s="70"/>
      <c r="J4370" s="71"/>
      <c r="K4370" s="71"/>
      <c r="L4370" s="72" t="str">
        <f>IFERROR(IF(G4370="","",VLOOKUP($G4370,[1]基础信息!$B:$C,2,FALSE)+SUMIF(G$8:G4370,G4370,J$8:J4370)-SUMIF(G$8:G4370,G4370,K$8:K4370)+SUMIFS([1]内部转账!$G:$G,[1]内部转账!$C:$C,"&lt;="&amp;$D4370,[1]内部转账!$E:$E,$G4370)-SUMIFS([1]内部转账!$G:$G,[1]内部转账!$C:$C,"&lt;="&amp;$D4370,[1]内部转账!$F:$F,$G4370)),"")</f>
        <v/>
      </c>
      <c r="M4370" s="64"/>
      <c r="N4370" s="69"/>
      <c r="O4370" s="64"/>
      <c r="P4370" s="64"/>
      <c r="Q4370" s="69"/>
      <c r="R4370" s="69"/>
      <c r="S4370" s="69"/>
    </row>
    <row r="4371" s="2" customFormat="1" ht="24.95" customHeight="1" spans="1:19">
      <c r="A4371" s="15"/>
      <c r="B4371" s="55"/>
      <c r="C4371" s="56"/>
      <c r="D4371" s="68"/>
      <c r="E4371" s="69"/>
      <c r="F4371" s="69"/>
      <c r="G4371" s="65"/>
      <c r="H4371" s="65"/>
      <c r="I4371" s="70"/>
      <c r="J4371" s="71"/>
      <c r="K4371" s="71"/>
      <c r="L4371" s="72" t="str">
        <f>IFERROR(IF(G4371="","",VLOOKUP($G4371,[1]基础信息!$B:$C,2,FALSE)+SUMIF(G$8:G4371,G4371,J$8:J4371)-SUMIF(G$8:G4371,G4371,K$8:K4371)+SUMIFS([1]内部转账!$G:$G,[1]内部转账!$C:$C,"&lt;="&amp;$D4371,[1]内部转账!$E:$E,$G4371)-SUMIFS([1]内部转账!$G:$G,[1]内部转账!$C:$C,"&lt;="&amp;$D4371,[1]内部转账!$F:$F,$G4371)),"")</f>
        <v/>
      </c>
      <c r="M4371" s="64"/>
      <c r="N4371" s="69"/>
      <c r="O4371" s="64"/>
      <c r="P4371" s="64"/>
      <c r="Q4371" s="69"/>
      <c r="R4371" s="69"/>
      <c r="S4371" s="69"/>
    </row>
    <row r="4372" s="2" customFormat="1" ht="24.95" customHeight="1" spans="1:19">
      <c r="A4372" s="15"/>
      <c r="B4372" s="55"/>
      <c r="C4372" s="56"/>
      <c r="D4372" s="68"/>
      <c r="E4372" s="69"/>
      <c r="F4372" s="69"/>
      <c r="G4372" s="65"/>
      <c r="H4372" s="65"/>
      <c r="I4372" s="70"/>
      <c r="J4372" s="71"/>
      <c r="K4372" s="71"/>
      <c r="L4372" s="72" t="str">
        <f>IFERROR(IF(G4372="","",VLOOKUP($G4372,[1]基础信息!$B:$C,2,FALSE)+SUMIF(G$8:G4372,G4372,J$8:J4372)-SUMIF(G$8:G4372,G4372,K$8:K4372)+SUMIFS([1]内部转账!$G:$G,[1]内部转账!$C:$C,"&lt;="&amp;$D4372,[1]内部转账!$E:$E,$G4372)-SUMIFS([1]内部转账!$G:$G,[1]内部转账!$C:$C,"&lt;="&amp;$D4372,[1]内部转账!$F:$F,$G4372)),"")</f>
        <v/>
      </c>
      <c r="M4372" s="64"/>
      <c r="N4372" s="69"/>
      <c r="O4372" s="64"/>
      <c r="P4372" s="64"/>
      <c r="Q4372" s="69"/>
      <c r="R4372" s="69"/>
      <c r="S4372" s="69"/>
    </row>
    <row r="4373" s="2" customFormat="1" ht="24.95" customHeight="1" spans="1:19">
      <c r="A4373" s="15"/>
      <c r="B4373" s="55"/>
      <c r="C4373" s="56"/>
      <c r="D4373" s="68"/>
      <c r="E4373" s="69"/>
      <c r="F4373" s="69"/>
      <c r="G4373" s="65"/>
      <c r="H4373" s="65"/>
      <c r="I4373" s="70"/>
      <c r="J4373" s="71"/>
      <c r="K4373" s="71"/>
      <c r="L4373" s="72" t="str">
        <f>IFERROR(IF(G4373="","",VLOOKUP($G4373,[1]基础信息!$B:$C,2,FALSE)+SUMIF(G$8:G4373,G4373,J$8:J4373)-SUMIF(G$8:G4373,G4373,K$8:K4373)+SUMIFS([1]内部转账!$G:$G,[1]内部转账!$C:$C,"&lt;="&amp;$D4373,[1]内部转账!$E:$E,$G4373)-SUMIFS([1]内部转账!$G:$G,[1]内部转账!$C:$C,"&lt;="&amp;$D4373,[1]内部转账!$F:$F,$G4373)),"")</f>
        <v/>
      </c>
      <c r="M4373" s="64"/>
      <c r="N4373" s="69"/>
      <c r="O4373" s="64"/>
      <c r="P4373" s="64"/>
      <c r="Q4373" s="69"/>
      <c r="R4373" s="69"/>
      <c r="S4373" s="69"/>
    </row>
    <row r="4374" s="2" customFormat="1" ht="24.95" customHeight="1" spans="1:19">
      <c r="A4374" s="15"/>
      <c r="B4374" s="55"/>
      <c r="C4374" s="56"/>
      <c r="D4374" s="68"/>
      <c r="E4374" s="69"/>
      <c r="F4374" s="69"/>
      <c r="G4374" s="65"/>
      <c r="H4374" s="65"/>
      <c r="I4374" s="70"/>
      <c r="J4374" s="71"/>
      <c r="K4374" s="71"/>
      <c r="L4374" s="72" t="str">
        <f>IFERROR(IF(G4374="","",VLOOKUP($G4374,[1]基础信息!$B:$C,2,FALSE)+SUMIF(G$8:G4374,G4374,J$8:J4374)-SUMIF(G$8:G4374,G4374,K$8:K4374)+SUMIFS([1]内部转账!$G:$G,[1]内部转账!$C:$C,"&lt;="&amp;$D4374,[1]内部转账!$E:$E,$G4374)-SUMIFS([1]内部转账!$G:$G,[1]内部转账!$C:$C,"&lt;="&amp;$D4374,[1]内部转账!$F:$F,$G4374)),"")</f>
        <v/>
      </c>
      <c r="M4374" s="64"/>
      <c r="N4374" s="69"/>
      <c r="O4374" s="64"/>
      <c r="P4374" s="64"/>
      <c r="Q4374" s="69"/>
      <c r="R4374" s="69"/>
      <c r="S4374" s="69"/>
    </row>
    <row r="4375" s="2" customFormat="1" ht="24.95" customHeight="1" spans="1:19">
      <c r="A4375" s="15"/>
      <c r="B4375" s="55"/>
      <c r="C4375" s="56"/>
      <c r="D4375" s="68"/>
      <c r="E4375" s="69"/>
      <c r="F4375" s="69"/>
      <c r="G4375" s="65"/>
      <c r="H4375" s="65"/>
      <c r="I4375" s="70"/>
      <c r="J4375" s="71"/>
      <c r="K4375" s="71"/>
      <c r="L4375" s="72" t="str">
        <f>IFERROR(IF(G4375="","",VLOOKUP($G4375,[1]基础信息!$B:$C,2,FALSE)+SUMIF(G$8:G4375,G4375,J$8:J4375)-SUMIF(G$8:G4375,G4375,K$8:K4375)+SUMIFS([1]内部转账!$G:$G,[1]内部转账!$C:$C,"&lt;="&amp;$D4375,[1]内部转账!$E:$E,$G4375)-SUMIFS([1]内部转账!$G:$G,[1]内部转账!$C:$C,"&lt;="&amp;$D4375,[1]内部转账!$F:$F,$G4375)),"")</f>
        <v/>
      </c>
      <c r="M4375" s="64"/>
      <c r="N4375" s="69"/>
      <c r="O4375" s="64"/>
      <c r="P4375" s="64"/>
      <c r="Q4375" s="69"/>
      <c r="R4375" s="69"/>
      <c r="S4375" s="69"/>
    </row>
    <row r="4376" s="2" customFormat="1" ht="24.95" customHeight="1" spans="1:19">
      <c r="A4376" s="15"/>
      <c r="B4376" s="55"/>
      <c r="C4376" s="56"/>
      <c r="D4376" s="68"/>
      <c r="E4376" s="69"/>
      <c r="F4376" s="69"/>
      <c r="G4376" s="65"/>
      <c r="H4376" s="65"/>
      <c r="I4376" s="70"/>
      <c r="J4376" s="71"/>
      <c r="K4376" s="71"/>
      <c r="L4376" s="72" t="str">
        <f>IFERROR(IF(G4376="","",VLOOKUP($G4376,[1]基础信息!$B:$C,2,FALSE)+SUMIF(G$8:G4376,G4376,J$8:J4376)-SUMIF(G$8:G4376,G4376,K$8:K4376)+SUMIFS([1]内部转账!$G:$G,[1]内部转账!$C:$C,"&lt;="&amp;$D4376,[1]内部转账!$E:$E,$G4376)-SUMIFS([1]内部转账!$G:$G,[1]内部转账!$C:$C,"&lt;="&amp;$D4376,[1]内部转账!$F:$F,$G4376)),"")</f>
        <v/>
      </c>
      <c r="M4376" s="64"/>
      <c r="N4376" s="69"/>
      <c r="O4376" s="64"/>
      <c r="P4376" s="64"/>
      <c r="Q4376" s="69"/>
      <c r="R4376" s="69"/>
      <c r="S4376" s="69"/>
    </row>
    <row r="4377" s="2" customFormat="1" ht="24.95" customHeight="1" spans="1:19">
      <c r="A4377" s="15"/>
      <c r="B4377" s="55"/>
      <c r="C4377" s="56"/>
      <c r="D4377" s="68"/>
      <c r="E4377" s="69"/>
      <c r="F4377" s="69"/>
      <c r="G4377" s="65"/>
      <c r="H4377" s="65"/>
      <c r="I4377" s="70"/>
      <c r="J4377" s="71"/>
      <c r="K4377" s="71"/>
      <c r="L4377" s="72" t="str">
        <f>IFERROR(IF(G4377="","",VLOOKUP($G4377,[1]基础信息!$B:$C,2,FALSE)+SUMIF(G$8:G4377,G4377,J$8:J4377)-SUMIF(G$8:G4377,G4377,K$8:K4377)+SUMIFS([1]内部转账!$G:$G,[1]内部转账!$C:$C,"&lt;="&amp;$D4377,[1]内部转账!$E:$E,$G4377)-SUMIFS([1]内部转账!$G:$G,[1]内部转账!$C:$C,"&lt;="&amp;$D4377,[1]内部转账!$F:$F,$G4377)),"")</f>
        <v/>
      </c>
      <c r="M4377" s="64"/>
      <c r="N4377" s="69"/>
      <c r="O4377" s="64"/>
      <c r="P4377" s="64"/>
      <c r="Q4377" s="69"/>
      <c r="R4377" s="69"/>
      <c r="S4377" s="69"/>
    </row>
    <row r="4378" s="2" customFormat="1" ht="24.95" customHeight="1" spans="1:19">
      <c r="A4378" s="15"/>
      <c r="B4378" s="55"/>
      <c r="C4378" s="56"/>
      <c r="D4378" s="68"/>
      <c r="E4378" s="69"/>
      <c r="F4378" s="69"/>
      <c r="G4378" s="65"/>
      <c r="H4378" s="65"/>
      <c r="I4378" s="70"/>
      <c r="J4378" s="71"/>
      <c r="K4378" s="71"/>
      <c r="L4378" s="72" t="str">
        <f>IFERROR(IF(G4378="","",VLOOKUP($G4378,[1]基础信息!$B:$C,2,FALSE)+SUMIF(G$8:G4378,G4378,J$8:J4378)-SUMIF(G$8:G4378,G4378,K$8:K4378)+SUMIFS([1]内部转账!$G:$G,[1]内部转账!$C:$C,"&lt;="&amp;$D4378,[1]内部转账!$E:$E,$G4378)-SUMIFS([1]内部转账!$G:$G,[1]内部转账!$C:$C,"&lt;="&amp;$D4378,[1]内部转账!$F:$F,$G4378)),"")</f>
        <v/>
      </c>
      <c r="M4378" s="64"/>
      <c r="N4378" s="69"/>
      <c r="O4378" s="64"/>
      <c r="P4378" s="64"/>
      <c r="Q4378" s="69"/>
      <c r="R4378" s="69"/>
      <c r="S4378" s="69"/>
    </row>
    <row r="4379" s="2" customFormat="1" ht="24.95" customHeight="1" spans="1:19">
      <c r="A4379" s="15"/>
      <c r="B4379" s="55"/>
      <c r="C4379" s="56"/>
      <c r="D4379" s="68"/>
      <c r="E4379" s="69"/>
      <c r="F4379" s="69"/>
      <c r="G4379" s="65"/>
      <c r="H4379" s="65"/>
      <c r="I4379" s="70"/>
      <c r="J4379" s="71"/>
      <c r="K4379" s="71"/>
      <c r="L4379" s="72" t="str">
        <f>IFERROR(IF(G4379="","",VLOOKUP($G4379,[1]基础信息!$B:$C,2,FALSE)+SUMIF(G$8:G4379,G4379,J$8:J4379)-SUMIF(G$8:G4379,G4379,K$8:K4379)+SUMIFS([1]内部转账!$G:$G,[1]内部转账!$C:$C,"&lt;="&amp;$D4379,[1]内部转账!$E:$E,$G4379)-SUMIFS([1]内部转账!$G:$G,[1]内部转账!$C:$C,"&lt;="&amp;$D4379,[1]内部转账!$F:$F,$G4379)),"")</f>
        <v/>
      </c>
      <c r="M4379" s="64"/>
      <c r="N4379" s="69"/>
      <c r="O4379" s="64"/>
      <c r="P4379" s="64"/>
      <c r="Q4379" s="69"/>
      <c r="R4379" s="69"/>
      <c r="S4379" s="69"/>
    </row>
    <row r="4380" s="2" customFormat="1" ht="24.95" customHeight="1" spans="1:19">
      <c r="A4380" s="15"/>
      <c r="B4380" s="55"/>
      <c r="C4380" s="56"/>
      <c r="D4380" s="68"/>
      <c r="E4380" s="69"/>
      <c r="F4380" s="69"/>
      <c r="G4380" s="65"/>
      <c r="H4380" s="65"/>
      <c r="I4380" s="70"/>
      <c r="J4380" s="71"/>
      <c r="K4380" s="71"/>
      <c r="L4380" s="72" t="str">
        <f>IFERROR(IF(G4380="","",VLOOKUP($G4380,[1]基础信息!$B:$C,2,FALSE)+SUMIF(G$8:G4380,G4380,J$8:J4380)-SUMIF(G$8:G4380,G4380,K$8:K4380)+SUMIFS([1]内部转账!$G:$G,[1]内部转账!$C:$C,"&lt;="&amp;$D4380,[1]内部转账!$E:$E,$G4380)-SUMIFS([1]内部转账!$G:$G,[1]内部转账!$C:$C,"&lt;="&amp;$D4380,[1]内部转账!$F:$F,$G4380)),"")</f>
        <v/>
      </c>
      <c r="M4380" s="64"/>
      <c r="N4380" s="69"/>
      <c r="O4380" s="64"/>
      <c r="P4380" s="64"/>
      <c r="Q4380" s="69"/>
      <c r="R4380" s="69"/>
      <c r="S4380" s="69"/>
    </row>
    <row r="4381" s="2" customFormat="1" ht="24.95" customHeight="1" spans="1:19">
      <c r="A4381" s="15"/>
      <c r="B4381" s="55"/>
      <c r="C4381" s="56"/>
      <c r="D4381" s="68"/>
      <c r="E4381" s="69"/>
      <c r="F4381" s="69"/>
      <c r="G4381" s="65"/>
      <c r="H4381" s="65"/>
      <c r="I4381" s="70"/>
      <c r="J4381" s="71"/>
      <c r="K4381" s="71"/>
      <c r="L4381" s="72" t="str">
        <f>IFERROR(IF(G4381="","",VLOOKUP($G4381,[1]基础信息!$B:$C,2,FALSE)+SUMIF(G$8:G4381,G4381,J$8:J4381)-SUMIF(G$8:G4381,G4381,K$8:K4381)+SUMIFS([1]内部转账!$G:$G,[1]内部转账!$C:$C,"&lt;="&amp;$D4381,[1]内部转账!$E:$E,$G4381)-SUMIFS([1]内部转账!$G:$G,[1]内部转账!$C:$C,"&lt;="&amp;$D4381,[1]内部转账!$F:$F,$G4381)),"")</f>
        <v/>
      </c>
      <c r="M4381" s="64"/>
      <c r="N4381" s="69"/>
      <c r="O4381" s="64"/>
      <c r="P4381" s="64"/>
      <c r="Q4381" s="69"/>
      <c r="R4381" s="69"/>
      <c r="S4381" s="69"/>
    </row>
    <row r="4382" s="2" customFormat="1" ht="24.95" customHeight="1" spans="1:19">
      <c r="A4382" s="15"/>
      <c r="B4382" s="55"/>
      <c r="C4382" s="56"/>
      <c r="D4382" s="68"/>
      <c r="E4382" s="69"/>
      <c r="F4382" s="69"/>
      <c r="G4382" s="65"/>
      <c r="H4382" s="65"/>
      <c r="I4382" s="70"/>
      <c r="J4382" s="71"/>
      <c r="K4382" s="71"/>
      <c r="L4382" s="72" t="str">
        <f>IFERROR(IF(G4382="","",VLOOKUP($G4382,[1]基础信息!$B:$C,2,FALSE)+SUMIF(G$8:G4382,G4382,J$8:J4382)-SUMIF(G$8:G4382,G4382,K$8:K4382)+SUMIFS([1]内部转账!$G:$G,[1]内部转账!$C:$C,"&lt;="&amp;$D4382,[1]内部转账!$E:$E,$G4382)-SUMIFS([1]内部转账!$G:$G,[1]内部转账!$C:$C,"&lt;="&amp;$D4382,[1]内部转账!$F:$F,$G4382)),"")</f>
        <v/>
      </c>
      <c r="M4382" s="64"/>
      <c r="N4382" s="69"/>
      <c r="O4382" s="64"/>
      <c r="P4382" s="64"/>
      <c r="Q4382" s="69"/>
      <c r="R4382" s="69"/>
      <c r="S4382" s="69"/>
    </row>
    <row r="4383" s="2" customFormat="1" ht="24.95" customHeight="1" spans="1:19">
      <c r="A4383" s="15"/>
      <c r="B4383" s="55"/>
      <c r="C4383" s="56"/>
      <c r="D4383" s="68"/>
      <c r="E4383" s="69"/>
      <c r="F4383" s="69"/>
      <c r="G4383" s="65"/>
      <c r="H4383" s="65"/>
      <c r="I4383" s="70"/>
      <c r="J4383" s="71"/>
      <c r="K4383" s="71"/>
      <c r="L4383" s="72" t="str">
        <f>IFERROR(IF(G4383="","",VLOOKUP($G4383,[1]基础信息!$B:$C,2,FALSE)+SUMIF(G$8:G4383,G4383,J$8:J4383)-SUMIF(G$8:G4383,G4383,K$8:K4383)+SUMIFS([1]内部转账!$G:$G,[1]内部转账!$C:$C,"&lt;="&amp;$D4383,[1]内部转账!$E:$E,$G4383)-SUMIFS([1]内部转账!$G:$G,[1]内部转账!$C:$C,"&lt;="&amp;$D4383,[1]内部转账!$F:$F,$G4383)),"")</f>
        <v/>
      </c>
      <c r="M4383" s="64"/>
      <c r="N4383" s="69"/>
      <c r="O4383" s="64"/>
      <c r="P4383" s="64"/>
      <c r="Q4383" s="69"/>
      <c r="R4383" s="69"/>
      <c r="S4383" s="69"/>
    </row>
    <row r="4384" s="2" customFormat="1" ht="24.95" customHeight="1" spans="1:19">
      <c r="A4384" s="15"/>
      <c r="B4384" s="55"/>
      <c r="C4384" s="56"/>
      <c r="D4384" s="68"/>
      <c r="E4384" s="69"/>
      <c r="F4384" s="69"/>
      <c r="G4384" s="65"/>
      <c r="H4384" s="65"/>
      <c r="I4384" s="70"/>
      <c r="J4384" s="71"/>
      <c r="K4384" s="71"/>
      <c r="L4384" s="72" t="str">
        <f>IFERROR(IF(G4384="","",VLOOKUP($G4384,[1]基础信息!$B:$C,2,FALSE)+SUMIF(G$8:G4384,G4384,J$8:J4384)-SUMIF(G$8:G4384,G4384,K$8:K4384)+SUMIFS([1]内部转账!$G:$G,[1]内部转账!$C:$C,"&lt;="&amp;$D4384,[1]内部转账!$E:$E,$G4384)-SUMIFS([1]内部转账!$G:$G,[1]内部转账!$C:$C,"&lt;="&amp;$D4384,[1]内部转账!$F:$F,$G4384)),"")</f>
        <v/>
      </c>
      <c r="M4384" s="64"/>
      <c r="N4384" s="69"/>
      <c r="O4384" s="64"/>
      <c r="P4384" s="64"/>
      <c r="Q4384" s="69"/>
      <c r="R4384" s="69"/>
      <c r="S4384" s="69"/>
    </row>
    <row r="4385" s="2" customFormat="1" ht="24.95" customHeight="1" spans="1:19">
      <c r="A4385" s="15"/>
      <c r="B4385" s="55"/>
      <c r="C4385" s="56"/>
      <c r="D4385" s="68"/>
      <c r="E4385" s="69"/>
      <c r="F4385" s="69"/>
      <c r="G4385" s="65"/>
      <c r="H4385" s="65"/>
      <c r="I4385" s="70"/>
      <c r="J4385" s="71"/>
      <c r="K4385" s="71"/>
      <c r="L4385" s="72" t="str">
        <f>IFERROR(IF(G4385="","",VLOOKUP($G4385,[1]基础信息!$B:$C,2,FALSE)+SUMIF(G$8:G4385,G4385,J$8:J4385)-SUMIF(G$8:G4385,G4385,K$8:K4385)+SUMIFS([1]内部转账!$G:$G,[1]内部转账!$C:$C,"&lt;="&amp;$D4385,[1]内部转账!$E:$E,$G4385)-SUMIFS([1]内部转账!$G:$G,[1]内部转账!$C:$C,"&lt;="&amp;$D4385,[1]内部转账!$F:$F,$G4385)),"")</f>
        <v/>
      </c>
      <c r="M4385" s="64"/>
      <c r="N4385" s="69"/>
      <c r="O4385" s="64"/>
      <c r="P4385" s="64"/>
      <c r="Q4385" s="69"/>
      <c r="R4385" s="69"/>
      <c r="S4385" s="69"/>
    </row>
    <row r="4386" s="2" customFormat="1" ht="24.95" customHeight="1" spans="1:19">
      <c r="A4386" s="15"/>
      <c r="B4386" s="55"/>
      <c r="C4386" s="56"/>
      <c r="D4386" s="68"/>
      <c r="E4386" s="69"/>
      <c r="F4386" s="69"/>
      <c r="G4386" s="65"/>
      <c r="H4386" s="65"/>
      <c r="I4386" s="70"/>
      <c r="J4386" s="71"/>
      <c r="K4386" s="71"/>
      <c r="L4386" s="72" t="str">
        <f>IFERROR(IF(G4386="","",VLOOKUP($G4386,[1]基础信息!$B:$C,2,FALSE)+SUMIF(G$8:G4386,G4386,J$8:J4386)-SUMIF(G$8:G4386,G4386,K$8:K4386)+SUMIFS([1]内部转账!$G:$G,[1]内部转账!$C:$C,"&lt;="&amp;$D4386,[1]内部转账!$E:$E,$G4386)-SUMIFS([1]内部转账!$G:$G,[1]内部转账!$C:$C,"&lt;="&amp;$D4386,[1]内部转账!$F:$F,$G4386)),"")</f>
        <v/>
      </c>
      <c r="M4386" s="64"/>
      <c r="N4386" s="69"/>
      <c r="O4386" s="64"/>
      <c r="P4386" s="64"/>
      <c r="Q4386" s="69"/>
      <c r="R4386" s="69"/>
      <c r="S4386" s="69"/>
    </row>
    <row r="4387" s="2" customFormat="1" ht="24.95" customHeight="1" spans="1:19">
      <c r="A4387" s="15"/>
      <c r="B4387" s="55"/>
      <c r="C4387" s="56"/>
      <c r="D4387" s="68"/>
      <c r="E4387" s="69"/>
      <c r="F4387" s="69"/>
      <c r="G4387" s="65"/>
      <c r="H4387" s="65"/>
      <c r="I4387" s="70"/>
      <c r="J4387" s="71"/>
      <c r="K4387" s="71"/>
      <c r="L4387" s="72" t="str">
        <f>IFERROR(IF(G4387="","",VLOOKUP($G4387,[1]基础信息!$B:$C,2,FALSE)+SUMIF(G$8:G4387,G4387,J$8:J4387)-SUMIF(G$8:G4387,G4387,K$8:K4387)+SUMIFS([1]内部转账!$G:$G,[1]内部转账!$C:$C,"&lt;="&amp;$D4387,[1]内部转账!$E:$E,$G4387)-SUMIFS([1]内部转账!$G:$G,[1]内部转账!$C:$C,"&lt;="&amp;$D4387,[1]内部转账!$F:$F,$G4387)),"")</f>
        <v/>
      </c>
      <c r="M4387" s="64"/>
      <c r="N4387" s="69"/>
      <c r="O4387" s="64"/>
      <c r="P4387" s="64"/>
      <c r="Q4387" s="69"/>
      <c r="R4387" s="69"/>
      <c r="S4387" s="69"/>
    </row>
    <row r="4388" s="2" customFormat="1" ht="24.95" customHeight="1" spans="1:19">
      <c r="A4388" s="15"/>
      <c r="B4388" s="55"/>
      <c r="C4388" s="56"/>
      <c r="D4388" s="68"/>
      <c r="E4388" s="69"/>
      <c r="F4388" s="69"/>
      <c r="G4388" s="65"/>
      <c r="H4388" s="65"/>
      <c r="I4388" s="70"/>
      <c r="J4388" s="71"/>
      <c r="K4388" s="71"/>
      <c r="L4388" s="72" t="str">
        <f>IFERROR(IF(G4388="","",VLOOKUP($G4388,[1]基础信息!$B:$C,2,FALSE)+SUMIF(G$8:G4388,G4388,J$8:J4388)-SUMIF(G$8:G4388,G4388,K$8:K4388)+SUMIFS([1]内部转账!$G:$G,[1]内部转账!$C:$C,"&lt;="&amp;$D4388,[1]内部转账!$E:$E,$G4388)-SUMIFS([1]内部转账!$G:$G,[1]内部转账!$C:$C,"&lt;="&amp;$D4388,[1]内部转账!$F:$F,$G4388)),"")</f>
        <v/>
      </c>
      <c r="M4388" s="64"/>
      <c r="N4388" s="69"/>
      <c r="O4388" s="64"/>
      <c r="P4388" s="64"/>
      <c r="Q4388" s="69"/>
      <c r="R4388" s="69"/>
      <c r="S4388" s="69"/>
    </row>
    <row r="4389" s="2" customFormat="1" ht="24.95" customHeight="1" spans="1:19">
      <c r="A4389" s="15"/>
      <c r="B4389" s="55"/>
      <c r="C4389" s="56"/>
      <c r="D4389" s="68"/>
      <c r="E4389" s="69"/>
      <c r="F4389" s="69"/>
      <c r="G4389" s="65"/>
      <c r="H4389" s="65"/>
      <c r="I4389" s="70"/>
      <c r="J4389" s="71"/>
      <c r="K4389" s="71"/>
      <c r="L4389" s="72" t="str">
        <f>IFERROR(IF(G4389="","",VLOOKUP($G4389,[1]基础信息!$B:$C,2,FALSE)+SUMIF(G$8:G4389,G4389,J$8:J4389)-SUMIF(G$8:G4389,G4389,K$8:K4389)+SUMIFS([1]内部转账!$G:$G,[1]内部转账!$C:$C,"&lt;="&amp;$D4389,[1]内部转账!$E:$E,$G4389)-SUMIFS([1]内部转账!$G:$G,[1]内部转账!$C:$C,"&lt;="&amp;$D4389,[1]内部转账!$F:$F,$G4389)),"")</f>
        <v/>
      </c>
      <c r="M4389" s="64"/>
      <c r="N4389" s="69"/>
      <c r="O4389" s="64"/>
      <c r="P4389" s="64"/>
      <c r="Q4389" s="69"/>
      <c r="R4389" s="69"/>
      <c r="S4389" s="69"/>
    </row>
    <row r="4390" s="2" customFormat="1" ht="24.95" customHeight="1" spans="1:19">
      <c r="A4390" s="15"/>
      <c r="B4390" s="55"/>
      <c r="C4390" s="56"/>
      <c r="D4390" s="68"/>
      <c r="E4390" s="69"/>
      <c r="F4390" s="69"/>
      <c r="G4390" s="65"/>
      <c r="H4390" s="65"/>
      <c r="I4390" s="70"/>
      <c r="J4390" s="71"/>
      <c r="K4390" s="71"/>
      <c r="L4390" s="72" t="str">
        <f>IFERROR(IF(G4390="","",VLOOKUP($G4390,[1]基础信息!$B:$C,2,FALSE)+SUMIF(G$8:G4390,G4390,J$8:J4390)-SUMIF(G$8:G4390,G4390,K$8:K4390)+SUMIFS([1]内部转账!$G:$G,[1]内部转账!$C:$C,"&lt;="&amp;$D4390,[1]内部转账!$E:$E,$G4390)-SUMIFS([1]内部转账!$G:$G,[1]内部转账!$C:$C,"&lt;="&amp;$D4390,[1]内部转账!$F:$F,$G4390)),"")</f>
        <v/>
      </c>
      <c r="M4390" s="64"/>
      <c r="N4390" s="69"/>
      <c r="O4390" s="64"/>
      <c r="P4390" s="64"/>
      <c r="Q4390" s="69"/>
      <c r="R4390" s="69"/>
      <c r="S4390" s="69"/>
    </row>
    <row r="4391" s="2" customFormat="1" ht="24.95" customHeight="1" spans="1:19">
      <c r="A4391" s="15"/>
      <c r="B4391" s="55"/>
      <c r="C4391" s="56"/>
      <c r="D4391" s="68"/>
      <c r="E4391" s="69"/>
      <c r="F4391" s="69"/>
      <c r="G4391" s="65"/>
      <c r="H4391" s="65"/>
      <c r="I4391" s="70"/>
      <c r="J4391" s="71"/>
      <c r="K4391" s="71"/>
      <c r="L4391" s="72" t="str">
        <f>IFERROR(IF(G4391="","",VLOOKUP($G4391,[1]基础信息!$B:$C,2,FALSE)+SUMIF(G$8:G4391,G4391,J$8:J4391)-SUMIF(G$8:G4391,G4391,K$8:K4391)+SUMIFS([1]内部转账!$G:$G,[1]内部转账!$C:$C,"&lt;="&amp;$D4391,[1]内部转账!$E:$E,$G4391)-SUMIFS([1]内部转账!$G:$G,[1]内部转账!$C:$C,"&lt;="&amp;$D4391,[1]内部转账!$F:$F,$G4391)),"")</f>
        <v/>
      </c>
      <c r="M4391" s="64"/>
      <c r="N4391" s="69"/>
      <c r="O4391" s="64"/>
      <c r="P4391" s="64"/>
      <c r="Q4391" s="69"/>
      <c r="R4391" s="69"/>
      <c r="S4391" s="69"/>
    </row>
    <row r="4392" s="2" customFormat="1" ht="24.95" customHeight="1" spans="1:19">
      <c r="A4392" s="15"/>
      <c r="B4392" s="55"/>
      <c r="C4392" s="56"/>
      <c r="D4392" s="68"/>
      <c r="E4392" s="69"/>
      <c r="F4392" s="69"/>
      <c r="G4392" s="65"/>
      <c r="H4392" s="65"/>
      <c r="I4392" s="70"/>
      <c r="J4392" s="71"/>
      <c r="K4392" s="71"/>
      <c r="L4392" s="72" t="str">
        <f>IFERROR(IF(G4392="","",VLOOKUP($G4392,[1]基础信息!$B:$C,2,FALSE)+SUMIF(G$8:G4392,G4392,J$8:J4392)-SUMIF(G$8:G4392,G4392,K$8:K4392)+SUMIFS([1]内部转账!$G:$G,[1]内部转账!$C:$C,"&lt;="&amp;$D4392,[1]内部转账!$E:$E,$G4392)-SUMIFS([1]内部转账!$G:$G,[1]内部转账!$C:$C,"&lt;="&amp;$D4392,[1]内部转账!$F:$F,$G4392)),"")</f>
        <v/>
      </c>
      <c r="M4392" s="64"/>
      <c r="N4392" s="69"/>
      <c r="O4392" s="64"/>
      <c r="P4392" s="64"/>
      <c r="Q4392" s="69"/>
      <c r="R4392" s="69"/>
      <c r="S4392" s="69"/>
    </row>
    <row r="4393" s="2" customFormat="1" ht="24.95" customHeight="1" spans="1:19">
      <c r="A4393" s="15"/>
      <c r="B4393" s="55"/>
      <c r="C4393" s="56"/>
      <c r="D4393" s="68"/>
      <c r="E4393" s="69"/>
      <c r="F4393" s="69"/>
      <c r="G4393" s="65"/>
      <c r="H4393" s="65"/>
      <c r="I4393" s="70"/>
      <c r="J4393" s="71"/>
      <c r="K4393" s="71"/>
      <c r="L4393" s="72" t="str">
        <f>IFERROR(IF(G4393="","",VLOOKUP($G4393,[1]基础信息!$B:$C,2,FALSE)+SUMIF(G$8:G4393,G4393,J$8:J4393)-SUMIF(G$8:G4393,G4393,K$8:K4393)+SUMIFS([1]内部转账!$G:$G,[1]内部转账!$C:$C,"&lt;="&amp;$D4393,[1]内部转账!$E:$E,$G4393)-SUMIFS([1]内部转账!$G:$G,[1]内部转账!$C:$C,"&lt;="&amp;$D4393,[1]内部转账!$F:$F,$G4393)),"")</f>
        <v/>
      </c>
      <c r="M4393" s="64"/>
      <c r="N4393" s="69"/>
      <c r="O4393" s="64"/>
      <c r="P4393" s="64"/>
      <c r="Q4393" s="69"/>
      <c r="R4393" s="69"/>
      <c r="S4393" s="69"/>
    </row>
    <row r="4394" s="2" customFormat="1" ht="24.95" customHeight="1" spans="1:19">
      <c r="A4394" s="15"/>
      <c r="B4394" s="55"/>
      <c r="C4394" s="56"/>
      <c r="D4394" s="68"/>
      <c r="E4394" s="69"/>
      <c r="F4394" s="69"/>
      <c r="G4394" s="65"/>
      <c r="H4394" s="65"/>
      <c r="I4394" s="70"/>
      <c r="J4394" s="71"/>
      <c r="K4394" s="71"/>
      <c r="L4394" s="72" t="str">
        <f>IFERROR(IF(G4394="","",VLOOKUP($G4394,[1]基础信息!$B:$C,2,FALSE)+SUMIF(G$8:G4394,G4394,J$8:J4394)-SUMIF(G$8:G4394,G4394,K$8:K4394)+SUMIFS([1]内部转账!$G:$G,[1]内部转账!$C:$C,"&lt;="&amp;$D4394,[1]内部转账!$E:$E,$G4394)-SUMIFS([1]内部转账!$G:$G,[1]内部转账!$C:$C,"&lt;="&amp;$D4394,[1]内部转账!$F:$F,$G4394)),"")</f>
        <v/>
      </c>
      <c r="M4394" s="64"/>
      <c r="N4394" s="69"/>
      <c r="O4394" s="64"/>
      <c r="P4394" s="64"/>
      <c r="Q4394" s="69"/>
      <c r="R4394" s="69"/>
      <c r="S4394" s="69"/>
    </row>
    <row r="4395" s="2" customFormat="1" ht="24.95" customHeight="1" spans="1:19">
      <c r="A4395" s="15"/>
      <c r="B4395" s="55"/>
      <c r="C4395" s="56"/>
      <c r="D4395" s="68"/>
      <c r="E4395" s="69"/>
      <c r="F4395" s="69"/>
      <c r="G4395" s="65"/>
      <c r="H4395" s="65"/>
      <c r="I4395" s="70"/>
      <c r="J4395" s="71"/>
      <c r="K4395" s="71"/>
      <c r="L4395" s="72" t="str">
        <f>IFERROR(IF(G4395="","",VLOOKUP($G4395,[1]基础信息!$B:$C,2,FALSE)+SUMIF(G$8:G4395,G4395,J$8:J4395)-SUMIF(G$8:G4395,G4395,K$8:K4395)+SUMIFS([1]内部转账!$G:$G,[1]内部转账!$C:$C,"&lt;="&amp;$D4395,[1]内部转账!$E:$E,$G4395)-SUMIFS([1]内部转账!$G:$G,[1]内部转账!$C:$C,"&lt;="&amp;$D4395,[1]内部转账!$F:$F,$G4395)),"")</f>
        <v/>
      </c>
      <c r="M4395" s="64"/>
      <c r="N4395" s="69"/>
      <c r="O4395" s="64"/>
      <c r="P4395" s="64"/>
      <c r="Q4395" s="69"/>
      <c r="R4395" s="69"/>
      <c r="S4395" s="69"/>
    </row>
    <row r="4396" s="2" customFormat="1" ht="24.95" customHeight="1" spans="1:19">
      <c r="A4396" s="15"/>
      <c r="B4396" s="55"/>
      <c r="C4396" s="56"/>
      <c r="D4396" s="68"/>
      <c r="E4396" s="69"/>
      <c r="F4396" s="69"/>
      <c r="G4396" s="65"/>
      <c r="H4396" s="65"/>
      <c r="I4396" s="70"/>
      <c r="J4396" s="71"/>
      <c r="K4396" s="71"/>
      <c r="L4396" s="72" t="str">
        <f>IFERROR(IF(G4396="","",VLOOKUP($G4396,[1]基础信息!$B:$C,2,FALSE)+SUMIF(G$8:G4396,G4396,J$8:J4396)-SUMIF(G$8:G4396,G4396,K$8:K4396)+SUMIFS([1]内部转账!$G:$G,[1]内部转账!$C:$C,"&lt;="&amp;$D4396,[1]内部转账!$E:$E,$G4396)-SUMIFS([1]内部转账!$G:$G,[1]内部转账!$C:$C,"&lt;="&amp;$D4396,[1]内部转账!$F:$F,$G4396)),"")</f>
        <v/>
      </c>
      <c r="M4396" s="64"/>
      <c r="N4396" s="69"/>
      <c r="O4396" s="64"/>
      <c r="P4396" s="64"/>
      <c r="Q4396" s="69"/>
      <c r="R4396" s="69"/>
      <c r="S4396" s="69"/>
    </row>
    <row r="4397" s="2" customFormat="1" ht="24.95" customHeight="1" spans="1:19">
      <c r="A4397" s="15"/>
      <c r="B4397" s="55"/>
      <c r="C4397" s="56"/>
      <c r="D4397" s="68"/>
      <c r="E4397" s="69"/>
      <c r="F4397" s="69"/>
      <c r="G4397" s="65"/>
      <c r="H4397" s="65"/>
      <c r="I4397" s="70"/>
      <c r="J4397" s="71"/>
      <c r="K4397" s="71"/>
      <c r="L4397" s="72" t="str">
        <f>IFERROR(IF(G4397="","",VLOOKUP($G4397,[1]基础信息!$B:$C,2,FALSE)+SUMIF(G$8:G4397,G4397,J$8:J4397)-SUMIF(G$8:G4397,G4397,K$8:K4397)+SUMIFS([1]内部转账!$G:$G,[1]内部转账!$C:$C,"&lt;="&amp;$D4397,[1]内部转账!$E:$E,$G4397)-SUMIFS([1]内部转账!$G:$G,[1]内部转账!$C:$C,"&lt;="&amp;$D4397,[1]内部转账!$F:$F,$G4397)),"")</f>
        <v/>
      </c>
      <c r="M4397" s="64"/>
      <c r="N4397" s="69"/>
      <c r="O4397" s="64"/>
      <c r="P4397" s="64"/>
      <c r="Q4397" s="69"/>
      <c r="R4397" s="69"/>
      <c r="S4397" s="69"/>
    </row>
    <row r="4398" s="2" customFormat="1" ht="24.95" customHeight="1" spans="1:19">
      <c r="A4398" s="15"/>
      <c r="B4398" s="55"/>
      <c r="C4398" s="56"/>
      <c r="D4398" s="68"/>
      <c r="E4398" s="69"/>
      <c r="F4398" s="69"/>
      <c r="G4398" s="65"/>
      <c r="H4398" s="65"/>
      <c r="I4398" s="70"/>
      <c r="J4398" s="71"/>
      <c r="K4398" s="71"/>
      <c r="L4398" s="72" t="str">
        <f>IFERROR(IF(G4398="","",VLOOKUP($G4398,[1]基础信息!$B:$C,2,FALSE)+SUMIF(G$8:G4398,G4398,J$8:J4398)-SUMIF(G$8:G4398,G4398,K$8:K4398)+SUMIFS([1]内部转账!$G:$G,[1]内部转账!$C:$C,"&lt;="&amp;$D4398,[1]内部转账!$E:$E,$G4398)-SUMIFS([1]内部转账!$G:$G,[1]内部转账!$C:$C,"&lt;="&amp;$D4398,[1]内部转账!$F:$F,$G4398)),"")</f>
        <v/>
      </c>
      <c r="M4398" s="64"/>
      <c r="N4398" s="69"/>
      <c r="O4398" s="64"/>
      <c r="P4398" s="64"/>
      <c r="Q4398" s="69"/>
      <c r="R4398" s="69"/>
      <c r="S4398" s="69"/>
    </row>
    <row r="4399" s="2" customFormat="1" ht="24.95" customHeight="1" spans="1:19">
      <c r="A4399" s="15"/>
      <c r="B4399" s="55"/>
      <c r="C4399" s="56"/>
      <c r="D4399" s="68"/>
      <c r="E4399" s="69"/>
      <c r="F4399" s="69"/>
      <c r="G4399" s="65"/>
      <c r="H4399" s="65"/>
      <c r="I4399" s="70"/>
      <c r="J4399" s="71"/>
      <c r="K4399" s="71"/>
      <c r="L4399" s="72" t="str">
        <f>IFERROR(IF(G4399="","",VLOOKUP($G4399,[1]基础信息!$B:$C,2,FALSE)+SUMIF(G$8:G4399,G4399,J$8:J4399)-SUMIF(G$8:G4399,G4399,K$8:K4399)+SUMIFS([1]内部转账!$G:$G,[1]内部转账!$C:$C,"&lt;="&amp;$D4399,[1]内部转账!$E:$E,$G4399)-SUMIFS([1]内部转账!$G:$G,[1]内部转账!$C:$C,"&lt;="&amp;$D4399,[1]内部转账!$F:$F,$G4399)),"")</f>
        <v/>
      </c>
      <c r="M4399" s="64"/>
      <c r="N4399" s="69"/>
      <c r="O4399" s="64"/>
      <c r="P4399" s="64"/>
      <c r="Q4399" s="69"/>
      <c r="R4399" s="69"/>
      <c r="S4399" s="69"/>
    </row>
    <row r="4400" s="2" customFormat="1" ht="24.95" customHeight="1" spans="1:19">
      <c r="A4400" s="15"/>
      <c r="B4400" s="55"/>
      <c r="C4400" s="56"/>
      <c r="D4400" s="68"/>
      <c r="E4400" s="69"/>
      <c r="F4400" s="69"/>
      <c r="G4400" s="65"/>
      <c r="H4400" s="65"/>
      <c r="I4400" s="70"/>
      <c r="J4400" s="71"/>
      <c r="K4400" s="71"/>
      <c r="L4400" s="72" t="str">
        <f>IFERROR(IF(G4400="","",VLOOKUP($G4400,[1]基础信息!$B:$C,2,FALSE)+SUMIF(G$8:G4400,G4400,J$8:J4400)-SUMIF(G$8:G4400,G4400,K$8:K4400)+SUMIFS([1]内部转账!$G:$G,[1]内部转账!$C:$C,"&lt;="&amp;$D4400,[1]内部转账!$E:$E,$G4400)-SUMIFS([1]内部转账!$G:$G,[1]内部转账!$C:$C,"&lt;="&amp;$D4400,[1]内部转账!$F:$F,$G4400)),"")</f>
        <v/>
      </c>
      <c r="M4400" s="64"/>
      <c r="N4400" s="69"/>
      <c r="O4400" s="64"/>
      <c r="P4400" s="64"/>
      <c r="Q4400" s="69"/>
      <c r="R4400" s="69"/>
      <c r="S4400" s="69"/>
    </row>
    <row r="4401" s="2" customFormat="1" ht="24.95" customHeight="1" spans="1:19">
      <c r="A4401" s="15"/>
      <c r="B4401" s="55"/>
      <c r="C4401" s="56"/>
      <c r="D4401" s="68"/>
      <c r="E4401" s="69"/>
      <c r="F4401" s="69"/>
      <c r="G4401" s="65"/>
      <c r="H4401" s="65"/>
      <c r="I4401" s="70"/>
      <c r="J4401" s="71"/>
      <c r="K4401" s="71"/>
      <c r="L4401" s="72" t="str">
        <f>IFERROR(IF(G4401="","",VLOOKUP($G4401,[1]基础信息!$B:$C,2,FALSE)+SUMIF(G$8:G4401,G4401,J$8:J4401)-SUMIF(G$8:G4401,G4401,K$8:K4401)+SUMIFS([1]内部转账!$G:$G,[1]内部转账!$C:$C,"&lt;="&amp;$D4401,[1]内部转账!$E:$E,$G4401)-SUMIFS([1]内部转账!$G:$G,[1]内部转账!$C:$C,"&lt;="&amp;$D4401,[1]内部转账!$F:$F,$G4401)),"")</f>
        <v/>
      </c>
      <c r="M4401" s="64"/>
      <c r="N4401" s="69"/>
      <c r="O4401" s="64"/>
      <c r="P4401" s="64"/>
      <c r="Q4401" s="69"/>
      <c r="R4401" s="69"/>
      <c r="S4401" s="69"/>
    </row>
    <row r="4402" s="2" customFormat="1" ht="24.95" customHeight="1" spans="1:19">
      <c r="A4402" s="15"/>
      <c r="B4402" s="55"/>
      <c r="C4402" s="56"/>
      <c r="D4402" s="68"/>
      <c r="E4402" s="69"/>
      <c r="F4402" s="69"/>
      <c r="G4402" s="65"/>
      <c r="H4402" s="65"/>
      <c r="I4402" s="70"/>
      <c r="J4402" s="71"/>
      <c r="K4402" s="71"/>
      <c r="L4402" s="72" t="str">
        <f>IFERROR(IF(G4402="","",VLOOKUP($G4402,[1]基础信息!$B:$C,2,FALSE)+SUMIF(G$8:G4402,G4402,J$8:J4402)-SUMIF(G$8:G4402,G4402,K$8:K4402)+SUMIFS([1]内部转账!$G:$G,[1]内部转账!$C:$C,"&lt;="&amp;$D4402,[1]内部转账!$E:$E,$G4402)-SUMIFS([1]内部转账!$G:$G,[1]内部转账!$C:$C,"&lt;="&amp;$D4402,[1]内部转账!$F:$F,$G4402)),"")</f>
        <v/>
      </c>
      <c r="M4402" s="64"/>
      <c r="N4402" s="69"/>
      <c r="O4402" s="64"/>
      <c r="P4402" s="64"/>
      <c r="Q4402" s="69"/>
      <c r="R4402" s="69"/>
      <c r="S4402" s="69"/>
    </row>
    <row r="4403" s="2" customFormat="1" ht="24.95" customHeight="1" spans="1:19">
      <c r="A4403" s="15"/>
      <c r="B4403" s="55"/>
      <c r="C4403" s="56"/>
      <c r="D4403" s="68"/>
      <c r="E4403" s="69"/>
      <c r="F4403" s="69"/>
      <c r="G4403" s="65"/>
      <c r="H4403" s="65"/>
      <c r="I4403" s="70"/>
      <c r="J4403" s="71"/>
      <c r="K4403" s="71"/>
      <c r="L4403" s="72" t="str">
        <f>IFERROR(IF(G4403="","",VLOOKUP($G4403,[1]基础信息!$B:$C,2,FALSE)+SUMIF(G$8:G4403,G4403,J$8:J4403)-SUMIF(G$8:G4403,G4403,K$8:K4403)+SUMIFS([1]内部转账!$G:$G,[1]内部转账!$C:$C,"&lt;="&amp;$D4403,[1]内部转账!$E:$E,$G4403)-SUMIFS([1]内部转账!$G:$G,[1]内部转账!$C:$C,"&lt;="&amp;$D4403,[1]内部转账!$F:$F,$G4403)),"")</f>
        <v/>
      </c>
      <c r="M4403" s="64"/>
      <c r="N4403" s="69"/>
      <c r="O4403" s="64"/>
      <c r="P4403" s="64"/>
      <c r="Q4403" s="69"/>
      <c r="R4403" s="69"/>
      <c r="S4403" s="69"/>
    </row>
    <row r="4404" s="2" customFormat="1" ht="24.95" customHeight="1" spans="1:19">
      <c r="A4404" s="15"/>
      <c r="B4404" s="55"/>
      <c r="C4404" s="56"/>
      <c r="D4404" s="68"/>
      <c r="E4404" s="69"/>
      <c r="F4404" s="69"/>
      <c r="G4404" s="65"/>
      <c r="H4404" s="65"/>
      <c r="I4404" s="70"/>
      <c r="J4404" s="71"/>
      <c r="K4404" s="71"/>
      <c r="L4404" s="72" t="str">
        <f>IFERROR(IF(G4404="","",VLOOKUP($G4404,[1]基础信息!$B:$C,2,FALSE)+SUMIF(G$8:G4404,G4404,J$8:J4404)-SUMIF(G$8:G4404,G4404,K$8:K4404)+SUMIFS([1]内部转账!$G:$G,[1]内部转账!$C:$C,"&lt;="&amp;$D4404,[1]内部转账!$E:$E,$G4404)-SUMIFS([1]内部转账!$G:$G,[1]内部转账!$C:$C,"&lt;="&amp;$D4404,[1]内部转账!$F:$F,$G4404)),"")</f>
        <v/>
      </c>
      <c r="M4404" s="64"/>
      <c r="N4404" s="69"/>
      <c r="O4404" s="64"/>
      <c r="P4404" s="64"/>
      <c r="Q4404" s="69"/>
      <c r="R4404" s="69"/>
      <c r="S4404" s="69"/>
    </row>
    <row r="4405" s="2" customFormat="1" ht="24.95" customHeight="1" spans="1:19">
      <c r="A4405" s="15"/>
      <c r="B4405" s="55"/>
      <c r="C4405" s="56"/>
      <c r="D4405" s="68"/>
      <c r="E4405" s="69"/>
      <c r="F4405" s="69"/>
      <c r="G4405" s="65"/>
      <c r="H4405" s="65"/>
      <c r="I4405" s="70"/>
      <c r="J4405" s="71"/>
      <c r="K4405" s="71"/>
      <c r="L4405" s="72" t="str">
        <f>IFERROR(IF(G4405="","",VLOOKUP($G4405,[1]基础信息!$B:$C,2,FALSE)+SUMIF(G$8:G4405,G4405,J$8:J4405)-SUMIF(G$8:G4405,G4405,K$8:K4405)+SUMIFS([1]内部转账!$G:$G,[1]内部转账!$C:$C,"&lt;="&amp;$D4405,[1]内部转账!$E:$E,$G4405)-SUMIFS([1]内部转账!$G:$G,[1]内部转账!$C:$C,"&lt;="&amp;$D4405,[1]内部转账!$F:$F,$G4405)),"")</f>
        <v/>
      </c>
      <c r="M4405" s="64"/>
      <c r="N4405" s="69"/>
      <c r="O4405" s="64"/>
      <c r="P4405" s="64"/>
      <c r="Q4405" s="69"/>
      <c r="R4405" s="69"/>
      <c r="S4405" s="69"/>
    </row>
    <row r="4406" s="2" customFormat="1" ht="24.95" customHeight="1" spans="1:19">
      <c r="A4406" s="15"/>
      <c r="B4406" s="55"/>
      <c r="C4406" s="56"/>
      <c r="D4406" s="68"/>
      <c r="E4406" s="69"/>
      <c r="F4406" s="69"/>
      <c r="G4406" s="65"/>
      <c r="H4406" s="65"/>
      <c r="I4406" s="70"/>
      <c r="J4406" s="71"/>
      <c r="K4406" s="71"/>
      <c r="L4406" s="72" t="str">
        <f>IFERROR(IF(G4406="","",VLOOKUP($G4406,[1]基础信息!$B:$C,2,FALSE)+SUMIF(G$8:G4406,G4406,J$8:J4406)-SUMIF(G$8:G4406,G4406,K$8:K4406)+SUMIFS([1]内部转账!$G:$G,[1]内部转账!$C:$C,"&lt;="&amp;$D4406,[1]内部转账!$E:$E,$G4406)-SUMIFS([1]内部转账!$G:$G,[1]内部转账!$C:$C,"&lt;="&amp;$D4406,[1]内部转账!$F:$F,$G4406)),"")</f>
        <v/>
      </c>
      <c r="M4406" s="64"/>
      <c r="N4406" s="69"/>
      <c r="O4406" s="64"/>
      <c r="P4406" s="64"/>
      <c r="Q4406" s="69"/>
      <c r="R4406" s="69"/>
      <c r="S4406" s="69"/>
    </row>
    <row r="4407" s="2" customFormat="1" ht="24.95" customHeight="1" spans="1:19">
      <c r="A4407" s="15"/>
      <c r="B4407" s="55"/>
      <c r="C4407" s="56"/>
      <c r="D4407" s="68"/>
      <c r="E4407" s="69"/>
      <c r="F4407" s="69"/>
      <c r="G4407" s="65"/>
      <c r="H4407" s="65"/>
      <c r="I4407" s="70"/>
      <c r="J4407" s="71"/>
      <c r="K4407" s="71"/>
      <c r="L4407" s="72" t="str">
        <f>IFERROR(IF(G4407="","",VLOOKUP($G4407,[1]基础信息!$B:$C,2,FALSE)+SUMIF(G$8:G4407,G4407,J$8:J4407)-SUMIF(G$8:G4407,G4407,K$8:K4407)+SUMIFS([1]内部转账!$G:$G,[1]内部转账!$C:$C,"&lt;="&amp;$D4407,[1]内部转账!$E:$E,$G4407)-SUMIFS([1]内部转账!$G:$G,[1]内部转账!$C:$C,"&lt;="&amp;$D4407,[1]内部转账!$F:$F,$G4407)),"")</f>
        <v/>
      </c>
      <c r="M4407" s="64"/>
      <c r="N4407" s="69"/>
      <c r="O4407" s="64"/>
      <c r="P4407" s="64"/>
      <c r="Q4407" s="69"/>
      <c r="R4407" s="69"/>
      <c r="S4407" s="69"/>
    </row>
    <row r="4408" s="2" customFormat="1" ht="24.95" customHeight="1" spans="1:19">
      <c r="A4408" s="15"/>
      <c r="B4408" s="55"/>
      <c r="C4408" s="56"/>
      <c r="D4408" s="68"/>
      <c r="E4408" s="69"/>
      <c r="F4408" s="69"/>
      <c r="G4408" s="65"/>
      <c r="H4408" s="65"/>
      <c r="I4408" s="70"/>
      <c r="J4408" s="71"/>
      <c r="K4408" s="71"/>
      <c r="L4408" s="72" t="str">
        <f>IFERROR(IF(G4408="","",VLOOKUP($G4408,[1]基础信息!$B:$C,2,FALSE)+SUMIF(G$8:G4408,G4408,J$8:J4408)-SUMIF(G$8:G4408,G4408,K$8:K4408)+SUMIFS([1]内部转账!$G:$G,[1]内部转账!$C:$C,"&lt;="&amp;$D4408,[1]内部转账!$E:$E,$G4408)-SUMIFS([1]内部转账!$G:$G,[1]内部转账!$C:$C,"&lt;="&amp;$D4408,[1]内部转账!$F:$F,$G4408)),"")</f>
        <v/>
      </c>
      <c r="M4408" s="64"/>
      <c r="N4408" s="69"/>
      <c r="O4408" s="64"/>
      <c r="P4408" s="64"/>
      <c r="Q4408" s="69"/>
      <c r="R4408" s="69"/>
      <c r="S4408" s="69"/>
    </row>
    <row r="4409" s="2" customFormat="1" ht="24.95" customHeight="1" spans="1:19">
      <c r="A4409" s="15"/>
      <c r="B4409" s="55"/>
      <c r="C4409" s="56"/>
      <c r="D4409" s="68"/>
      <c r="E4409" s="69"/>
      <c r="F4409" s="69"/>
      <c r="G4409" s="65"/>
      <c r="H4409" s="65"/>
      <c r="I4409" s="70"/>
      <c r="J4409" s="71"/>
      <c r="K4409" s="71"/>
      <c r="L4409" s="72" t="str">
        <f>IFERROR(IF(G4409="","",VLOOKUP($G4409,[1]基础信息!$B:$C,2,FALSE)+SUMIF(G$8:G4409,G4409,J$8:J4409)-SUMIF(G$8:G4409,G4409,K$8:K4409)+SUMIFS([1]内部转账!$G:$G,[1]内部转账!$C:$C,"&lt;="&amp;$D4409,[1]内部转账!$E:$E,$G4409)-SUMIFS([1]内部转账!$G:$G,[1]内部转账!$C:$C,"&lt;="&amp;$D4409,[1]内部转账!$F:$F,$G4409)),"")</f>
        <v/>
      </c>
      <c r="M4409" s="64"/>
      <c r="N4409" s="69"/>
      <c r="O4409" s="64"/>
      <c r="P4409" s="64"/>
      <c r="Q4409" s="69"/>
      <c r="R4409" s="69"/>
      <c r="S4409" s="69"/>
    </row>
    <row r="4410" s="2" customFormat="1" ht="24.95" customHeight="1" spans="1:19">
      <c r="A4410" s="15"/>
      <c r="B4410" s="55"/>
      <c r="C4410" s="56"/>
      <c r="D4410" s="68"/>
      <c r="E4410" s="69"/>
      <c r="F4410" s="69"/>
      <c r="G4410" s="65"/>
      <c r="H4410" s="65"/>
      <c r="I4410" s="70"/>
      <c r="J4410" s="71"/>
      <c r="K4410" s="71"/>
      <c r="L4410" s="72" t="str">
        <f>IFERROR(IF(G4410="","",VLOOKUP($G4410,[1]基础信息!$B:$C,2,FALSE)+SUMIF(G$8:G4410,G4410,J$8:J4410)-SUMIF(G$8:G4410,G4410,K$8:K4410)+SUMIFS([1]内部转账!$G:$G,[1]内部转账!$C:$C,"&lt;="&amp;$D4410,[1]内部转账!$E:$E,$G4410)-SUMIFS([1]内部转账!$G:$G,[1]内部转账!$C:$C,"&lt;="&amp;$D4410,[1]内部转账!$F:$F,$G4410)),"")</f>
        <v/>
      </c>
      <c r="M4410" s="64"/>
      <c r="N4410" s="69"/>
      <c r="O4410" s="64"/>
      <c r="P4410" s="64"/>
      <c r="Q4410" s="69"/>
      <c r="R4410" s="69"/>
      <c r="S4410" s="69"/>
    </row>
    <row r="4411" s="2" customFormat="1" ht="24.95" customHeight="1" spans="1:19">
      <c r="A4411" s="15"/>
      <c r="B4411" s="55"/>
      <c r="C4411" s="56"/>
      <c r="D4411" s="68"/>
      <c r="E4411" s="69"/>
      <c r="F4411" s="69"/>
      <c r="G4411" s="65"/>
      <c r="H4411" s="65"/>
      <c r="I4411" s="70"/>
      <c r="J4411" s="71"/>
      <c r="K4411" s="71"/>
      <c r="L4411" s="72" t="str">
        <f>IFERROR(IF(G4411="","",VLOOKUP($G4411,[1]基础信息!$B:$C,2,FALSE)+SUMIF(G$8:G4411,G4411,J$8:J4411)-SUMIF(G$8:G4411,G4411,K$8:K4411)+SUMIFS([1]内部转账!$G:$G,[1]内部转账!$C:$C,"&lt;="&amp;$D4411,[1]内部转账!$E:$E,$G4411)-SUMIFS([1]内部转账!$G:$G,[1]内部转账!$C:$C,"&lt;="&amp;$D4411,[1]内部转账!$F:$F,$G4411)),"")</f>
        <v/>
      </c>
      <c r="M4411" s="64"/>
      <c r="N4411" s="69"/>
      <c r="O4411" s="64"/>
      <c r="P4411" s="64"/>
      <c r="Q4411" s="69"/>
      <c r="R4411" s="69"/>
      <c r="S4411" s="69"/>
    </row>
    <row r="4412" s="2" customFormat="1" ht="24.95" customHeight="1" spans="1:19">
      <c r="A4412" s="15"/>
      <c r="B4412" s="55"/>
      <c r="C4412" s="56"/>
      <c r="D4412" s="68"/>
      <c r="E4412" s="69"/>
      <c r="F4412" s="69"/>
      <c r="G4412" s="65"/>
      <c r="H4412" s="65"/>
      <c r="I4412" s="70"/>
      <c r="J4412" s="71"/>
      <c r="K4412" s="71"/>
      <c r="L4412" s="72" t="str">
        <f>IFERROR(IF(G4412="","",VLOOKUP($G4412,[1]基础信息!$B:$C,2,FALSE)+SUMIF(G$8:G4412,G4412,J$8:J4412)-SUMIF(G$8:G4412,G4412,K$8:K4412)+SUMIFS([1]内部转账!$G:$G,[1]内部转账!$C:$C,"&lt;="&amp;$D4412,[1]内部转账!$E:$E,$G4412)-SUMIFS([1]内部转账!$G:$G,[1]内部转账!$C:$C,"&lt;="&amp;$D4412,[1]内部转账!$F:$F,$G4412)),"")</f>
        <v/>
      </c>
      <c r="M4412" s="64"/>
      <c r="N4412" s="69"/>
      <c r="O4412" s="64"/>
      <c r="P4412" s="64"/>
      <c r="Q4412" s="69"/>
      <c r="R4412" s="69"/>
      <c r="S4412" s="69"/>
    </row>
    <row r="4413" s="2" customFormat="1" ht="24.95" customHeight="1" spans="1:19">
      <c r="A4413" s="15"/>
      <c r="B4413" s="55"/>
      <c r="C4413" s="56"/>
      <c r="D4413" s="68"/>
      <c r="E4413" s="69"/>
      <c r="F4413" s="69"/>
      <c r="G4413" s="65"/>
      <c r="H4413" s="65"/>
      <c r="I4413" s="70"/>
      <c r="J4413" s="71"/>
      <c r="K4413" s="71"/>
      <c r="L4413" s="72" t="str">
        <f>IFERROR(IF(G4413="","",VLOOKUP($G4413,[1]基础信息!$B:$C,2,FALSE)+SUMIF(G$8:G4413,G4413,J$8:J4413)-SUMIF(G$8:G4413,G4413,K$8:K4413)+SUMIFS([1]内部转账!$G:$G,[1]内部转账!$C:$C,"&lt;="&amp;$D4413,[1]内部转账!$E:$E,$G4413)-SUMIFS([1]内部转账!$G:$G,[1]内部转账!$C:$C,"&lt;="&amp;$D4413,[1]内部转账!$F:$F,$G4413)),"")</f>
        <v/>
      </c>
      <c r="M4413" s="64"/>
      <c r="N4413" s="69"/>
      <c r="O4413" s="64"/>
      <c r="P4413" s="64"/>
      <c r="Q4413" s="69"/>
      <c r="R4413" s="69"/>
      <c r="S4413" s="69"/>
    </row>
    <row r="4414" s="2" customFormat="1" ht="24.95" customHeight="1" spans="1:19">
      <c r="A4414" s="15"/>
      <c r="B4414" s="55"/>
      <c r="C4414" s="56"/>
      <c r="D4414" s="68"/>
      <c r="E4414" s="69"/>
      <c r="F4414" s="69"/>
      <c r="G4414" s="65"/>
      <c r="H4414" s="65"/>
      <c r="I4414" s="70"/>
      <c r="J4414" s="71"/>
      <c r="K4414" s="71"/>
      <c r="L4414" s="72" t="str">
        <f>IFERROR(IF(G4414="","",VLOOKUP($G4414,[1]基础信息!$B:$C,2,FALSE)+SUMIF(G$8:G4414,G4414,J$8:J4414)-SUMIF(G$8:G4414,G4414,K$8:K4414)+SUMIFS([1]内部转账!$G:$G,[1]内部转账!$C:$C,"&lt;="&amp;$D4414,[1]内部转账!$E:$E,$G4414)-SUMIFS([1]内部转账!$G:$G,[1]内部转账!$C:$C,"&lt;="&amp;$D4414,[1]内部转账!$F:$F,$G4414)),"")</f>
        <v/>
      </c>
      <c r="M4414" s="64"/>
      <c r="N4414" s="69"/>
      <c r="O4414" s="64"/>
      <c r="P4414" s="64"/>
      <c r="Q4414" s="69"/>
      <c r="R4414" s="69"/>
      <c r="S4414" s="69"/>
    </row>
    <row r="4415" s="2" customFormat="1" ht="24.95" customHeight="1" spans="1:19">
      <c r="A4415" s="15"/>
      <c r="B4415" s="55"/>
      <c r="C4415" s="56"/>
      <c r="D4415" s="68"/>
      <c r="E4415" s="69"/>
      <c r="F4415" s="69"/>
      <c r="G4415" s="65"/>
      <c r="H4415" s="65"/>
      <c r="I4415" s="70"/>
      <c r="J4415" s="71"/>
      <c r="K4415" s="71"/>
      <c r="L4415" s="72" t="str">
        <f>IFERROR(IF(G4415="","",VLOOKUP($G4415,[1]基础信息!$B:$C,2,FALSE)+SUMIF(G$8:G4415,G4415,J$8:J4415)-SUMIF(G$8:G4415,G4415,K$8:K4415)+SUMIFS([1]内部转账!$G:$G,[1]内部转账!$C:$C,"&lt;="&amp;$D4415,[1]内部转账!$E:$E,$G4415)-SUMIFS([1]内部转账!$G:$G,[1]内部转账!$C:$C,"&lt;="&amp;$D4415,[1]内部转账!$F:$F,$G4415)),"")</f>
        <v/>
      </c>
      <c r="M4415" s="64"/>
      <c r="N4415" s="69"/>
      <c r="O4415" s="64"/>
      <c r="P4415" s="64"/>
      <c r="Q4415" s="69"/>
      <c r="R4415" s="69"/>
      <c r="S4415" s="69"/>
    </row>
    <row r="4416" s="2" customFormat="1" ht="24.95" customHeight="1" spans="1:19">
      <c r="A4416" s="15"/>
      <c r="B4416" s="55"/>
      <c r="C4416" s="56"/>
      <c r="D4416" s="68"/>
      <c r="E4416" s="69"/>
      <c r="F4416" s="69"/>
      <c r="G4416" s="65"/>
      <c r="H4416" s="65"/>
      <c r="I4416" s="70"/>
      <c r="J4416" s="71"/>
      <c r="K4416" s="71"/>
      <c r="L4416" s="72" t="str">
        <f>IFERROR(IF(G4416="","",VLOOKUP($G4416,[1]基础信息!$B:$C,2,FALSE)+SUMIF(G$8:G4416,G4416,J$8:J4416)-SUMIF(G$8:G4416,G4416,K$8:K4416)+SUMIFS([1]内部转账!$G:$G,[1]内部转账!$C:$C,"&lt;="&amp;$D4416,[1]内部转账!$E:$E,$G4416)-SUMIFS([1]内部转账!$G:$G,[1]内部转账!$C:$C,"&lt;="&amp;$D4416,[1]内部转账!$F:$F,$G4416)),"")</f>
        <v/>
      </c>
      <c r="M4416" s="64"/>
      <c r="N4416" s="69"/>
      <c r="O4416" s="64"/>
      <c r="P4416" s="64"/>
      <c r="Q4416" s="69"/>
      <c r="R4416" s="69"/>
      <c r="S4416" s="69"/>
    </row>
    <row r="4417" s="2" customFormat="1" ht="24.95" customHeight="1" spans="1:19">
      <c r="A4417" s="15"/>
      <c r="B4417" s="55"/>
      <c r="C4417" s="56"/>
      <c r="D4417" s="68"/>
      <c r="E4417" s="69"/>
      <c r="F4417" s="69"/>
      <c r="G4417" s="65"/>
      <c r="H4417" s="65"/>
      <c r="I4417" s="70"/>
      <c r="J4417" s="71"/>
      <c r="K4417" s="71"/>
      <c r="L4417" s="72" t="str">
        <f>IFERROR(IF(G4417="","",VLOOKUP($G4417,[1]基础信息!$B:$C,2,FALSE)+SUMIF(G$8:G4417,G4417,J$8:J4417)-SUMIF(G$8:G4417,G4417,K$8:K4417)+SUMIFS([1]内部转账!$G:$G,[1]内部转账!$C:$C,"&lt;="&amp;$D4417,[1]内部转账!$E:$E,$G4417)-SUMIFS([1]内部转账!$G:$G,[1]内部转账!$C:$C,"&lt;="&amp;$D4417,[1]内部转账!$F:$F,$G4417)),"")</f>
        <v/>
      </c>
      <c r="M4417" s="64"/>
      <c r="N4417" s="69"/>
      <c r="O4417" s="64"/>
      <c r="P4417" s="64"/>
      <c r="Q4417" s="69"/>
      <c r="R4417" s="69"/>
      <c r="S4417" s="69"/>
    </row>
    <row r="4418" s="2" customFormat="1" ht="24.95" customHeight="1" spans="1:19">
      <c r="A4418" s="15"/>
      <c r="B4418" s="55"/>
      <c r="C4418" s="56"/>
      <c r="D4418" s="68"/>
      <c r="E4418" s="69"/>
      <c r="F4418" s="69"/>
      <c r="G4418" s="65"/>
      <c r="H4418" s="65"/>
      <c r="I4418" s="70"/>
      <c r="J4418" s="71"/>
      <c r="K4418" s="71"/>
      <c r="L4418" s="72" t="str">
        <f>IFERROR(IF(G4418="","",VLOOKUP($G4418,[1]基础信息!$B:$C,2,FALSE)+SUMIF(G$8:G4418,G4418,J$8:J4418)-SUMIF(G$8:G4418,G4418,K$8:K4418)+SUMIFS([1]内部转账!$G:$G,[1]内部转账!$C:$C,"&lt;="&amp;$D4418,[1]内部转账!$E:$E,$G4418)-SUMIFS([1]内部转账!$G:$G,[1]内部转账!$C:$C,"&lt;="&amp;$D4418,[1]内部转账!$F:$F,$G4418)),"")</f>
        <v/>
      </c>
      <c r="M4418" s="64"/>
      <c r="N4418" s="69"/>
      <c r="O4418" s="64"/>
      <c r="P4418" s="64"/>
      <c r="Q4418" s="69"/>
      <c r="R4418" s="69"/>
      <c r="S4418" s="69"/>
    </row>
    <row r="4419" s="2" customFormat="1" ht="24.95" customHeight="1" spans="1:19">
      <c r="A4419" s="15"/>
      <c r="B4419" s="55"/>
      <c r="C4419" s="56"/>
      <c r="D4419" s="68"/>
      <c r="E4419" s="69"/>
      <c r="F4419" s="69"/>
      <c r="G4419" s="65"/>
      <c r="H4419" s="65"/>
      <c r="I4419" s="70"/>
      <c r="J4419" s="71"/>
      <c r="K4419" s="71"/>
      <c r="L4419" s="72" t="str">
        <f>IFERROR(IF(G4419="","",VLOOKUP($G4419,[1]基础信息!$B:$C,2,FALSE)+SUMIF(G$8:G4419,G4419,J$8:J4419)-SUMIF(G$8:G4419,G4419,K$8:K4419)+SUMIFS([1]内部转账!$G:$G,[1]内部转账!$C:$C,"&lt;="&amp;$D4419,[1]内部转账!$E:$E,$G4419)-SUMIFS([1]内部转账!$G:$G,[1]内部转账!$C:$C,"&lt;="&amp;$D4419,[1]内部转账!$F:$F,$G4419)),"")</f>
        <v/>
      </c>
      <c r="M4419" s="64"/>
      <c r="N4419" s="69"/>
      <c r="O4419" s="64"/>
      <c r="P4419" s="64"/>
      <c r="Q4419" s="69"/>
      <c r="R4419" s="69"/>
      <c r="S4419" s="69"/>
    </row>
    <row r="4420" s="2" customFormat="1" ht="24.95" customHeight="1" spans="1:19">
      <c r="A4420" s="15"/>
      <c r="B4420" s="55"/>
      <c r="C4420" s="56"/>
      <c r="D4420" s="68"/>
      <c r="E4420" s="69"/>
      <c r="F4420" s="69"/>
      <c r="G4420" s="65"/>
      <c r="H4420" s="65"/>
      <c r="I4420" s="70"/>
      <c r="J4420" s="71"/>
      <c r="K4420" s="71"/>
      <c r="L4420" s="72" t="str">
        <f>IFERROR(IF(G4420="","",VLOOKUP($G4420,[1]基础信息!$B:$C,2,FALSE)+SUMIF(G$8:G4420,G4420,J$8:J4420)-SUMIF(G$8:G4420,G4420,K$8:K4420)+SUMIFS([1]内部转账!$G:$G,[1]内部转账!$C:$C,"&lt;="&amp;$D4420,[1]内部转账!$E:$E,$G4420)-SUMIFS([1]内部转账!$G:$G,[1]内部转账!$C:$C,"&lt;="&amp;$D4420,[1]内部转账!$F:$F,$G4420)),"")</f>
        <v/>
      </c>
      <c r="M4420" s="64"/>
      <c r="N4420" s="69"/>
      <c r="O4420" s="64"/>
      <c r="P4420" s="64"/>
      <c r="Q4420" s="69"/>
      <c r="R4420" s="69"/>
      <c r="S4420" s="69"/>
    </row>
    <row r="4421" s="2" customFormat="1" ht="24.95" customHeight="1" spans="1:19">
      <c r="A4421" s="15"/>
      <c r="B4421" s="55"/>
      <c r="C4421" s="56"/>
      <c r="D4421" s="68"/>
      <c r="E4421" s="69"/>
      <c r="F4421" s="69"/>
      <c r="G4421" s="65"/>
      <c r="H4421" s="65"/>
      <c r="I4421" s="70"/>
      <c r="J4421" s="71"/>
      <c r="K4421" s="71"/>
      <c r="L4421" s="72" t="str">
        <f>IFERROR(IF(G4421="","",VLOOKUP($G4421,[1]基础信息!$B:$C,2,FALSE)+SUMIF(G$8:G4421,G4421,J$8:J4421)-SUMIF(G$8:G4421,G4421,K$8:K4421)+SUMIFS([1]内部转账!$G:$G,[1]内部转账!$C:$C,"&lt;="&amp;$D4421,[1]内部转账!$E:$E,$G4421)-SUMIFS([1]内部转账!$G:$G,[1]内部转账!$C:$C,"&lt;="&amp;$D4421,[1]内部转账!$F:$F,$G4421)),"")</f>
        <v/>
      </c>
      <c r="M4421" s="64"/>
      <c r="N4421" s="69"/>
      <c r="O4421" s="64"/>
      <c r="P4421" s="64"/>
      <c r="Q4421" s="69"/>
      <c r="R4421" s="69"/>
      <c r="S4421" s="69"/>
    </row>
    <row r="4422" s="2" customFormat="1" ht="24.95" customHeight="1" spans="1:19">
      <c r="A4422" s="15"/>
      <c r="B4422" s="55"/>
      <c r="C4422" s="56"/>
      <c r="D4422" s="68"/>
      <c r="E4422" s="69"/>
      <c r="F4422" s="69"/>
      <c r="G4422" s="65"/>
      <c r="H4422" s="65"/>
      <c r="I4422" s="70"/>
      <c r="J4422" s="71"/>
      <c r="K4422" s="71"/>
      <c r="L4422" s="72" t="str">
        <f>IFERROR(IF(G4422="","",VLOOKUP($G4422,[1]基础信息!$B:$C,2,FALSE)+SUMIF(G$8:G4422,G4422,J$8:J4422)-SUMIF(G$8:G4422,G4422,K$8:K4422)+SUMIFS([1]内部转账!$G:$G,[1]内部转账!$C:$C,"&lt;="&amp;$D4422,[1]内部转账!$E:$E,$G4422)-SUMIFS([1]内部转账!$G:$G,[1]内部转账!$C:$C,"&lt;="&amp;$D4422,[1]内部转账!$F:$F,$G4422)),"")</f>
        <v/>
      </c>
      <c r="M4422" s="64"/>
      <c r="N4422" s="69"/>
      <c r="O4422" s="64"/>
      <c r="P4422" s="64"/>
      <c r="Q4422" s="69"/>
      <c r="R4422" s="69"/>
      <c r="S4422" s="69"/>
    </row>
    <row r="4423" s="2" customFormat="1" ht="24.95" customHeight="1" spans="1:19">
      <c r="A4423" s="15"/>
      <c r="B4423" s="55"/>
      <c r="C4423" s="56"/>
      <c r="D4423" s="68"/>
      <c r="E4423" s="69"/>
      <c r="F4423" s="69"/>
      <c r="G4423" s="65"/>
      <c r="H4423" s="65"/>
      <c r="I4423" s="70"/>
      <c r="J4423" s="71"/>
      <c r="K4423" s="71"/>
      <c r="L4423" s="72" t="str">
        <f>IFERROR(IF(G4423="","",VLOOKUP($G4423,[1]基础信息!$B:$C,2,FALSE)+SUMIF(G$8:G4423,G4423,J$8:J4423)-SUMIF(G$8:G4423,G4423,K$8:K4423)+SUMIFS([1]内部转账!$G:$G,[1]内部转账!$C:$C,"&lt;="&amp;$D4423,[1]内部转账!$E:$E,$G4423)-SUMIFS([1]内部转账!$G:$G,[1]内部转账!$C:$C,"&lt;="&amp;$D4423,[1]内部转账!$F:$F,$G4423)),"")</f>
        <v/>
      </c>
      <c r="M4423" s="64"/>
      <c r="N4423" s="69"/>
      <c r="O4423" s="64"/>
      <c r="P4423" s="64"/>
      <c r="Q4423" s="69"/>
      <c r="R4423" s="69"/>
      <c r="S4423" s="69"/>
    </row>
    <row r="4424" s="2" customFormat="1" ht="24.95" customHeight="1" spans="1:19">
      <c r="A4424" s="15"/>
      <c r="B4424" s="55"/>
      <c r="C4424" s="56"/>
      <c r="D4424" s="68"/>
      <c r="E4424" s="69"/>
      <c r="F4424" s="69"/>
      <c r="G4424" s="65"/>
      <c r="H4424" s="65"/>
      <c r="I4424" s="70"/>
      <c r="J4424" s="71"/>
      <c r="K4424" s="71"/>
      <c r="L4424" s="72" t="str">
        <f>IFERROR(IF(G4424="","",VLOOKUP($G4424,[1]基础信息!$B:$C,2,FALSE)+SUMIF(G$8:G4424,G4424,J$8:J4424)-SUMIF(G$8:G4424,G4424,K$8:K4424)+SUMIFS([1]内部转账!$G:$G,[1]内部转账!$C:$C,"&lt;="&amp;$D4424,[1]内部转账!$E:$E,$G4424)-SUMIFS([1]内部转账!$G:$G,[1]内部转账!$C:$C,"&lt;="&amp;$D4424,[1]内部转账!$F:$F,$G4424)),"")</f>
        <v/>
      </c>
      <c r="M4424" s="64"/>
      <c r="N4424" s="69"/>
      <c r="O4424" s="64"/>
      <c r="P4424" s="64"/>
      <c r="Q4424" s="69"/>
      <c r="R4424" s="69"/>
      <c r="S4424" s="69"/>
    </row>
    <row r="4425" s="2" customFormat="1" ht="24.95" customHeight="1" spans="1:19">
      <c r="A4425" s="15"/>
      <c r="B4425" s="55"/>
      <c r="C4425" s="56"/>
      <c r="D4425" s="68"/>
      <c r="E4425" s="69"/>
      <c r="F4425" s="69"/>
      <c r="G4425" s="65"/>
      <c r="H4425" s="65"/>
      <c r="I4425" s="70"/>
      <c r="J4425" s="71"/>
      <c r="K4425" s="71"/>
      <c r="L4425" s="72" t="str">
        <f>IFERROR(IF(G4425="","",VLOOKUP($G4425,[1]基础信息!$B:$C,2,FALSE)+SUMIF(G$8:G4425,G4425,J$8:J4425)-SUMIF(G$8:G4425,G4425,K$8:K4425)+SUMIFS([1]内部转账!$G:$G,[1]内部转账!$C:$C,"&lt;="&amp;$D4425,[1]内部转账!$E:$E,$G4425)-SUMIFS([1]内部转账!$G:$G,[1]内部转账!$C:$C,"&lt;="&amp;$D4425,[1]内部转账!$F:$F,$G4425)),"")</f>
        <v/>
      </c>
      <c r="M4425" s="64"/>
      <c r="N4425" s="69"/>
      <c r="O4425" s="64"/>
      <c r="P4425" s="64"/>
      <c r="Q4425" s="69"/>
      <c r="R4425" s="69"/>
      <c r="S4425" s="69"/>
    </row>
    <row r="4426" s="2" customFormat="1" ht="24.95" customHeight="1" spans="1:19">
      <c r="A4426" s="15"/>
      <c r="B4426" s="55"/>
      <c r="C4426" s="56"/>
      <c r="D4426" s="68"/>
      <c r="E4426" s="69"/>
      <c r="F4426" s="69"/>
      <c r="G4426" s="65"/>
      <c r="H4426" s="65"/>
      <c r="I4426" s="70"/>
      <c r="J4426" s="71"/>
      <c r="K4426" s="71"/>
      <c r="L4426" s="72" t="str">
        <f>IFERROR(IF(G4426="","",VLOOKUP($G4426,[1]基础信息!$B:$C,2,FALSE)+SUMIF(G$8:G4426,G4426,J$8:J4426)-SUMIF(G$8:G4426,G4426,K$8:K4426)+SUMIFS([1]内部转账!$G:$G,[1]内部转账!$C:$C,"&lt;="&amp;$D4426,[1]内部转账!$E:$E,$G4426)-SUMIFS([1]内部转账!$G:$G,[1]内部转账!$C:$C,"&lt;="&amp;$D4426,[1]内部转账!$F:$F,$G4426)),"")</f>
        <v/>
      </c>
      <c r="M4426" s="64"/>
      <c r="N4426" s="69"/>
      <c r="O4426" s="64"/>
      <c r="P4426" s="64"/>
      <c r="Q4426" s="69"/>
      <c r="R4426" s="69"/>
      <c r="S4426" s="69"/>
    </row>
    <row r="4427" s="2" customFormat="1" ht="24.95" customHeight="1" spans="1:19">
      <c r="A4427" s="15"/>
      <c r="B4427" s="55"/>
      <c r="C4427" s="56"/>
      <c r="D4427" s="68"/>
      <c r="E4427" s="69"/>
      <c r="F4427" s="69"/>
      <c r="G4427" s="65"/>
      <c r="H4427" s="65"/>
      <c r="I4427" s="70"/>
      <c r="J4427" s="71"/>
      <c r="K4427" s="71"/>
      <c r="L4427" s="72" t="str">
        <f>IFERROR(IF(G4427="","",VLOOKUP($G4427,[1]基础信息!$B:$C,2,FALSE)+SUMIF(G$8:G4427,G4427,J$8:J4427)-SUMIF(G$8:G4427,G4427,K$8:K4427)+SUMIFS([1]内部转账!$G:$G,[1]内部转账!$C:$C,"&lt;="&amp;$D4427,[1]内部转账!$E:$E,$G4427)-SUMIFS([1]内部转账!$G:$G,[1]内部转账!$C:$C,"&lt;="&amp;$D4427,[1]内部转账!$F:$F,$G4427)),"")</f>
        <v/>
      </c>
      <c r="M4427" s="64"/>
      <c r="N4427" s="69"/>
      <c r="O4427" s="64"/>
      <c r="P4427" s="64"/>
      <c r="Q4427" s="69"/>
      <c r="R4427" s="69"/>
      <c r="S4427" s="69"/>
    </row>
    <row r="4428" s="2" customFormat="1" ht="24.95" customHeight="1" spans="1:19">
      <c r="A4428" s="15"/>
      <c r="B4428" s="55"/>
      <c r="C4428" s="56"/>
      <c r="D4428" s="68"/>
      <c r="E4428" s="69"/>
      <c r="F4428" s="69"/>
      <c r="G4428" s="65"/>
      <c r="H4428" s="65"/>
      <c r="I4428" s="70"/>
      <c r="J4428" s="71"/>
      <c r="K4428" s="71"/>
      <c r="L4428" s="72" t="str">
        <f>IFERROR(IF(G4428="","",VLOOKUP($G4428,[1]基础信息!$B:$C,2,FALSE)+SUMIF(G$8:G4428,G4428,J$8:J4428)-SUMIF(G$8:G4428,G4428,K$8:K4428)+SUMIFS([1]内部转账!$G:$G,[1]内部转账!$C:$C,"&lt;="&amp;$D4428,[1]内部转账!$E:$E,$G4428)-SUMIFS([1]内部转账!$G:$G,[1]内部转账!$C:$C,"&lt;="&amp;$D4428,[1]内部转账!$F:$F,$G4428)),"")</f>
        <v/>
      </c>
      <c r="M4428" s="64"/>
      <c r="N4428" s="69"/>
      <c r="O4428" s="64"/>
      <c r="P4428" s="64"/>
      <c r="Q4428" s="69"/>
      <c r="R4428" s="69"/>
      <c r="S4428" s="69"/>
    </row>
    <row r="4429" s="2" customFormat="1" ht="24.95" customHeight="1" spans="1:19">
      <c r="A4429" s="15"/>
      <c r="B4429" s="55"/>
      <c r="C4429" s="56"/>
      <c r="D4429" s="68"/>
      <c r="E4429" s="69"/>
      <c r="F4429" s="69"/>
      <c r="G4429" s="65"/>
      <c r="H4429" s="65"/>
      <c r="I4429" s="70"/>
      <c r="J4429" s="71"/>
      <c r="K4429" s="71"/>
      <c r="L4429" s="72" t="str">
        <f>IFERROR(IF(G4429="","",VLOOKUP($G4429,[1]基础信息!$B:$C,2,FALSE)+SUMIF(G$8:G4429,G4429,J$8:J4429)-SUMIF(G$8:G4429,G4429,K$8:K4429)+SUMIFS([1]内部转账!$G:$G,[1]内部转账!$C:$C,"&lt;="&amp;$D4429,[1]内部转账!$E:$E,$G4429)-SUMIFS([1]内部转账!$G:$G,[1]内部转账!$C:$C,"&lt;="&amp;$D4429,[1]内部转账!$F:$F,$G4429)),"")</f>
        <v/>
      </c>
      <c r="M4429" s="64"/>
      <c r="N4429" s="69"/>
      <c r="O4429" s="64"/>
      <c r="P4429" s="64"/>
      <c r="Q4429" s="69"/>
      <c r="R4429" s="69"/>
      <c r="S4429" s="69"/>
    </row>
    <row r="4430" s="2" customFormat="1" ht="24.95" customHeight="1" spans="1:19">
      <c r="A4430" s="15"/>
      <c r="B4430" s="55"/>
      <c r="C4430" s="56"/>
      <c r="D4430" s="68"/>
      <c r="E4430" s="69"/>
      <c r="F4430" s="69"/>
      <c r="G4430" s="65"/>
      <c r="H4430" s="65"/>
      <c r="I4430" s="70"/>
      <c r="J4430" s="71"/>
      <c r="K4430" s="71"/>
      <c r="L4430" s="72" t="str">
        <f>IFERROR(IF(G4430="","",VLOOKUP($G4430,[1]基础信息!$B:$C,2,FALSE)+SUMIF(G$8:G4430,G4430,J$8:J4430)-SUMIF(G$8:G4430,G4430,K$8:K4430)+SUMIFS([1]内部转账!$G:$G,[1]内部转账!$C:$C,"&lt;="&amp;$D4430,[1]内部转账!$E:$E,$G4430)-SUMIFS([1]内部转账!$G:$G,[1]内部转账!$C:$C,"&lt;="&amp;$D4430,[1]内部转账!$F:$F,$G4430)),"")</f>
        <v/>
      </c>
      <c r="M4430" s="64"/>
      <c r="N4430" s="69"/>
      <c r="O4430" s="64"/>
      <c r="P4430" s="64"/>
      <c r="Q4430" s="69"/>
      <c r="R4430" s="69"/>
      <c r="S4430" s="69"/>
    </row>
    <row r="4431" s="2" customFormat="1" ht="24.95" customHeight="1" spans="1:19">
      <c r="A4431" s="15"/>
      <c r="B4431" s="55"/>
      <c r="C4431" s="56"/>
      <c r="D4431" s="68"/>
      <c r="E4431" s="69"/>
      <c r="F4431" s="69"/>
      <c r="G4431" s="65"/>
      <c r="H4431" s="65"/>
      <c r="I4431" s="70"/>
      <c r="J4431" s="71"/>
      <c r="K4431" s="71"/>
      <c r="L4431" s="72" t="str">
        <f>IFERROR(IF(G4431="","",VLOOKUP($G4431,[1]基础信息!$B:$C,2,FALSE)+SUMIF(G$8:G4431,G4431,J$8:J4431)-SUMIF(G$8:G4431,G4431,K$8:K4431)+SUMIFS([1]内部转账!$G:$G,[1]内部转账!$C:$C,"&lt;="&amp;$D4431,[1]内部转账!$E:$E,$G4431)-SUMIFS([1]内部转账!$G:$G,[1]内部转账!$C:$C,"&lt;="&amp;$D4431,[1]内部转账!$F:$F,$G4431)),"")</f>
        <v/>
      </c>
      <c r="M4431" s="64"/>
      <c r="N4431" s="69"/>
      <c r="O4431" s="64"/>
      <c r="P4431" s="64"/>
      <c r="Q4431" s="69"/>
      <c r="R4431" s="69"/>
      <c r="S4431" s="69"/>
    </row>
    <row r="4432" s="2" customFormat="1" ht="24.95" customHeight="1" spans="1:19">
      <c r="A4432" s="15"/>
      <c r="B4432" s="55"/>
      <c r="C4432" s="56"/>
      <c r="D4432" s="68"/>
      <c r="E4432" s="69"/>
      <c r="F4432" s="69"/>
      <c r="G4432" s="65"/>
      <c r="H4432" s="65"/>
      <c r="I4432" s="70"/>
      <c r="J4432" s="71"/>
      <c r="K4432" s="71"/>
      <c r="L4432" s="72" t="str">
        <f>IFERROR(IF(G4432="","",VLOOKUP($G4432,[1]基础信息!$B:$C,2,FALSE)+SUMIF(G$8:G4432,G4432,J$8:J4432)-SUMIF(G$8:G4432,G4432,K$8:K4432)+SUMIFS([1]内部转账!$G:$G,[1]内部转账!$C:$C,"&lt;="&amp;$D4432,[1]内部转账!$E:$E,$G4432)-SUMIFS([1]内部转账!$G:$G,[1]内部转账!$C:$C,"&lt;="&amp;$D4432,[1]内部转账!$F:$F,$G4432)),"")</f>
        <v/>
      </c>
      <c r="M4432" s="64"/>
      <c r="N4432" s="69"/>
      <c r="O4432" s="64"/>
      <c r="P4432" s="64"/>
      <c r="Q4432" s="69"/>
      <c r="R4432" s="69"/>
      <c r="S4432" s="69"/>
    </row>
    <row r="4433" s="2" customFormat="1" ht="24.95" customHeight="1" spans="1:19">
      <c r="A4433" s="15"/>
      <c r="B4433" s="55"/>
      <c r="C4433" s="56"/>
      <c r="D4433" s="68"/>
      <c r="E4433" s="69"/>
      <c r="F4433" s="69"/>
      <c r="G4433" s="65"/>
      <c r="H4433" s="65"/>
      <c r="I4433" s="70"/>
      <c r="J4433" s="71"/>
      <c r="K4433" s="71"/>
      <c r="L4433" s="72" t="str">
        <f>IFERROR(IF(G4433="","",VLOOKUP($G4433,[1]基础信息!$B:$C,2,FALSE)+SUMIF(G$8:G4433,G4433,J$8:J4433)-SUMIF(G$8:G4433,G4433,K$8:K4433)+SUMIFS([1]内部转账!$G:$G,[1]内部转账!$C:$C,"&lt;="&amp;$D4433,[1]内部转账!$E:$E,$G4433)-SUMIFS([1]内部转账!$G:$G,[1]内部转账!$C:$C,"&lt;="&amp;$D4433,[1]内部转账!$F:$F,$G4433)),"")</f>
        <v/>
      </c>
      <c r="M4433" s="64"/>
      <c r="N4433" s="69"/>
      <c r="O4433" s="64"/>
      <c r="P4433" s="64"/>
      <c r="Q4433" s="69"/>
      <c r="R4433" s="69"/>
      <c r="S4433" s="69"/>
    </row>
    <row r="4434" s="2" customFormat="1" ht="24.95" customHeight="1" spans="1:19">
      <c r="A4434" s="15"/>
      <c r="B4434" s="55"/>
      <c r="C4434" s="56"/>
      <c r="D4434" s="68"/>
      <c r="E4434" s="69"/>
      <c r="F4434" s="69"/>
      <c r="G4434" s="65"/>
      <c r="H4434" s="65"/>
      <c r="I4434" s="70"/>
      <c r="J4434" s="71"/>
      <c r="K4434" s="71"/>
      <c r="L4434" s="72" t="str">
        <f>IFERROR(IF(G4434="","",VLOOKUP($G4434,[1]基础信息!$B:$C,2,FALSE)+SUMIF(G$8:G4434,G4434,J$8:J4434)-SUMIF(G$8:G4434,G4434,K$8:K4434)+SUMIFS([1]内部转账!$G:$G,[1]内部转账!$C:$C,"&lt;="&amp;$D4434,[1]内部转账!$E:$E,$G4434)-SUMIFS([1]内部转账!$G:$G,[1]内部转账!$C:$C,"&lt;="&amp;$D4434,[1]内部转账!$F:$F,$G4434)),"")</f>
        <v/>
      </c>
      <c r="M4434" s="64"/>
      <c r="N4434" s="69"/>
      <c r="O4434" s="64"/>
      <c r="P4434" s="64"/>
      <c r="Q4434" s="69"/>
      <c r="R4434" s="69"/>
      <c r="S4434" s="69"/>
    </row>
    <row r="4435" s="2" customFormat="1" ht="24.95" customHeight="1" spans="1:19">
      <c r="A4435" s="15"/>
      <c r="B4435" s="55"/>
      <c r="C4435" s="56"/>
      <c r="D4435" s="68"/>
      <c r="E4435" s="69"/>
      <c r="F4435" s="69"/>
      <c r="G4435" s="65"/>
      <c r="H4435" s="65"/>
      <c r="I4435" s="70"/>
      <c r="J4435" s="71"/>
      <c r="K4435" s="71"/>
      <c r="L4435" s="72" t="str">
        <f>IFERROR(IF(G4435="","",VLOOKUP($G4435,[1]基础信息!$B:$C,2,FALSE)+SUMIF(G$8:G4435,G4435,J$8:J4435)-SUMIF(G$8:G4435,G4435,K$8:K4435)+SUMIFS([1]内部转账!$G:$G,[1]内部转账!$C:$C,"&lt;="&amp;$D4435,[1]内部转账!$E:$E,$G4435)-SUMIFS([1]内部转账!$G:$G,[1]内部转账!$C:$C,"&lt;="&amp;$D4435,[1]内部转账!$F:$F,$G4435)),"")</f>
        <v/>
      </c>
      <c r="M4435" s="64"/>
      <c r="N4435" s="69"/>
      <c r="O4435" s="64"/>
      <c r="P4435" s="64"/>
      <c r="Q4435" s="69"/>
      <c r="R4435" s="69"/>
      <c r="S4435" s="69"/>
    </row>
    <row r="4436" s="2" customFormat="1" ht="24.95" customHeight="1" spans="1:19">
      <c r="A4436" s="15"/>
      <c r="B4436" s="55"/>
      <c r="C4436" s="56"/>
      <c r="D4436" s="68"/>
      <c r="E4436" s="69"/>
      <c r="F4436" s="69"/>
      <c r="G4436" s="65"/>
      <c r="H4436" s="65"/>
      <c r="I4436" s="70"/>
      <c r="J4436" s="71"/>
      <c r="K4436" s="71"/>
      <c r="L4436" s="72" t="str">
        <f>IFERROR(IF(G4436="","",VLOOKUP($G4436,[1]基础信息!$B:$C,2,FALSE)+SUMIF(G$8:G4436,G4436,J$8:J4436)-SUMIF(G$8:G4436,G4436,K$8:K4436)+SUMIFS([1]内部转账!$G:$G,[1]内部转账!$C:$C,"&lt;="&amp;$D4436,[1]内部转账!$E:$E,$G4436)-SUMIFS([1]内部转账!$G:$G,[1]内部转账!$C:$C,"&lt;="&amp;$D4436,[1]内部转账!$F:$F,$G4436)),"")</f>
        <v/>
      </c>
      <c r="M4436" s="64"/>
      <c r="N4436" s="69"/>
      <c r="O4436" s="64"/>
      <c r="P4436" s="64"/>
      <c r="Q4436" s="69"/>
      <c r="R4436" s="69"/>
      <c r="S4436" s="69"/>
    </row>
    <row r="4437" s="2" customFormat="1" ht="24.95" customHeight="1" spans="1:19">
      <c r="A4437" s="15"/>
      <c r="B4437" s="55"/>
      <c r="C4437" s="56"/>
      <c r="D4437" s="68"/>
      <c r="E4437" s="69"/>
      <c r="F4437" s="69"/>
      <c r="G4437" s="65"/>
      <c r="H4437" s="65"/>
      <c r="I4437" s="70"/>
      <c r="J4437" s="71"/>
      <c r="K4437" s="71"/>
      <c r="L4437" s="72" t="str">
        <f>IFERROR(IF(G4437="","",VLOOKUP($G4437,[1]基础信息!$B:$C,2,FALSE)+SUMIF(G$8:G4437,G4437,J$8:J4437)-SUMIF(G$8:G4437,G4437,K$8:K4437)+SUMIFS([1]内部转账!$G:$G,[1]内部转账!$C:$C,"&lt;="&amp;$D4437,[1]内部转账!$E:$E,$G4437)-SUMIFS([1]内部转账!$G:$G,[1]内部转账!$C:$C,"&lt;="&amp;$D4437,[1]内部转账!$F:$F,$G4437)),"")</f>
        <v/>
      </c>
      <c r="M4437" s="64"/>
      <c r="N4437" s="69"/>
      <c r="O4437" s="64"/>
      <c r="P4437" s="64"/>
      <c r="Q4437" s="69"/>
      <c r="R4437" s="69"/>
      <c r="S4437" s="69"/>
    </row>
    <row r="4438" s="2" customFormat="1" ht="24.95" customHeight="1" spans="1:19">
      <c r="A4438" s="15"/>
      <c r="B4438" s="55"/>
      <c r="C4438" s="56"/>
      <c r="D4438" s="68"/>
      <c r="E4438" s="69"/>
      <c r="F4438" s="69"/>
      <c r="G4438" s="65"/>
      <c r="H4438" s="65"/>
      <c r="I4438" s="70"/>
      <c r="J4438" s="71"/>
      <c r="K4438" s="71"/>
      <c r="L4438" s="72" t="str">
        <f>IFERROR(IF(G4438="","",VLOOKUP($G4438,[1]基础信息!$B:$C,2,FALSE)+SUMIF(G$8:G4438,G4438,J$8:J4438)-SUMIF(G$8:G4438,G4438,K$8:K4438)+SUMIFS([1]内部转账!$G:$G,[1]内部转账!$C:$C,"&lt;="&amp;$D4438,[1]内部转账!$E:$E,$G4438)-SUMIFS([1]内部转账!$G:$G,[1]内部转账!$C:$C,"&lt;="&amp;$D4438,[1]内部转账!$F:$F,$G4438)),"")</f>
        <v/>
      </c>
      <c r="M4438" s="64"/>
      <c r="N4438" s="69"/>
      <c r="O4438" s="64"/>
      <c r="P4438" s="64"/>
      <c r="Q4438" s="69"/>
      <c r="R4438" s="69"/>
      <c r="S4438" s="69"/>
    </row>
    <row r="4439" s="2" customFormat="1" ht="24.95" customHeight="1" spans="1:19">
      <c r="A4439" s="15"/>
      <c r="B4439" s="55"/>
      <c r="C4439" s="56"/>
      <c r="D4439" s="68"/>
      <c r="E4439" s="69"/>
      <c r="F4439" s="69"/>
      <c r="G4439" s="65"/>
      <c r="H4439" s="65"/>
      <c r="I4439" s="70"/>
      <c r="J4439" s="71"/>
      <c r="K4439" s="71"/>
      <c r="L4439" s="72" t="str">
        <f>IFERROR(IF(G4439="","",VLOOKUP($G4439,[1]基础信息!$B:$C,2,FALSE)+SUMIF(G$8:G4439,G4439,J$8:J4439)-SUMIF(G$8:G4439,G4439,K$8:K4439)+SUMIFS([1]内部转账!$G:$G,[1]内部转账!$C:$C,"&lt;="&amp;$D4439,[1]内部转账!$E:$E,$G4439)-SUMIFS([1]内部转账!$G:$G,[1]内部转账!$C:$C,"&lt;="&amp;$D4439,[1]内部转账!$F:$F,$G4439)),"")</f>
        <v/>
      </c>
      <c r="M4439" s="64"/>
      <c r="N4439" s="69"/>
      <c r="O4439" s="64"/>
      <c r="P4439" s="64"/>
      <c r="Q4439" s="69"/>
      <c r="R4439" s="69"/>
      <c r="S4439" s="69"/>
    </row>
    <row r="4440" s="2" customFormat="1" ht="24.95" customHeight="1" spans="1:19">
      <c r="A4440" s="15"/>
      <c r="B4440" s="55"/>
      <c r="C4440" s="56"/>
      <c r="D4440" s="68"/>
      <c r="E4440" s="69"/>
      <c r="F4440" s="69"/>
      <c r="G4440" s="65"/>
      <c r="H4440" s="65"/>
      <c r="I4440" s="70"/>
      <c r="J4440" s="71"/>
      <c r="K4440" s="71"/>
      <c r="L4440" s="72" t="str">
        <f>IFERROR(IF(G4440="","",VLOOKUP($G4440,[1]基础信息!$B:$C,2,FALSE)+SUMIF(G$8:G4440,G4440,J$8:J4440)-SUMIF(G$8:G4440,G4440,K$8:K4440)+SUMIFS([1]内部转账!$G:$G,[1]内部转账!$C:$C,"&lt;="&amp;$D4440,[1]内部转账!$E:$E,$G4440)-SUMIFS([1]内部转账!$G:$G,[1]内部转账!$C:$C,"&lt;="&amp;$D4440,[1]内部转账!$F:$F,$G4440)),"")</f>
        <v/>
      </c>
      <c r="M4440" s="64"/>
      <c r="N4440" s="69"/>
      <c r="O4440" s="64"/>
      <c r="P4440" s="64"/>
      <c r="Q4440" s="69"/>
      <c r="R4440" s="69"/>
      <c r="S4440" s="69"/>
    </row>
    <row r="4441" s="2" customFormat="1" ht="24.95" customHeight="1" spans="1:19">
      <c r="A4441" s="15"/>
      <c r="B4441" s="55"/>
      <c r="C4441" s="56"/>
      <c r="D4441" s="68"/>
      <c r="E4441" s="69"/>
      <c r="F4441" s="69"/>
      <c r="G4441" s="65"/>
      <c r="H4441" s="65"/>
      <c r="I4441" s="70"/>
      <c r="J4441" s="71"/>
      <c r="K4441" s="71"/>
      <c r="L4441" s="72" t="str">
        <f>IFERROR(IF(G4441="","",VLOOKUP($G4441,[1]基础信息!$B:$C,2,FALSE)+SUMIF(G$8:G4441,G4441,J$8:J4441)-SUMIF(G$8:G4441,G4441,K$8:K4441)+SUMIFS([1]内部转账!$G:$G,[1]内部转账!$C:$C,"&lt;="&amp;$D4441,[1]内部转账!$E:$E,$G4441)-SUMIFS([1]内部转账!$G:$G,[1]内部转账!$C:$C,"&lt;="&amp;$D4441,[1]内部转账!$F:$F,$G4441)),"")</f>
        <v/>
      </c>
      <c r="M4441" s="64"/>
      <c r="N4441" s="69"/>
      <c r="O4441" s="64"/>
      <c r="P4441" s="64"/>
      <c r="Q4441" s="69"/>
      <c r="R4441" s="69"/>
      <c r="S4441" s="69"/>
    </row>
    <row r="4442" s="2" customFormat="1" ht="24.95" customHeight="1" spans="1:19">
      <c r="A4442" s="15"/>
      <c r="B4442" s="55"/>
      <c r="C4442" s="56"/>
      <c r="D4442" s="68"/>
      <c r="E4442" s="69"/>
      <c r="F4442" s="69"/>
      <c r="G4442" s="65"/>
      <c r="H4442" s="65"/>
      <c r="I4442" s="70"/>
      <c r="J4442" s="71"/>
      <c r="K4442" s="71"/>
      <c r="L4442" s="72" t="str">
        <f>IFERROR(IF(G4442="","",VLOOKUP($G4442,[1]基础信息!$B:$C,2,FALSE)+SUMIF(G$8:G4442,G4442,J$8:J4442)-SUMIF(G$8:G4442,G4442,K$8:K4442)+SUMIFS([1]内部转账!$G:$G,[1]内部转账!$C:$C,"&lt;="&amp;$D4442,[1]内部转账!$E:$E,$G4442)-SUMIFS([1]内部转账!$G:$G,[1]内部转账!$C:$C,"&lt;="&amp;$D4442,[1]内部转账!$F:$F,$G4442)),"")</f>
        <v/>
      </c>
      <c r="M4442" s="64"/>
      <c r="N4442" s="69"/>
      <c r="O4442" s="64"/>
      <c r="P4442" s="64"/>
      <c r="Q4442" s="69"/>
      <c r="R4442" s="69"/>
      <c r="S4442" s="69"/>
    </row>
    <row r="4443" s="2" customFormat="1" ht="24.95" customHeight="1" spans="1:19">
      <c r="A4443" s="15"/>
      <c r="B4443" s="55"/>
      <c r="C4443" s="56"/>
      <c r="D4443" s="68"/>
      <c r="E4443" s="69"/>
      <c r="F4443" s="69"/>
      <c r="G4443" s="65"/>
      <c r="H4443" s="65"/>
      <c r="I4443" s="70"/>
      <c r="J4443" s="71"/>
      <c r="K4443" s="71"/>
      <c r="L4443" s="72" t="str">
        <f>IFERROR(IF(G4443="","",VLOOKUP($G4443,[1]基础信息!$B:$C,2,FALSE)+SUMIF(G$8:G4443,G4443,J$8:J4443)-SUMIF(G$8:G4443,G4443,K$8:K4443)+SUMIFS([1]内部转账!$G:$G,[1]内部转账!$C:$C,"&lt;="&amp;$D4443,[1]内部转账!$E:$E,$G4443)-SUMIFS([1]内部转账!$G:$G,[1]内部转账!$C:$C,"&lt;="&amp;$D4443,[1]内部转账!$F:$F,$G4443)),"")</f>
        <v/>
      </c>
      <c r="M4443" s="64"/>
      <c r="N4443" s="69"/>
      <c r="O4443" s="64"/>
      <c r="P4443" s="64"/>
      <c r="Q4443" s="69"/>
      <c r="R4443" s="69"/>
      <c r="S4443" s="69"/>
    </row>
    <row r="4444" s="2" customFormat="1" ht="24.95" customHeight="1" spans="1:19">
      <c r="A4444" s="15"/>
      <c r="B4444" s="55"/>
      <c r="C4444" s="56"/>
      <c r="D4444" s="68"/>
      <c r="E4444" s="69"/>
      <c r="F4444" s="69"/>
      <c r="G4444" s="65"/>
      <c r="H4444" s="65"/>
      <c r="I4444" s="70"/>
      <c r="J4444" s="71"/>
      <c r="K4444" s="71"/>
      <c r="L4444" s="72" t="str">
        <f>IFERROR(IF(G4444="","",VLOOKUP($G4444,[1]基础信息!$B:$C,2,FALSE)+SUMIF(G$8:G4444,G4444,J$8:J4444)-SUMIF(G$8:G4444,G4444,K$8:K4444)+SUMIFS([1]内部转账!$G:$G,[1]内部转账!$C:$C,"&lt;="&amp;$D4444,[1]内部转账!$E:$E,$G4444)-SUMIFS([1]内部转账!$G:$G,[1]内部转账!$C:$C,"&lt;="&amp;$D4444,[1]内部转账!$F:$F,$G4444)),"")</f>
        <v/>
      </c>
      <c r="M4444" s="64"/>
      <c r="N4444" s="69"/>
      <c r="O4444" s="64"/>
      <c r="P4444" s="64"/>
      <c r="Q4444" s="69"/>
      <c r="R4444" s="69"/>
      <c r="S4444" s="69"/>
    </row>
    <row r="4445" s="2" customFormat="1" ht="24.95" customHeight="1" spans="1:19">
      <c r="A4445" s="15"/>
      <c r="B4445" s="55"/>
      <c r="C4445" s="56"/>
      <c r="D4445" s="68"/>
      <c r="E4445" s="69"/>
      <c r="F4445" s="69"/>
      <c r="G4445" s="65"/>
      <c r="H4445" s="65"/>
      <c r="I4445" s="70"/>
      <c r="J4445" s="71"/>
      <c r="K4445" s="71"/>
      <c r="L4445" s="72" t="str">
        <f>IFERROR(IF(G4445="","",VLOOKUP($G4445,[1]基础信息!$B:$C,2,FALSE)+SUMIF(G$8:G4445,G4445,J$8:J4445)-SUMIF(G$8:G4445,G4445,K$8:K4445)+SUMIFS([1]内部转账!$G:$G,[1]内部转账!$C:$C,"&lt;="&amp;$D4445,[1]内部转账!$E:$E,$G4445)-SUMIFS([1]内部转账!$G:$G,[1]内部转账!$C:$C,"&lt;="&amp;$D4445,[1]内部转账!$F:$F,$G4445)),"")</f>
        <v/>
      </c>
      <c r="M4445" s="64"/>
      <c r="N4445" s="69"/>
      <c r="O4445" s="64"/>
      <c r="P4445" s="64"/>
      <c r="Q4445" s="69"/>
      <c r="R4445" s="69"/>
      <c r="S4445" s="69"/>
    </row>
    <row r="4446" s="2" customFormat="1" ht="24.95" customHeight="1" spans="1:19">
      <c r="A4446" s="15"/>
      <c r="B4446" s="55"/>
      <c r="C4446" s="56"/>
      <c r="D4446" s="68"/>
      <c r="E4446" s="69"/>
      <c r="F4446" s="69"/>
      <c r="G4446" s="65"/>
      <c r="H4446" s="65"/>
      <c r="I4446" s="70"/>
      <c r="J4446" s="71"/>
      <c r="K4446" s="71"/>
      <c r="L4446" s="72" t="str">
        <f>IFERROR(IF(G4446="","",VLOOKUP($G4446,[1]基础信息!$B:$C,2,FALSE)+SUMIF(G$8:G4446,G4446,J$8:J4446)-SUMIF(G$8:G4446,G4446,K$8:K4446)+SUMIFS([1]内部转账!$G:$G,[1]内部转账!$C:$C,"&lt;="&amp;$D4446,[1]内部转账!$E:$E,$G4446)-SUMIFS([1]内部转账!$G:$G,[1]内部转账!$C:$C,"&lt;="&amp;$D4446,[1]内部转账!$F:$F,$G4446)),"")</f>
        <v/>
      </c>
      <c r="M4446" s="64"/>
      <c r="N4446" s="69"/>
      <c r="O4446" s="64"/>
      <c r="P4446" s="64"/>
      <c r="Q4446" s="69"/>
      <c r="R4446" s="69"/>
      <c r="S4446" s="69"/>
    </row>
    <row r="4447" s="2" customFormat="1" ht="24.95" customHeight="1" spans="1:19">
      <c r="A4447" s="15"/>
      <c r="B4447" s="55"/>
      <c r="C4447" s="56"/>
      <c r="D4447" s="68"/>
      <c r="E4447" s="69"/>
      <c r="F4447" s="69"/>
      <c r="G4447" s="65"/>
      <c r="H4447" s="65"/>
      <c r="I4447" s="70"/>
      <c r="J4447" s="71"/>
      <c r="K4447" s="71"/>
      <c r="L4447" s="72" t="str">
        <f>IFERROR(IF(G4447="","",VLOOKUP($G4447,[1]基础信息!$B:$C,2,FALSE)+SUMIF(G$8:G4447,G4447,J$8:J4447)-SUMIF(G$8:G4447,G4447,K$8:K4447)+SUMIFS([1]内部转账!$G:$G,[1]内部转账!$C:$C,"&lt;="&amp;$D4447,[1]内部转账!$E:$E,$G4447)-SUMIFS([1]内部转账!$G:$G,[1]内部转账!$C:$C,"&lt;="&amp;$D4447,[1]内部转账!$F:$F,$G4447)),"")</f>
        <v/>
      </c>
      <c r="M4447" s="64"/>
      <c r="N4447" s="69"/>
      <c r="O4447" s="64"/>
      <c r="P4447" s="64"/>
      <c r="Q4447" s="69"/>
      <c r="R4447" s="69"/>
      <c r="S4447" s="69"/>
    </row>
    <row r="4448" s="2" customFormat="1" ht="24.95" customHeight="1" spans="1:19">
      <c r="A4448" s="15"/>
      <c r="B4448" s="55"/>
      <c r="C4448" s="56"/>
      <c r="D4448" s="68"/>
      <c r="E4448" s="69"/>
      <c r="F4448" s="69"/>
      <c r="G4448" s="65"/>
      <c r="H4448" s="65"/>
      <c r="I4448" s="70"/>
      <c r="J4448" s="71"/>
      <c r="K4448" s="71"/>
      <c r="L4448" s="72" t="str">
        <f>IFERROR(IF(G4448="","",VLOOKUP($G4448,[1]基础信息!$B:$C,2,FALSE)+SUMIF(G$8:G4448,G4448,J$8:J4448)-SUMIF(G$8:G4448,G4448,K$8:K4448)+SUMIFS([1]内部转账!$G:$G,[1]内部转账!$C:$C,"&lt;="&amp;$D4448,[1]内部转账!$E:$E,$G4448)-SUMIFS([1]内部转账!$G:$G,[1]内部转账!$C:$C,"&lt;="&amp;$D4448,[1]内部转账!$F:$F,$G4448)),"")</f>
        <v/>
      </c>
      <c r="M4448" s="64"/>
      <c r="N4448" s="69"/>
      <c r="O4448" s="64"/>
      <c r="P4448" s="64"/>
      <c r="Q4448" s="69"/>
      <c r="R4448" s="69"/>
      <c r="S4448" s="69"/>
    </row>
    <row r="4449" s="2" customFormat="1" ht="24.95" customHeight="1" spans="1:19">
      <c r="A4449" s="15"/>
      <c r="B4449" s="55"/>
      <c r="C4449" s="56"/>
      <c r="D4449" s="68"/>
      <c r="E4449" s="69"/>
      <c r="F4449" s="69"/>
      <c r="G4449" s="65"/>
      <c r="H4449" s="65"/>
      <c r="I4449" s="70"/>
      <c r="J4449" s="71"/>
      <c r="K4449" s="71"/>
      <c r="L4449" s="72" t="str">
        <f>IFERROR(IF(G4449="","",VLOOKUP($G4449,[1]基础信息!$B:$C,2,FALSE)+SUMIF(G$8:G4449,G4449,J$8:J4449)-SUMIF(G$8:G4449,G4449,K$8:K4449)+SUMIFS([1]内部转账!$G:$G,[1]内部转账!$C:$C,"&lt;="&amp;$D4449,[1]内部转账!$E:$E,$G4449)-SUMIFS([1]内部转账!$G:$G,[1]内部转账!$C:$C,"&lt;="&amp;$D4449,[1]内部转账!$F:$F,$G4449)),"")</f>
        <v/>
      </c>
      <c r="M4449" s="64"/>
      <c r="N4449" s="69"/>
      <c r="O4449" s="64"/>
      <c r="P4449" s="64"/>
      <c r="Q4449" s="69"/>
      <c r="R4449" s="69"/>
      <c r="S4449" s="69"/>
    </row>
    <row r="4450" s="2" customFormat="1" ht="24.95" customHeight="1" spans="1:19">
      <c r="A4450" s="15"/>
      <c r="B4450" s="55"/>
      <c r="C4450" s="56"/>
      <c r="D4450" s="68"/>
      <c r="E4450" s="69"/>
      <c r="F4450" s="69"/>
      <c r="G4450" s="65"/>
      <c r="H4450" s="65"/>
      <c r="I4450" s="70"/>
      <c r="J4450" s="71"/>
      <c r="K4450" s="71"/>
      <c r="L4450" s="72" t="str">
        <f>IFERROR(IF(G4450="","",VLOOKUP($G4450,[1]基础信息!$B:$C,2,FALSE)+SUMIF(G$8:G4450,G4450,J$8:J4450)-SUMIF(G$8:G4450,G4450,K$8:K4450)+SUMIFS([1]内部转账!$G:$G,[1]内部转账!$C:$C,"&lt;="&amp;$D4450,[1]内部转账!$E:$E,$G4450)-SUMIFS([1]内部转账!$G:$G,[1]内部转账!$C:$C,"&lt;="&amp;$D4450,[1]内部转账!$F:$F,$G4450)),"")</f>
        <v/>
      </c>
      <c r="M4450" s="64"/>
      <c r="N4450" s="69"/>
      <c r="O4450" s="64"/>
      <c r="P4450" s="64"/>
      <c r="Q4450" s="69"/>
      <c r="R4450" s="69"/>
      <c r="S4450" s="69"/>
    </row>
    <row r="4451" s="2" customFormat="1" ht="24.95" customHeight="1" spans="1:19">
      <c r="A4451" s="15"/>
      <c r="B4451" s="55"/>
      <c r="C4451" s="56"/>
      <c r="D4451" s="68"/>
      <c r="E4451" s="69"/>
      <c r="F4451" s="69"/>
      <c r="G4451" s="65"/>
      <c r="H4451" s="65"/>
      <c r="I4451" s="70"/>
      <c r="J4451" s="71"/>
      <c r="K4451" s="71"/>
      <c r="L4451" s="72" t="str">
        <f>IFERROR(IF(G4451="","",VLOOKUP($G4451,[1]基础信息!$B:$C,2,FALSE)+SUMIF(G$8:G4451,G4451,J$8:J4451)-SUMIF(G$8:G4451,G4451,K$8:K4451)+SUMIFS([1]内部转账!$G:$G,[1]内部转账!$C:$C,"&lt;="&amp;$D4451,[1]内部转账!$E:$E,$G4451)-SUMIFS([1]内部转账!$G:$G,[1]内部转账!$C:$C,"&lt;="&amp;$D4451,[1]内部转账!$F:$F,$G4451)),"")</f>
        <v/>
      </c>
      <c r="M4451" s="64"/>
      <c r="N4451" s="69"/>
      <c r="O4451" s="64"/>
      <c r="P4451" s="64"/>
      <c r="Q4451" s="69"/>
      <c r="R4451" s="69"/>
      <c r="S4451" s="69"/>
    </row>
    <row r="4452" s="2" customFormat="1" ht="24.95" customHeight="1" spans="1:19">
      <c r="A4452" s="15"/>
      <c r="B4452" s="55"/>
      <c r="C4452" s="56"/>
      <c r="D4452" s="68"/>
      <c r="E4452" s="69"/>
      <c r="F4452" s="69"/>
      <c r="G4452" s="65"/>
      <c r="H4452" s="65"/>
      <c r="I4452" s="70"/>
      <c r="J4452" s="71"/>
      <c r="K4452" s="71"/>
      <c r="L4452" s="72" t="str">
        <f>IFERROR(IF(G4452="","",VLOOKUP($G4452,[1]基础信息!$B:$C,2,FALSE)+SUMIF(G$8:G4452,G4452,J$8:J4452)-SUMIF(G$8:G4452,G4452,K$8:K4452)+SUMIFS([1]内部转账!$G:$G,[1]内部转账!$C:$C,"&lt;="&amp;$D4452,[1]内部转账!$E:$E,$G4452)-SUMIFS([1]内部转账!$G:$G,[1]内部转账!$C:$C,"&lt;="&amp;$D4452,[1]内部转账!$F:$F,$G4452)),"")</f>
        <v/>
      </c>
      <c r="M4452" s="64"/>
      <c r="N4452" s="69"/>
      <c r="O4452" s="64"/>
      <c r="P4452" s="64"/>
      <c r="Q4452" s="69"/>
      <c r="R4452" s="69"/>
      <c r="S4452" s="69"/>
    </row>
    <row r="4453" s="2" customFormat="1" ht="24.95" customHeight="1" spans="1:19">
      <c r="A4453" s="15"/>
      <c r="B4453" s="55"/>
      <c r="C4453" s="56"/>
      <c r="D4453" s="68"/>
      <c r="E4453" s="69"/>
      <c r="F4453" s="69"/>
      <c r="G4453" s="65"/>
      <c r="H4453" s="65"/>
      <c r="I4453" s="70"/>
      <c r="J4453" s="71"/>
      <c r="K4453" s="71"/>
      <c r="L4453" s="72" t="str">
        <f>IFERROR(IF(G4453="","",VLOOKUP($G4453,[1]基础信息!$B:$C,2,FALSE)+SUMIF(G$8:G4453,G4453,J$8:J4453)-SUMIF(G$8:G4453,G4453,K$8:K4453)+SUMIFS([1]内部转账!$G:$G,[1]内部转账!$C:$C,"&lt;="&amp;$D4453,[1]内部转账!$E:$E,$G4453)-SUMIFS([1]内部转账!$G:$G,[1]内部转账!$C:$C,"&lt;="&amp;$D4453,[1]内部转账!$F:$F,$G4453)),"")</f>
        <v/>
      </c>
      <c r="M4453" s="64"/>
      <c r="N4453" s="69"/>
      <c r="O4453" s="64"/>
      <c r="P4453" s="64"/>
      <c r="Q4453" s="69"/>
      <c r="R4453" s="69"/>
      <c r="S4453" s="69"/>
    </row>
    <row r="4454" s="2" customFormat="1" ht="24.95" customHeight="1" spans="1:19">
      <c r="A4454" s="15"/>
      <c r="B4454" s="55"/>
      <c r="C4454" s="56"/>
      <c r="D4454" s="68"/>
      <c r="E4454" s="69"/>
      <c r="F4454" s="69"/>
      <c r="G4454" s="65"/>
      <c r="H4454" s="65"/>
      <c r="I4454" s="70"/>
      <c r="J4454" s="71"/>
      <c r="K4454" s="71"/>
      <c r="L4454" s="72" t="str">
        <f>IFERROR(IF(G4454="","",VLOOKUP($G4454,[1]基础信息!$B:$C,2,FALSE)+SUMIF(G$8:G4454,G4454,J$8:J4454)-SUMIF(G$8:G4454,G4454,K$8:K4454)+SUMIFS([1]内部转账!$G:$G,[1]内部转账!$C:$C,"&lt;="&amp;$D4454,[1]内部转账!$E:$E,$G4454)-SUMIFS([1]内部转账!$G:$G,[1]内部转账!$C:$C,"&lt;="&amp;$D4454,[1]内部转账!$F:$F,$G4454)),"")</f>
        <v/>
      </c>
      <c r="M4454" s="64"/>
      <c r="N4454" s="69"/>
      <c r="O4454" s="64"/>
      <c r="P4454" s="64"/>
      <c r="Q4454" s="69"/>
      <c r="R4454" s="69"/>
      <c r="S4454" s="69"/>
    </row>
    <row r="4455" s="2" customFormat="1" ht="24.95" customHeight="1" spans="1:19">
      <c r="A4455" s="15"/>
      <c r="B4455" s="55"/>
      <c r="C4455" s="56"/>
      <c r="D4455" s="68"/>
      <c r="E4455" s="69"/>
      <c r="F4455" s="69"/>
      <c r="G4455" s="65"/>
      <c r="H4455" s="65"/>
      <c r="I4455" s="70"/>
      <c r="J4455" s="71"/>
      <c r="K4455" s="71"/>
      <c r="L4455" s="72" t="str">
        <f>IFERROR(IF(G4455="","",VLOOKUP($G4455,[1]基础信息!$B:$C,2,FALSE)+SUMIF(G$8:G4455,G4455,J$8:J4455)-SUMIF(G$8:G4455,G4455,K$8:K4455)+SUMIFS([1]内部转账!$G:$G,[1]内部转账!$C:$C,"&lt;="&amp;$D4455,[1]内部转账!$E:$E,$G4455)-SUMIFS([1]内部转账!$G:$G,[1]内部转账!$C:$C,"&lt;="&amp;$D4455,[1]内部转账!$F:$F,$G4455)),"")</f>
        <v/>
      </c>
      <c r="M4455" s="64"/>
      <c r="N4455" s="69"/>
      <c r="O4455" s="64"/>
      <c r="P4455" s="64"/>
      <c r="Q4455" s="69"/>
      <c r="R4455" s="69"/>
      <c r="S4455" s="69"/>
    </row>
    <row r="4456" s="2" customFormat="1" ht="24.95" customHeight="1" spans="1:19">
      <c r="A4456" s="15"/>
      <c r="B4456" s="55"/>
      <c r="C4456" s="56"/>
      <c r="D4456" s="68"/>
      <c r="E4456" s="69"/>
      <c r="F4456" s="69"/>
      <c r="G4456" s="65"/>
      <c r="H4456" s="65"/>
      <c r="I4456" s="70"/>
      <c r="J4456" s="71"/>
      <c r="K4456" s="71"/>
      <c r="L4456" s="72" t="str">
        <f>IFERROR(IF(G4456="","",VLOOKUP($G4456,[1]基础信息!$B:$C,2,FALSE)+SUMIF(G$8:G4456,G4456,J$8:J4456)-SUMIF(G$8:G4456,G4456,K$8:K4456)+SUMIFS([1]内部转账!$G:$G,[1]内部转账!$C:$C,"&lt;="&amp;$D4456,[1]内部转账!$E:$E,$G4456)-SUMIFS([1]内部转账!$G:$G,[1]内部转账!$C:$C,"&lt;="&amp;$D4456,[1]内部转账!$F:$F,$G4456)),"")</f>
        <v/>
      </c>
      <c r="M4456" s="64"/>
      <c r="N4456" s="69"/>
      <c r="O4456" s="64"/>
      <c r="P4456" s="64"/>
      <c r="Q4456" s="69"/>
      <c r="R4456" s="69"/>
      <c r="S4456" s="69"/>
    </row>
    <row r="4457" s="2" customFormat="1" ht="24.95" customHeight="1" spans="1:19">
      <c r="A4457" s="15"/>
      <c r="B4457" s="55"/>
      <c r="C4457" s="56"/>
      <c r="D4457" s="68"/>
      <c r="E4457" s="69"/>
      <c r="F4457" s="69"/>
      <c r="G4457" s="65"/>
      <c r="H4457" s="65"/>
      <c r="I4457" s="70"/>
      <c r="J4457" s="71"/>
      <c r="K4457" s="71"/>
      <c r="L4457" s="72" t="str">
        <f>IFERROR(IF(G4457="","",VLOOKUP($G4457,[1]基础信息!$B:$C,2,FALSE)+SUMIF(G$8:G4457,G4457,J$8:J4457)-SUMIF(G$8:G4457,G4457,K$8:K4457)+SUMIFS([1]内部转账!$G:$G,[1]内部转账!$C:$C,"&lt;="&amp;$D4457,[1]内部转账!$E:$E,$G4457)-SUMIFS([1]内部转账!$G:$G,[1]内部转账!$C:$C,"&lt;="&amp;$D4457,[1]内部转账!$F:$F,$G4457)),"")</f>
        <v/>
      </c>
      <c r="M4457" s="64"/>
      <c r="N4457" s="69"/>
      <c r="O4457" s="64"/>
      <c r="P4457" s="64"/>
      <c r="Q4457" s="69"/>
      <c r="R4457" s="69"/>
      <c r="S4457" s="69"/>
    </row>
    <row r="4458" s="2" customFormat="1" ht="24.95" customHeight="1" spans="1:19">
      <c r="A4458" s="15"/>
      <c r="B4458" s="55"/>
      <c r="C4458" s="56"/>
      <c r="D4458" s="68"/>
      <c r="E4458" s="69"/>
      <c r="F4458" s="69"/>
      <c r="G4458" s="65"/>
      <c r="H4458" s="65"/>
      <c r="I4458" s="70"/>
      <c r="J4458" s="71"/>
      <c r="K4458" s="71"/>
      <c r="L4458" s="72" t="str">
        <f>IFERROR(IF(G4458="","",VLOOKUP($G4458,[1]基础信息!$B:$C,2,FALSE)+SUMIF(G$8:G4458,G4458,J$8:J4458)-SUMIF(G$8:G4458,G4458,K$8:K4458)+SUMIFS([1]内部转账!$G:$G,[1]内部转账!$C:$C,"&lt;="&amp;$D4458,[1]内部转账!$E:$E,$G4458)-SUMIFS([1]内部转账!$G:$G,[1]内部转账!$C:$C,"&lt;="&amp;$D4458,[1]内部转账!$F:$F,$G4458)),"")</f>
        <v/>
      </c>
      <c r="M4458" s="64"/>
      <c r="N4458" s="69"/>
      <c r="O4458" s="64"/>
      <c r="P4458" s="64"/>
      <c r="Q4458" s="69"/>
      <c r="R4458" s="69"/>
      <c r="S4458" s="69"/>
    </row>
    <row r="4459" s="2" customFormat="1" ht="24.95" customHeight="1" spans="1:19">
      <c r="A4459" s="15"/>
      <c r="B4459" s="55"/>
      <c r="C4459" s="56"/>
      <c r="D4459" s="68"/>
      <c r="E4459" s="69"/>
      <c r="F4459" s="69"/>
      <c r="G4459" s="65"/>
      <c r="H4459" s="65"/>
      <c r="I4459" s="70"/>
      <c r="J4459" s="71"/>
      <c r="K4459" s="71"/>
      <c r="L4459" s="72" t="str">
        <f>IFERROR(IF(G4459="","",VLOOKUP($G4459,[1]基础信息!$B:$C,2,FALSE)+SUMIF(G$8:G4459,G4459,J$8:J4459)-SUMIF(G$8:G4459,G4459,K$8:K4459)+SUMIFS([1]内部转账!$G:$G,[1]内部转账!$C:$C,"&lt;="&amp;$D4459,[1]内部转账!$E:$E,$G4459)-SUMIFS([1]内部转账!$G:$G,[1]内部转账!$C:$C,"&lt;="&amp;$D4459,[1]内部转账!$F:$F,$G4459)),"")</f>
        <v/>
      </c>
      <c r="M4459" s="64"/>
      <c r="N4459" s="69"/>
      <c r="O4459" s="64"/>
      <c r="P4459" s="64"/>
      <c r="Q4459" s="69"/>
      <c r="R4459" s="69"/>
      <c r="S4459" s="69"/>
    </row>
    <row r="4460" s="2" customFormat="1" ht="24.95" customHeight="1" spans="1:19">
      <c r="A4460" s="15"/>
      <c r="B4460" s="55"/>
      <c r="C4460" s="56"/>
      <c r="D4460" s="68"/>
      <c r="E4460" s="69"/>
      <c r="F4460" s="69"/>
      <c r="G4460" s="65"/>
      <c r="H4460" s="65"/>
      <c r="I4460" s="70"/>
      <c r="J4460" s="71"/>
      <c r="K4460" s="71"/>
      <c r="L4460" s="72" t="str">
        <f>IFERROR(IF(G4460="","",VLOOKUP($G4460,[1]基础信息!$B:$C,2,FALSE)+SUMIF(G$8:G4460,G4460,J$8:J4460)-SUMIF(G$8:G4460,G4460,K$8:K4460)+SUMIFS([1]内部转账!$G:$G,[1]内部转账!$C:$C,"&lt;="&amp;$D4460,[1]内部转账!$E:$E,$G4460)-SUMIFS([1]内部转账!$G:$G,[1]内部转账!$C:$C,"&lt;="&amp;$D4460,[1]内部转账!$F:$F,$G4460)),"")</f>
        <v/>
      </c>
      <c r="M4460" s="64"/>
      <c r="N4460" s="69"/>
      <c r="O4460" s="64"/>
      <c r="P4460" s="64"/>
      <c r="Q4460" s="69"/>
      <c r="R4460" s="69"/>
      <c r="S4460" s="69"/>
    </row>
    <row r="4461" s="2" customFormat="1" ht="24.95" customHeight="1" spans="1:19">
      <c r="A4461" s="15"/>
      <c r="B4461" s="55"/>
      <c r="C4461" s="56"/>
      <c r="D4461" s="68"/>
      <c r="E4461" s="69"/>
      <c r="F4461" s="69"/>
      <c r="G4461" s="65"/>
      <c r="H4461" s="65"/>
      <c r="I4461" s="70"/>
      <c r="J4461" s="71"/>
      <c r="K4461" s="71"/>
      <c r="L4461" s="72" t="str">
        <f>IFERROR(IF(G4461="","",VLOOKUP($G4461,[1]基础信息!$B:$C,2,FALSE)+SUMIF(G$8:G4461,G4461,J$8:J4461)-SUMIF(G$8:G4461,G4461,K$8:K4461)+SUMIFS([1]内部转账!$G:$G,[1]内部转账!$C:$C,"&lt;="&amp;$D4461,[1]内部转账!$E:$E,$G4461)-SUMIFS([1]内部转账!$G:$G,[1]内部转账!$C:$C,"&lt;="&amp;$D4461,[1]内部转账!$F:$F,$G4461)),"")</f>
        <v/>
      </c>
      <c r="M4461" s="64"/>
      <c r="N4461" s="69"/>
      <c r="O4461" s="64"/>
      <c r="P4461" s="64"/>
      <c r="Q4461" s="69"/>
      <c r="R4461" s="69"/>
      <c r="S4461" s="69"/>
    </row>
    <row r="4462" s="2" customFormat="1" ht="24.95" customHeight="1" spans="1:19">
      <c r="A4462" s="15"/>
      <c r="B4462" s="55"/>
      <c r="C4462" s="56"/>
      <c r="D4462" s="68"/>
      <c r="E4462" s="69"/>
      <c r="F4462" s="69"/>
      <c r="G4462" s="65"/>
      <c r="H4462" s="65"/>
      <c r="I4462" s="70"/>
      <c r="J4462" s="71"/>
      <c r="K4462" s="71"/>
      <c r="L4462" s="72" t="str">
        <f>IFERROR(IF(G4462="","",VLOOKUP($G4462,[1]基础信息!$B:$C,2,FALSE)+SUMIF(G$8:G4462,G4462,J$8:J4462)-SUMIF(G$8:G4462,G4462,K$8:K4462)+SUMIFS([1]内部转账!$G:$G,[1]内部转账!$C:$C,"&lt;="&amp;$D4462,[1]内部转账!$E:$E,$G4462)-SUMIFS([1]内部转账!$G:$G,[1]内部转账!$C:$C,"&lt;="&amp;$D4462,[1]内部转账!$F:$F,$G4462)),"")</f>
        <v/>
      </c>
      <c r="M4462" s="64"/>
      <c r="N4462" s="69"/>
      <c r="O4462" s="64"/>
      <c r="P4462" s="64"/>
      <c r="Q4462" s="69"/>
      <c r="R4462" s="69"/>
      <c r="S4462" s="69"/>
    </row>
    <row r="4463" s="2" customFormat="1" ht="24.95" customHeight="1" spans="1:19">
      <c r="A4463" s="15"/>
      <c r="B4463" s="55"/>
      <c r="C4463" s="56"/>
      <c r="D4463" s="68"/>
      <c r="E4463" s="69"/>
      <c r="F4463" s="69"/>
      <c r="G4463" s="65"/>
      <c r="H4463" s="65"/>
      <c r="I4463" s="70"/>
      <c r="J4463" s="71"/>
      <c r="K4463" s="71"/>
      <c r="L4463" s="72" t="str">
        <f>IFERROR(IF(G4463="","",VLOOKUP($G4463,[1]基础信息!$B:$C,2,FALSE)+SUMIF(G$8:G4463,G4463,J$8:J4463)-SUMIF(G$8:G4463,G4463,K$8:K4463)+SUMIFS([1]内部转账!$G:$G,[1]内部转账!$C:$C,"&lt;="&amp;$D4463,[1]内部转账!$E:$E,$G4463)-SUMIFS([1]内部转账!$G:$G,[1]内部转账!$C:$C,"&lt;="&amp;$D4463,[1]内部转账!$F:$F,$G4463)),"")</f>
        <v/>
      </c>
      <c r="M4463" s="64"/>
      <c r="N4463" s="69"/>
      <c r="O4463" s="64"/>
      <c r="P4463" s="64"/>
      <c r="Q4463" s="69"/>
      <c r="R4463" s="69"/>
      <c r="S4463" s="69"/>
    </row>
    <row r="4464" s="2" customFormat="1" ht="24.95" customHeight="1" spans="1:19">
      <c r="A4464" s="15"/>
      <c r="B4464" s="55"/>
      <c r="C4464" s="56"/>
      <c r="D4464" s="68"/>
      <c r="E4464" s="69"/>
      <c r="F4464" s="69"/>
      <c r="G4464" s="65"/>
      <c r="H4464" s="65"/>
      <c r="I4464" s="70"/>
      <c r="J4464" s="71"/>
      <c r="K4464" s="71"/>
      <c r="L4464" s="72" t="str">
        <f>IFERROR(IF(G4464="","",VLOOKUP($G4464,[1]基础信息!$B:$C,2,FALSE)+SUMIF(G$8:G4464,G4464,J$8:J4464)-SUMIF(G$8:G4464,G4464,K$8:K4464)+SUMIFS([1]内部转账!$G:$G,[1]内部转账!$C:$C,"&lt;="&amp;$D4464,[1]内部转账!$E:$E,$G4464)-SUMIFS([1]内部转账!$G:$G,[1]内部转账!$C:$C,"&lt;="&amp;$D4464,[1]内部转账!$F:$F,$G4464)),"")</f>
        <v/>
      </c>
      <c r="M4464" s="64"/>
      <c r="N4464" s="69"/>
      <c r="O4464" s="64"/>
      <c r="P4464" s="64"/>
      <c r="Q4464" s="69"/>
      <c r="R4464" s="69"/>
      <c r="S4464" s="69"/>
    </row>
    <row r="4465" s="2" customFormat="1" ht="24.95" customHeight="1" spans="1:19">
      <c r="A4465" s="15"/>
      <c r="B4465" s="55"/>
      <c r="C4465" s="56"/>
      <c r="D4465" s="68"/>
      <c r="E4465" s="69"/>
      <c r="F4465" s="69"/>
      <c r="G4465" s="65"/>
      <c r="H4465" s="65"/>
      <c r="I4465" s="70"/>
      <c r="J4465" s="71"/>
      <c r="K4465" s="71"/>
      <c r="L4465" s="72" t="str">
        <f>IFERROR(IF(G4465="","",VLOOKUP($G4465,[1]基础信息!$B:$C,2,FALSE)+SUMIF(G$8:G4465,G4465,J$8:J4465)-SUMIF(G$8:G4465,G4465,K$8:K4465)+SUMIFS([1]内部转账!$G:$G,[1]内部转账!$C:$C,"&lt;="&amp;$D4465,[1]内部转账!$E:$E,$G4465)-SUMIFS([1]内部转账!$G:$G,[1]内部转账!$C:$C,"&lt;="&amp;$D4465,[1]内部转账!$F:$F,$G4465)),"")</f>
        <v/>
      </c>
      <c r="M4465" s="64"/>
      <c r="N4465" s="69"/>
      <c r="O4465" s="64"/>
      <c r="P4465" s="64"/>
      <c r="Q4465" s="69"/>
      <c r="R4465" s="69"/>
      <c r="S4465" s="69"/>
    </row>
    <row r="4466" s="2" customFormat="1" ht="24.95" customHeight="1" spans="1:19">
      <c r="A4466" s="15"/>
      <c r="B4466" s="55"/>
      <c r="C4466" s="56"/>
      <c r="D4466" s="68"/>
      <c r="E4466" s="69"/>
      <c r="F4466" s="69"/>
      <c r="G4466" s="65"/>
      <c r="H4466" s="65"/>
      <c r="I4466" s="70"/>
      <c r="J4466" s="71"/>
      <c r="K4466" s="71"/>
      <c r="L4466" s="72" t="str">
        <f>IFERROR(IF(G4466="","",VLOOKUP($G4466,[1]基础信息!$B:$C,2,FALSE)+SUMIF(G$8:G4466,G4466,J$8:J4466)-SUMIF(G$8:G4466,G4466,K$8:K4466)+SUMIFS([1]内部转账!$G:$G,[1]内部转账!$C:$C,"&lt;="&amp;$D4466,[1]内部转账!$E:$E,$G4466)-SUMIFS([1]内部转账!$G:$G,[1]内部转账!$C:$C,"&lt;="&amp;$D4466,[1]内部转账!$F:$F,$G4466)),"")</f>
        <v/>
      </c>
      <c r="M4466" s="64"/>
      <c r="N4466" s="69"/>
      <c r="O4466" s="64"/>
      <c r="P4466" s="64"/>
      <c r="Q4466" s="69"/>
      <c r="R4466" s="69"/>
      <c r="S4466" s="69"/>
    </row>
    <row r="4467" s="2" customFormat="1" ht="24.95" customHeight="1" spans="1:19">
      <c r="A4467" s="15"/>
      <c r="B4467" s="55"/>
      <c r="C4467" s="56"/>
      <c r="D4467" s="68"/>
      <c r="E4467" s="69"/>
      <c r="F4467" s="69"/>
      <c r="G4467" s="65"/>
      <c r="H4467" s="65"/>
      <c r="I4467" s="70"/>
      <c r="J4467" s="71"/>
      <c r="K4467" s="71"/>
      <c r="L4467" s="72" t="str">
        <f>IFERROR(IF(G4467="","",VLOOKUP($G4467,[1]基础信息!$B:$C,2,FALSE)+SUMIF(G$8:G4467,G4467,J$8:J4467)-SUMIF(G$8:G4467,G4467,K$8:K4467)+SUMIFS([1]内部转账!$G:$G,[1]内部转账!$C:$C,"&lt;="&amp;$D4467,[1]内部转账!$E:$E,$G4467)-SUMIFS([1]内部转账!$G:$G,[1]内部转账!$C:$C,"&lt;="&amp;$D4467,[1]内部转账!$F:$F,$G4467)),"")</f>
        <v/>
      </c>
      <c r="M4467" s="64"/>
      <c r="N4467" s="69"/>
      <c r="O4467" s="64"/>
      <c r="P4467" s="64"/>
      <c r="Q4467" s="69"/>
      <c r="R4467" s="69"/>
      <c r="S4467" s="69"/>
    </row>
    <row r="4468" s="2" customFormat="1" ht="24.95" customHeight="1" spans="1:19">
      <c r="A4468" s="15"/>
      <c r="B4468" s="55"/>
      <c r="C4468" s="56"/>
      <c r="D4468" s="68"/>
      <c r="E4468" s="69"/>
      <c r="F4468" s="69"/>
      <c r="G4468" s="65"/>
      <c r="H4468" s="65"/>
      <c r="I4468" s="70"/>
      <c r="J4468" s="71"/>
      <c r="K4468" s="71"/>
      <c r="L4468" s="72" t="str">
        <f>IFERROR(IF(G4468="","",VLOOKUP($G4468,[1]基础信息!$B:$C,2,FALSE)+SUMIF(G$8:G4468,G4468,J$8:J4468)-SUMIF(G$8:G4468,G4468,K$8:K4468)+SUMIFS([1]内部转账!$G:$G,[1]内部转账!$C:$C,"&lt;="&amp;$D4468,[1]内部转账!$E:$E,$G4468)-SUMIFS([1]内部转账!$G:$G,[1]内部转账!$C:$C,"&lt;="&amp;$D4468,[1]内部转账!$F:$F,$G4468)),"")</f>
        <v/>
      </c>
      <c r="M4468" s="64"/>
      <c r="N4468" s="69"/>
      <c r="O4468" s="64"/>
      <c r="P4468" s="64"/>
      <c r="Q4468" s="69"/>
      <c r="R4468" s="69"/>
      <c r="S4468" s="69"/>
    </row>
    <row r="4469" s="2" customFormat="1" ht="24.95" customHeight="1" spans="1:19">
      <c r="A4469" s="15"/>
      <c r="B4469" s="55"/>
      <c r="C4469" s="56"/>
      <c r="D4469" s="68"/>
      <c r="E4469" s="69"/>
      <c r="F4469" s="69"/>
      <c r="G4469" s="65"/>
      <c r="H4469" s="65"/>
      <c r="I4469" s="70"/>
      <c r="J4469" s="71"/>
      <c r="K4469" s="71"/>
      <c r="L4469" s="72" t="str">
        <f>IFERROR(IF(G4469="","",VLOOKUP($G4469,[1]基础信息!$B:$C,2,FALSE)+SUMIF(G$8:G4469,G4469,J$8:J4469)-SUMIF(G$8:G4469,G4469,K$8:K4469)+SUMIFS([1]内部转账!$G:$G,[1]内部转账!$C:$C,"&lt;="&amp;$D4469,[1]内部转账!$E:$E,$G4469)-SUMIFS([1]内部转账!$G:$G,[1]内部转账!$C:$C,"&lt;="&amp;$D4469,[1]内部转账!$F:$F,$G4469)),"")</f>
        <v/>
      </c>
      <c r="M4469" s="64"/>
      <c r="N4469" s="69"/>
      <c r="O4469" s="64"/>
      <c r="P4469" s="64"/>
      <c r="Q4469" s="69"/>
      <c r="R4469" s="69"/>
      <c r="S4469" s="69"/>
    </row>
    <row r="4470" s="2" customFormat="1" ht="24.95" customHeight="1" spans="1:19">
      <c r="A4470" s="15"/>
      <c r="B4470" s="55"/>
      <c r="C4470" s="56"/>
      <c r="D4470" s="68"/>
      <c r="E4470" s="69"/>
      <c r="F4470" s="69"/>
      <c r="G4470" s="65"/>
      <c r="H4470" s="65"/>
      <c r="I4470" s="70"/>
      <c r="J4470" s="71"/>
      <c r="K4470" s="71"/>
      <c r="L4470" s="72" t="str">
        <f>IFERROR(IF(G4470="","",VLOOKUP($G4470,[1]基础信息!$B:$C,2,FALSE)+SUMIF(G$8:G4470,G4470,J$8:J4470)-SUMIF(G$8:G4470,G4470,K$8:K4470)+SUMIFS([1]内部转账!$G:$G,[1]内部转账!$C:$C,"&lt;="&amp;$D4470,[1]内部转账!$E:$E,$G4470)-SUMIFS([1]内部转账!$G:$G,[1]内部转账!$C:$C,"&lt;="&amp;$D4470,[1]内部转账!$F:$F,$G4470)),"")</f>
        <v/>
      </c>
      <c r="M4470" s="64"/>
      <c r="N4470" s="69"/>
      <c r="O4470" s="64"/>
      <c r="P4470" s="64"/>
      <c r="Q4470" s="69"/>
      <c r="R4470" s="69"/>
      <c r="S4470" s="69"/>
    </row>
    <row r="4471" s="2" customFormat="1" ht="24.95" customHeight="1" spans="1:19">
      <c r="A4471" s="15"/>
      <c r="B4471" s="55"/>
      <c r="C4471" s="56"/>
      <c r="D4471" s="68"/>
      <c r="E4471" s="69"/>
      <c r="F4471" s="69"/>
      <c r="G4471" s="65"/>
      <c r="H4471" s="65"/>
      <c r="I4471" s="70"/>
      <c r="J4471" s="71"/>
      <c r="K4471" s="71"/>
      <c r="L4471" s="72" t="str">
        <f>IFERROR(IF(G4471="","",VLOOKUP($G4471,[1]基础信息!$B:$C,2,FALSE)+SUMIF(G$8:G4471,G4471,J$8:J4471)-SUMIF(G$8:G4471,G4471,K$8:K4471)+SUMIFS([1]内部转账!$G:$G,[1]内部转账!$C:$C,"&lt;="&amp;$D4471,[1]内部转账!$E:$E,$G4471)-SUMIFS([1]内部转账!$G:$G,[1]内部转账!$C:$C,"&lt;="&amp;$D4471,[1]内部转账!$F:$F,$G4471)),"")</f>
        <v/>
      </c>
      <c r="M4471" s="64"/>
      <c r="N4471" s="69"/>
      <c r="O4471" s="64"/>
      <c r="P4471" s="64"/>
      <c r="Q4471" s="69"/>
      <c r="R4471" s="69"/>
      <c r="S4471" s="69"/>
    </row>
    <row r="4472" s="2" customFormat="1" ht="24.95" customHeight="1" spans="1:19">
      <c r="A4472" s="15"/>
      <c r="B4472" s="55"/>
      <c r="C4472" s="56"/>
      <c r="D4472" s="68"/>
      <c r="E4472" s="69"/>
      <c r="F4472" s="69"/>
      <c r="G4472" s="65"/>
      <c r="H4472" s="65"/>
      <c r="I4472" s="70"/>
      <c r="J4472" s="71"/>
      <c r="K4472" s="71"/>
      <c r="L4472" s="72" t="str">
        <f>IFERROR(IF(G4472="","",VLOOKUP($G4472,[1]基础信息!$B:$C,2,FALSE)+SUMIF(G$8:G4472,G4472,J$8:J4472)-SUMIF(G$8:G4472,G4472,K$8:K4472)+SUMIFS([1]内部转账!$G:$G,[1]内部转账!$C:$C,"&lt;="&amp;$D4472,[1]内部转账!$E:$E,$G4472)-SUMIFS([1]内部转账!$G:$G,[1]内部转账!$C:$C,"&lt;="&amp;$D4472,[1]内部转账!$F:$F,$G4472)),"")</f>
        <v/>
      </c>
      <c r="M4472" s="64"/>
      <c r="N4472" s="69"/>
      <c r="O4472" s="64"/>
      <c r="P4472" s="64"/>
      <c r="Q4472" s="69"/>
      <c r="R4472" s="69"/>
      <c r="S4472" s="69"/>
    </row>
    <row r="4473" s="2" customFormat="1" ht="24.95" customHeight="1" spans="1:19">
      <c r="A4473" s="15"/>
      <c r="B4473" s="55"/>
      <c r="C4473" s="56"/>
      <c r="D4473" s="68"/>
      <c r="E4473" s="69"/>
      <c r="F4473" s="69"/>
      <c r="G4473" s="65"/>
      <c r="H4473" s="65"/>
      <c r="I4473" s="70"/>
      <c r="J4473" s="71"/>
      <c r="K4473" s="71"/>
      <c r="L4473" s="72" t="str">
        <f>IFERROR(IF(G4473="","",VLOOKUP($G4473,[1]基础信息!$B:$C,2,FALSE)+SUMIF(G$8:G4473,G4473,J$8:J4473)-SUMIF(G$8:G4473,G4473,K$8:K4473)+SUMIFS([1]内部转账!$G:$G,[1]内部转账!$C:$C,"&lt;="&amp;$D4473,[1]内部转账!$E:$E,$G4473)-SUMIFS([1]内部转账!$G:$G,[1]内部转账!$C:$C,"&lt;="&amp;$D4473,[1]内部转账!$F:$F,$G4473)),"")</f>
        <v/>
      </c>
      <c r="M4473" s="64"/>
      <c r="N4473" s="69"/>
      <c r="O4473" s="64"/>
      <c r="P4473" s="64"/>
      <c r="Q4473" s="69"/>
      <c r="R4473" s="69"/>
      <c r="S4473" s="69"/>
    </row>
    <row r="4474" s="2" customFormat="1" ht="24.95" customHeight="1" spans="1:19">
      <c r="A4474" s="15"/>
      <c r="B4474" s="55"/>
      <c r="C4474" s="56"/>
      <c r="D4474" s="68"/>
      <c r="E4474" s="69"/>
      <c r="F4474" s="69"/>
      <c r="G4474" s="65"/>
      <c r="H4474" s="65"/>
      <c r="I4474" s="70"/>
      <c r="J4474" s="71"/>
      <c r="K4474" s="71"/>
      <c r="L4474" s="72" t="str">
        <f>IFERROR(IF(G4474="","",VLOOKUP($G4474,[1]基础信息!$B:$C,2,FALSE)+SUMIF(G$8:G4474,G4474,J$8:J4474)-SUMIF(G$8:G4474,G4474,K$8:K4474)+SUMIFS([1]内部转账!$G:$G,[1]内部转账!$C:$C,"&lt;="&amp;$D4474,[1]内部转账!$E:$E,$G4474)-SUMIFS([1]内部转账!$G:$G,[1]内部转账!$C:$C,"&lt;="&amp;$D4474,[1]内部转账!$F:$F,$G4474)),"")</f>
        <v/>
      </c>
      <c r="M4474" s="64"/>
      <c r="N4474" s="69"/>
      <c r="O4474" s="64"/>
      <c r="P4474" s="64"/>
      <c r="Q4474" s="69"/>
      <c r="R4474" s="69"/>
      <c r="S4474" s="69"/>
    </row>
    <row r="4475" s="2" customFormat="1" ht="24.95" customHeight="1" spans="1:19">
      <c r="A4475" s="15"/>
      <c r="B4475" s="55"/>
      <c r="C4475" s="56"/>
      <c r="D4475" s="68"/>
      <c r="E4475" s="69"/>
      <c r="F4475" s="69"/>
      <c r="G4475" s="65"/>
      <c r="H4475" s="65"/>
      <c r="I4475" s="70"/>
      <c r="J4475" s="71"/>
      <c r="K4475" s="71"/>
      <c r="L4475" s="72" t="str">
        <f>IFERROR(IF(G4475="","",VLOOKUP($G4475,[1]基础信息!$B:$C,2,FALSE)+SUMIF(G$8:G4475,G4475,J$8:J4475)-SUMIF(G$8:G4475,G4475,K$8:K4475)+SUMIFS([1]内部转账!$G:$G,[1]内部转账!$C:$C,"&lt;="&amp;$D4475,[1]内部转账!$E:$E,$G4475)-SUMIFS([1]内部转账!$G:$G,[1]内部转账!$C:$C,"&lt;="&amp;$D4475,[1]内部转账!$F:$F,$G4475)),"")</f>
        <v/>
      </c>
      <c r="M4475" s="64"/>
      <c r="N4475" s="69"/>
      <c r="O4475" s="64"/>
      <c r="P4475" s="64"/>
      <c r="Q4475" s="69"/>
      <c r="R4475" s="69"/>
      <c r="S4475" s="69"/>
    </row>
    <row r="4476" s="2" customFormat="1" ht="24.95" customHeight="1" spans="1:19">
      <c r="A4476" s="15"/>
      <c r="B4476" s="55"/>
      <c r="C4476" s="56"/>
      <c r="D4476" s="68"/>
      <c r="E4476" s="69"/>
      <c r="F4476" s="69"/>
      <c r="G4476" s="65"/>
      <c r="H4476" s="65"/>
      <c r="I4476" s="70"/>
      <c r="J4476" s="71"/>
      <c r="K4476" s="71"/>
      <c r="L4476" s="72" t="str">
        <f>IFERROR(IF(G4476="","",VLOOKUP($G4476,[1]基础信息!$B:$C,2,FALSE)+SUMIF(G$8:G4476,G4476,J$8:J4476)-SUMIF(G$8:G4476,G4476,K$8:K4476)+SUMIFS([1]内部转账!$G:$G,[1]内部转账!$C:$C,"&lt;="&amp;$D4476,[1]内部转账!$E:$E,$G4476)-SUMIFS([1]内部转账!$G:$G,[1]内部转账!$C:$C,"&lt;="&amp;$D4476,[1]内部转账!$F:$F,$G4476)),"")</f>
        <v/>
      </c>
      <c r="M4476" s="64"/>
      <c r="N4476" s="69"/>
      <c r="O4476" s="64"/>
      <c r="P4476" s="64"/>
      <c r="Q4476" s="69"/>
      <c r="R4476" s="69"/>
      <c r="S4476" s="69"/>
    </row>
    <row r="4477" s="2" customFormat="1" ht="24.95" customHeight="1" spans="1:19">
      <c r="A4477" s="15"/>
      <c r="B4477" s="55"/>
      <c r="C4477" s="56"/>
      <c r="D4477" s="68"/>
      <c r="E4477" s="69"/>
      <c r="F4477" s="69"/>
      <c r="G4477" s="65"/>
      <c r="H4477" s="65"/>
      <c r="I4477" s="70"/>
      <c r="J4477" s="71"/>
      <c r="K4477" s="71"/>
      <c r="L4477" s="72" t="str">
        <f>IFERROR(IF(G4477="","",VLOOKUP($G4477,[1]基础信息!$B:$C,2,FALSE)+SUMIF(G$8:G4477,G4477,J$8:J4477)-SUMIF(G$8:G4477,G4477,K$8:K4477)+SUMIFS([1]内部转账!$G:$G,[1]内部转账!$C:$C,"&lt;="&amp;$D4477,[1]内部转账!$E:$E,$G4477)-SUMIFS([1]内部转账!$G:$G,[1]内部转账!$C:$C,"&lt;="&amp;$D4477,[1]内部转账!$F:$F,$G4477)),"")</f>
        <v/>
      </c>
      <c r="M4477" s="64"/>
      <c r="N4477" s="69"/>
      <c r="O4477" s="64"/>
      <c r="P4477" s="64"/>
      <c r="Q4477" s="69"/>
      <c r="R4477" s="69"/>
      <c r="S4477" s="69"/>
    </row>
    <row r="4478" s="2" customFormat="1" ht="24.95" customHeight="1" spans="1:19">
      <c r="A4478" s="15"/>
      <c r="B4478" s="55"/>
      <c r="C4478" s="56"/>
      <c r="D4478" s="68"/>
      <c r="E4478" s="69"/>
      <c r="F4478" s="69"/>
      <c r="G4478" s="65"/>
      <c r="H4478" s="65"/>
      <c r="I4478" s="70"/>
      <c r="J4478" s="71"/>
      <c r="K4478" s="71"/>
      <c r="L4478" s="72" t="str">
        <f>IFERROR(IF(G4478="","",VLOOKUP($G4478,[1]基础信息!$B:$C,2,FALSE)+SUMIF(G$8:G4478,G4478,J$8:J4478)-SUMIF(G$8:G4478,G4478,K$8:K4478)+SUMIFS([1]内部转账!$G:$G,[1]内部转账!$C:$C,"&lt;="&amp;$D4478,[1]内部转账!$E:$E,$G4478)-SUMIFS([1]内部转账!$G:$G,[1]内部转账!$C:$C,"&lt;="&amp;$D4478,[1]内部转账!$F:$F,$G4478)),"")</f>
        <v/>
      </c>
      <c r="M4478" s="64"/>
      <c r="N4478" s="69"/>
      <c r="O4478" s="64"/>
      <c r="P4478" s="64"/>
      <c r="Q4478" s="69"/>
      <c r="R4478" s="69"/>
      <c r="S4478" s="69"/>
    </row>
    <row r="4479" s="2" customFormat="1" ht="24.95" customHeight="1" spans="1:19">
      <c r="A4479" s="15"/>
      <c r="B4479" s="55"/>
      <c r="C4479" s="56"/>
      <c r="D4479" s="68"/>
      <c r="E4479" s="69"/>
      <c r="F4479" s="69"/>
      <c r="G4479" s="65"/>
      <c r="H4479" s="65"/>
      <c r="I4479" s="70"/>
      <c r="J4479" s="71"/>
      <c r="K4479" s="71"/>
      <c r="L4479" s="72" t="str">
        <f>IFERROR(IF(G4479="","",VLOOKUP($G4479,[1]基础信息!$B:$C,2,FALSE)+SUMIF(G$8:G4479,G4479,J$8:J4479)-SUMIF(G$8:G4479,G4479,K$8:K4479)+SUMIFS([1]内部转账!$G:$G,[1]内部转账!$C:$C,"&lt;="&amp;$D4479,[1]内部转账!$E:$E,$G4479)-SUMIFS([1]内部转账!$G:$G,[1]内部转账!$C:$C,"&lt;="&amp;$D4479,[1]内部转账!$F:$F,$G4479)),"")</f>
        <v/>
      </c>
      <c r="M4479" s="64"/>
      <c r="N4479" s="69"/>
      <c r="O4479" s="64"/>
      <c r="P4479" s="64"/>
      <c r="Q4479" s="69"/>
      <c r="R4479" s="69"/>
      <c r="S4479" s="69"/>
    </row>
    <row r="4480" s="2" customFormat="1" ht="24.95" customHeight="1" spans="1:19">
      <c r="A4480" s="15"/>
      <c r="B4480" s="55"/>
      <c r="C4480" s="56"/>
      <c r="D4480" s="68"/>
      <c r="E4480" s="69"/>
      <c r="F4480" s="69"/>
      <c r="G4480" s="65"/>
      <c r="H4480" s="65"/>
      <c r="I4480" s="70"/>
      <c r="J4480" s="71"/>
      <c r="K4480" s="71"/>
      <c r="L4480" s="72" t="str">
        <f>IFERROR(IF(G4480="","",VLOOKUP($G4480,[1]基础信息!$B:$C,2,FALSE)+SUMIF(G$8:G4480,G4480,J$8:J4480)-SUMIF(G$8:G4480,G4480,K$8:K4480)+SUMIFS([1]内部转账!$G:$G,[1]内部转账!$C:$C,"&lt;="&amp;$D4480,[1]内部转账!$E:$E,$G4480)-SUMIFS([1]内部转账!$G:$G,[1]内部转账!$C:$C,"&lt;="&amp;$D4480,[1]内部转账!$F:$F,$G4480)),"")</f>
        <v/>
      </c>
      <c r="M4480" s="64"/>
      <c r="N4480" s="69"/>
      <c r="O4480" s="64"/>
      <c r="P4480" s="64"/>
      <c r="Q4480" s="69"/>
      <c r="R4480" s="69"/>
      <c r="S4480" s="69"/>
    </row>
    <row r="4481" s="2" customFormat="1" ht="24.95" customHeight="1" spans="1:19">
      <c r="A4481" s="15"/>
      <c r="B4481" s="55"/>
      <c r="C4481" s="56"/>
      <c r="D4481" s="68"/>
      <c r="E4481" s="69"/>
      <c r="F4481" s="69"/>
      <c r="G4481" s="65"/>
      <c r="H4481" s="65"/>
      <c r="I4481" s="70"/>
      <c r="J4481" s="71"/>
      <c r="K4481" s="71"/>
      <c r="L4481" s="72" t="str">
        <f>IFERROR(IF(G4481="","",VLOOKUP($G4481,[1]基础信息!$B:$C,2,FALSE)+SUMIF(G$8:G4481,G4481,J$8:J4481)-SUMIF(G$8:G4481,G4481,K$8:K4481)+SUMIFS([1]内部转账!$G:$G,[1]内部转账!$C:$C,"&lt;="&amp;$D4481,[1]内部转账!$E:$E,$G4481)-SUMIFS([1]内部转账!$G:$G,[1]内部转账!$C:$C,"&lt;="&amp;$D4481,[1]内部转账!$F:$F,$G4481)),"")</f>
        <v/>
      </c>
      <c r="M4481" s="64"/>
      <c r="N4481" s="69"/>
      <c r="O4481" s="64"/>
      <c r="P4481" s="64"/>
      <c r="Q4481" s="69"/>
      <c r="R4481" s="69"/>
      <c r="S4481" s="69"/>
    </row>
    <row r="4482" s="2" customFormat="1" ht="24.95" customHeight="1" spans="1:19">
      <c r="A4482" s="15"/>
      <c r="B4482" s="55"/>
      <c r="C4482" s="56"/>
      <c r="D4482" s="68"/>
      <c r="E4482" s="69"/>
      <c r="F4482" s="69"/>
      <c r="G4482" s="65"/>
      <c r="H4482" s="65"/>
      <c r="I4482" s="70"/>
      <c r="J4482" s="71"/>
      <c r="K4482" s="71"/>
      <c r="L4482" s="72" t="str">
        <f>IFERROR(IF(G4482="","",VLOOKUP($G4482,[1]基础信息!$B:$C,2,FALSE)+SUMIF(G$8:G4482,G4482,J$8:J4482)-SUMIF(G$8:G4482,G4482,K$8:K4482)+SUMIFS([1]内部转账!$G:$G,[1]内部转账!$C:$C,"&lt;="&amp;$D4482,[1]内部转账!$E:$E,$G4482)-SUMIFS([1]内部转账!$G:$G,[1]内部转账!$C:$C,"&lt;="&amp;$D4482,[1]内部转账!$F:$F,$G4482)),"")</f>
        <v/>
      </c>
      <c r="M4482" s="64"/>
      <c r="N4482" s="69"/>
      <c r="O4482" s="64"/>
      <c r="P4482" s="64"/>
      <c r="Q4482" s="69"/>
      <c r="R4482" s="69"/>
      <c r="S4482" s="69"/>
    </row>
    <row r="4483" s="2" customFormat="1" ht="24.95" customHeight="1" spans="1:19">
      <c r="A4483" s="15"/>
      <c r="B4483" s="55"/>
      <c r="C4483" s="56"/>
      <c r="D4483" s="68"/>
      <c r="E4483" s="69"/>
      <c r="F4483" s="69"/>
      <c r="G4483" s="65"/>
      <c r="H4483" s="65"/>
      <c r="I4483" s="70"/>
      <c r="J4483" s="71"/>
      <c r="K4483" s="71"/>
      <c r="L4483" s="72" t="str">
        <f>IFERROR(IF(G4483="","",VLOOKUP($G4483,[1]基础信息!$B:$C,2,FALSE)+SUMIF(G$8:G4483,G4483,J$8:J4483)-SUMIF(G$8:G4483,G4483,K$8:K4483)+SUMIFS([1]内部转账!$G:$G,[1]内部转账!$C:$C,"&lt;="&amp;$D4483,[1]内部转账!$E:$E,$G4483)-SUMIFS([1]内部转账!$G:$G,[1]内部转账!$C:$C,"&lt;="&amp;$D4483,[1]内部转账!$F:$F,$G4483)),"")</f>
        <v/>
      </c>
      <c r="M4483" s="64"/>
      <c r="N4483" s="69"/>
      <c r="O4483" s="64"/>
      <c r="P4483" s="64"/>
      <c r="Q4483" s="69"/>
      <c r="R4483" s="69"/>
      <c r="S4483" s="69"/>
    </row>
    <row r="4484" s="2" customFormat="1" ht="24.95" customHeight="1" spans="1:19">
      <c r="A4484" s="15"/>
      <c r="B4484" s="55"/>
      <c r="C4484" s="56"/>
      <c r="D4484" s="68"/>
      <c r="E4484" s="69"/>
      <c r="F4484" s="69"/>
      <c r="G4484" s="65"/>
      <c r="H4484" s="65"/>
      <c r="I4484" s="70"/>
      <c r="J4484" s="71"/>
      <c r="K4484" s="71"/>
      <c r="L4484" s="72" t="str">
        <f>IFERROR(IF(G4484="","",VLOOKUP($G4484,[1]基础信息!$B:$C,2,FALSE)+SUMIF(G$8:G4484,G4484,J$8:J4484)-SUMIF(G$8:G4484,G4484,K$8:K4484)+SUMIFS([1]内部转账!$G:$G,[1]内部转账!$C:$C,"&lt;="&amp;$D4484,[1]内部转账!$E:$E,$G4484)-SUMIFS([1]内部转账!$G:$G,[1]内部转账!$C:$C,"&lt;="&amp;$D4484,[1]内部转账!$F:$F,$G4484)),"")</f>
        <v/>
      </c>
      <c r="M4484" s="64"/>
      <c r="N4484" s="69"/>
      <c r="O4484" s="64"/>
      <c r="P4484" s="64"/>
      <c r="Q4484" s="69"/>
      <c r="R4484" s="69"/>
      <c r="S4484" s="69"/>
    </row>
    <row r="4485" s="2" customFormat="1" ht="24.95" customHeight="1" spans="1:19">
      <c r="A4485" s="15"/>
      <c r="B4485" s="55"/>
      <c r="C4485" s="56"/>
      <c r="D4485" s="68"/>
      <c r="E4485" s="69"/>
      <c r="F4485" s="69"/>
      <c r="G4485" s="65"/>
      <c r="H4485" s="65"/>
      <c r="I4485" s="70"/>
      <c r="J4485" s="71"/>
      <c r="K4485" s="71"/>
      <c r="L4485" s="72" t="str">
        <f>IFERROR(IF(G4485="","",VLOOKUP($G4485,[1]基础信息!$B:$C,2,FALSE)+SUMIF(G$8:G4485,G4485,J$8:J4485)-SUMIF(G$8:G4485,G4485,K$8:K4485)+SUMIFS([1]内部转账!$G:$G,[1]内部转账!$C:$C,"&lt;="&amp;$D4485,[1]内部转账!$E:$E,$G4485)-SUMIFS([1]内部转账!$G:$G,[1]内部转账!$C:$C,"&lt;="&amp;$D4485,[1]内部转账!$F:$F,$G4485)),"")</f>
        <v/>
      </c>
      <c r="M4485" s="64"/>
      <c r="N4485" s="69"/>
      <c r="O4485" s="64"/>
      <c r="P4485" s="64"/>
      <c r="Q4485" s="69"/>
      <c r="R4485" s="69"/>
      <c r="S4485" s="69"/>
    </row>
    <row r="4486" s="2" customFormat="1" ht="24.95" customHeight="1" spans="1:19">
      <c r="A4486" s="15"/>
      <c r="B4486" s="55"/>
      <c r="C4486" s="56"/>
      <c r="D4486" s="68"/>
      <c r="E4486" s="69"/>
      <c r="F4486" s="69"/>
      <c r="G4486" s="65"/>
      <c r="H4486" s="65"/>
      <c r="I4486" s="70"/>
      <c r="J4486" s="71"/>
      <c r="K4486" s="71"/>
      <c r="L4486" s="72" t="str">
        <f>IFERROR(IF(G4486="","",VLOOKUP($G4486,[1]基础信息!$B:$C,2,FALSE)+SUMIF(G$8:G4486,G4486,J$8:J4486)-SUMIF(G$8:G4486,G4486,K$8:K4486)+SUMIFS([1]内部转账!$G:$G,[1]内部转账!$C:$C,"&lt;="&amp;$D4486,[1]内部转账!$E:$E,$G4486)-SUMIFS([1]内部转账!$G:$G,[1]内部转账!$C:$C,"&lt;="&amp;$D4486,[1]内部转账!$F:$F,$G4486)),"")</f>
        <v/>
      </c>
      <c r="M4486" s="64"/>
      <c r="N4486" s="69"/>
      <c r="O4486" s="64"/>
      <c r="P4486" s="64"/>
      <c r="Q4486" s="69"/>
      <c r="R4486" s="69"/>
      <c r="S4486" s="69"/>
    </row>
    <row r="4487" s="2" customFormat="1" ht="24.95" customHeight="1" spans="1:19">
      <c r="A4487" s="15"/>
      <c r="B4487" s="55"/>
      <c r="C4487" s="56"/>
      <c r="D4487" s="68"/>
      <c r="E4487" s="69"/>
      <c r="F4487" s="69"/>
      <c r="G4487" s="65"/>
      <c r="H4487" s="65"/>
      <c r="I4487" s="70"/>
      <c r="J4487" s="71"/>
      <c r="K4487" s="71"/>
      <c r="L4487" s="72" t="str">
        <f>IFERROR(IF(G4487="","",VLOOKUP($G4487,[1]基础信息!$B:$C,2,FALSE)+SUMIF(G$8:G4487,G4487,J$8:J4487)-SUMIF(G$8:G4487,G4487,K$8:K4487)+SUMIFS([1]内部转账!$G:$G,[1]内部转账!$C:$C,"&lt;="&amp;$D4487,[1]内部转账!$E:$E,$G4487)-SUMIFS([1]内部转账!$G:$G,[1]内部转账!$C:$C,"&lt;="&amp;$D4487,[1]内部转账!$F:$F,$G4487)),"")</f>
        <v/>
      </c>
      <c r="M4487" s="64"/>
      <c r="N4487" s="69"/>
      <c r="O4487" s="64"/>
      <c r="P4487" s="64"/>
      <c r="Q4487" s="69"/>
      <c r="R4487" s="69"/>
      <c r="S4487" s="69"/>
    </row>
    <row r="4488" s="2" customFormat="1" ht="24.95" customHeight="1" spans="1:19">
      <c r="A4488" s="15"/>
      <c r="B4488" s="55"/>
      <c r="C4488" s="56"/>
      <c r="D4488" s="68"/>
      <c r="E4488" s="69"/>
      <c r="F4488" s="69"/>
      <c r="G4488" s="65"/>
      <c r="H4488" s="65"/>
      <c r="I4488" s="70"/>
      <c r="J4488" s="71"/>
      <c r="K4488" s="71"/>
      <c r="L4488" s="72" t="str">
        <f>IFERROR(IF(G4488="","",VLOOKUP($G4488,[1]基础信息!$B:$C,2,FALSE)+SUMIF(G$8:G4488,G4488,J$8:J4488)-SUMIF(G$8:G4488,G4488,K$8:K4488)+SUMIFS([1]内部转账!$G:$G,[1]内部转账!$C:$C,"&lt;="&amp;$D4488,[1]内部转账!$E:$E,$G4488)-SUMIFS([1]内部转账!$G:$G,[1]内部转账!$C:$C,"&lt;="&amp;$D4488,[1]内部转账!$F:$F,$G4488)),"")</f>
        <v/>
      </c>
      <c r="M4488" s="64"/>
      <c r="N4488" s="69"/>
      <c r="O4488" s="64"/>
      <c r="P4488" s="64"/>
      <c r="Q4488" s="69"/>
      <c r="R4488" s="69"/>
      <c r="S4488" s="69"/>
    </row>
    <row r="4489" s="2" customFormat="1" ht="24.95" customHeight="1" spans="1:19">
      <c r="A4489" s="15"/>
      <c r="B4489" s="55"/>
      <c r="C4489" s="56"/>
      <c r="D4489" s="68"/>
      <c r="E4489" s="69"/>
      <c r="F4489" s="69"/>
      <c r="G4489" s="65"/>
      <c r="H4489" s="65"/>
      <c r="I4489" s="70"/>
      <c r="J4489" s="71"/>
      <c r="K4489" s="71"/>
      <c r="L4489" s="72" t="str">
        <f>IFERROR(IF(G4489="","",VLOOKUP($G4489,[1]基础信息!$B:$C,2,FALSE)+SUMIF(G$8:G4489,G4489,J$8:J4489)-SUMIF(G$8:G4489,G4489,K$8:K4489)+SUMIFS([1]内部转账!$G:$G,[1]内部转账!$C:$C,"&lt;="&amp;$D4489,[1]内部转账!$E:$E,$G4489)-SUMIFS([1]内部转账!$G:$G,[1]内部转账!$C:$C,"&lt;="&amp;$D4489,[1]内部转账!$F:$F,$G4489)),"")</f>
        <v/>
      </c>
      <c r="M4489" s="64"/>
      <c r="N4489" s="69"/>
      <c r="O4489" s="64"/>
      <c r="P4489" s="64"/>
      <c r="Q4489" s="69"/>
      <c r="R4489" s="69"/>
      <c r="S4489" s="69"/>
    </row>
    <row r="4490" s="2" customFormat="1" ht="24.95" customHeight="1" spans="1:19">
      <c r="A4490" s="15"/>
      <c r="B4490" s="55"/>
      <c r="C4490" s="56"/>
      <c r="D4490" s="68"/>
      <c r="E4490" s="69"/>
      <c r="F4490" s="69"/>
      <c r="G4490" s="65"/>
      <c r="H4490" s="65"/>
      <c r="I4490" s="70"/>
      <c r="J4490" s="71"/>
      <c r="K4490" s="71"/>
      <c r="L4490" s="72" t="str">
        <f>IFERROR(IF(G4490="","",VLOOKUP($G4490,[1]基础信息!$B:$C,2,FALSE)+SUMIF(G$8:G4490,G4490,J$8:J4490)-SUMIF(G$8:G4490,G4490,K$8:K4490)+SUMIFS([1]内部转账!$G:$G,[1]内部转账!$C:$C,"&lt;="&amp;$D4490,[1]内部转账!$E:$E,$G4490)-SUMIFS([1]内部转账!$G:$G,[1]内部转账!$C:$C,"&lt;="&amp;$D4490,[1]内部转账!$F:$F,$G4490)),"")</f>
        <v/>
      </c>
      <c r="M4490" s="64"/>
      <c r="N4490" s="69"/>
      <c r="O4490" s="64"/>
      <c r="P4490" s="64"/>
      <c r="Q4490" s="69"/>
      <c r="R4490" s="69"/>
      <c r="S4490" s="69"/>
    </row>
    <row r="4491" s="2" customFormat="1" ht="24.95" customHeight="1" spans="1:19">
      <c r="A4491" s="15"/>
      <c r="B4491" s="55"/>
      <c r="C4491" s="56"/>
      <c r="D4491" s="68"/>
      <c r="E4491" s="69"/>
      <c r="F4491" s="69"/>
      <c r="G4491" s="65"/>
      <c r="H4491" s="65"/>
      <c r="I4491" s="70"/>
      <c r="J4491" s="71"/>
      <c r="K4491" s="71"/>
      <c r="L4491" s="72" t="str">
        <f>IFERROR(IF(G4491="","",VLOOKUP($G4491,[1]基础信息!$B:$C,2,FALSE)+SUMIF(G$8:G4491,G4491,J$8:J4491)-SUMIF(G$8:G4491,G4491,K$8:K4491)+SUMIFS([1]内部转账!$G:$G,[1]内部转账!$C:$C,"&lt;="&amp;$D4491,[1]内部转账!$E:$E,$G4491)-SUMIFS([1]内部转账!$G:$G,[1]内部转账!$C:$C,"&lt;="&amp;$D4491,[1]内部转账!$F:$F,$G4491)),"")</f>
        <v/>
      </c>
      <c r="M4491" s="64"/>
      <c r="N4491" s="69"/>
      <c r="O4491" s="64"/>
      <c r="P4491" s="64"/>
      <c r="Q4491" s="69"/>
      <c r="R4491" s="69"/>
      <c r="S4491" s="69"/>
    </row>
    <row r="4492" s="2" customFormat="1" ht="24.95" customHeight="1" spans="1:19">
      <c r="A4492" s="15"/>
      <c r="B4492" s="55"/>
      <c r="C4492" s="56"/>
      <c r="D4492" s="68"/>
      <c r="E4492" s="69"/>
      <c r="F4492" s="69"/>
      <c r="G4492" s="65"/>
      <c r="H4492" s="65"/>
      <c r="I4492" s="70"/>
      <c r="J4492" s="71"/>
      <c r="K4492" s="71"/>
      <c r="L4492" s="72" t="str">
        <f>IFERROR(IF(G4492="","",VLOOKUP($G4492,[1]基础信息!$B:$C,2,FALSE)+SUMIF(G$8:G4492,G4492,J$8:J4492)-SUMIF(G$8:G4492,G4492,K$8:K4492)+SUMIFS([1]内部转账!$G:$G,[1]内部转账!$C:$C,"&lt;="&amp;$D4492,[1]内部转账!$E:$E,$G4492)-SUMIFS([1]内部转账!$G:$G,[1]内部转账!$C:$C,"&lt;="&amp;$D4492,[1]内部转账!$F:$F,$G4492)),"")</f>
        <v/>
      </c>
      <c r="M4492" s="64"/>
      <c r="N4492" s="69"/>
      <c r="O4492" s="64"/>
      <c r="P4492" s="64"/>
      <c r="Q4492" s="69"/>
      <c r="R4492" s="69"/>
      <c r="S4492" s="69"/>
    </row>
    <row r="4493" s="2" customFormat="1" ht="24.95" customHeight="1" spans="1:19">
      <c r="A4493" s="15"/>
      <c r="B4493" s="55"/>
      <c r="C4493" s="56"/>
      <c r="D4493" s="68"/>
      <c r="E4493" s="69"/>
      <c r="F4493" s="69"/>
      <c r="G4493" s="65"/>
      <c r="H4493" s="65"/>
      <c r="I4493" s="70"/>
      <c r="J4493" s="71"/>
      <c r="K4493" s="71"/>
      <c r="L4493" s="72" t="str">
        <f>IFERROR(IF(G4493="","",VLOOKUP($G4493,[1]基础信息!$B:$C,2,FALSE)+SUMIF(G$8:G4493,G4493,J$8:J4493)-SUMIF(G$8:G4493,G4493,K$8:K4493)+SUMIFS([1]内部转账!$G:$G,[1]内部转账!$C:$C,"&lt;="&amp;$D4493,[1]内部转账!$E:$E,$G4493)-SUMIFS([1]内部转账!$G:$G,[1]内部转账!$C:$C,"&lt;="&amp;$D4493,[1]内部转账!$F:$F,$G4493)),"")</f>
        <v/>
      </c>
      <c r="M4493" s="64"/>
      <c r="N4493" s="69"/>
      <c r="O4493" s="64"/>
      <c r="P4493" s="64"/>
      <c r="Q4493" s="69"/>
      <c r="R4493" s="69"/>
      <c r="S4493" s="69"/>
    </row>
    <row r="4494" s="2" customFormat="1" ht="24.95" customHeight="1" spans="1:19">
      <c r="A4494" s="15"/>
      <c r="B4494" s="55"/>
      <c r="C4494" s="56"/>
      <c r="D4494" s="68"/>
      <c r="E4494" s="69"/>
      <c r="F4494" s="69"/>
      <c r="G4494" s="65"/>
      <c r="H4494" s="65"/>
      <c r="I4494" s="70"/>
      <c r="J4494" s="71"/>
      <c r="K4494" s="71"/>
      <c r="L4494" s="72" t="str">
        <f>IFERROR(IF(G4494="","",VLOOKUP($G4494,[1]基础信息!$B:$C,2,FALSE)+SUMIF(G$8:G4494,G4494,J$8:J4494)-SUMIF(G$8:G4494,G4494,K$8:K4494)+SUMIFS([1]内部转账!$G:$G,[1]内部转账!$C:$C,"&lt;="&amp;$D4494,[1]内部转账!$E:$E,$G4494)-SUMIFS([1]内部转账!$G:$G,[1]内部转账!$C:$C,"&lt;="&amp;$D4494,[1]内部转账!$F:$F,$G4494)),"")</f>
        <v/>
      </c>
      <c r="M4494" s="64"/>
      <c r="N4494" s="69"/>
      <c r="O4494" s="64"/>
      <c r="P4494" s="64"/>
      <c r="Q4494" s="69"/>
      <c r="R4494" s="69"/>
      <c r="S4494" s="69"/>
    </row>
    <row r="4495" s="2" customFormat="1" ht="24.95" customHeight="1" spans="1:19">
      <c r="A4495" s="15"/>
      <c r="B4495" s="55"/>
      <c r="C4495" s="56"/>
      <c r="D4495" s="68"/>
      <c r="E4495" s="69"/>
      <c r="F4495" s="69"/>
      <c r="G4495" s="65"/>
      <c r="H4495" s="65"/>
      <c r="I4495" s="70"/>
      <c r="J4495" s="71"/>
      <c r="K4495" s="71"/>
      <c r="L4495" s="72" t="str">
        <f>IFERROR(IF(G4495="","",VLOOKUP($G4495,[1]基础信息!$B:$C,2,FALSE)+SUMIF(G$8:G4495,G4495,J$8:J4495)-SUMIF(G$8:G4495,G4495,K$8:K4495)+SUMIFS([1]内部转账!$G:$G,[1]内部转账!$C:$C,"&lt;="&amp;$D4495,[1]内部转账!$E:$E,$G4495)-SUMIFS([1]内部转账!$G:$G,[1]内部转账!$C:$C,"&lt;="&amp;$D4495,[1]内部转账!$F:$F,$G4495)),"")</f>
        <v/>
      </c>
      <c r="M4495" s="64"/>
      <c r="N4495" s="69"/>
      <c r="O4495" s="64"/>
      <c r="P4495" s="64"/>
      <c r="Q4495" s="69"/>
      <c r="R4495" s="69"/>
      <c r="S4495" s="69"/>
    </row>
    <row r="4496" s="2" customFormat="1" ht="24.95" customHeight="1" spans="1:19">
      <c r="A4496" s="15"/>
      <c r="B4496" s="55"/>
      <c r="C4496" s="56"/>
      <c r="D4496" s="68"/>
      <c r="E4496" s="69"/>
      <c r="F4496" s="69"/>
      <c r="G4496" s="65"/>
      <c r="H4496" s="65"/>
      <c r="I4496" s="70"/>
      <c r="J4496" s="71"/>
      <c r="K4496" s="71"/>
      <c r="L4496" s="72" t="str">
        <f>IFERROR(IF(G4496="","",VLOOKUP($G4496,[1]基础信息!$B:$C,2,FALSE)+SUMIF(G$8:G4496,G4496,J$8:J4496)-SUMIF(G$8:G4496,G4496,K$8:K4496)+SUMIFS([1]内部转账!$G:$G,[1]内部转账!$C:$C,"&lt;="&amp;$D4496,[1]内部转账!$E:$E,$G4496)-SUMIFS([1]内部转账!$G:$G,[1]内部转账!$C:$C,"&lt;="&amp;$D4496,[1]内部转账!$F:$F,$G4496)),"")</f>
        <v/>
      </c>
      <c r="M4496" s="64"/>
      <c r="N4496" s="69"/>
      <c r="O4496" s="64"/>
      <c r="P4496" s="64"/>
      <c r="Q4496" s="69"/>
      <c r="R4496" s="69"/>
      <c r="S4496" s="69"/>
    </row>
    <row r="4497" s="2" customFormat="1" ht="24.95" customHeight="1" spans="1:19">
      <c r="A4497" s="15"/>
      <c r="B4497" s="55"/>
      <c r="C4497" s="56"/>
      <c r="D4497" s="68"/>
      <c r="E4497" s="69"/>
      <c r="F4497" s="69"/>
      <c r="G4497" s="65"/>
      <c r="H4497" s="65"/>
      <c r="I4497" s="70"/>
      <c r="J4497" s="71"/>
      <c r="K4497" s="71"/>
      <c r="L4497" s="72" t="str">
        <f>IFERROR(IF(G4497="","",VLOOKUP($G4497,[1]基础信息!$B:$C,2,FALSE)+SUMIF(G$8:G4497,G4497,J$8:J4497)-SUMIF(G$8:G4497,G4497,K$8:K4497)+SUMIFS([1]内部转账!$G:$G,[1]内部转账!$C:$C,"&lt;="&amp;$D4497,[1]内部转账!$E:$E,$G4497)-SUMIFS([1]内部转账!$G:$G,[1]内部转账!$C:$C,"&lt;="&amp;$D4497,[1]内部转账!$F:$F,$G4497)),"")</f>
        <v/>
      </c>
      <c r="M4497" s="64"/>
      <c r="N4497" s="69"/>
      <c r="O4497" s="64"/>
      <c r="P4497" s="64"/>
      <c r="Q4497" s="69"/>
      <c r="R4497" s="69"/>
      <c r="S4497" s="69"/>
    </row>
    <row r="4498" s="2" customFormat="1" ht="24.95" customHeight="1" spans="1:19">
      <c r="A4498" s="15"/>
      <c r="B4498" s="55"/>
      <c r="C4498" s="56"/>
      <c r="D4498" s="68"/>
      <c r="E4498" s="69"/>
      <c r="F4498" s="69"/>
      <c r="G4498" s="65"/>
      <c r="H4498" s="65"/>
      <c r="I4498" s="70"/>
      <c r="J4498" s="71"/>
      <c r="K4498" s="71"/>
      <c r="L4498" s="72" t="str">
        <f>IFERROR(IF(G4498="","",VLOOKUP($G4498,[1]基础信息!$B:$C,2,FALSE)+SUMIF(G$8:G4498,G4498,J$8:J4498)-SUMIF(G$8:G4498,G4498,K$8:K4498)+SUMIFS([1]内部转账!$G:$G,[1]内部转账!$C:$C,"&lt;="&amp;$D4498,[1]内部转账!$E:$E,$G4498)-SUMIFS([1]内部转账!$G:$G,[1]内部转账!$C:$C,"&lt;="&amp;$D4498,[1]内部转账!$F:$F,$G4498)),"")</f>
        <v/>
      </c>
      <c r="M4498" s="64"/>
      <c r="N4498" s="69"/>
      <c r="O4498" s="64"/>
      <c r="P4498" s="64"/>
      <c r="Q4498" s="69"/>
      <c r="R4498" s="69"/>
      <c r="S4498" s="69"/>
    </row>
    <row r="4499" s="2" customFormat="1" ht="24.95" customHeight="1" spans="1:19">
      <c r="A4499" s="15"/>
      <c r="B4499" s="55"/>
      <c r="C4499" s="56"/>
      <c r="D4499" s="68"/>
      <c r="E4499" s="69"/>
      <c r="F4499" s="69"/>
      <c r="G4499" s="65"/>
      <c r="H4499" s="65"/>
      <c r="I4499" s="70"/>
      <c r="J4499" s="71"/>
      <c r="K4499" s="71"/>
      <c r="L4499" s="72" t="str">
        <f>IFERROR(IF(G4499="","",VLOOKUP($G4499,[1]基础信息!$B:$C,2,FALSE)+SUMIF(G$8:G4499,G4499,J$8:J4499)-SUMIF(G$8:G4499,G4499,K$8:K4499)+SUMIFS([1]内部转账!$G:$G,[1]内部转账!$C:$C,"&lt;="&amp;$D4499,[1]内部转账!$E:$E,$G4499)-SUMIFS([1]内部转账!$G:$G,[1]内部转账!$C:$C,"&lt;="&amp;$D4499,[1]内部转账!$F:$F,$G4499)),"")</f>
        <v/>
      </c>
      <c r="M4499" s="64"/>
      <c r="N4499" s="69"/>
      <c r="O4499" s="64"/>
      <c r="P4499" s="64"/>
      <c r="Q4499" s="69"/>
      <c r="R4499" s="69"/>
      <c r="S4499" s="69"/>
    </row>
    <row r="4500" s="2" customFormat="1" ht="24.95" customHeight="1" spans="1:19">
      <c r="A4500" s="15"/>
      <c r="B4500" s="55"/>
      <c r="C4500" s="56"/>
      <c r="D4500" s="68"/>
      <c r="E4500" s="69"/>
      <c r="F4500" s="69"/>
      <c r="G4500" s="65"/>
      <c r="H4500" s="65"/>
      <c r="I4500" s="70"/>
      <c r="J4500" s="71"/>
      <c r="K4500" s="71"/>
      <c r="L4500" s="72" t="str">
        <f>IFERROR(IF(G4500="","",VLOOKUP($G4500,[1]基础信息!$B:$C,2,FALSE)+SUMIF(G$8:G4500,G4500,J$8:J4500)-SUMIF(G$8:G4500,G4500,K$8:K4500)+SUMIFS([1]内部转账!$G:$G,[1]内部转账!$C:$C,"&lt;="&amp;$D4500,[1]内部转账!$E:$E,$G4500)-SUMIFS([1]内部转账!$G:$G,[1]内部转账!$C:$C,"&lt;="&amp;$D4500,[1]内部转账!$F:$F,$G4500)),"")</f>
        <v/>
      </c>
      <c r="M4500" s="64"/>
      <c r="N4500" s="69"/>
      <c r="O4500" s="64"/>
      <c r="P4500" s="64"/>
      <c r="Q4500" s="69"/>
      <c r="R4500" s="69"/>
      <c r="S4500" s="69"/>
    </row>
    <row r="4501" s="2" customFormat="1" ht="24.95" customHeight="1" spans="1:19">
      <c r="A4501" s="15"/>
      <c r="B4501" s="55"/>
      <c r="C4501" s="56"/>
      <c r="D4501" s="68"/>
      <c r="E4501" s="69"/>
      <c r="F4501" s="69"/>
      <c r="G4501" s="65"/>
      <c r="H4501" s="65"/>
      <c r="I4501" s="70"/>
      <c r="J4501" s="71"/>
      <c r="K4501" s="71"/>
      <c r="L4501" s="72" t="str">
        <f>IFERROR(IF(G4501="","",VLOOKUP($G4501,[1]基础信息!$B:$C,2,FALSE)+SUMIF(G$8:G4501,G4501,J$8:J4501)-SUMIF(G$8:G4501,G4501,K$8:K4501)+SUMIFS([1]内部转账!$G:$G,[1]内部转账!$C:$C,"&lt;="&amp;$D4501,[1]内部转账!$E:$E,$G4501)-SUMIFS([1]内部转账!$G:$G,[1]内部转账!$C:$C,"&lt;="&amp;$D4501,[1]内部转账!$F:$F,$G4501)),"")</f>
        <v/>
      </c>
      <c r="M4501" s="64"/>
      <c r="N4501" s="69"/>
      <c r="O4501" s="64"/>
      <c r="P4501" s="64"/>
      <c r="Q4501" s="69"/>
      <c r="R4501" s="69"/>
      <c r="S4501" s="69"/>
    </row>
    <row r="4502" s="2" customFormat="1" ht="24.95" customHeight="1" spans="1:19">
      <c r="A4502" s="15"/>
      <c r="B4502" s="55"/>
      <c r="C4502" s="56"/>
      <c r="D4502" s="68"/>
      <c r="E4502" s="69"/>
      <c r="F4502" s="69"/>
      <c r="G4502" s="65"/>
      <c r="H4502" s="65"/>
      <c r="I4502" s="70"/>
      <c r="J4502" s="71"/>
      <c r="K4502" s="71"/>
      <c r="L4502" s="72" t="str">
        <f>IFERROR(IF(G4502="","",VLOOKUP($G4502,[1]基础信息!$B:$C,2,FALSE)+SUMIF(G$8:G4502,G4502,J$8:J4502)-SUMIF(G$8:G4502,G4502,K$8:K4502)+SUMIFS([1]内部转账!$G:$G,[1]内部转账!$C:$C,"&lt;="&amp;$D4502,[1]内部转账!$E:$E,$G4502)-SUMIFS([1]内部转账!$G:$G,[1]内部转账!$C:$C,"&lt;="&amp;$D4502,[1]内部转账!$F:$F,$G4502)),"")</f>
        <v/>
      </c>
      <c r="M4502" s="64"/>
      <c r="N4502" s="69"/>
      <c r="O4502" s="64"/>
      <c r="P4502" s="64"/>
      <c r="Q4502" s="69"/>
      <c r="R4502" s="69"/>
      <c r="S4502" s="69"/>
    </row>
    <row r="4503" s="2" customFormat="1" ht="24.95" customHeight="1" spans="1:19">
      <c r="A4503" s="15"/>
      <c r="B4503" s="55"/>
      <c r="C4503" s="56"/>
      <c r="D4503" s="68"/>
      <c r="E4503" s="69"/>
      <c r="F4503" s="69"/>
      <c r="G4503" s="65"/>
      <c r="H4503" s="65"/>
      <c r="I4503" s="70"/>
      <c r="J4503" s="71"/>
      <c r="K4503" s="71"/>
      <c r="L4503" s="72" t="str">
        <f>IFERROR(IF(G4503="","",VLOOKUP($G4503,[1]基础信息!$B:$C,2,FALSE)+SUMIF(G$8:G4503,G4503,J$8:J4503)-SUMIF(G$8:G4503,G4503,K$8:K4503)+SUMIFS([1]内部转账!$G:$G,[1]内部转账!$C:$C,"&lt;="&amp;$D4503,[1]内部转账!$E:$E,$G4503)-SUMIFS([1]内部转账!$G:$G,[1]内部转账!$C:$C,"&lt;="&amp;$D4503,[1]内部转账!$F:$F,$G4503)),"")</f>
        <v/>
      </c>
      <c r="M4503" s="64"/>
      <c r="N4503" s="69"/>
      <c r="O4503" s="64"/>
      <c r="P4503" s="64"/>
      <c r="Q4503" s="69"/>
      <c r="R4503" s="69"/>
      <c r="S4503" s="69"/>
    </row>
    <row r="4504" s="2" customFormat="1" ht="24.95" customHeight="1" spans="1:19">
      <c r="A4504" s="15"/>
      <c r="B4504" s="55"/>
      <c r="C4504" s="56"/>
      <c r="D4504" s="68"/>
      <c r="E4504" s="69"/>
      <c r="F4504" s="69"/>
      <c r="G4504" s="65"/>
      <c r="H4504" s="65"/>
      <c r="I4504" s="70"/>
      <c r="J4504" s="71"/>
      <c r="K4504" s="71"/>
      <c r="L4504" s="72" t="str">
        <f>IFERROR(IF(G4504="","",VLOOKUP($G4504,[1]基础信息!$B:$C,2,FALSE)+SUMIF(G$8:G4504,G4504,J$8:J4504)-SUMIF(G$8:G4504,G4504,K$8:K4504)+SUMIFS([1]内部转账!$G:$G,[1]内部转账!$C:$C,"&lt;="&amp;$D4504,[1]内部转账!$E:$E,$G4504)-SUMIFS([1]内部转账!$G:$G,[1]内部转账!$C:$C,"&lt;="&amp;$D4504,[1]内部转账!$F:$F,$G4504)),"")</f>
        <v/>
      </c>
      <c r="M4504" s="64"/>
      <c r="N4504" s="69"/>
      <c r="O4504" s="64"/>
      <c r="P4504" s="64"/>
      <c r="Q4504" s="69"/>
      <c r="R4504" s="69"/>
      <c r="S4504" s="69"/>
    </row>
    <row r="4505" s="2" customFormat="1" ht="24.95" customHeight="1" spans="1:19">
      <c r="A4505" s="15"/>
      <c r="B4505" s="55"/>
      <c r="C4505" s="56"/>
      <c r="D4505" s="68"/>
      <c r="E4505" s="69"/>
      <c r="F4505" s="69"/>
      <c r="G4505" s="65"/>
      <c r="H4505" s="65"/>
      <c r="I4505" s="70"/>
      <c r="J4505" s="71"/>
      <c r="K4505" s="71"/>
      <c r="L4505" s="72" t="str">
        <f>IFERROR(IF(G4505="","",VLOOKUP($G4505,[1]基础信息!$B:$C,2,FALSE)+SUMIF(G$8:G4505,G4505,J$8:J4505)-SUMIF(G$8:G4505,G4505,K$8:K4505)+SUMIFS([1]内部转账!$G:$G,[1]内部转账!$C:$C,"&lt;="&amp;$D4505,[1]内部转账!$E:$E,$G4505)-SUMIFS([1]内部转账!$G:$G,[1]内部转账!$C:$C,"&lt;="&amp;$D4505,[1]内部转账!$F:$F,$G4505)),"")</f>
        <v/>
      </c>
      <c r="M4505" s="64"/>
      <c r="N4505" s="69"/>
      <c r="O4505" s="64"/>
      <c r="P4505" s="64"/>
      <c r="Q4505" s="69"/>
      <c r="R4505" s="69"/>
      <c r="S4505" s="69"/>
    </row>
    <row r="4506" s="2" customFormat="1" ht="24.95" customHeight="1" spans="1:19">
      <c r="A4506" s="15"/>
      <c r="B4506" s="55"/>
      <c r="C4506" s="56"/>
      <c r="D4506" s="68"/>
      <c r="E4506" s="69"/>
      <c r="F4506" s="69"/>
      <c r="G4506" s="65"/>
      <c r="H4506" s="65"/>
      <c r="I4506" s="70"/>
      <c r="J4506" s="71"/>
      <c r="K4506" s="71"/>
      <c r="L4506" s="72" t="str">
        <f>IFERROR(IF(G4506="","",VLOOKUP($G4506,[1]基础信息!$B:$C,2,FALSE)+SUMIF(G$8:G4506,G4506,J$8:J4506)-SUMIF(G$8:G4506,G4506,K$8:K4506)+SUMIFS([1]内部转账!$G:$G,[1]内部转账!$C:$C,"&lt;="&amp;$D4506,[1]内部转账!$E:$E,$G4506)-SUMIFS([1]内部转账!$G:$G,[1]内部转账!$C:$C,"&lt;="&amp;$D4506,[1]内部转账!$F:$F,$G4506)),"")</f>
        <v/>
      </c>
      <c r="M4506" s="64"/>
      <c r="N4506" s="69"/>
      <c r="O4506" s="64"/>
      <c r="P4506" s="64"/>
      <c r="Q4506" s="69"/>
      <c r="R4506" s="69"/>
      <c r="S4506" s="69"/>
    </row>
    <row r="4507" s="2" customFormat="1" ht="24.95" customHeight="1" spans="1:19">
      <c r="A4507" s="15"/>
      <c r="B4507" s="55"/>
      <c r="C4507" s="56"/>
      <c r="D4507" s="68"/>
      <c r="E4507" s="69"/>
      <c r="F4507" s="69"/>
      <c r="G4507" s="65"/>
      <c r="H4507" s="65"/>
      <c r="I4507" s="70"/>
      <c r="J4507" s="71"/>
      <c r="K4507" s="71"/>
      <c r="L4507" s="72" t="str">
        <f>IFERROR(IF(G4507="","",VLOOKUP($G4507,[1]基础信息!$B:$C,2,FALSE)+SUMIF(G$8:G4507,G4507,J$8:J4507)-SUMIF(G$8:G4507,G4507,K$8:K4507)+SUMIFS([1]内部转账!$G:$G,[1]内部转账!$C:$C,"&lt;="&amp;$D4507,[1]内部转账!$E:$E,$G4507)-SUMIFS([1]内部转账!$G:$G,[1]内部转账!$C:$C,"&lt;="&amp;$D4507,[1]内部转账!$F:$F,$G4507)),"")</f>
        <v/>
      </c>
      <c r="M4507" s="64"/>
      <c r="N4507" s="69"/>
      <c r="O4507" s="64"/>
      <c r="P4507" s="64"/>
      <c r="Q4507" s="69"/>
      <c r="R4507" s="69"/>
      <c r="S4507" s="69"/>
    </row>
    <row r="4508" s="2" customFormat="1" ht="24.95" customHeight="1" spans="1:19">
      <c r="A4508" s="15"/>
      <c r="B4508" s="55"/>
      <c r="C4508" s="56"/>
      <c r="D4508" s="68"/>
      <c r="E4508" s="69"/>
      <c r="F4508" s="69"/>
      <c r="G4508" s="65"/>
      <c r="H4508" s="65"/>
      <c r="I4508" s="70"/>
      <c r="J4508" s="71"/>
      <c r="K4508" s="71"/>
      <c r="L4508" s="72" t="str">
        <f>IFERROR(IF(G4508="","",VLOOKUP($G4508,[1]基础信息!$B:$C,2,FALSE)+SUMIF(G$8:G4508,G4508,J$8:J4508)-SUMIF(G$8:G4508,G4508,K$8:K4508)+SUMIFS([1]内部转账!$G:$G,[1]内部转账!$C:$C,"&lt;="&amp;$D4508,[1]内部转账!$E:$E,$G4508)-SUMIFS([1]内部转账!$G:$G,[1]内部转账!$C:$C,"&lt;="&amp;$D4508,[1]内部转账!$F:$F,$G4508)),"")</f>
        <v/>
      </c>
      <c r="M4508" s="64"/>
      <c r="N4508" s="69"/>
      <c r="O4508" s="64"/>
      <c r="P4508" s="64"/>
      <c r="Q4508" s="69"/>
      <c r="R4508" s="69"/>
      <c r="S4508" s="69"/>
    </row>
    <row r="4509" s="2" customFormat="1" ht="24.95" customHeight="1" spans="1:19">
      <c r="A4509" s="15"/>
      <c r="B4509" s="55"/>
      <c r="C4509" s="56"/>
      <c r="D4509" s="68"/>
      <c r="E4509" s="69"/>
      <c r="F4509" s="69"/>
      <c r="G4509" s="65"/>
      <c r="H4509" s="65"/>
      <c r="I4509" s="70"/>
      <c r="J4509" s="71"/>
      <c r="K4509" s="71"/>
      <c r="L4509" s="72" t="str">
        <f>IFERROR(IF(G4509="","",VLOOKUP($G4509,[1]基础信息!$B:$C,2,FALSE)+SUMIF(G$8:G4509,G4509,J$8:J4509)-SUMIF(G$8:G4509,G4509,K$8:K4509)+SUMIFS([1]内部转账!$G:$G,[1]内部转账!$C:$C,"&lt;="&amp;$D4509,[1]内部转账!$E:$E,$G4509)-SUMIFS([1]内部转账!$G:$G,[1]内部转账!$C:$C,"&lt;="&amp;$D4509,[1]内部转账!$F:$F,$G4509)),"")</f>
        <v/>
      </c>
      <c r="M4509" s="64"/>
      <c r="N4509" s="69"/>
      <c r="O4509" s="64"/>
      <c r="P4509" s="64"/>
      <c r="Q4509" s="69"/>
      <c r="R4509" s="69"/>
      <c r="S4509" s="69"/>
    </row>
    <row r="4510" s="2" customFormat="1" ht="24.95" customHeight="1" spans="1:19">
      <c r="A4510" s="15"/>
      <c r="B4510" s="55"/>
      <c r="C4510" s="56"/>
      <c r="D4510" s="68"/>
      <c r="E4510" s="69"/>
      <c r="F4510" s="69"/>
      <c r="G4510" s="65"/>
      <c r="H4510" s="65"/>
      <c r="I4510" s="70"/>
      <c r="J4510" s="71"/>
      <c r="K4510" s="71"/>
      <c r="L4510" s="72" t="str">
        <f>IFERROR(IF(G4510="","",VLOOKUP($G4510,[1]基础信息!$B:$C,2,FALSE)+SUMIF(G$8:G4510,G4510,J$8:J4510)-SUMIF(G$8:G4510,G4510,K$8:K4510)+SUMIFS([1]内部转账!$G:$G,[1]内部转账!$C:$C,"&lt;="&amp;$D4510,[1]内部转账!$E:$E,$G4510)-SUMIFS([1]内部转账!$G:$G,[1]内部转账!$C:$C,"&lt;="&amp;$D4510,[1]内部转账!$F:$F,$G4510)),"")</f>
        <v/>
      </c>
      <c r="M4510" s="64"/>
      <c r="N4510" s="69"/>
      <c r="O4510" s="64"/>
      <c r="P4510" s="64"/>
      <c r="Q4510" s="69"/>
      <c r="R4510" s="69"/>
      <c r="S4510" s="69"/>
    </row>
    <row r="4511" s="2" customFormat="1" ht="24.95" customHeight="1" spans="1:19">
      <c r="A4511" s="15"/>
      <c r="B4511" s="55"/>
      <c r="C4511" s="56"/>
      <c r="D4511" s="68"/>
      <c r="E4511" s="69"/>
      <c r="F4511" s="69"/>
      <c r="G4511" s="65"/>
      <c r="H4511" s="65"/>
      <c r="I4511" s="70"/>
      <c r="J4511" s="71"/>
      <c r="K4511" s="71"/>
      <c r="L4511" s="72" t="str">
        <f>IFERROR(IF(G4511="","",VLOOKUP($G4511,[1]基础信息!$B:$C,2,FALSE)+SUMIF(G$8:G4511,G4511,J$8:J4511)-SUMIF(G$8:G4511,G4511,K$8:K4511)+SUMIFS([1]内部转账!$G:$G,[1]内部转账!$C:$C,"&lt;="&amp;$D4511,[1]内部转账!$E:$E,$G4511)-SUMIFS([1]内部转账!$G:$G,[1]内部转账!$C:$C,"&lt;="&amp;$D4511,[1]内部转账!$F:$F,$G4511)),"")</f>
        <v/>
      </c>
      <c r="M4511" s="64"/>
      <c r="N4511" s="69"/>
      <c r="O4511" s="64"/>
      <c r="P4511" s="64"/>
      <c r="Q4511" s="69"/>
      <c r="R4511" s="69"/>
      <c r="S4511" s="69"/>
    </row>
    <row r="4512" s="2" customFormat="1" ht="24.95" customHeight="1" spans="1:19">
      <c r="A4512" s="15"/>
      <c r="B4512" s="55"/>
      <c r="C4512" s="56"/>
      <c r="D4512" s="68"/>
      <c r="E4512" s="69"/>
      <c r="F4512" s="69"/>
      <c r="G4512" s="65"/>
      <c r="H4512" s="65"/>
      <c r="I4512" s="70"/>
      <c r="J4512" s="71"/>
      <c r="K4512" s="71"/>
      <c r="L4512" s="72" t="str">
        <f>IFERROR(IF(G4512="","",VLOOKUP($G4512,[1]基础信息!$B:$C,2,FALSE)+SUMIF(G$8:G4512,G4512,J$8:J4512)-SUMIF(G$8:G4512,G4512,K$8:K4512)+SUMIFS([1]内部转账!$G:$G,[1]内部转账!$C:$C,"&lt;="&amp;$D4512,[1]内部转账!$E:$E,$G4512)-SUMIFS([1]内部转账!$G:$G,[1]内部转账!$C:$C,"&lt;="&amp;$D4512,[1]内部转账!$F:$F,$G4512)),"")</f>
        <v/>
      </c>
      <c r="M4512" s="64"/>
      <c r="N4512" s="69"/>
      <c r="O4512" s="64"/>
      <c r="P4512" s="64"/>
      <c r="Q4512" s="69"/>
      <c r="R4512" s="69"/>
      <c r="S4512" s="69"/>
    </row>
    <row r="4513" s="2" customFormat="1" ht="24.95" customHeight="1" spans="1:19">
      <c r="A4513" s="15"/>
      <c r="B4513" s="55"/>
      <c r="C4513" s="56"/>
      <c r="D4513" s="68"/>
      <c r="E4513" s="69"/>
      <c r="F4513" s="69"/>
      <c r="G4513" s="65"/>
      <c r="H4513" s="65"/>
      <c r="I4513" s="70"/>
      <c r="J4513" s="71"/>
      <c r="K4513" s="71"/>
      <c r="L4513" s="72" t="str">
        <f>IFERROR(IF(G4513="","",VLOOKUP($G4513,[1]基础信息!$B:$C,2,FALSE)+SUMIF(G$8:G4513,G4513,J$8:J4513)-SUMIF(G$8:G4513,G4513,K$8:K4513)+SUMIFS([1]内部转账!$G:$G,[1]内部转账!$C:$C,"&lt;="&amp;$D4513,[1]内部转账!$E:$E,$G4513)-SUMIFS([1]内部转账!$G:$G,[1]内部转账!$C:$C,"&lt;="&amp;$D4513,[1]内部转账!$F:$F,$G4513)),"")</f>
        <v/>
      </c>
      <c r="M4513" s="64"/>
      <c r="N4513" s="69"/>
      <c r="O4513" s="64"/>
      <c r="P4513" s="64"/>
      <c r="Q4513" s="69"/>
      <c r="R4513" s="69"/>
      <c r="S4513" s="69"/>
    </row>
    <row r="4514" s="2" customFormat="1" ht="24.95" customHeight="1" spans="1:19">
      <c r="A4514" s="15"/>
      <c r="B4514" s="55"/>
      <c r="C4514" s="56"/>
      <c r="D4514" s="68"/>
      <c r="E4514" s="69"/>
      <c r="F4514" s="69"/>
      <c r="G4514" s="65"/>
      <c r="H4514" s="65"/>
      <c r="I4514" s="70"/>
      <c r="J4514" s="71"/>
      <c r="K4514" s="71"/>
      <c r="L4514" s="72" t="str">
        <f>IFERROR(IF(G4514="","",VLOOKUP($G4514,[1]基础信息!$B:$C,2,FALSE)+SUMIF(G$8:G4514,G4514,J$8:J4514)-SUMIF(G$8:G4514,G4514,K$8:K4514)+SUMIFS([1]内部转账!$G:$G,[1]内部转账!$C:$C,"&lt;="&amp;$D4514,[1]内部转账!$E:$E,$G4514)-SUMIFS([1]内部转账!$G:$G,[1]内部转账!$C:$C,"&lt;="&amp;$D4514,[1]内部转账!$F:$F,$G4514)),"")</f>
        <v/>
      </c>
      <c r="M4514" s="64"/>
      <c r="N4514" s="69"/>
      <c r="O4514" s="64"/>
      <c r="P4514" s="64"/>
      <c r="Q4514" s="69"/>
      <c r="R4514" s="69"/>
      <c r="S4514" s="69"/>
    </row>
    <row r="4515" s="2" customFormat="1" ht="24.95" customHeight="1" spans="1:19">
      <c r="A4515" s="15"/>
      <c r="B4515" s="55"/>
      <c r="C4515" s="56"/>
      <c r="D4515" s="68"/>
      <c r="E4515" s="69"/>
      <c r="F4515" s="69"/>
      <c r="G4515" s="65"/>
      <c r="H4515" s="65"/>
      <c r="I4515" s="70"/>
      <c r="J4515" s="71"/>
      <c r="K4515" s="71"/>
      <c r="L4515" s="72" t="str">
        <f>IFERROR(IF(G4515="","",VLOOKUP($G4515,[1]基础信息!$B:$C,2,FALSE)+SUMIF(G$8:G4515,G4515,J$8:J4515)-SUMIF(G$8:G4515,G4515,K$8:K4515)+SUMIFS([1]内部转账!$G:$G,[1]内部转账!$C:$C,"&lt;="&amp;$D4515,[1]内部转账!$E:$E,$G4515)-SUMIFS([1]内部转账!$G:$G,[1]内部转账!$C:$C,"&lt;="&amp;$D4515,[1]内部转账!$F:$F,$G4515)),"")</f>
        <v/>
      </c>
      <c r="M4515" s="64"/>
      <c r="N4515" s="69"/>
      <c r="O4515" s="64"/>
      <c r="P4515" s="64"/>
      <c r="Q4515" s="69"/>
      <c r="R4515" s="69"/>
      <c r="S4515" s="69"/>
    </row>
    <row r="4516" s="2" customFormat="1" ht="24.95" customHeight="1" spans="1:19">
      <c r="A4516" s="15"/>
      <c r="B4516" s="55"/>
      <c r="C4516" s="56"/>
      <c r="D4516" s="68"/>
      <c r="E4516" s="69"/>
      <c r="F4516" s="69"/>
      <c r="G4516" s="65"/>
      <c r="H4516" s="65"/>
      <c r="I4516" s="70"/>
      <c r="J4516" s="71"/>
      <c r="K4516" s="71"/>
      <c r="L4516" s="72" t="str">
        <f>IFERROR(IF(G4516="","",VLOOKUP($G4516,[1]基础信息!$B:$C,2,FALSE)+SUMIF(G$8:G4516,G4516,J$8:J4516)-SUMIF(G$8:G4516,G4516,K$8:K4516)+SUMIFS([1]内部转账!$G:$G,[1]内部转账!$C:$C,"&lt;="&amp;$D4516,[1]内部转账!$E:$E,$G4516)-SUMIFS([1]内部转账!$G:$G,[1]内部转账!$C:$C,"&lt;="&amp;$D4516,[1]内部转账!$F:$F,$G4516)),"")</f>
        <v/>
      </c>
      <c r="M4516" s="64"/>
      <c r="N4516" s="69"/>
      <c r="O4516" s="64"/>
      <c r="P4516" s="64"/>
      <c r="Q4516" s="69"/>
      <c r="R4516" s="69"/>
      <c r="S4516" s="69"/>
    </row>
    <row r="4517" s="2" customFormat="1" ht="24.95" customHeight="1" spans="1:19">
      <c r="A4517" s="15"/>
      <c r="B4517" s="55"/>
      <c r="C4517" s="56"/>
      <c r="D4517" s="68"/>
      <c r="E4517" s="69"/>
      <c r="F4517" s="69"/>
      <c r="G4517" s="65"/>
      <c r="H4517" s="65"/>
      <c r="I4517" s="70"/>
      <c r="J4517" s="71"/>
      <c r="K4517" s="71"/>
      <c r="L4517" s="72" t="str">
        <f>IFERROR(IF(G4517="","",VLOOKUP($G4517,[1]基础信息!$B:$C,2,FALSE)+SUMIF(G$8:G4517,G4517,J$8:J4517)-SUMIF(G$8:G4517,G4517,K$8:K4517)+SUMIFS([1]内部转账!$G:$G,[1]内部转账!$C:$C,"&lt;="&amp;$D4517,[1]内部转账!$E:$E,$G4517)-SUMIFS([1]内部转账!$G:$G,[1]内部转账!$C:$C,"&lt;="&amp;$D4517,[1]内部转账!$F:$F,$G4517)),"")</f>
        <v/>
      </c>
      <c r="M4517" s="64"/>
      <c r="N4517" s="69"/>
      <c r="O4517" s="64"/>
      <c r="P4517" s="64"/>
      <c r="Q4517" s="69"/>
      <c r="R4517" s="69"/>
      <c r="S4517" s="69"/>
    </row>
    <row r="4518" s="2" customFormat="1" ht="24.95" customHeight="1" spans="1:19">
      <c r="A4518" s="15"/>
      <c r="B4518" s="55"/>
      <c r="C4518" s="56"/>
      <c r="D4518" s="68"/>
      <c r="E4518" s="69"/>
      <c r="F4518" s="69"/>
      <c r="G4518" s="65"/>
      <c r="H4518" s="65"/>
      <c r="I4518" s="70"/>
      <c r="J4518" s="71"/>
      <c r="K4518" s="71"/>
      <c r="L4518" s="72" t="str">
        <f>IFERROR(IF(G4518="","",VLOOKUP($G4518,[1]基础信息!$B:$C,2,FALSE)+SUMIF(G$8:G4518,G4518,J$8:J4518)-SUMIF(G$8:G4518,G4518,K$8:K4518)+SUMIFS([1]内部转账!$G:$G,[1]内部转账!$C:$C,"&lt;="&amp;$D4518,[1]内部转账!$E:$E,$G4518)-SUMIFS([1]内部转账!$G:$G,[1]内部转账!$C:$C,"&lt;="&amp;$D4518,[1]内部转账!$F:$F,$G4518)),"")</f>
        <v/>
      </c>
      <c r="M4518" s="64"/>
      <c r="N4518" s="69"/>
      <c r="O4518" s="64"/>
      <c r="P4518" s="64"/>
      <c r="Q4518" s="69"/>
      <c r="R4518" s="69"/>
      <c r="S4518" s="69"/>
    </row>
    <row r="4519" s="2" customFormat="1" ht="24.95" customHeight="1" spans="1:19">
      <c r="A4519" s="15"/>
      <c r="B4519" s="55"/>
      <c r="C4519" s="56"/>
      <c r="D4519" s="68"/>
      <c r="E4519" s="69"/>
      <c r="F4519" s="69"/>
      <c r="G4519" s="65"/>
      <c r="H4519" s="65"/>
      <c r="I4519" s="70"/>
      <c r="J4519" s="71"/>
      <c r="K4519" s="71"/>
      <c r="L4519" s="72" t="str">
        <f>IFERROR(IF(G4519="","",VLOOKUP($G4519,[1]基础信息!$B:$C,2,FALSE)+SUMIF(G$8:G4519,G4519,J$8:J4519)-SUMIF(G$8:G4519,G4519,K$8:K4519)+SUMIFS([1]内部转账!$G:$G,[1]内部转账!$C:$C,"&lt;="&amp;$D4519,[1]内部转账!$E:$E,$G4519)-SUMIFS([1]内部转账!$G:$G,[1]内部转账!$C:$C,"&lt;="&amp;$D4519,[1]内部转账!$F:$F,$G4519)),"")</f>
        <v/>
      </c>
      <c r="M4519" s="64"/>
      <c r="N4519" s="69"/>
      <c r="O4519" s="64"/>
      <c r="P4519" s="64"/>
      <c r="Q4519" s="69"/>
      <c r="R4519" s="69"/>
      <c r="S4519" s="69"/>
    </row>
    <row r="4520" s="2" customFormat="1" ht="24.95" customHeight="1" spans="1:19">
      <c r="A4520" s="15"/>
      <c r="B4520" s="55"/>
      <c r="C4520" s="56"/>
      <c r="D4520" s="68"/>
      <c r="E4520" s="69"/>
      <c r="F4520" s="69"/>
      <c r="G4520" s="65"/>
      <c r="H4520" s="65"/>
      <c r="I4520" s="70"/>
      <c r="J4520" s="71"/>
      <c r="K4520" s="71"/>
      <c r="L4520" s="72" t="str">
        <f>IFERROR(IF(G4520="","",VLOOKUP($G4520,[1]基础信息!$B:$C,2,FALSE)+SUMIF(G$8:G4520,G4520,J$8:J4520)-SUMIF(G$8:G4520,G4520,K$8:K4520)+SUMIFS([1]内部转账!$G:$G,[1]内部转账!$C:$C,"&lt;="&amp;$D4520,[1]内部转账!$E:$E,$G4520)-SUMIFS([1]内部转账!$G:$G,[1]内部转账!$C:$C,"&lt;="&amp;$D4520,[1]内部转账!$F:$F,$G4520)),"")</f>
        <v/>
      </c>
      <c r="M4520" s="64"/>
      <c r="N4520" s="69"/>
      <c r="O4520" s="64"/>
      <c r="P4520" s="64"/>
      <c r="Q4520" s="69"/>
      <c r="R4520" s="69"/>
      <c r="S4520" s="69"/>
    </row>
    <row r="4521" s="2" customFormat="1" ht="24.95" customHeight="1" spans="1:19">
      <c r="A4521" s="15"/>
      <c r="B4521" s="55"/>
      <c r="C4521" s="56"/>
      <c r="D4521" s="68"/>
      <c r="E4521" s="69"/>
      <c r="F4521" s="69"/>
      <c r="G4521" s="65"/>
      <c r="H4521" s="65"/>
      <c r="I4521" s="70"/>
      <c r="J4521" s="71"/>
      <c r="K4521" s="71"/>
      <c r="L4521" s="72" t="str">
        <f>IFERROR(IF(G4521="","",VLOOKUP($G4521,[1]基础信息!$B:$C,2,FALSE)+SUMIF(G$8:G4521,G4521,J$8:J4521)-SUMIF(G$8:G4521,G4521,K$8:K4521)+SUMIFS([1]内部转账!$G:$G,[1]内部转账!$C:$C,"&lt;="&amp;$D4521,[1]内部转账!$E:$E,$G4521)-SUMIFS([1]内部转账!$G:$G,[1]内部转账!$C:$C,"&lt;="&amp;$D4521,[1]内部转账!$F:$F,$G4521)),"")</f>
        <v/>
      </c>
      <c r="M4521" s="64"/>
      <c r="N4521" s="69"/>
      <c r="O4521" s="64"/>
      <c r="P4521" s="64"/>
      <c r="Q4521" s="69"/>
      <c r="R4521" s="69"/>
      <c r="S4521" s="69"/>
    </row>
    <row r="4522" s="2" customFormat="1" ht="24.95" customHeight="1" spans="1:19">
      <c r="A4522" s="15"/>
      <c r="B4522" s="55"/>
      <c r="C4522" s="56"/>
      <c r="D4522" s="68"/>
      <c r="E4522" s="69"/>
      <c r="F4522" s="69"/>
      <c r="G4522" s="65"/>
      <c r="H4522" s="65"/>
      <c r="I4522" s="70"/>
      <c r="J4522" s="71"/>
      <c r="K4522" s="71"/>
      <c r="L4522" s="72" t="str">
        <f>IFERROR(IF(G4522="","",VLOOKUP($G4522,[1]基础信息!$B:$C,2,FALSE)+SUMIF(G$8:G4522,G4522,J$8:J4522)-SUMIF(G$8:G4522,G4522,K$8:K4522)+SUMIFS([1]内部转账!$G:$G,[1]内部转账!$C:$C,"&lt;="&amp;$D4522,[1]内部转账!$E:$E,$G4522)-SUMIFS([1]内部转账!$G:$G,[1]内部转账!$C:$C,"&lt;="&amp;$D4522,[1]内部转账!$F:$F,$G4522)),"")</f>
        <v/>
      </c>
      <c r="M4522" s="64"/>
      <c r="N4522" s="69"/>
      <c r="O4522" s="64"/>
      <c r="P4522" s="64"/>
      <c r="Q4522" s="69"/>
      <c r="R4522" s="69"/>
      <c r="S4522" s="69"/>
    </row>
    <row r="4523" s="2" customFormat="1" ht="24.95" customHeight="1" spans="1:19">
      <c r="A4523" s="15"/>
      <c r="B4523" s="55"/>
      <c r="C4523" s="56"/>
      <c r="D4523" s="68"/>
      <c r="E4523" s="69"/>
      <c r="F4523" s="69"/>
      <c r="G4523" s="65"/>
      <c r="H4523" s="65"/>
      <c r="I4523" s="70"/>
      <c r="J4523" s="71"/>
      <c r="K4523" s="71"/>
      <c r="L4523" s="72" t="str">
        <f>IFERROR(IF(G4523="","",VLOOKUP($G4523,[1]基础信息!$B:$C,2,FALSE)+SUMIF(G$8:G4523,G4523,J$8:J4523)-SUMIF(G$8:G4523,G4523,K$8:K4523)+SUMIFS([1]内部转账!$G:$G,[1]内部转账!$C:$C,"&lt;="&amp;$D4523,[1]内部转账!$E:$E,$G4523)-SUMIFS([1]内部转账!$G:$G,[1]内部转账!$C:$C,"&lt;="&amp;$D4523,[1]内部转账!$F:$F,$G4523)),"")</f>
        <v/>
      </c>
      <c r="M4523" s="64"/>
      <c r="N4523" s="69"/>
      <c r="O4523" s="64"/>
      <c r="P4523" s="64"/>
      <c r="Q4523" s="69"/>
      <c r="R4523" s="69"/>
      <c r="S4523" s="69"/>
    </row>
    <row r="4524" s="2" customFormat="1" ht="24.95" customHeight="1" spans="1:19">
      <c r="A4524" s="15"/>
      <c r="B4524" s="55"/>
      <c r="C4524" s="56"/>
      <c r="D4524" s="68"/>
      <c r="E4524" s="69"/>
      <c r="F4524" s="69"/>
      <c r="G4524" s="65"/>
      <c r="H4524" s="65"/>
      <c r="I4524" s="70"/>
      <c r="J4524" s="71"/>
      <c r="K4524" s="71"/>
      <c r="L4524" s="72" t="str">
        <f>IFERROR(IF(G4524="","",VLOOKUP($G4524,[1]基础信息!$B:$C,2,FALSE)+SUMIF(G$8:G4524,G4524,J$8:J4524)-SUMIF(G$8:G4524,G4524,K$8:K4524)+SUMIFS([1]内部转账!$G:$G,[1]内部转账!$C:$C,"&lt;="&amp;$D4524,[1]内部转账!$E:$E,$G4524)-SUMIFS([1]内部转账!$G:$G,[1]内部转账!$C:$C,"&lt;="&amp;$D4524,[1]内部转账!$F:$F,$G4524)),"")</f>
        <v/>
      </c>
      <c r="M4524" s="64"/>
      <c r="N4524" s="69"/>
      <c r="O4524" s="64"/>
      <c r="P4524" s="64"/>
      <c r="Q4524" s="69"/>
      <c r="R4524" s="69"/>
      <c r="S4524" s="69"/>
    </row>
    <row r="4525" s="2" customFormat="1" ht="24.95" customHeight="1" spans="1:19">
      <c r="A4525" s="15"/>
      <c r="B4525" s="55"/>
      <c r="C4525" s="56"/>
      <c r="D4525" s="68"/>
      <c r="E4525" s="69"/>
      <c r="F4525" s="69"/>
      <c r="G4525" s="65"/>
      <c r="H4525" s="65"/>
      <c r="I4525" s="70"/>
      <c r="J4525" s="71"/>
      <c r="K4525" s="71"/>
      <c r="L4525" s="72" t="str">
        <f>IFERROR(IF(G4525="","",VLOOKUP($G4525,[1]基础信息!$B:$C,2,FALSE)+SUMIF(G$8:G4525,G4525,J$8:J4525)-SUMIF(G$8:G4525,G4525,K$8:K4525)+SUMIFS([1]内部转账!$G:$G,[1]内部转账!$C:$C,"&lt;="&amp;$D4525,[1]内部转账!$E:$E,$G4525)-SUMIFS([1]内部转账!$G:$G,[1]内部转账!$C:$C,"&lt;="&amp;$D4525,[1]内部转账!$F:$F,$G4525)),"")</f>
        <v/>
      </c>
      <c r="M4525" s="64"/>
      <c r="N4525" s="69"/>
      <c r="O4525" s="64"/>
      <c r="P4525" s="64"/>
      <c r="Q4525" s="69"/>
      <c r="R4525" s="69"/>
      <c r="S4525" s="69"/>
    </row>
    <row r="4526" s="2" customFormat="1" ht="24.95" customHeight="1" spans="1:19">
      <c r="A4526" s="15"/>
      <c r="B4526" s="55"/>
      <c r="C4526" s="56"/>
      <c r="D4526" s="68"/>
      <c r="E4526" s="69"/>
      <c r="F4526" s="69"/>
      <c r="G4526" s="65"/>
      <c r="H4526" s="65"/>
      <c r="I4526" s="70"/>
      <c r="J4526" s="71"/>
      <c r="K4526" s="71"/>
      <c r="L4526" s="72" t="str">
        <f>IFERROR(IF(G4526="","",VLOOKUP($G4526,[1]基础信息!$B:$C,2,FALSE)+SUMIF(G$8:G4526,G4526,J$8:J4526)-SUMIF(G$8:G4526,G4526,K$8:K4526)+SUMIFS([1]内部转账!$G:$G,[1]内部转账!$C:$C,"&lt;="&amp;$D4526,[1]内部转账!$E:$E,$G4526)-SUMIFS([1]内部转账!$G:$G,[1]内部转账!$C:$C,"&lt;="&amp;$D4526,[1]内部转账!$F:$F,$G4526)),"")</f>
        <v/>
      </c>
      <c r="M4526" s="64"/>
      <c r="N4526" s="69"/>
      <c r="O4526" s="64"/>
      <c r="P4526" s="64"/>
      <c r="Q4526" s="69"/>
      <c r="R4526" s="69"/>
      <c r="S4526" s="69"/>
    </row>
    <row r="4527" s="2" customFormat="1" ht="24.95" customHeight="1" spans="1:19">
      <c r="A4527" s="15"/>
      <c r="B4527" s="55"/>
      <c r="C4527" s="56"/>
      <c r="D4527" s="68"/>
      <c r="E4527" s="69"/>
      <c r="F4527" s="69"/>
      <c r="G4527" s="65"/>
      <c r="H4527" s="65"/>
      <c r="I4527" s="70"/>
      <c r="J4527" s="71"/>
      <c r="K4527" s="71"/>
      <c r="L4527" s="72" t="str">
        <f>IFERROR(IF(G4527="","",VLOOKUP($G4527,[1]基础信息!$B:$C,2,FALSE)+SUMIF(G$8:G4527,G4527,J$8:J4527)-SUMIF(G$8:G4527,G4527,K$8:K4527)+SUMIFS([1]内部转账!$G:$G,[1]内部转账!$C:$C,"&lt;="&amp;$D4527,[1]内部转账!$E:$E,$G4527)-SUMIFS([1]内部转账!$G:$G,[1]内部转账!$C:$C,"&lt;="&amp;$D4527,[1]内部转账!$F:$F,$G4527)),"")</f>
        <v/>
      </c>
      <c r="M4527" s="64"/>
      <c r="N4527" s="69"/>
      <c r="O4527" s="64"/>
      <c r="P4527" s="64"/>
      <c r="Q4527" s="69"/>
      <c r="R4527" s="69"/>
      <c r="S4527" s="69"/>
    </row>
    <row r="4528" s="2" customFormat="1" ht="24.95" customHeight="1" spans="1:19">
      <c r="A4528" s="15"/>
      <c r="B4528" s="55"/>
      <c r="C4528" s="56"/>
      <c r="D4528" s="68"/>
      <c r="E4528" s="69"/>
      <c r="F4528" s="69"/>
      <c r="G4528" s="65"/>
      <c r="H4528" s="65"/>
      <c r="I4528" s="70"/>
      <c r="J4528" s="71"/>
      <c r="K4528" s="71"/>
      <c r="L4528" s="72" t="str">
        <f>IFERROR(IF(G4528="","",VLOOKUP($G4528,[1]基础信息!$B:$C,2,FALSE)+SUMIF(G$8:G4528,G4528,J$8:J4528)-SUMIF(G$8:G4528,G4528,K$8:K4528)+SUMIFS([1]内部转账!$G:$G,[1]内部转账!$C:$C,"&lt;="&amp;$D4528,[1]内部转账!$E:$E,$G4528)-SUMIFS([1]内部转账!$G:$G,[1]内部转账!$C:$C,"&lt;="&amp;$D4528,[1]内部转账!$F:$F,$G4528)),"")</f>
        <v/>
      </c>
      <c r="M4528" s="64"/>
      <c r="N4528" s="69"/>
      <c r="O4528" s="64"/>
      <c r="P4528" s="64"/>
      <c r="Q4528" s="69"/>
      <c r="R4528" s="69"/>
      <c r="S4528" s="69"/>
    </row>
    <row r="4529" s="2" customFormat="1" ht="24.95" customHeight="1" spans="1:19">
      <c r="A4529" s="15"/>
      <c r="B4529" s="55"/>
      <c r="C4529" s="56"/>
      <c r="D4529" s="68"/>
      <c r="E4529" s="69"/>
      <c r="F4529" s="69"/>
      <c r="G4529" s="65"/>
      <c r="H4529" s="65"/>
      <c r="I4529" s="70"/>
      <c r="J4529" s="71"/>
      <c r="K4529" s="71"/>
      <c r="L4529" s="72" t="str">
        <f>IFERROR(IF(G4529="","",VLOOKUP($G4529,[1]基础信息!$B:$C,2,FALSE)+SUMIF(G$8:G4529,G4529,J$8:J4529)-SUMIF(G$8:G4529,G4529,K$8:K4529)+SUMIFS([1]内部转账!$G:$G,[1]内部转账!$C:$C,"&lt;="&amp;$D4529,[1]内部转账!$E:$E,$G4529)-SUMIFS([1]内部转账!$G:$G,[1]内部转账!$C:$C,"&lt;="&amp;$D4529,[1]内部转账!$F:$F,$G4529)),"")</f>
        <v/>
      </c>
      <c r="M4529" s="64"/>
      <c r="N4529" s="69"/>
      <c r="O4529" s="64"/>
      <c r="P4529" s="64"/>
      <c r="Q4529" s="69"/>
      <c r="R4529" s="69"/>
      <c r="S4529" s="69"/>
    </row>
    <row r="4530" s="2" customFormat="1" ht="24.95" customHeight="1" spans="1:19">
      <c r="A4530" s="15"/>
      <c r="B4530" s="55"/>
      <c r="C4530" s="56"/>
      <c r="D4530" s="68"/>
      <c r="E4530" s="69"/>
      <c r="F4530" s="69"/>
      <c r="G4530" s="65"/>
      <c r="H4530" s="65"/>
      <c r="I4530" s="70"/>
      <c r="J4530" s="71"/>
      <c r="K4530" s="71"/>
      <c r="L4530" s="72" t="str">
        <f>IFERROR(IF(G4530="","",VLOOKUP($G4530,[1]基础信息!$B:$C,2,FALSE)+SUMIF(G$8:G4530,G4530,J$8:J4530)-SUMIF(G$8:G4530,G4530,K$8:K4530)+SUMIFS([1]内部转账!$G:$G,[1]内部转账!$C:$C,"&lt;="&amp;$D4530,[1]内部转账!$E:$E,$G4530)-SUMIFS([1]内部转账!$G:$G,[1]内部转账!$C:$C,"&lt;="&amp;$D4530,[1]内部转账!$F:$F,$G4530)),"")</f>
        <v/>
      </c>
      <c r="M4530" s="64"/>
      <c r="N4530" s="69"/>
      <c r="O4530" s="64"/>
      <c r="P4530" s="64"/>
      <c r="Q4530" s="69"/>
      <c r="R4530" s="69"/>
      <c r="S4530" s="69"/>
    </row>
    <row r="4531" s="2" customFormat="1" ht="24.95" customHeight="1" spans="1:19">
      <c r="A4531" s="15"/>
      <c r="B4531" s="55"/>
      <c r="C4531" s="56"/>
      <c r="D4531" s="68"/>
      <c r="E4531" s="69"/>
      <c r="F4531" s="69"/>
      <c r="G4531" s="65"/>
      <c r="H4531" s="65"/>
      <c r="I4531" s="70"/>
      <c r="J4531" s="71"/>
      <c r="K4531" s="71"/>
      <c r="L4531" s="72" t="str">
        <f>IFERROR(IF(G4531="","",VLOOKUP($G4531,[1]基础信息!$B:$C,2,FALSE)+SUMIF(G$8:G4531,G4531,J$8:J4531)-SUMIF(G$8:G4531,G4531,K$8:K4531)+SUMIFS([1]内部转账!$G:$G,[1]内部转账!$C:$C,"&lt;="&amp;$D4531,[1]内部转账!$E:$E,$G4531)-SUMIFS([1]内部转账!$G:$G,[1]内部转账!$C:$C,"&lt;="&amp;$D4531,[1]内部转账!$F:$F,$G4531)),"")</f>
        <v/>
      </c>
      <c r="M4531" s="64"/>
      <c r="N4531" s="69"/>
      <c r="O4531" s="64"/>
      <c r="P4531" s="64"/>
      <c r="Q4531" s="69"/>
      <c r="R4531" s="69"/>
      <c r="S4531" s="69"/>
    </row>
    <row r="4532" s="2" customFormat="1" ht="24.95" customHeight="1" spans="1:19">
      <c r="A4532" s="15"/>
      <c r="B4532" s="55"/>
      <c r="C4532" s="56"/>
      <c r="D4532" s="68"/>
      <c r="E4532" s="69"/>
      <c r="F4532" s="69"/>
      <c r="G4532" s="65"/>
      <c r="H4532" s="65"/>
      <c r="I4532" s="70"/>
      <c r="J4532" s="71"/>
      <c r="K4532" s="71"/>
      <c r="L4532" s="72" t="str">
        <f>IFERROR(IF(G4532="","",VLOOKUP($G4532,[1]基础信息!$B:$C,2,FALSE)+SUMIF(G$8:G4532,G4532,J$8:J4532)-SUMIF(G$8:G4532,G4532,K$8:K4532)+SUMIFS([1]内部转账!$G:$G,[1]内部转账!$C:$C,"&lt;="&amp;$D4532,[1]内部转账!$E:$E,$G4532)-SUMIFS([1]内部转账!$G:$G,[1]内部转账!$C:$C,"&lt;="&amp;$D4532,[1]内部转账!$F:$F,$G4532)),"")</f>
        <v/>
      </c>
      <c r="M4532" s="64"/>
      <c r="N4532" s="69"/>
      <c r="O4532" s="64"/>
      <c r="P4532" s="64"/>
      <c r="Q4532" s="69"/>
      <c r="R4532" s="69"/>
      <c r="S4532" s="69"/>
    </row>
    <row r="4533" s="2" customFormat="1" ht="24.95" customHeight="1" spans="1:19">
      <c r="A4533" s="15"/>
      <c r="B4533" s="55"/>
      <c r="C4533" s="56"/>
      <c r="D4533" s="68"/>
      <c r="E4533" s="69"/>
      <c r="F4533" s="69"/>
      <c r="G4533" s="65"/>
      <c r="H4533" s="65"/>
      <c r="I4533" s="70"/>
      <c r="J4533" s="71"/>
      <c r="K4533" s="71"/>
      <c r="L4533" s="72" t="str">
        <f>IFERROR(IF(G4533="","",VLOOKUP($G4533,[1]基础信息!$B:$C,2,FALSE)+SUMIF(G$8:G4533,G4533,J$8:J4533)-SUMIF(G$8:G4533,G4533,K$8:K4533)+SUMIFS([1]内部转账!$G:$G,[1]内部转账!$C:$C,"&lt;="&amp;$D4533,[1]内部转账!$E:$E,$G4533)-SUMIFS([1]内部转账!$G:$G,[1]内部转账!$C:$C,"&lt;="&amp;$D4533,[1]内部转账!$F:$F,$G4533)),"")</f>
        <v/>
      </c>
      <c r="M4533" s="64"/>
      <c r="N4533" s="69"/>
      <c r="O4533" s="64"/>
      <c r="P4533" s="64"/>
      <c r="Q4533" s="69"/>
      <c r="R4533" s="69"/>
      <c r="S4533" s="69"/>
    </row>
    <row r="4534" s="2" customFormat="1" ht="24.95" customHeight="1" spans="1:19">
      <c r="A4534" s="15"/>
      <c r="B4534" s="55"/>
      <c r="C4534" s="56"/>
      <c r="D4534" s="68"/>
      <c r="E4534" s="69"/>
      <c r="F4534" s="69"/>
      <c r="G4534" s="65"/>
      <c r="H4534" s="65"/>
      <c r="I4534" s="70"/>
      <c r="J4534" s="71"/>
      <c r="K4534" s="71"/>
      <c r="L4534" s="72" t="str">
        <f>IFERROR(IF(G4534="","",VLOOKUP($G4534,[1]基础信息!$B:$C,2,FALSE)+SUMIF(G$8:G4534,G4534,J$8:J4534)-SUMIF(G$8:G4534,G4534,K$8:K4534)+SUMIFS([1]内部转账!$G:$G,[1]内部转账!$C:$C,"&lt;="&amp;$D4534,[1]内部转账!$E:$E,$G4534)-SUMIFS([1]内部转账!$G:$G,[1]内部转账!$C:$C,"&lt;="&amp;$D4534,[1]内部转账!$F:$F,$G4534)),"")</f>
        <v/>
      </c>
      <c r="M4534" s="64"/>
      <c r="N4534" s="69"/>
      <c r="O4534" s="64"/>
      <c r="P4534" s="64"/>
      <c r="Q4534" s="69"/>
      <c r="R4534" s="69"/>
      <c r="S4534" s="69"/>
    </row>
    <row r="4535" s="2" customFormat="1" ht="24.95" customHeight="1" spans="1:19">
      <c r="A4535" s="15"/>
      <c r="B4535" s="55"/>
      <c r="C4535" s="56"/>
      <c r="D4535" s="68"/>
      <c r="E4535" s="69"/>
      <c r="F4535" s="69"/>
      <c r="G4535" s="65"/>
      <c r="H4535" s="65"/>
      <c r="I4535" s="70"/>
      <c r="J4535" s="71"/>
      <c r="K4535" s="71"/>
      <c r="L4535" s="72" t="str">
        <f>IFERROR(IF(G4535="","",VLOOKUP($G4535,[1]基础信息!$B:$C,2,FALSE)+SUMIF(G$8:G4535,G4535,J$8:J4535)-SUMIF(G$8:G4535,G4535,K$8:K4535)+SUMIFS([1]内部转账!$G:$G,[1]内部转账!$C:$C,"&lt;="&amp;$D4535,[1]内部转账!$E:$E,$G4535)-SUMIFS([1]内部转账!$G:$G,[1]内部转账!$C:$C,"&lt;="&amp;$D4535,[1]内部转账!$F:$F,$G4535)),"")</f>
        <v/>
      </c>
      <c r="M4535" s="64"/>
      <c r="N4535" s="69"/>
      <c r="O4535" s="64"/>
      <c r="P4535" s="64"/>
      <c r="Q4535" s="69"/>
      <c r="R4535" s="69"/>
      <c r="S4535" s="69"/>
    </row>
    <row r="4536" s="2" customFormat="1" ht="24.95" customHeight="1" spans="1:19">
      <c r="A4536" s="15"/>
      <c r="B4536" s="55"/>
      <c r="C4536" s="56"/>
      <c r="D4536" s="68"/>
      <c r="E4536" s="69"/>
      <c r="F4536" s="69"/>
      <c r="G4536" s="65"/>
      <c r="H4536" s="65"/>
      <c r="I4536" s="70"/>
      <c r="J4536" s="71"/>
      <c r="K4536" s="71"/>
      <c r="L4536" s="72" t="str">
        <f>IFERROR(IF(G4536="","",VLOOKUP($G4536,[1]基础信息!$B:$C,2,FALSE)+SUMIF(G$8:G4536,G4536,J$8:J4536)-SUMIF(G$8:G4536,G4536,K$8:K4536)+SUMIFS([1]内部转账!$G:$G,[1]内部转账!$C:$C,"&lt;="&amp;$D4536,[1]内部转账!$E:$E,$G4536)-SUMIFS([1]内部转账!$G:$G,[1]内部转账!$C:$C,"&lt;="&amp;$D4536,[1]内部转账!$F:$F,$G4536)),"")</f>
        <v/>
      </c>
      <c r="M4536" s="64"/>
      <c r="N4536" s="69"/>
      <c r="O4536" s="64"/>
      <c r="P4536" s="64"/>
      <c r="Q4536" s="69"/>
      <c r="R4536" s="69"/>
      <c r="S4536" s="69"/>
    </row>
    <row r="4537" s="2" customFormat="1" ht="24.95" customHeight="1" spans="1:19">
      <c r="A4537" s="15"/>
      <c r="B4537" s="55"/>
      <c r="C4537" s="56"/>
      <c r="D4537" s="68"/>
      <c r="E4537" s="69"/>
      <c r="F4537" s="69"/>
      <c r="G4537" s="65"/>
      <c r="H4537" s="65"/>
      <c r="I4537" s="70"/>
      <c r="J4537" s="71"/>
      <c r="K4537" s="71"/>
      <c r="L4537" s="72" t="str">
        <f>IFERROR(IF(G4537="","",VLOOKUP($G4537,[1]基础信息!$B:$C,2,FALSE)+SUMIF(G$8:G4537,G4537,J$8:J4537)-SUMIF(G$8:G4537,G4537,K$8:K4537)+SUMIFS([1]内部转账!$G:$G,[1]内部转账!$C:$C,"&lt;="&amp;$D4537,[1]内部转账!$E:$E,$G4537)-SUMIFS([1]内部转账!$G:$G,[1]内部转账!$C:$C,"&lt;="&amp;$D4537,[1]内部转账!$F:$F,$G4537)),"")</f>
        <v/>
      </c>
      <c r="M4537" s="64"/>
      <c r="N4537" s="69"/>
      <c r="O4537" s="64"/>
      <c r="P4537" s="64"/>
      <c r="Q4537" s="69"/>
      <c r="R4537" s="69"/>
      <c r="S4537" s="69"/>
    </row>
    <row r="4538" s="2" customFormat="1" ht="24.95" customHeight="1" spans="1:19">
      <c r="A4538" s="15"/>
      <c r="B4538" s="55"/>
      <c r="C4538" s="56"/>
      <c r="D4538" s="68"/>
      <c r="E4538" s="69"/>
      <c r="F4538" s="69"/>
      <c r="G4538" s="65"/>
      <c r="H4538" s="65"/>
      <c r="I4538" s="70"/>
      <c r="J4538" s="71"/>
      <c r="K4538" s="71"/>
      <c r="L4538" s="72" t="str">
        <f>IFERROR(IF(G4538="","",VLOOKUP($G4538,[1]基础信息!$B:$C,2,FALSE)+SUMIF(G$8:G4538,G4538,J$8:J4538)-SUMIF(G$8:G4538,G4538,K$8:K4538)+SUMIFS([1]内部转账!$G:$G,[1]内部转账!$C:$C,"&lt;="&amp;$D4538,[1]内部转账!$E:$E,$G4538)-SUMIFS([1]内部转账!$G:$G,[1]内部转账!$C:$C,"&lt;="&amp;$D4538,[1]内部转账!$F:$F,$G4538)),"")</f>
        <v/>
      </c>
      <c r="M4538" s="64"/>
      <c r="N4538" s="69"/>
      <c r="O4538" s="64"/>
      <c r="P4538" s="64"/>
      <c r="Q4538" s="69"/>
      <c r="R4538" s="69"/>
      <c r="S4538" s="69"/>
    </row>
    <row r="4539" s="2" customFormat="1" ht="24.95" customHeight="1" spans="1:19">
      <c r="A4539" s="15"/>
      <c r="B4539" s="55"/>
      <c r="C4539" s="56"/>
      <c r="D4539" s="68"/>
      <c r="E4539" s="69"/>
      <c r="F4539" s="69"/>
      <c r="G4539" s="65"/>
      <c r="H4539" s="65"/>
      <c r="I4539" s="70"/>
      <c r="J4539" s="71"/>
      <c r="K4539" s="71"/>
      <c r="L4539" s="72" t="str">
        <f>IFERROR(IF(G4539="","",VLOOKUP($G4539,[1]基础信息!$B:$C,2,FALSE)+SUMIF(G$8:G4539,G4539,J$8:J4539)-SUMIF(G$8:G4539,G4539,K$8:K4539)+SUMIFS([1]内部转账!$G:$G,[1]内部转账!$C:$C,"&lt;="&amp;$D4539,[1]内部转账!$E:$E,$G4539)-SUMIFS([1]内部转账!$G:$G,[1]内部转账!$C:$C,"&lt;="&amp;$D4539,[1]内部转账!$F:$F,$G4539)),"")</f>
        <v/>
      </c>
      <c r="M4539" s="64"/>
      <c r="N4539" s="69"/>
      <c r="O4539" s="64"/>
      <c r="P4539" s="64"/>
      <c r="Q4539" s="69"/>
      <c r="R4539" s="69"/>
      <c r="S4539" s="69"/>
    </row>
    <row r="4540" s="2" customFormat="1" ht="24.95" customHeight="1" spans="1:19">
      <c r="A4540" s="15"/>
      <c r="B4540" s="55"/>
      <c r="C4540" s="56"/>
      <c r="D4540" s="68"/>
      <c r="E4540" s="69"/>
      <c r="F4540" s="69"/>
      <c r="G4540" s="65"/>
      <c r="H4540" s="65"/>
      <c r="I4540" s="70"/>
      <c r="J4540" s="71"/>
      <c r="K4540" s="71"/>
      <c r="L4540" s="72" t="str">
        <f>IFERROR(IF(G4540="","",VLOOKUP($G4540,[1]基础信息!$B:$C,2,FALSE)+SUMIF(G$8:G4540,G4540,J$8:J4540)-SUMIF(G$8:G4540,G4540,K$8:K4540)+SUMIFS([1]内部转账!$G:$G,[1]内部转账!$C:$C,"&lt;="&amp;$D4540,[1]内部转账!$E:$E,$G4540)-SUMIFS([1]内部转账!$G:$G,[1]内部转账!$C:$C,"&lt;="&amp;$D4540,[1]内部转账!$F:$F,$G4540)),"")</f>
        <v/>
      </c>
      <c r="M4540" s="64"/>
      <c r="N4540" s="69"/>
      <c r="O4540" s="64"/>
      <c r="P4540" s="64"/>
      <c r="Q4540" s="69"/>
      <c r="R4540" s="69"/>
      <c r="S4540" s="69"/>
    </row>
    <row r="4541" s="2" customFormat="1" ht="24.95" customHeight="1" spans="1:19">
      <c r="A4541" s="15"/>
      <c r="B4541" s="55"/>
      <c r="C4541" s="56"/>
      <c r="D4541" s="68"/>
      <c r="E4541" s="69"/>
      <c r="F4541" s="69"/>
      <c r="G4541" s="65"/>
      <c r="H4541" s="65"/>
      <c r="I4541" s="70"/>
      <c r="J4541" s="71"/>
      <c r="K4541" s="71"/>
      <c r="L4541" s="72" t="str">
        <f>IFERROR(IF(G4541="","",VLOOKUP($G4541,[1]基础信息!$B:$C,2,FALSE)+SUMIF(G$8:G4541,G4541,J$8:J4541)-SUMIF(G$8:G4541,G4541,K$8:K4541)+SUMIFS([1]内部转账!$G:$G,[1]内部转账!$C:$C,"&lt;="&amp;$D4541,[1]内部转账!$E:$E,$G4541)-SUMIFS([1]内部转账!$G:$G,[1]内部转账!$C:$C,"&lt;="&amp;$D4541,[1]内部转账!$F:$F,$G4541)),"")</f>
        <v/>
      </c>
      <c r="M4541" s="64"/>
      <c r="N4541" s="69"/>
      <c r="O4541" s="64"/>
      <c r="P4541" s="64"/>
      <c r="Q4541" s="69"/>
      <c r="R4541" s="69"/>
      <c r="S4541" s="69"/>
    </row>
    <row r="4542" s="2" customFormat="1" ht="24.95" customHeight="1" spans="1:19">
      <c r="A4542" s="15"/>
      <c r="B4542" s="55"/>
      <c r="C4542" s="56"/>
      <c r="D4542" s="68"/>
      <c r="E4542" s="69"/>
      <c r="F4542" s="69"/>
      <c r="G4542" s="65"/>
      <c r="H4542" s="65"/>
      <c r="I4542" s="70"/>
      <c r="J4542" s="71"/>
      <c r="K4542" s="71"/>
      <c r="L4542" s="72" t="str">
        <f>IFERROR(IF(G4542="","",VLOOKUP($G4542,[1]基础信息!$B:$C,2,FALSE)+SUMIF(G$8:G4542,G4542,J$8:J4542)-SUMIF(G$8:G4542,G4542,K$8:K4542)+SUMIFS([1]内部转账!$G:$G,[1]内部转账!$C:$C,"&lt;="&amp;$D4542,[1]内部转账!$E:$E,$G4542)-SUMIFS([1]内部转账!$G:$G,[1]内部转账!$C:$C,"&lt;="&amp;$D4542,[1]内部转账!$F:$F,$G4542)),"")</f>
        <v/>
      </c>
      <c r="M4542" s="64"/>
      <c r="N4542" s="69"/>
      <c r="O4542" s="64"/>
      <c r="P4542" s="64"/>
      <c r="Q4542" s="69"/>
      <c r="R4542" s="69"/>
      <c r="S4542" s="69"/>
    </row>
    <row r="4543" s="2" customFormat="1" ht="24.95" customHeight="1" spans="1:19">
      <c r="A4543" s="15"/>
      <c r="B4543" s="55"/>
      <c r="C4543" s="56"/>
      <c r="D4543" s="68"/>
      <c r="E4543" s="69"/>
      <c r="F4543" s="69"/>
      <c r="G4543" s="65"/>
      <c r="H4543" s="65"/>
      <c r="I4543" s="70"/>
      <c r="J4543" s="71"/>
      <c r="K4543" s="71"/>
      <c r="L4543" s="72" t="str">
        <f>IFERROR(IF(G4543="","",VLOOKUP($G4543,[1]基础信息!$B:$C,2,FALSE)+SUMIF(G$8:G4543,G4543,J$8:J4543)-SUMIF(G$8:G4543,G4543,K$8:K4543)+SUMIFS([1]内部转账!$G:$G,[1]内部转账!$C:$C,"&lt;="&amp;$D4543,[1]内部转账!$E:$E,$G4543)-SUMIFS([1]内部转账!$G:$G,[1]内部转账!$C:$C,"&lt;="&amp;$D4543,[1]内部转账!$F:$F,$G4543)),"")</f>
        <v/>
      </c>
      <c r="M4543" s="64"/>
      <c r="N4543" s="69"/>
      <c r="O4543" s="64"/>
      <c r="P4543" s="64"/>
      <c r="Q4543" s="69"/>
      <c r="R4543" s="69"/>
      <c r="S4543" s="69"/>
    </row>
    <row r="4544" s="2" customFormat="1" ht="24.95" customHeight="1" spans="1:19">
      <c r="A4544" s="15"/>
      <c r="B4544" s="55"/>
      <c r="C4544" s="56"/>
      <c r="D4544" s="68"/>
      <c r="E4544" s="69"/>
      <c r="F4544" s="69"/>
      <c r="G4544" s="65"/>
      <c r="H4544" s="65"/>
      <c r="I4544" s="70"/>
      <c r="J4544" s="71"/>
      <c r="K4544" s="71"/>
      <c r="L4544" s="72" t="str">
        <f>IFERROR(IF(G4544="","",VLOOKUP($G4544,[1]基础信息!$B:$C,2,FALSE)+SUMIF(G$8:G4544,G4544,J$8:J4544)-SUMIF(G$8:G4544,G4544,K$8:K4544)+SUMIFS([1]内部转账!$G:$G,[1]内部转账!$C:$C,"&lt;="&amp;$D4544,[1]内部转账!$E:$E,$G4544)-SUMIFS([1]内部转账!$G:$G,[1]内部转账!$C:$C,"&lt;="&amp;$D4544,[1]内部转账!$F:$F,$G4544)),"")</f>
        <v/>
      </c>
      <c r="M4544" s="64"/>
      <c r="N4544" s="69"/>
      <c r="O4544" s="64"/>
      <c r="P4544" s="64"/>
      <c r="Q4544" s="69"/>
      <c r="R4544" s="69"/>
      <c r="S4544" s="69"/>
    </row>
    <row r="4545" s="2" customFormat="1" ht="24.95" customHeight="1" spans="1:19">
      <c r="A4545" s="15"/>
      <c r="B4545" s="55"/>
      <c r="C4545" s="56"/>
      <c r="D4545" s="68"/>
      <c r="E4545" s="69"/>
      <c r="F4545" s="69"/>
      <c r="G4545" s="65"/>
      <c r="H4545" s="65"/>
      <c r="I4545" s="70"/>
      <c r="J4545" s="71"/>
      <c r="K4545" s="71"/>
      <c r="L4545" s="72" t="str">
        <f>IFERROR(IF(G4545="","",VLOOKUP($G4545,[1]基础信息!$B:$C,2,FALSE)+SUMIF(G$8:G4545,G4545,J$8:J4545)-SUMIF(G$8:G4545,G4545,K$8:K4545)+SUMIFS([1]内部转账!$G:$G,[1]内部转账!$C:$C,"&lt;="&amp;$D4545,[1]内部转账!$E:$E,$G4545)-SUMIFS([1]内部转账!$G:$G,[1]内部转账!$C:$C,"&lt;="&amp;$D4545,[1]内部转账!$F:$F,$G4545)),"")</f>
        <v/>
      </c>
      <c r="M4545" s="64"/>
      <c r="N4545" s="69"/>
      <c r="O4545" s="64"/>
      <c r="P4545" s="64"/>
      <c r="Q4545" s="69"/>
      <c r="R4545" s="69"/>
      <c r="S4545" s="69"/>
    </row>
    <row r="4546" s="2" customFormat="1" ht="24.95" customHeight="1" spans="1:19">
      <c r="A4546" s="15"/>
      <c r="B4546" s="55"/>
      <c r="C4546" s="56"/>
      <c r="D4546" s="68"/>
      <c r="E4546" s="69"/>
      <c r="F4546" s="69"/>
      <c r="G4546" s="65"/>
      <c r="H4546" s="65"/>
      <c r="I4546" s="70"/>
      <c r="J4546" s="71"/>
      <c r="K4546" s="71"/>
      <c r="L4546" s="72" t="str">
        <f>IFERROR(IF(G4546="","",VLOOKUP($G4546,[1]基础信息!$B:$C,2,FALSE)+SUMIF(G$8:G4546,G4546,J$8:J4546)-SUMIF(G$8:G4546,G4546,K$8:K4546)+SUMIFS([1]内部转账!$G:$G,[1]内部转账!$C:$C,"&lt;="&amp;$D4546,[1]内部转账!$E:$E,$G4546)-SUMIFS([1]内部转账!$G:$G,[1]内部转账!$C:$C,"&lt;="&amp;$D4546,[1]内部转账!$F:$F,$G4546)),"")</f>
        <v/>
      </c>
      <c r="M4546" s="64"/>
      <c r="N4546" s="69"/>
      <c r="O4546" s="64"/>
      <c r="P4546" s="64"/>
      <c r="Q4546" s="69"/>
      <c r="R4546" s="69"/>
      <c r="S4546" s="69"/>
    </row>
    <row r="4547" s="2" customFormat="1" ht="24.95" customHeight="1" spans="1:19">
      <c r="A4547" s="15"/>
      <c r="B4547" s="55"/>
      <c r="C4547" s="56"/>
      <c r="D4547" s="68"/>
      <c r="E4547" s="69"/>
      <c r="F4547" s="69"/>
      <c r="G4547" s="65"/>
      <c r="H4547" s="65"/>
      <c r="I4547" s="70"/>
      <c r="J4547" s="71"/>
      <c r="K4547" s="71"/>
      <c r="L4547" s="72" t="str">
        <f>IFERROR(IF(G4547="","",VLOOKUP($G4547,[1]基础信息!$B:$C,2,FALSE)+SUMIF(G$8:G4547,G4547,J$8:J4547)-SUMIF(G$8:G4547,G4547,K$8:K4547)+SUMIFS([1]内部转账!$G:$G,[1]内部转账!$C:$C,"&lt;="&amp;$D4547,[1]内部转账!$E:$E,$G4547)-SUMIFS([1]内部转账!$G:$G,[1]内部转账!$C:$C,"&lt;="&amp;$D4547,[1]内部转账!$F:$F,$G4547)),"")</f>
        <v/>
      </c>
      <c r="M4547" s="64"/>
      <c r="N4547" s="69"/>
      <c r="O4547" s="64"/>
      <c r="P4547" s="64"/>
      <c r="Q4547" s="69"/>
      <c r="R4547" s="69"/>
      <c r="S4547" s="69"/>
    </row>
    <row r="4548" s="2" customFormat="1" ht="24.95" customHeight="1" spans="1:19">
      <c r="A4548" s="15"/>
      <c r="B4548" s="55"/>
      <c r="C4548" s="56"/>
      <c r="D4548" s="68"/>
      <c r="E4548" s="69"/>
      <c r="F4548" s="69"/>
      <c r="G4548" s="65"/>
      <c r="H4548" s="65"/>
      <c r="I4548" s="70"/>
      <c r="J4548" s="71"/>
      <c r="K4548" s="71"/>
      <c r="L4548" s="72" t="str">
        <f>IFERROR(IF(G4548="","",VLOOKUP($G4548,[1]基础信息!$B:$C,2,FALSE)+SUMIF(G$8:G4548,G4548,J$8:J4548)-SUMIF(G$8:G4548,G4548,K$8:K4548)+SUMIFS([1]内部转账!$G:$G,[1]内部转账!$C:$C,"&lt;="&amp;$D4548,[1]内部转账!$E:$E,$G4548)-SUMIFS([1]内部转账!$G:$G,[1]内部转账!$C:$C,"&lt;="&amp;$D4548,[1]内部转账!$F:$F,$G4548)),"")</f>
        <v/>
      </c>
      <c r="M4548" s="64"/>
      <c r="N4548" s="69"/>
      <c r="O4548" s="64"/>
      <c r="P4548" s="64"/>
      <c r="Q4548" s="69"/>
      <c r="R4548" s="69"/>
      <c r="S4548" s="69"/>
    </row>
    <row r="4549" s="2" customFormat="1" ht="24.95" customHeight="1" spans="1:19">
      <c r="A4549" s="15"/>
      <c r="B4549" s="55"/>
      <c r="C4549" s="56"/>
      <c r="D4549" s="68"/>
      <c r="E4549" s="69"/>
      <c r="F4549" s="69"/>
      <c r="G4549" s="65"/>
      <c r="H4549" s="65"/>
      <c r="I4549" s="70"/>
      <c r="J4549" s="71"/>
      <c r="K4549" s="71"/>
      <c r="L4549" s="72" t="str">
        <f>IFERROR(IF(G4549="","",VLOOKUP($G4549,[1]基础信息!$B:$C,2,FALSE)+SUMIF(G$8:G4549,G4549,J$8:J4549)-SUMIF(G$8:G4549,G4549,K$8:K4549)+SUMIFS([1]内部转账!$G:$G,[1]内部转账!$C:$C,"&lt;="&amp;$D4549,[1]内部转账!$E:$E,$G4549)-SUMIFS([1]内部转账!$G:$G,[1]内部转账!$C:$C,"&lt;="&amp;$D4549,[1]内部转账!$F:$F,$G4549)),"")</f>
        <v/>
      </c>
      <c r="M4549" s="64"/>
      <c r="N4549" s="69"/>
      <c r="O4549" s="64"/>
      <c r="P4549" s="64"/>
      <c r="Q4549" s="69"/>
      <c r="R4549" s="69"/>
      <c r="S4549" s="69"/>
    </row>
    <row r="4550" s="2" customFormat="1" ht="24.95" customHeight="1" spans="1:19">
      <c r="A4550" s="15"/>
      <c r="B4550" s="55"/>
      <c r="C4550" s="56"/>
      <c r="D4550" s="68"/>
      <c r="E4550" s="69"/>
      <c r="F4550" s="69"/>
      <c r="G4550" s="65"/>
      <c r="H4550" s="65"/>
      <c r="I4550" s="70"/>
      <c r="J4550" s="71"/>
      <c r="K4550" s="71"/>
      <c r="L4550" s="72" t="str">
        <f>IFERROR(IF(G4550="","",VLOOKUP($G4550,[1]基础信息!$B:$C,2,FALSE)+SUMIF(G$8:G4550,G4550,J$8:J4550)-SUMIF(G$8:G4550,G4550,K$8:K4550)+SUMIFS([1]内部转账!$G:$G,[1]内部转账!$C:$C,"&lt;="&amp;$D4550,[1]内部转账!$E:$E,$G4550)-SUMIFS([1]内部转账!$G:$G,[1]内部转账!$C:$C,"&lt;="&amp;$D4550,[1]内部转账!$F:$F,$G4550)),"")</f>
        <v/>
      </c>
      <c r="M4550" s="64"/>
      <c r="N4550" s="69"/>
      <c r="O4550" s="64"/>
      <c r="P4550" s="64"/>
      <c r="Q4550" s="69"/>
      <c r="R4550" s="69"/>
      <c r="S4550" s="69"/>
    </row>
    <row r="4551" s="2" customFormat="1" ht="24.95" customHeight="1" spans="1:19">
      <c r="A4551" s="15"/>
      <c r="B4551" s="55"/>
      <c r="C4551" s="56"/>
      <c r="D4551" s="68"/>
      <c r="E4551" s="69"/>
      <c r="F4551" s="69"/>
      <c r="G4551" s="65"/>
      <c r="H4551" s="65"/>
      <c r="I4551" s="70"/>
      <c r="J4551" s="71"/>
      <c r="K4551" s="71"/>
      <c r="L4551" s="72" t="str">
        <f>IFERROR(IF(G4551="","",VLOOKUP($G4551,[1]基础信息!$B:$C,2,FALSE)+SUMIF(G$8:G4551,G4551,J$8:J4551)-SUMIF(G$8:G4551,G4551,K$8:K4551)+SUMIFS([1]内部转账!$G:$G,[1]内部转账!$C:$C,"&lt;="&amp;$D4551,[1]内部转账!$E:$E,$G4551)-SUMIFS([1]内部转账!$G:$G,[1]内部转账!$C:$C,"&lt;="&amp;$D4551,[1]内部转账!$F:$F,$G4551)),"")</f>
        <v/>
      </c>
      <c r="M4551" s="64"/>
      <c r="N4551" s="69"/>
      <c r="O4551" s="64"/>
      <c r="P4551" s="64"/>
      <c r="Q4551" s="69"/>
      <c r="R4551" s="69"/>
      <c r="S4551" s="69"/>
    </row>
    <row r="4552" s="2" customFormat="1" ht="24.95" customHeight="1" spans="1:19">
      <c r="A4552" s="15"/>
      <c r="B4552" s="55"/>
      <c r="C4552" s="56"/>
      <c r="D4552" s="68"/>
      <c r="E4552" s="69"/>
      <c r="F4552" s="69"/>
      <c r="G4552" s="65"/>
      <c r="H4552" s="65"/>
      <c r="I4552" s="70"/>
      <c r="J4552" s="71"/>
      <c r="K4552" s="71"/>
      <c r="L4552" s="72" t="str">
        <f>IFERROR(IF(G4552="","",VLOOKUP($G4552,[1]基础信息!$B:$C,2,FALSE)+SUMIF(G$8:G4552,G4552,J$8:J4552)-SUMIF(G$8:G4552,G4552,K$8:K4552)+SUMIFS([1]内部转账!$G:$G,[1]内部转账!$C:$C,"&lt;="&amp;$D4552,[1]内部转账!$E:$E,$G4552)-SUMIFS([1]内部转账!$G:$G,[1]内部转账!$C:$C,"&lt;="&amp;$D4552,[1]内部转账!$F:$F,$G4552)),"")</f>
        <v/>
      </c>
      <c r="M4552" s="64"/>
      <c r="N4552" s="69"/>
      <c r="O4552" s="64"/>
      <c r="P4552" s="64"/>
      <c r="Q4552" s="69"/>
      <c r="R4552" s="69"/>
      <c r="S4552" s="69"/>
    </row>
    <row r="4553" s="2" customFormat="1" ht="24.95" customHeight="1" spans="1:19">
      <c r="A4553" s="15"/>
      <c r="B4553" s="55"/>
      <c r="C4553" s="56"/>
      <c r="D4553" s="68"/>
      <c r="E4553" s="69"/>
      <c r="F4553" s="69"/>
      <c r="G4553" s="65"/>
      <c r="H4553" s="65"/>
      <c r="I4553" s="70"/>
      <c r="J4553" s="71"/>
      <c r="K4553" s="71"/>
      <c r="L4553" s="72" t="str">
        <f>IFERROR(IF(G4553="","",VLOOKUP($G4553,[1]基础信息!$B:$C,2,FALSE)+SUMIF(G$8:G4553,G4553,J$8:J4553)-SUMIF(G$8:G4553,G4553,K$8:K4553)+SUMIFS([1]内部转账!$G:$G,[1]内部转账!$C:$C,"&lt;="&amp;$D4553,[1]内部转账!$E:$E,$G4553)-SUMIFS([1]内部转账!$G:$G,[1]内部转账!$C:$C,"&lt;="&amp;$D4553,[1]内部转账!$F:$F,$G4553)),"")</f>
        <v/>
      </c>
      <c r="M4553" s="64"/>
      <c r="N4553" s="69"/>
      <c r="O4553" s="64"/>
      <c r="P4553" s="64"/>
      <c r="Q4553" s="69"/>
      <c r="R4553" s="69"/>
      <c r="S4553" s="69"/>
    </row>
    <row r="4554" s="2" customFormat="1" ht="24.95" customHeight="1" spans="1:19">
      <c r="A4554" s="15"/>
      <c r="B4554" s="55"/>
      <c r="C4554" s="56"/>
      <c r="D4554" s="68"/>
      <c r="E4554" s="69"/>
      <c r="F4554" s="69"/>
      <c r="G4554" s="65"/>
      <c r="H4554" s="65"/>
      <c r="I4554" s="70"/>
      <c r="J4554" s="71"/>
      <c r="K4554" s="71"/>
      <c r="L4554" s="72" t="str">
        <f>IFERROR(IF(G4554="","",VLOOKUP($G4554,[1]基础信息!$B:$C,2,FALSE)+SUMIF(G$8:G4554,G4554,J$8:J4554)-SUMIF(G$8:G4554,G4554,K$8:K4554)+SUMIFS([1]内部转账!$G:$G,[1]内部转账!$C:$C,"&lt;="&amp;$D4554,[1]内部转账!$E:$E,$G4554)-SUMIFS([1]内部转账!$G:$G,[1]内部转账!$C:$C,"&lt;="&amp;$D4554,[1]内部转账!$F:$F,$G4554)),"")</f>
        <v/>
      </c>
      <c r="M4554" s="64"/>
      <c r="N4554" s="69"/>
      <c r="O4554" s="64"/>
      <c r="P4554" s="64"/>
      <c r="Q4554" s="69"/>
      <c r="R4554" s="69"/>
      <c r="S4554" s="69"/>
    </row>
    <row r="4555" s="2" customFormat="1" ht="24.95" customHeight="1" spans="1:19">
      <c r="A4555" s="15"/>
      <c r="B4555" s="55"/>
      <c r="C4555" s="56"/>
      <c r="D4555" s="68"/>
      <c r="E4555" s="69"/>
      <c r="F4555" s="69"/>
      <c r="G4555" s="65"/>
      <c r="H4555" s="65"/>
      <c r="I4555" s="70"/>
      <c r="J4555" s="71"/>
      <c r="K4555" s="71"/>
      <c r="L4555" s="72" t="str">
        <f>IFERROR(IF(G4555="","",VLOOKUP($G4555,[1]基础信息!$B:$C,2,FALSE)+SUMIF(G$8:G4555,G4555,J$8:J4555)-SUMIF(G$8:G4555,G4555,K$8:K4555)+SUMIFS([1]内部转账!$G:$G,[1]内部转账!$C:$C,"&lt;="&amp;$D4555,[1]内部转账!$E:$E,$G4555)-SUMIFS([1]内部转账!$G:$G,[1]内部转账!$C:$C,"&lt;="&amp;$D4555,[1]内部转账!$F:$F,$G4555)),"")</f>
        <v/>
      </c>
      <c r="M4555" s="64"/>
      <c r="N4555" s="69"/>
      <c r="O4555" s="64"/>
      <c r="P4555" s="64"/>
      <c r="Q4555" s="69"/>
      <c r="R4555" s="69"/>
      <c r="S4555" s="69"/>
    </row>
    <row r="4556" s="2" customFormat="1" ht="24.95" customHeight="1" spans="1:19">
      <c r="A4556" s="15"/>
      <c r="B4556" s="55"/>
      <c r="C4556" s="56"/>
      <c r="D4556" s="68"/>
      <c r="E4556" s="69"/>
      <c r="F4556" s="69"/>
      <c r="G4556" s="65"/>
      <c r="H4556" s="65"/>
      <c r="I4556" s="70"/>
      <c r="J4556" s="71"/>
      <c r="K4556" s="71"/>
      <c r="L4556" s="72" t="str">
        <f>IFERROR(IF(G4556="","",VLOOKUP($G4556,[1]基础信息!$B:$C,2,FALSE)+SUMIF(G$8:G4556,G4556,J$8:J4556)-SUMIF(G$8:G4556,G4556,K$8:K4556)+SUMIFS([1]内部转账!$G:$G,[1]内部转账!$C:$C,"&lt;="&amp;$D4556,[1]内部转账!$E:$E,$G4556)-SUMIFS([1]内部转账!$G:$G,[1]内部转账!$C:$C,"&lt;="&amp;$D4556,[1]内部转账!$F:$F,$G4556)),"")</f>
        <v/>
      </c>
      <c r="M4556" s="64"/>
      <c r="N4556" s="69"/>
      <c r="O4556" s="64"/>
      <c r="P4556" s="64"/>
      <c r="Q4556" s="69"/>
      <c r="R4556" s="69"/>
      <c r="S4556" s="69"/>
    </row>
    <row r="4557" s="2" customFormat="1" ht="24.95" customHeight="1" spans="1:19">
      <c r="A4557" s="15"/>
      <c r="B4557" s="55"/>
      <c r="C4557" s="56"/>
      <c r="D4557" s="68"/>
      <c r="E4557" s="69"/>
      <c r="F4557" s="69"/>
      <c r="G4557" s="65"/>
      <c r="H4557" s="65"/>
      <c r="I4557" s="70"/>
      <c r="J4557" s="71"/>
      <c r="K4557" s="71"/>
      <c r="L4557" s="72" t="str">
        <f>IFERROR(IF(G4557="","",VLOOKUP($G4557,[1]基础信息!$B:$C,2,FALSE)+SUMIF(G$8:G4557,G4557,J$8:J4557)-SUMIF(G$8:G4557,G4557,K$8:K4557)+SUMIFS([1]内部转账!$G:$G,[1]内部转账!$C:$C,"&lt;="&amp;$D4557,[1]内部转账!$E:$E,$G4557)-SUMIFS([1]内部转账!$G:$G,[1]内部转账!$C:$C,"&lt;="&amp;$D4557,[1]内部转账!$F:$F,$G4557)),"")</f>
        <v/>
      </c>
      <c r="M4557" s="64"/>
      <c r="N4557" s="69"/>
      <c r="O4557" s="64"/>
      <c r="P4557" s="64"/>
      <c r="Q4557" s="69"/>
      <c r="R4557" s="69"/>
      <c r="S4557" s="69"/>
    </row>
    <row r="4558" s="2" customFormat="1" ht="24.95" customHeight="1" spans="1:19">
      <c r="A4558" s="15"/>
      <c r="B4558" s="55"/>
      <c r="C4558" s="56"/>
      <c r="D4558" s="68"/>
      <c r="E4558" s="69"/>
      <c r="F4558" s="69"/>
      <c r="G4558" s="65"/>
      <c r="H4558" s="65"/>
      <c r="I4558" s="70"/>
      <c r="J4558" s="71"/>
      <c r="K4558" s="71"/>
      <c r="L4558" s="72" t="str">
        <f>IFERROR(IF(G4558="","",VLOOKUP($G4558,[1]基础信息!$B:$C,2,FALSE)+SUMIF(G$8:G4558,G4558,J$8:J4558)-SUMIF(G$8:G4558,G4558,K$8:K4558)+SUMIFS([1]内部转账!$G:$G,[1]内部转账!$C:$C,"&lt;="&amp;$D4558,[1]内部转账!$E:$E,$G4558)-SUMIFS([1]内部转账!$G:$G,[1]内部转账!$C:$C,"&lt;="&amp;$D4558,[1]内部转账!$F:$F,$G4558)),"")</f>
        <v/>
      </c>
      <c r="M4558" s="64"/>
      <c r="N4558" s="69"/>
      <c r="O4558" s="64"/>
      <c r="P4558" s="64"/>
      <c r="Q4558" s="69"/>
      <c r="R4558" s="69"/>
      <c r="S4558" s="69"/>
    </row>
    <row r="4559" s="2" customFormat="1" ht="24.95" customHeight="1" spans="1:19">
      <c r="A4559" s="15"/>
      <c r="B4559" s="55"/>
      <c r="C4559" s="56"/>
      <c r="D4559" s="68"/>
      <c r="E4559" s="69"/>
      <c r="F4559" s="69"/>
      <c r="G4559" s="65"/>
      <c r="H4559" s="65"/>
      <c r="I4559" s="70"/>
      <c r="J4559" s="71"/>
      <c r="K4559" s="71"/>
      <c r="L4559" s="72" t="str">
        <f>IFERROR(IF(G4559="","",VLOOKUP($G4559,[1]基础信息!$B:$C,2,FALSE)+SUMIF(G$8:G4559,G4559,J$8:J4559)-SUMIF(G$8:G4559,G4559,K$8:K4559)+SUMIFS([1]内部转账!$G:$G,[1]内部转账!$C:$C,"&lt;="&amp;$D4559,[1]内部转账!$E:$E,$G4559)-SUMIFS([1]内部转账!$G:$G,[1]内部转账!$C:$C,"&lt;="&amp;$D4559,[1]内部转账!$F:$F,$G4559)),"")</f>
        <v/>
      </c>
      <c r="M4559" s="64"/>
      <c r="N4559" s="69"/>
      <c r="O4559" s="64"/>
      <c r="P4559" s="64"/>
      <c r="Q4559" s="69"/>
      <c r="R4559" s="69"/>
      <c r="S4559" s="69"/>
    </row>
    <row r="4560" s="2" customFormat="1" ht="24.95" customHeight="1" spans="1:19">
      <c r="A4560" s="15"/>
      <c r="B4560" s="55"/>
      <c r="C4560" s="56"/>
      <c r="D4560" s="68"/>
      <c r="E4560" s="69"/>
      <c r="F4560" s="69"/>
      <c r="G4560" s="65"/>
      <c r="H4560" s="65"/>
      <c r="I4560" s="70"/>
      <c r="J4560" s="71"/>
      <c r="K4560" s="71"/>
      <c r="L4560" s="72" t="str">
        <f>IFERROR(IF(G4560="","",VLOOKUP($G4560,[1]基础信息!$B:$C,2,FALSE)+SUMIF(G$8:G4560,G4560,J$8:J4560)-SUMIF(G$8:G4560,G4560,K$8:K4560)+SUMIFS([1]内部转账!$G:$G,[1]内部转账!$C:$C,"&lt;="&amp;$D4560,[1]内部转账!$E:$E,$G4560)-SUMIFS([1]内部转账!$G:$G,[1]内部转账!$C:$C,"&lt;="&amp;$D4560,[1]内部转账!$F:$F,$G4560)),"")</f>
        <v/>
      </c>
      <c r="M4560" s="64"/>
      <c r="N4560" s="69"/>
      <c r="O4560" s="64"/>
      <c r="P4560" s="64"/>
      <c r="Q4560" s="69"/>
      <c r="R4560" s="69"/>
      <c r="S4560" s="69"/>
    </row>
    <row r="4561" s="2" customFormat="1" ht="24.95" customHeight="1" spans="1:19">
      <c r="A4561" s="15"/>
      <c r="B4561" s="55"/>
      <c r="C4561" s="56"/>
      <c r="D4561" s="68"/>
      <c r="E4561" s="69"/>
      <c r="F4561" s="69"/>
      <c r="G4561" s="65"/>
      <c r="H4561" s="65"/>
      <c r="I4561" s="70"/>
      <c r="J4561" s="71"/>
      <c r="K4561" s="71"/>
      <c r="L4561" s="72" t="str">
        <f>IFERROR(IF(G4561="","",VLOOKUP($G4561,[1]基础信息!$B:$C,2,FALSE)+SUMIF(G$8:G4561,G4561,J$8:J4561)-SUMIF(G$8:G4561,G4561,K$8:K4561)+SUMIFS([1]内部转账!$G:$G,[1]内部转账!$C:$C,"&lt;="&amp;$D4561,[1]内部转账!$E:$E,$G4561)-SUMIFS([1]内部转账!$G:$G,[1]内部转账!$C:$C,"&lt;="&amp;$D4561,[1]内部转账!$F:$F,$G4561)),"")</f>
        <v/>
      </c>
      <c r="M4561" s="64"/>
      <c r="N4561" s="69"/>
      <c r="O4561" s="64"/>
      <c r="P4561" s="64"/>
      <c r="Q4561" s="69"/>
      <c r="R4561" s="69"/>
      <c r="S4561" s="69"/>
    </row>
    <row r="4562" s="2" customFormat="1" ht="24.95" customHeight="1" spans="1:19">
      <c r="A4562" s="15"/>
      <c r="B4562" s="55"/>
      <c r="C4562" s="56"/>
      <c r="D4562" s="68"/>
      <c r="E4562" s="69"/>
      <c r="F4562" s="69"/>
      <c r="G4562" s="65"/>
      <c r="H4562" s="65"/>
      <c r="I4562" s="70"/>
      <c r="J4562" s="71"/>
      <c r="K4562" s="71"/>
      <c r="L4562" s="72" t="str">
        <f>IFERROR(IF(G4562="","",VLOOKUP($G4562,[1]基础信息!$B:$C,2,FALSE)+SUMIF(G$8:G4562,G4562,J$8:J4562)-SUMIF(G$8:G4562,G4562,K$8:K4562)+SUMIFS([1]内部转账!$G:$G,[1]内部转账!$C:$C,"&lt;="&amp;$D4562,[1]内部转账!$E:$E,$G4562)-SUMIFS([1]内部转账!$G:$G,[1]内部转账!$C:$C,"&lt;="&amp;$D4562,[1]内部转账!$F:$F,$G4562)),"")</f>
        <v/>
      </c>
      <c r="M4562" s="64"/>
      <c r="N4562" s="69"/>
      <c r="O4562" s="64"/>
      <c r="P4562" s="64"/>
      <c r="Q4562" s="69"/>
      <c r="R4562" s="69"/>
      <c r="S4562" s="69"/>
    </row>
    <row r="4563" s="2" customFormat="1" ht="24.95" customHeight="1" spans="1:19">
      <c r="A4563" s="15"/>
      <c r="B4563" s="55"/>
      <c r="C4563" s="56"/>
      <c r="D4563" s="68"/>
      <c r="E4563" s="69"/>
      <c r="F4563" s="69"/>
      <c r="G4563" s="65"/>
      <c r="H4563" s="65"/>
      <c r="I4563" s="70"/>
      <c r="J4563" s="71"/>
      <c r="K4563" s="71"/>
      <c r="L4563" s="72" t="str">
        <f>IFERROR(IF(G4563="","",VLOOKUP($G4563,[1]基础信息!$B:$C,2,FALSE)+SUMIF(G$8:G4563,G4563,J$8:J4563)-SUMIF(G$8:G4563,G4563,K$8:K4563)+SUMIFS([1]内部转账!$G:$G,[1]内部转账!$C:$C,"&lt;="&amp;$D4563,[1]内部转账!$E:$E,$G4563)-SUMIFS([1]内部转账!$G:$G,[1]内部转账!$C:$C,"&lt;="&amp;$D4563,[1]内部转账!$F:$F,$G4563)),"")</f>
        <v/>
      </c>
      <c r="M4563" s="64"/>
      <c r="N4563" s="69"/>
      <c r="O4563" s="64"/>
      <c r="P4563" s="64"/>
      <c r="Q4563" s="69"/>
      <c r="R4563" s="69"/>
      <c r="S4563" s="69"/>
    </row>
    <row r="4564" s="2" customFormat="1" ht="24.95" customHeight="1" spans="1:19">
      <c r="A4564" s="15"/>
      <c r="B4564" s="55"/>
      <c r="C4564" s="56"/>
      <c r="D4564" s="68"/>
      <c r="E4564" s="69"/>
      <c r="F4564" s="69"/>
      <c r="G4564" s="65"/>
      <c r="H4564" s="65"/>
      <c r="I4564" s="70"/>
      <c r="J4564" s="71"/>
      <c r="K4564" s="71"/>
      <c r="L4564" s="72" t="str">
        <f>IFERROR(IF(G4564="","",VLOOKUP($G4564,[1]基础信息!$B:$C,2,FALSE)+SUMIF(G$8:G4564,G4564,J$8:J4564)-SUMIF(G$8:G4564,G4564,K$8:K4564)+SUMIFS([1]内部转账!$G:$G,[1]内部转账!$C:$C,"&lt;="&amp;$D4564,[1]内部转账!$E:$E,$G4564)-SUMIFS([1]内部转账!$G:$G,[1]内部转账!$C:$C,"&lt;="&amp;$D4564,[1]内部转账!$F:$F,$G4564)),"")</f>
        <v/>
      </c>
      <c r="M4564" s="64"/>
      <c r="N4564" s="69"/>
      <c r="O4564" s="64"/>
      <c r="P4564" s="64"/>
      <c r="Q4564" s="69"/>
      <c r="R4564" s="69"/>
      <c r="S4564" s="69"/>
    </row>
    <row r="4565" s="2" customFormat="1" ht="24.95" customHeight="1" spans="1:19">
      <c r="A4565" s="15"/>
      <c r="B4565" s="55"/>
      <c r="C4565" s="56"/>
      <c r="D4565" s="68"/>
      <c r="E4565" s="69"/>
      <c r="F4565" s="69"/>
      <c r="G4565" s="65"/>
      <c r="H4565" s="65"/>
      <c r="I4565" s="70"/>
      <c r="J4565" s="71"/>
      <c r="K4565" s="71"/>
      <c r="L4565" s="72" t="str">
        <f>IFERROR(IF(G4565="","",VLOOKUP($G4565,[1]基础信息!$B:$C,2,FALSE)+SUMIF(G$8:G4565,G4565,J$8:J4565)-SUMIF(G$8:G4565,G4565,K$8:K4565)+SUMIFS([1]内部转账!$G:$G,[1]内部转账!$C:$C,"&lt;="&amp;$D4565,[1]内部转账!$E:$E,$G4565)-SUMIFS([1]内部转账!$G:$G,[1]内部转账!$C:$C,"&lt;="&amp;$D4565,[1]内部转账!$F:$F,$G4565)),"")</f>
        <v/>
      </c>
      <c r="M4565" s="64"/>
      <c r="N4565" s="69"/>
      <c r="O4565" s="64"/>
      <c r="P4565" s="64"/>
      <c r="Q4565" s="69"/>
      <c r="R4565" s="69"/>
      <c r="S4565" s="69"/>
    </row>
    <row r="4566" s="2" customFormat="1" ht="24.95" customHeight="1" spans="1:19">
      <c r="A4566" s="15"/>
      <c r="B4566" s="55"/>
      <c r="C4566" s="56"/>
      <c r="D4566" s="68"/>
      <c r="E4566" s="69"/>
      <c r="F4566" s="69"/>
      <c r="G4566" s="65"/>
      <c r="H4566" s="65"/>
      <c r="I4566" s="70"/>
      <c r="J4566" s="71"/>
      <c r="K4566" s="71"/>
      <c r="L4566" s="72" t="str">
        <f>IFERROR(IF(G4566="","",VLOOKUP($G4566,[1]基础信息!$B:$C,2,FALSE)+SUMIF(G$8:G4566,G4566,J$8:J4566)-SUMIF(G$8:G4566,G4566,K$8:K4566)+SUMIFS([1]内部转账!$G:$G,[1]内部转账!$C:$C,"&lt;="&amp;$D4566,[1]内部转账!$E:$E,$G4566)-SUMIFS([1]内部转账!$G:$G,[1]内部转账!$C:$C,"&lt;="&amp;$D4566,[1]内部转账!$F:$F,$G4566)),"")</f>
        <v/>
      </c>
      <c r="M4566" s="64"/>
      <c r="N4566" s="69"/>
      <c r="O4566" s="64"/>
      <c r="P4566" s="64"/>
      <c r="Q4566" s="69"/>
      <c r="R4566" s="69"/>
      <c r="S4566" s="69"/>
    </row>
    <row r="4567" s="2" customFormat="1" ht="24.95" customHeight="1" spans="1:19">
      <c r="A4567" s="15"/>
      <c r="B4567" s="55"/>
      <c r="C4567" s="56"/>
      <c r="D4567" s="68"/>
      <c r="E4567" s="69"/>
      <c r="F4567" s="69"/>
      <c r="G4567" s="65"/>
      <c r="H4567" s="65"/>
      <c r="I4567" s="70"/>
      <c r="J4567" s="71"/>
      <c r="K4567" s="71"/>
      <c r="L4567" s="72" t="str">
        <f>IFERROR(IF(G4567="","",VLOOKUP($G4567,[1]基础信息!$B:$C,2,FALSE)+SUMIF(G$8:G4567,G4567,J$8:J4567)-SUMIF(G$8:G4567,G4567,K$8:K4567)+SUMIFS([1]内部转账!$G:$G,[1]内部转账!$C:$C,"&lt;="&amp;$D4567,[1]内部转账!$E:$E,$G4567)-SUMIFS([1]内部转账!$G:$G,[1]内部转账!$C:$C,"&lt;="&amp;$D4567,[1]内部转账!$F:$F,$G4567)),"")</f>
        <v/>
      </c>
      <c r="M4567" s="64"/>
      <c r="N4567" s="69"/>
      <c r="O4567" s="64"/>
      <c r="P4567" s="64"/>
      <c r="Q4567" s="69"/>
      <c r="R4567" s="69"/>
      <c r="S4567" s="69"/>
    </row>
    <row r="4568" s="2" customFormat="1" ht="24.95" customHeight="1" spans="1:19">
      <c r="A4568" s="15"/>
      <c r="B4568" s="55"/>
      <c r="C4568" s="56"/>
      <c r="D4568" s="68"/>
      <c r="E4568" s="69"/>
      <c r="F4568" s="69"/>
      <c r="G4568" s="65"/>
      <c r="H4568" s="65"/>
      <c r="I4568" s="70"/>
      <c r="J4568" s="71"/>
      <c r="K4568" s="71"/>
      <c r="L4568" s="72" t="str">
        <f>IFERROR(IF(G4568="","",VLOOKUP($G4568,[1]基础信息!$B:$C,2,FALSE)+SUMIF(G$8:G4568,G4568,J$8:J4568)-SUMIF(G$8:G4568,G4568,K$8:K4568)+SUMIFS([1]内部转账!$G:$G,[1]内部转账!$C:$C,"&lt;="&amp;$D4568,[1]内部转账!$E:$E,$G4568)-SUMIFS([1]内部转账!$G:$G,[1]内部转账!$C:$C,"&lt;="&amp;$D4568,[1]内部转账!$F:$F,$G4568)),"")</f>
        <v/>
      </c>
      <c r="M4568" s="64"/>
      <c r="N4568" s="69"/>
      <c r="O4568" s="64"/>
      <c r="P4568" s="64"/>
      <c r="Q4568" s="69"/>
      <c r="R4568" s="69"/>
      <c r="S4568" s="69"/>
    </row>
    <row r="4569" s="2" customFormat="1" ht="24.95" customHeight="1" spans="1:19">
      <c r="A4569" s="15"/>
      <c r="B4569" s="55"/>
      <c r="C4569" s="56"/>
      <c r="D4569" s="68"/>
      <c r="E4569" s="69"/>
      <c r="F4569" s="69"/>
      <c r="G4569" s="65"/>
      <c r="H4569" s="65"/>
      <c r="I4569" s="70"/>
      <c r="J4569" s="71"/>
      <c r="K4569" s="71"/>
      <c r="L4569" s="72" t="str">
        <f>IFERROR(IF(G4569="","",VLOOKUP($G4569,[1]基础信息!$B:$C,2,FALSE)+SUMIF(G$8:G4569,G4569,J$8:J4569)-SUMIF(G$8:G4569,G4569,K$8:K4569)+SUMIFS([1]内部转账!$G:$G,[1]内部转账!$C:$C,"&lt;="&amp;$D4569,[1]内部转账!$E:$E,$G4569)-SUMIFS([1]内部转账!$G:$G,[1]内部转账!$C:$C,"&lt;="&amp;$D4569,[1]内部转账!$F:$F,$G4569)),"")</f>
        <v/>
      </c>
      <c r="M4569" s="64"/>
      <c r="N4569" s="69"/>
      <c r="O4569" s="64"/>
      <c r="P4569" s="64"/>
      <c r="Q4569" s="69"/>
      <c r="R4569" s="69"/>
      <c r="S4569" s="69"/>
    </row>
    <row r="4570" s="2" customFormat="1" ht="24.95" customHeight="1" spans="1:19">
      <c r="A4570" s="15"/>
      <c r="B4570" s="55"/>
      <c r="C4570" s="56"/>
      <c r="D4570" s="68"/>
      <c r="E4570" s="69"/>
      <c r="F4570" s="69"/>
      <c r="G4570" s="65"/>
      <c r="H4570" s="65"/>
      <c r="I4570" s="70"/>
      <c r="J4570" s="71"/>
      <c r="K4570" s="71"/>
      <c r="L4570" s="72" t="str">
        <f>IFERROR(IF(G4570="","",VLOOKUP($G4570,[1]基础信息!$B:$C,2,FALSE)+SUMIF(G$8:G4570,G4570,J$8:J4570)-SUMIF(G$8:G4570,G4570,K$8:K4570)+SUMIFS([1]内部转账!$G:$G,[1]内部转账!$C:$C,"&lt;="&amp;$D4570,[1]内部转账!$E:$E,$G4570)-SUMIFS([1]内部转账!$G:$G,[1]内部转账!$C:$C,"&lt;="&amp;$D4570,[1]内部转账!$F:$F,$G4570)),"")</f>
        <v/>
      </c>
      <c r="M4570" s="64"/>
      <c r="N4570" s="69"/>
      <c r="O4570" s="64"/>
      <c r="P4570" s="64"/>
      <c r="Q4570" s="69"/>
      <c r="R4570" s="69"/>
      <c r="S4570" s="69"/>
    </row>
    <row r="4571" s="2" customFormat="1" ht="24.95" customHeight="1" spans="1:19">
      <c r="A4571" s="15"/>
      <c r="B4571" s="55"/>
      <c r="C4571" s="56"/>
      <c r="D4571" s="68"/>
      <c r="E4571" s="69"/>
      <c r="F4571" s="69"/>
      <c r="G4571" s="65"/>
      <c r="H4571" s="65"/>
      <c r="I4571" s="70"/>
      <c r="J4571" s="71"/>
      <c r="K4571" s="71"/>
      <c r="L4571" s="72" t="str">
        <f>IFERROR(IF(G4571="","",VLOOKUP($G4571,[1]基础信息!$B:$C,2,FALSE)+SUMIF(G$8:G4571,G4571,J$8:J4571)-SUMIF(G$8:G4571,G4571,K$8:K4571)+SUMIFS([1]内部转账!$G:$G,[1]内部转账!$C:$C,"&lt;="&amp;$D4571,[1]内部转账!$E:$E,$G4571)-SUMIFS([1]内部转账!$G:$G,[1]内部转账!$C:$C,"&lt;="&amp;$D4571,[1]内部转账!$F:$F,$G4571)),"")</f>
        <v/>
      </c>
      <c r="M4571" s="64"/>
      <c r="N4571" s="69"/>
      <c r="O4571" s="64"/>
      <c r="P4571" s="64"/>
      <c r="Q4571" s="69"/>
      <c r="R4571" s="69"/>
      <c r="S4571" s="69"/>
    </row>
    <row r="4572" s="2" customFormat="1" ht="24.95" customHeight="1" spans="1:19">
      <c r="A4572" s="15"/>
      <c r="B4572" s="55"/>
      <c r="C4572" s="56"/>
      <c r="D4572" s="68"/>
      <c r="E4572" s="69"/>
      <c r="F4572" s="69"/>
      <c r="G4572" s="65"/>
      <c r="H4572" s="65"/>
      <c r="I4572" s="70"/>
      <c r="J4572" s="71"/>
      <c r="K4572" s="71"/>
      <c r="L4572" s="72" t="str">
        <f>IFERROR(IF(G4572="","",VLOOKUP($G4572,[1]基础信息!$B:$C,2,FALSE)+SUMIF(G$8:G4572,G4572,J$8:J4572)-SUMIF(G$8:G4572,G4572,K$8:K4572)+SUMIFS([1]内部转账!$G:$G,[1]内部转账!$C:$C,"&lt;="&amp;$D4572,[1]内部转账!$E:$E,$G4572)-SUMIFS([1]内部转账!$G:$G,[1]内部转账!$C:$C,"&lt;="&amp;$D4572,[1]内部转账!$F:$F,$G4572)),"")</f>
        <v/>
      </c>
      <c r="M4572" s="64"/>
      <c r="N4572" s="69"/>
      <c r="O4572" s="64"/>
      <c r="P4572" s="64"/>
      <c r="Q4572" s="69"/>
      <c r="R4572" s="69"/>
      <c r="S4572" s="69"/>
    </row>
    <row r="4573" s="2" customFormat="1" ht="24.95" customHeight="1" spans="1:19">
      <c r="A4573" s="15"/>
      <c r="B4573" s="55"/>
      <c r="C4573" s="56"/>
      <c r="D4573" s="68"/>
      <c r="E4573" s="69"/>
      <c r="F4573" s="69"/>
      <c r="G4573" s="65"/>
      <c r="H4573" s="65"/>
      <c r="I4573" s="70"/>
      <c r="J4573" s="71"/>
      <c r="K4573" s="71"/>
      <c r="L4573" s="72" t="str">
        <f>IFERROR(IF(G4573="","",VLOOKUP($G4573,[1]基础信息!$B:$C,2,FALSE)+SUMIF(G$8:G4573,G4573,J$8:J4573)-SUMIF(G$8:G4573,G4573,K$8:K4573)+SUMIFS([1]内部转账!$G:$G,[1]内部转账!$C:$C,"&lt;="&amp;$D4573,[1]内部转账!$E:$E,$G4573)-SUMIFS([1]内部转账!$G:$G,[1]内部转账!$C:$C,"&lt;="&amp;$D4573,[1]内部转账!$F:$F,$G4573)),"")</f>
        <v/>
      </c>
      <c r="M4573" s="64"/>
      <c r="N4573" s="69"/>
      <c r="O4573" s="64"/>
      <c r="P4573" s="64"/>
      <c r="Q4573" s="69"/>
      <c r="R4573" s="69"/>
      <c r="S4573" s="69"/>
    </row>
    <row r="4574" s="2" customFormat="1" ht="24.95" customHeight="1" spans="1:19">
      <c r="A4574" s="15"/>
      <c r="B4574" s="55"/>
      <c r="C4574" s="56"/>
      <c r="D4574" s="68"/>
      <c r="E4574" s="69"/>
      <c r="F4574" s="69"/>
      <c r="G4574" s="65"/>
      <c r="H4574" s="65"/>
      <c r="I4574" s="70"/>
      <c r="J4574" s="71"/>
      <c r="K4574" s="71"/>
      <c r="L4574" s="72" t="str">
        <f>IFERROR(IF(G4574="","",VLOOKUP($G4574,[1]基础信息!$B:$C,2,FALSE)+SUMIF(G$8:G4574,G4574,J$8:J4574)-SUMIF(G$8:G4574,G4574,K$8:K4574)+SUMIFS([1]内部转账!$G:$G,[1]内部转账!$C:$C,"&lt;="&amp;$D4574,[1]内部转账!$E:$E,$G4574)-SUMIFS([1]内部转账!$G:$G,[1]内部转账!$C:$C,"&lt;="&amp;$D4574,[1]内部转账!$F:$F,$G4574)),"")</f>
        <v/>
      </c>
      <c r="M4574" s="64"/>
      <c r="N4574" s="69"/>
      <c r="O4574" s="64"/>
      <c r="P4574" s="64"/>
      <c r="Q4574" s="69"/>
      <c r="R4574" s="69"/>
      <c r="S4574" s="69"/>
    </row>
    <row r="4575" s="2" customFormat="1" ht="24.95" customHeight="1" spans="1:19">
      <c r="A4575" s="15"/>
      <c r="B4575" s="55"/>
      <c r="C4575" s="56"/>
      <c r="D4575" s="68"/>
      <c r="E4575" s="69"/>
      <c r="F4575" s="69"/>
      <c r="G4575" s="65"/>
      <c r="H4575" s="65"/>
      <c r="I4575" s="70"/>
      <c r="J4575" s="71"/>
      <c r="K4575" s="71"/>
      <c r="L4575" s="72" t="str">
        <f>IFERROR(IF(G4575="","",VLOOKUP($G4575,[1]基础信息!$B:$C,2,FALSE)+SUMIF(G$8:G4575,G4575,J$8:J4575)-SUMIF(G$8:G4575,G4575,K$8:K4575)+SUMIFS([1]内部转账!$G:$G,[1]内部转账!$C:$C,"&lt;="&amp;$D4575,[1]内部转账!$E:$E,$G4575)-SUMIFS([1]内部转账!$G:$G,[1]内部转账!$C:$C,"&lt;="&amp;$D4575,[1]内部转账!$F:$F,$G4575)),"")</f>
        <v/>
      </c>
      <c r="M4575" s="64"/>
      <c r="N4575" s="69"/>
      <c r="O4575" s="64"/>
      <c r="P4575" s="64"/>
      <c r="Q4575" s="69"/>
      <c r="R4575" s="69"/>
      <c r="S4575" s="69"/>
    </row>
    <row r="4576" s="2" customFormat="1" ht="24.95" customHeight="1" spans="1:19">
      <c r="A4576" s="15"/>
      <c r="B4576" s="55"/>
      <c r="C4576" s="56"/>
      <c r="D4576" s="68"/>
      <c r="E4576" s="69"/>
      <c r="F4576" s="69"/>
      <c r="G4576" s="65"/>
      <c r="H4576" s="65"/>
      <c r="I4576" s="70"/>
      <c r="J4576" s="71"/>
      <c r="K4576" s="71"/>
      <c r="L4576" s="72" t="str">
        <f>IFERROR(IF(G4576="","",VLOOKUP($G4576,[1]基础信息!$B:$C,2,FALSE)+SUMIF(G$8:G4576,G4576,J$8:J4576)-SUMIF(G$8:G4576,G4576,K$8:K4576)+SUMIFS([1]内部转账!$G:$G,[1]内部转账!$C:$C,"&lt;="&amp;$D4576,[1]内部转账!$E:$E,$G4576)-SUMIFS([1]内部转账!$G:$G,[1]内部转账!$C:$C,"&lt;="&amp;$D4576,[1]内部转账!$F:$F,$G4576)),"")</f>
        <v/>
      </c>
      <c r="M4576" s="64"/>
      <c r="N4576" s="69"/>
      <c r="O4576" s="64"/>
      <c r="P4576" s="64"/>
      <c r="Q4576" s="69"/>
      <c r="R4576" s="69"/>
      <c r="S4576" s="69"/>
    </row>
    <row r="4577" s="2" customFormat="1" ht="24.95" customHeight="1" spans="1:19">
      <c r="A4577" s="15"/>
      <c r="B4577" s="55"/>
      <c r="C4577" s="56"/>
      <c r="D4577" s="68"/>
      <c r="E4577" s="69"/>
      <c r="F4577" s="69"/>
      <c r="G4577" s="65"/>
      <c r="H4577" s="65"/>
      <c r="I4577" s="70"/>
      <c r="J4577" s="71"/>
      <c r="K4577" s="71"/>
      <c r="L4577" s="72" t="str">
        <f>IFERROR(IF(G4577="","",VLOOKUP($G4577,[1]基础信息!$B:$C,2,FALSE)+SUMIF(G$8:G4577,G4577,J$8:J4577)-SUMIF(G$8:G4577,G4577,K$8:K4577)+SUMIFS([1]内部转账!$G:$G,[1]内部转账!$C:$C,"&lt;="&amp;$D4577,[1]内部转账!$E:$E,$G4577)-SUMIFS([1]内部转账!$G:$G,[1]内部转账!$C:$C,"&lt;="&amp;$D4577,[1]内部转账!$F:$F,$G4577)),"")</f>
        <v/>
      </c>
      <c r="M4577" s="64"/>
      <c r="N4577" s="69"/>
      <c r="O4577" s="64"/>
      <c r="P4577" s="64"/>
      <c r="Q4577" s="69"/>
      <c r="R4577" s="69"/>
      <c r="S4577" s="69"/>
    </row>
    <row r="4578" s="2" customFormat="1" ht="24.95" customHeight="1" spans="1:19">
      <c r="A4578" s="15"/>
      <c r="B4578" s="55"/>
      <c r="C4578" s="56"/>
      <c r="D4578" s="68"/>
      <c r="E4578" s="69"/>
      <c r="F4578" s="69"/>
      <c r="G4578" s="65"/>
      <c r="H4578" s="65"/>
      <c r="I4578" s="70"/>
      <c r="J4578" s="71"/>
      <c r="K4578" s="71"/>
      <c r="L4578" s="72" t="str">
        <f>IFERROR(IF(G4578="","",VLOOKUP($G4578,[1]基础信息!$B:$C,2,FALSE)+SUMIF(G$8:G4578,G4578,J$8:J4578)-SUMIF(G$8:G4578,G4578,K$8:K4578)+SUMIFS([1]内部转账!$G:$G,[1]内部转账!$C:$C,"&lt;="&amp;$D4578,[1]内部转账!$E:$E,$G4578)-SUMIFS([1]内部转账!$G:$G,[1]内部转账!$C:$C,"&lt;="&amp;$D4578,[1]内部转账!$F:$F,$G4578)),"")</f>
        <v/>
      </c>
      <c r="M4578" s="64"/>
      <c r="N4578" s="69"/>
      <c r="O4578" s="64"/>
      <c r="P4578" s="64"/>
      <c r="Q4578" s="69"/>
      <c r="R4578" s="69"/>
      <c r="S4578" s="69"/>
    </row>
    <row r="4579" s="2" customFormat="1" ht="24.95" customHeight="1" spans="1:19">
      <c r="A4579" s="15"/>
      <c r="B4579" s="55"/>
      <c r="C4579" s="56"/>
      <c r="D4579" s="68"/>
      <c r="E4579" s="69"/>
      <c r="F4579" s="69"/>
      <c r="G4579" s="65"/>
      <c r="H4579" s="65"/>
      <c r="I4579" s="70"/>
      <c r="J4579" s="71"/>
      <c r="K4579" s="71"/>
      <c r="L4579" s="72" t="str">
        <f>IFERROR(IF(G4579="","",VLOOKUP($G4579,[1]基础信息!$B:$C,2,FALSE)+SUMIF(G$8:G4579,G4579,J$8:J4579)-SUMIF(G$8:G4579,G4579,K$8:K4579)+SUMIFS([1]内部转账!$G:$G,[1]内部转账!$C:$C,"&lt;="&amp;$D4579,[1]内部转账!$E:$E,$G4579)-SUMIFS([1]内部转账!$G:$G,[1]内部转账!$C:$C,"&lt;="&amp;$D4579,[1]内部转账!$F:$F,$G4579)),"")</f>
        <v/>
      </c>
      <c r="M4579" s="64"/>
      <c r="N4579" s="69"/>
      <c r="O4579" s="64"/>
      <c r="P4579" s="64"/>
      <c r="Q4579" s="69"/>
      <c r="R4579" s="69"/>
      <c r="S4579" s="69"/>
    </row>
    <row r="4580" s="2" customFormat="1" ht="24.95" customHeight="1" spans="1:19">
      <c r="A4580" s="15"/>
      <c r="B4580" s="55"/>
      <c r="C4580" s="56"/>
      <c r="D4580" s="68"/>
      <c r="E4580" s="69"/>
      <c r="F4580" s="69"/>
      <c r="G4580" s="65"/>
      <c r="H4580" s="65"/>
      <c r="I4580" s="70"/>
      <c r="J4580" s="71"/>
      <c r="K4580" s="71"/>
      <c r="L4580" s="72" t="str">
        <f>IFERROR(IF(G4580="","",VLOOKUP($G4580,[1]基础信息!$B:$C,2,FALSE)+SUMIF(G$8:G4580,G4580,J$8:J4580)-SUMIF(G$8:G4580,G4580,K$8:K4580)+SUMIFS([1]内部转账!$G:$G,[1]内部转账!$C:$C,"&lt;="&amp;$D4580,[1]内部转账!$E:$E,$G4580)-SUMIFS([1]内部转账!$G:$G,[1]内部转账!$C:$C,"&lt;="&amp;$D4580,[1]内部转账!$F:$F,$G4580)),"")</f>
        <v/>
      </c>
      <c r="M4580" s="64"/>
      <c r="N4580" s="69"/>
      <c r="O4580" s="64"/>
      <c r="P4580" s="64"/>
      <c r="Q4580" s="69"/>
      <c r="R4580" s="69"/>
      <c r="S4580" s="69"/>
    </row>
    <row r="4581" s="2" customFormat="1" ht="24.95" customHeight="1" spans="1:19">
      <c r="A4581" s="15"/>
      <c r="B4581" s="55"/>
      <c r="C4581" s="56"/>
      <c r="D4581" s="68"/>
      <c r="E4581" s="69"/>
      <c r="F4581" s="69"/>
      <c r="G4581" s="65"/>
      <c r="H4581" s="65"/>
      <c r="I4581" s="70"/>
      <c r="J4581" s="71"/>
      <c r="K4581" s="71"/>
      <c r="L4581" s="72" t="str">
        <f>IFERROR(IF(G4581="","",VLOOKUP($G4581,[1]基础信息!$B:$C,2,FALSE)+SUMIF(G$8:G4581,G4581,J$8:J4581)-SUMIF(G$8:G4581,G4581,K$8:K4581)+SUMIFS([1]内部转账!$G:$G,[1]内部转账!$C:$C,"&lt;="&amp;$D4581,[1]内部转账!$E:$E,$G4581)-SUMIFS([1]内部转账!$G:$G,[1]内部转账!$C:$C,"&lt;="&amp;$D4581,[1]内部转账!$F:$F,$G4581)),"")</f>
        <v/>
      </c>
      <c r="M4581" s="64"/>
      <c r="N4581" s="69"/>
      <c r="O4581" s="64"/>
      <c r="P4581" s="64"/>
      <c r="Q4581" s="69"/>
      <c r="R4581" s="69"/>
      <c r="S4581" s="69"/>
    </row>
    <row r="4582" s="2" customFormat="1" ht="24.95" customHeight="1" spans="1:19">
      <c r="A4582" s="15"/>
      <c r="B4582" s="55"/>
      <c r="C4582" s="56"/>
      <c r="D4582" s="68"/>
      <c r="E4582" s="69"/>
      <c r="F4582" s="69"/>
      <c r="G4582" s="65"/>
      <c r="H4582" s="65"/>
      <c r="I4582" s="70"/>
      <c r="J4582" s="71"/>
      <c r="K4582" s="71"/>
      <c r="L4582" s="72" t="str">
        <f>IFERROR(IF(G4582="","",VLOOKUP($G4582,[1]基础信息!$B:$C,2,FALSE)+SUMIF(G$8:G4582,G4582,J$8:J4582)-SUMIF(G$8:G4582,G4582,K$8:K4582)+SUMIFS([1]内部转账!$G:$G,[1]内部转账!$C:$C,"&lt;="&amp;$D4582,[1]内部转账!$E:$E,$G4582)-SUMIFS([1]内部转账!$G:$G,[1]内部转账!$C:$C,"&lt;="&amp;$D4582,[1]内部转账!$F:$F,$G4582)),"")</f>
        <v/>
      </c>
      <c r="M4582" s="64"/>
      <c r="N4582" s="69"/>
      <c r="O4582" s="64"/>
      <c r="P4582" s="64"/>
      <c r="Q4582" s="69"/>
      <c r="R4582" s="69"/>
      <c r="S4582" s="69"/>
    </row>
    <row r="4583" s="2" customFormat="1" ht="24.95" customHeight="1" spans="1:19">
      <c r="A4583" s="15"/>
      <c r="B4583" s="55"/>
      <c r="C4583" s="56"/>
      <c r="D4583" s="68"/>
      <c r="E4583" s="69"/>
      <c r="F4583" s="69"/>
      <c r="G4583" s="65"/>
      <c r="H4583" s="65"/>
      <c r="I4583" s="70"/>
      <c r="J4583" s="71"/>
      <c r="K4583" s="71"/>
      <c r="L4583" s="72" t="str">
        <f>IFERROR(IF(G4583="","",VLOOKUP($G4583,[1]基础信息!$B:$C,2,FALSE)+SUMIF(G$8:G4583,G4583,J$8:J4583)-SUMIF(G$8:G4583,G4583,K$8:K4583)+SUMIFS([1]内部转账!$G:$G,[1]内部转账!$C:$C,"&lt;="&amp;$D4583,[1]内部转账!$E:$E,$G4583)-SUMIFS([1]内部转账!$G:$G,[1]内部转账!$C:$C,"&lt;="&amp;$D4583,[1]内部转账!$F:$F,$G4583)),"")</f>
        <v/>
      </c>
      <c r="M4583" s="64"/>
      <c r="N4583" s="69"/>
      <c r="O4583" s="64"/>
      <c r="P4583" s="64"/>
      <c r="Q4583" s="69"/>
      <c r="R4583" s="69"/>
      <c r="S4583" s="69"/>
    </row>
    <row r="4584" s="2" customFormat="1" ht="24.95" customHeight="1" spans="1:19">
      <c r="A4584" s="15"/>
      <c r="B4584" s="55"/>
      <c r="C4584" s="56"/>
      <c r="D4584" s="68"/>
      <c r="E4584" s="69"/>
      <c r="F4584" s="69"/>
      <c r="G4584" s="65"/>
      <c r="H4584" s="65"/>
      <c r="I4584" s="70"/>
      <c r="J4584" s="71"/>
      <c r="K4584" s="71"/>
      <c r="L4584" s="72" t="str">
        <f>IFERROR(IF(G4584="","",VLOOKUP($G4584,[1]基础信息!$B:$C,2,FALSE)+SUMIF(G$8:G4584,G4584,J$8:J4584)-SUMIF(G$8:G4584,G4584,K$8:K4584)+SUMIFS([1]内部转账!$G:$G,[1]内部转账!$C:$C,"&lt;="&amp;$D4584,[1]内部转账!$E:$E,$G4584)-SUMIFS([1]内部转账!$G:$G,[1]内部转账!$C:$C,"&lt;="&amp;$D4584,[1]内部转账!$F:$F,$G4584)),"")</f>
        <v/>
      </c>
      <c r="M4584" s="64"/>
      <c r="N4584" s="69"/>
      <c r="O4584" s="64"/>
      <c r="P4584" s="64"/>
      <c r="Q4584" s="69"/>
      <c r="R4584" s="69"/>
      <c r="S4584" s="69"/>
    </row>
    <row r="4585" s="2" customFormat="1" ht="24.95" customHeight="1" spans="1:19">
      <c r="A4585" s="15"/>
      <c r="B4585" s="55"/>
      <c r="C4585" s="56"/>
      <c r="D4585" s="68"/>
      <c r="E4585" s="69"/>
      <c r="F4585" s="69"/>
      <c r="G4585" s="65"/>
      <c r="H4585" s="65"/>
      <c r="I4585" s="70"/>
      <c r="J4585" s="71"/>
      <c r="K4585" s="71"/>
      <c r="L4585" s="72" t="str">
        <f>IFERROR(IF(G4585="","",VLOOKUP($G4585,[1]基础信息!$B:$C,2,FALSE)+SUMIF(G$8:G4585,G4585,J$8:J4585)-SUMIF(G$8:G4585,G4585,K$8:K4585)+SUMIFS([1]内部转账!$G:$G,[1]内部转账!$C:$C,"&lt;="&amp;$D4585,[1]内部转账!$E:$E,$G4585)-SUMIFS([1]内部转账!$G:$G,[1]内部转账!$C:$C,"&lt;="&amp;$D4585,[1]内部转账!$F:$F,$G4585)),"")</f>
        <v/>
      </c>
      <c r="M4585" s="64"/>
      <c r="N4585" s="69"/>
      <c r="O4585" s="64"/>
      <c r="P4585" s="64"/>
      <c r="Q4585" s="69"/>
      <c r="R4585" s="69"/>
      <c r="S4585" s="69"/>
    </row>
    <row r="4586" s="2" customFormat="1" ht="24.95" customHeight="1" spans="1:19">
      <c r="A4586" s="15"/>
      <c r="B4586" s="55"/>
      <c r="C4586" s="56"/>
      <c r="D4586" s="68"/>
      <c r="E4586" s="69"/>
      <c r="F4586" s="69"/>
      <c r="G4586" s="65"/>
      <c r="H4586" s="65"/>
      <c r="I4586" s="70"/>
      <c r="J4586" s="71"/>
      <c r="K4586" s="71"/>
      <c r="L4586" s="72" t="str">
        <f>IFERROR(IF(G4586="","",VLOOKUP($G4586,[1]基础信息!$B:$C,2,FALSE)+SUMIF(G$8:G4586,G4586,J$8:J4586)-SUMIF(G$8:G4586,G4586,K$8:K4586)+SUMIFS([1]内部转账!$G:$G,[1]内部转账!$C:$C,"&lt;="&amp;$D4586,[1]内部转账!$E:$E,$G4586)-SUMIFS([1]内部转账!$G:$G,[1]内部转账!$C:$C,"&lt;="&amp;$D4586,[1]内部转账!$F:$F,$G4586)),"")</f>
        <v/>
      </c>
      <c r="M4586" s="64"/>
      <c r="N4586" s="69"/>
      <c r="O4586" s="64"/>
      <c r="P4586" s="64"/>
      <c r="Q4586" s="69"/>
      <c r="R4586" s="69"/>
      <c r="S4586" s="69"/>
    </row>
    <row r="4587" s="2" customFormat="1" ht="24.95" customHeight="1" spans="1:19">
      <c r="A4587" s="15"/>
      <c r="B4587" s="55"/>
      <c r="C4587" s="56"/>
      <c r="D4587" s="68"/>
      <c r="E4587" s="69"/>
      <c r="F4587" s="69"/>
      <c r="G4587" s="65"/>
      <c r="H4587" s="65"/>
      <c r="I4587" s="70"/>
      <c r="J4587" s="71"/>
      <c r="K4587" s="71"/>
      <c r="L4587" s="72" t="str">
        <f>IFERROR(IF(G4587="","",VLOOKUP($G4587,[1]基础信息!$B:$C,2,FALSE)+SUMIF(G$8:G4587,G4587,J$8:J4587)-SUMIF(G$8:G4587,G4587,K$8:K4587)+SUMIFS([1]内部转账!$G:$G,[1]内部转账!$C:$C,"&lt;="&amp;$D4587,[1]内部转账!$E:$E,$G4587)-SUMIFS([1]内部转账!$G:$G,[1]内部转账!$C:$C,"&lt;="&amp;$D4587,[1]内部转账!$F:$F,$G4587)),"")</f>
        <v/>
      </c>
      <c r="M4587" s="64"/>
      <c r="N4587" s="69"/>
      <c r="O4587" s="64"/>
      <c r="P4587" s="64"/>
      <c r="Q4587" s="69"/>
      <c r="R4587" s="69"/>
      <c r="S4587" s="69"/>
    </row>
    <row r="4588" s="2" customFormat="1" ht="24.95" customHeight="1" spans="1:19">
      <c r="A4588" s="15"/>
      <c r="B4588" s="55"/>
      <c r="C4588" s="56"/>
      <c r="D4588" s="68"/>
      <c r="E4588" s="69"/>
      <c r="F4588" s="69"/>
      <c r="G4588" s="65"/>
      <c r="H4588" s="65"/>
      <c r="I4588" s="70"/>
      <c r="J4588" s="71"/>
      <c r="K4588" s="71"/>
      <c r="L4588" s="72" t="str">
        <f>IFERROR(IF(G4588="","",VLOOKUP($G4588,[1]基础信息!$B:$C,2,FALSE)+SUMIF(G$8:G4588,G4588,J$8:J4588)-SUMIF(G$8:G4588,G4588,K$8:K4588)+SUMIFS([1]内部转账!$G:$G,[1]内部转账!$C:$C,"&lt;="&amp;$D4588,[1]内部转账!$E:$E,$G4588)-SUMIFS([1]内部转账!$G:$G,[1]内部转账!$C:$C,"&lt;="&amp;$D4588,[1]内部转账!$F:$F,$G4588)),"")</f>
        <v/>
      </c>
      <c r="M4588" s="64"/>
      <c r="N4588" s="69"/>
      <c r="O4588" s="64"/>
      <c r="P4588" s="64"/>
      <c r="Q4588" s="69"/>
      <c r="R4588" s="69"/>
      <c r="S4588" s="69"/>
    </row>
    <row r="4589" s="2" customFormat="1" ht="24.95" customHeight="1" spans="1:19">
      <c r="A4589" s="15"/>
      <c r="B4589" s="55"/>
      <c r="C4589" s="56"/>
      <c r="D4589" s="68"/>
      <c r="E4589" s="69"/>
      <c r="F4589" s="69"/>
      <c r="G4589" s="65"/>
      <c r="H4589" s="65"/>
      <c r="I4589" s="70"/>
      <c r="J4589" s="71"/>
      <c r="K4589" s="71"/>
      <c r="L4589" s="72" t="str">
        <f>IFERROR(IF(G4589="","",VLOOKUP($G4589,[1]基础信息!$B:$C,2,FALSE)+SUMIF(G$8:G4589,G4589,J$8:J4589)-SUMIF(G$8:G4589,G4589,K$8:K4589)+SUMIFS([1]内部转账!$G:$G,[1]内部转账!$C:$C,"&lt;="&amp;$D4589,[1]内部转账!$E:$E,$G4589)-SUMIFS([1]内部转账!$G:$G,[1]内部转账!$C:$C,"&lt;="&amp;$D4589,[1]内部转账!$F:$F,$G4589)),"")</f>
        <v/>
      </c>
      <c r="M4589" s="64"/>
      <c r="N4589" s="69"/>
      <c r="O4589" s="64"/>
      <c r="P4589" s="64"/>
      <c r="Q4589" s="69"/>
      <c r="R4589" s="69"/>
      <c r="S4589" s="69"/>
    </row>
    <row r="4590" s="2" customFormat="1" ht="24.95" customHeight="1" spans="1:19">
      <c r="A4590" s="15"/>
      <c r="B4590" s="55"/>
      <c r="C4590" s="56"/>
      <c r="D4590" s="68"/>
      <c r="E4590" s="69"/>
      <c r="F4590" s="69"/>
      <c r="G4590" s="65"/>
      <c r="H4590" s="65"/>
      <c r="I4590" s="70"/>
      <c r="J4590" s="71"/>
      <c r="K4590" s="71"/>
      <c r="L4590" s="72" t="str">
        <f>IFERROR(IF(G4590="","",VLOOKUP($G4590,[1]基础信息!$B:$C,2,FALSE)+SUMIF(G$8:G4590,G4590,J$8:J4590)-SUMIF(G$8:G4590,G4590,K$8:K4590)+SUMIFS([1]内部转账!$G:$G,[1]内部转账!$C:$C,"&lt;="&amp;$D4590,[1]内部转账!$E:$E,$G4590)-SUMIFS([1]内部转账!$G:$G,[1]内部转账!$C:$C,"&lt;="&amp;$D4590,[1]内部转账!$F:$F,$G4590)),"")</f>
        <v/>
      </c>
      <c r="M4590" s="64"/>
      <c r="N4590" s="69"/>
      <c r="O4590" s="64"/>
      <c r="P4590" s="64"/>
      <c r="Q4590" s="69"/>
      <c r="R4590" s="69"/>
      <c r="S4590" s="69"/>
    </row>
    <row r="4591" s="2" customFormat="1" ht="24.95" customHeight="1" spans="1:19">
      <c r="A4591" s="15"/>
      <c r="B4591" s="55"/>
      <c r="C4591" s="56"/>
      <c r="D4591" s="68"/>
      <c r="E4591" s="69"/>
      <c r="F4591" s="69"/>
      <c r="G4591" s="65"/>
      <c r="H4591" s="65"/>
      <c r="I4591" s="70"/>
      <c r="J4591" s="71"/>
      <c r="K4591" s="71"/>
      <c r="L4591" s="72" t="str">
        <f>IFERROR(IF(G4591="","",VLOOKUP($G4591,[1]基础信息!$B:$C,2,FALSE)+SUMIF(G$8:G4591,G4591,J$8:J4591)-SUMIF(G$8:G4591,G4591,K$8:K4591)+SUMIFS([1]内部转账!$G:$G,[1]内部转账!$C:$C,"&lt;="&amp;$D4591,[1]内部转账!$E:$E,$G4591)-SUMIFS([1]内部转账!$G:$G,[1]内部转账!$C:$C,"&lt;="&amp;$D4591,[1]内部转账!$F:$F,$G4591)),"")</f>
        <v/>
      </c>
      <c r="M4591" s="64"/>
      <c r="N4591" s="69"/>
      <c r="O4591" s="64"/>
      <c r="P4591" s="64"/>
      <c r="Q4591" s="69"/>
      <c r="R4591" s="69"/>
      <c r="S4591" s="69"/>
    </row>
    <row r="4592" s="2" customFormat="1" ht="24.95" customHeight="1" spans="1:19">
      <c r="A4592" s="15"/>
      <c r="B4592" s="55"/>
      <c r="C4592" s="56"/>
      <c r="D4592" s="68"/>
      <c r="E4592" s="69"/>
      <c r="F4592" s="69"/>
      <c r="G4592" s="65"/>
      <c r="H4592" s="65"/>
      <c r="I4592" s="70"/>
      <c r="J4592" s="71"/>
      <c r="K4592" s="71"/>
      <c r="L4592" s="72" t="str">
        <f>IFERROR(IF(G4592="","",VLOOKUP($G4592,[1]基础信息!$B:$C,2,FALSE)+SUMIF(G$8:G4592,G4592,J$8:J4592)-SUMIF(G$8:G4592,G4592,K$8:K4592)+SUMIFS([1]内部转账!$G:$G,[1]内部转账!$C:$C,"&lt;="&amp;$D4592,[1]内部转账!$E:$E,$G4592)-SUMIFS([1]内部转账!$G:$G,[1]内部转账!$C:$C,"&lt;="&amp;$D4592,[1]内部转账!$F:$F,$G4592)),"")</f>
        <v/>
      </c>
      <c r="M4592" s="64"/>
      <c r="N4592" s="69"/>
      <c r="O4592" s="64"/>
      <c r="P4592" s="64"/>
      <c r="Q4592" s="69"/>
      <c r="R4592" s="69"/>
      <c r="S4592" s="69"/>
    </row>
    <row r="4593" s="2" customFormat="1" ht="24.95" customHeight="1" spans="1:19">
      <c r="A4593" s="15"/>
      <c r="B4593" s="55"/>
      <c r="C4593" s="56"/>
      <c r="D4593" s="68"/>
      <c r="E4593" s="69"/>
      <c r="F4593" s="69"/>
      <c r="G4593" s="65"/>
      <c r="H4593" s="65"/>
      <c r="I4593" s="70"/>
      <c r="J4593" s="71"/>
      <c r="K4593" s="71"/>
      <c r="L4593" s="72" t="str">
        <f>IFERROR(IF(G4593="","",VLOOKUP($G4593,[1]基础信息!$B:$C,2,FALSE)+SUMIF(G$8:G4593,G4593,J$8:J4593)-SUMIF(G$8:G4593,G4593,K$8:K4593)+SUMIFS([1]内部转账!$G:$G,[1]内部转账!$C:$C,"&lt;="&amp;$D4593,[1]内部转账!$E:$E,$G4593)-SUMIFS([1]内部转账!$G:$G,[1]内部转账!$C:$C,"&lt;="&amp;$D4593,[1]内部转账!$F:$F,$G4593)),"")</f>
        <v/>
      </c>
      <c r="M4593" s="64"/>
      <c r="N4593" s="69"/>
      <c r="O4593" s="64"/>
      <c r="P4593" s="64"/>
      <c r="Q4593" s="69"/>
      <c r="R4593" s="69"/>
      <c r="S4593" s="69"/>
    </row>
    <row r="4594" s="2" customFormat="1" ht="24.95" customHeight="1" spans="1:19">
      <c r="A4594" s="15"/>
      <c r="B4594" s="55"/>
      <c r="C4594" s="56"/>
      <c r="D4594" s="68"/>
      <c r="E4594" s="69"/>
      <c r="F4594" s="69"/>
      <c r="G4594" s="65"/>
      <c r="H4594" s="65"/>
      <c r="I4594" s="70"/>
      <c r="J4594" s="71"/>
      <c r="K4594" s="71"/>
      <c r="L4594" s="72" t="str">
        <f>IFERROR(IF(G4594="","",VLOOKUP($G4594,[1]基础信息!$B:$C,2,FALSE)+SUMIF(G$8:G4594,G4594,J$8:J4594)-SUMIF(G$8:G4594,G4594,K$8:K4594)+SUMIFS([1]内部转账!$G:$G,[1]内部转账!$C:$C,"&lt;="&amp;$D4594,[1]内部转账!$E:$E,$G4594)-SUMIFS([1]内部转账!$G:$G,[1]内部转账!$C:$C,"&lt;="&amp;$D4594,[1]内部转账!$F:$F,$G4594)),"")</f>
        <v/>
      </c>
      <c r="M4594" s="64"/>
      <c r="N4594" s="69"/>
      <c r="O4594" s="64"/>
      <c r="P4594" s="64"/>
      <c r="Q4594" s="69"/>
      <c r="R4594" s="69"/>
      <c r="S4594" s="69"/>
    </row>
    <row r="4595" s="2" customFormat="1" ht="24.95" customHeight="1" spans="1:19">
      <c r="A4595" s="15"/>
      <c r="B4595" s="55"/>
      <c r="C4595" s="56"/>
      <c r="D4595" s="68"/>
      <c r="E4595" s="69"/>
      <c r="F4595" s="69"/>
      <c r="G4595" s="65"/>
      <c r="H4595" s="65"/>
      <c r="I4595" s="70"/>
      <c r="J4595" s="71"/>
      <c r="K4595" s="71"/>
      <c r="L4595" s="72" t="str">
        <f>IFERROR(IF(G4595="","",VLOOKUP($G4595,[1]基础信息!$B:$C,2,FALSE)+SUMIF(G$8:G4595,G4595,J$8:J4595)-SUMIF(G$8:G4595,G4595,K$8:K4595)+SUMIFS([1]内部转账!$G:$G,[1]内部转账!$C:$C,"&lt;="&amp;$D4595,[1]内部转账!$E:$E,$G4595)-SUMIFS([1]内部转账!$G:$G,[1]内部转账!$C:$C,"&lt;="&amp;$D4595,[1]内部转账!$F:$F,$G4595)),"")</f>
        <v/>
      </c>
      <c r="M4595" s="64"/>
      <c r="N4595" s="69"/>
      <c r="O4595" s="64"/>
      <c r="P4595" s="64"/>
      <c r="Q4595" s="69"/>
      <c r="R4595" s="69"/>
      <c r="S4595" s="69"/>
    </row>
    <row r="4596" s="2" customFormat="1" ht="24.95" customHeight="1" spans="1:19">
      <c r="A4596" s="15"/>
      <c r="B4596" s="55"/>
      <c r="C4596" s="56"/>
      <c r="D4596" s="68"/>
      <c r="E4596" s="69"/>
      <c r="F4596" s="69"/>
      <c r="G4596" s="65"/>
      <c r="H4596" s="65"/>
      <c r="I4596" s="70"/>
      <c r="J4596" s="71"/>
      <c r="K4596" s="71"/>
      <c r="L4596" s="72" t="str">
        <f>IFERROR(IF(G4596="","",VLOOKUP($G4596,[1]基础信息!$B:$C,2,FALSE)+SUMIF(G$8:G4596,G4596,J$8:J4596)-SUMIF(G$8:G4596,G4596,K$8:K4596)+SUMIFS([1]内部转账!$G:$G,[1]内部转账!$C:$C,"&lt;="&amp;$D4596,[1]内部转账!$E:$E,$G4596)-SUMIFS([1]内部转账!$G:$G,[1]内部转账!$C:$C,"&lt;="&amp;$D4596,[1]内部转账!$F:$F,$G4596)),"")</f>
        <v/>
      </c>
      <c r="M4596" s="64"/>
      <c r="N4596" s="69"/>
      <c r="O4596" s="64"/>
      <c r="P4596" s="64"/>
      <c r="Q4596" s="69"/>
      <c r="R4596" s="69"/>
      <c r="S4596" s="69"/>
    </row>
    <row r="4597" s="2" customFormat="1" ht="24.95" customHeight="1" spans="1:19">
      <c r="A4597" s="15"/>
      <c r="B4597" s="55"/>
      <c r="C4597" s="56"/>
      <c r="D4597" s="68"/>
      <c r="E4597" s="69"/>
      <c r="F4597" s="69"/>
      <c r="G4597" s="65"/>
      <c r="H4597" s="65"/>
      <c r="I4597" s="70"/>
      <c r="J4597" s="71"/>
      <c r="K4597" s="71"/>
      <c r="L4597" s="72" t="str">
        <f>IFERROR(IF(G4597="","",VLOOKUP($G4597,[1]基础信息!$B:$C,2,FALSE)+SUMIF(G$8:G4597,G4597,J$8:J4597)-SUMIF(G$8:G4597,G4597,K$8:K4597)+SUMIFS([1]内部转账!$G:$G,[1]内部转账!$C:$C,"&lt;="&amp;$D4597,[1]内部转账!$E:$E,$G4597)-SUMIFS([1]内部转账!$G:$G,[1]内部转账!$C:$C,"&lt;="&amp;$D4597,[1]内部转账!$F:$F,$G4597)),"")</f>
        <v/>
      </c>
      <c r="M4597" s="64"/>
      <c r="N4597" s="69"/>
      <c r="O4597" s="64"/>
      <c r="P4597" s="64"/>
      <c r="Q4597" s="69"/>
      <c r="R4597" s="69"/>
      <c r="S4597" s="69"/>
    </row>
    <row r="4598" s="2" customFormat="1" ht="24.95" customHeight="1" spans="1:19">
      <c r="A4598" s="15"/>
      <c r="B4598" s="55"/>
      <c r="C4598" s="56"/>
      <c r="D4598" s="68"/>
      <c r="E4598" s="69"/>
      <c r="F4598" s="69"/>
      <c r="G4598" s="65"/>
      <c r="H4598" s="65"/>
      <c r="I4598" s="70"/>
      <c r="J4598" s="71"/>
      <c r="K4598" s="71"/>
      <c r="L4598" s="72" t="str">
        <f>IFERROR(IF(G4598="","",VLOOKUP($G4598,[1]基础信息!$B:$C,2,FALSE)+SUMIF(G$8:G4598,G4598,J$8:J4598)-SUMIF(G$8:G4598,G4598,K$8:K4598)+SUMIFS([1]内部转账!$G:$G,[1]内部转账!$C:$C,"&lt;="&amp;$D4598,[1]内部转账!$E:$E,$G4598)-SUMIFS([1]内部转账!$G:$G,[1]内部转账!$C:$C,"&lt;="&amp;$D4598,[1]内部转账!$F:$F,$G4598)),"")</f>
        <v/>
      </c>
      <c r="M4598" s="64"/>
      <c r="N4598" s="69"/>
      <c r="O4598" s="64"/>
      <c r="P4598" s="64"/>
      <c r="Q4598" s="69"/>
      <c r="R4598" s="69"/>
      <c r="S4598" s="69"/>
    </row>
    <row r="4599" s="2" customFormat="1" ht="24.95" customHeight="1" spans="1:19">
      <c r="A4599" s="15"/>
      <c r="B4599" s="55"/>
      <c r="C4599" s="56"/>
      <c r="D4599" s="68"/>
      <c r="E4599" s="69"/>
      <c r="F4599" s="69"/>
      <c r="G4599" s="65"/>
      <c r="H4599" s="65"/>
      <c r="I4599" s="70"/>
      <c r="J4599" s="71"/>
      <c r="K4599" s="71"/>
      <c r="L4599" s="72" t="str">
        <f>IFERROR(IF(G4599="","",VLOOKUP($G4599,[1]基础信息!$B:$C,2,FALSE)+SUMIF(G$8:G4599,G4599,J$8:J4599)-SUMIF(G$8:G4599,G4599,K$8:K4599)+SUMIFS([1]内部转账!$G:$G,[1]内部转账!$C:$C,"&lt;="&amp;$D4599,[1]内部转账!$E:$E,$G4599)-SUMIFS([1]内部转账!$G:$G,[1]内部转账!$C:$C,"&lt;="&amp;$D4599,[1]内部转账!$F:$F,$G4599)),"")</f>
        <v/>
      </c>
      <c r="M4599" s="64"/>
      <c r="N4599" s="69"/>
      <c r="O4599" s="64"/>
      <c r="P4599" s="64"/>
      <c r="Q4599" s="69"/>
      <c r="R4599" s="69"/>
      <c r="S4599" s="69"/>
    </row>
    <row r="4600" s="2" customFormat="1" ht="24.95" customHeight="1" spans="1:19">
      <c r="A4600" s="15"/>
      <c r="B4600" s="55"/>
      <c r="C4600" s="56"/>
      <c r="D4600" s="68"/>
      <c r="E4600" s="69"/>
      <c r="F4600" s="69"/>
      <c r="G4600" s="65"/>
      <c r="H4600" s="65"/>
      <c r="I4600" s="70"/>
      <c r="J4600" s="71"/>
      <c r="K4600" s="71"/>
      <c r="L4600" s="72" t="str">
        <f>IFERROR(IF(G4600="","",VLOOKUP($G4600,[1]基础信息!$B:$C,2,FALSE)+SUMIF(G$8:G4600,G4600,J$8:J4600)-SUMIF(G$8:G4600,G4600,K$8:K4600)+SUMIFS([1]内部转账!$G:$G,[1]内部转账!$C:$C,"&lt;="&amp;$D4600,[1]内部转账!$E:$E,$G4600)-SUMIFS([1]内部转账!$G:$G,[1]内部转账!$C:$C,"&lt;="&amp;$D4600,[1]内部转账!$F:$F,$G4600)),"")</f>
        <v/>
      </c>
      <c r="M4600" s="64"/>
      <c r="N4600" s="69"/>
      <c r="O4600" s="64"/>
      <c r="P4600" s="64"/>
      <c r="Q4600" s="69"/>
      <c r="R4600" s="69"/>
      <c r="S4600" s="69"/>
    </row>
    <row r="4601" s="2" customFormat="1" ht="24.95" customHeight="1" spans="1:19">
      <c r="A4601" s="15"/>
      <c r="B4601" s="55"/>
      <c r="C4601" s="56"/>
      <c r="D4601" s="68"/>
      <c r="E4601" s="69"/>
      <c r="F4601" s="69"/>
      <c r="G4601" s="65"/>
      <c r="H4601" s="65"/>
      <c r="I4601" s="70"/>
      <c r="J4601" s="71"/>
      <c r="K4601" s="71"/>
      <c r="L4601" s="72" t="str">
        <f>IFERROR(IF(G4601="","",VLOOKUP($G4601,[1]基础信息!$B:$C,2,FALSE)+SUMIF(G$8:G4601,G4601,J$8:J4601)-SUMIF(G$8:G4601,G4601,K$8:K4601)+SUMIFS([1]内部转账!$G:$G,[1]内部转账!$C:$C,"&lt;="&amp;$D4601,[1]内部转账!$E:$E,$G4601)-SUMIFS([1]内部转账!$G:$G,[1]内部转账!$C:$C,"&lt;="&amp;$D4601,[1]内部转账!$F:$F,$G4601)),"")</f>
        <v/>
      </c>
      <c r="M4601" s="64"/>
      <c r="N4601" s="69"/>
      <c r="O4601" s="64"/>
      <c r="P4601" s="64"/>
      <c r="Q4601" s="69"/>
      <c r="R4601" s="69"/>
      <c r="S4601" s="69"/>
    </row>
    <row r="4602" s="2" customFormat="1" ht="24.95" customHeight="1" spans="1:19">
      <c r="A4602" s="15"/>
      <c r="B4602" s="55"/>
      <c r="C4602" s="56"/>
      <c r="D4602" s="68"/>
      <c r="E4602" s="69"/>
      <c r="F4602" s="69"/>
      <c r="G4602" s="65"/>
      <c r="H4602" s="65"/>
      <c r="I4602" s="70"/>
      <c r="J4602" s="71"/>
      <c r="K4602" s="71"/>
      <c r="L4602" s="72" t="str">
        <f>IFERROR(IF(G4602="","",VLOOKUP($G4602,[1]基础信息!$B:$C,2,FALSE)+SUMIF(G$8:G4602,G4602,J$8:J4602)-SUMIF(G$8:G4602,G4602,K$8:K4602)+SUMIFS([1]内部转账!$G:$G,[1]内部转账!$C:$C,"&lt;="&amp;$D4602,[1]内部转账!$E:$E,$G4602)-SUMIFS([1]内部转账!$G:$G,[1]内部转账!$C:$C,"&lt;="&amp;$D4602,[1]内部转账!$F:$F,$G4602)),"")</f>
        <v/>
      </c>
      <c r="M4602" s="64"/>
      <c r="N4602" s="69"/>
      <c r="O4602" s="64"/>
      <c r="P4602" s="64"/>
      <c r="Q4602" s="69"/>
      <c r="R4602" s="69"/>
      <c r="S4602" s="69"/>
    </row>
    <row r="4603" s="2" customFormat="1" ht="24.95" customHeight="1" spans="1:19">
      <c r="A4603" s="15"/>
      <c r="B4603" s="55"/>
      <c r="C4603" s="56"/>
      <c r="D4603" s="68"/>
      <c r="E4603" s="69"/>
      <c r="F4603" s="69"/>
      <c r="G4603" s="65"/>
      <c r="H4603" s="65"/>
      <c r="I4603" s="70"/>
      <c r="J4603" s="71"/>
      <c r="K4603" s="71"/>
      <c r="L4603" s="72" t="str">
        <f>IFERROR(IF(G4603="","",VLOOKUP($G4603,[1]基础信息!$B:$C,2,FALSE)+SUMIF(G$8:G4603,G4603,J$8:J4603)-SUMIF(G$8:G4603,G4603,K$8:K4603)+SUMIFS([1]内部转账!$G:$G,[1]内部转账!$C:$C,"&lt;="&amp;$D4603,[1]内部转账!$E:$E,$G4603)-SUMIFS([1]内部转账!$G:$G,[1]内部转账!$C:$C,"&lt;="&amp;$D4603,[1]内部转账!$F:$F,$G4603)),"")</f>
        <v/>
      </c>
      <c r="M4603" s="64"/>
      <c r="N4603" s="69"/>
      <c r="O4603" s="64"/>
      <c r="P4603" s="64"/>
      <c r="Q4603" s="69"/>
      <c r="R4603" s="69"/>
      <c r="S4603" s="69"/>
    </row>
    <row r="4604" s="2" customFormat="1" ht="24.95" customHeight="1" spans="1:19">
      <c r="A4604" s="15"/>
      <c r="B4604" s="55"/>
      <c r="C4604" s="56"/>
      <c r="D4604" s="68"/>
      <c r="E4604" s="69"/>
      <c r="F4604" s="69"/>
      <c r="G4604" s="65"/>
      <c r="H4604" s="65"/>
      <c r="I4604" s="70"/>
      <c r="J4604" s="71"/>
      <c r="K4604" s="71"/>
      <c r="L4604" s="72" t="str">
        <f>IFERROR(IF(G4604="","",VLOOKUP($G4604,[1]基础信息!$B:$C,2,FALSE)+SUMIF(G$8:G4604,G4604,J$8:J4604)-SUMIF(G$8:G4604,G4604,K$8:K4604)+SUMIFS([1]内部转账!$G:$G,[1]内部转账!$C:$C,"&lt;="&amp;$D4604,[1]内部转账!$E:$E,$G4604)-SUMIFS([1]内部转账!$G:$G,[1]内部转账!$C:$C,"&lt;="&amp;$D4604,[1]内部转账!$F:$F,$G4604)),"")</f>
        <v/>
      </c>
      <c r="M4604" s="64"/>
      <c r="N4604" s="69"/>
      <c r="O4604" s="64"/>
      <c r="P4604" s="64"/>
      <c r="Q4604" s="69"/>
      <c r="R4604" s="69"/>
      <c r="S4604" s="69"/>
    </row>
    <row r="4605" s="2" customFormat="1" ht="24.95" customHeight="1" spans="1:19">
      <c r="A4605" s="15"/>
      <c r="B4605" s="55"/>
      <c r="C4605" s="56"/>
      <c r="D4605" s="68"/>
      <c r="E4605" s="69"/>
      <c r="F4605" s="69"/>
      <c r="G4605" s="65"/>
      <c r="H4605" s="65"/>
      <c r="I4605" s="70"/>
      <c r="J4605" s="71"/>
      <c r="K4605" s="71"/>
      <c r="L4605" s="72" t="str">
        <f>IFERROR(IF(G4605="","",VLOOKUP($G4605,[1]基础信息!$B:$C,2,FALSE)+SUMIF(G$8:G4605,G4605,J$8:J4605)-SUMIF(G$8:G4605,G4605,K$8:K4605)+SUMIFS([1]内部转账!$G:$G,[1]内部转账!$C:$C,"&lt;="&amp;$D4605,[1]内部转账!$E:$E,$G4605)-SUMIFS([1]内部转账!$G:$G,[1]内部转账!$C:$C,"&lt;="&amp;$D4605,[1]内部转账!$F:$F,$G4605)),"")</f>
        <v/>
      </c>
      <c r="M4605" s="64"/>
      <c r="N4605" s="69"/>
      <c r="O4605" s="64"/>
      <c r="P4605" s="64"/>
      <c r="Q4605" s="69"/>
      <c r="R4605" s="69"/>
      <c r="S4605" s="69"/>
    </row>
    <row r="4606" s="2" customFormat="1" ht="24.95" customHeight="1" spans="1:19">
      <c r="A4606" s="15"/>
      <c r="B4606" s="55"/>
      <c r="C4606" s="56"/>
      <c r="D4606" s="68"/>
      <c r="E4606" s="69"/>
      <c r="F4606" s="69"/>
      <c r="G4606" s="65"/>
      <c r="H4606" s="65"/>
      <c r="I4606" s="70"/>
      <c r="J4606" s="71"/>
      <c r="K4606" s="71"/>
      <c r="L4606" s="72" t="str">
        <f>IFERROR(IF(G4606="","",VLOOKUP($G4606,[1]基础信息!$B:$C,2,FALSE)+SUMIF(G$8:G4606,G4606,J$8:J4606)-SUMIF(G$8:G4606,G4606,K$8:K4606)+SUMIFS([1]内部转账!$G:$G,[1]内部转账!$C:$C,"&lt;="&amp;$D4606,[1]内部转账!$E:$E,$G4606)-SUMIFS([1]内部转账!$G:$G,[1]内部转账!$C:$C,"&lt;="&amp;$D4606,[1]内部转账!$F:$F,$G4606)),"")</f>
        <v/>
      </c>
      <c r="M4606" s="64"/>
      <c r="N4606" s="69"/>
      <c r="O4606" s="64"/>
      <c r="P4606" s="64"/>
      <c r="Q4606" s="69"/>
      <c r="R4606" s="69"/>
      <c r="S4606" s="69"/>
    </row>
    <row r="4607" s="2" customFormat="1" ht="24.95" customHeight="1" spans="1:19">
      <c r="A4607" s="15"/>
      <c r="B4607" s="55"/>
      <c r="C4607" s="56"/>
      <c r="D4607" s="68"/>
      <c r="E4607" s="69"/>
      <c r="F4607" s="69"/>
      <c r="G4607" s="65"/>
      <c r="H4607" s="65"/>
      <c r="I4607" s="70"/>
      <c r="J4607" s="71"/>
      <c r="K4607" s="71"/>
      <c r="L4607" s="72" t="str">
        <f>IFERROR(IF(G4607="","",VLOOKUP($G4607,[1]基础信息!$B:$C,2,FALSE)+SUMIF(G$8:G4607,G4607,J$8:J4607)-SUMIF(G$8:G4607,G4607,K$8:K4607)+SUMIFS([1]内部转账!$G:$G,[1]内部转账!$C:$C,"&lt;="&amp;$D4607,[1]内部转账!$E:$E,$G4607)-SUMIFS([1]内部转账!$G:$G,[1]内部转账!$C:$C,"&lt;="&amp;$D4607,[1]内部转账!$F:$F,$G4607)),"")</f>
        <v/>
      </c>
      <c r="M4607" s="64"/>
      <c r="N4607" s="69"/>
      <c r="O4607" s="64"/>
      <c r="P4607" s="64"/>
      <c r="Q4607" s="69"/>
      <c r="R4607" s="69"/>
      <c r="S4607" s="69"/>
    </row>
    <row r="4608" s="2" customFormat="1" ht="24.95" customHeight="1" spans="1:19">
      <c r="A4608" s="15"/>
      <c r="B4608" s="55"/>
      <c r="C4608" s="56"/>
      <c r="D4608" s="68"/>
      <c r="E4608" s="69"/>
      <c r="F4608" s="69"/>
      <c r="G4608" s="65"/>
      <c r="H4608" s="65"/>
      <c r="I4608" s="70"/>
      <c r="J4608" s="71"/>
      <c r="K4608" s="71"/>
      <c r="L4608" s="72" t="str">
        <f>IFERROR(IF(G4608="","",VLOOKUP($G4608,[1]基础信息!$B:$C,2,FALSE)+SUMIF(G$8:G4608,G4608,J$8:J4608)-SUMIF(G$8:G4608,G4608,K$8:K4608)+SUMIFS([1]内部转账!$G:$G,[1]内部转账!$C:$C,"&lt;="&amp;$D4608,[1]内部转账!$E:$E,$G4608)-SUMIFS([1]内部转账!$G:$G,[1]内部转账!$C:$C,"&lt;="&amp;$D4608,[1]内部转账!$F:$F,$G4608)),"")</f>
        <v/>
      </c>
      <c r="M4608" s="64"/>
      <c r="N4608" s="69"/>
      <c r="O4608" s="64"/>
      <c r="P4608" s="64"/>
      <c r="Q4608" s="69"/>
      <c r="R4608" s="69"/>
      <c r="S4608" s="69"/>
    </row>
    <row r="4609" s="2" customFormat="1" ht="24.95" customHeight="1" spans="1:19">
      <c r="A4609" s="15"/>
      <c r="B4609" s="55"/>
      <c r="C4609" s="56"/>
      <c r="D4609" s="68"/>
      <c r="E4609" s="69"/>
      <c r="F4609" s="69"/>
      <c r="G4609" s="65"/>
      <c r="H4609" s="65"/>
      <c r="I4609" s="70"/>
      <c r="J4609" s="71"/>
      <c r="K4609" s="71"/>
      <c r="L4609" s="72" t="str">
        <f>IFERROR(IF(G4609="","",VLOOKUP($G4609,[1]基础信息!$B:$C,2,FALSE)+SUMIF(G$8:G4609,G4609,J$8:J4609)-SUMIF(G$8:G4609,G4609,K$8:K4609)+SUMIFS([1]内部转账!$G:$G,[1]内部转账!$C:$C,"&lt;="&amp;$D4609,[1]内部转账!$E:$E,$G4609)-SUMIFS([1]内部转账!$G:$G,[1]内部转账!$C:$C,"&lt;="&amp;$D4609,[1]内部转账!$F:$F,$G4609)),"")</f>
        <v/>
      </c>
      <c r="M4609" s="64"/>
      <c r="N4609" s="69"/>
      <c r="O4609" s="64"/>
      <c r="P4609" s="64"/>
      <c r="Q4609" s="69"/>
      <c r="R4609" s="69"/>
      <c r="S4609" s="69"/>
    </row>
    <row r="4610" s="2" customFormat="1" ht="24.95" customHeight="1" spans="1:19">
      <c r="A4610" s="15"/>
      <c r="B4610" s="55"/>
      <c r="C4610" s="56"/>
      <c r="D4610" s="68"/>
      <c r="E4610" s="69"/>
      <c r="F4610" s="69"/>
      <c r="G4610" s="65"/>
      <c r="H4610" s="65"/>
      <c r="I4610" s="70"/>
      <c r="J4610" s="71"/>
      <c r="K4610" s="71"/>
      <c r="L4610" s="72" t="str">
        <f>IFERROR(IF(G4610="","",VLOOKUP($G4610,[1]基础信息!$B:$C,2,FALSE)+SUMIF(G$8:G4610,G4610,J$8:J4610)-SUMIF(G$8:G4610,G4610,K$8:K4610)+SUMIFS([1]内部转账!$G:$G,[1]内部转账!$C:$C,"&lt;="&amp;$D4610,[1]内部转账!$E:$E,$G4610)-SUMIFS([1]内部转账!$G:$G,[1]内部转账!$C:$C,"&lt;="&amp;$D4610,[1]内部转账!$F:$F,$G4610)),"")</f>
        <v/>
      </c>
      <c r="M4610" s="64"/>
      <c r="N4610" s="69"/>
      <c r="O4610" s="64"/>
      <c r="P4610" s="64"/>
      <c r="Q4610" s="69"/>
      <c r="R4610" s="69"/>
      <c r="S4610" s="69"/>
    </row>
    <row r="4611" s="2" customFormat="1" ht="24.95" customHeight="1" spans="1:19">
      <c r="A4611" s="15"/>
      <c r="B4611" s="55"/>
      <c r="C4611" s="56"/>
      <c r="D4611" s="68"/>
      <c r="E4611" s="69"/>
      <c r="F4611" s="69"/>
      <c r="G4611" s="65"/>
      <c r="H4611" s="65"/>
      <c r="I4611" s="70"/>
      <c r="J4611" s="71"/>
      <c r="K4611" s="71"/>
      <c r="L4611" s="72" t="str">
        <f>IFERROR(IF(G4611="","",VLOOKUP($G4611,[1]基础信息!$B:$C,2,FALSE)+SUMIF(G$8:G4611,G4611,J$8:J4611)-SUMIF(G$8:G4611,G4611,K$8:K4611)+SUMIFS([1]内部转账!$G:$G,[1]内部转账!$C:$C,"&lt;="&amp;$D4611,[1]内部转账!$E:$E,$G4611)-SUMIFS([1]内部转账!$G:$G,[1]内部转账!$C:$C,"&lt;="&amp;$D4611,[1]内部转账!$F:$F,$G4611)),"")</f>
        <v/>
      </c>
      <c r="M4611" s="64"/>
      <c r="N4611" s="69"/>
      <c r="O4611" s="64"/>
      <c r="P4611" s="64"/>
      <c r="Q4611" s="69"/>
      <c r="R4611" s="69"/>
      <c r="S4611" s="69"/>
    </row>
    <row r="4612" s="2" customFormat="1" ht="24.95" customHeight="1" spans="1:19">
      <c r="A4612" s="15"/>
      <c r="B4612" s="55"/>
      <c r="C4612" s="56"/>
      <c r="D4612" s="68"/>
      <c r="E4612" s="69"/>
      <c r="F4612" s="69"/>
      <c r="G4612" s="65"/>
      <c r="H4612" s="65"/>
      <c r="I4612" s="70"/>
      <c r="J4612" s="71"/>
      <c r="K4612" s="71"/>
      <c r="L4612" s="72" t="str">
        <f>IFERROR(IF(G4612="","",VLOOKUP($G4612,[1]基础信息!$B:$C,2,FALSE)+SUMIF(G$8:G4612,G4612,J$8:J4612)-SUMIF(G$8:G4612,G4612,K$8:K4612)+SUMIFS([1]内部转账!$G:$G,[1]内部转账!$C:$C,"&lt;="&amp;$D4612,[1]内部转账!$E:$E,$G4612)-SUMIFS([1]内部转账!$G:$G,[1]内部转账!$C:$C,"&lt;="&amp;$D4612,[1]内部转账!$F:$F,$G4612)),"")</f>
        <v/>
      </c>
      <c r="M4612" s="64"/>
      <c r="N4612" s="69"/>
      <c r="O4612" s="64"/>
      <c r="P4612" s="64"/>
      <c r="Q4612" s="69"/>
      <c r="R4612" s="69"/>
      <c r="S4612" s="69"/>
    </row>
    <row r="4613" s="2" customFormat="1" ht="24.95" customHeight="1" spans="1:19">
      <c r="A4613" s="15"/>
      <c r="B4613" s="55"/>
      <c r="C4613" s="56"/>
      <c r="D4613" s="68"/>
      <c r="E4613" s="69"/>
      <c r="F4613" s="69"/>
      <c r="G4613" s="65"/>
      <c r="H4613" s="65"/>
      <c r="I4613" s="70"/>
      <c r="J4613" s="71"/>
      <c r="K4613" s="71"/>
      <c r="L4613" s="72" t="str">
        <f>IFERROR(IF(G4613="","",VLOOKUP($G4613,[1]基础信息!$B:$C,2,FALSE)+SUMIF(G$8:G4613,G4613,J$8:J4613)-SUMIF(G$8:G4613,G4613,K$8:K4613)+SUMIFS([1]内部转账!$G:$G,[1]内部转账!$C:$C,"&lt;="&amp;$D4613,[1]内部转账!$E:$E,$G4613)-SUMIFS([1]内部转账!$G:$G,[1]内部转账!$C:$C,"&lt;="&amp;$D4613,[1]内部转账!$F:$F,$G4613)),"")</f>
        <v/>
      </c>
      <c r="M4613" s="64"/>
      <c r="N4613" s="69"/>
      <c r="O4613" s="64"/>
      <c r="P4613" s="64"/>
      <c r="Q4613" s="69"/>
      <c r="R4613" s="69"/>
      <c r="S4613" s="69"/>
    </row>
    <row r="4614" s="2" customFormat="1" ht="24.95" customHeight="1" spans="1:19">
      <c r="A4614" s="15"/>
      <c r="B4614" s="55"/>
      <c r="C4614" s="56"/>
      <c r="D4614" s="68"/>
      <c r="E4614" s="69"/>
      <c r="F4614" s="69"/>
      <c r="G4614" s="65"/>
      <c r="H4614" s="65"/>
      <c r="I4614" s="70"/>
      <c r="J4614" s="71"/>
      <c r="K4614" s="71"/>
      <c r="L4614" s="72" t="str">
        <f>IFERROR(IF(G4614="","",VLOOKUP($G4614,[1]基础信息!$B:$C,2,FALSE)+SUMIF(G$8:G4614,G4614,J$8:J4614)-SUMIF(G$8:G4614,G4614,K$8:K4614)+SUMIFS([1]内部转账!$G:$G,[1]内部转账!$C:$C,"&lt;="&amp;$D4614,[1]内部转账!$E:$E,$G4614)-SUMIFS([1]内部转账!$G:$G,[1]内部转账!$C:$C,"&lt;="&amp;$D4614,[1]内部转账!$F:$F,$G4614)),"")</f>
        <v/>
      </c>
      <c r="M4614" s="64"/>
      <c r="N4614" s="69"/>
      <c r="O4614" s="64"/>
      <c r="P4614" s="64"/>
      <c r="Q4614" s="69"/>
      <c r="R4614" s="69"/>
      <c r="S4614" s="69"/>
    </row>
    <row r="4615" s="2" customFormat="1" ht="24.95" customHeight="1" spans="1:19">
      <c r="A4615" s="15"/>
      <c r="B4615" s="55"/>
      <c r="C4615" s="56"/>
      <c r="D4615" s="68"/>
      <c r="E4615" s="69"/>
      <c r="F4615" s="69"/>
      <c r="G4615" s="65"/>
      <c r="H4615" s="65"/>
      <c r="I4615" s="70"/>
      <c r="J4615" s="71"/>
      <c r="K4615" s="71"/>
      <c r="L4615" s="72" t="str">
        <f>IFERROR(IF(G4615="","",VLOOKUP($G4615,[1]基础信息!$B:$C,2,FALSE)+SUMIF(G$8:G4615,G4615,J$8:J4615)-SUMIF(G$8:G4615,G4615,K$8:K4615)+SUMIFS([1]内部转账!$G:$G,[1]内部转账!$C:$C,"&lt;="&amp;$D4615,[1]内部转账!$E:$E,$G4615)-SUMIFS([1]内部转账!$G:$G,[1]内部转账!$C:$C,"&lt;="&amp;$D4615,[1]内部转账!$F:$F,$G4615)),"")</f>
        <v/>
      </c>
      <c r="M4615" s="64"/>
      <c r="N4615" s="69"/>
      <c r="O4615" s="64"/>
      <c r="P4615" s="64"/>
      <c r="Q4615" s="69"/>
      <c r="R4615" s="69"/>
      <c r="S4615" s="69"/>
    </row>
    <row r="4616" s="2" customFormat="1" ht="24.95" customHeight="1" spans="1:19">
      <c r="A4616" s="15"/>
      <c r="B4616" s="55"/>
      <c r="C4616" s="56"/>
      <c r="D4616" s="68"/>
      <c r="E4616" s="69"/>
      <c r="F4616" s="69"/>
      <c r="G4616" s="65"/>
      <c r="H4616" s="65"/>
      <c r="I4616" s="70"/>
      <c r="J4616" s="71"/>
      <c r="K4616" s="71"/>
      <c r="L4616" s="72" t="str">
        <f>IFERROR(IF(G4616="","",VLOOKUP($G4616,[1]基础信息!$B:$C,2,FALSE)+SUMIF(G$8:G4616,G4616,J$8:J4616)-SUMIF(G$8:G4616,G4616,K$8:K4616)+SUMIFS([1]内部转账!$G:$G,[1]内部转账!$C:$C,"&lt;="&amp;$D4616,[1]内部转账!$E:$E,$G4616)-SUMIFS([1]内部转账!$G:$G,[1]内部转账!$C:$C,"&lt;="&amp;$D4616,[1]内部转账!$F:$F,$G4616)),"")</f>
        <v/>
      </c>
      <c r="M4616" s="64"/>
      <c r="N4616" s="69"/>
      <c r="O4616" s="64"/>
      <c r="P4616" s="64"/>
      <c r="Q4616" s="69"/>
      <c r="R4616" s="69"/>
      <c r="S4616" s="69"/>
    </row>
    <row r="4617" s="2" customFormat="1" ht="24.95" customHeight="1" spans="1:19">
      <c r="A4617" s="15"/>
      <c r="B4617" s="55"/>
      <c r="C4617" s="56"/>
      <c r="D4617" s="68"/>
      <c r="E4617" s="69"/>
      <c r="F4617" s="69"/>
      <c r="G4617" s="65"/>
      <c r="H4617" s="65"/>
      <c r="I4617" s="70"/>
      <c r="J4617" s="71"/>
      <c r="K4617" s="71"/>
      <c r="L4617" s="72" t="str">
        <f>IFERROR(IF(G4617="","",VLOOKUP($G4617,[1]基础信息!$B:$C,2,FALSE)+SUMIF(G$8:G4617,G4617,J$8:J4617)-SUMIF(G$8:G4617,G4617,K$8:K4617)+SUMIFS([1]内部转账!$G:$G,[1]内部转账!$C:$C,"&lt;="&amp;$D4617,[1]内部转账!$E:$E,$G4617)-SUMIFS([1]内部转账!$G:$G,[1]内部转账!$C:$C,"&lt;="&amp;$D4617,[1]内部转账!$F:$F,$G4617)),"")</f>
        <v/>
      </c>
      <c r="M4617" s="64"/>
      <c r="N4617" s="69"/>
      <c r="O4617" s="64"/>
      <c r="P4617" s="64"/>
      <c r="Q4617" s="69"/>
      <c r="R4617" s="69"/>
      <c r="S4617" s="69"/>
    </row>
    <row r="4618" s="2" customFormat="1" ht="24.95" customHeight="1" spans="1:19">
      <c r="A4618" s="15"/>
      <c r="B4618" s="55"/>
      <c r="C4618" s="56"/>
      <c r="D4618" s="68"/>
      <c r="E4618" s="69"/>
      <c r="F4618" s="69"/>
      <c r="G4618" s="65"/>
      <c r="H4618" s="65"/>
      <c r="I4618" s="70"/>
      <c r="J4618" s="71"/>
      <c r="K4618" s="71"/>
      <c r="L4618" s="72" t="str">
        <f>IFERROR(IF(G4618="","",VLOOKUP($G4618,[1]基础信息!$B:$C,2,FALSE)+SUMIF(G$8:G4618,G4618,J$8:J4618)-SUMIF(G$8:G4618,G4618,K$8:K4618)+SUMIFS([1]内部转账!$G:$G,[1]内部转账!$C:$C,"&lt;="&amp;$D4618,[1]内部转账!$E:$E,$G4618)-SUMIFS([1]内部转账!$G:$G,[1]内部转账!$C:$C,"&lt;="&amp;$D4618,[1]内部转账!$F:$F,$G4618)),"")</f>
        <v/>
      </c>
      <c r="M4618" s="64"/>
      <c r="N4618" s="69"/>
      <c r="O4618" s="64"/>
      <c r="P4618" s="64"/>
      <c r="Q4618" s="69"/>
      <c r="R4618" s="69"/>
      <c r="S4618" s="69"/>
    </row>
    <row r="4619" s="2" customFormat="1" ht="24.95" customHeight="1" spans="1:19">
      <c r="A4619" s="15"/>
      <c r="B4619" s="55"/>
      <c r="C4619" s="56"/>
      <c r="D4619" s="68"/>
      <c r="E4619" s="69"/>
      <c r="F4619" s="69"/>
      <c r="G4619" s="65"/>
      <c r="H4619" s="65"/>
      <c r="I4619" s="70"/>
      <c r="J4619" s="71"/>
      <c r="K4619" s="71"/>
      <c r="L4619" s="72" t="str">
        <f>IFERROR(IF(G4619="","",VLOOKUP($G4619,[1]基础信息!$B:$C,2,FALSE)+SUMIF(G$8:G4619,G4619,J$8:J4619)-SUMIF(G$8:G4619,G4619,K$8:K4619)+SUMIFS([1]内部转账!$G:$G,[1]内部转账!$C:$C,"&lt;="&amp;$D4619,[1]内部转账!$E:$E,$G4619)-SUMIFS([1]内部转账!$G:$G,[1]内部转账!$C:$C,"&lt;="&amp;$D4619,[1]内部转账!$F:$F,$G4619)),"")</f>
        <v/>
      </c>
      <c r="M4619" s="64"/>
      <c r="N4619" s="69"/>
      <c r="O4619" s="64"/>
      <c r="P4619" s="64"/>
      <c r="Q4619" s="69"/>
      <c r="R4619" s="69"/>
      <c r="S4619" s="69"/>
    </row>
    <row r="4620" s="2" customFormat="1" ht="24.95" customHeight="1" spans="1:19">
      <c r="A4620" s="15"/>
      <c r="B4620" s="55"/>
      <c r="C4620" s="56"/>
      <c r="D4620" s="68"/>
      <c r="E4620" s="69"/>
      <c r="F4620" s="69"/>
      <c r="G4620" s="65"/>
      <c r="H4620" s="65"/>
      <c r="I4620" s="70"/>
      <c r="J4620" s="71"/>
      <c r="K4620" s="71"/>
      <c r="L4620" s="72" t="str">
        <f>IFERROR(IF(G4620="","",VLOOKUP($G4620,[1]基础信息!$B:$C,2,FALSE)+SUMIF(G$8:G4620,G4620,J$8:J4620)-SUMIF(G$8:G4620,G4620,K$8:K4620)+SUMIFS([1]内部转账!$G:$G,[1]内部转账!$C:$C,"&lt;="&amp;$D4620,[1]内部转账!$E:$E,$G4620)-SUMIFS([1]内部转账!$G:$G,[1]内部转账!$C:$C,"&lt;="&amp;$D4620,[1]内部转账!$F:$F,$G4620)),"")</f>
        <v/>
      </c>
      <c r="M4620" s="64"/>
      <c r="N4620" s="69"/>
      <c r="O4620" s="64"/>
      <c r="P4620" s="64"/>
      <c r="Q4620" s="69"/>
      <c r="R4620" s="69"/>
      <c r="S4620" s="69"/>
    </row>
    <row r="4621" s="2" customFormat="1" ht="24.95" customHeight="1" spans="1:19">
      <c r="A4621" s="15"/>
      <c r="B4621" s="55"/>
      <c r="C4621" s="56"/>
      <c r="D4621" s="68"/>
      <c r="E4621" s="69"/>
      <c r="F4621" s="69"/>
      <c r="G4621" s="65"/>
      <c r="H4621" s="65"/>
      <c r="I4621" s="70"/>
      <c r="J4621" s="71"/>
      <c r="K4621" s="71"/>
      <c r="L4621" s="72" t="str">
        <f>IFERROR(IF(G4621="","",VLOOKUP($G4621,[1]基础信息!$B:$C,2,FALSE)+SUMIF(G$8:G4621,G4621,J$8:J4621)-SUMIF(G$8:G4621,G4621,K$8:K4621)+SUMIFS([1]内部转账!$G:$G,[1]内部转账!$C:$C,"&lt;="&amp;$D4621,[1]内部转账!$E:$E,$G4621)-SUMIFS([1]内部转账!$G:$G,[1]内部转账!$C:$C,"&lt;="&amp;$D4621,[1]内部转账!$F:$F,$G4621)),"")</f>
        <v/>
      </c>
      <c r="M4621" s="64"/>
      <c r="N4621" s="69"/>
      <c r="O4621" s="64"/>
      <c r="P4621" s="64"/>
      <c r="Q4621" s="69"/>
      <c r="R4621" s="69"/>
      <c r="S4621" s="69"/>
    </row>
    <row r="4622" s="2" customFormat="1" ht="24.95" customHeight="1" spans="1:19">
      <c r="A4622" s="15"/>
      <c r="B4622" s="55"/>
      <c r="C4622" s="56"/>
      <c r="D4622" s="68"/>
      <c r="E4622" s="69"/>
      <c r="F4622" s="69"/>
      <c r="G4622" s="65"/>
      <c r="H4622" s="65"/>
      <c r="I4622" s="70"/>
      <c r="J4622" s="71"/>
      <c r="K4622" s="71"/>
      <c r="L4622" s="72" t="str">
        <f>IFERROR(IF(G4622="","",VLOOKUP($G4622,[1]基础信息!$B:$C,2,FALSE)+SUMIF(G$8:G4622,G4622,J$8:J4622)-SUMIF(G$8:G4622,G4622,K$8:K4622)+SUMIFS([1]内部转账!$G:$G,[1]内部转账!$C:$C,"&lt;="&amp;$D4622,[1]内部转账!$E:$E,$G4622)-SUMIFS([1]内部转账!$G:$G,[1]内部转账!$C:$C,"&lt;="&amp;$D4622,[1]内部转账!$F:$F,$G4622)),"")</f>
        <v/>
      </c>
      <c r="M4622" s="64"/>
      <c r="N4622" s="69"/>
      <c r="O4622" s="64"/>
      <c r="P4622" s="64"/>
      <c r="Q4622" s="69"/>
      <c r="R4622" s="69"/>
      <c r="S4622" s="69"/>
    </row>
    <row r="4623" s="2" customFormat="1" ht="24.95" customHeight="1" spans="1:19">
      <c r="A4623" s="15"/>
      <c r="B4623" s="55"/>
      <c r="C4623" s="56"/>
      <c r="D4623" s="68"/>
      <c r="E4623" s="69"/>
      <c r="F4623" s="69"/>
      <c r="G4623" s="65"/>
      <c r="H4623" s="65"/>
      <c r="I4623" s="70"/>
      <c r="J4623" s="71"/>
      <c r="K4623" s="71"/>
      <c r="L4623" s="72" t="str">
        <f>IFERROR(IF(G4623="","",VLOOKUP($G4623,[1]基础信息!$B:$C,2,FALSE)+SUMIF(G$8:G4623,G4623,J$8:J4623)-SUMIF(G$8:G4623,G4623,K$8:K4623)+SUMIFS([1]内部转账!$G:$G,[1]内部转账!$C:$C,"&lt;="&amp;$D4623,[1]内部转账!$E:$E,$G4623)-SUMIFS([1]内部转账!$G:$G,[1]内部转账!$C:$C,"&lt;="&amp;$D4623,[1]内部转账!$F:$F,$G4623)),"")</f>
        <v/>
      </c>
      <c r="M4623" s="64"/>
      <c r="N4623" s="69"/>
      <c r="O4623" s="64"/>
      <c r="P4623" s="64"/>
      <c r="Q4623" s="69"/>
      <c r="R4623" s="69"/>
      <c r="S4623" s="69"/>
    </row>
    <row r="4624" s="2" customFormat="1" ht="24.95" customHeight="1" spans="1:19">
      <c r="A4624" s="15"/>
      <c r="B4624" s="55"/>
      <c r="C4624" s="56"/>
      <c r="D4624" s="68"/>
      <c r="E4624" s="69"/>
      <c r="F4624" s="69"/>
      <c r="G4624" s="65"/>
      <c r="H4624" s="65"/>
      <c r="I4624" s="70"/>
      <c r="J4624" s="71"/>
      <c r="K4624" s="71"/>
      <c r="L4624" s="72" t="str">
        <f>IFERROR(IF(G4624="","",VLOOKUP($G4624,[1]基础信息!$B:$C,2,FALSE)+SUMIF(G$8:G4624,G4624,J$8:J4624)-SUMIF(G$8:G4624,G4624,K$8:K4624)+SUMIFS([1]内部转账!$G:$G,[1]内部转账!$C:$C,"&lt;="&amp;$D4624,[1]内部转账!$E:$E,$G4624)-SUMIFS([1]内部转账!$G:$G,[1]内部转账!$C:$C,"&lt;="&amp;$D4624,[1]内部转账!$F:$F,$G4624)),"")</f>
        <v/>
      </c>
      <c r="M4624" s="64"/>
      <c r="N4624" s="69"/>
      <c r="O4624" s="64"/>
      <c r="P4624" s="64"/>
      <c r="Q4624" s="69"/>
      <c r="R4624" s="69"/>
      <c r="S4624" s="69"/>
    </row>
    <row r="4625" s="2" customFormat="1" ht="24.95" customHeight="1" spans="1:19">
      <c r="A4625" s="15"/>
      <c r="B4625" s="55"/>
      <c r="C4625" s="56"/>
      <c r="D4625" s="68"/>
      <c r="E4625" s="69"/>
      <c r="F4625" s="69"/>
      <c r="G4625" s="65"/>
      <c r="H4625" s="65"/>
      <c r="I4625" s="70"/>
      <c r="J4625" s="71"/>
      <c r="K4625" s="71"/>
      <c r="L4625" s="72" t="str">
        <f>IFERROR(IF(G4625="","",VLOOKUP($G4625,[1]基础信息!$B:$C,2,FALSE)+SUMIF(G$8:G4625,G4625,J$8:J4625)-SUMIF(G$8:G4625,G4625,K$8:K4625)+SUMIFS([1]内部转账!$G:$G,[1]内部转账!$C:$C,"&lt;="&amp;$D4625,[1]内部转账!$E:$E,$G4625)-SUMIFS([1]内部转账!$G:$G,[1]内部转账!$C:$C,"&lt;="&amp;$D4625,[1]内部转账!$F:$F,$G4625)),"")</f>
        <v/>
      </c>
      <c r="M4625" s="64"/>
      <c r="N4625" s="69"/>
      <c r="O4625" s="64"/>
      <c r="P4625" s="64"/>
      <c r="Q4625" s="69"/>
      <c r="R4625" s="69"/>
      <c r="S4625" s="69"/>
    </row>
    <row r="4626" s="2" customFormat="1" ht="24.95" customHeight="1" spans="1:19">
      <c r="A4626" s="15"/>
      <c r="B4626" s="55"/>
      <c r="C4626" s="56"/>
      <c r="D4626" s="68"/>
      <c r="E4626" s="69"/>
      <c r="F4626" s="69"/>
      <c r="G4626" s="65"/>
      <c r="H4626" s="65"/>
      <c r="I4626" s="70"/>
      <c r="J4626" s="71"/>
      <c r="K4626" s="71"/>
      <c r="L4626" s="72" t="str">
        <f>IFERROR(IF(G4626="","",VLOOKUP($G4626,[1]基础信息!$B:$C,2,FALSE)+SUMIF(G$8:G4626,G4626,J$8:J4626)-SUMIF(G$8:G4626,G4626,K$8:K4626)+SUMIFS([1]内部转账!$G:$G,[1]内部转账!$C:$C,"&lt;="&amp;$D4626,[1]内部转账!$E:$E,$G4626)-SUMIFS([1]内部转账!$G:$G,[1]内部转账!$C:$C,"&lt;="&amp;$D4626,[1]内部转账!$F:$F,$G4626)),"")</f>
        <v/>
      </c>
      <c r="M4626" s="64"/>
      <c r="N4626" s="69"/>
      <c r="O4626" s="64"/>
      <c r="P4626" s="64"/>
      <c r="Q4626" s="69"/>
      <c r="R4626" s="69"/>
      <c r="S4626" s="69"/>
    </row>
    <row r="4627" s="2" customFormat="1" ht="24.95" customHeight="1" spans="1:19">
      <c r="A4627" s="15"/>
      <c r="B4627" s="55"/>
      <c r="C4627" s="56"/>
      <c r="D4627" s="68"/>
      <c r="E4627" s="69"/>
      <c r="F4627" s="69"/>
      <c r="G4627" s="65"/>
      <c r="H4627" s="65"/>
      <c r="I4627" s="70"/>
      <c r="J4627" s="71"/>
      <c r="K4627" s="71"/>
      <c r="L4627" s="72" t="str">
        <f>IFERROR(IF(G4627="","",VLOOKUP($G4627,[1]基础信息!$B:$C,2,FALSE)+SUMIF(G$8:G4627,G4627,J$8:J4627)-SUMIF(G$8:G4627,G4627,K$8:K4627)+SUMIFS([1]内部转账!$G:$G,[1]内部转账!$C:$C,"&lt;="&amp;$D4627,[1]内部转账!$E:$E,$G4627)-SUMIFS([1]内部转账!$G:$G,[1]内部转账!$C:$C,"&lt;="&amp;$D4627,[1]内部转账!$F:$F,$G4627)),"")</f>
        <v/>
      </c>
      <c r="M4627" s="64"/>
      <c r="N4627" s="69"/>
      <c r="O4627" s="64"/>
      <c r="P4627" s="64"/>
      <c r="Q4627" s="69"/>
      <c r="R4627" s="69"/>
      <c r="S4627" s="69"/>
    </row>
    <row r="4628" s="2" customFormat="1" ht="24.95" customHeight="1" spans="1:19">
      <c r="A4628" s="15"/>
      <c r="B4628" s="55"/>
      <c r="C4628" s="56"/>
      <c r="D4628" s="68"/>
      <c r="E4628" s="69"/>
      <c r="F4628" s="69"/>
      <c r="G4628" s="65"/>
      <c r="H4628" s="65"/>
      <c r="I4628" s="70"/>
      <c r="J4628" s="71"/>
      <c r="K4628" s="71"/>
      <c r="L4628" s="72" t="str">
        <f>IFERROR(IF(G4628="","",VLOOKUP($G4628,[1]基础信息!$B:$C,2,FALSE)+SUMIF(G$8:G4628,G4628,J$8:J4628)-SUMIF(G$8:G4628,G4628,K$8:K4628)+SUMIFS([1]内部转账!$G:$G,[1]内部转账!$C:$C,"&lt;="&amp;$D4628,[1]内部转账!$E:$E,$G4628)-SUMIFS([1]内部转账!$G:$G,[1]内部转账!$C:$C,"&lt;="&amp;$D4628,[1]内部转账!$F:$F,$G4628)),"")</f>
        <v/>
      </c>
      <c r="M4628" s="64"/>
      <c r="N4628" s="69"/>
      <c r="O4628" s="64"/>
      <c r="P4628" s="64"/>
      <c r="Q4628" s="69"/>
      <c r="R4628" s="69"/>
      <c r="S4628" s="69"/>
    </row>
    <row r="4629" s="2" customFormat="1" ht="24.95" customHeight="1" spans="1:19">
      <c r="A4629" s="15"/>
      <c r="B4629" s="55"/>
      <c r="C4629" s="56"/>
      <c r="D4629" s="68"/>
      <c r="E4629" s="69"/>
      <c r="F4629" s="69"/>
      <c r="G4629" s="65"/>
      <c r="H4629" s="65"/>
      <c r="I4629" s="70"/>
      <c r="J4629" s="71"/>
      <c r="K4629" s="71"/>
      <c r="L4629" s="72" t="str">
        <f>IFERROR(IF(G4629="","",VLOOKUP($G4629,[1]基础信息!$B:$C,2,FALSE)+SUMIF(G$8:G4629,G4629,J$8:J4629)-SUMIF(G$8:G4629,G4629,K$8:K4629)+SUMIFS([1]内部转账!$G:$G,[1]内部转账!$C:$C,"&lt;="&amp;$D4629,[1]内部转账!$E:$E,$G4629)-SUMIFS([1]内部转账!$G:$G,[1]内部转账!$C:$C,"&lt;="&amp;$D4629,[1]内部转账!$F:$F,$G4629)),"")</f>
        <v/>
      </c>
      <c r="M4629" s="64"/>
      <c r="N4629" s="69"/>
      <c r="O4629" s="64"/>
      <c r="P4629" s="64"/>
      <c r="Q4629" s="69"/>
      <c r="R4629" s="69"/>
      <c r="S4629" s="69"/>
    </row>
    <row r="4630" s="2" customFormat="1" ht="24.95" customHeight="1" spans="1:19">
      <c r="A4630" s="15"/>
      <c r="B4630" s="55"/>
      <c r="C4630" s="56"/>
      <c r="D4630" s="68"/>
      <c r="E4630" s="69"/>
      <c r="F4630" s="69"/>
      <c r="G4630" s="65"/>
      <c r="H4630" s="65"/>
      <c r="I4630" s="70"/>
      <c r="J4630" s="71"/>
      <c r="K4630" s="71"/>
      <c r="L4630" s="72" t="str">
        <f>IFERROR(IF(G4630="","",VLOOKUP($G4630,[1]基础信息!$B:$C,2,FALSE)+SUMIF(G$8:G4630,G4630,J$8:J4630)-SUMIF(G$8:G4630,G4630,K$8:K4630)+SUMIFS([1]内部转账!$G:$G,[1]内部转账!$C:$C,"&lt;="&amp;$D4630,[1]内部转账!$E:$E,$G4630)-SUMIFS([1]内部转账!$G:$G,[1]内部转账!$C:$C,"&lt;="&amp;$D4630,[1]内部转账!$F:$F,$G4630)),"")</f>
        <v/>
      </c>
      <c r="M4630" s="64"/>
      <c r="N4630" s="69"/>
      <c r="O4630" s="64"/>
      <c r="P4630" s="64"/>
      <c r="Q4630" s="69"/>
      <c r="R4630" s="69"/>
      <c r="S4630" s="69"/>
    </row>
    <row r="4631" s="2" customFormat="1" ht="24.95" customHeight="1" spans="1:19">
      <c r="A4631" s="15"/>
      <c r="B4631" s="55"/>
      <c r="C4631" s="56"/>
      <c r="D4631" s="68"/>
      <c r="E4631" s="69"/>
      <c r="F4631" s="69"/>
      <c r="G4631" s="65"/>
      <c r="H4631" s="65"/>
      <c r="I4631" s="70"/>
      <c r="J4631" s="71"/>
      <c r="K4631" s="71"/>
      <c r="L4631" s="72" t="str">
        <f>IFERROR(IF(G4631="","",VLOOKUP($G4631,[1]基础信息!$B:$C,2,FALSE)+SUMIF(G$8:G4631,G4631,J$8:J4631)-SUMIF(G$8:G4631,G4631,K$8:K4631)+SUMIFS([1]内部转账!$G:$G,[1]内部转账!$C:$C,"&lt;="&amp;$D4631,[1]内部转账!$E:$E,$G4631)-SUMIFS([1]内部转账!$G:$G,[1]内部转账!$C:$C,"&lt;="&amp;$D4631,[1]内部转账!$F:$F,$G4631)),"")</f>
        <v/>
      </c>
      <c r="M4631" s="64"/>
      <c r="N4631" s="69"/>
      <c r="O4631" s="64"/>
      <c r="P4631" s="64"/>
      <c r="Q4631" s="69"/>
      <c r="R4631" s="69"/>
      <c r="S4631" s="69"/>
    </row>
    <row r="4632" s="2" customFormat="1" ht="24.95" customHeight="1" spans="1:19">
      <c r="A4632" s="15"/>
      <c r="B4632" s="55"/>
      <c r="C4632" s="56"/>
      <c r="D4632" s="68"/>
      <c r="E4632" s="69"/>
      <c r="F4632" s="69"/>
      <c r="G4632" s="65"/>
      <c r="H4632" s="65"/>
      <c r="I4632" s="70"/>
      <c r="J4632" s="71"/>
      <c r="K4632" s="71"/>
      <c r="L4632" s="72" t="str">
        <f>IFERROR(IF(G4632="","",VLOOKUP($G4632,[1]基础信息!$B:$C,2,FALSE)+SUMIF(G$8:G4632,G4632,J$8:J4632)-SUMIF(G$8:G4632,G4632,K$8:K4632)+SUMIFS([1]内部转账!$G:$G,[1]内部转账!$C:$C,"&lt;="&amp;$D4632,[1]内部转账!$E:$E,$G4632)-SUMIFS([1]内部转账!$G:$G,[1]内部转账!$C:$C,"&lt;="&amp;$D4632,[1]内部转账!$F:$F,$G4632)),"")</f>
        <v/>
      </c>
      <c r="M4632" s="64"/>
      <c r="N4632" s="69"/>
      <c r="O4632" s="64"/>
      <c r="P4632" s="64"/>
      <c r="Q4632" s="69"/>
      <c r="R4632" s="69"/>
      <c r="S4632" s="69"/>
    </row>
    <row r="4633" s="2" customFormat="1" ht="24.95" customHeight="1" spans="1:19">
      <c r="A4633" s="15"/>
      <c r="B4633" s="55"/>
      <c r="C4633" s="56"/>
      <c r="D4633" s="68"/>
      <c r="E4633" s="69"/>
      <c r="F4633" s="69"/>
      <c r="G4633" s="65"/>
      <c r="H4633" s="65"/>
      <c r="I4633" s="70"/>
      <c r="J4633" s="71"/>
      <c r="K4633" s="71"/>
      <c r="L4633" s="72" t="str">
        <f>IFERROR(IF(G4633="","",VLOOKUP($G4633,[1]基础信息!$B:$C,2,FALSE)+SUMIF(G$8:G4633,G4633,J$8:J4633)-SUMIF(G$8:G4633,G4633,K$8:K4633)+SUMIFS([1]内部转账!$G:$G,[1]内部转账!$C:$C,"&lt;="&amp;$D4633,[1]内部转账!$E:$E,$G4633)-SUMIFS([1]内部转账!$G:$G,[1]内部转账!$C:$C,"&lt;="&amp;$D4633,[1]内部转账!$F:$F,$G4633)),"")</f>
        <v/>
      </c>
      <c r="M4633" s="64"/>
      <c r="N4633" s="69"/>
      <c r="O4633" s="64"/>
      <c r="P4633" s="64"/>
      <c r="Q4633" s="69"/>
      <c r="R4633" s="69"/>
      <c r="S4633" s="69"/>
    </row>
    <row r="4634" s="2" customFormat="1" ht="24.95" customHeight="1" spans="1:19">
      <c r="A4634" s="15"/>
      <c r="B4634" s="55"/>
      <c r="C4634" s="56"/>
      <c r="D4634" s="68"/>
      <c r="E4634" s="69"/>
      <c r="F4634" s="69"/>
      <c r="G4634" s="65"/>
      <c r="H4634" s="65"/>
      <c r="I4634" s="70"/>
      <c r="J4634" s="71"/>
      <c r="K4634" s="71"/>
      <c r="L4634" s="72" t="str">
        <f>IFERROR(IF(G4634="","",VLOOKUP($G4634,[1]基础信息!$B:$C,2,FALSE)+SUMIF(G$8:G4634,G4634,J$8:J4634)-SUMIF(G$8:G4634,G4634,K$8:K4634)+SUMIFS([1]内部转账!$G:$G,[1]内部转账!$C:$C,"&lt;="&amp;$D4634,[1]内部转账!$E:$E,$G4634)-SUMIFS([1]内部转账!$G:$G,[1]内部转账!$C:$C,"&lt;="&amp;$D4634,[1]内部转账!$F:$F,$G4634)),"")</f>
        <v/>
      </c>
      <c r="M4634" s="64"/>
      <c r="N4634" s="69"/>
      <c r="O4634" s="64"/>
      <c r="P4634" s="64"/>
      <c r="Q4634" s="69"/>
      <c r="R4634" s="69"/>
      <c r="S4634" s="69"/>
    </row>
    <row r="4635" s="2" customFormat="1" ht="24.95" customHeight="1" spans="1:19">
      <c r="A4635" s="15"/>
      <c r="B4635" s="55"/>
      <c r="C4635" s="56"/>
      <c r="D4635" s="68"/>
      <c r="E4635" s="69"/>
      <c r="F4635" s="69"/>
      <c r="G4635" s="65"/>
      <c r="H4635" s="65"/>
      <c r="I4635" s="70"/>
      <c r="J4635" s="71"/>
      <c r="K4635" s="71"/>
      <c r="L4635" s="72" t="str">
        <f>IFERROR(IF(G4635="","",VLOOKUP($G4635,[1]基础信息!$B:$C,2,FALSE)+SUMIF(G$8:G4635,G4635,J$8:J4635)-SUMIF(G$8:G4635,G4635,K$8:K4635)+SUMIFS([1]内部转账!$G:$G,[1]内部转账!$C:$C,"&lt;="&amp;$D4635,[1]内部转账!$E:$E,$G4635)-SUMIFS([1]内部转账!$G:$G,[1]内部转账!$C:$C,"&lt;="&amp;$D4635,[1]内部转账!$F:$F,$G4635)),"")</f>
        <v/>
      </c>
      <c r="M4635" s="64"/>
      <c r="N4635" s="69"/>
      <c r="O4635" s="64"/>
      <c r="P4635" s="64"/>
      <c r="Q4635" s="69"/>
      <c r="R4635" s="69"/>
      <c r="S4635" s="69"/>
    </row>
    <row r="4636" s="2" customFormat="1" ht="24.95" customHeight="1" spans="1:19">
      <c r="A4636" s="15"/>
      <c r="B4636" s="55"/>
      <c r="C4636" s="56"/>
      <c r="D4636" s="68"/>
      <c r="E4636" s="69"/>
      <c r="F4636" s="69"/>
      <c r="G4636" s="65"/>
      <c r="H4636" s="65"/>
      <c r="I4636" s="70"/>
      <c r="J4636" s="71"/>
      <c r="K4636" s="71"/>
      <c r="L4636" s="72" t="str">
        <f>IFERROR(IF(G4636="","",VLOOKUP($G4636,[1]基础信息!$B:$C,2,FALSE)+SUMIF(G$8:G4636,G4636,J$8:J4636)-SUMIF(G$8:G4636,G4636,K$8:K4636)+SUMIFS([1]内部转账!$G:$G,[1]内部转账!$C:$C,"&lt;="&amp;$D4636,[1]内部转账!$E:$E,$G4636)-SUMIFS([1]内部转账!$G:$G,[1]内部转账!$C:$C,"&lt;="&amp;$D4636,[1]内部转账!$F:$F,$G4636)),"")</f>
        <v/>
      </c>
      <c r="M4636" s="64"/>
      <c r="N4636" s="69"/>
      <c r="O4636" s="64"/>
      <c r="P4636" s="64"/>
      <c r="Q4636" s="69"/>
      <c r="R4636" s="69"/>
      <c r="S4636" s="69"/>
    </row>
    <row r="4637" s="2" customFormat="1" ht="24.95" customHeight="1" spans="1:19">
      <c r="A4637" s="15"/>
      <c r="B4637" s="55"/>
      <c r="C4637" s="56"/>
      <c r="D4637" s="68"/>
      <c r="E4637" s="69"/>
      <c r="F4637" s="69"/>
      <c r="G4637" s="65"/>
      <c r="H4637" s="65"/>
      <c r="I4637" s="70"/>
      <c r="J4637" s="71"/>
      <c r="K4637" s="71"/>
      <c r="L4637" s="72" t="str">
        <f>IFERROR(IF(G4637="","",VLOOKUP($G4637,[1]基础信息!$B:$C,2,FALSE)+SUMIF(G$8:G4637,G4637,J$8:J4637)-SUMIF(G$8:G4637,G4637,K$8:K4637)+SUMIFS([1]内部转账!$G:$G,[1]内部转账!$C:$C,"&lt;="&amp;$D4637,[1]内部转账!$E:$E,$G4637)-SUMIFS([1]内部转账!$G:$G,[1]内部转账!$C:$C,"&lt;="&amp;$D4637,[1]内部转账!$F:$F,$G4637)),"")</f>
        <v/>
      </c>
      <c r="M4637" s="64"/>
      <c r="N4637" s="69"/>
      <c r="O4637" s="64"/>
      <c r="P4637" s="64"/>
      <c r="Q4637" s="69"/>
      <c r="R4637" s="69"/>
      <c r="S4637" s="69"/>
    </row>
    <row r="4638" s="2" customFormat="1" ht="24.95" customHeight="1" spans="1:19">
      <c r="A4638" s="15"/>
      <c r="B4638" s="55"/>
      <c r="C4638" s="56"/>
      <c r="D4638" s="68"/>
      <c r="E4638" s="69"/>
      <c r="F4638" s="69"/>
      <c r="G4638" s="65"/>
      <c r="H4638" s="65"/>
      <c r="I4638" s="70"/>
      <c r="J4638" s="71"/>
      <c r="K4638" s="71"/>
      <c r="L4638" s="72" t="str">
        <f>IFERROR(IF(G4638="","",VLOOKUP($G4638,[1]基础信息!$B:$C,2,FALSE)+SUMIF(G$8:G4638,G4638,J$8:J4638)-SUMIF(G$8:G4638,G4638,K$8:K4638)+SUMIFS([1]内部转账!$G:$G,[1]内部转账!$C:$C,"&lt;="&amp;$D4638,[1]内部转账!$E:$E,$G4638)-SUMIFS([1]内部转账!$G:$G,[1]内部转账!$C:$C,"&lt;="&amp;$D4638,[1]内部转账!$F:$F,$G4638)),"")</f>
        <v/>
      </c>
      <c r="M4638" s="64"/>
      <c r="N4638" s="69"/>
      <c r="O4638" s="64"/>
      <c r="P4638" s="64"/>
      <c r="Q4638" s="69"/>
      <c r="R4638" s="69"/>
      <c r="S4638" s="69"/>
    </row>
    <row r="4639" s="2" customFormat="1" ht="24.95" customHeight="1" spans="1:19">
      <c r="A4639" s="15"/>
      <c r="B4639" s="55"/>
      <c r="C4639" s="56"/>
      <c r="D4639" s="68"/>
      <c r="E4639" s="69"/>
      <c r="F4639" s="69"/>
      <c r="G4639" s="65"/>
      <c r="H4639" s="65"/>
      <c r="I4639" s="70"/>
      <c r="J4639" s="71"/>
      <c r="K4639" s="71"/>
      <c r="L4639" s="72" t="str">
        <f>IFERROR(IF(G4639="","",VLOOKUP($G4639,[1]基础信息!$B:$C,2,FALSE)+SUMIF(G$8:G4639,G4639,J$8:J4639)-SUMIF(G$8:G4639,G4639,K$8:K4639)+SUMIFS([1]内部转账!$G:$G,[1]内部转账!$C:$C,"&lt;="&amp;$D4639,[1]内部转账!$E:$E,$G4639)-SUMIFS([1]内部转账!$G:$G,[1]内部转账!$C:$C,"&lt;="&amp;$D4639,[1]内部转账!$F:$F,$G4639)),"")</f>
        <v/>
      </c>
      <c r="M4639" s="64"/>
      <c r="N4639" s="69"/>
      <c r="O4639" s="64"/>
      <c r="P4639" s="64"/>
      <c r="Q4639" s="69"/>
      <c r="R4639" s="69"/>
      <c r="S4639" s="69"/>
    </row>
    <row r="4640" s="2" customFormat="1" ht="24.95" customHeight="1" spans="1:19">
      <c r="A4640" s="15"/>
      <c r="B4640" s="55"/>
      <c r="C4640" s="56"/>
      <c r="D4640" s="68"/>
      <c r="E4640" s="69"/>
      <c r="F4640" s="69"/>
      <c r="G4640" s="65"/>
      <c r="H4640" s="65"/>
      <c r="I4640" s="70"/>
      <c r="J4640" s="71"/>
      <c r="K4640" s="71"/>
      <c r="L4640" s="72" t="str">
        <f>IFERROR(IF(G4640="","",VLOOKUP($G4640,[1]基础信息!$B:$C,2,FALSE)+SUMIF(G$8:G4640,G4640,J$8:J4640)-SUMIF(G$8:G4640,G4640,K$8:K4640)+SUMIFS([1]内部转账!$G:$G,[1]内部转账!$C:$C,"&lt;="&amp;$D4640,[1]内部转账!$E:$E,$G4640)-SUMIFS([1]内部转账!$G:$G,[1]内部转账!$C:$C,"&lt;="&amp;$D4640,[1]内部转账!$F:$F,$G4640)),"")</f>
        <v/>
      </c>
      <c r="M4640" s="64"/>
      <c r="N4640" s="69"/>
      <c r="O4640" s="64"/>
      <c r="P4640" s="64"/>
      <c r="Q4640" s="69"/>
      <c r="R4640" s="69"/>
      <c r="S4640" s="69"/>
    </row>
    <row r="4641" s="2" customFormat="1" ht="24.95" customHeight="1" spans="1:19">
      <c r="A4641" s="15"/>
      <c r="B4641" s="55"/>
      <c r="C4641" s="56"/>
      <c r="D4641" s="68"/>
      <c r="E4641" s="69"/>
      <c r="F4641" s="69"/>
      <c r="G4641" s="65"/>
      <c r="H4641" s="65"/>
      <c r="I4641" s="70"/>
      <c r="J4641" s="71"/>
      <c r="K4641" s="71"/>
      <c r="L4641" s="72" t="str">
        <f>IFERROR(IF(G4641="","",VLOOKUP($G4641,[1]基础信息!$B:$C,2,FALSE)+SUMIF(G$8:G4641,G4641,J$8:J4641)-SUMIF(G$8:G4641,G4641,K$8:K4641)+SUMIFS([1]内部转账!$G:$G,[1]内部转账!$C:$C,"&lt;="&amp;$D4641,[1]内部转账!$E:$E,$G4641)-SUMIFS([1]内部转账!$G:$G,[1]内部转账!$C:$C,"&lt;="&amp;$D4641,[1]内部转账!$F:$F,$G4641)),"")</f>
        <v/>
      </c>
      <c r="M4641" s="64"/>
      <c r="N4641" s="69"/>
      <c r="O4641" s="64"/>
      <c r="P4641" s="64"/>
      <c r="Q4641" s="69"/>
      <c r="R4641" s="69"/>
      <c r="S4641" s="69"/>
    </row>
    <row r="4642" s="2" customFormat="1" ht="24.95" customHeight="1" spans="1:19">
      <c r="A4642" s="15"/>
      <c r="B4642" s="55"/>
      <c r="C4642" s="56"/>
      <c r="D4642" s="68"/>
      <c r="E4642" s="69"/>
      <c r="F4642" s="69"/>
      <c r="G4642" s="65"/>
      <c r="H4642" s="65"/>
      <c r="I4642" s="70"/>
      <c r="J4642" s="71"/>
      <c r="K4642" s="71"/>
      <c r="L4642" s="72" t="str">
        <f>IFERROR(IF(G4642="","",VLOOKUP($G4642,[1]基础信息!$B:$C,2,FALSE)+SUMIF(G$8:G4642,G4642,J$8:J4642)-SUMIF(G$8:G4642,G4642,K$8:K4642)+SUMIFS([1]内部转账!$G:$G,[1]内部转账!$C:$C,"&lt;="&amp;$D4642,[1]内部转账!$E:$E,$G4642)-SUMIFS([1]内部转账!$G:$G,[1]内部转账!$C:$C,"&lt;="&amp;$D4642,[1]内部转账!$F:$F,$G4642)),"")</f>
        <v/>
      </c>
      <c r="M4642" s="64"/>
      <c r="N4642" s="69"/>
      <c r="O4642" s="64"/>
      <c r="P4642" s="64"/>
      <c r="Q4642" s="69"/>
      <c r="R4642" s="69"/>
      <c r="S4642" s="69"/>
    </row>
    <row r="4643" s="2" customFormat="1" ht="24.95" customHeight="1" spans="1:19">
      <c r="A4643" s="15"/>
      <c r="B4643" s="55"/>
      <c r="C4643" s="56"/>
      <c r="D4643" s="68"/>
      <c r="E4643" s="69"/>
      <c r="F4643" s="69"/>
      <c r="G4643" s="65"/>
      <c r="H4643" s="65"/>
      <c r="I4643" s="70"/>
      <c r="J4643" s="71"/>
      <c r="K4643" s="71"/>
      <c r="L4643" s="72" t="str">
        <f>IFERROR(IF(G4643="","",VLOOKUP($G4643,[1]基础信息!$B:$C,2,FALSE)+SUMIF(G$8:G4643,G4643,J$8:J4643)-SUMIF(G$8:G4643,G4643,K$8:K4643)+SUMIFS([1]内部转账!$G:$G,[1]内部转账!$C:$C,"&lt;="&amp;$D4643,[1]内部转账!$E:$E,$G4643)-SUMIFS([1]内部转账!$G:$G,[1]内部转账!$C:$C,"&lt;="&amp;$D4643,[1]内部转账!$F:$F,$G4643)),"")</f>
        <v/>
      </c>
      <c r="M4643" s="64"/>
      <c r="N4643" s="69"/>
      <c r="O4643" s="64"/>
      <c r="P4643" s="64"/>
      <c r="Q4643" s="69"/>
      <c r="R4643" s="69"/>
      <c r="S4643" s="69"/>
    </row>
    <row r="4644" s="2" customFormat="1" ht="24.95" customHeight="1" spans="1:19">
      <c r="A4644" s="15"/>
      <c r="B4644" s="55"/>
      <c r="C4644" s="56"/>
      <c r="D4644" s="68"/>
      <c r="E4644" s="69"/>
      <c r="F4644" s="69"/>
      <c r="G4644" s="65"/>
      <c r="H4644" s="65"/>
      <c r="I4644" s="70"/>
      <c r="J4644" s="71"/>
      <c r="K4644" s="71"/>
      <c r="L4644" s="72" t="str">
        <f>IFERROR(IF(G4644="","",VLOOKUP($G4644,[1]基础信息!$B:$C,2,FALSE)+SUMIF(G$8:G4644,G4644,J$8:J4644)-SUMIF(G$8:G4644,G4644,K$8:K4644)+SUMIFS([1]内部转账!$G:$G,[1]内部转账!$C:$C,"&lt;="&amp;$D4644,[1]内部转账!$E:$E,$G4644)-SUMIFS([1]内部转账!$G:$G,[1]内部转账!$C:$C,"&lt;="&amp;$D4644,[1]内部转账!$F:$F,$G4644)),"")</f>
        <v/>
      </c>
      <c r="M4644" s="64"/>
      <c r="N4644" s="69"/>
      <c r="O4644" s="64"/>
      <c r="P4644" s="64"/>
      <c r="Q4644" s="69"/>
      <c r="R4644" s="69"/>
      <c r="S4644" s="69"/>
    </row>
    <row r="4645" s="2" customFormat="1" ht="24.95" customHeight="1" spans="1:19">
      <c r="A4645" s="15"/>
      <c r="B4645" s="55"/>
      <c r="C4645" s="56"/>
      <c r="D4645" s="68"/>
      <c r="E4645" s="69"/>
      <c r="F4645" s="69"/>
      <c r="G4645" s="65"/>
      <c r="H4645" s="65"/>
      <c r="I4645" s="70"/>
      <c r="J4645" s="71"/>
      <c r="K4645" s="71"/>
      <c r="L4645" s="72" t="str">
        <f>IFERROR(IF(G4645="","",VLOOKUP($G4645,[1]基础信息!$B:$C,2,FALSE)+SUMIF(G$8:G4645,G4645,J$8:J4645)-SUMIF(G$8:G4645,G4645,K$8:K4645)+SUMIFS([1]内部转账!$G:$G,[1]内部转账!$C:$C,"&lt;="&amp;$D4645,[1]内部转账!$E:$E,$G4645)-SUMIFS([1]内部转账!$G:$G,[1]内部转账!$C:$C,"&lt;="&amp;$D4645,[1]内部转账!$F:$F,$G4645)),"")</f>
        <v/>
      </c>
      <c r="M4645" s="64"/>
      <c r="N4645" s="69"/>
      <c r="O4645" s="64"/>
      <c r="P4645" s="64"/>
      <c r="Q4645" s="69"/>
      <c r="R4645" s="69"/>
      <c r="S4645" s="69"/>
    </row>
    <row r="4646" s="2" customFormat="1" ht="24.95" customHeight="1" spans="1:19">
      <c r="A4646" s="15"/>
      <c r="B4646" s="55"/>
      <c r="C4646" s="56"/>
      <c r="D4646" s="68"/>
      <c r="E4646" s="69"/>
      <c r="F4646" s="69"/>
      <c r="G4646" s="65"/>
      <c r="H4646" s="65"/>
      <c r="I4646" s="70"/>
      <c r="J4646" s="71"/>
      <c r="K4646" s="71"/>
      <c r="L4646" s="72" t="str">
        <f>IFERROR(IF(G4646="","",VLOOKUP($G4646,[1]基础信息!$B:$C,2,FALSE)+SUMIF(G$8:G4646,G4646,J$8:J4646)-SUMIF(G$8:G4646,G4646,K$8:K4646)+SUMIFS([1]内部转账!$G:$G,[1]内部转账!$C:$C,"&lt;="&amp;$D4646,[1]内部转账!$E:$E,$G4646)-SUMIFS([1]内部转账!$G:$G,[1]内部转账!$C:$C,"&lt;="&amp;$D4646,[1]内部转账!$F:$F,$G4646)),"")</f>
        <v/>
      </c>
      <c r="M4646" s="64"/>
      <c r="N4646" s="69"/>
      <c r="O4646" s="64"/>
      <c r="P4646" s="64"/>
      <c r="Q4646" s="69"/>
      <c r="R4646" s="69"/>
      <c r="S4646" s="69"/>
    </row>
    <row r="4647" s="2" customFormat="1" ht="24.95" customHeight="1" spans="1:19">
      <c r="A4647" s="15"/>
      <c r="B4647" s="55"/>
      <c r="C4647" s="56"/>
      <c r="D4647" s="68"/>
      <c r="E4647" s="69"/>
      <c r="F4647" s="69"/>
      <c r="G4647" s="65"/>
      <c r="H4647" s="65"/>
      <c r="I4647" s="70"/>
      <c r="J4647" s="71"/>
      <c r="K4647" s="71"/>
      <c r="L4647" s="72" t="str">
        <f>IFERROR(IF(G4647="","",VLOOKUP($G4647,[1]基础信息!$B:$C,2,FALSE)+SUMIF(G$8:G4647,G4647,J$8:J4647)-SUMIF(G$8:G4647,G4647,K$8:K4647)+SUMIFS([1]内部转账!$G:$G,[1]内部转账!$C:$C,"&lt;="&amp;$D4647,[1]内部转账!$E:$E,$G4647)-SUMIFS([1]内部转账!$G:$G,[1]内部转账!$C:$C,"&lt;="&amp;$D4647,[1]内部转账!$F:$F,$G4647)),"")</f>
        <v/>
      </c>
      <c r="M4647" s="64"/>
      <c r="N4647" s="69"/>
      <c r="O4647" s="64"/>
      <c r="P4647" s="64"/>
      <c r="Q4647" s="69"/>
      <c r="R4647" s="69"/>
      <c r="S4647" s="69"/>
    </row>
    <row r="4648" s="2" customFormat="1" ht="24.95" customHeight="1" spans="1:19">
      <c r="A4648" s="15"/>
      <c r="B4648" s="55"/>
      <c r="C4648" s="56"/>
      <c r="D4648" s="68"/>
      <c r="E4648" s="69"/>
      <c r="F4648" s="69"/>
      <c r="G4648" s="65"/>
      <c r="H4648" s="65"/>
      <c r="I4648" s="70"/>
      <c r="J4648" s="71"/>
      <c r="K4648" s="71"/>
      <c r="L4648" s="72" t="str">
        <f>IFERROR(IF(G4648="","",VLOOKUP($G4648,[1]基础信息!$B:$C,2,FALSE)+SUMIF(G$8:G4648,G4648,J$8:J4648)-SUMIF(G$8:G4648,G4648,K$8:K4648)+SUMIFS([1]内部转账!$G:$G,[1]内部转账!$C:$C,"&lt;="&amp;$D4648,[1]内部转账!$E:$E,$G4648)-SUMIFS([1]内部转账!$G:$G,[1]内部转账!$C:$C,"&lt;="&amp;$D4648,[1]内部转账!$F:$F,$G4648)),"")</f>
        <v/>
      </c>
      <c r="M4648" s="64"/>
      <c r="N4648" s="69"/>
      <c r="O4648" s="64"/>
      <c r="P4648" s="64"/>
      <c r="Q4648" s="69"/>
      <c r="R4648" s="69"/>
      <c r="S4648" s="69"/>
    </row>
    <row r="4649" s="2" customFormat="1" ht="24.95" customHeight="1" spans="1:19">
      <c r="A4649" s="15"/>
      <c r="B4649" s="55"/>
      <c r="C4649" s="56"/>
      <c r="D4649" s="68"/>
      <c r="E4649" s="69"/>
      <c r="F4649" s="69"/>
      <c r="G4649" s="65"/>
      <c r="H4649" s="65"/>
      <c r="I4649" s="70"/>
      <c r="J4649" s="71"/>
      <c r="K4649" s="71"/>
      <c r="L4649" s="72" t="str">
        <f>IFERROR(IF(G4649="","",VLOOKUP($G4649,[1]基础信息!$B:$C,2,FALSE)+SUMIF(G$8:G4649,G4649,J$8:J4649)-SUMIF(G$8:G4649,G4649,K$8:K4649)+SUMIFS([1]内部转账!$G:$G,[1]内部转账!$C:$C,"&lt;="&amp;$D4649,[1]内部转账!$E:$E,$G4649)-SUMIFS([1]内部转账!$G:$G,[1]内部转账!$C:$C,"&lt;="&amp;$D4649,[1]内部转账!$F:$F,$G4649)),"")</f>
        <v/>
      </c>
      <c r="M4649" s="64"/>
      <c r="N4649" s="69"/>
      <c r="O4649" s="64"/>
      <c r="P4649" s="64"/>
      <c r="Q4649" s="69"/>
      <c r="R4649" s="69"/>
      <c r="S4649" s="69"/>
    </row>
    <row r="4650" s="2" customFormat="1" ht="24.95" customHeight="1" spans="1:19">
      <c r="A4650" s="15"/>
      <c r="B4650" s="55"/>
      <c r="C4650" s="56"/>
      <c r="D4650" s="68"/>
      <c r="E4650" s="69"/>
      <c r="F4650" s="69"/>
      <c r="G4650" s="65"/>
      <c r="H4650" s="65"/>
      <c r="I4650" s="70"/>
      <c r="J4650" s="71"/>
      <c r="K4650" s="71"/>
      <c r="L4650" s="72" t="str">
        <f>IFERROR(IF(G4650="","",VLOOKUP($G4650,[1]基础信息!$B:$C,2,FALSE)+SUMIF(G$8:G4650,G4650,J$8:J4650)-SUMIF(G$8:G4650,G4650,K$8:K4650)+SUMIFS([1]内部转账!$G:$G,[1]内部转账!$C:$C,"&lt;="&amp;$D4650,[1]内部转账!$E:$E,$G4650)-SUMIFS([1]内部转账!$G:$G,[1]内部转账!$C:$C,"&lt;="&amp;$D4650,[1]内部转账!$F:$F,$G4650)),"")</f>
        <v/>
      </c>
      <c r="M4650" s="64"/>
      <c r="N4650" s="69"/>
      <c r="O4650" s="64"/>
      <c r="P4650" s="64"/>
      <c r="Q4650" s="69"/>
      <c r="R4650" s="69"/>
      <c r="S4650" s="69"/>
    </row>
    <row r="4651" s="2" customFormat="1" ht="24.95" customHeight="1" spans="1:19">
      <c r="A4651" s="15"/>
      <c r="B4651" s="55"/>
      <c r="C4651" s="56"/>
      <c r="D4651" s="68"/>
      <c r="E4651" s="69"/>
      <c r="F4651" s="69"/>
      <c r="G4651" s="65"/>
      <c r="H4651" s="65"/>
      <c r="I4651" s="70"/>
      <c r="J4651" s="71"/>
      <c r="K4651" s="71"/>
      <c r="L4651" s="72" t="str">
        <f>IFERROR(IF(G4651="","",VLOOKUP($G4651,[1]基础信息!$B:$C,2,FALSE)+SUMIF(G$8:G4651,G4651,J$8:J4651)-SUMIF(G$8:G4651,G4651,K$8:K4651)+SUMIFS([1]内部转账!$G:$G,[1]内部转账!$C:$C,"&lt;="&amp;$D4651,[1]内部转账!$E:$E,$G4651)-SUMIFS([1]内部转账!$G:$G,[1]内部转账!$C:$C,"&lt;="&amp;$D4651,[1]内部转账!$F:$F,$G4651)),"")</f>
        <v/>
      </c>
      <c r="M4651" s="64"/>
      <c r="N4651" s="69"/>
      <c r="O4651" s="64"/>
      <c r="P4651" s="64"/>
      <c r="Q4651" s="69"/>
      <c r="R4651" s="69"/>
      <c r="S4651" s="69"/>
    </row>
    <row r="4652" s="2" customFormat="1" ht="24.95" customHeight="1" spans="1:19">
      <c r="A4652" s="15"/>
      <c r="B4652" s="55"/>
      <c r="C4652" s="56"/>
      <c r="D4652" s="68"/>
      <c r="E4652" s="69"/>
      <c r="F4652" s="69"/>
      <c r="G4652" s="65"/>
      <c r="H4652" s="65"/>
      <c r="I4652" s="70"/>
      <c r="J4652" s="71"/>
      <c r="K4652" s="71"/>
      <c r="L4652" s="72" t="str">
        <f>IFERROR(IF(G4652="","",VLOOKUP($G4652,[1]基础信息!$B:$C,2,FALSE)+SUMIF(G$8:G4652,G4652,J$8:J4652)-SUMIF(G$8:G4652,G4652,K$8:K4652)+SUMIFS([1]内部转账!$G:$G,[1]内部转账!$C:$C,"&lt;="&amp;$D4652,[1]内部转账!$E:$E,$G4652)-SUMIFS([1]内部转账!$G:$G,[1]内部转账!$C:$C,"&lt;="&amp;$D4652,[1]内部转账!$F:$F,$G4652)),"")</f>
        <v/>
      </c>
      <c r="M4652" s="64"/>
      <c r="N4652" s="69"/>
      <c r="O4652" s="64"/>
      <c r="P4652" s="64"/>
      <c r="Q4652" s="69"/>
      <c r="R4652" s="69"/>
      <c r="S4652" s="69"/>
    </row>
    <row r="4653" s="2" customFormat="1" ht="24.95" customHeight="1" spans="1:19">
      <c r="A4653" s="15"/>
      <c r="B4653" s="55"/>
      <c r="C4653" s="56"/>
      <c r="D4653" s="68"/>
      <c r="E4653" s="69"/>
      <c r="F4653" s="69"/>
      <c r="G4653" s="65"/>
      <c r="H4653" s="65"/>
      <c r="I4653" s="70"/>
      <c r="J4653" s="71"/>
      <c r="K4653" s="71"/>
      <c r="L4653" s="72" t="str">
        <f>IFERROR(IF(G4653="","",VLOOKUP($G4653,[1]基础信息!$B:$C,2,FALSE)+SUMIF(G$8:G4653,G4653,J$8:J4653)-SUMIF(G$8:G4653,G4653,K$8:K4653)+SUMIFS([1]内部转账!$G:$G,[1]内部转账!$C:$C,"&lt;="&amp;$D4653,[1]内部转账!$E:$E,$G4653)-SUMIFS([1]内部转账!$G:$G,[1]内部转账!$C:$C,"&lt;="&amp;$D4653,[1]内部转账!$F:$F,$G4653)),"")</f>
        <v/>
      </c>
      <c r="M4653" s="64"/>
      <c r="N4653" s="69"/>
      <c r="O4653" s="64"/>
      <c r="P4653" s="64"/>
      <c r="Q4653" s="69"/>
      <c r="R4653" s="69"/>
      <c r="S4653" s="69"/>
    </row>
    <row r="4654" s="2" customFormat="1" ht="24.95" customHeight="1" spans="1:19">
      <c r="A4654" s="15"/>
      <c r="B4654" s="55"/>
      <c r="C4654" s="56"/>
      <c r="D4654" s="68"/>
      <c r="E4654" s="69"/>
      <c r="F4654" s="69"/>
      <c r="G4654" s="65"/>
      <c r="H4654" s="65"/>
      <c r="I4654" s="70"/>
      <c r="J4654" s="71"/>
      <c r="K4654" s="71"/>
      <c r="L4654" s="72" t="str">
        <f>IFERROR(IF(G4654="","",VLOOKUP($G4654,[1]基础信息!$B:$C,2,FALSE)+SUMIF(G$8:G4654,G4654,J$8:J4654)-SUMIF(G$8:G4654,G4654,K$8:K4654)+SUMIFS([1]内部转账!$G:$G,[1]内部转账!$C:$C,"&lt;="&amp;$D4654,[1]内部转账!$E:$E,$G4654)-SUMIFS([1]内部转账!$G:$G,[1]内部转账!$C:$C,"&lt;="&amp;$D4654,[1]内部转账!$F:$F,$G4654)),"")</f>
        <v/>
      </c>
      <c r="M4654" s="64"/>
      <c r="N4654" s="69"/>
      <c r="O4654" s="64"/>
      <c r="P4654" s="64"/>
      <c r="Q4654" s="69"/>
      <c r="R4654" s="69"/>
      <c r="S4654" s="69"/>
    </row>
    <row r="4655" s="2" customFormat="1" ht="24.95" customHeight="1" spans="1:19">
      <c r="A4655" s="15"/>
      <c r="B4655" s="55"/>
      <c r="C4655" s="56"/>
      <c r="D4655" s="68"/>
      <c r="E4655" s="69"/>
      <c r="F4655" s="69"/>
      <c r="G4655" s="65"/>
      <c r="H4655" s="65"/>
      <c r="I4655" s="70"/>
      <c r="J4655" s="71"/>
      <c r="K4655" s="71"/>
      <c r="L4655" s="72" t="str">
        <f>IFERROR(IF(G4655="","",VLOOKUP($G4655,[1]基础信息!$B:$C,2,FALSE)+SUMIF(G$8:G4655,G4655,J$8:J4655)-SUMIF(G$8:G4655,G4655,K$8:K4655)+SUMIFS([1]内部转账!$G:$G,[1]内部转账!$C:$C,"&lt;="&amp;$D4655,[1]内部转账!$E:$E,$G4655)-SUMIFS([1]内部转账!$G:$G,[1]内部转账!$C:$C,"&lt;="&amp;$D4655,[1]内部转账!$F:$F,$G4655)),"")</f>
        <v/>
      </c>
      <c r="M4655" s="64"/>
      <c r="N4655" s="69"/>
      <c r="O4655" s="64"/>
      <c r="P4655" s="64"/>
      <c r="Q4655" s="69"/>
      <c r="R4655" s="69"/>
      <c r="S4655" s="69"/>
    </row>
    <row r="4656" s="2" customFormat="1" ht="24.95" customHeight="1" spans="1:19">
      <c r="A4656" s="15"/>
      <c r="B4656" s="55"/>
      <c r="C4656" s="56"/>
      <c r="D4656" s="68"/>
      <c r="E4656" s="69"/>
      <c r="F4656" s="69"/>
      <c r="G4656" s="65"/>
      <c r="H4656" s="65"/>
      <c r="I4656" s="70"/>
      <c r="J4656" s="71"/>
      <c r="K4656" s="71"/>
      <c r="L4656" s="72" t="str">
        <f>IFERROR(IF(G4656="","",VLOOKUP($G4656,[1]基础信息!$B:$C,2,FALSE)+SUMIF(G$8:G4656,G4656,J$8:J4656)-SUMIF(G$8:G4656,G4656,K$8:K4656)+SUMIFS([1]内部转账!$G:$G,[1]内部转账!$C:$C,"&lt;="&amp;$D4656,[1]内部转账!$E:$E,$G4656)-SUMIFS([1]内部转账!$G:$G,[1]内部转账!$C:$C,"&lt;="&amp;$D4656,[1]内部转账!$F:$F,$G4656)),"")</f>
        <v/>
      </c>
      <c r="M4656" s="64"/>
      <c r="N4656" s="69"/>
      <c r="O4656" s="64"/>
      <c r="P4656" s="64"/>
      <c r="Q4656" s="69"/>
      <c r="R4656" s="69"/>
      <c r="S4656" s="69"/>
    </row>
    <row r="4657" s="2" customFormat="1" ht="24.95" customHeight="1" spans="1:19">
      <c r="A4657" s="15"/>
      <c r="B4657" s="55"/>
      <c r="C4657" s="56"/>
      <c r="D4657" s="68"/>
      <c r="E4657" s="69"/>
      <c r="F4657" s="69"/>
      <c r="G4657" s="65"/>
      <c r="H4657" s="65"/>
      <c r="I4657" s="70"/>
      <c r="J4657" s="71"/>
      <c r="K4657" s="71"/>
      <c r="L4657" s="72" t="str">
        <f>IFERROR(IF(G4657="","",VLOOKUP($G4657,[1]基础信息!$B:$C,2,FALSE)+SUMIF(G$8:G4657,G4657,J$8:J4657)-SUMIF(G$8:G4657,G4657,K$8:K4657)+SUMIFS([1]内部转账!$G:$G,[1]内部转账!$C:$C,"&lt;="&amp;$D4657,[1]内部转账!$E:$E,$G4657)-SUMIFS([1]内部转账!$G:$G,[1]内部转账!$C:$C,"&lt;="&amp;$D4657,[1]内部转账!$F:$F,$G4657)),"")</f>
        <v/>
      </c>
      <c r="M4657" s="64"/>
      <c r="N4657" s="69"/>
      <c r="O4657" s="64"/>
      <c r="P4657" s="64"/>
      <c r="Q4657" s="69"/>
      <c r="R4657" s="69"/>
      <c r="S4657" s="69"/>
    </row>
    <row r="4658" s="2" customFormat="1" ht="24.95" customHeight="1" spans="1:19">
      <c r="A4658" s="15"/>
      <c r="B4658" s="55"/>
      <c r="C4658" s="56"/>
      <c r="D4658" s="68"/>
      <c r="E4658" s="69"/>
      <c r="F4658" s="69"/>
      <c r="G4658" s="65"/>
      <c r="H4658" s="65"/>
      <c r="I4658" s="70"/>
      <c r="J4658" s="71"/>
      <c r="K4658" s="71"/>
      <c r="L4658" s="72" t="str">
        <f>IFERROR(IF(G4658="","",VLOOKUP($G4658,[1]基础信息!$B:$C,2,FALSE)+SUMIF(G$8:G4658,G4658,J$8:J4658)-SUMIF(G$8:G4658,G4658,K$8:K4658)+SUMIFS([1]内部转账!$G:$G,[1]内部转账!$C:$C,"&lt;="&amp;$D4658,[1]内部转账!$E:$E,$G4658)-SUMIFS([1]内部转账!$G:$G,[1]内部转账!$C:$C,"&lt;="&amp;$D4658,[1]内部转账!$F:$F,$G4658)),"")</f>
        <v/>
      </c>
      <c r="M4658" s="64"/>
      <c r="N4658" s="69"/>
      <c r="O4658" s="64"/>
      <c r="P4658" s="64"/>
      <c r="Q4658" s="69"/>
      <c r="R4658" s="69"/>
      <c r="S4658" s="69"/>
    </row>
    <row r="4659" s="2" customFormat="1" ht="24.95" customHeight="1" spans="1:19">
      <c r="A4659" s="15"/>
      <c r="B4659" s="55"/>
      <c r="C4659" s="56"/>
      <c r="D4659" s="68"/>
      <c r="E4659" s="69"/>
      <c r="F4659" s="69"/>
      <c r="G4659" s="65"/>
      <c r="H4659" s="65"/>
      <c r="I4659" s="70"/>
      <c r="J4659" s="71"/>
      <c r="K4659" s="71"/>
      <c r="L4659" s="72" t="str">
        <f>IFERROR(IF(G4659="","",VLOOKUP($G4659,[1]基础信息!$B:$C,2,FALSE)+SUMIF(G$8:G4659,G4659,J$8:J4659)-SUMIF(G$8:G4659,G4659,K$8:K4659)+SUMIFS([1]内部转账!$G:$G,[1]内部转账!$C:$C,"&lt;="&amp;$D4659,[1]内部转账!$E:$E,$G4659)-SUMIFS([1]内部转账!$G:$G,[1]内部转账!$C:$C,"&lt;="&amp;$D4659,[1]内部转账!$F:$F,$G4659)),"")</f>
        <v/>
      </c>
      <c r="M4659" s="64"/>
      <c r="N4659" s="69"/>
      <c r="O4659" s="64"/>
      <c r="P4659" s="64"/>
      <c r="Q4659" s="69"/>
      <c r="R4659" s="69"/>
      <c r="S4659" s="69"/>
    </row>
    <row r="4660" s="2" customFormat="1" ht="24.95" customHeight="1" spans="1:19">
      <c r="A4660" s="15"/>
      <c r="B4660" s="55"/>
      <c r="C4660" s="56"/>
      <c r="D4660" s="68"/>
      <c r="E4660" s="69"/>
      <c r="F4660" s="69"/>
      <c r="G4660" s="65"/>
      <c r="H4660" s="65"/>
      <c r="I4660" s="70"/>
      <c r="J4660" s="71"/>
      <c r="K4660" s="71"/>
      <c r="L4660" s="72" t="str">
        <f>IFERROR(IF(G4660="","",VLOOKUP($G4660,[1]基础信息!$B:$C,2,FALSE)+SUMIF(G$8:G4660,G4660,J$8:J4660)-SUMIF(G$8:G4660,G4660,K$8:K4660)+SUMIFS([1]内部转账!$G:$G,[1]内部转账!$C:$C,"&lt;="&amp;$D4660,[1]内部转账!$E:$E,$G4660)-SUMIFS([1]内部转账!$G:$G,[1]内部转账!$C:$C,"&lt;="&amp;$D4660,[1]内部转账!$F:$F,$G4660)),"")</f>
        <v/>
      </c>
      <c r="M4660" s="64"/>
      <c r="N4660" s="69"/>
      <c r="O4660" s="64"/>
      <c r="P4660" s="64"/>
      <c r="Q4660" s="69"/>
      <c r="R4660" s="69"/>
      <c r="S4660" s="69"/>
    </row>
    <row r="4661" s="2" customFormat="1" ht="24.95" customHeight="1" spans="1:19">
      <c r="A4661" s="15"/>
      <c r="B4661" s="55"/>
      <c r="C4661" s="56"/>
      <c r="D4661" s="68"/>
      <c r="E4661" s="69"/>
      <c r="F4661" s="69"/>
      <c r="G4661" s="65"/>
      <c r="H4661" s="65"/>
      <c r="I4661" s="70"/>
      <c r="J4661" s="71"/>
      <c r="K4661" s="71"/>
      <c r="L4661" s="72" t="str">
        <f>IFERROR(IF(G4661="","",VLOOKUP($G4661,[1]基础信息!$B:$C,2,FALSE)+SUMIF(G$8:G4661,G4661,J$8:J4661)-SUMIF(G$8:G4661,G4661,K$8:K4661)+SUMIFS([1]内部转账!$G:$G,[1]内部转账!$C:$C,"&lt;="&amp;$D4661,[1]内部转账!$E:$E,$G4661)-SUMIFS([1]内部转账!$G:$G,[1]内部转账!$C:$C,"&lt;="&amp;$D4661,[1]内部转账!$F:$F,$G4661)),"")</f>
        <v/>
      </c>
      <c r="M4661" s="64"/>
      <c r="N4661" s="69"/>
      <c r="O4661" s="64"/>
      <c r="P4661" s="64"/>
      <c r="Q4661" s="69"/>
      <c r="R4661" s="69"/>
      <c r="S4661" s="69"/>
    </row>
    <row r="4662" s="2" customFormat="1" ht="24.95" customHeight="1" spans="1:19">
      <c r="A4662" s="15"/>
      <c r="B4662" s="55"/>
      <c r="C4662" s="56"/>
      <c r="D4662" s="68"/>
      <c r="E4662" s="69"/>
      <c r="F4662" s="69"/>
      <c r="G4662" s="65"/>
      <c r="H4662" s="65"/>
      <c r="I4662" s="70"/>
      <c r="J4662" s="71"/>
      <c r="K4662" s="71"/>
      <c r="L4662" s="72" t="str">
        <f>IFERROR(IF(G4662="","",VLOOKUP($G4662,[1]基础信息!$B:$C,2,FALSE)+SUMIF(G$8:G4662,G4662,J$8:J4662)-SUMIF(G$8:G4662,G4662,K$8:K4662)+SUMIFS([1]内部转账!$G:$G,[1]内部转账!$C:$C,"&lt;="&amp;$D4662,[1]内部转账!$E:$E,$G4662)-SUMIFS([1]内部转账!$G:$G,[1]内部转账!$C:$C,"&lt;="&amp;$D4662,[1]内部转账!$F:$F,$G4662)),"")</f>
        <v/>
      </c>
      <c r="M4662" s="64"/>
      <c r="N4662" s="69"/>
      <c r="O4662" s="64"/>
      <c r="P4662" s="64"/>
      <c r="Q4662" s="69"/>
      <c r="R4662" s="69"/>
      <c r="S4662" s="69"/>
    </row>
    <row r="4663" s="2" customFormat="1" ht="24.95" customHeight="1" spans="1:19">
      <c r="A4663" s="15"/>
      <c r="B4663" s="55"/>
      <c r="C4663" s="56"/>
      <c r="D4663" s="68"/>
      <c r="E4663" s="69"/>
      <c r="F4663" s="69"/>
      <c r="G4663" s="65"/>
      <c r="H4663" s="65"/>
      <c r="I4663" s="70"/>
      <c r="J4663" s="71"/>
      <c r="K4663" s="71"/>
      <c r="L4663" s="72" t="str">
        <f>IFERROR(IF(G4663="","",VLOOKUP($G4663,[1]基础信息!$B:$C,2,FALSE)+SUMIF(G$8:G4663,G4663,J$8:J4663)-SUMIF(G$8:G4663,G4663,K$8:K4663)+SUMIFS([1]内部转账!$G:$G,[1]内部转账!$C:$C,"&lt;="&amp;$D4663,[1]内部转账!$E:$E,$G4663)-SUMIFS([1]内部转账!$G:$G,[1]内部转账!$C:$C,"&lt;="&amp;$D4663,[1]内部转账!$F:$F,$G4663)),"")</f>
        <v/>
      </c>
      <c r="M4663" s="64"/>
      <c r="N4663" s="69"/>
      <c r="O4663" s="64"/>
      <c r="P4663" s="64"/>
      <c r="Q4663" s="69"/>
      <c r="R4663" s="69"/>
      <c r="S4663" s="69"/>
    </row>
    <row r="4664" s="2" customFormat="1" ht="24.95" customHeight="1" spans="1:19">
      <c r="A4664" s="15"/>
      <c r="B4664" s="55"/>
      <c r="C4664" s="56"/>
      <c r="D4664" s="68"/>
      <c r="E4664" s="69"/>
      <c r="F4664" s="69"/>
      <c r="G4664" s="65"/>
      <c r="H4664" s="65"/>
      <c r="I4664" s="70"/>
      <c r="J4664" s="71"/>
      <c r="K4664" s="71"/>
      <c r="L4664" s="72" t="str">
        <f>IFERROR(IF(G4664="","",VLOOKUP($G4664,[1]基础信息!$B:$C,2,FALSE)+SUMIF(G$8:G4664,G4664,J$8:J4664)-SUMIF(G$8:G4664,G4664,K$8:K4664)+SUMIFS([1]内部转账!$G:$G,[1]内部转账!$C:$C,"&lt;="&amp;$D4664,[1]内部转账!$E:$E,$G4664)-SUMIFS([1]内部转账!$G:$G,[1]内部转账!$C:$C,"&lt;="&amp;$D4664,[1]内部转账!$F:$F,$G4664)),"")</f>
        <v/>
      </c>
      <c r="M4664" s="64"/>
      <c r="N4664" s="69"/>
      <c r="O4664" s="64"/>
      <c r="P4664" s="64"/>
      <c r="Q4664" s="69"/>
      <c r="R4664" s="69"/>
      <c r="S4664" s="69"/>
    </row>
    <row r="4665" s="2" customFormat="1" ht="24.95" customHeight="1" spans="1:19">
      <c r="A4665" s="15"/>
      <c r="B4665" s="55"/>
      <c r="C4665" s="56"/>
      <c r="D4665" s="68"/>
      <c r="E4665" s="69"/>
      <c r="F4665" s="69"/>
      <c r="G4665" s="65"/>
      <c r="H4665" s="65"/>
      <c r="I4665" s="70"/>
      <c r="J4665" s="71"/>
      <c r="K4665" s="71"/>
      <c r="L4665" s="72" t="str">
        <f>IFERROR(IF(G4665="","",VLOOKUP($G4665,[1]基础信息!$B:$C,2,FALSE)+SUMIF(G$8:G4665,G4665,J$8:J4665)-SUMIF(G$8:G4665,G4665,K$8:K4665)+SUMIFS([1]内部转账!$G:$G,[1]内部转账!$C:$C,"&lt;="&amp;$D4665,[1]内部转账!$E:$E,$G4665)-SUMIFS([1]内部转账!$G:$G,[1]内部转账!$C:$C,"&lt;="&amp;$D4665,[1]内部转账!$F:$F,$G4665)),"")</f>
        <v/>
      </c>
      <c r="M4665" s="64"/>
      <c r="N4665" s="69"/>
      <c r="O4665" s="64"/>
      <c r="P4665" s="64"/>
      <c r="Q4665" s="69"/>
      <c r="R4665" s="69"/>
      <c r="S4665" s="69"/>
    </row>
    <row r="4666" s="2" customFormat="1" ht="24.95" customHeight="1" spans="1:19">
      <c r="A4666" s="15"/>
      <c r="B4666" s="55"/>
      <c r="C4666" s="56"/>
      <c r="D4666" s="68"/>
      <c r="E4666" s="69"/>
      <c r="F4666" s="69"/>
      <c r="G4666" s="65"/>
      <c r="H4666" s="65"/>
      <c r="I4666" s="70"/>
      <c r="J4666" s="71"/>
      <c r="K4666" s="71"/>
      <c r="L4666" s="72" t="str">
        <f>IFERROR(IF(G4666="","",VLOOKUP($G4666,[1]基础信息!$B:$C,2,FALSE)+SUMIF(G$8:G4666,G4666,J$8:J4666)-SUMIF(G$8:G4666,G4666,K$8:K4666)+SUMIFS([1]内部转账!$G:$G,[1]内部转账!$C:$C,"&lt;="&amp;$D4666,[1]内部转账!$E:$E,$G4666)-SUMIFS([1]内部转账!$G:$G,[1]内部转账!$C:$C,"&lt;="&amp;$D4666,[1]内部转账!$F:$F,$G4666)),"")</f>
        <v/>
      </c>
      <c r="M4666" s="64"/>
      <c r="N4666" s="69"/>
      <c r="O4666" s="64"/>
      <c r="P4666" s="64"/>
      <c r="Q4666" s="69"/>
      <c r="R4666" s="69"/>
      <c r="S4666" s="69"/>
    </row>
    <row r="4667" s="2" customFormat="1" ht="24.95" customHeight="1" spans="1:19">
      <c r="A4667" s="15"/>
      <c r="B4667" s="55"/>
      <c r="C4667" s="56"/>
      <c r="D4667" s="68"/>
      <c r="E4667" s="69"/>
      <c r="F4667" s="69"/>
      <c r="G4667" s="65"/>
      <c r="H4667" s="65"/>
      <c r="I4667" s="70"/>
      <c r="J4667" s="71"/>
      <c r="K4667" s="71"/>
      <c r="L4667" s="72" t="str">
        <f>IFERROR(IF(G4667="","",VLOOKUP($G4667,[1]基础信息!$B:$C,2,FALSE)+SUMIF(G$8:G4667,G4667,J$8:J4667)-SUMIF(G$8:G4667,G4667,K$8:K4667)+SUMIFS([1]内部转账!$G:$G,[1]内部转账!$C:$C,"&lt;="&amp;$D4667,[1]内部转账!$E:$E,$G4667)-SUMIFS([1]内部转账!$G:$G,[1]内部转账!$C:$C,"&lt;="&amp;$D4667,[1]内部转账!$F:$F,$G4667)),"")</f>
        <v/>
      </c>
      <c r="M4667" s="64"/>
      <c r="N4667" s="69"/>
      <c r="O4667" s="64"/>
      <c r="P4667" s="64"/>
      <c r="Q4667" s="69"/>
      <c r="R4667" s="69"/>
      <c r="S4667" s="69"/>
    </row>
    <row r="4668" s="2" customFormat="1" ht="24.95" customHeight="1" spans="1:19">
      <c r="A4668" s="15"/>
      <c r="B4668" s="55"/>
      <c r="C4668" s="56"/>
      <c r="D4668" s="68"/>
      <c r="E4668" s="69"/>
      <c r="F4668" s="69"/>
      <c r="G4668" s="65"/>
      <c r="H4668" s="65"/>
      <c r="I4668" s="70"/>
      <c r="J4668" s="71"/>
      <c r="K4668" s="71"/>
      <c r="L4668" s="72" t="str">
        <f>IFERROR(IF(G4668="","",VLOOKUP($G4668,[1]基础信息!$B:$C,2,FALSE)+SUMIF(G$8:G4668,G4668,J$8:J4668)-SUMIF(G$8:G4668,G4668,K$8:K4668)+SUMIFS([1]内部转账!$G:$G,[1]内部转账!$C:$C,"&lt;="&amp;$D4668,[1]内部转账!$E:$E,$G4668)-SUMIFS([1]内部转账!$G:$G,[1]内部转账!$C:$C,"&lt;="&amp;$D4668,[1]内部转账!$F:$F,$G4668)),"")</f>
        <v/>
      </c>
      <c r="M4668" s="64"/>
      <c r="N4668" s="69"/>
      <c r="O4668" s="64"/>
      <c r="P4668" s="64"/>
      <c r="Q4668" s="69"/>
      <c r="R4668" s="69"/>
      <c r="S4668" s="69"/>
    </row>
    <row r="4669" s="2" customFormat="1" ht="24.95" customHeight="1" spans="1:19">
      <c r="A4669" s="15"/>
      <c r="B4669" s="55"/>
      <c r="C4669" s="56"/>
      <c r="D4669" s="68"/>
      <c r="E4669" s="69"/>
      <c r="F4669" s="69"/>
      <c r="G4669" s="65"/>
      <c r="H4669" s="65"/>
      <c r="I4669" s="70"/>
      <c r="J4669" s="71"/>
      <c r="K4669" s="71"/>
      <c r="L4669" s="72" t="str">
        <f>IFERROR(IF(G4669="","",VLOOKUP($G4669,[1]基础信息!$B:$C,2,FALSE)+SUMIF(G$8:G4669,G4669,J$8:J4669)-SUMIF(G$8:G4669,G4669,K$8:K4669)+SUMIFS([1]内部转账!$G:$G,[1]内部转账!$C:$C,"&lt;="&amp;$D4669,[1]内部转账!$E:$E,$G4669)-SUMIFS([1]内部转账!$G:$G,[1]内部转账!$C:$C,"&lt;="&amp;$D4669,[1]内部转账!$F:$F,$G4669)),"")</f>
        <v/>
      </c>
      <c r="M4669" s="64"/>
      <c r="N4669" s="69"/>
      <c r="O4669" s="64"/>
      <c r="P4669" s="64"/>
      <c r="Q4669" s="69"/>
      <c r="R4669" s="69"/>
      <c r="S4669" s="69"/>
    </row>
    <row r="4670" s="2" customFormat="1" ht="24.95" customHeight="1" spans="1:19">
      <c r="A4670" s="15"/>
      <c r="B4670" s="55"/>
      <c r="C4670" s="56"/>
      <c r="D4670" s="68"/>
      <c r="E4670" s="69"/>
      <c r="F4670" s="69"/>
      <c r="G4670" s="65"/>
      <c r="H4670" s="65"/>
      <c r="I4670" s="70"/>
      <c r="J4670" s="71"/>
      <c r="K4670" s="71"/>
      <c r="L4670" s="72" t="str">
        <f>IFERROR(IF(G4670="","",VLOOKUP($G4670,[1]基础信息!$B:$C,2,FALSE)+SUMIF(G$8:G4670,G4670,J$8:J4670)-SUMIF(G$8:G4670,G4670,K$8:K4670)+SUMIFS([1]内部转账!$G:$G,[1]内部转账!$C:$C,"&lt;="&amp;$D4670,[1]内部转账!$E:$E,$G4670)-SUMIFS([1]内部转账!$G:$G,[1]内部转账!$C:$C,"&lt;="&amp;$D4670,[1]内部转账!$F:$F,$G4670)),"")</f>
        <v/>
      </c>
      <c r="M4670" s="64"/>
      <c r="N4670" s="69"/>
      <c r="O4670" s="64"/>
      <c r="P4670" s="64"/>
      <c r="Q4670" s="69"/>
      <c r="R4670" s="69"/>
      <c r="S4670" s="69"/>
    </row>
    <row r="4671" s="2" customFormat="1" ht="24.95" customHeight="1" spans="1:19">
      <c r="A4671" s="15"/>
      <c r="B4671" s="55"/>
      <c r="C4671" s="56"/>
      <c r="D4671" s="68"/>
      <c r="E4671" s="69"/>
      <c r="F4671" s="69"/>
      <c r="G4671" s="65"/>
      <c r="H4671" s="65"/>
      <c r="I4671" s="70"/>
      <c r="J4671" s="71"/>
      <c r="K4671" s="71"/>
      <c r="L4671" s="72" t="str">
        <f>IFERROR(IF(G4671="","",VLOOKUP($G4671,[1]基础信息!$B:$C,2,FALSE)+SUMIF(G$8:G4671,G4671,J$8:J4671)-SUMIF(G$8:G4671,G4671,K$8:K4671)+SUMIFS([1]内部转账!$G:$G,[1]内部转账!$C:$C,"&lt;="&amp;$D4671,[1]内部转账!$E:$E,$G4671)-SUMIFS([1]内部转账!$G:$G,[1]内部转账!$C:$C,"&lt;="&amp;$D4671,[1]内部转账!$F:$F,$G4671)),"")</f>
        <v/>
      </c>
      <c r="M4671" s="64"/>
      <c r="N4671" s="69"/>
      <c r="O4671" s="64"/>
      <c r="P4671" s="64"/>
      <c r="Q4671" s="69"/>
      <c r="R4671" s="69"/>
      <c r="S4671" s="69"/>
    </row>
    <row r="4672" s="2" customFormat="1" ht="24.95" customHeight="1" spans="1:19">
      <c r="A4672" s="15"/>
      <c r="B4672" s="55"/>
      <c r="C4672" s="56"/>
      <c r="D4672" s="68"/>
      <c r="E4672" s="69"/>
      <c r="F4672" s="69"/>
      <c r="G4672" s="65"/>
      <c r="H4672" s="65"/>
      <c r="I4672" s="70"/>
      <c r="J4672" s="71"/>
      <c r="K4672" s="71"/>
      <c r="L4672" s="72" t="str">
        <f>IFERROR(IF(G4672="","",VLOOKUP($G4672,[1]基础信息!$B:$C,2,FALSE)+SUMIF(G$8:G4672,G4672,J$8:J4672)-SUMIF(G$8:G4672,G4672,K$8:K4672)+SUMIFS([1]内部转账!$G:$G,[1]内部转账!$C:$C,"&lt;="&amp;$D4672,[1]内部转账!$E:$E,$G4672)-SUMIFS([1]内部转账!$G:$G,[1]内部转账!$C:$C,"&lt;="&amp;$D4672,[1]内部转账!$F:$F,$G4672)),"")</f>
        <v/>
      </c>
      <c r="M4672" s="64"/>
      <c r="N4672" s="69"/>
      <c r="O4672" s="64"/>
      <c r="P4672" s="64"/>
      <c r="Q4672" s="69"/>
      <c r="R4672" s="69"/>
      <c r="S4672" s="69"/>
    </row>
    <row r="4673" s="2" customFormat="1" ht="24.95" customHeight="1" spans="1:19">
      <c r="A4673" s="15"/>
      <c r="B4673" s="55"/>
      <c r="C4673" s="56"/>
      <c r="D4673" s="68"/>
      <c r="E4673" s="69"/>
      <c r="F4673" s="69"/>
      <c r="G4673" s="65"/>
      <c r="H4673" s="65"/>
      <c r="I4673" s="70"/>
      <c r="J4673" s="71"/>
      <c r="K4673" s="71"/>
      <c r="L4673" s="72" t="str">
        <f>IFERROR(IF(G4673="","",VLOOKUP($G4673,[1]基础信息!$B:$C,2,FALSE)+SUMIF(G$8:G4673,G4673,J$8:J4673)-SUMIF(G$8:G4673,G4673,K$8:K4673)+SUMIFS([1]内部转账!$G:$G,[1]内部转账!$C:$C,"&lt;="&amp;$D4673,[1]内部转账!$E:$E,$G4673)-SUMIFS([1]内部转账!$G:$G,[1]内部转账!$C:$C,"&lt;="&amp;$D4673,[1]内部转账!$F:$F,$G4673)),"")</f>
        <v/>
      </c>
      <c r="M4673" s="64"/>
      <c r="N4673" s="69"/>
      <c r="O4673" s="64"/>
      <c r="P4673" s="64"/>
      <c r="Q4673" s="69"/>
      <c r="R4673" s="69"/>
      <c r="S4673" s="69"/>
    </row>
    <row r="4674" s="2" customFormat="1" ht="24.95" customHeight="1" spans="1:19">
      <c r="A4674" s="15"/>
      <c r="B4674" s="55"/>
      <c r="C4674" s="56"/>
      <c r="D4674" s="68"/>
      <c r="E4674" s="69"/>
      <c r="F4674" s="69"/>
      <c r="G4674" s="65"/>
      <c r="H4674" s="65"/>
      <c r="I4674" s="70"/>
      <c r="J4674" s="71"/>
      <c r="K4674" s="71"/>
      <c r="L4674" s="72" t="str">
        <f>IFERROR(IF(G4674="","",VLOOKUP($G4674,[1]基础信息!$B:$C,2,FALSE)+SUMIF(G$8:G4674,G4674,J$8:J4674)-SUMIF(G$8:G4674,G4674,K$8:K4674)+SUMIFS([1]内部转账!$G:$G,[1]内部转账!$C:$C,"&lt;="&amp;$D4674,[1]内部转账!$E:$E,$G4674)-SUMIFS([1]内部转账!$G:$G,[1]内部转账!$C:$C,"&lt;="&amp;$D4674,[1]内部转账!$F:$F,$G4674)),"")</f>
        <v/>
      </c>
      <c r="M4674" s="64"/>
      <c r="N4674" s="69"/>
      <c r="O4674" s="64"/>
      <c r="P4674" s="64"/>
      <c r="Q4674" s="69"/>
      <c r="R4674" s="69"/>
      <c r="S4674" s="69"/>
    </row>
    <row r="4675" s="2" customFormat="1" ht="24.95" customHeight="1" spans="1:19">
      <c r="A4675" s="15"/>
      <c r="B4675" s="55"/>
      <c r="C4675" s="56"/>
      <c r="D4675" s="68"/>
      <c r="E4675" s="69"/>
      <c r="F4675" s="69"/>
      <c r="G4675" s="65"/>
      <c r="H4675" s="65"/>
      <c r="I4675" s="70"/>
      <c r="J4675" s="71"/>
      <c r="K4675" s="71"/>
      <c r="L4675" s="72" t="str">
        <f>IFERROR(IF(G4675="","",VLOOKUP($G4675,[1]基础信息!$B:$C,2,FALSE)+SUMIF(G$8:G4675,G4675,J$8:J4675)-SUMIF(G$8:G4675,G4675,K$8:K4675)+SUMIFS([1]内部转账!$G:$G,[1]内部转账!$C:$C,"&lt;="&amp;$D4675,[1]内部转账!$E:$E,$G4675)-SUMIFS([1]内部转账!$G:$G,[1]内部转账!$C:$C,"&lt;="&amp;$D4675,[1]内部转账!$F:$F,$G4675)),"")</f>
        <v/>
      </c>
      <c r="M4675" s="64"/>
      <c r="N4675" s="69"/>
      <c r="O4675" s="64"/>
      <c r="P4675" s="64"/>
      <c r="Q4675" s="69"/>
      <c r="R4675" s="69"/>
      <c r="S4675" s="69"/>
    </row>
    <row r="4676" s="2" customFormat="1" ht="24.95" customHeight="1" spans="1:19">
      <c r="A4676" s="15"/>
      <c r="B4676" s="55"/>
      <c r="C4676" s="56"/>
      <c r="D4676" s="68"/>
      <c r="E4676" s="69"/>
      <c r="F4676" s="69"/>
      <c r="G4676" s="65"/>
      <c r="H4676" s="65"/>
      <c r="I4676" s="70"/>
      <c r="J4676" s="71"/>
      <c r="K4676" s="71"/>
      <c r="L4676" s="72" t="str">
        <f>IFERROR(IF(G4676="","",VLOOKUP($G4676,[1]基础信息!$B:$C,2,FALSE)+SUMIF(G$8:G4676,G4676,J$8:J4676)-SUMIF(G$8:G4676,G4676,K$8:K4676)+SUMIFS([1]内部转账!$G:$G,[1]内部转账!$C:$C,"&lt;="&amp;$D4676,[1]内部转账!$E:$E,$G4676)-SUMIFS([1]内部转账!$G:$G,[1]内部转账!$C:$C,"&lt;="&amp;$D4676,[1]内部转账!$F:$F,$G4676)),"")</f>
        <v/>
      </c>
      <c r="M4676" s="64"/>
      <c r="N4676" s="69"/>
      <c r="O4676" s="64"/>
      <c r="P4676" s="64"/>
      <c r="Q4676" s="69"/>
      <c r="R4676" s="69"/>
      <c r="S4676" s="69"/>
    </row>
    <row r="4677" s="2" customFormat="1" ht="24.95" customHeight="1" spans="1:19">
      <c r="A4677" s="15"/>
      <c r="B4677" s="55"/>
      <c r="C4677" s="56"/>
      <c r="D4677" s="68"/>
      <c r="E4677" s="69"/>
      <c r="F4677" s="69"/>
      <c r="G4677" s="65"/>
      <c r="H4677" s="65"/>
      <c r="I4677" s="70"/>
      <c r="J4677" s="71"/>
      <c r="K4677" s="71"/>
      <c r="L4677" s="72" t="str">
        <f>IFERROR(IF(G4677="","",VLOOKUP($G4677,[1]基础信息!$B:$C,2,FALSE)+SUMIF(G$8:G4677,G4677,J$8:J4677)-SUMIF(G$8:G4677,G4677,K$8:K4677)+SUMIFS([1]内部转账!$G:$G,[1]内部转账!$C:$C,"&lt;="&amp;$D4677,[1]内部转账!$E:$E,$G4677)-SUMIFS([1]内部转账!$G:$G,[1]内部转账!$C:$C,"&lt;="&amp;$D4677,[1]内部转账!$F:$F,$G4677)),"")</f>
        <v/>
      </c>
      <c r="M4677" s="64"/>
      <c r="N4677" s="69"/>
      <c r="O4677" s="64"/>
      <c r="P4677" s="64"/>
      <c r="Q4677" s="69"/>
      <c r="R4677" s="69"/>
      <c r="S4677" s="69"/>
    </row>
    <row r="4678" s="2" customFormat="1" ht="24.95" customHeight="1" spans="1:19">
      <c r="A4678" s="15"/>
      <c r="B4678" s="55"/>
      <c r="C4678" s="56"/>
      <c r="D4678" s="68"/>
      <c r="E4678" s="69"/>
      <c r="F4678" s="69"/>
      <c r="G4678" s="65"/>
      <c r="H4678" s="65"/>
      <c r="I4678" s="70"/>
      <c r="J4678" s="71"/>
      <c r="K4678" s="71"/>
      <c r="L4678" s="72" t="str">
        <f>IFERROR(IF(G4678="","",VLOOKUP($G4678,[1]基础信息!$B:$C,2,FALSE)+SUMIF(G$8:G4678,G4678,J$8:J4678)-SUMIF(G$8:G4678,G4678,K$8:K4678)+SUMIFS([1]内部转账!$G:$G,[1]内部转账!$C:$C,"&lt;="&amp;$D4678,[1]内部转账!$E:$E,$G4678)-SUMIFS([1]内部转账!$G:$G,[1]内部转账!$C:$C,"&lt;="&amp;$D4678,[1]内部转账!$F:$F,$G4678)),"")</f>
        <v/>
      </c>
      <c r="M4678" s="64"/>
      <c r="N4678" s="69"/>
      <c r="O4678" s="64"/>
      <c r="P4678" s="64"/>
      <c r="Q4678" s="69"/>
      <c r="R4678" s="69"/>
      <c r="S4678" s="69"/>
    </row>
    <row r="4679" s="2" customFormat="1" ht="24.95" customHeight="1" spans="1:19">
      <c r="A4679" s="15"/>
      <c r="B4679" s="55"/>
      <c r="C4679" s="56"/>
      <c r="D4679" s="68"/>
      <c r="E4679" s="69"/>
      <c r="F4679" s="69"/>
      <c r="G4679" s="65"/>
      <c r="H4679" s="65"/>
      <c r="I4679" s="70"/>
      <c r="J4679" s="71"/>
      <c r="K4679" s="71"/>
      <c r="L4679" s="72" t="str">
        <f>IFERROR(IF(G4679="","",VLOOKUP($G4679,[1]基础信息!$B:$C,2,FALSE)+SUMIF(G$8:G4679,G4679,J$8:J4679)-SUMIF(G$8:G4679,G4679,K$8:K4679)+SUMIFS([1]内部转账!$G:$G,[1]内部转账!$C:$C,"&lt;="&amp;$D4679,[1]内部转账!$E:$E,$G4679)-SUMIFS([1]内部转账!$G:$G,[1]内部转账!$C:$C,"&lt;="&amp;$D4679,[1]内部转账!$F:$F,$G4679)),"")</f>
        <v/>
      </c>
      <c r="M4679" s="64"/>
      <c r="N4679" s="69"/>
      <c r="O4679" s="64"/>
      <c r="P4679" s="64"/>
      <c r="Q4679" s="69"/>
      <c r="R4679" s="69"/>
      <c r="S4679" s="69"/>
    </row>
    <row r="4680" s="2" customFormat="1" ht="24.95" customHeight="1" spans="1:19">
      <c r="A4680" s="15"/>
      <c r="B4680" s="55"/>
      <c r="C4680" s="56"/>
      <c r="D4680" s="68"/>
      <c r="E4680" s="69"/>
      <c r="F4680" s="69"/>
      <c r="G4680" s="65"/>
      <c r="H4680" s="65"/>
      <c r="I4680" s="70"/>
      <c r="J4680" s="71"/>
      <c r="K4680" s="71"/>
      <c r="L4680" s="72" t="str">
        <f>IFERROR(IF(G4680="","",VLOOKUP($G4680,[1]基础信息!$B:$C,2,FALSE)+SUMIF(G$8:G4680,G4680,J$8:J4680)-SUMIF(G$8:G4680,G4680,K$8:K4680)+SUMIFS([1]内部转账!$G:$G,[1]内部转账!$C:$C,"&lt;="&amp;$D4680,[1]内部转账!$E:$E,$G4680)-SUMIFS([1]内部转账!$G:$G,[1]内部转账!$C:$C,"&lt;="&amp;$D4680,[1]内部转账!$F:$F,$G4680)),"")</f>
        <v/>
      </c>
      <c r="M4680" s="64"/>
      <c r="N4680" s="69"/>
      <c r="O4680" s="64"/>
      <c r="P4680" s="64"/>
      <c r="Q4680" s="69"/>
      <c r="R4680" s="69"/>
      <c r="S4680" s="69"/>
    </row>
    <row r="4681" s="2" customFormat="1" ht="24.95" customHeight="1" spans="1:19">
      <c r="A4681" s="15"/>
      <c r="B4681" s="55"/>
      <c r="C4681" s="56"/>
      <c r="D4681" s="68"/>
      <c r="E4681" s="69"/>
      <c r="F4681" s="69"/>
      <c r="G4681" s="65"/>
      <c r="H4681" s="65"/>
      <c r="I4681" s="70"/>
      <c r="J4681" s="71"/>
      <c r="K4681" s="71"/>
      <c r="L4681" s="72" t="str">
        <f>IFERROR(IF(G4681="","",VLOOKUP($G4681,[1]基础信息!$B:$C,2,FALSE)+SUMIF(G$8:G4681,G4681,J$8:J4681)-SUMIF(G$8:G4681,G4681,K$8:K4681)+SUMIFS([1]内部转账!$G:$G,[1]内部转账!$C:$C,"&lt;="&amp;$D4681,[1]内部转账!$E:$E,$G4681)-SUMIFS([1]内部转账!$G:$G,[1]内部转账!$C:$C,"&lt;="&amp;$D4681,[1]内部转账!$F:$F,$G4681)),"")</f>
        <v/>
      </c>
      <c r="M4681" s="64"/>
      <c r="N4681" s="69"/>
      <c r="O4681" s="64"/>
      <c r="P4681" s="64"/>
      <c r="Q4681" s="69"/>
      <c r="R4681" s="69"/>
      <c r="S4681" s="69"/>
    </row>
    <row r="4682" s="2" customFormat="1" ht="24.95" customHeight="1" spans="1:19">
      <c r="A4682" s="15"/>
      <c r="B4682" s="55"/>
      <c r="C4682" s="56"/>
      <c r="D4682" s="68"/>
      <c r="E4682" s="69"/>
      <c r="F4682" s="69"/>
      <c r="G4682" s="65"/>
      <c r="H4682" s="65"/>
      <c r="I4682" s="70"/>
      <c r="J4682" s="71"/>
      <c r="K4682" s="71"/>
      <c r="L4682" s="72" t="str">
        <f>IFERROR(IF(G4682="","",VLOOKUP($G4682,[1]基础信息!$B:$C,2,FALSE)+SUMIF(G$8:G4682,G4682,J$8:J4682)-SUMIF(G$8:G4682,G4682,K$8:K4682)+SUMIFS([1]内部转账!$G:$G,[1]内部转账!$C:$C,"&lt;="&amp;$D4682,[1]内部转账!$E:$E,$G4682)-SUMIFS([1]内部转账!$G:$G,[1]内部转账!$C:$C,"&lt;="&amp;$D4682,[1]内部转账!$F:$F,$G4682)),"")</f>
        <v/>
      </c>
      <c r="M4682" s="64"/>
      <c r="N4682" s="69"/>
      <c r="O4682" s="64"/>
      <c r="P4682" s="64"/>
      <c r="Q4682" s="69"/>
      <c r="R4682" s="69"/>
      <c r="S4682" s="69"/>
    </row>
    <row r="4683" s="2" customFormat="1" ht="24.95" customHeight="1" spans="1:19">
      <c r="A4683" s="15"/>
      <c r="B4683" s="55"/>
      <c r="C4683" s="56"/>
      <c r="D4683" s="68"/>
      <c r="E4683" s="69"/>
      <c r="F4683" s="69"/>
      <c r="G4683" s="65"/>
      <c r="H4683" s="65"/>
      <c r="I4683" s="70"/>
      <c r="J4683" s="71"/>
      <c r="K4683" s="71"/>
      <c r="L4683" s="72" t="str">
        <f>IFERROR(IF(G4683="","",VLOOKUP($G4683,[1]基础信息!$B:$C,2,FALSE)+SUMIF(G$8:G4683,G4683,J$8:J4683)-SUMIF(G$8:G4683,G4683,K$8:K4683)+SUMIFS([1]内部转账!$G:$G,[1]内部转账!$C:$C,"&lt;="&amp;$D4683,[1]内部转账!$E:$E,$G4683)-SUMIFS([1]内部转账!$G:$G,[1]内部转账!$C:$C,"&lt;="&amp;$D4683,[1]内部转账!$F:$F,$G4683)),"")</f>
        <v/>
      </c>
      <c r="M4683" s="64"/>
      <c r="N4683" s="69"/>
      <c r="O4683" s="64"/>
      <c r="P4683" s="64"/>
      <c r="Q4683" s="69"/>
      <c r="R4683" s="69"/>
      <c r="S4683" s="69"/>
    </row>
    <row r="4684" s="2" customFormat="1" ht="24.95" customHeight="1" spans="1:19">
      <c r="A4684" s="15"/>
      <c r="B4684" s="55"/>
      <c r="C4684" s="56"/>
      <c r="D4684" s="68"/>
      <c r="E4684" s="69"/>
      <c r="F4684" s="69"/>
      <c r="G4684" s="65"/>
      <c r="H4684" s="65"/>
      <c r="I4684" s="70"/>
      <c r="J4684" s="71"/>
      <c r="K4684" s="71"/>
      <c r="L4684" s="72" t="str">
        <f>IFERROR(IF(G4684="","",VLOOKUP($G4684,[1]基础信息!$B:$C,2,FALSE)+SUMIF(G$8:G4684,G4684,J$8:J4684)-SUMIF(G$8:G4684,G4684,K$8:K4684)+SUMIFS([1]内部转账!$G:$G,[1]内部转账!$C:$C,"&lt;="&amp;$D4684,[1]内部转账!$E:$E,$G4684)-SUMIFS([1]内部转账!$G:$G,[1]内部转账!$C:$C,"&lt;="&amp;$D4684,[1]内部转账!$F:$F,$G4684)),"")</f>
        <v/>
      </c>
      <c r="M4684" s="64"/>
      <c r="N4684" s="69"/>
      <c r="O4684" s="64"/>
      <c r="P4684" s="64"/>
      <c r="Q4684" s="69"/>
      <c r="R4684" s="69"/>
      <c r="S4684" s="69"/>
    </row>
    <row r="4685" s="2" customFormat="1" ht="24.95" customHeight="1" spans="1:19">
      <c r="A4685" s="15"/>
      <c r="B4685" s="55"/>
      <c r="C4685" s="56"/>
      <c r="D4685" s="68"/>
      <c r="E4685" s="69"/>
      <c r="F4685" s="69"/>
      <c r="G4685" s="65"/>
      <c r="H4685" s="65"/>
      <c r="I4685" s="70"/>
      <c r="J4685" s="71"/>
      <c r="K4685" s="71"/>
      <c r="L4685" s="72" t="str">
        <f>IFERROR(IF(G4685="","",VLOOKUP($G4685,[1]基础信息!$B:$C,2,FALSE)+SUMIF(G$8:G4685,G4685,J$8:J4685)-SUMIF(G$8:G4685,G4685,K$8:K4685)+SUMIFS([1]内部转账!$G:$G,[1]内部转账!$C:$C,"&lt;="&amp;$D4685,[1]内部转账!$E:$E,$G4685)-SUMIFS([1]内部转账!$G:$G,[1]内部转账!$C:$C,"&lt;="&amp;$D4685,[1]内部转账!$F:$F,$G4685)),"")</f>
        <v/>
      </c>
      <c r="M4685" s="64"/>
      <c r="N4685" s="69"/>
      <c r="O4685" s="64"/>
      <c r="P4685" s="64"/>
      <c r="Q4685" s="69"/>
      <c r="R4685" s="69"/>
      <c r="S4685" s="69"/>
    </row>
    <row r="4686" s="2" customFormat="1" ht="24.95" customHeight="1" spans="1:19">
      <c r="A4686" s="15"/>
      <c r="B4686" s="55"/>
      <c r="C4686" s="56"/>
      <c r="D4686" s="68"/>
      <c r="E4686" s="69"/>
      <c r="F4686" s="69"/>
      <c r="G4686" s="65"/>
      <c r="H4686" s="65"/>
      <c r="I4686" s="70"/>
      <c r="J4686" s="71"/>
      <c r="K4686" s="71"/>
      <c r="L4686" s="72" t="str">
        <f>IFERROR(IF(G4686="","",VLOOKUP($G4686,[1]基础信息!$B:$C,2,FALSE)+SUMIF(G$8:G4686,G4686,J$8:J4686)-SUMIF(G$8:G4686,G4686,K$8:K4686)+SUMIFS([1]内部转账!$G:$G,[1]内部转账!$C:$C,"&lt;="&amp;$D4686,[1]内部转账!$E:$E,$G4686)-SUMIFS([1]内部转账!$G:$G,[1]内部转账!$C:$C,"&lt;="&amp;$D4686,[1]内部转账!$F:$F,$G4686)),"")</f>
        <v/>
      </c>
      <c r="M4686" s="64"/>
      <c r="N4686" s="69"/>
      <c r="O4686" s="64"/>
      <c r="P4686" s="64"/>
      <c r="Q4686" s="69"/>
      <c r="R4686" s="69"/>
      <c r="S4686" s="69"/>
    </row>
    <row r="4687" s="2" customFormat="1" ht="24.95" customHeight="1" spans="1:19">
      <c r="A4687" s="15"/>
      <c r="B4687" s="55"/>
      <c r="C4687" s="56"/>
      <c r="D4687" s="68"/>
      <c r="E4687" s="69"/>
      <c r="F4687" s="69"/>
      <c r="G4687" s="65"/>
      <c r="H4687" s="65"/>
      <c r="I4687" s="70"/>
      <c r="J4687" s="71"/>
      <c r="K4687" s="71"/>
      <c r="L4687" s="72" t="str">
        <f>IFERROR(IF(G4687="","",VLOOKUP($G4687,[1]基础信息!$B:$C,2,FALSE)+SUMIF(G$8:G4687,G4687,J$8:J4687)-SUMIF(G$8:G4687,G4687,K$8:K4687)+SUMIFS([1]内部转账!$G:$G,[1]内部转账!$C:$C,"&lt;="&amp;$D4687,[1]内部转账!$E:$E,$G4687)-SUMIFS([1]内部转账!$G:$G,[1]内部转账!$C:$C,"&lt;="&amp;$D4687,[1]内部转账!$F:$F,$G4687)),"")</f>
        <v/>
      </c>
      <c r="M4687" s="64"/>
      <c r="N4687" s="69"/>
      <c r="O4687" s="64"/>
      <c r="P4687" s="64"/>
      <c r="Q4687" s="69"/>
      <c r="R4687" s="69"/>
      <c r="S4687" s="69"/>
    </row>
    <row r="4688" s="2" customFormat="1" ht="24.95" customHeight="1" spans="1:19">
      <c r="A4688" s="15"/>
      <c r="B4688" s="55"/>
      <c r="C4688" s="56"/>
      <c r="D4688" s="68"/>
      <c r="E4688" s="69"/>
      <c r="F4688" s="69"/>
      <c r="G4688" s="65"/>
      <c r="H4688" s="65"/>
      <c r="I4688" s="70"/>
      <c r="J4688" s="71"/>
      <c r="K4688" s="71"/>
      <c r="L4688" s="72" t="str">
        <f>IFERROR(IF(G4688="","",VLOOKUP($G4688,[1]基础信息!$B:$C,2,FALSE)+SUMIF(G$8:G4688,G4688,J$8:J4688)-SUMIF(G$8:G4688,G4688,K$8:K4688)+SUMIFS([1]内部转账!$G:$G,[1]内部转账!$C:$C,"&lt;="&amp;$D4688,[1]内部转账!$E:$E,$G4688)-SUMIFS([1]内部转账!$G:$G,[1]内部转账!$C:$C,"&lt;="&amp;$D4688,[1]内部转账!$F:$F,$G4688)),"")</f>
        <v/>
      </c>
      <c r="M4688" s="64"/>
      <c r="N4688" s="69"/>
      <c r="O4688" s="64"/>
      <c r="P4688" s="64"/>
      <c r="Q4688" s="69"/>
      <c r="R4688" s="69"/>
      <c r="S4688" s="69"/>
    </row>
    <row r="4689" s="2" customFormat="1" ht="24.95" customHeight="1" spans="1:19">
      <c r="A4689" s="15"/>
      <c r="B4689" s="55"/>
      <c r="C4689" s="56"/>
      <c r="D4689" s="68"/>
      <c r="E4689" s="69"/>
      <c r="F4689" s="69"/>
      <c r="G4689" s="65"/>
      <c r="H4689" s="65"/>
      <c r="I4689" s="70"/>
      <c r="J4689" s="71"/>
      <c r="K4689" s="71"/>
      <c r="L4689" s="72" t="str">
        <f>IFERROR(IF(G4689="","",VLOOKUP($G4689,[1]基础信息!$B:$C,2,FALSE)+SUMIF(G$8:G4689,G4689,J$8:J4689)-SUMIF(G$8:G4689,G4689,K$8:K4689)+SUMIFS([1]内部转账!$G:$G,[1]内部转账!$C:$C,"&lt;="&amp;$D4689,[1]内部转账!$E:$E,$G4689)-SUMIFS([1]内部转账!$G:$G,[1]内部转账!$C:$C,"&lt;="&amp;$D4689,[1]内部转账!$F:$F,$G4689)),"")</f>
        <v/>
      </c>
      <c r="M4689" s="64"/>
      <c r="N4689" s="69"/>
      <c r="O4689" s="64"/>
      <c r="P4689" s="64"/>
      <c r="Q4689" s="69"/>
      <c r="R4689" s="69"/>
      <c r="S4689" s="69"/>
    </row>
    <row r="4690" s="2" customFormat="1" ht="24.95" customHeight="1" spans="1:19">
      <c r="A4690" s="15"/>
      <c r="B4690" s="55"/>
      <c r="C4690" s="56"/>
      <c r="D4690" s="68"/>
      <c r="E4690" s="69"/>
      <c r="F4690" s="69"/>
      <c r="G4690" s="65"/>
      <c r="H4690" s="65"/>
      <c r="I4690" s="70"/>
      <c r="J4690" s="71"/>
      <c r="K4690" s="71"/>
      <c r="L4690" s="72" t="str">
        <f>IFERROR(IF(G4690="","",VLOOKUP($G4690,[1]基础信息!$B:$C,2,FALSE)+SUMIF(G$8:G4690,G4690,J$8:J4690)-SUMIF(G$8:G4690,G4690,K$8:K4690)+SUMIFS([1]内部转账!$G:$G,[1]内部转账!$C:$C,"&lt;="&amp;$D4690,[1]内部转账!$E:$E,$G4690)-SUMIFS([1]内部转账!$G:$G,[1]内部转账!$C:$C,"&lt;="&amp;$D4690,[1]内部转账!$F:$F,$G4690)),"")</f>
        <v/>
      </c>
      <c r="M4690" s="64"/>
      <c r="N4690" s="69"/>
      <c r="O4690" s="64"/>
      <c r="P4690" s="64"/>
      <c r="Q4690" s="69"/>
      <c r="R4690" s="69"/>
      <c r="S4690" s="69"/>
    </row>
    <row r="4691" s="2" customFormat="1" ht="24.95" customHeight="1" spans="1:19">
      <c r="A4691" s="15"/>
      <c r="B4691" s="55"/>
      <c r="C4691" s="56"/>
      <c r="D4691" s="68"/>
      <c r="E4691" s="69"/>
      <c r="F4691" s="69"/>
      <c r="G4691" s="65"/>
      <c r="H4691" s="65"/>
      <c r="I4691" s="70"/>
      <c r="J4691" s="71"/>
      <c r="K4691" s="71"/>
      <c r="L4691" s="72" t="str">
        <f>IFERROR(IF(G4691="","",VLOOKUP($G4691,[1]基础信息!$B:$C,2,FALSE)+SUMIF(G$8:G4691,G4691,J$8:J4691)-SUMIF(G$8:G4691,G4691,K$8:K4691)+SUMIFS([1]内部转账!$G:$G,[1]内部转账!$C:$C,"&lt;="&amp;$D4691,[1]内部转账!$E:$E,$G4691)-SUMIFS([1]内部转账!$G:$G,[1]内部转账!$C:$C,"&lt;="&amp;$D4691,[1]内部转账!$F:$F,$G4691)),"")</f>
        <v/>
      </c>
      <c r="M4691" s="64"/>
      <c r="N4691" s="69"/>
      <c r="O4691" s="64"/>
      <c r="P4691" s="64"/>
      <c r="Q4691" s="69"/>
      <c r="R4691" s="69"/>
      <c r="S4691" s="69"/>
    </row>
    <row r="4692" s="2" customFormat="1" ht="24.95" customHeight="1" spans="1:19">
      <c r="A4692" s="15"/>
      <c r="B4692" s="55"/>
      <c r="C4692" s="56"/>
      <c r="D4692" s="68"/>
      <c r="E4692" s="69"/>
      <c r="F4692" s="69"/>
      <c r="G4692" s="65"/>
      <c r="H4692" s="65"/>
      <c r="I4692" s="70"/>
      <c r="J4692" s="71"/>
      <c r="K4692" s="71"/>
      <c r="L4692" s="72" t="str">
        <f>IFERROR(IF(G4692="","",VLOOKUP($G4692,[1]基础信息!$B:$C,2,FALSE)+SUMIF(G$8:G4692,G4692,J$8:J4692)-SUMIF(G$8:G4692,G4692,K$8:K4692)+SUMIFS([1]内部转账!$G:$G,[1]内部转账!$C:$C,"&lt;="&amp;$D4692,[1]内部转账!$E:$E,$G4692)-SUMIFS([1]内部转账!$G:$G,[1]内部转账!$C:$C,"&lt;="&amp;$D4692,[1]内部转账!$F:$F,$G4692)),"")</f>
        <v/>
      </c>
      <c r="M4692" s="64"/>
      <c r="N4692" s="69"/>
      <c r="O4692" s="64"/>
      <c r="P4692" s="64"/>
      <c r="Q4692" s="69"/>
      <c r="R4692" s="69"/>
      <c r="S4692" s="69"/>
    </row>
    <row r="4693" s="2" customFormat="1" ht="24.95" customHeight="1" spans="1:19">
      <c r="A4693" s="15"/>
      <c r="B4693" s="55"/>
      <c r="C4693" s="56"/>
      <c r="D4693" s="68"/>
      <c r="E4693" s="69"/>
      <c r="F4693" s="69"/>
      <c r="G4693" s="65"/>
      <c r="H4693" s="65"/>
      <c r="I4693" s="70"/>
      <c r="J4693" s="71"/>
      <c r="K4693" s="71"/>
      <c r="L4693" s="72" t="str">
        <f>IFERROR(IF(G4693="","",VLOOKUP($G4693,[1]基础信息!$B:$C,2,FALSE)+SUMIF(G$8:G4693,G4693,J$8:J4693)-SUMIF(G$8:G4693,G4693,K$8:K4693)+SUMIFS([1]内部转账!$G:$G,[1]内部转账!$C:$C,"&lt;="&amp;$D4693,[1]内部转账!$E:$E,$G4693)-SUMIFS([1]内部转账!$G:$G,[1]内部转账!$C:$C,"&lt;="&amp;$D4693,[1]内部转账!$F:$F,$G4693)),"")</f>
        <v/>
      </c>
      <c r="M4693" s="64"/>
      <c r="N4693" s="69"/>
      <c r="O4693" s="64"/>
      <c r="P4693" s="64"/>
      <c r="Q4693" s="69"/>
      <c r="R4693" s="69"/>
      <c r="S4693" s="69"/>
    </row>
    <row r="4694" s="2" customFormat="1" ht="24.95" customHeight="1" spans="1:19">
      <c r="A4694" s="15"/>
      <c r="B4694" s="55"/>
      <c r="C4694" s="56"/>
      <c r="D4694" s="68"/>
      <c r="E4694" s="69"/>
      <c r="F4694" s="69"/>
      <c r="G4694" s="65"/>
      <c r="H4694" s="65"/>
      <c r="I4694" s="70"/>
      <c r="J4694" s="71"/>
      <c r="K4694" s="71"/>
      <c r="L4694" s="72" t="str">
        <f>IFERROR(IF(G4694="","",VLOOKUP($G4694,[1]基础信息!$B:$C,2,FALSE)+SUMIF(G$8:G4694,G4694,J$8:J4694)-SUMIF(G$8:G4694,G4694,K$8:K4694)+SUMIFS([1]内部转账!$G:$G,[1]内部转账!$C:$C,"&lt;="&amp;$D4694,[1]内部转账!$E:$E,$G4694)-SUMIFS([1]内部转账!$G:$G,[1]内部转账!$C:$C,"&lt;="&amp;$D4694,[1]内部转账!$F:$F,$G4694)),"")</f>
        <v/>
      </c>
      <c r="M4694" s="64"/>
      <c r="N4694" s="69"/>
      <c r="O4694" s="64"/>
      <c r="P4694" s="64"/>
      <c r="Q4694" s="69"/>
      <c r="R4694" s="69"/>
      <c r="S4694" s="69"/>
    </row>
    <row r="4695" s="2" customFormat="1" ht="24.95" customHeight="1" spans="1:19">
      <c r="A4695" s="15"/>
      <c r="B4695" s="55"/>
      <c r="C4695" s="56"/>
      <c r="D4695" s="68"/>
      <c r="E4695" s="69"/>
      <c r="F4695" s="69"/>
      <c r="G4695" s="65"/>
      <c r="H4695" s="65"/>
      <c r="I4695" s="70"/>
      <c r="J4695" s="71"/>
      <c r="K4695" s="71"/>
      <c r="L4695" s="72" t="str">
        <f>IFERROR(IF(G4695="","",VLOOKUP($G4695,[1]基础信息!$B:$C,2,FALSE)+SUMIF(G$8:G4695,G4695,J$8:J4695)-SUMIF(G$8:G4695,G4695,K$8:K4695)+SUMIFS([1]内部转账!$G:$G,[1]内部转账!$C:$C,"&lt;="&amp;$D4695,[1]内部转账!$E:$E,$G4695)-SUMIFS([1]内部转账!$G:$G,[1]内部转账!$C:$C,"&lt;="&amp;$D4695,[1]内部转账!$F:$F,$G4695)),"")</f>
        <v/>
      </c>
      <c r="M4695" s="64"/>
      <c r="N4695" s="69"/>
      <c r="O4695" s="64"/>
      <c r="P4695" s="64"/>
      <c r="Q4695" s="69"/>
      <c r="R4695" s="69"/>
      <c r="S4695" s="69"/>
    </row>
    <row r="4696" s="2" customFormat="1" ht="24.95" customHeight="1" spans="1:19">
      <c r="A4696" s="15"/>
      <c r="B4696" s="55"/>
      <c r="C4696" s="56"/>
      <c r="D4696" s="68"/>
      <c r="E4696" s="69"/>
      <c r="F4696" s="69"/>
      <c r="G4696" s="65"/>
      <c r="H4696" s="65"/>
      <c r="I4696" s="70"/>
      <c r="J4696" s="71"/>
      <c r="K4696" s="71"/>
      <c r="L4696" s="72" t="str">
        <f>IFERROR(IF(G4696="","",VLOOKUP($G4696,[1]基础信息!$B:$C,2,FALSE)+SUMIF(G$8:G4696,G4696,J$8:J4696)-SUMIF(G$8:G4696,G4696,K$8:K4696)+SUMIFS([1]内部转账!$G:$G,[1]内部转账!$C:$C,"&lt;="&amp;$D4696,[1]内部转账!$E:$E,$G4696)-SUMIFS([1]内部转账!$G:$G,[1]内部转账!$C:$C,"&lt;="&amp;$D4696,[1]内部转账!$F:$F,$G4696)),"")</f>
        <v/>
      </c>
      <c r="M4696" s="64"/>
      <c r="N4696" s="69"/>
      <c r="O4696" s="64"/>
      <c r="P4696" s="64"/>
      <c r="Q4696" s="69"/>
      <c r="R4696" s="69"/>
      <c r="S4696" s="69"/>
    </row>
    <row r="4697" s="2" customFormat="1" ht="24.95" customHeight="1" spans="1:19">
      <c r="A4697" s="15"/>
      <c r="B4697" s="55"/>
      <c r="C4697" s="56"/>
      <c r="D4697" s="68"/>
      <c r="E4697" s="69"/>
      <c r="F4697" s="69"/>
      <c r="G4697" s="65"/>
      <c r="H4697" s="65"/>
      <c r="I4697" s="70"/>
      <c r="J4697" s="71"/>
      <c r="K4697" s="71"/>
      <c r="L4697" s="72" t="str">
        <f>IFERROR(IF(G4697="","",VLOOKUP($G4697,[1]基础信息!$B:$C,2,FALSE)+SUMIF(G$8:G4697,G4697,J$8:J4697)-SUMIF(G$8:G4697,G4697,K$8:K4697)+SUMIFS([1]内部转账!$G:$G,[1]内部转账!$C:$C,"&lt;="&amp;$D4697,[1]内部转账!$E:$E,$G4697)-SUMIFS([1]内部转账!$G:$G,[1]内部转账!$C:$C,"&lt;="&amp;$D4697,[1]内部转账!$F:$F,$G4697)),"")</f>
        <v/>
      </c>
      <c r="M4697" s="64"/>
      <c r="N4697" s="69"/>
      <c r="O4697" s="64"/>
      <c r="P4697" s="64"/>
      <c r="Q4697" s="69"/>
      <c r="R4697" s="69"/>
      <c r="S4697" s="69"/>
    </row>
    <row r="4698" s="2" customFormat="1" ht="24.95" customHeight="1" spans="1:19">
      <c r="A4698" s="15"/>
      <c r="B4698" s="55"/>
      <c r="C4698" s="56"/>
      <c r="D4698" s="68"/>
      <c r="E4698" s="69"/>
      <c r="F4698" s="69"/>
      <c r="G4698" s="65"/>
      <c r="H4698" s="65"/>
      <c r="I4698" s="70"/>
      <c r="J4698" s="71"/>
      <c r="K4698" s="71"/>
      <c r="L4698" s="72" t="str">
        <f>IFERROR(IF(G4698="","",VLOOKUP($G4698,[1]基础信息!$B:$C,2,FALSE)+SUMIF(G$8:G4698,G4698,J$8:J4698)-SUMIF(G$8:G4698,G4698,K$8:K4698)+SUMIFS([1]内部转账!$G:$G,[1]内部转账!$C:$C,"&lt;="&amp;$D4698,[1]内部转账!$E:$E,$G4698)-SUMIFS([1]内部转账!$G:$G,[1]内部转账!$C:$C,"&lt;="&amp;$D4698,[1]内部转账!$F:$F,$G4698)),"")</f>
        <v/>
      </c>
      <c r="M4698" s="64"/>
      <c r="N4698" s="69"/>
      <c r="O4698" s="64"/>
      <c r="P4698" s="64"/>
      <c r="Q4698" s="69"/>
      <c r="R4698" s="69"/>
      <c r="S4698" s="69"/>
    </row>
    <row r="4699" s="2" customFormat="1" ht="24.95" customHeight="1" spans="1:19">
      <c r="A4699" s="15"/>
      <c r="B4699" s="55"/>
      <c r="C4699" s="56"/>
      <c r="D4699" s="68"/>
      <c r="E4699" s="69"/>
      <c r="F4699" s="69"/>
      <c r="G4699" s="65"/>
      <c r="H4699" s="65"/>
      <c r="I4699" s="70"/>
      <c r="J4699" s="71"/>
      <c r="K4699" s="71"/>
      <c r="L4699" s="72" t="str">
        <f>IFERROR(IF(G4699="","",VLOOKUP($G4699,[1]基础信息!$B:$C,2,FALSE)+SUMIF(G$8:G4699,G4699,J$8:J4699)-SUMIF(G$8:G4699,G4699,K$8:K4699)+SUMIFS([1]内部转账!$G:$G,[1]内部转账!$C:$C,"&lt;="&amp;$D4699,[1]内部转账!$E:$E,$G4699)-SUMIFS([1]内部转账!$G:$G,[1]内部转账!$C:$C,"&lt;="&amp;$D4699,[1]内部转账!$F:$F,$G4699)),"")</f>
        <v/>
      </c>
      <c r="M4699" s="64"/>
      <c r="N4699" s="69"/>
      <c r="O4699" s="64"/>
      <c r="P4699" s="64"/>
      <c r="Q4699" s="69"/>
      <c r="R4699" s="69"/>
      <c r="S4699" s="69"/>
    </row>
    <row r="4700" s="2" customFormat="1" ht="24.95" customHeight="1" spans="1:19">
      <c r="A4700" s="15"/>
      <c r="B4700" s="55"/>
      <c r="C4700" s="56"/>
      <c r="D4700" s="68"/>
      <c r="E4700" s="69"/>
      <c r="F4700" s="69"/>
      <c r="G4700" s="65"/>
      <c r="H4700" s="65"/>
      <c r="I4700" s="70"/>
      <c r="J4700" s="71"/>
      <c r="K4700" s="71"/>
      <c r="L4700" s="72" t="str">
        <f>IFERROR(IF(G4700="","",VLOOKUP($G4700,[1]基础信息!$B:$C,2,FALSE)+SUMIF(G$8:G4700,G4700,J$8:J4700)-SUMIF(G$8:G4700,G4700,K$8:K4700)+SUMIFS([1]内部转账!$G:$G,[1]内部转账!$C:$C,"&lt;="&amp;$D4700,[1]内部转账!$E:$E,$G4700)-SUMIFS([1]内部转账!$G:$G,[1]内部转账!$C:$C,"&lt;="&amp;$D4700,[1]内部转账!$F:$F,$G4700)),"")</f>
        <v/>
      </c>
      <c r="M4700" s="64"/>
      <c r="N4700" s="69"/>
      <c r="O4700" s="64"/>
      <c r="P4700" s="64"/>
      <c r="Q4700" s="69"/>
      <c r="R4700" s="69"/>
      <c r="S4700" s="69"/>
    </row>
    <row r="4701" s="2" customFormat="1" ht="24.95" customHeight="1" spans="1:19">
      <c r="A4701" s="15"/>
      <c r="B4701" s="55"/>
      <c r="C4701" s="56"/>
      <c r="D4701" s="68"/>
      <c r="E4701" s="69"/>
      <c r="F4701" s="69"/>
      <c r="G4701" s="65"/>
      <c r="H4701" s="65"/>
      <c r="I4701" s="70"/>
      <c r="J4701" s="71"/>
      <c r="K4701" s="71"/>
      <c r="L4701" s="72" t="str">
        <f>IFERROR(IF(G4701="","",VLOOKUP($G4701,[1]基础信息!$B:$C,2,FALSE)+SUMIF(G$8:G4701,G4701,J$8:J4701)-SUMIF(G$8:G4701,G4701,K$8:K4701)+SUMIFS([1]内部转账!$G:$G,[1]内部转账!$C:$C,"&lt;="&amp;$D4701,[1]内部转账!$E:$E,$G4701)-SUMIFS([1]内部转账!$G:$G,[1]内部转账!$C:$C,"&lt;="&amp;$D4701,[1]内部转账!$F:$F,$G4701)),"")</f>
        <v/>
      </c>
      <c r="M4701" s="64"/>
      <c r="N4701" s="69"/>
      <c r="O4701" s="64"/>
      <c r="P4701" s="64"/>
      <c r="Q4701" s="69"/>
      <c r="R4701" s="69"/>
      <c r="S4701" s="69"/>
    </row>
    <row r="4702" s="2" customFormat="1" ht="24.95" customHeight="1" spans="1:19">
      <c r="A4702" s="15"/>
      <c r="B4702" s="55"/>
      <c r="C4702" s="56"/>
      <c r="D4702" s="68"/>
      <c r="E4702" s="69"/>
      <c r="F4702" s="69"/>
      <c r="G4702" s="65"/>
      <c r="H4702" s="65"/>
      <c r="I4702" s="70"/>
      <c r="J4702" s="71"/>
      <c r="K4702" s="71"/>
      <c r="L4702" s="72" t="str">
        <f>IFERROR(IF(G4702="","",VLOOKUP($G4702,[1]基础信息!$B:$C,2,FALSE)+SUMIF(G$8:G4702,G4702,J$8:J4702)-SUMIF(G$8:G4702,G4702,K$8:K4702)+SUMIFS([1]内部转账!$G:$G,[1]内部转账!$C:$C,"&lt;="&amp;$D4702,[1]内部转账!$E:$E,$G4702)-SUMIFS([1]内部转账!$G:$G,[1]内部转账!$C:$C,"&lt;="&amp;$D4702,[1]内部转账!$F:$F,$G4702)),"")</f>
        <v/>
      </c>
      <c r="M4702" s="64"/>
      <c r="N4702" s="69"/>
      <c r="O4702" s="64"/>
      <c r="P4702" s="64"/>
      <c r="Q4702" s="69"/>
      <c r="R4702" s="69"/>
      <c r="S4702" s="69"/>
    </row>
    <row r="4703" s="2" customFormat="1" ht="24.95" customHeight="1" spans="1:19">
      <c r="A4703" s="15"/>
      <c r="B4703" s="55"/>
      <c r="C4703" s="56"/>
      <c r="D4703" s="68"/>
      <c r="E4703" s="69"/>
      <c r="F4703" s="69"/>
      <c r="G4703" s="65"/>
      <c r="H4703" s="65"/>
      <c r="I4703" s="70"/>
      <c r="J4703" s="71"/>
      <c r="K4703" s="71"/>
      <c r="L4703" s="72" t="str">
        <f>IFERROR(IF(G4703="","",VLOOKUP($G4703,[1]基础信息!$B:$C,2,FALSE)+SUMIF(G$8:G4703,G4703,J$8:J4703)-SUMIF(G$8:G4703,G4703,K$8:K4703)+SUMIFS([1]内部转账!$G:$G,[1]内部转账!$C:$C,"&lt;="&amp;$D4703,[1]内部转账!$E:$E,$G4703)-SUMIFS([1]内部转账!$G:$G,[1]内部转账!$C:$C,"&lt;="&amp;$D4703,[1]内部转账!$F:$F,$G4703)),"")</f>
        <v/>
      </c>
      <c r="M4703" s="64"/>
      <c r="N4703" s="69"/>
      <c r="O4703" s="64"/>
      <c r="P4703" s="64"/>
      <c r="Q4703" s="69"/>
      <c r="R4703" s="69"/>
      <c r="S4703" s="69"/>
    </row>
    <row r="4704" s="2" customFormat="1" ht="24.95" customHeight="1" spans="1:19">
      <c r="A4704" s="15"/>
      <c r="B4704" s="55"/>
      <c r="C4704" s="56"/>
      <c r="D4704" s="68"/>
      <c r="E4704" s="69"/>
      <c r="F4704" s="69"/>
      <c r="G4704" s="65"/>
      <c r="H4704" s="65"/>
      <c r="I4704" s="70"/>
      <c r="J4704" s="71"/>
      <c r="K4704" s="71"/>
      <c r="L4704" s="72" t="str">
        <f>IFERROR(IF(G4704="","",VLOOKUP($G4704,[1]基础信息!$B:$C,2,FALSE)+SUMIF(G$8:G4704,G4704,J$8:J4704)-SUMIF(G$8:G4704,G4704,K$8:K4704)+SUMIFS([1]内部转账!$G:$G,[1]内部转账!$C:$C,"&lt;="&amp;$D4704,[1]内部转账!$E:$E,$G4704)-SUMIFS([1]内部转账!$G:$G,[1]内部转账!$C:$C,"&lt;="&amp;$D4704,[1]内部转账!$F:$F,$G4704)),"")</f>
        <v/>
      </c>
      <c r="M4704" s="64"/>
      <c r="N4704" s="69"/>
      <c r="O4704" s="64"/>
      <c r="P4704" s="64"/>
      <c r="Q4704" s="69"/>
      <c r="R4704" s="69"/>
      <c r="S4704" s="69"/>
    </row>
    <row r="4705" s="2" customFormat="1" ht="24.95" customHeight="1" spans="1:19">
      <c r="A4705" s="15"/>
      <c r="B4705" s="55"/>
      <c r="C4705" s="56"/>
      <c r="D4705" s="68"/>
      <c r="E4705" s="69"/>
      <c r="F4705" s="69"/>
      <c r="G4705" s="65"/>
      <c r="H4705" s="65"/>
      <c r="I4705" s="70"/>
      <c r="J4705" s="71"/>
      <c r="K4705" s="71"/>
      <c r="L4705" s="72" t="str">
        <f>IFERROR(IF(G4705="","",VLOOKUP($G4705,[1]基础信息!$B:$C,2,FALSE)+SUMIF(G$8:G4705,G4705,J$8:J4705)-SUMIF(G$8:G4705,G4705,K$8:K4705)+SUMIFS([1]内部转账!$G:$G,[1]内部转账!$C:$C,"&lt;="&amp;$D4705,[1]内部转账!$E:$E,$G4705)-SUMIFS([1]内部转账!$G:$G,[1]内部转账!$C:$C,"&lt;="&amp;$D4705,[1]内部转账!$F:$F,$G4705)),"")</f>
        <v/>
      </c>
      <c r="M4705" s="64"/>
      <c r="N4705" s="69"/>
      <c r="O4705" s="64"/>
      <c r="P4705" s="64"/>
      <c r="Q4705" s="69"/>
      <c r="R4705" s="69"/>
      <c r="S4705" s="69"/>
    </row>
    <row r="4706" s="2" customFormat="1" ht="24.95" customHeight="1" spans="1:19">
      <c r="A4706" s="15"/>
      <c r="B4706" s="55"/>
      <c r="C4706" s="56"/>
      <c r="D4706" s="68"/>
      <c r="E4706" s="69"/>
      <c r="F4706" s="69"/>
      <c r="G4706" s="65"/>
      <c r="H4706" s="65"/>
      <c r="I4706" s="70"/>
      <c r="J4706" s="71"/>
      <c r="K4706" s="71"/>
      <c r="L4706" s="72" t="str">
        <f>IFERROR(IF(G4706="","",VLOOKUP($G4706,[1]基础信息!$B:$C,2,FALSE)+SUMIF(G$8:G4706,G4706,J$8:J4706)-SUMIF(G$8:G4706,G4706,K$8:K4706)+SUMIFS([1]内部转账!$G:$G,[1]内部转账!$C:$C,"&lt;="&amp;$D4706,[1]内部转账!$E:$E,$G4706)-SUMIFS([1]内部转账!$G:$G,[1]内部转账!$C:$C,"&lt;="&amp;$D4706,[1]内部转账!$F:$F,$G4706)),"")</f>
        <v/>
      </c>
      <c r="M4706" s="64"/>
      <c r="N4706" s="69"/>
      <c r="O4706" s="64"/>
      <c r="P4706" s="64"/>
      <c r="Q4706" s="69"/>
      <c r="R4706" s="69"/>
      <c r="S4706" s="69"/>
    </row>
    <row r="4707" s="2" customFormat="1" ht="24.95" customHeight="1" spans="1:19">
      <c r="A4707" s="15"/>
      <c r="B4707" s="55"/>
      <c r="C4707" s="56"/>
      <c r="D4707" s="68"/>
      <c r="E4707" s="69"/>
      <c r="F4707" s="69"/>
      <c r="G4707" s="65"/>
      <c r="H4707" s="65"/>
      <c r="I4707" s="70"/>
      <c r="J4707" s="71"/>
      <c r="K4707" s="71"/>
      <c r="L4707" s="72" t="str">
        <f>IFERROR(IF(G4707="","",VLOOKUP($G4707,[1]基础信息!$B:$C,2,FALSE)+SUMIF(G$8:G4707,G4707,J$8:J4707)-SUMIF(G$8:G4707,G4707,K$8:K4707)+SUMIFS([1]内部转账!$G:$G,[1]内部转账!$C:$C,"&lt;="&amp;$D4707,[1]内部转账!$E:$E,$G4707)-SUMIFS([1]内部转账!$G:$G,[1]内部转账!$C:$C,"&lt;="&amp;$D4707,[1]内部转账!$F:$F,$G4707)),"")</f>
        <v/>
      </c>
      <c r="M4707" s="64"/>
      <c r="N4707" s="69"/>
      <c r="O4707" s="64"/>
      <c r="P4707" s="64"/>
      <c r="Q4707" s="69"/>
      <c r="R4707" s="69"/>
      <c r="S4707" s="69"/>
    </row>
    <row r="4708" s="2" customFormat="1" ht="24.95" customHeight="1" spans="1:19">
      <c r="A4708" s="15"/>
      <c r="B4708" s="55"/>
      <c r="C4708" s="56"/>
      <c r="D4708" s="68"/>
      <c r="E4708" s="69"/>
      <c r="F4708" s="69"/>
      <c r="G4708" s="65"/>
      <c r="H4708" s="65"/>
      <c r="I4708" s="70"/>
      <c r="J4708" s="71"/>
      <c r="K4708" s="71"/>
      <c r="L4708" s="72" t="str">
        <f>IFERROR(IF(G4708="","",VLOOKUP($G4708,[1]基础信息!$B:$C,2,FALSE)+SUMIF(G$8:G4708,G4708,J$8:J4708)-SUMIF(G$8:G4708,G4708,K$8:K4708)+SUMIFS([1]内部转账!$G:$G,[1]内部转账!$C:$C,"&lt;="&amp;$D4708,[1]内部转账!$E:$E,$G4708)-SUMIFS([1]内部转账!$G:$G,[1]内部转账!$C:$C,"&lt;="&amp;$D4708,[1]内部转账!$F:$F,$G4708)),"")</f>
        <v/>
      </c>
      <c r="M4708" s="64"/>
      <c r="N4708" s="69"/>
      <c r="O4708" s="64"/>
      <c r="P4708" s="64"/>
      <c r="Q4708" s="69"/>
      <c r="R4708" s="69"/>
      <c r="S4708" s="69"/>
    </row>
    <row r="4709" s="2" customFormat="1" ht="24.95" customHeight="1" spans="1:19">
      <c r="A4709" s="15"/>
      <c r="B4709" s="55"/>
      <c r="C4709" s="56"/>
      <c r="D4709" s="68"/>
      <c r="E4709" s="69"/>
      <c r="F4709" s="69"/>
      <c r="G4709" s="65"/>
      <c r="H4709" s="65"/>
      <c r="I4709" s="70"/>
      <c r="J4709" s="71"/>
      <c r="K4709" s="71"/>
      <c r="L4709" s="72" t="str">
        <f>IFERROR(IF(G4709="","",VLOOKUP($G4709,[1]基础信息!$B:$C,2,FALSE)+SUMIF(G$8:G4709,G4709,J$8:J4709)-SUMIF(G$8:G4709,G4709,K$8:K4709)+SUMIFS([1]内部转账!$G:$G,[1]内部转账!$C:$C,"&lt;="&amp;$D4709,[1]内部转账!$E:$E,$G4709)-SUMIFS([1]内部转账!$G:$G,[1]内部转账!$C:$C,"&lt;="&amp;$D4709,[1]内部转账!$F:$F,$G4709)),"")</f>
        <v/>
      </c>
      <c r="M4709" s="64"/>
      <c r="N4709" s="69"/>
      <c r="O4709" s="64"/>
      <c r="P4709" s="64"/>
      <c r="Q4709" s="69"/>
      <c r="R4709" s="69"/>
      <c r="S4709" s="69"/>
    </row>
    <row r="4710" s="2" customFormat="1" ht="24.95" customHeight="1" spans="1:19">
      <c r="A4710" s="15"/>
      <c r="B4710" s="55"/>
      <c r="C4710" s="56"/>
      <c r="D4710" s="68"/>
      <c r="E4710" s="69"/>
      <c r="F4710" s="69"/>
      <c r="G4710" s="65"/>
      <c r="H4710" s="65"/>
      <c r="I4710" s="70"/>
      <c r="J4710" s="71"/>
      <c r="K4710" s="71"/>
      <c r="L4710" s="72" t="str">
        <f>IFERROR(IF(G4710="","",VLOOKUP($G4710,[1]基础信息!$B:$C,2,FALSE)+SUMIF(G$8:G4710,G4710,J$8:J4710)-SUMIF(G$8:G4710,G4710,K$8:K4710)+SUMIFS([1]内部转账!$G:$G,[1]内部转账!$C:$C,"&lt;="&amp;$D4710,[1]内部转账!$E:$E,$G4710)-SUMIFS([1]内部转账!$G:$G,[1]内部转账!$C:$C,"&lt;="&amp;$D4710,[1]内部转账!$F:$F,$G4710)),"")</f>
        <v/>
      </c>
      <c r="M4710" s="64"/>
      <c r="N4710" s="69"/>
      <c r="O4710" s="64"/>
      <c r="P4710" s="64"/>
      <c r="Q4710" s="69"/>
      <c r="R4710" s="69"/>
      <c r="S4710" s="69"/>
    </row>
    <row r="4711" s="2" customFormat="1" ht="24.95" customHeight="1" spans="1:19">
      <c r="A4711" s="15"/>
      <c r="B4711" s="55"/>
      <c r="C4711" s="56"/>
      <c r="D4711" s="68"/>
      <c r="E4711" s="69"/>
      <c r="F4711" s="69"/>
      <c r="G4711" s="65"/>
      <c r="H4711" s="65"/>
      <c r="I4711" s="70"/>
      <c r="J4711" s="71"/>
      <c r="K4711" s="71"/>
      <c r="L4711" s="72" t="str">
        <f>IFERROR(IF(G4711="","",VLOOKUP($G4711,[1]基础信息!$B:$C,2,FALSE)+SUMIF(G$8:G4711,G4711,J$8:J4711)-SUMIF(G$8:G4711,G4711,K$8:K4711)+SUMIFS([1]内部转账!$G:$G,[1]内部转账!$C:$C,"&lt;="&amp;$D4711,[1]内部转账!$E:$E,$G4711)-SUMIFS([1]内部转账!$G:$G,[1]内部转账!$C:$C,"&lt;="&amp;$D4711,[1]内部转账!$F:$F,$G4711)),"")</f>
        <v/>
      </c>
      <c r="M4711" s="64"/>
      <c r="N4711" s="69"/>
      <c r="O4711" s="64"/>
      <c r="P4711" s="64"/>
      <c r="Q4711" s="69"/>
      <c r="R4711" s="69"/>
      <c r="S4711" s="69"/>
    </row>
    <row r="4712" s="2" customFormat="1" ht="24.95" customHeight="1" spans="1:19">
      <c r="A4712" s="15"/>
      <c r="B4712" s="55"/>
      <c r="C4712" s="56"/>
      <c r="D4712" s="68"/>
      <c r="E4712" s="69"/>
      <c r="F4712" s="69"/>
      <c r="G4712" s="65"/>
      <c r="H4712" s="65"/>
      <c r="I4712" s="70"/>
      <c r="J4712" s="71"/>
      <c r="K4712" s="71"/>
      <c r="L4712" s="72" t="str">
        <f>IFERROR(IF(G4712="","",VLOOKUP($G4712,[1]基础信息!$B:$C,2,FALSE)+SUMIF(G$8:G4712,G4712,J$8:J4712)-SUMIF(G$8:G4712,G4712,K$8:K4712)+SUMIFS([1]内部转账!$G:$G,[1]内部转账!$C:$C,"&lt;="&amp;$D4712,[1]内部转账!$E:$E,$G4712)-SUMIFS([1]内部转账!$G:$G,[1]内部转账!$C:$C,"&lt;="&amp;$D4712,[1]内部转账!$F:$F,$G4712)),"")</f>
        <v/>
      </c>
      <c r="M4712" s="64"/>
      <c r="N4712" s="69"/>
      <c r="O4712" s="64"/>
      <c r="P4712" s="64"/>
      <c r="Q4712" s="69"/>
      <c r="R4712" s="69"/>
      <c r="S4712" s="69"/>
    </row>
    <row r="4713" s="2" customFormat="1" ht="24.95" customHeight="1" spans="1:19">
      <c r="A4713" s="15"/>
      <c r="B4713" s="55"/>
      <c r="C4713" s="56"/>
      <c r="D4713" s="68"/>
      <c r="E4713" s="69"/>
      <c r="F4713" s="69"/>
      <c r="G4713" s="65"/>
      <c r="H4713" s="65"/>
      <c r="I4713" s="70"/>
      <c r="J4713" s="71"/>
      <c r="K4713" s="71"/>
      <c r="L4713" s="72" t="str">
        <f>IFERROR(IF(G4713="","",VLOOKUP($G4713,[1]基础信息!$B:$C,2,FALSE)+SUMIF(G$8:G4713,G4713,J$8:J4713)-SUMIF(G$8:G4713,G4713,K$8:K4713)+SUMIFS([1]内部转账!$G:$G,[1]内部转账!$C:$C,"&lt;="&amp;$D4713,[1]内部转账!$E:$E,$G4713)-SUMIFS([1]内部转账!$G:$G,[1]内部转账!$C:$C,"&lt;="&amp;$D4713,[1]内部转账!$F:$F,$G4713)),"")</f>
        <v/>
      </c>
      <c r="M4713" s="64"/>
      <c r="N4713" s="69"/>
      <c r="O4713" s="64"/>
      <c r="P4713" s="64"/>
      <c r="Q4713" s="69"/>
      <c r="R4713" s="69"/>
      <c r="S4713" s="69"/>
    </row>
    <row r="4714" s="2" customFormat="1" ht="24.95" customHeight="1" spans="1:19">
      <c r="A4714" s="15"/>
      <c r="B4714" s="55"/>
      <c r="C4714" s="56"/>
      <c r="D4714" s="68"/>
      <c r="E4714" s="69"/>
      <c r="F4714" s="69"/>
      <c r="G4714" s="65"/>
      <c r="H4714" s="65"/>
      <c r="I4714" s="70"/>
      <c r="J4714" s="71"/>
      <c r="K4714" s="71"/>
      <c r="L4714" s="72" t="str">
        <f>IFERROR(IF(G4714="","",VLOOKUP($G4714,[1]基础信息!$B:$C,2,FALSE)+SUMIF(G$8:G4714,G4714,J$8:J4714)-SUMIF(G$8:G4714,G4714,K$8:K4714)+SUMIFS([1]内部转账!$G:$G,[1]内部转账!$C:$C,"&lt;="&amp;$D4714,[1]内部转账!$E:$E,$G4714)-SUMIFS([1]内部转账!$G:$G,[1]内部转账!$C:$C,"&lt;="&amp;$D4714,[1]内部转账!$F:$F,$G4714)),"")</f>
        <v/>
      </c>
      <c r="M4714" s="64"/>
      <c r="N4714" s="69"/>
      <c r="O4714" s="64"/>
      <c r="P4714" s="64"/>
      <c r="Q4714" s="69"/>
      <c r="R4714" s="69"/>
      <c r="S4714" s="69"/>
    </row>
    <row r="4715" s="2" customFormat="1" ht="24.95" customHeight="1" spans="1:19">
      <c r="A4715" s="15"/>
      <c r="B4715" s="55"/>
      <c r="C4715" s="56"/>
      <c r="D4715" s="68"/>
      <c r="E4715" s="69"/>
      <c r="F4715" s="69"/>
      <c r="G4715" s="65"/>
      <c r="H4715" s="65"/>
      <c r="I4715" s="70"/>
      <c r="J4715" s="71"/>
      <c r="K4715" s="71"/>
      <c r="L4715" s="72" t="str">
        <f>IFERROR(IF(G4715="","",VLOOKUP($G4715,[1]基础信息!$B:$C,2,FALSE)+SUMIF(G$8:G4715,G4715,J$8:J4715)-SUMIF(G$8:G4715,G4715,K$8:K4715)+SUMIFS([1]内部转账!$G:$G,[1]内部转账!$C:$C,"&lt;="&amp;$D4715,[1]内部转账!$E:$E,$G4715)-SUMIFS([1]内部转账!$G:$G,[1]内部转账!$C:$C,"&lt;="&amp;$D4715,[1]内部转账!$F:$F,$G4715)),"")</f>
        <v/>
      </c>
      <c r="M4715" s="64"/>
      <c r="N4715" s="69"/>
      <c r="O4715" s="64"/>
      <c r="P4715" s="64"/>
      <c r="Q4715" s="69"/>
      <c r="R4715" s="69"/>
      <c r="S4715" s="69"/>
    </row>
    <row r="4716" s="2" customFormat="1" ht="24.95" customHeight="1" spans="1:19">
      <c r="A4716" s="15"/>
      <c r="B4716" s="55"/>
      <c r="C4716" s="56"/>
      <c r="D4716" s="68"/>
      <c r="E4716" s="69"/>
      <c r="F4716" s="69"/>
      <c r="G4716" s="65"/>
      <c r="H4716" s="65"/>
      <c r="I4716" s="70"/>
      <c r="J4716" s="71"/>
      <c r="K4716" s="71"/>
      <c r="L4716" s="72" t="str">
        <f>IFERROR(IF(G4716="","",VLOOKUP($G4716,[1]基础信息!$B:$C,2,FALSE)+SUMIF(G$8:G4716,G4716,J$8:J4716)-SUMIF(G$8:G4716,G4716,K$8:K4716)+SUMIFS([1]内部转账!$G:$G,[1]内部转账!$C:$C,"&lt;="&amp;$D4716,[1]内部转账!$E:$E,$G4716)-SUMIFS([1]内部转账!$G:$G,[1]内部转账!$C:$C,"&lt;="&amp;$D4716,[1]内部转账!$F:$F,$G4716)),"")</f>
        <v/>
      </c>
      <c r="M4716" s="64"/>
      <c r="N4716" s="69"/>
      <c r="O4716" s="64"/>
      <c r="P4716" s="64"/>
      <c r="Q4716" s="69"/>
      <c r="R4716" s="69"/>
      <c r="S4716" s="69"/>
    </row>
    <row r="4717" s="2" customFormat="1" ht="24.95" customHeight="1" spans="1:19">
      <c r="A4717" s="15"/>
      <c r="B4717" s="55"/>
      <c r="C4717" s="56"/>
      <c r="D4717" s="68"/>
      <c r="E4717" s="69"/>
      <c r="F4717" s="69"/>
      <c r="G4717" s="65"/>
      <c r="H4717" s="65"/>
      <c r="I4717" s="70"/>
      <c r="J4717" s="71"/>
      <c r="K4717" s="71"/>
      <c r="L4717" s="72" t="str">
        <f>IFERROR(IF(G4717="","",VLOOKUP($G4717,[1]基础信息!$B:$C,2,FALSE)+SUMIF(G$8:G4717,G4717,J$8:J4717)-SUMIF(G$8:G4717,G4717,K$8:K4717)+SUMIFS([1]内部转账!$G:$G,[1]内部转账!$C:$C,"&lt;="&amp;$D4717,[1]内部转账!$E:$E,$G4717)-SUMIFS([1]内部转账!$G:$G,[1]内部转账!$C:$C,"&lt;="&amp;$D4717,[1]内部转账!$F:$F,$G4717)),"")</f>
        <v/>
      </c>
      <c r="M4717" s="64"/>
      <c r="N4717" s="69"/>
      <c r="O4717" s="64"/>
      <c r="P4717" s="64"/>
      <c r="Q4717" s="69"/>
      <c r="R4717" s="69"/>
      <c r="S4717" s="69"/>
    </row>
    <row r="4718" s="2" customFormat="1" ht="24.95" customHeight="1" spans="1:19">
      <c r="A4718" s="15"/>
      <c r="B4718" s="55"/>
      <c r="C4718" s="56"/>
      <c r="D4718" s="68"/>
      <c r="E4718" s="69"/>
      <c r="F4718" s="69"/>
      <c r="G4718" s="65"/>
      <c r="H4718" s="65"/>
      <c r="I4718" s="70"/>
      <c r="J4718" s="71"/>
      <c r="K4718" s="71"/>
      <c r="L4718" s="72" t="str">
        <f>IFERROR(IF(G4718="","",VLOOKUP($G4718,[1]基础信息!$B:$C,2,FALSE)+SUMIF(G$8:G4718,G4718,J$8:J4718)-SUMIF(G$8:G4718,G4718,K$8:K4718)+SUMIFS([1]内部转账!$G:$G,[1]内部转账!$C:$C,"&lt;="&amp;$D4718,[1]内部转账!$E:$E,$G4718)-SUMIFS([1]内部转账!$G:$G,[1]内部转账!$C:$C,"&lt;="&amp;$D4718,[1]内部转账!$F:$F,$G4718)),"")</f>
        <v/>
      </c>
      <c r="M4718" s="64"/>
      <c r="N4718" s="69"/>
      <c r="O4718" s="64"/>
      <c r="P4718" s="64"/>
      <c r="Q4718" s="69"/>
      <c r="R4718" s="69"/>
      <c r="S4718" s="69"/>
    </row>
    <row r="4719" s="2" customFormat="1" ht="24.95" customHeight="1" spans="1:19">
      <c r="A4719" s="15"/>
      <c r="B4719" s="55"/>
      <c r="C4719" s="56"/>
      <c r="D4719" s="68"/>
      <c r="E4719" s="69"/>
      <c r="F4719" s="69"/>
      <c r="G4719" s="65"/>
      <c r="H4719" s="65"/>
      <c r="I4719" s="70"/>
      <c r="J4719" s="71"/>
      <c r="K4719" s="71"/>
      <c r="L4719" s="72" t="str">
        <f>IFERROR(IF(G4719="","",VLOOKUP($G4719,[1]基础信息!$B:$C,2,FALSE)+SUMIF(G$8:G4719,G4719,J$8:J4719)-SUMIF(G$8:G4719,G4719,K$8:K4719)+SUMIFS([1]内部转账!$G:$G,[1]内部转账!$C:$C,"&lt;="&amp;$D4719,[1]内部转账!$E:$E,$G4719)-SUMIFS([1]内部转账!$G:$G,[1]内部转账!$C:$C,"&lt;="&amp;$D4719,[1]内部转账!$F:$F,$G4719)),"")</f>
        <v/>
      </c>
      <c r="M4719" s="64"/>
      <c r="N4719" s="69"/>
      <c r="O4719" s="64"/>
      <c r="P4719" s="64"/>
      <c r="Q4719" s="69"/>
      <c r="R4719" s="69"/>
      <c r="S4719" s="69"/>
    </row>
    <row r="4720" s="2" customFormat="1" ht="24.95" customHeight="1" spans="1:19">
      <c r="A4720" s="15"/>
      <c r="B4720" s="55"/>
      <c r="C4720" s="56"/>
      <c r="D4720" s="68"/>
      <c r="E4720" s="69"/>
      <c r="F4720" s="69"/>
      <c r="G4720" s="65"/>
      <c r="H4720" s="65"/>
      <c r="I4720" s="70"/>
      <c r="J4720" s="71"/>
      <c r="K4720" s="71"/>
      <c r="L4720" s="72" t="str">
        <f>IFERROR(IF(G4720="","",VLOOKUP($G4720,[1]基础信息!$B:$C,2,FALSE)+SUMIF(G$8:G4720,G4720,J$8:J4720)-SUMIF(G$8:G4720,G4720,K$8:K4720)+SUMIFS([1]内部转账!$G:$G,[1]内部转账!$C:$C,"&lt;="&amp;$D4720,[1]内部转账!$E:$E,$G4720)-SUMIFS([1]内部转账!$G:$G,[1]内部转账!$C:$C,"&lt;="&amp;$D4720,[1]内部转账!$F:$F,$G4720)),"")</f>
        <v/>
      </c>
      <c r="M4720" s="64"/>
      <c r="N4720" s="69"/>
      <c r="O4720" s="64"/>
      <c r="P4720" s="64"/>
      <c r="Q4720" s="69"/>
      <c r="R4720" s="69"/>
      <c r="S4720" s="69"/>
    </row>
    <row r="4721" s="2" customFormat="1" ht="24.95" customHeight="1" spans="1:19">
      <c r="A4721" s="15"/>
      <c r="B4721" s="55"/>
      <c r="C4721" s="56"/>
      <c r="D4721" s="68"/>
      <c r="E4721" s="69"/>
      <c r="F4721" s="69"/>
      <c r="G4721" s="65"/>
      <c r="H4721" s="65"/>
      <c r="I4721" s="70"/>
      <c r="J4721" s="71"/>
      <c r="K4721" s="71"/>
      <c r="L4721" s="72" t="str">
        <f>IFERROR(IF(G4721="","",VLOOKUP($G4721,[1]基础信息!$B:$C,2,FALSE)+SUMIF(G$8:G4721,G4721,J$8:J4721)-SUMIF(G$8:G4721,G4721,K$8:K4721)+SUMIFS([1]内部转账!$G:$G,[1]内部转账!$C:$C,"&lt;="&amp;$D4721,[1]内部转账!$E:$E,$G4721)-SUMIFS([1]内部转账!$G:$G,[1]内部转账!$C:$C,"&lt;="&amp;$D4721,[1]内部转账!$F:$F,$G4721)),"")</f>
        <v/>
      </c>
      <c r="M4721" s="64"/>
      <c r="N4721" s="69"/>
      <c r="O4721" s="64"/>
      <c r="P4721" s="64"/>
      <c r="Q4721" s="69"/>
      <c r="R4721" s="69"/>
      <c r="S4721" s="69"/>
    </row>
    <row r="4722" s="2" customFormat="1" ht="24.95" customHeight="1" spans="1:19">
      <c r="A4722" s="15"/>
      <c r="B4722" s="55"/>
      <c r="C4722" s="56"/>
      <c r="D4722" s="68"/>
      <c r="E4722" s="69"/>
      <c r="F4722" s="69"/>
      <c r="G4722" s="65"/>
      <c r="H4722" s="65"/>
      <c r="I4722" s="70"/>
      <c r="J4722" s="71"/>
      <c r="K4722" s="71"/>
      <c r="L4722" s="72" t="str">
        <f>IFERROR(IF(G4722="","",VLOOKUP($G4722,[1]基础信息!$B:$C,2,FALSE)+SUMIF(G$8:G4722,G4722,J$8:J4722)-SUMIF(G$8:G4722,G4722,K$8:K4722)+SUMIFS([1]内部转账!$G:$G,[1]内部转账!$C:$C,"&lt;="&amp;$D4722,[1]内部转账!$E:$E,$G4722)-SUMIFS([1]内部转账!$G:$G,[1]内部转账!$C:$C,"&lt;="&amp;$D4722,[1]内部转账!$F:$F,$G4722)),"")</f>
        <v/>
      </c>
      <c r="M4722" s="64"/>
      <c r="N4722" s="69"/>
      <c r="O4722" s="64"/>
      <c r="P4722" s="64"/>
      <c r="Q4722" s="69"/>
      <c r="R4722" s="69"/>
      <c r="S4722" s="69"/>
    </row>
    <row r="4723" s="2" customFormat="1" ht="24.95" customHeight="1" spans="1:19">
      <c r="A4723" s="15"/>
      <c r="B4723" s="55"/>
      <c r="C4723" s="56"/>
      <c r="D4723" s="68"/>
      <c r="E4723" s="69"/>
      <c r="F4723" s="69"/>
      <c r="G4723" s="65"/>
      <c r="H4723" s="65"/>
      <c r="I4723" s="70"/>
      <c r="J4723" s="71"/>
      <c r="K4723" s="71"/>
      <c r="L4723" s="72" t="str">
        <f>IFERROR(IF(G4723="","",VLOOKUP($G4723,[1]基础信息!$B:$C,2,FALSE)+SUMIF(G$8:G4723,G4723,J$8:J4723)-SUMIF(G$8:G4723,G4723,K$8:K4723)+SUMIFS([1]内部转账!$G:$G,[1]内部转账!$C:$C,"&lt;="&amp;$D4723,[1]内部转账!$E:$E,$G4723)-SUMIFS([1]内部转账!$G:$G,[1]内部转账!$C:$C,"&lt;="&amp;$D4723,[1]内部转账!$F:$F,$G4723)),"")</f>
        <v/>
      </c>
      <c r="M4723" s="64"/>
      <c r="N4723" s="69"/>
      <c r="O4723" s="64"/>
      <c r="P4723" s="64"/>
      <c r="Q4723" s="69"/>
      <c r="R4723" s="69"/>
      <c r="S4723" s="69"/>
    </row>
    <row r="4724" s="2" customFormat="1" ht="24.95" customHeight="1" spans="1:19">
      <c r="A4724" s="15"/>
      <c r="B4724" s="55"/>
      <c r="C4724" s="56"/>
      <c r="D4724" s="68"/>
      <c r="E4724" s="69"/>
      <c r="F4724" s="69"/>
      <c r="G4724" s="65"/>
      <c r="H4724" s="65"/>
      <c r="I4724" s="70"/>
      <c r="J4724" s="71"/>
      <c r="K4724" s="71"/>
      <c r="L4724" s="72" t="str">
        <f>IFERROR(IF(G4724="","",VLOOKUP($G4724,[1]基础信息!$B:$C,2,FALSE)+SUMIF(G$8:G4724,G4724,J$8:J4724)-SUMIF(G$8:G4724,G4724,K$8:K4724)+SUMIFS([1]内部转账!$G:$G,[1]内部转账!$C:$C,"&lt;="&amp;$D4724,[1]内部转账!$E:$E,$G4724)-SUMIFS([1]内部转账!$G:$G,[1]内部转账!$C:$C,"&lt;="&amp;$D4724,[1]内部转账!$F:$F,$G4724)),"")</f>
        <v/>
      </c>
      <c r="M4724" s="64"/>
      <c r="N4724" s="69"/>
      <c r="O4724" s="64"/>
      <c r="P4724" s="64"/>
      <c r="Q4724" s="69"/>
      <c r="R4724" s="69"/>
      <c r="S4724" s="69"/>
    </row>
    <row r="4725" s="2" customFormat="1" ht="24.95" customHeight="1" spans="1:19">
      <c r="A4725" s="15"/>
      <c r="B4725" s="55"/>
      <c r="C4725" s="56"/>
      <c r="D4725" s="68"/>
      <c r="E4725" s="69"/>
      <c r="F4725" s="69"/>
      <c r="G4725" s="65"/>
      <c r="H4725" s="65"/>
      <c r="I4725" s="70"/>
      <c r="J4725" s="71"/>
      <c r="K4725" s="71"/>
      <c r="L4725" s="72" t="str">
        <f>IFERROR(IF(G4725="","",VLOOKUP($G4725,[1]基础信息!$B:$C,2,FALSE)+SUMIF(G$8:G4725,G4725,J$8:J4725)-SUMIF(G$8:G4725,G4725,K$8:K4725)+SUMIFS([1]内部转账!$G:$G,[1]内部转账!$C:$C,"&lt;="&amp;$D4725,[1]内部转账!$E:$E,$G4725)-SUMIFS([1]内部转账!$G:$G,[1]内部转账!$C:$C,"&lt;="&amp;$D4725,[1]内部转账!$F:$F,$G4725)),"")</f>
        <v/>
      </c>
      <c r="M4725" s="64"/>
      <c r="N4725" s="69"/>
      <c r="O4725" s="64"/>
      <c r="P4725" s="64"/>
      <c r="Q4725" s="69"/>
      <c r="R4725" s="69"/>
      <c r="S4725" s="69"/>
    </row>
    <row r="4726" s="2" customFormat="1" ht="24.95" customHeight="1" spans="1:19">
      <c r="A4726" s="15"/>
      <c r="B4726" s="55"/>
      <c r="C4726" s="56"/>
      <c r="D4726" s="68"/>
      <c r="E4726" s="69"/>
      <c r="F4726" s="69"/>
      <c r="G4726" s="65"/>
      <c r="H4726" s="65"/>
      <c r="I4726" s="70"/>
      <c r="J4726" s="71"/>
      <c r="K4726" s="71"/>
      <c r="L4726" s="72" t="str">
        <f>IFERROR(IF(G4726="","",VLOOKUP($G4726,[1]基础信息!$B:$C,2,FALSE)+SUMIF(G$8:G4726,G4726,J$8:J4726)-SUMIF(G$8:G4726,G4726,K$8:K4726)+SUMIFS([1]内部转账!$G:$G,[1]内部转账!$C:$C,"&lt;="&amp;$D4726,[1]内部转账!$E:$E,$G4726)-SUMIFS([1]内部转账!$G:$G,[1]内部转账!$C:$C,"&lt;="&amp;$D4726,[1]内部转账!$F:$F,$G4726)),"")</f>
        <v/>
      </c>
      <c r="M4726" s="64"/>
      <c r="N4726" s="69"/>
      <c r="O4726" s="64"/>
      <c r="P4726" s="64"/>
      <c r="Q4726" s="69"/>
      <c r="R4726" s="69"/>
      <c r="S4726" s="69"/>
    </row>
    <row r="4727" s="2" customFormat="1" ht="24.95" customHeight="1" spans="1:19">
      <c r="A4727" s="15"/>
      <c r="B4727" s="55"/>
      <c r="C4727" s="56"/>
      <c r="D4727" s="68"/>
      <c r="E4727" s="69"/>
      <c r="F4727" s="69"/>
      <c r="G4727" s="65"/>
      <c r="H4727" s="65"/>
      <c r="I4727" s="70"/>
      <c r="J4727" s="71"/>
      <c r="K4727" s="71"/>
      <c r="L4727" s="72" t="str">
        <f>IFERROR(IF(G4727="","",VLOOKUP($G4727,[1]基础信息!$B:$C,2,FALSE)+SUMIF(G$8:G4727,G4727,J$8:J4727)-SUMIF(G$8:G4727,G4727,K$8:K4727)+SUMIFS([1]内部转账!$G:$G,[1]内部转账!$C:$C,"&lt;="&amp;$D4727,[1]内部转账!$E:$E,$G4727)-SUMIFS([1]内部转账!$G:$G,[1]内部转账!$C:$C,"&lt;="&amp;$D4727,[1]内部转账!$F:$F,$G4727)),"")</f>
        <v/>
      </c>
      <c r="M4727" s="64"/>
      <c r="N4727" s="69"/>
      <c r="O4727" s="64"/>
      <c r="P4727" s="64"/>
      <c r="Q4727" s="69"/>
      <c r="R4727" s="69"/>
      <c r="S4727" s="69"/>
    </row>
    <row r="4728" s="2" customFormat="1" ht="24.95" customHeight="1" spans="1:19">
      <c r="A4728" s="15"/>
      <c r="B4728" s="55"/>
      <c r="C4728" s="56"/>
      <c r="D4728" s="68"/>
      <c r="E4728" s="69"/>
      <c r="F4728" s="69"/>
      <c r="G4728" s="65"/>
      <c r="H4728" s="65"/>
      <c r="I4728" s="70"/>
      <c r="J4728" s="71"/>
      <c r="K4728" s="71"/>
      <c r="L4728" s="72" t="str">
        <f>IFERROR(IF(G4728="","",VLOOKUP($G4728,[1]基础信息!$B:$C,2,FALSE)+SUMIF(G$8:G4728,G4728,J$8:J4728)-SUMIF(G$8:G4728,G4728,K$8:K4728)+SUMIFS([1]内部转账!$G:$G,[1]内部转账!$C:$C,"&lt;="&amp;$D4728,[1]内部转账!$E:$E,$G4728)-SUMIFS([1]内部转账!$G:$G,[1]内部转账!$C:$C,"&lt;="&amp;$D4728,[1]内部转账!$F:$F,$G4728)),"")</f>
        <v/>
      </c>
      <c r="M4728" s="64"/>
      <c r="N4728" s="69"/>
      <c r="O4728" s="64"/>
      <c r="P4728" s="64"/>
      <c r="Q4728" s="69"/>
      <c r="R4728" s="69"/>
      <c r="S4728" s="69"/>
    </row>
    <row r="4729" s="2" customFormat="1" ht="24.95" customHeight="1" spans="1:19">
      <c r="A4729" s="15"/>
      <c r="B4729" s="55"/>
      <c r="C4729" s="56"/>
      <c r="D4729" s="68"/>
      <c r="E4729" s="69"/>
      <c r="F4729" s="69"/>
      <c r="G4729" s="65"/>
      <c r="H4729" s="65"/>
      <c r="I4729" s="70"/>
      <c r="J4729" s="71"/>
      <c r="K4729" s="71"/>
      <c r="L4729" s="72" t="str">
        <f>IFERROR(IF(G4729="","",VLOOKUP($G4729,[1]基础信息!$B:$C,2,FALSE)+SUMIF(G$8:G4729,G4729,J$8:J4729)-SUMIF(G$8:G4729,G4729,K$8:K4729)+SUMIFS([1]内部转账!$G:$G,[1]内部转账!$C:$C,"&lt;="&amp;$D4729,[1]内部转账!$E:$E,$G4729)-SUMIFS([1]内部转账!$G:$G,[1]内部转账!$C:$C,"&lt;="&amp;$D4729,[1]内部转账!$F:$F,$G4729)),"")</f>
        <v/>
      </c>
      <c r="M4729" s="64"/>
      <c r="N4729" s="69"/>
      <c r="O4729" s="64"/>
      <c r="P4729" s="64"/>
      <c r="Q4729" s="69"/>
      <c r="R4729" s="69"/>
      <c r="S4729" s="69"/>
    </row>
    <row r="4730" s="2" customFormat="1" ht="24.95" customHeight="1" spans="1:19">
      <c r="A4730" s="15"/>
      <c r="B4730" s="55"/>
      <c r="C4730" s="56"/>
      <c r="D4730" s="68"/>
      <c r="E4730" s="69"/>
      <c r="F4730" s="69"/>
      <c r="G4730" s="65"/>
      <c r="H4730" s="65"/>
      <c r="I4730" s="70"/>
      <c r="J4730" s="71"/>
      <c r="K4730" s="71"/>
      <c r="L4730" s="72" t="str">
        <f>IFERROR(IF(G4730="","",VLOOKUP($G4730,[1]基础信息!$B:$C,2,FALSE)+SUMIF(G$8:G4730,G4730,J$8:J4730)-SUMIF(G$8:G4730,G4730,K$8:K4730)+SUMIFS([1]内部转账!$G:$G,[1]内部转账!$C:$C,"&lt;="&amp;$D4730,[1]内部转账!$E:$E,$G4730)-SUMIFS([1]内部转账!$G:$G,[1]内部转账!$C:$C,"&lt;="&amp;$D4730,[1]内部转账!$F:$F,$G4730)),"")</f>
        <v/>
      </c>
      <c r="M4730" s="64"/>
      <c r="N4730" s="69"/>
      <c r="O4730" s="64"/>
      <c r="P4730" s="64"/>
      <c r="Q4730" s="69"/>
      <c r="R4730" s="69"/>
      <c r="S4730" s="69"/>
    </row>
    <row r="4731" s="2" customFormat="1" ht="24.95" customHeight="1" spans="1:19">
      <c r="A4731" s="15"/>
      <c r="B4731" s="55"/>
      <c r="C4731" s="56"/>
      <c r="D4731" s="68"/>
      <c r="E4731" s="69"/>
      <c r="F4731" s="69"/>
      <c r="G4731" s="65"/>
      <c r="H4731" s="65"/>
      <c r="I4731" s="70"/>
      <c r="J4731" s="71"/>
      <c r="K4731" s="71"/>
      <c r="L4731" s="72" t="str">
        <f>IFERROR(IF(G4731="","",VLOOKUP($G4731,[1]基础信息!$B:$C,2,FALSE)+SUMIF(G$8:G4731,G4731,J$8:J4731)-SUMIF(G$8:G4731,G4731,K$8:K4731)+SUMIFS([1]内部转账!$G:$G,[1]内部转账!$C:$C,"&lt;="&amp;$D4731,[1]内部转账!$E:$E,$G4731)-SUMIFS([1]内部转账!$G:$G,[1]内部转账!$C:$C,"&lt;="&amp;$D4731,[1]内部转账!$F:$F,$G4731)),"")</f>
        <v/>
      </c>
      <c r="M4731" s="64"/>
      <c r="N4731" s="69"/>
      <c r="O4731" s="64"/>
      <c r="P4731" s="64"/>
      <c r="Q4731" s="69"/>
      <c r="R4731" s="69"/>
      <c r="S4731" s="69"/>
    </row>
    <row r="4732" s="2" customFormat="1" ht="24.95" customHeight="1" spans="1:19">
      <c r="A4732" s="15"/>
      <c r="B4732" s="55"/>
      <c r="C4732" s="56"/>
      <c r="D4732" s="68"/>
      <c r="E4732" s="69"/>
      <c r="F4732" s="69"/>
      <c r="G4732" s="65"/>
      <c r="H4732" s="65"/>
      <c r="I4732" s="70"/>
      <c r="J4732" s="71"/>
      <c r="K4732" s="71"/>
      <c r="L4732" s="72" t="str">
        <f>IFERROR(IF(G4732="","",VLOOKUP($G4732,[1]基础信息!$B:$C,2,FALSE)+SUMIF(G$8:G4732,G4732,J$8:J4732)-SUMIF(G$8:G4732,G4732,K$8:K4732)+SUMIFS([1]内部转账!$G:$G,[1]内部转账!$C:$C,"&lt;="&amp;$D4732,[1]内部转账!$E:$E,$G4732)-SUMIFS([1]内部转账!$G:$G,[1]内部转账!$C:$C,"&lt;="&amp;$D4732,[1]内部转账!$F:$F,$G4732)),"")</f>
        <v/>
      </c>
      <c r="M4732" s="64"/>
      <c r="N4732" s="69"/>
      <c r="O4732" s="64"/>
      <c r="P4732" s="64"/>
      <c r="Q4732" s="69"/>
      <c r="R4732" s="69"/>
      <c r="S4732" s="69"/>
    </row>
    <row r="4733" s="2" customFormat="1" ht="24.95" customHeight="1" spans="1:19">
      <c r="A4733" s="15"/>
      <c r="B4733" s="55"/>
      <c r="C4733" s="56"/>
      <c r="D4733" s="68"/>
      <c r="E4733" s="69"/>
      <c r="F4733" s="69"/>
      <c r="G4733" s="65"/>
      <c r="H4733" s="65"/>
      <c r="I4733" s="70"/>
      <c r="J4733" s="71"/>
      <c r="K4733" s="71"/>
      <c r="L4733" s="72" t="str">
        <f>IFERROR(IF(G4733="","",VLOOKUP($G4733,[1]基础信息!$B:$C,2,FALSE)+SUMIF(G$8:G4733,G4733,J$8:J4733)-SUMIF(G$8:G4733,G4733,K$8:K4733)+SUMIFS([1]内部转账!$G:$G,[1]内部转账!$C:$C,"&lt;="&amp;$D4733,[1]内部转账!$E:$E,$G4733)-SUMIFS([1]内部转账!$G:$G,[1]内部转账!$C:$C,"&lt;="&amp;$D4733,[1]内部转账!$F:$F,$G4733)),"")</f>
        <v/>
      </c>
      <c r="M4733" s="64"/>
      <c r="N4733" s="69"/>
      <c r="O4733" s="64"/>
      <c r="P4733" s="64"/>
      <c r="Q4733" s="69"/>
      <c r="R4733" s="69"/>
      <c r="S4733" s="69"/>
    </row>
    <row r="4734" s="2" customFormat="1" ht="24.95" customHeight="1" spans="1:19">
      <c r="A4734" s="15"/>
      <c r="B4734" s="55"/>
      <c r="C4734" s="56"/>
      <c r="D4734" s="68"/>
      <c r="E4734" s="69"/>
      <c r="F4734" s="69"/>
      <c r="G4734" s="65"/>
      <c r="H4734" s="65"/>
      <c r="I4734" s="70"/>
      <c r="J4734" s="71"/>
      <c r="K4734" s="71"/>
      <c r="L4734" s="72" t="str">
        <f>IFERROR(IF(G4734="","",VLOOKUP($G4734,[1]基础信息!$B:$C,2,FALSE)+SUMIF(G$8:G4734,G4734,J$8:J4734)-SUMIF(G$8:G4734,G4734,K$8:K4734)+SUMIFS([1]内部转账!$G:$G,[1]内部转账!$C:$C,"&lt;="&amp;$D4734,[1]内部转账!$E:$E,$G4734)-SUMIFS([1]内部转账!$G:$G,[1]内部转账!$C:$C,"&lt;="&amp;$D4734,[1]内部转账!$F:$F,$G4734)),"")</f>
        <v/>
      </c>
      <c r="M4734" s="64"/>
      <c r="N4734" s="69"/>
      <c r="O4734" s="64"/>
      <c r="P4734" s="64"/>
      <c r="Q4734" s="69"/>
      <c r="R4734" s="69"/>
      <c r="S4734" s="69"/>
    </row>
    <row r="4735" s="2" customFormat="1" ht="24.95" customHeight="1" spans="1:19">
      <c r="A4735" s="15"/>
      <c r="B4735" s="55"/>
      <c r="C4735" s="56"/>
      <c r="D4735" s="68"/>
      <c r="E4735" s="69"/>
      <c r="F4735" s="69"/>
      <c r="G4735" s="65"/>
      <c r="H4735" s="65"/>
      <c r="I4735" s="70"/>
      <c r="J4735" s="71"/>
      <c r="K4735" s="71"/>
      <c r="L4735" s="72" t="str">
        <f>IFERROR(IF(G4735="","",VLOOKUP($G4735,[1]基础信息!$B:$C,2,FALSE)+SUMIF(G$8:G4735,G4735,J$8:J4735)-SUMIF(G$8:G4735,G4735,K$8:K4735)+SUMIFS([1]内部转账!$G:$G,[1]内部转账!$C:$C,"&lt;="&amp;$D4735,[1]内部转账!$E:$E,$G4735)-SUMIFS([1]内部转账!$G:$G,[1]内部转账!$C:$C,"&lt;="&amp;$D4735,[1]内部转账!$F:$F,$G4735)),"")</f>
        <v/>
      </c>
      <c r="M4735" s="64"/>
      <c r="N4735" s="69"/>
      <c r="O4735" s="64"/>
      <c r="P4735" s="64"/>
      <c r="Q4735" s="69"/>
      <c r="R4735" s="69"/>
      <c r="S4735" s="69"/>
    </row>
    <row r="4736" s="2" customFormat="1" ht="24.95" customHeight="1" spans="1:19">
      <c r="A4736" s="15"/>
      <c r="B4736" s="55"/>
      <c r="C4736" s="56"/>
      <c r="D4736" s="68"/>
      <c r="E4736" s="69"/>
      <c r="F4736" s="69"/>
      <c r="G4736" s="65"/>
      <c r="H4736" s="65"/>
      <c r="I4736" s="70"/>
      <c r="J4736" s="71"/>
      <c r="K4736" s="71"/>
      <c r="L4736" s="72" t="str">
        <f>IFERROR(IF(G4736="","",VLOOKUP($G4736,[1]基础信息!$B:$C,2,FALSE)+SUMIF(G$8:G4736,G4736,J$8:J4736)-SUMIF(G$8:G4736,G4736,K$8:K4736)+SUMIFS([1]内部转账!$G:$G,[1]内部转账!$C:$C,"&lt;="&amp;$D4736,[1]内部转账!$E:$E,$G4736)-SUMIFS([1]内部转账!$G:$G,[1]内部转账!$C:$C,"&lt;="&amp;$D4736,[1]内部转账!$F:$F,$G4736)),"")</f>
        <v/>
      </c>
      <c r="M4736" s="64"/>
      <c r="N4736" s="69"/>
      <c r="O4736" s="64"/>
      <c r="P4736" s="64"/>
      <c r="Q4736" s="69"/>
      <c r="R4736" s="69"/>
      <c r="S4736" s="69"/>
    </row>
    <row r="4737" s="2" customFormat="1" ht="24.95" customHeight="1" spans="1:19">
      <c r="A4737" s="15"/>
      <c r="B4737" s="55"/>
      <c r="C4737" s="56"/>
      <c r="D4737" s="68"/>
      <c r="E4737" s="69"/>
      <c r="F4737" s="69"/>
      <c r="G4737" s="65"/>
      <c r="H4737" s="65"/>
      <c r="I4737" s="70"/>
      <c r="J4737" s="71"/>
      <c r="K4737" s="71"/>
      <c r="L4737" s="72" t="str">
        <f>IFERROR(IF(G4737="","",VLOOKUP($G4737,[1]基础信息!$B:$C,2,FALSE)+SUMIF(G$8:G4737,G4737,J$8:J4737)-SUMIF(G$8:G4737,G4737,K$8:K4737)+SUMIFS([1]内部转账!$G:$G,[1]内部转账!$C:$C,"&lt;="&amp;$D4737,[1]内部转账!$E:$E,$G4737)-SUMIFS([1]内部转账!$G:$G,[1]内部转账!$C:$C,"&lt;="&amp;$D4737,[1]内部转账!$F:$F,$G4737)),"")</f>
        <v/>
      </c>
      <c r="M4737" s="64"/>
      <c r="N4737" s="69"/>
      <c r="O4737" s="64"/>
      <c r="P4737" s="64"/>
      <c r="Q4737" s="69"/>
      <c r="R4737" s="69"/>
      <c r="S4737" s="69"/>
    </row>
    <row r="4738" s="2" customFormat="1" ht="24.95" customHeight="1" spans="1:19">
      <c r="A4738" s="15"/>
      <c r="B4738" s="55"/>
      <c r="C4738" s="56"/>
      <c r="D4738" s="68"/>
      <c r="E4738" s="69"/>
      <c r="F4738" s="69"/>
      <c r="G4738" s="65"/>
      <c r="H4738" s="65"/>
      <c r="I4738" s="70"/>
      <c r="J4738" s="71"/>
      <c r="K4738" s="71"/>
      <c r="L4738" s="72" t="str">
        <f>IFERROR(IF(G4738="","",VLOOKUP($G4738,[1]基础信息!$B:$C,2,FALSE)+SUMIF(G$8:G4738,G4738,J$8:J4738)-SUMIF(G$8:G4738,G4738,K$8:K4738)+SUMIFS([1]内部转账!$G:$G,[1]内部转账!$C:$C,"&lt;="&amp;$D4738,[1]内部转账!$E:$E,$G4738)-SUMIFS([1]内部转账!$G:$G,[1]内部转账!$C:$C,"&lt;="&amp;$D4738,[1]内部转账!$F:$F,$G4738)),"")</f>
        <v/>
      </c>
      <c r="M4738" s="64"/>
      <c r="N4738" s="69"/>
      <c r="O4738" s="64"/>
      <c r="P4738" s="64"/>
      <c r="Q4738" s="69"/>
      <c r="R4738" s="69"/>
      <c r="S4738" s="69"/>
    </row>
    <row r="4739" s="2" customFormat="1" ht="24.95" customHeight="1" spans="1:19">
      <c r="A4739" s="15"/>
      <c r="B4739" s="55"/>
      <c r="C4739" s="56"/>
      <c r="D4739" s="68"/>
      <c r="E4739" s="69"/>
      <c r="F4739" s="69"/>
      <c r="G4739" s="65"/>
      <c r="H4739" s="65"/>
      <c r="I4739" s="70"/>
      <c r="J4739" s="71"/>
      <c r="K4739" s="71"/>
      <c r="L4739" s="72" t="str">
        <f>IFERROR(IF(G4739="","",VLOOKUP($G4739,[1]基础信息!$B:$C,2,FALSE)+SUMIF(G$8:G4739,G4739,J$8:J4739)-SUMIF(G$8:G4739,G4739,K$8:K4739)+SUMIFS([1]内部转账!$G:$G,[1]内部转账!$C:$C,"&lt;="&amp;$D4739,[1]内部转账!$E:$E,$G4739)-SUMIFS([1]内部转账!$G:$G,[1]内部转账!$C:$C,"&lt;="&amp;$D4739,[1]内部转账!$F:$F,$G4739)),"")</f>
        <v/>
      </c>
      <c r="M4739" s="64"/>
      <c r="N4739" s="69"/>
      <c r="O4739" s="64"/>
      <c r="P4739" s="64"/>
      <c r="Q4739" s="69"/>
      <c r="R4739" s="69"/>
      <c r="S4739" s="69"/>
    </row>
    <row r="4740" s="2" customFormat="1" ht="24.95" customHeight="1" spans="1:19">
      <c r="A4740" s="15"/>
      <c r="B4740" s="55"/>
      <c r="C4740" s="56"/>
      <c r="D4740" s="68"/>
      <c r="E4740" s="69"/>
      <c r="F4740" s="69"/>
      <c r="G4740" s="65"/>
      <c r="H4740" s="65"/>
      <c r="I4740" s="70"/>
      <c r="J4740" s="71"/>
      <c r="K4740" s="71"/>
      <c r="L4740" s="72" t="str">
        <f>IFERROR(IF(G4740="","",VLOOKUP($G4740,[1]基础信息!$B:$C,2,FALSE)+SUMIF(G$8:G4740,G4740,J$8:J4740)-SUMIF(G$8:G4740,G4740,K$8:K4740)+SUMIFS([1]内部转账!$G:$G,[1]内部转账!$C:$C,"&lt;="&amp;$D4740,[1]内部转账!$E:$E,$G4740)-SUMIFS([1]内部转账!$G:$G,[1]内部转账!$C:$C,"&lt;="&amp;$D4740,[1]内部转账!$F:$F,$G4740)),"")</f>
        <v/>
      </c>
      <c r="M4740" s="64"/>
      <c r="N4740" s="69"/>
      <c r="O4740" s="64"/>
      <c r="P4740" s="64"/>
      <c r="Q4740" s="69"/>
      <c r="R4740" s="69"/>
      <c r="S4740" s="69"/>
    </row>
    <row r="4741" s="2" customFormat="1" ht="24.95" customHeight="1" spans="1:19">
      <c r="A4741" s="15"/>
      <c r="B4741" s="55"/>
      <c r="C4741" s="56"/>
      <c r="D4741" s="68"/>
      <c r="E4741" s="69"/>
      <c r="F4741" s="69"/>
      <c r="G4741" s="65"/>
      <c r="H4741" s="65"/>
      <c r="I4741" s="70"/>
      <c r="J4741" s="71"/>
      <c r="K4741" s="71"/>
      <c r="L4741" s="72" t="str">
        <f>IFERROR(IF(G4741="","",VLOOKUP($G4741,[1]基础信息!$B:$C,2,FALSE)+SUMIF(G$8:G4741,G4741,J$8:J4741)-SUMIF(G$8:G4741,G4741,K$8:K4741)+SUMIFS([1]内部转账!$G:$G,[1]内部转账!$C:$C,"&lt;="&amp;$D4741,[1]内部转账!$E:$E,$G4741)-SUMIFS([1]内部转账!$G:$G,[1]内部转账!$C:$C,"&lt;="&amp;$D4741,[1]内部转账!$F:$F,$G4741)),"")</f>
        <v/>
      </c>
      <c r="M4741" s="64"/>
      <c r="N4741" s="69"/>
      <c r="O4741" s="64"/>
      <c r="P4741" s="64"/>
      <c r="Q4741" s="69"/>
      <c r="R4741" s="69"/>
      <c r="S4741" s="69"/>
    </row>
    <row r="4742" s="2" customFormat="1" ht="24.95" customHeight="1" spans="1:19">
      <c r="A4742" s="15"/>
      <c r="B4742" s="55"/>
      <c r="C4742" s="56"/>
      <c r="D4742" s="68"/>
      <c r="E4742" s="69"/>
      <c r="F4742" s="69"/>
      <c r="G4742" s="65"/>
      <c r="H4742" s="65"/>
      <c r="I4742" s="70"/>
      <c r="J4742" s="71"/>
      <c r="K4742" s="71"/>
      <c r="L4742" s="72" t="str">
        <f>IFERROR(IF(G4742="","",VLOOKUP($G4742,[1]基础信息!$B:$C,2,FALSE)+SUMIF(G$8:G4742,G4742,J$8:J4742)-SUMIF(G$8:G4742,G4742,K$8:K4742)+SUMIFS([1]内部转账!$G:$G,[1]内部转账!$C:$C,"&lt;="&amp;$D4742,[1]内部转账!$E:$E,$G4742)-SUMIFS([1]内部转账!$G:$G,[1]内部转账!$C:$C,"&lt;="&amp;$D4742,[1]内部转账!$F:$F,$G4742)),"")</f>
        <v/>
      </c>
      <c r="M4742" s="64"/>
      <c r="N4742" s="69"/>
      <c r="O4742" s="64"/>
      <c r="P4742" s="64"/>
      <c r="Q4742" s="69"/>
      <c r="R4742" s="69"/>
      <c r="S4742" s="69"/>
    </row>
    <row r="4743" s="2" customFormat="1" ht="24.95" customHeight="1" spans="1:19">
      <c r="A4743" s="15"/>
      <c r="B4743" s="55"/>
      <c r="C4743" s="56"/>
      <c r="D4743" s="68"/>
      <c r="E4743" s="69"/>
      <c r="F4743" s="69"/>
      <c r="G4743" s="65"/>
      <c r="H4743" s="65"/>
      <c r="I4743" s="70"/>
      <c r="J4743" s="71"/>
      <c r="K4743" s="71"/>
      <c r="L4743" s="72" t="str">
        <f>IFERROR(IF(G4743="","",VLOOKUP($G4743,[1]基础信息!$B:$C,2,FALSE)+SUMIF(G$8:G4743,G4743,J$8:J4743)-SUMIF(G$8:G4743,G4743,K$8:K4743)+SUMIFS([1]内部转账!$G:$G,[1]内部转账!$C:$C,"&lt;="&amp;$D4743,[1]内部转账!$E:$E,$G4743)-SUMIFS([1]内部转账!$G:$G,[1]内部转账!$C:$C,"&lt;="&amp;$D4743,[1]内部转账!$F:$F,$G4743)),"")</f>
        <v/>
      </c>
      <c r="M4743" s="64"/>
      <c r="N4743" s="69"/>
      <c r="O4743" s="64"/>
      <c r="P4743" s="64"/>
      <c r="Q4743" s="69"/>
      <c r="R4743" s="69"/>
      <c r="S4743" s="69"/>
    </row>
    <row r="4744" s="2" customFormat="1" ht="24.95" customHeight="1" spans="1:19">
      <c r="A4744" s="15"/>
      <c r="B4744" s="55"/>
      <c r="C4744" s="56"/>
      <c r="D4744" s="68"/>
      <c r="E4744" s="69"/>
      <c r="F4744" s="69"/>
      <c r="G4744" s="65"/>
      <c r="H4744" s="65"/>
      <c r="I4744" s="70"/>
      <c r="J4744" s="71"/>
      <c r="K4744" s="71"/>
      <c r="L4744" s="72" t="str">
        <f>IFERROR(IF(G4744="","",VLOOKUP($G4744,[1]基础信息!$B:$C,2,FALSE)+SUMIF(G$8:G4744,G4744,J$8:J4744)-SUMIF(G$8:G4744,G4744,K$8:K4744)+SUMIFS([1]内部转账!$G:$G,[1]内部转账!$C:$C,"&lt;="&amp;$D4744,[1]内部转账!$E:$E,$G4744)-SUMIFS([1]内部转账!$G:$G,[1]内部转账!$C:$C,"&lt;="&amp;$D4744,[1]内部转账!$F:$F,$G4744)),"")</f>
        <v/>
      </c>
      <c r="M4744" s="64"/>
      <c r="N4744" s="69"/>
      <c r="O4744" s="64"/>
      <c r="P4744" s="64"/>
      <c r="Q4744" s="69"/>
      <c r="R4744" s="69"/>
      <c r="S4744" s="69"/>
    </row>
    <row r="4745" s="2" customFormat="1" ht="24.95" customHeight="1" spans="1:19">
      <c r="A4745" s="15"/>
      <c r="B4745" s="55"/>
      <c r="C4745" s="56"/>
      <c r="D4745" s="68"/>
      <c r="E4745" s="69"/>
      <c r="F4745" s="69"/>
      <c r="G4745" s="65"/>
      <c r="H4745" s="65"/>
      <c r="I4745" s="70"/>
      <c r="J4745" s="71"/>
      <c r="K4745" s="71"/>
      <c r="L4745" s="72" t="str">
        <f>IFERROR(IF(G4745="","",VLOOKUP($G4745,[1]基础信息!$B:$C,2,FALSE)+SUMIF(G$8:G4745,G4745,J$8:J4745)-SUMIF(G$8:G4745,G4745,K$8:K4745)+SUMIFS([1]内部转账!$G:$G,[1]内部转账!$C:$C,"&lt;="&amp;$D4745,[1]内部转账!$E:$E,$G4745)-SUMIFS([1]内部转账!$G:$G,[1]内部转账!$C:$C,"&lt;="&amp;$D4745,[1]内部转账!$F:$F,$G4745)),"")</f>
        <v/>
      </c>
      <c r="M4745" s="64"/>
      <c r="N4745" s="69"/>
      <c r="O4745" s="64"/>
      <c r="P4745" s="64"/>
      <c r="Q4745" s="69"/>
      <c r="R4745" s="69"/>
      <c r="S4745" s="69"/>
    </row>
    <row r="4746" s="2" customFormat="1" ht="24.95" customHeight="1" spans="1:19">
      <c r="A4746" s="15"/>
      <c r="B4746" s="55"/>
      <c r="C4746" s="56"/>
      <c r="D4746" s="68"/>
      <c r="E4746" s="69"/>
      <c r="F4746" s="69"/>
      <c r="G4746" s="65"/>
      <c r="H4746" s="65"/>
      <c r="I4746" s="70"/>
      <c r="J4746" s="71"/>
      <c r="K4746" s="71"/>
      <c r="L4746" s="72" t="str">
        <f>IFERROR(IF(G4746="","",VLOOKUP($G4746,[1]基础信息!$B:$C,2,FALSE)+SUMIF(G$8:G4746,G4746,J$8:J4746)-SUMIF(G$8:G4746,G4746,K$8:K4746)+SUMIFS([1]内部转账!$G:$G,[1]内部转账!$C:$C,"&lt;="&amp;$D4746,[1]内部转账!$E:$E,$G4746)-SUMIFS([1]内部转账!$G:$G,[1]内部转账!$C:$C,"&lt;="&amp;$D4746,[1]内部转账!$F:$F,$G4746)),"")</f>
        <v/>
      </c>
      <c r="M4746" s="64"/>
      <c r="N4746" s="69"/>
      <c r="O4746" s="64"/>
      <c r="P4746" s="64"/>
      <c r="Q4746" s="69"/>
      <c r="R4746" s="69"/>
      <c r="S4746" s="69"/>
    </row>
    <row r="4747" s="2" customFormat="1" ht="24.95" customHeight="1" spans="1:19">
      <c r="A4747" s="15"/>
      <c r="B4747" s="55"/>
      <c r="C4747" s="56"/>
      <c r="D4747" s="68"/>
      <c r="E4747" s="69"/>
      <c r="F4747" s="69"/>
      <c r="G4747" s="65"/>
      <c r="H4747" s="65"/>
      <c r="I4747" s="70"/>
      <c r="J4747" s="71"/>
      <c r="K4747" s="71"/>
      <c r="L4747" s="72" t="str">
        <f>IFERROR(IF(G4747="","",VLOOKUP($G4747,[1]基础信息!$B:$C,2,FALSE)+SUMIF(G$8:G4747,G4747,J$8:J4747)-SUMIF(G$8:G4747,G4747,K$8:K4747)+SUMIFS([1]内部转账!$G:$G,[1]内部转账!$C:$C,"&lt;="&amp;$D4747,[1]内部转账!$E:$E,$G4747)-SUMIFS([1]内部转账!$G:$G,[1]内部转账!$C:$C,"&lt;="&amp;$D4747,[1]内部转账!$F:$F,$G4747)),"")</f>
        <v/>
      </c>
      <c r="M4747" s="64"/>
      <c r="N4747" s="69"/>
      <c r="O4747" s="64"/>
      <c r="P4747" s="64"/>
      <c r="Q4747" s="69"/>
      <c r="R4747" s="69"/>
      <c r="S4747" s="69"/>
    </row>
    <row r="4748" s="2" customFormat="1" ht="24.95" customHeight="1" spans="1:19">
      <c r="A4748" s="15"/>
      <c r="B4748" s="55"/>
      <c r="C4748" s="56"/>
      <c r="D4748" s="68"/>
      <c r="E4748" s="69"/>
      <c r="F4748" s="69"/>
      <c r="G4748" s="65"/>
      <c r="H4748" s="65"/>
      <c r="I4748" s="70"/>
      <c r="J4748" s="71"/>
      <c r="K4748" s="71"/>
      <c r="L4748" s="72" t="str">
        <f>IFERROR(IF(G4748="","",VLOOKUP($G4748,[1]基础信息!$B:$C,2,FALSE)+SUMIF(G$8:G4748,G4748,J$8:J4748)-SUMIF(G$8:G4748,G4748,K$8:K4748)+SUMIFS([1]内部转账!$G:$G,[1]内部转账!$C:$C,"&lt;="&amp;$D4748,[1]内部转账!$E:$E,$G4748)-SUMIFS([1]内部转账!$G:$G,[1]内部转账!$C:$C,"&lt;="&amp;$D4748,[1]内部转账!$F:$F,$G4748)),"")</f>
        <v/>
      </c>
      <c r="M4748" s="64"/>
      <c r="N4748" s="69"/>
      <c r="O4748" s="64"/>
      <c r="P4748" s="64"/>
      <c r="Q4748" s="69"/>
      <c r="R4748" s="69"/>
      <c r="S4748" s="69"/>
    </row>
    <row r="4749" s="2" customFormat="1" ht="24.95" customHeight="1" spans="1:19">
      <c r="A4749" s="15"/>
      <c r="B4749" s="55"/>
      <c r="C4749" s="56"/>
      <c r="D4749" s="68"/>
      <c r="E4749" s="69"/>
      <c r="F4749" s="69"/>
      <c r="G4749" s="65"/>
      <c r="H4749" s="65"/>
      <c r="I4749" s="70"/>
      <c r="J4749" s="71"/>
      <c r="K4749" s="71"/>
      <c r="L4749" s="72" t="str">
        <f>IFERROR(IF(G4749="","",VLOOKUP($G4749,[1]基础信息!$B:$C,2,FALSE)+SUMIF(G$8:G4749,G4749,J$8:J4749)-SUMIF(G$8:G4749,G4749,K$8:K4749)+SUMIFS([1]内部转账!$G:$G,[1]内部转账!$C:$C,"&lt;="&amp;$D4749,[1]内部转账!$E:$E,$G4749)-SUMIFS([1]内部转账!$G:$G,[1]内部转账!$C:$C,"&lt;="&amp;$D4749,[1]内部转账!$F:$F,$G4749)),"")</f>
        <v/>
      </c>
      <c r="M4749" s="64"/>
      <c r="N4749" s="69"/>
      <c r="O4749" s="64"/>
      <c r="P4749" s="64"/>
      <c r="Q4749" s="69"/>
      <c r="R4749" s="69"/>
      <c r="S4749" s="69"/>
    </row>
    <row r="4750" s="2" customFormat="1" ht="24.95" customHeight="1" spans="1:19">
      <c r="A4750" s="15"/>
      <c r="B4750" s="55"/>
      <c r="C4750" s="56"/>
      <c r="D4750" s="68"/>
      <c r="E4750" s="69"/>
      <c r="F4750" s="69"/>
      <c r="G4750" s="65"/>
      <c r="H4750" s="65"/>
      <c r="I4750" s="70"/>
      <c r="J4750" s="71"/>
      <c r="K4750" s="71"/>
      <c r="L4750" s="72" t="str">
        <f>IFERROR(IF(G4750="","",VLOOKUP($G4750,[1]基础信息!$B:$C,2,FALSE)+SUMIF(G$8:G4750,G4750,J$8:J4750)-SUMIF(G$8:G4750,G4750,K$8:K4750)+SUMIFS([1]内部转账!$G:$G,[1]内部转账!$C:$C,"&lt;="&amp;$D4750,[1]内部转账!$E:$E,$G4750)-SUMIFS([1]内部转账!$G:$G,[1]内部转账!$C:$C,"&lt;="&amp;$D4750,[1]内部转账!$F:$F,$G4750)),"")</f>
        <v/>
      </c>
      <c r="M4750" s="64"/>
      <c r="N4750" s="69"/>
      <c r="O4750" s="64"/>
      <c r="P4750" s="64"/>
      <c r="Q4750" s="69"/>
      <c r="R4750" s="69"/>
      <c r="S4750" s="69"/>
    </row>
    <row r="4751" s="2" customFormat="1" ht="24.95" customHeight="1" spans="1:19">
      <c r="A4751" s="15"/>
      <c r="B4751" s="55"/>
      <c r="C4751" s="56"/>
      <c r="D4751" s="68"/>
      <c r="E4751" s="69"/>
      <c r="F4751" s="69"/>
      <c r="G4751" s="65"/>
      <c r="H4751" s="65"/>
      <c r="I4751" s="70"/>
      <c r="J4751" s="71"/>
      <c r="K4751" s="71"/>
      <c r="L4751" s="72" t="str">
        <f>IFERROR(IF(G4751="","",VLOOKUP($G4751,[1]基础信息!$B:$C,2,FALSE)+SUMIF(G$8:G4751,G4751,J$8:J4751)-SUMIF(G$8:G4751,G4751,K$8:K4751)+SUMIFS([1]内部转账!$G:$G,[1]内部转账!$C:$C,"&lt;="&amp;$D4751,[1]内部转账!$E:$E,$G4751)-SUMIFS([1]内部转账!$G:$G,[1]内部转账!$C:$C,"&lt;="&amp;$D4751,[1]内部转账!$F:$F,$G4751)),"")</f>
        <v/>
      </c>
      <c r="M4751" s="64"/>
      <c r="N4751" s="69"/>
      <c r="O4751" s="64"/>
      <c r="P4751" s="64"/>
      <c r="Q4751" s="69"/>
      <c r="R4751" s="69"/>
      <c r="S4751" s="69"/>
    </row>
    <row r="4752" s="2" customFormat="1" ht="24.95" customHeight="1" spans="1:19">
      <c r="A4752" s="15"/>
      <c r="B4752" s="55"/>
      <c r="C4752" s="56"/>
      <c r="D4752" s="68"/>
      <c r="E4752" s="69"/>
      <c r="F4752" s="69"/>
      <c r="G4752" s="65"/>
      <c r="H4752" s="65"/>
      <c r="I4752" s="70"/>
      <c r="J4752" s="71"/>
      <c r="K4752" s="71"/>
      <c r="L4752" s="72" t="str">
        <f>IFERROR(IF(G4752="","",VLOOKUP($G4752,[1]基础信息!$B:$C,2,FALSE)+SUMIF(G$8:G4752,G4752,J$8:J4752)-SUMIF(G$8:G4752,G4752,K$8:K4752)+SUMIFS([1]内部转账!$G:$G,[1]内部转账!$C:$C,"&lt;="&amp;$D4752,[1]内部转账!$E:$E,$G4752)-SUMIFS([1]内部转账!$G:$G,[1]内部转账!$C:$C,"&lt;="&amp;$D4752,[1]内部转账!$F:$F,$G4752)),"")</f>
        <v/>
      </c>
      <c r="M4752" s="64"/>
      <c r="N4752" s="69"/>
      <c r="O4752" s="64"/>
      <c r="P4752" s="64"/>
      <c r="Q4752" s="69"/>
      <c r="R4752" s="69"/>
      <c r="S4752" s="69"/>
    </row>
    <row r="4753" s="2" customFormat="1" ht="24.95" customHeight="1" spans="1:19">
      <c r="A4753" s="15"/>
      <c r="B4753" s="55"/>
      <c r="C4753" s="56"/>
      <c r="D4753" s="68"/>
      <c r="E4753" s="69"/>
      <c r="F4753" s="69"/>
      <c r="G4753" s="65"/>
      <c r="H4753" s="65"/>
      <c r="I4753" s="70"/>
      <c r="J4753" s="71"/>
      <c r="K4753" s="71"/>
      <c r="L4753" s="72" t="str">
        <f>IFERROR(IF(G4753="","",VLOOKUP($G4753,[1]基础信息!$B:$C,2,FALSE)+SUMIF(G$8:G4753,G4753,J$8:J4753)-SUMIF(G$8:G4753,G4753,K$8:K4753)+SUMIFS([1]内部转账!$G:$G,[1]内部转账!$C:$C,"&lt;="&amp;$D4753,[1]内部转账!$E:$E,$G4753)-SUMIFS([1]内部转账!$G:$G,[1]内部转账!$C:$C,"&lt;="&amp;$D4753,[1]内部转账!$F:$F,$G4753)),"")</f>
        <v/>
      </c>
      <c r="M4753" s="64"/>
      <c r="N4753" s="69"/>
      <c r="O4753" s="64"/>
      <c r="P4753" s="64"/>
      <c r="Q4753" s="69"/>
      <c r="R4753" s="69"/>
      <c r="S4753" s="69"/>
    </row>
    <row r="4754" s="2" customFormat="1" ht="24.95" customHeight="1" spans="1:19">
      <c r="A4754" s="15"/>
      <c r="B4754" s="55"/>
      <c r="C4754" s="56"/>
      <c r="D4754" s="68"/>
      <c r="E4754" s="69"/>
      <c r="F4754" s="69"/>
      <c r="G4754" s="65"/>
      <c r="H4754" s="65"/>
      <c r="I4754" s="70"/>
      <c r="J4754" s="71"/>
      <c r="K4754" s="71"/>
      <c r="L4754" s="72" t="str">
        <f>IFERROR(IF(G4754="","",VLOOKUP($G4754,[1]基础信息!$B:$C,2,FALSE)+SUMIF(G$8:G4754,G4754,J$8:J4754)-SUMIF(G$8:G4754,G4754,K$8:K4754)+SUMIFS([1]内部转账!$G:$G,[1]内部转账!$C:$C,"&lt;="&amp;$D4754,[1]内部转账!$E:$E,$G4754)-SUMIFS([1]内部转账!$G:$G,[1]内部转账!$C:$C,"&lt;="&amp;$D4754,[1]内部转账!$F:$F,$G4754)),"")</f>
        <v/>
      </c>
      <c r="M4754" s="64"/>
      <c r="N4754" s="69"/>
      <c r="O4754" s="64"/>
      <c r="P4754" s="64"/>
      <c r="Q4754" s="69"/>
      <c r="R4754" s="69"/>
      <c r="S4754" s="69"/>
    </row>
    <row r="4755" s="2" customFormat="1" ht="24.95" customHeight="1" spans="1:19">
      <c r="A4755" s="15"/>
      <c r="B4755" s="55"/>
      <c r="C4755" s="56"/>
      <c r="D4755" s="68"/>
      <c r="E4755" s="69"/>
      <c r="F4755" s="69"/>
      <c r="G4755" s="65"/>
      <c r="H4755" s="65"/>
      <c r="I4755" s="70"/>
      <c r="J4755" s="71"/>
      <c r="K4755" s="71"/>
      <c r="L4755" s="72" t="str">
        <f>IFERROR(IF(G4755="","",VLOOKUP($G4755,[1]基础信息!$B:$C,2,FALSE)+SUMIF(G$8:G4755,G4755,J$8:J4755)-SUMIF(G$8:G4755,G4755,K$8:K4755)+SUMIFS([1]内部转账!$G:$G,[1]内部转账!$C:$C,"&lt;="&amp;$D4755,[1]内部转账!$E:$E,$G4755)-SUMIFS([1]内部转账!$G:$G,[1]内部转账!$C:$C,"&lt;="&amp;$D4755,[1]内部转账!$F:$F,$G4755)),"")</f>
        <v/>
      </c>
      <c r="M4755" s="64"/>
      <c r="N4755" s="69"/>
      <c r="O4755" s="64"/>
      <c r="P4755" s="64"/>
      <c r="Q4755" s="69"/>
      <c r="R4755" s="69"/>
      <c r="S4755" s="69"/>
    </row>
    <row r="4756" s="2" customFormat="1" ht="24.95" customHeight="1" spans="1:19">
      <c r="A4756" s="15"/>
      <c r="B4756" s="55"/>
      <c r="C4756" s="56"/>
      <c r="D4756" s="68"/>
      <c r="E4756" s="69"/>
      <c r="F4756" s="69"/>
      <c r="G4756" s="65"/>
      <c r="H4756" s="65"/>
      <c r="I4756" s="70"/>
      <c r="J4756" s="71"/>
      <c r="K4756" s="71"/>
      <c r="L4756" s="72" t="str">
        <f>IFERROR(IF(G4756="","",VLOOKUP($G4756,[1]基础信息!$B:$C,2,FALSE)+SUMIF(G$8:G4756,G4756,J$8:J4756)-SUMIF(G$8:G4756,G4756,K$8:K4756)+SUMIFS([1]内部转账!$G:$G,[1]内部转账!$C:$C,"&lt;="&amp;$D4756,[1]内部转账!$E:$E,$G4756)-SUMIFS([1]内部转账!$G:$G,[1]内部转账!$C:$C,"&lt;="&amp;$D4756,[1]内部转账!$F:$F,$G4756)),"")</f>
        <v/>
      </c>
      <c r="M4756" s="64"/>
      <c r="N4756" s="69"/>
      <c r="O4756" s="64"/>
      <c r="P4756" s="64"/>
      <c r="Q4756" s="69"/>
      <c r="R4756" s="69"/>
      <c r="S4756" s="69"/>
    </row>
    <row r="4757" s="2" customFormat="1" ht="24.95" customHeight="1" spans="1:19">
      <c r="A4757" s="15"/>
      <c r="B4757" s="55"/>
      <c r="C4757" s="56"/>
      <c r="D4757" s="68"/>
      <c r="E4757" s="69"/>
      <c r="F4757" s="69"/>
      <c r="G4757" s="65"/>
      <c r="H4757" s="65"/>
      <c r="I4757" s="70"/>
      <c r="J4757" s="71"/>
      <c r="K4757" s="71"/>
      <c r="L4757" s="72" t="str">
        <f>IFERROR(IF(G4757="","",VLOOKUP($G4757,[1]基础信息!$B:$C,2,FALSE)+SUMIF(G$8:G4757,G4757,J$8:J4757)-SUMIF(G$8:G4757,G4757,K$8:K4757)+SUMIFS([1]内部转账!$G:$G,[1]内部转账!$C:$C,"&lt;="&amp;$D4757,[1]内部转账!$E:$E,$G4757)-SUMIFS([1]内部转账!$G:$G,[1]内部转账!$C:$C,"&lt;="&amp;$D4757,[1]内部转账!$F:$F,$G4757)),"")</f>
        <v/>
      </c>
      <c r="M4757" s="64"/>
      <c r="N4757" s="69"/>
      <c r="O4757" s="64"/>
      <c r="P4757" s="64"/>
      <c r="Q4757" s="69"/>
      <c r="R4757" s="69"/>
      <c r="S4757" s="69"/>
    </row>
    <row r="4758" s="2" customFormat="1" ht="24.95" customHeight="1" spans="1:19">
      <c r="A4758" s="15"/>
      <c r="B4758" s="55"/>
      <c r="C4758" s="56"/>
      <c r="D4758" s="68"/>
      <c r="E4758" s="69"/>
      <c r="F4758" s="69"/>
      <c r="G4758" s="65"/>
      <c r="H4758" s="65"/>
      <c r="I4758" s="70"/>
      <c r="J4758" s="71"/>
      <c r="K4758" s="71"/>
      <c r="L4758" s="72" t="str">
        <f>IFERROR(IF(G4758="","",VLOOKUP($G4758,[1]基础信息!$B:$C,2,FALSE)+SUMIF(G$8:G4758,G4758,J$8:J4758)-SUMIF(G$8:G4758,G4758,K$8:K4758)+SUMIFS([1]内部转账!$G:$G,[1]内部转账!$C:$C,"&lt;="&amp;$D4758,[1]内部转账!$E:$E,$G4758)-SUMIFS([1]内部转账!$G:$G,[1]内部转账!$C:$C,"&lt;="&amp;$D4758,[1]内部转账!$F:$F,$G4758)),"")</f>
        <v/>
      </c>
      <c r="M4758" s="64"/>
      <c r="N4758" s="69"/>
      <c r="O4758" s="64"/>
      <c r="P4758" s="64"/>
      <c r="Q4758" s="69"/>
      <c r="R4758" s="69"/>
      <c r="S4758" s="69"/>
    </row>
    <row r="4759" s="2" customFormat="1" ht="24.95" customHeight="1" spans="1:19">
      <c r="A4759" s="15"/>
      <c r="B4759" s="55"/>
      <c r="C4759" s="56"/>
      <c r="D4759" s="68"/>
      <c r="E4759" s="69"/>
      <c r="F4759" s="69"/>
      <c r="G4759" s="65"/>
      <c r="H4759" s="65"/>
      <c r="I4759" s="70"/>
      <c r="J4759" s="71"/>
      <c r="K4759" s="71"/>
      <c r="L4759" s="72" t="str">
        <f>IFERROR(IF(G4759="","",VLOOKUP($G4759,[1]基础信息!$B:$C,2,FALSE)+SUMIF(G$8:G4759,G4759,J$8:J4759)-SUMIF(G$8:G4759,G4759,K$8:K4759)+SUMIFS([1]内部转账!$G:$G,[1]内部转账!$C:$C,"&lt;="&amp;$D4759,[1]内部转账!$E:$E,$G4759)-SUMIFS([1]内部转账!$G:$G,[1]内部转账!$C:$C,"&lt;="&amp;$D4759,[1]内部转账!$F:$F,$G4759)),"")</f>
        <v/>
      </c>
      <c r="M4759" s="64"/>
      <c r="N4759" s="69"/>
      <c r="O4759" s="64"/>
      <c r="P4759" s="64"/>
      <c r="Q4759" s="69"/>
      <c r="R4759" s="69"/>
      <c r="S4759" s="69"/>
    </row>
    <row r="4760" s="2" customFormat="1" ht="24.95" customHeight="1" spans="1:19">
      <c r="A4760" s="15"/>
      <c r="B4760" s="55"/>
      <c r="C4760" s="56"/>
      <c r="D4760" s="68"/>
      <c r="E4760" s="69"/>
      <c r="F4760" s="69"/>
      <c r="G4760" s="65"/>
      <c r="H4760" s="65"/>
      <c r="I4760" s="70"/>
      <c r="J4760" s="71"/>
      <c r="K4760" s="71"/>
      <c r="L4760" s="72" t="str">
        <f>IFERROR(IF(G4760="","",VLOOKUP($G4760,[1]基础信息!$B:$C,2,FALSE)+SUMIF(G$8:G4760,G4760,J$8:J4760)-SUMIF(G$8:G4760,G4760,K$8:K4760)+SUMIFS([1]内部转账!$G:$G,[1]内部转账!$C:$C,"&lt;="&amp;$D4760,[1]内部转账!$E:$E,$G4760)-SUMIFS([1]内部转账!$G:$G,[1]内部转账!$C:$C,"&lt;="&amp;$D4760,[1]内部转账!$F:$F,$G4760)),"")</f>
        <v/>
      </c>
      <c r="M4760" s="64"/>
      <c r="N4760" s="69"/>
      <c r="O4760" s="64"/>
      <c r="P4760" s="64"/>
      <c r="Q4760" s="69"/>
      <c r="R4760" s="69"/>
      <c r="S4760" s="69"/>
    </row>
    <row r="4761" s="2" customFormat="1" ht="24.95" customHeight="1" spans="1:19">
      <c r="A4761" s="15"/>
      <c r="B4761" s="55"/>
      <c r="C4761" s="56"/>
      <c r="D4761" s="68"/>
      <c r="E4761" s="69"/>
      <c r="F4761" s="69"/>
      <c r="G4761" s="65"/>
      <c r="H4761" s="65"/>
      <c r="I4761" s="70"/>
      <c r="J4761" s="71"/>
      <c r="K4761" s="71"/>
      <c r="L4761" s="72" t="str">
        <f>IFERROR(IF(G4761="","",VLOOKUP($G4761,[1]基础信息!$B:$C,2,FALSE)+SUMIF(G$8:G4761,G4761,J$8:J4761)-SUMIF(G$8:G4761,G4761,K$8:K4761)+SUMIFS([1]内部转账!$G:$G,[1]内部转账!$C:$C,"&lt;="&amp;$D4761,[1]内部转账!$E:$E,$G4761)-SUMIFS([1]内部转账!$G:$G,[1]内部转账!$C:$C,"&lt;="&amp;$D4761,[1]内部转账!$F:$F,$G4761)),"")</f>
        <v/>
      </c>
      <c r="M4761" s="64"/>
      <c r="N4761" s="69"/>
      <c r="O4761" s="64"/>
      <c r="P4761" s="64"/>
      <c r="Q4761" s="69"/>
      <c r="R4761" s="69"/>
      <c r="S4761" s="69"/>
    </row>
    <row r="4762" s="2" customFormat="1" ht="24.95" customHeight="1" spans="1:19">
      <c r="A4762" s="15"/>
      <c r="B4762" s="55"/>
      <c r="C4762" s="56"/>
      <c r="D4762" s="68"/>
      <c r="E4762" s="69"/>
      <c r="F4762" s="69"/>
      <c r="G4762" s="65"/>
      <c r="H4762" s="65"/>
      <c r="I4762" s="70"/>
      <c r="J4762" s="71"/>
      <c r="K4762" s="71"/>
      <c r="L4762" s="72" t="str">
        <f>IFERROR(IF(G4762="","",VLOOKUP($G4762,[1]基础信息!$B:$C,2,FALSE)+SUMIF(G$8:G4762,G4762,J$8:J4762)-SUMIF(G$8:G4762,G4762,K$8:K4762)+SUMIFS([1]内部转账!$G:$G,[1]内部转账!$C:$C,"&lt;="&amp;$D4762,[1]内部转账!$E:$E,$G4762)-SUMIFS([1]内部转账!$G:$G,[1]内部转账!$C:$C,"&lt;="&amp;$D4762,[1]内部转账!$F:$F,$G4762)),"")</f>
        <v/>
      </c>
      <c r="M4762" s="64"/>
      <c r="N4762" s="69"/>
      <c r="O4762" s="64"/>
      <c r="P4762" s="64"/>
      <c r="Q4762" s="69"/>
      <c r="R4762" s="69"/>
      <c r="S4762" s="69"/>
    </row>
    <row r="4763" s="2" customFormat="1" ht="24.95" customHeight="1" spans="1:19">
      <c r="A4763" s="15"/>
      <c r="B4763" s="55"/>
      <c r="C4763" s="56"/>
      <c r="D4763" s="68"/>
      <c r="E4763" s="69"/>
      <c r="F4763" s="69"/>
      <c r="G4763" s="65"/>
      <c r="H4763" s="65"/>
      <c r="I4763" s="70"/>
      <c r="J4763" s="71"/>
      <c r="K4763" s="71"/>
      <c r="L4763" s="72" t="str">
        <f>IFERROR(IF(G4763="","",VLOOKUP($G4763,[1]基础信息!$B:$C,2,FALSE)+SUMIF(G$8:G4763,G4763,J$8:J4763)-SUMIF(G$8:G4763,G4763,K$8:K4763)+SUMIFS([1]内部转账!$G:$G,[1]内部转账!$C:$C,"&lt;="&amp;$D4763,[1]内部转账!$E:$E,$G4763)-SUMIFS([1]内部转账!$G:$G,[1]内部转账!$C:$C,"&lt;="&amp;$D4763,[1]内部转账!$F:$F,$G4763)),"")</f>
        <v/>
      </c>
      <c r="M4763" s="64"/>
      <c r="N4763" s="69"/>
      <c r="O4763" s="64"/>
      <c r="P4763" s="64"/>
      <c r="Q4763" s="69"/>
      <c r="R4763" s="69"/>
      <c r="S4763" s="69"/>
    </row>
    <row r="4764" s="2" customFormat="1" ht="24.95" customHeight="1" spans="1:19">
      <c r="A4764" s="15"/>
      <c r="B4764" s="55"/>
      <c r="C4764" s="56"/>
      <c r="D4764" s="68"/>
      <c r="E4764" s="69"/>
      <c r="F4764" s="69"/>
      <c r="G4764" s="65"/>
      <c r="H4764" s="65"/>
      <c r="I4764" s="70"/>
      <c r="J4764" s="71"/>
      <c r="K4764" s="71"/>
      <c r="L4764" s="72" t="str">
        <f>IFERROR(IF(G4764="","",VLOOKUP($G4764,[1]基础信息!$B:$C,2,FALSE)+SUMIF(G$8:G4764,G4764,J$8:J4764)-SUMIF(G$8:G4764,G4764,K$8:K4764)+SUMIFS([1]内部转账!$G:$G,[1]内部转账!$C:$C,"&lt;="&amp;$D4764,[1]内部转账!$E:$E,$G4764)-SUMIFS([1]内部转账!$G:$G,[1]内部转账!$C:$C,"&lt;="&amp;$D4764,[1]内部转账!$F:$F,$G4764)),"")</f>
        <v/>
      </c>
      <c r="M4764" s="64"/>
      <c r="N4764" s="69"/>
      <c r="O4764" s="64"/>
      <c r="P4764" s="64"/>
      <c r="Q4764" s="69"/>
      <c r="R4764" s="69"/>
      <c r="S4764" s="69"/>
    </row>
    <row r="4765" s="2" customFormat="1" ht="24.95" customHeight="1" spans="1:19">
      <c r="A4765" s="15"/>
      <c r="B4765" s="55"/>
      <c r="C4765" s="56"/>
      <c r="D4765" s="68"/>
      <c r="E4765" s="69"/>
      <c r="F4765" s="69"/>
      <c r="G4765" s="65"/>
      <c r="H4765" s="65"/>
      <c r="I4765" s="70"/>
      <c r="J4765" s="71"/>
      <c r="K4765" s="71"/>
      <c r="L4765" s="72" t="str">
        <f>IFERROR(IF(G4765="","",VLOOKUP($G4765,[1]基础信息!$B:$C,2,FALSE)+SUMIF(G$8:G4765,G4765,J$8:J4765)-SUMIF(G$8:G4765,G4765,K$8:K4765)+SUMIFS([1]内部转账!$G:$G,[1]内部转账!$C:$C,"&lt;="&amp;$D4765,[1]内部转账!$E:$E,$G4765)-SUMIFS([1]内部转账!$G:$G,[1]内部转账!$C:$C,"&lt;="&amp;$D4765,[1]内部转账!$F:$F,$G4765)),"")</f>
        <v/>
      </c>
      <c r="M4765" s="64"/>
      <c r="N4765" s="69"/>
      <c r="O4765" s="64"/>
      <c r="P4765" s="64"/>
      <c r="Q4765" s="69"/>
      <c r="R4765" s="69"/>
      <c r="S4765" s="69"/>
    </row>
    <row r="4766" s="2" customFormat="1" ht="24.95" customHeight="1" spans="1:19">
      <c r="A4766" s="15"/>
      <c r="B4766" s="55"/>
      <c r="C4766" s="56"/>
      <c r="D4766" s="68"/>
      <c r="E4766" s="69"/>
      <c r="F4766" s="69"/>
      <c r="G4766" s="65"/>
      <c r="H4766" s="65"/>
      <c r="I4766" s="70"/>
      <c r="J4766" s="71"/>
      <c r="K4766" s="71"/>
      <c r="L4766" s="72" t="str">
        <f>IFERROR(IF(G4766="","",VLOOKUP($G4766,[1]基础信息!$B:$C,2,FALSE)+SUMIF(G$8:G4766,G4766,J$8:J4766)-SUMIF(G$8:G4766,G4766,K$8:K4766)+SUMIFS([1]内部转账!$G:$G,[1]内部转账!$C:$C,"&lt;="&amp;$D4766,[1]内部转账!$E:$E,$G4766)-SUMIFS([1]内部转账!$G:$G,[1]内部转账!$C:$C,"&lt;="&amp;$D4766,[1]内部转账!$F:$F,$G4766)),"")</f>
        <v/>
      </c>
      <c r="M4766" s="64"/>
      <c r="N4766" s="69"/>
      <c r="O4766" s="64"/>
      <c r="P4766" s="64"/>
      <c r="Q4766" s="69"/>
      <c r="R4766" s="69"/>
      <c r="S4766" s="69"/>
    </row>
    <row r="4767" s="2" customFormat="1" ht="24.95" customHeight="1" spans="1:19">
      <c r="A4767" s="15"/>
      <c r="B4767" s="55"/>
      <c r="C4767" s="56"/>
      <c r="D4767" s="68"/>
      <c r="E4767" s="69"/>
      <c r="F4767" s="69"/>
      <c r="G4767" s="65"/>
      <c r="H4767" s="65"/>
      <c r="I4767" s="70"/>
      <c r="J4767" s="71"/>
      <c r="K4767" s="71"/>
      <c r="L4767" s="72" t="str">
        <f>IFERROR(IF(G4767="","",VLOOKUP($G4767,[1]基础信息!$B:$C,2,FALSE)+SUMIF(G$8:G4767,G4767,J$8:J4767)-SUMIF(G$8:G4767,G4767,K$8:K4767)+SUMIFS([1]内部转账!$G:$G,[1]内部转账!$C:$C,"&lt;="&amp;$D4767,[1]内部转账!$E:$E,$G4767)-SUMIFS([1]内部转账!$G:$G,[1]内部转账!$C:$C,"&lt;="&amp;$D4767,[1]内部转账!$F:$F,$G4767)),"")</f>
        <v/>
      </c>
      <c r="M4767" s="64"/>
      <c r="N4767" s="69"/>
      <c r="O4767" s="64"/>
      <c r="P4767" s="64"/>
      <c r="Q4767" s="69"/>
      <c r="R4767" s="69"/>
      <c r="S4767" s="69"/>
    </row>
    <row r="4768" s="2" customFormat="1" ht="24.95" customHeight="1" spans="1:19">
      <c r="A4768" s="15"/>
      <c r="B4768" s="55"/>
      <c r="C4768" s="56"/>
      <c r="D4768" s="68"/>
      <c r="E4768" s="69"/>
      <c r="F4768" s="69"/>
      <c r="G4768" s="65"/>
      <c r="H4768" s="65"/>
      <c r="I4768" s="70"/>
      <c r="J4768" s="71"/>
      <c r="K4768" s="71"/>
      <c r="L4768" s="72" t="str">
        <f>IFERROR(IF(G4768="","",VLOOKUP($G4768,[1]基础信息!$B:$C,2,FALSE)+SUMIF(G$8:G4768,G4768,J$8:J4768)-SUMIF(G$8:G4768,G4768,K$8:K4768)+SUMIFS([1]内部转账!$G:$G,[1]内部转账!$C:$C,"&lt;="&amp;$D4768,[1]内部转账!$E:$E,$G4768)-SUMIFS([1]内部转账!$G:$G,[1]内部转账!$C:$C,"&lt;="&amp;$D4768,[1]内部转账!$F:$F,$G4768)),"")</f>
        <v/>
      </c>
      <c r="M4768" s="64"/>
      <c r="N4768" s="69"/>
      <c r="O4768" s="64"/>
      <c r="P4768" s="64"/>
      <c r="Q4768" s="69"/>
      <c r="R4768" s="69"/>
      <c r="S4768" s="69"/>
    </row>
    <row r="4769" s="2" customFormat="1" ht="24.95" customHeight="1" spans="1:19">
      <c r="A4769" s="15"/>
      <c r="B4769" s="55"/>
      <c r="C4769" s="56"/>
      <c r="D4769" s="68"/>
      <c r="E4769" s="69"/>
      <c r="F4769" s="69"/>
      <c r="G4769" s="65"/>
      <c r="H4769" s="65"/>
      <c r="I4769" s="70"/>
      <c r="J4769" s="71"/>
      <c r="K4769" s="71"/>
      <c r="L4769" s="72" t="str">
        <f>IFERROR(IF(G4769="","",VLOOKUP($G4769,[1]基础信息!$B:$C,2,FALSE)+SUMIF(G$8:G4769,G4769,J$8:J4769)-SUMIF(G$8:G4769,G4769,K$8:K4769)+SUMIFS([1]内部转账!$G:$G,[1]内部转账!$C:$C,"&lt;="&amp;$D4769,[1]内部转账!$E:$E,$G4769)-SUMIFS([1]内部转账!$G:$G,[1]内部转账!$C:$C,"&lt;="&amp;$D4769,[1]内部转账!$F:$F,$G4769)),"")</f>
        <v/>
      </c>
      <c r="M4769" s="64"/>
      <c r="N4769" s="69"/>
      <c r="O4769" s="64"/>
      <c r="P4769" s="64"/>
      <c r="Q4769" s="69"/>
      <c r="R4769" s="69"/>
      <c r="S4769" s="69"/>
    </row>
    <row r="4770" s="2" customFormat="1" ht="24.95" customHeight="1" spans="1:19">
      <c r="A4770" s="15"/>
      <c r="B4770" s="55"/>
      <c r="C4770" s="56"/>
      <c r="D4770" s="68"/>
      <c r="E4770" s="69"/>
      <c r="F4770" s="69"/>
      <c r="G4770" s="65"/>
      <c r="H4770" s="65"/>
      <c r="I4770" s="70"/>
      <c r="J4770" s="71"/>
      <c r="K4770" s="71"/>
      <c r="L4770" s="72" t="str">
        <f>IFERROR(IF(G4770="","",VLOOKUP($G4770,[1]基础信息!$B:$C,2,FALSE)+SUMIF(G$8:G4770,G4770,J$8:J4770)-SUMIF(G$8:G4770,G4770,K$8:K4770)+SUMIFS([1]内部转账!$G:$G,[1]内部转账!$C:$C,"&lt;="&amp;$D4770,[1]内部转账!$E:$E,$G4770)-SUMIFS([1]内部转账!$G:$G,[1]内部转账!$C:$C,"&lt;="&amp;$D4770,[1]内部转账!$F:$F,$G4770)),"")</f>
        <v/>
      </c>
      <c r="M4770" s="64"/>
      <c r="N4770" s="69"/>
      <c r="O4770" s="64"/>
      <c r="P4770" s="64"/>
      <c r="Q4770" s="69"/>
      <c r="R4770" s="69"/>
      <c r="S4770" s="69"/>
    </row>
    <row r="4771" s="2" customFormat="1" ht="24.95" customHeight="1" spans="1:19">
      <c r="A4771" s="15"/>
      <c r="B4771" s="55"/>
      <c r="C4771" s="56"/>
      <c r="D4771" s="68"/>
      <c r="E4771" s="69"/>
      <c r="F4771" s="69"/>
      <c r="G4771" s="65"/>
      <c r="H4771" s="65"/>
      <c r="I4771" s="70"/>
      <c r="J4771" s="71"/>
      <c r="K4771" s="71"/>
      <c r="L4771" s="72" t="str">
        <f>IFERROR(IF(G4771="","",VLOOKUP($G4771,[1]基础信息!$B:$C,2,FALSE)+SUMIF(G$8:G4771,G4771,J$8:J4771)-SUMIF(G$8:G4771,G4771,K$8:K4771)+SUMIFS([1]内部转账!$G:$G,[1]内部转账!$C:$C,"&lt;="&amp;$D4771,[1]内部转账!$E:$E,$G4771)-SUMIFS([1]内部转账!$G:$G,[1]内部转账!$C:$C,"&lt;="&amp;$D4771,[1]内部转账!$F:$F,$G4771)),"")</f>
        <v/>
      </c>
      <c r="M4771" s="64"/>
      <c r="N4771" s="69"/>
      <c r="O4771" s="64"/>
      <c r="P4771" s="64"/>
      <c r="Q4771" s="69"/>
      <c r="R4771" s="69"/>
      <c r="S4771" s="69"/>
    </row>
    <row r="4772" s="2" customFormat="1" ht="24.95" customHeight="1" spans="1:19">
      <c r="A4772" s="15"/>
      <c r="B4772" s="55"/>
      <c r="C4772" s="56"/>
      <c r="D4772" s="68"/>
      <c r="E4772" s="69"/>
      <c r="F4772" s="69"/>
      <c r="G4772" s="65"/>
      <c r="H4772" s="65"/>
      <c r="I4772" s="70"/>
      <c r="J4772" s="71"/>
      <c r="K4772" s="71"/>
      <c r="L4772" s="72" t="str">
        <f>IFERROR(IF(G4772="","",VLOOKUP($G4772,[1]基础信息!$B:$C,2,FALSE)+SUMIF(G$8:G4772,G4772,J$8:J4772)-SUMIF(G$8:G4772,G4772,K$8:K4772)+SUMIFS([1]内部转账!$G:$G,[1]内部转账!$C:$C,"&lt;="&amp;$D4772,[1]内部转账!$E:$E,$G4772)-SUMIFS([1]内部转账!$G:$G,[1]内部转账!$C:$C,"&lt;="&amp;$D4772,[1]内部转账!$F:$F,$G4772)),"")</f>
        <v/>
      </c>
      <c r="M4772" s="64"/>
      <c r="N4772" s="69"/>
      <c r="O4772" s="64"/>
      <c r="P4772" s="64"/>
      <c r="Q4772" s="69"/>
      <c r="R4772" s="69"/>
      <c r="S4772" s="69"/>
    </row>
    <row r="4773" s="2" customFormat="1" ht="24.95" customHeight="1" spans="1:19">
      <c r="A4773" s="15"/>
      <c r="B4773" s="55"/>
      <c r="C4773" s="56"/>
      <c r="D4773" s="68"/>
      <c r="E4773" s="69"/>
      <c r="F4773" s="69"/>
      <c r="G4773" s="65"/>
      <c r="H4773" s="65"/>
      <c r="I4773" s="70"/>
      <c r="J4773" s="71"/>
      <c r="K4773" s="71"/>
      <c r="L4773" s="72" t="str">
        <f>IFERROR(IF(G4773="","",VLOOKUP($G4773,[1]基础信息!$B:$C,2,FALSE)+SUMIF(G$8:G4773,G4773,J$8:J4773)-SUMIF(G$8:G4773,G4773,K$8:K4773)+SUMIFS([1]内部转账!$G:$G,[1]内部转账!$C:$C,"&lt;="&amp;$D4773,[1]内部转账!$E:$E,$G4773)-SUMIFS([1]内部转账!$G:$G,[1]内部转账!$C:$C,"&lt;="&amp;$D4773,[1]内部转账!$F:$F,$G4773)),"")</f>
        <v/>
      </c>
      <c r="M4773" s="64"/>
      <c r="N4773" s="69"/>
      <c r="O4773" s="64"/>
      <c r="P4773" s="64"/>
      <c r="Q4773" s="69"/>
      <c r="R4773" s="69"/>
      <c r="S4773" s="69"/>
    </row>
    <row r="4774" s="2" customFormat="1" ht="24.95" customHeight="1" spans="1:19">
      <c r="A4774" s="15"/>
      <c r="B4774" s="55"/>
      <c r="C4774" s="56"/>
      <c r="D4774" s="68"/>
      <c r="E4774" s="69"/>
      <c r="F4774" s="69"/>
      <c r="G4774" s="65"/>
      <c r="H4774" s="65"/>
      <c r="I4774" s="70"/>
      <c r="J4774" s="71"/>
      <c r="K4774" s="71"/>
      <c r="L4774" s="72" t="str">
        <f>IFERROR(IF(G4774="","",VLOOKUP($G4774,[1]基础信息!$B:$C,2,FALSE)+SUMIF(G$8:G4774,G4774,J$8:J4774)-SUMIF(G$8:G4774,G4774,K$8:K4774)+SUMIFS([1]内部转账!$G:$G,[1]内部转账!$C:$C,"&lt;="&amp;$D4774,[1]内部转账!$E:$E,$G4774)-SUMIFS([1]内部转账!$G:$G,[1]内部转账!$C:$C,"&lt;="&amp;$D4774,[1]内部转账!$F:$F,$G4774)),"")</f>
        <v/>
      </c>
      <c r="M4774" s="64"/>
      <c r="N4774" s="69"/>
      <c r="O4774" s="64"/>
      <c r="P4774" s="64"/>
      <c r="Q4774" s="69"/>
      <c r="R4774" s="69"/>
      <c r="S4774" s="69"/>
    </row>
    <row r="4775" s="2" customFormat="1" ht="24.95" customHeight="1" spans="1:19">
      <c r="A4775" s="15"/>
      <c r="B4775" s="55"/>
      <c r="C4775" s="56"/>
      <c r="D4775" s="68"/>
      <c r="E4775" s="69"/>
      <c r="F4775" s="69"/>
      <c r="G4775" s="65"/>
      <c r="H4775" s="65"/>
      <c r="I4775" s="70"/>
      <c r="J4775" s="71"/>
      <c r="K4775" s="71"/>
      <c r="L4775" s="72" t="str">
        <f>IFERROR(IF(G4775="","",VLOOKUP($G4775,[1]基础信息!$B:$C,2,FALSE)+SUMIF(G$8:G4775,G4775,J$8:J4775)-SUMIF(G$8:G4775,G4775,K$8:K4775)+SUMIFS([1]内部转账!$G:$G,[1]内部转账!$C:$C,"&lt;="&amp;$D4775,[1]内部转账!$E:$E,$G4775)-SUMIFS([1]内部转账!$G:$G,[1]内部转账!$C:$C,"&lt;="&amp;$D4775,[1]内部转账!$F:$F,$G4775)),"")</f>
        <v/>
      </c>
      <c r="M4775" s="64"/>
      <c r="N4775" s="69"/>
      <c r="O4775" s="64"/>
      <c r="P4775" s="64"/>
      <c r="Q4775" s="69"/>
      <c r="R4775" s="69"/>
      <c r="S4775" s="69"/>
    </row>
    <row r="4776" s="2" customFormat="1" ht="24.95" customHeight="1" spans="1:19">
      <c r="A4776" s="15"/>
      <c r="B4776" s="55"/>
      <c r="C4776" s="56"/>
      <c r="D4776" s="68"/>
      <c r="E4776" s="69"/>
      <c r="F4776" s="69"/>
      <c r="G4776" s="65"/>
      <c r="H4776" s="65"/>
      <c r="I4776" s="70"/>
      <c r="J4776" s="71"/>
      <c r="K4776" s="71"/>
      <c r="L4776" s="72" t="str">
        <f>IFERROR(IF(G4776="","",VLOOKUP($G4776,[1]基础信息!$B:$C,2,FALSE)+SUMIF(G$8:G4776,G4776,J$8:J4776)-SUMIF(G$8:G4776,G4776,K$8:K4776)+SUMIFS([1]内部转账!$G:$G,[1]内部转账!$C:$C,"&lt;="&amp;$D4776,[1]内部转账!$E:$E,$G4776)-SUMIFS([1]内部转账!$G:$G,[1]内部转账!$C:$C,"&lt;="&amp;$D4776,[1]内部转账!$F:$F,$G4776)),"")</f>
        <v/>
      </c>
      <c r="M4776" s="64"/>
      <c r="N4776" s="69"/>
      <c r="O4776" s="64"/>
      <c r="P4776" s="64"/>
      <c r="Q4776" s="69"/>
      <c r="R4776" s="69"/>
      <c r="S4776" s="69"/>
    </row>
    <row r="4777" s="2" customFormat="1" ht="24.95" customHeight="1" spans="1:19">
      <c r="A4777" s="15"/>
      <c r="B4777" s="55"/>
      <c r="C4777" s="56"/>
      <c r="D4777" s="68"/>
      <c r="E4777" s="69"/>
      <c r="F4777" s="69"/>
      <c r="G4777" s="65"/>
      <c r="H4777" s="65"/>
      <c r="I4777" s="70"/>
      <c r="J4777" s="71"/>
      <c r="K4777" s="71"/>
      <c r="L4777" s="72" t="str">
        <f>IFERROR(IF(G4777="","",VLOOKUP($G4777,[1]基础信息!$B:$C,2,FALSE)+SUMIF(G$8:G4777,G4777,J$8:J4777)-SUMIF(G$8:G4777,G4777,K$8:K4777)+SUMIFS([1]内部转账!$G:$G,[1]内部转账!$C:$C,"&lt;="&amp;$D4777,[1]内部转账!$E:$E,$G4777)-SUMIFS([1]内部转账!$G:$G,[1]内部转账!$C:$C,"&lt;="&amp;$D4777,[1]内部转账!$F:$F,$G4777)),"")</f>
        <v/>
      </c>
      <c r="M4777" s="64"/>
      <c r="N4777" s="69"/>
      <c r="O4777" s="64"/>
      <c r="P4777" s="64"/>
      <c r="Q4777" s="69"/>
      <c r="R4777" s="69"/>
      <c r="S4777" s="69"/>
    </row>
    <row r="4778" s="2" customFormat="1" ht="24.95" customHeight="1" spans="1:19">
      <c r="A4778" s="15"/>
      <c r="B4778" s="55"/>
      <c r="C4778" s="56"/>
      <c r="D4778" s="68"/>
      <c r="E4778" s="69"/>
      <c r="F4778" s="69"/>
      <c r="G4778" s="65"/>
      <c r="H4778" s="65"/>
      <c r="I4778" s="70"/>
      <c r="J4778" s="71"/>
      <c r="K4778" s="71"/>
      <c r="L4778" s="72" t="str">
        <f>IFERROR(IF(G4778="","",VLOOKUP($G4778,[1]基础信息!$B:$C,2,FALSE)+SUMIF(G$8:G4778,G4778,J$8:J4778)-SUMIF(G$8:G4778,G4778,K$8:K4778)+SUMIFS([1]内部转账!$G:$G,[1]内部转账!$C:$C,"&lt;="&amp;$D4778,[1]内部转账!$E:$E,$G4778)-SUMIFS([1]内部转账!$G:$G,[1]内部转账!$C:$C,"&lt;="&amp;$D4778,[1]内部转账!$F:$F,$G4778)),"")</f>
        <v/>
      </c>
      <c r="M4778" s="64"/>
      <c r="N4778" s="69"/>
      <c r="O4778" s="64"/>
      <c r="P4778" s="64"/>
      <c r="Q4778" s="69"/>
      <c r="R4778" s="69"/>
      <c r="S4778" s="69"/>
    </row>
    <row r="4779" s="2" customFormat="1" ht="24.95" customHeight="1" spans="1:19">
      <c r="A4779" s="15"/>
      <c r="B4779" s="55"/>
      <c r="C4779" s="56"/>
      <c r="D4779" s="68"/>
      <c r="E4779" s="69"/>
      <c r="F4779" s="69"/>
      <c r="G4779" s="65"/>
      <c r="H4779" s="65"/>
      <c r="I4779" s="70"/>
      <c r="J4779" s="71"/>
      <c r="K4779" s="71"/>
      <c r="L4779" s="72" t="str">
        <f>IFERROR(IF(G4779="","",VLOOKUP($G4779,[1]基础信息!$B:$C,2,FALSE)+SUMIF(G$8:G4779,G4779,J$8:J4779)-SUMIF(G$8:G4779,G4779,K$8:K4779)+SUMIFS([1]内部转账!$G:$G,[1]内部转账!$C:$C,"&lt;="&amp;$D4779,[1]内部转账!$E:$E,$G4779)-SUMIFS([1]内部转账!$G:$G,[1]内部转账!$C:$C,"&lt;="&amp;$D4779,[1]内部转账!$F:$F,$G4779)),"")</f>
        <v/>
      </c>
      <c r="M4779" s="64"/>
      <c r="N4779" s="69"/>
      <c r="O4779" s="64"/>
      <c r="P4779" s="64"/>
      <c r="Q4779" s="69"/>
      <c r="R4779" s="69"/>
      <c r="S4779" s="69"/>
    </row>
    <row r="4780" s="2" customFormat="1" ht="24.95" customHeight="1" spans="1:19">
      <c r="A4780" s="15"/>
      <c r="B4780" s="55"/>
      <c r="C4780" s="56"/>
      <c r="D4780" s="68"/>
      <c r="E4780" s="69"/>
      <c r="F4780" s="69"/>
      <c r="G4780" s="65"/>
      <c r="H4780" s="65"/>
      <c r="I4780" s="70"/>
      <c r="J4780" s="71"/>
      <c r="K4780" s="71"/>
      <c r="L4780" s="72" t="str">
        <f>IFERROR(IF(G4780="","",VLOOKUP($G4780,[1]基础信息!$B:$C,2,FALSE)+SUMIF(G$8:G4780,G4780,J$8:J4780)-SUMIF(G$8:G4780,G4780,K$8:K4780)+SUMIFS([1]内部转账!$G:$G,[1]内部转账!$C:$C,"&lt;="&amp;$D4780,[1]内部转账!$E:$E,$G4780)-SUMIFS([1]内部转账!$G:$G,[1]内部转账!$C:$C,"&lt;="&amp;$D4780,[1]内部转账!$F:$F,$G4780)),"")</f>
        <v/>
      </c>
      <c r="M4780" s="64"/>
      <c r="N4780" s="69"/>
      <c r="O4780" s="64"/>
      <c r="P4780" s="64"/>
      <c r="Q4780" s="69"/>
      <c r="R4780" s="69"/>
      <c r="S4780" s="69"/>
    </row>
    <row r="4781" s="2" customFormat="1" ht="24.95" customHeight="1" spans="1:19">
      <c r="A4781" s="15"/>
      <c r="B4781" s="55"/>
      <c r="C4781" s="56"/>
      <c r="D4781" s="68"/>
      <c r="E4781" s="69"/>
      <c r="F4781" s="69"/>
      <c r="G4781" s="65"/>
      <c r="H4781" s="65"/>
      <c r="I4781" s="70"/>
      <c r="J4781" s="71"/>
      <c r="K4781" s="71"/>
      <c r="L4781" s="72" t="str">
        <f>IFERROR(IF(G4781="","",VLOOKUP($G4781,[1]基础信息!$B:$C,2,FALSE)+SUMIF(G$8:G4781,G4781,J$8:J4781)-SUMIF(G$8:G4781,G4781,K$8:K4781)+SUMIFS([1]内部转账!$G:$G,[1]内部转账!$C:$C,"&lt;="&amp;$D4781,[1]内部转账!$E:$E,$G4781)-SUMIFS([1]内部转账!$G:$G,[1]内部转账!$C:$C,"&lt;="&amp;$D4781,[1]内部转账!$F:$F,$G4781)),"")</f>
        <v/>
      </c>
      <c r="M4781" s="64"/>
      <c r="N4781" s="69"/>
      <c r="O4781" s="64"/>
      <c r="P4781" s="64"/>
      <c r="Q4781" s="69"/>
      <c r="R4781" s="69"/>
      <c r="S4781" s="69"/>
    </row>
    <row r="4782" s="2" customFormat="1" ht="24.95" customHeight="1" spans="1:19">
      <c r="A4782" s="15"/>
      <c r="B4782" s="55"/>
      <c r="C4782" s="56"/>
      <c r="D4782" s="68"/>
      <c r="E4782" s="69"/>
      <c r="F4782" s="69"/>
      <c r="G4782" s="65"/>
      <c r="H4782" s="65"/>
      <c r="I4782" s="70"/>
      <c r="J4782" s="71"/>
      <c r="K4782" s="71"/>
      <c r="L4782" s="72" t="str">
        <f>IFERROR(IF(G4782="","",VLOOKUP($G4782,[1]基础信息!$B:$C,2,FALSE)+SUMIF(G$8:G4782,G4782,J$8:J4782)-SUMIF(G$8:G4782,G4782,K$8:K4782)+SUMIFS([1]内部转账!$G:$G,[1]内部转账!$C:$C,"&lt;="&amp;$D4782,[1]内部转账!$E:$E,$G4782)-SUMIFS([1]内部转账!$G:$G,[1]内部转账!$C:$C,"&lt;="&amp;$D4782,[1]内部转账!$F:$F,$G4782)),"")</f>
        <v/>
      </c>
      <c r="M4782" s="64"/>
      <c r="N4782" s="69"/>
      <c r="O4782" s="64"/>
      <c r="P4782" s="64"/>
      <c r="Q4782" s="69"/>
      <c r="R4782" s="69"/>
      <c r="S4782" s="69"/>
    </row>
    <row r="4783" s="2" customFormat="1" ht="24.95" customHeight="1" spans="1:19">
      <c r="A4783" s="15"/>
      <c r="B4783" s="55"/>
      <c r="C4783" s="56"/>
      <c r="D4783" s="68"/>
      <c r="E4783" s="69"/>
      <c r="F4783" s="69"/>
      <c r="G4783" s="65"/>
      <c r="H4783" s="65"/>
      <c r="I4783" s="70"/>
      <c r="J4783" s="71"/>
      <c r="K4783" s="71"/>
      <c r="L4783" s="72" t="str">
        <f>IFERROR(IF(G4783="","",VLOOKUP($G4783,[1]基础信息!$B:$C,2,FALSE)+SUMIF(G$8:G4783,G4783,J$8:J4783)-SUMIF(G$8:G4783,G4783,K$8:K4783)+SUMIFS([1]内部转账!$G:$G,[1]内部转账!$C:$C,"&lt;="&amp;$D4783,[1]内部转账!$E:$E,$G4783)-SUMIFS([1]内部转账!$G:$G,[1]内部转账!$C:$C,"&lt;="&amp;$D4783,[1]内部转账!$F:$F,$G4783)),"")</f>
        <v/>
      </c>
      <c r="M4783" s="64"/>
      <c r="N4783" s="69"/>
      <c r="O4783" s="64"/>
      <c r="P4783" s="64"/>
      <c r="Q4783" s="69"/>
      <c r="R4783" s="69"/>
      <c r="S4783" s="69"/>
    </row>
    <row r="4784" s="2" customFormat="1" ht="24.95" customHeight="1" spans="1:19">
      <c r="A4784" s="15"/>
      <c r="B4784" s="55"/>
      <c r="C4784" s="56"/>
      <c r="D4784" s="68"/>
      <c r="E4784" s="69"/>
      <c r="F4784" s="69"/>
      <c r="G4784" s="65"/>
      <c r="H4784" s="65"/>
      <c r="I4784" s="70"/>
      <c r="J4784" s="71"/>
      <c r="K4784" s="71"/>
      <c r="L4784" s="72" t="str">
        <f>IFERROR(IF(G4784="","",VLOOKUP($G4784,[1]基础信息!$B:$C,2,FALSE)+SUMIF(G$8:G4784,G4784,J$8:J4784)-SUMIF(G$8:G4784,G4784,K$8:K4784)+SUMIFS([1]内部转账!$G:$G,[1]内部转账!$C:$C,"&lt;="&amp;$D4784,[1]内部转账!$E:$E,$G4784)-SUMIFS([1]内部转账!$G:$G,[1]内部转账!$C:$C,"&lt;="&amp;$D4784,[1]内部转账!$F:$F,$G4784)),"")</f>
        <v/>
      </c>
      <c r="M4784" s="64"/>
      <c r="N4784" s="69"/>
      <c r="O4784" s="64"/>
      <c r="P4784" s="64"/>
      <c r="Q4784" s="69"/>
      <c r="R4784" s="69"/>
      <c r="S4784" s="69"/>
    </row>
    <row r="4785" s="2" customFormat="1" ht="24.95" customHeight="1" spans="1:19">
      <c r="A4785" s="15"/>
      <c r="B4785" s="55"/>
      <c r="C4785" s="56"/>
      <c r="D4785" s="68"/>
      <c r="E4785" s="69"/>
      <c r="F4785" s="69"/>
      <c r="G4785" s="65"/>
      <c r="H4785" s="65"/>
      <c r="I4785" s="70"/>
      <c r="J4785" s="71"/>
      <c r="K4785" s="71"/>
      <c r="L4785" s="72" t="str">
        <f>IFERROR(IF(G4785="","",VLOOKUP($G4785,[1]基础信息!$B:$C,2,FALSE)+SUMIF(G$8:G4785,G4785,J$8:J4785)-SUMIF(G$8:G4785,G4785,K$8:K4785)+SUMIFS([1]内部转账!$G:$G,[1]内部转账!$C:$C,"&lt;="&amp;$D4785,[1]内部转账!$E:$E,$G4785)-SUMIFS([1]内部转账!$G:$G,[1]内部转账!$C:$C,"&lt;="&amp;$D4785,[1]内部转账!$F:$F,$G4785)),"")</f>
        <v/>
      </c>
      <c r="M4785" s="64"/>
      <c r="N4785" s="69"/>
      <c r="O4785" s="64"/>
      <c r="P4785" s="64"/>
      <c r="Q4785" s="69"/>
      <c r="R4785" s="69"/>
      <c r="S4785" s="69"/>
    </row>
    <row r="4786" s="2" customFormat="1" ht="24.95" customHeight="1" spans="1:19">
      <c r="A4786" s="15"/>
      <c r="B4786" s="55"/>
      <c r="C4786" s="56"/>
      <c r="D4786" s="68"/>
      <c r="E4786" s="69"/>
      <c r="F4786" s="69"/>
      <c r="G4786" s="65"/>
      <c r="H4786" s="65"/>
      <c r="I4786" s="70"/>
      <c r="J4786" s="71"/>
      <c r="K4786" s="71"/>
      <c r="L4786" s="72" t="str">
        <f>IFERROR(IF(G4786="","",VLOOKUP($G4786,[1]基础信息!$B:$C,2,FALSE)+SUMIF(G$8:G4786,G4786,J$8:J4786)-SUMIF(G$8:G4786,G4786,K$8:K4786)+SUMIFS([1]内部转账!$G:$G,[1]内部转账!$C:$C,"&lt;="&amp;$D4786,[1]内部转账!$E:$E,$G4786)-SUMIFS([1]内部转账!$G:$G,[1]内部转账!$C:$C,"&lt;="&amp;$D4786,[1]内部转账!$F:$F,$G4786)),"")</f>
        <v/>
      </c>
      <c r="M4786" s="64"/>
      <c r="N4786" s="69"/>
      <c r="O4786" s="64"/>
      <c r="P4786" s="64"/>
      <c r="Q4786" s="69"/>
      <c r="R4786" s="69"/>
      <c r="S4786" s="69"/>
    </row>
    <row r="4787" s="2" customFormat="1" ht="24.95" customHeight="1" spans="1:19">
      <c r="A4787" s="15"/>
      <c r="B4787" s="55"/>
      <c r="C4787" s="56"/>
      <c r="D4787" s="68"/>
      <c r="E4787" s="69"/>
      <c r="F4787" s="69"/>
      <c r="G4787" s="65"/>
      <c r="H4787" s="65"/>
      <c r="I4787" s="70"/>
      <c r="J4787" s="71"/>
      <c r="K4787" s="71"/>
      <c r="L4787" s="72" t="str">
        <f>IFERROR(IF(G4787="","",VLOOKUP($G4787,[1]基础信息!$B:$C,2,FALSE)+SUMIF(G$8:G4787,G4787,J$8:J4787)-SUMIF(G$8:G4787,G4787,K$8:K4787)+SUMIFS([1]内部转账!$G:$G,[1]内部转账!$C:$C,"&lt;="&amp;$D4787,[1]内部转账!$E:$E,$G4787)-SUMIFS([1]内部转账!$G:$G,[1]内部转账!$C:$C,"&lt;="&amp;$D4787,[1]内部转账!$F:$F,$G4787)),"")</f>
        <v/>
      </c>
      <c r="M4787" s="64"/>
      <c r="N4787" s="69"/>
      <c r="O4787" s="64"/>
      <c r="P4787" s="64"/>
      <c r="Q4787" s="69"/>
      <c r="R4787" s="69"/>
      <c r="S4787" s="69"/>
    </row>
    <row r="4788" s="2" customFormat="1" ht="24.95" customHeight="1" spans="1:19">
      <c r="A4788" s="15"/>
      <c r="B4788" s="55"/>
      <c r="C4788" s="56"/>
      <c r="D4788" s="68"/>
      <c r="E4788" s="69"/>
      <c r="F4788" s="69"/>
      <c r="G4788" s="65"/>
      <c r="H4788" s="65"/>
      <c r="I4788" s="70"/>
      <c r="J4788" s="71"/>
      <c r="K4788" s="71"/>
      <c r="L4788" s="72" t="str">
        <f>IFERROR(IF(G4788="","",VLOOKUP($G4788,[1]基础信息!$B:$C,2,FALSE)+SUMIF(G$8:G4788,G4788,J$8:J4788)-SUMIF(G$8:G4788,G4788,K$8:K4788)+SUMIFS([1]内部转账!$G:$G,[1]内部转账!$C:$C,"&lt;="&amp;$D4788,[1]内部转账!$E:$E,$G4788)-SUMIFS([1]内部转账!$G:$G,[1]内部转账!$C:$C,"&lt;="&amp;$D4788,[1]内部转账!$F:$F,$G4788)),"")</f>
        <v/>
      </c>
      <c r="M4788" s="64"/>
      <c r="N4788" s="69"/>
      <c r="O4788" s="64"/>
      <c r="P4788" s="64"/>
      <c r="Q4788" s="69"/>
      <c r="R4788" s="69"/>
      <c r="S4788" s="69"/>
    </row>
    <row r="4789" s="2" customFormat="1" ht="24.95" customHeight="1" spans="1:19">
      <c r="A4789" s="15"/>
      <c r="B4789" s="55"/>
      <c r="C4789" s="56"/>
      <c r="D4789" s="68"/>
      <c r="E4789" s="69"/>
      <c r="F4789" s="69"/>
      <c r="G4789" s="65"/>
      <c r="H4789" s="65"/>
      <c r="I4789" s="70"/>
      <c r="J4789" s="71"/>
      <c r="K4789" s="71"/>
      <c r="L4789" s="72" t="str">
        <f>IFERROR(IF(G4789="","",VLOOKUP($G4789,[1]基础信息!$B:$C,2,FALSE)+SUMIF(G$8:G4789,G4789,J$8:J4789)-SUMIF(G$8:G4789,G4789,K$8:K4789)+SUMIFS([1]内部转账!$G:$G,[1]内部转账!$C:$C,"&lt;="&amp;$D4789,[1]内部转账!$E:$E,$G4789)-SUMIFS([1]内部转账!$G:$G,[1]内部转账!$C:$C,"&lt;="&amp;$D4789,[1]内部转账!$F:$F,$G4789)),"")</f>
        <v/>
      </c>
      <c r="M4789" s="64"/>
      <c r="N4789" s="69"/>
      <c r="O4789" s="64"/>
      <c r="P4789" s="64"/>
      <c r="Q4789" s="69"/>
      <c r="R4789" s="69"/>
      <c r="S4789" s="69"/>
    </row>
    <row r="4790" s="2" customFormat="1" ht="24.95" customHeight="1" spans="1:19">
      <c r="A4790" s="15"/>
      <c r="B4790" s="55"/>
      <c r="C4790" s="56"/>
      <c r="D4790" s="68"/>
      <c r="E4790" s="69"/>
      <c r="F4790" s="69"/>
      <c r="G4790" s="65"/>
      <c r="H4790" s="65"/>
      <c r="I4790" s="70"/>
      <c r="J4790" s="71"/>
      <c r="K4790" s="71"/>
      <c r="L4790" s="72" t="str">
        <f>IFERROR(IF(G4790="","",VLOOKUP($G4790,[1]基础信息!$B:$C,2,FALSE)+SUMIF(G$8:G4790,G4790,J$8:J4790)-SUMIF(G$8:G4790,G4790,K$8:K4790)+SUMIFS([1]内部转账!$G:$G,[1]内部转账!$C:$C,"&lt;="&amp;$D4790,[1]内部转账!$E:$E,$G4790)-SUMIFS([1]内部转账!$G:$G,[1]内部转账!$C:$C,"&lt;="&amp;$D4790,[1]内部转账!$F:$F,$G4790)),"")</f>
        <v/>
      </c>
      <c r="M4790" s="64"/>
      <c r="N4790" s="69"/>
      <c r="O4790" s="64"/>
      <c r="P4790" s="64"/>
      <c r="Q4790" s="69"/>
      <c r="R4790" s="69"/>
      <c r="S4790" s="69"/>
    </row>
    <row r="4791" s="2" customFormat="1" ht="24.95" customHeight="1" spans="1:19">
      <c r="A4791" s="15"/>
      <c r="B4791" s="55"/>
      <c r="C4791" s="56"/>
      <c r="D4791" s="68"/>
      <c r="E4791" s="69"/>
      <c r="F4791" s="69"/>
      <c r="G4791" s="65"/>
      <c r="H4791" s="65"/>
      <c r="I4791" s="70"/>
      <c r="J4791" s="71"/>
      <c r="K4791" s="71"/>
      <c r="L4791" s="72" t="str">
        <f>IFERROR(IF(G4791="","",VLOOKUP($G4791,[1]基础信息!$B:$C,2,FALSE)+SUMIF(G$8:G4791,G4791,J$8:J4791)-SUMIF(G$8:G4791,G4791,K$8:K4791)+SUMIFS([1]内部转账!$G:$G,[1]内部转账!$C:$C,"&lt;="&amp;$D4791,[1]内部转账!$E:$E,$G4791)-SUMIFS([1]内部转账!$G:$G,[1]内部转账!$C:$C,"&lt;="&amp;$D4791,[1]内部转账!$F:$F,$G4791)),"")</f>
        <v/>
      </c>
      <c r="M4791" s="64"/>
      <c r="N4791" s="69"/>
      <c r="O4791" s="64"/>
      <c r="P4791" s="64"/>
      <c r="Q4791" s="69"/>
      <c r="R4791" s="69"/>
      <c r="S4791" s="69"/>
    </row>
    <row r="4792" s="2" customFormat="1" ht="24.95" customHeight="1" spans="1:19">
      <c r="A4792" s="15"/>
      <c r="B4792" s="55"/>
      <c r="C4792" s="56"/>
      <c r="D4792" s="68"/>
      <c r="E4792" s="69"/>
      <c r="F4792" s="69"/>
      <c r="G4792" s="65"/>
      <c r="H4792" s="65"/>
      <c r="I4792" s="70"/>
      <c r="J4792" s="71"/>
      <c r="K4792" s="71"/>
      <c r="L4792" s="72" t="str">
        <f>IFERROR(IF(G4792="","",VLOOKUP($G4792,[1]基础信息!$B:$C,2,FALSE)+SUMIF(G$8:G4792,G4792,J$8:J4792)-SUMIF(G$8:G4792,G4792,K$8:K4792)+SUMIFS([1]内部转账!$G:$G,[1]内部转账!$C:$C,"&lt;="&amp;$D4792,[1]内部转账!$E:$E,$G4792)-SUMIFS([1]内部转账!$G:$G,[1]内部转账!$C:$C,"&lt;="&amp;$D4792,[1]内部转账!$F:$F,$G4792)),"")</f>
        <v/>
      </c>
      <c r="M4792" s="64"/>
      <c r="N4792" s="69"/>
      <c r="O4792" s="64"/>
      <c r="P4792" s="64"/>
      <c r="Q4792" s="69"/>
      <c r="R4792" s="69"/>
      <c r="S4792" s="69"/>
    </row>
    <row r="4793" s="2" customFormat="1" ht="24.95" customHeight="1" spans="1:19">
      <c r="A4793" s="15"/>
      <c r="B4793" s="55"/>
      <c r="C4793" s="56"/>
      <c r="D4793" s="68"/>
      <c r="E4793" s="69"/>
      <c r="F4793" s="69"/>
      <c r="G4793" s="65"/>
      <c r="H4793" s="65"/>
      <c r="I4793" s="70"/>
      <c r="J4793" s="71"/>
      <c r="K4793" s="71"/>
      <c r="L4793" s="72" t="str">
        <f>IFERROR(IF(G4793="","",VLOOKUP($G4793,[1]基础信息!$B:$C,2,FALSE)+SUMIF(G$8:G4793,G4793,J$8:J4793)-SUMIF(G$8:G4793,G4793,K$8:K4793)+SUMIFS([1]内部转账!$G:$G,[1]内部转账!$C:$C,"&lt;="&amp;$D4793,[1]内部转账!$E:$E,$G4793)-SUMIFS([1]内部转账!$G:$G,[1]内部转账!$C:$C,"&lt;="&amp;$D4793,[1]内部转账!$F:$F,$G4793)),"")</f>
        <v/>
      </c>
      <c r="M4793" s="64"/>
      <c r="N4793" s="69"/>
      <c r="O4793" s="64"/>
      <c r="P4793" s="64"/>
      <c r="Q4793" s="69"/>
      <c r="R4793" s="69"/>
      <c r="S4793" s="69"/>
    </row>
    <row r="4794" s="2" customFormat="1" ht="24.95" customHeight="1" spans="1:19">
      <c r="A4794" s="15"/>
      <c r="B4794" s="55"/>
      <c r="C4794" s="56"/>
      <c r="D4794" s="68"/>
      <c r="E4794" s="69"/>
      <c r="F4794" s="69"/>
      <c r="G4794" s="65"/>
      <c r="H4794" s="65"/>
      <c r="I4794" s="70"/>
      <c r="J4794" s="71"/>
      <c r="K4794" s="71"/>
      <c r="L4794" s="72" t="str">
        <f>IFERROR(IF(G4794="","",VLOOKUP($G4794,[1]基础信息!$B:$C,2,FALSE)+SUMIF(G$8:G4794,G4794,J$8:J4794)-SUMIF(G$8:G4794,G4794,K$8:K4794)+SUMIFS([1]内部转账!$G:$G,[1]内部转账!$C:$C,"&lt;="&amp;$D4794,[1]内部转账!$E:$E,$G4794)-SUMIFS([1]内部转账!$G:$G,[1]内部转账!$C:$C,"&lt;="&amp;$D4794,[1]内部转账!$F:$F,$G4794)),"")</f>
        <v/>
      </c>
      <c r="M4794" s="64"/>
      <c r="N4794" s="69"/>
      <c r="O4794" s="64"/>
      <c r="P4794" s="64"/>
      <c r="Q4794" s="69"/>
      <c r="R4794" s="69"/>
      <c r="S4794" s="69"/>
    </row>
    <row r="4795" s="2" customFormat="1" ht="24.95" customHeight="1" spans="1:19">
      <c r="A4795" s="15"/>
      <c r="B4795" s="55"/>
      <c r="C4795" s="56"/>
      <c r="D4795" s="68"/>
      <c r="E4795" s="69"/>
      <c r="F4795" s="69"/>
      <c r="G4795" s="65"/>
      <c r="H4795" s="65"/>
      <c r="I4795" s="70"/>
      <c r="J4795" s="71"/>
      <c r="K4795" s="71"/>
      <c r="L4795" s="72" t="str">
        <f>IFERROR(IF(G4795="","",VLOOKUP($G4795,[1]基础信息!$B:$C,2,FALSE)+SUMIF(G$8:G4795,G4795,J$8:J4795)-SUMIF(G$8:G4795,G4795,K$8:K4795)+SUMIFS([1]内部转账!$G:$G,[1]内部转账!$C:$C,"&lt;="&amp;$D4795,[1]内部转账!$E:$E,$G4795)-SUMIFS([1]内部转账!$G:$G,[1]内部转账!$C:$C,"&lt;="&amp;$D4795,[1]内部转账!$F:$F,$G4795)),"")</f>
        <v/>
      </c>
      <c r="M4795" s="64"/>
      <c r="N4795" s="69"/>
      <c r="O4795" s="64"/>
      <c r="P4795" s="64"/>
      <c r="Q4795" s="69"/>
      <c r="R4795" s="69"/>
      <c r="S4795" s="69"/>
    </row>
    <row r="4796" s="2" customFormat="1" ht="24.95" customHeight="1" spans="1:19">
      <c r="A4796" s="15"/>
      <c r="B4796" s="55"/>
      <c r="C4796" s="56"/>
      <c r="D4796" s="68"/>
      <c r="E4796" s="69"/>
      <c r="F4796" s="69"/>
      <c r="G4796" s="65"/>
      <c r="H4796" s="65"/>
      <c r="I4796" s="70"/>
      <c r="J4796" s="71"/>
      <c r="K4796" s="71"/>
      <c r="L4796" s="72" t="str">
        <f>IFERROR(IF(G4796="","",VLOOKUP($G4796,[1]基础信息!$B:$C,2,FALSE)+SUMIF(G$8:G4796,G4796,J$8:J4796)-SUMIF(G$8:G4796,G4796,K$8:K4796)+SUMIFS([1]内部转账!$G:$G,[1]内部转账!$C:$C,"&lt;="&amp;$D4796,[1]内部转账!$E:$E,$G4796)-SUMIFS([1]内部转账!$G:$G,[1]内部转账!$C:$C,"&lt;="&amp;$D4796,[1]内部转账!$F:$F,$G4796)),"")</f>
        <v/>
      </c>
      <c r="M4796" s="64"/>
      <c r="N4796" s="69"/>
      <c r="O4796" s="64"/>
      <c r="P4796" s="64"/>
      <c r="Q4796" s="69"/>
      <c r="R4796" s="69"/>
      <c r="S4796" s="69"/>
    </row>
    <row r="4797" s="2" customFormat="1" ht="24.95" customHeight="1" spans="1:19">
      <c r="A4797" s="15"/>
      <c r="B4797" s="55"/>
      <c r="C4797" s="56"/>
      <c r="D4797" s="68"/>
      <c r="E4797" s="69"/>
      <c r="F4797" s="69"/>
      <c r="G4797" s="65"/>
      <c r="H4797" s="65"/>
      <c r="I4797" s="70"/>
      <c r="J4797" s="71"/>
      <c r="K4797" s="71"/>
      <c r="L4797" s="72" t="str">
        <f>IFERROR(IF(G4797="","",VLOOKUP($G4797,[1]基础信息!$B:$C,2,FALSE)+SUMIF(G$8:G4797,G4797,J$8:J4797)-SUMIF(G$8:G4797,G4797,K$8:K4797)+SUMIFS([1]内部转账!$G:$G,[1]内部转账!$C:$C,"&lt;="&amp;$D4797,[1]内部转账!$E:$E,$G4797)-SUMIFS([1]内部转账!$G:$G,[1]内部转账!$C:$C,"&lt;="&amp;$D4797,[1]内部转账!$F:$F,$G4797)),"")</f>
        <v/>
      </c>
      <c r="M4797" s="64"/>
      <c r="N4797" s="69"/>
      <c r="O4797" s="64"/>
      <c r="P4797" s="64"/>
      <c r="Q4797" s="69"/>
      <c r="R4797" s="69"/>
      <c r="S4797" s="69"/>
    </row>
    <row r="4798" s="2" customFormat="1" ht="24.95" customHeight="1" spans="1:19">
      <c r="A4798" s="15"/>
      <c r="B4798" s="55"/>
      <c r="C4798" s="56"/>
      <c r="D4798" s="68"/>
      <c r="E4798" s="69"/>
      <c r="F4798" s="69"/>
      <c r="G4798" s="65"/>
      <c r="H4798" s="65"/>
      <c r="I4798" s="70"/>
      <c r="J4798" s="71"/>
      <c r="K4798" s="71"/>
      <c r="L4798" s="72" t="str">
        <f>IFERROR(IF(G4798="","",VLOOKUP($G4798,[1]基础信息!$B:$C,2,FALSE)+SUMIF(G$8:G4798,G4798,J$8:J4798)-SUMIF(G$8:G4798,G4798,K$8:K4798)+SUMIFS([1]内部转账!$G:$G,[1]内部转账!$C:$C,"&lt;="&amp;$D4798,[1]内部转账!$E:$E,$G4798)-SUMIFS([1]内部转账!$G:$G,[1]内部转账!$C:$C,"&lt;="&amp;$D4798,[1]内部转账!$F:$F,$G4798)),"")</f>
        <v/>
      </c>
      <c r="M4798" s="64"/>
      <c r="N4798" s="69"/>
      <c r="O4798" s="64"/>
      <c r="P4798" s="64"/>
      <c r="Q4798" s="69"/>
      <c r="R4798" s="69"/>
      <c r="S4798" s="69"/>
    </row>
    <row r="4799" s="2" customFormat="1" ht="24.95" customHeight="1" spans="1:19">
      <c r="A4799" s="15"/>
      <c r="B4799" s="55"/>
      <c r="C4799" s="56"/>
      <c r="D4799" s="68"/>
      <c r="E4799" s="69"/>
      <c r="F4799" s="69"/>
      <c r="G4799" s="65"/>
      <c r="H4799" s="65"/>
      <c r="I4799" s="70"/>
      <c r="J4799" s="71"/>
      <c r="K4799" s="71"/>
      <c r="L4799" s="72" t="str">
        <f>IFERROR(IF(G4799="","",VLOOKUP($G4799,[1]基础信息!$B:$C,2,FALSE)+SUMIF(G$8:G4799,G4799,J$8:J4799)-SUMIF(G$8:G4799,G4799,K$8:K4799)+SUMIFS([1]内部转账!$G:$G,[1]内部转账!$C:$C,"&lt;="&amp;$D4799,[1]内部转账!$E:$E,$G4799)-SUMIFS([1]内部转账!$G:$G,[1]内部转账!$C:$C,"&lt;="&amp;$D4799,[1]内部转账!$F:$F,$G4799)),"")</f>
        <v/>
      </c>
      <c r="M4799" s="64"/>
      <c r="N4799" s="69"/>
      <c r="O4799" s="64"/>
      <c r="P4799" s="64"/>
      <c r="Q4799" s="69"/>
      <c r="R4799" s="69"/>
      <c r="S4799" s="69"/>
    </row>
    <row r="4800" s="2" customFormat="1" ht="24.95" customHeight="1" spans="1:19">
      <c r="A4800" s="15"/>
      <c r="B4800" s="55"/>
      <c r="C4800" s="56"/>
      <c r="D4800" s="68"/>
      <c r="E4800" s="69"/>
      <c r="F4800" s="69"/>
      <c r="G4800" s="65"/>
      <c r="H4800" s="65"/>
      <c r="I4800" s="70"/>
      <c r="J4800" s="71"/>
      <c r="K4800" s="71"/>
      <c r="L4800" s="72" t="str">
        <f>IFERROR(IF(G4800="","",VLOOKUP($G4800,[1]基础信息!$B:$C,2,FALSE)+SUMIF(G$8:G4800,G4800,J$8:J4800)-SUMIF(G$8:G4800,G4800,K$8:K4800)+SUMIFS([1]内部转账!$G:$G,[1]内部转账!$C:$C,"&lt;="&amp;$D4800,[1]内部转账!$E:$E,$G4800)-SUMIFS([1]内部转账!$G:$G,[1]内部转账!$C:$C,"&lt;="&amp;$D4800,[1]内部转账!$F:$F,$G4800)),"")</f>
        <v/>
      </c>
      <c r="M4800" s="64"/>
      <c r="N4800" s="69"/>
      <c r="O4800" s="64"/>
      <c r="P4800" s="64"/>
      <c r="Q4800" s="69"/>
      <c r="R4800" s="69"/>
      <c r="S4800" s="69"/>
    </row>
    <row r="4801" s="2" customFormat="1" ht="24.95" customHeight="1" spans="1:19">
      <c r="A4801" s="15"/>
      <c r="B4801" s="55"/>
      <c r="C4801" s="56"/>
      <c r="D4801" s="68"/>
      <c r="E4801" s="69"/>
      <c r="F4801" s="69"/>
      <c r="G4801" s="65"/>
      <c r="H4801" s="65"/>
      <c r="I4801" s="70"/>
      <c r="J4801" s="71"/>
      <c r="K4801" s="71"/>
      <c r="L4801" s="72" t="str">
        <f>IFERROR(IF(G4801="","",VLOOKUP($G4801,[1]基础信息!$B:$C,2,FALSE)+SUMIF(G$8:G4801,G4801,J$8:J4801)-SUMIF(G$8:G4801,G4801,K$8:K4801)+SUMIFS([1]内部转账!$G:$G,[1]内部转账!$C:$C,"&lt;="&amp;$D4801,[1]内部转账!$E:$E,$G4801)-SUMIFS([1]内部转账!$G:$G,[1]内部转账!$C:$C,"&lt;="&amp;$D4801,[1]内部转账!$F:$F,$G4801)),"")</f>
        <v/>
      </c>
      <c r="M4801" s="64"/>
      <c r="N4801" s="69"/>
      <c r="O4801" s="64"/>
      <c r="P4801" s="64"/>
      <c r="Q4801" s="69"/>
      <c r="R4801" s="69"/>
      <c r="S4801" s="69"/>
    </row>
    <row r="4802" s="2" customFormat="1" ht="24.95" customHeight="1" spans="1:19">
      <c r="A4802" s="15"/>
      <c r="B4802" s="55"/>
      <c r="C4802" s="56"/>
      <c r="D4802" s="68"/>
      <c r="E4802" s="69"/>
      <c r="F4802" s="69"/>
      <c r="G4802" s="65"/>
      <c r="H4802" s="65"/>
      <c r="I4802" s="70"/>
      <c r="J4802" s="71"/>
      <c r="K4802" s="71"/>
      <c r="L4802" s="72" t="str">
        <f>IFERROR(IF(G4802="","",VLOOKUP($G4802,[1]基础信息!$B:$C,2,FALSE)+SUMIF(G$8:G4802,G4802,J$8:J4802)-SUMIF(G$8:G4802,G4802,K$8:K4802)+SUMIFS([1]内部转账!$G:$G,[1]内部转账!$C:$C,"&lt;="&amp;$D4802,[1]内部转账!$E:$E,$G4802)-SUMIFS([1]内部转账!$G:$G,[1]内部转账!$C:$C,"&lt;="&amp;$D4802,[1]内部转账!$F:$F,$G4802)),"")</f>
        <v/>
      </c>
      <c r="M4802" s="64"/>
      <c r="N4802" s="69"/>
      <c r="O4802" s="64"/>
      <c r="P4802" s="64"/>
      <c r="Q4802" s="69"/>
      <c r="R4802" s="69"/>
      <c r="S4802" s="69"/>
    </row>
    <row r="4803" s="2" customFormat="1" ht="24.95" customHeight="1" spans="1:19">
      <c r="A4803" s="15"/>
      <c r="B4803" s="55"/>
      <c r="C4803" s="56"/>
      <c r="D4803" s="68"/>
      <c r="E4803" s="69"/>
      <c r="F4803" s="69"/>
      <c r="G4803" s="65"/>
      <c r="H4803" s="65"/>
      <c r="I4803" s="70"/>
      <c r="J4803" s="71"/>
      <c r="K4803" s="71"/>
      <c r="L4803" s="72" t="str">
        <f>IFERROR(IF(G4803="","",VLOOKUP($G4803,[1]基础信息!$B:$C,2,FALSE)+SUMIF(G$8:G4803,G4803,J$8:J4803)-SUMIF(G$8:G4803,G4803,K$8:K4803)+SUMIFS([1]内部转账!$G:$G,[1]内部转账!$C:$C,"&lt;="&amp;$D4803,[1]内部转账!$E:$E,$G4803)-SUMIFS([1]内部转账!$G:$G,[1]内部转账!$C:$C,"&lt;="&amp;$D4803,[1]内部转账!$F:$F,$G4803)),"")</f>
        <v/>
      </c>
      <c r="M4803" s="64"/>
      <c r="N4803" s="69"/>
      <c r="O4803" s="64"/>
      <c r="P4803" s="64"/>
      <c r="Q4803" s="69"/>
      <c r="R4803" s="69"/>
      <c r="S4803" s="69"/>
    </row>
    <row r="4804" s="2" customFormat="1" ht="24.95" customHeight="1" spans="1:19">
      <c r="A4804" s="15"/>
      <c r="B4804" s="55"/>
      <c r="C4804" s="56"/>
      <c r="D4804" s="68"/>
      <c r="E4804" s="69"/>
      <c r="F4804" s="69"/>
      <c r="G4804" s="65"/>
      <c r="H4804" s="65"/>
      <c r="I4804" s="70"/>
      <c r="J4804" s="71"/>
      <c r="K4804" s="71"/>
      <c r="L4804" s="72" t="str">
        <f>IFERROR(IF(G4804="","",VLOOKUP($G4804,[1]基础信息!$B:$C,2,FALSE)+SUMIF(G$8:G4804,G4804,J$8:J4804)-SUMIF(G$8:G4804,G4804,K$8:K4804)+SUMIFS([1]内部转账!$G:$G,[1]内部转账!$C:$C,"&lt;="&amp;$D4804,[1]内部转账!$E:$E,$G4804)-SUMIFS([1]内部转账!$G:$G,[1]内部转账!$C:$C,"&lt;="&amp;$D4804,[1]内部转账!$F:$F,$G4804)),"")</f>
        <v/>
      </c>
      <c r="M4804" s="64"/>
      <c r="N4804" s="69"/>
      <c r="O4804" s="64"/>
      <c r="P4804" s="64"/>
      <c r="Q4804" s="69"/>
      <c r="R4804" s="69"/>
      <c r="S4804" s="69"/>
    </row>
    <row r="4805" s="2" customFormat="1" ht="24.95" customHeight="1" spans="1:19">
      <c r="A4805" s="15"/>
      <c r="B4805" s="55"/>
      <c r="C4805" s="56"/>
      <c r="D4805" s="68"/>
      <c r="E4805" s="69"/>
      <c r="F4805" s="69"/>
      <c r="G4805" s="65"/>
      <c r="H4805" s="65"/>
      <c r="I4805" s="70"/>
      <c r="J4805" s="71"/>
      <c r="K4805" s="71"/>
      <c r="L4805" s="72" t="str">
        <f>IFERROR(IF(G4805="","",VLOOKUP($G4805,[1]基础信息!$B:$C,2,FALSE)+SUMIF(G$8:G4805,G4805,J$8:J4805)-SUMIF(G$8:G4805,G4805,K$8:K4805)+SUMIFS([1]内部转账!$G:$G,[1]内部转账!$C:$C,"&lt;="&amp;$D4805,[1]内部转账!$E:$E,$G4805)-SUMIFS([1]内部转账!$G:$G,[1]内部转账!$C:$C,"&lt;="&amp;$D4805,[1]内部转账!$F:$F,$G4805)),"")</f>
        <v/>
      </c>
      <c r="M4805" s="64"/>
      <c r="N4805" s="69"/>
      <c r="O4805" s="64"/>
      <c r="P4805" s="64"/>
      <c r="Q4805" s="69"/>
      <c r="R4805" s="69"/>
      <c r="S4805" s="69"/>
    </row>
    <row r="4806" s="2" customFormat="1" ht="24.95" customHeight="1" spans="1:19">
      <c r="A4806" s="15"/>
      <c r="B4806" s="55"/>
      <c r="C4806" s="56"/>
      <c r="D4806" s="68"/>
      <c r="E4806" s="69"/>
      <c r="F4806" s="69"/>
      <c r="G4806" s="65"/>
      <c r="H4806" s="65"/>
      <c r="I4806" s="70"/>
      <c r="J4806" s="71"/>
      <c r="K4806" s="71"/>
      <c r="L4806" s="72" t="str">
        <f>IFERROR(IF(G4806="","",VLOOKUP($G4806,[1]基础信息!$B:$C,2,FALSE)+SUMIF(G$8:G4806,G4806,J$8:J4806)-SUMIF(G$8:G4806,G4806,K$8:K4806)+SUMIFS([1]内部转账!$G:$G,[1]内部转账!$C:$C,"&lt;="&amp;$D4806,[1]内部转账!$E:$E,$G4806)-SUMIFS([1]内部转账!$G:$G,[1]内部转账!$C:$C,"&lt;="&amp;$D4806,[1]内部转账!$F:$F,$G4806)),"")</f>
        <v/>
      </c>
      <c r="M4806" s="64"/>
      <c r="N4806" s="69"/>
      <c r="O4806" s="64"/>
      <c r="P4806" s="64"/>
      <c r="Q4806" s="69"/>
      <c r="R4806" s="69"/>
      <c r="S4806" s="69"/>
    </row>
    <row r="4807" s="2" customFormat="1" ht="24.95" customHeight="1" spans="1:19">
      <c r="A4807" s="15"/>
      <c r="B4807" s="55"/>
      <c r="C4807" s="56"/>
      <c r="D4807" s="68"/>
      <c r="E4807" s="69"/>
      <c r="F4807" s="69"/>
      <c r="G4807" s="65"/>
      <c r="H4807" s="65"/>
      <c r="I4807" s="70"/>
      <c r="J4807" s="71"/>
      <c r="K4807" s="71"/>
      <c r="L4807" s="72" t="str">
        <f>IFERROR(IF(G4807="","",VLOOKUP($G4807,[1]基础信息!$B:$C,2,FALSE)+SUMIF(G$8:G4807,G4807,J$8:J4807)-SUMIF(G$8:G4807,G4807,K$8:K4807)+SUMIFS([1]内部转账!$G:$G,[1]内部转账!$C:$C,"&lt;="&amp;$D4807,[1]内部转账!$E:$E,$G4807)-SUMIFS([1]内部转账!$G:$G,[1]内部转账!$C:$C,"&lt;="&amp;$D4807,[1]内部转账!$F:$F,$G4807)),"")</f>
        <v/>
      </c>
      <c r="M4807" s="64"/>
      <c r="N4807" s="69"/>
      <c r="O4807" s="64"/>
      <c r="P4807" s="64"/>
      <c r="Q4807" s="69"/>
      <c r="R4807" s="69"/>
      <c r="S4807" s="69"/>
    </row>
    <row r="4808" s="2" customFormat="1" ht="24.95" customHeight="1" spans="1:19">
      <c r="A4808" s="15"/>
      <c r="B4808" s="55"/>
      <c r="C4808" s="56"/>
      <c r="D4808" s="68"/>
      <c r="E4808" s="69"/>
      <c r="F4808" s="69"/>
      <c r="G4808" s="65"/>
      <c r="H4808" s="65"/>
      <c r="I4808" s="70"/>
      <c r="J4808" s="71"/>
      <c r="K4808" s="71"/>
      <c r="L4808" s="72" t="str">
        <f>IFERROR(IF(G4808="","",VLOOKUP($G4808,[1]基础信息!$B:$C,2,FALSE)+SUMIF(G$8:G4808,G4808,J$8:J4808)-SUMIF(G$8:G4808,G4808,K$8:K4808)+SUMIFS([1]内部转账!$G:$G,[1]内部转账!$C:$C,"&lt;="&amp;$D4808,[1]内部转账!$E:$E,$G4808)-SUMIFS([1]内部转账!$G:$G,[1]内部转账!$C:$C,"&lt;="&amp;$D4808,[1]内部转账!$F:$F,$G4808)),"")</f>
        <v/>
      </c>
      <c r="M4808" s="64"/>
      <c r="N4808" s="69"/>
      <c r="O4808" s="64"/>
      <c r="P4808" s="64"/>
      <c r="Q4808" s="69"/>
      <c r="R4808" s="69"/>
      <c r="S4808" s="69"/>
    </row>
    <row r="4809" s="2" customFormat="1" ht="24.95" customHeight="1" spans="1:19">
      <c r="A4809" s="15"/>
      <c r="B4809" s="55"/>
      <c r="C4809" s="56"/>
      <c r="D4809" s="68"/>
      <c r="E4809" s="69"/>
      <c r="F4809" s="69"/>
      <c r="G4809" s="65"/>
      <c r="H4809" s="65"/>
      <c r="I4809" s="70"/>
      <c r="J4809" s="71"/>
      <c r="K4809" s="71"/>
      <c r="L4809" s="72" t="str">
        <f>IFERROR(IF(G4809="","",VLOOKUP($G4809,[1]基础信息!$B:$C,2,FALSE)+SUMIF(G$8:G4809,G4809,J$8:J4809)-SUMIF(G$8:G4809,G4809,K$8:K4809)+SUMIFS([1]内部转账!$G:$G,[1]内部转账!$C:$C,"&lt;="&amp;$D4809,[1]内部转账!$E:$E,$G4809)-SUMIFS([1]内部转账!$G:$G,[1]内部转账!$C:$C,"&lt;="&amp;$D4809,[1]内部转账!$F:$F,$G4809)),"")</f>
        <v/>
      </c>
      <c r="M4809" s="64"/>
      <c r="N4809" s="69"/>
      <c r="O4809" s="64"/>
      <c r="P4809" s="64"/>
      <c r="Q4809" s="69"/>
      <c r="R4809" s="69"/>
      <c r="S4809" s="69"/>
    </row>
    <row r="4810" s="2" customFormat="1" ht="24.95" customHeight="1" spans="1:19">
      <c r="A4810" s="15"/>
      <c r="B4810" s="55"/>
      <c r="C4810" s="56"/>
      <c r="D4810" s="68"/>
      <c r="E4810" s="69"/>
      <c r="F4810" s="69"/>
      <c r="G4810" s="65"/>
      <c r="H4810" s="65"/>
      <c r="I4810" s="70"/>
      <c r="J4810" s="71"/>
      <c r="K4810" s="71"/>
      <c r="L4810" s="72" t="str">
        <f>IFERROR(IF(G4810="","",VLOOKUP($G4810,[1]基础信息!$B:$C,2,FALSE)+SUMIF(G$8:G4810,G4810,J$8:J4810)-SUMIF(G$8:G4810,G4810,K$8:K4810)+SUMIFS([1]内部转账!$G:$G,[1]内部转账!$C:$C,"&lt;="&amp;$D4810,[1]内部转账!$E:$E,$G4810)-SUMIFS([1]内部转账!$G:$G,[1]内部转账!$C:$C,"&lt;="&amp;$D4810,[1]内部转账!$F:$F,$G4810)),"")</f>
        <v/>
      </c>
      <c r="M4810" s="64"/>
      <c r="N4810" s="69"/>
      <c r="O4810" s="64"/>
      <c r="P4810" s="64"/>
      <c r="Q4810" s="69"/>
      <c r="R4810" s="69"/>
      <c r="S4810" s="69"/>
    </row>
    <row r="4811" s="2" customFormat="1" ht="24.95" customHeight="1" spans="1:19">
      <c r="A4811" s="15"/>
      <c r="B4811" s="55"/>
      <c r="C4811" s="56"/>
      <c r="D4811" s="68"/>
      <c r="E4811" s="69"/>
      <c r="F4811" s="69"/>
      <c r="G4811" s="65"/>
      <c r="H4811" s="65"/>
      <c r="I4811" s="70"/>
      <c r="J4811" s="71"/>
      <c r="K4811" s="71"/>
      <c r="L4811" s="72" t="str">
        <f>IFERROR(IF(G4811="","",VLOOKUP($G4811,[1]基础信息!$B:$C,2,FALSE)+SUMIF(G$8:G4811,G4811,J$8:J4811)-SUMIF(G$8:G4811,G4811,K$8:K4811)+SUMIFS([1]内部转账!$G:$G,[1]内部转账!$C:$C,"&lt;="&amp;$D4811,[1]内部转账!$E:$E,$G4811)-SUMIFS([1]内部转账!$G:$G,[1]内部转账!$C:$C,"&lt;="&amp;$D4811,[1]内部转账!$F:$F,$G4811)),"")</f>
        <v/>
      </c>
      <c r="M4811" s="64"/>
      <c r="N4811" s="69"/>
      <c r="O4811" s="64"/>
      <c r="P4811" s="64"/>
      <c r="Q4811" s="69"/>
      <c r="R4811" s="69"/>
      <c r="S4811" s="69"/>
    </row>
    <row r="4812" s="2" customFormat="1" ht="24.95" customHeight="1" spans="1:19">
      <c r="A4812" s="15"/>
      <c r="B4812" s="55"/>
      <c r="C4812" s="56"/>
      <c r="D4812" s="68"/>
      <c r="E4812" s="69"/>
      <c r="F4812" s="69"/>
      <c r="G4812" s="65"/>
      <c r="H4812" s="65"/>
      <c r="I4812" s="70"/>
      <c r="J4812" s="71"/>
      <c r="K4812" s="71"/>
      <c r="L4812" s="72" t="str">
        <f>IFERROR(IF(G4812="","",VLOOKUP($G4812,[1]基础信息!$B:$C,2,FALSE)+SUMIF(G$8:G4812,G4812,J$8:J4812)-SUMIF(G$8:G4812,G4812,K$8:K4812)+SUMIFS([1]内部转账!$G:$G,[1]内部转账!$C:$C,"&lt;="&amp;$D4812,[1]内部转账!$E:$E,$G4812)-SUMIFS([1]内部转账!$G:$G,[1]内部转账!$C:$C,"&lt;="&amp;$D4812,[1]内部转账!$F:$F,$G4812)),"")</f>
        <v/>
      </c>
      <c r="M4812" s="64"/>
      <c r="N4812" s="69"/>
      <c r="O4812" s="64"/>
      <c r="P4812" s="64"/>
      <c r="Q4812" s="69"/>
      <c r="R4812" s="69"/>
      <c r="S4812" s="69"/>
    </row>
    <row r="4813" s="2" customFormat="1" ht="24.95" customHeight="1" spans="1:19">
      <c r="A4813" s="15"/>
      <c r="B4813" s="55"/>
      <c r="C4813" s="56"/>
      <c r="D4813" s="68"/>
      <c r="E4813" s="69"/>
      <c r="F4813" s="69"/>
      <c r="G4813" s="65"/>
      <c r="H4813" s="65"/>
      <c r="I4813" s="70"/>
      <c r="J4813" s="71"/>
      <c r="K4813" s="71"/>
      <c r="L4813" s="72" t="str">
        <f>IFERROR(IF(G4813="","",VLOOKUP($G4813,[1]基础信息!$B:$C,2,FALSE)+SUMIF(G$8:G4813,G4813,J$8:J4813)-SUMIF(G$8:G4813,G4813,K$8:K4813)+SUMIFS([1]内部转账!$G:$G,[1]内部转账!$C:$C,"&lt;="&amp;$D4813,[1]内部转账!$E:$E,$G4813)-SUMIFS([1]内部转账!$G:$G,[1]内部转账!$C:$C,"&lt;="&amp;$D4813,[1]内部转账!$F:$F,$G4813)),"")</f>
        <v/>
      </c>
      <c r="M4813" s="64"/>
      <c r="N4813" s="69"/>
      <c r="O4813" s="64"/>
      <c r="P4813" s="64"/>
      <c r="Q4813" s="69"/>
      <c r="R4813" s="69"/>
      <c r="S4813" s="69"/>
    </row>
    <row r="4814" s="2" customFormat="1" ht="24.95" customHeight="1" spans="1:19">
      <c r="A4814" s="15"/>
      <c r="B4814" s="55"/>
      <c r="C4814" s="56"/>
      <c r="D4814" s="68"/>
      <c r="E4814" s="69"/>
      <c r="F4814" s="69"/>
      <c r="G4814" s="65"/>
      <c r="H4814" s="65"/>
      <c r="I4814" s="70"/>
      <c r="J4814" s="71"/>
      <c r="K4814" s="71"/>
      <c r="L4814" s="72" t="str">
        <f>IFERROR(IF(G4814="","",VLOOKUP($G4814,[1]基础信息!$B:$C,2,FALSE)+SUMIF(G$8:G4814,G4814,J$8:J4814)-SUMIF(G$8:G4814,G4814,K$8:K4814)+SUMIFS([1]内部转账!$G:$G,[1]内部转账!$C:$C,"&lt;="&amp;$D4814,[1]内部转账!$E:$E,$G4814)-SUMIFS([1]内部转账!$G:$G,[1]内部转账!$C:$C,"&lt;="&amp;$D4814,[1]内部转账!$F:$F,$G4814)),"")</f>
        <v/>
      </c>
      <c r="M4814" s="64"/>
      <c r="N4814" s="69"/>
      <c r="O4814" s="64"/>
      <c r="P4814" s="64"/>
      <c r="Q4814" s="69"/>
      <c r="R4814" s="69"/>
      <c r="S4814" s="69"/>
    </row>
    <row r="4815" s="2" customFormat="1" ht="24.95" customHeight="1" spans="1:19">
      <c r="A4815" s="15"/>
      <c r="B4815" s="55"/>
      <c r="C4815" s="56"/>
      <c r="D4815" s="68"/>
      <c r="E4815" s="69"/>
      <c r="F4815" s="69"/>
      <c r="G4815" s="65"/>
      <c r="H4815" s="65"/>
      <c r="I4815" s="70"/>
      <c r="J4815" s="71"/>
      <c r="K4815" s="71"/>
      <c r="L4815" s="72" t="str">
        <f>IFERROR(IF(G4815="","",VLOOKUP($G4815,[1]基础信息!$B:$C,2,FALSE)+SUMIF(G$8:G4815,G4815,J$8:J4815)-SUMIF(G$8:G4815,G4815,K$8:K4815)+SUMIFS([1]内部转账!$G:$G,[1]内部转账!$C:$C,"&lt;="&amp;$D4815,[1]内部转账!$E:$E,$G4815)-SUMIFS([1]内部转账!$G:$G,[1]内部转账!$C:$C,"&lt;="&amp;$D4815,[1]内部转账!$F:$F,$G4815)),"")</f>
        <v/>
      </c>
      <c r="M4815" s="64"/>
      <c r="N4815" s="69"/>
      <c r="O4815" s="64"/>
      <c r="P4815" s="64"/>
      <c r="Q4815" s="69"/>
      <c r="R4815" s="69"/>
      <c r="S4815" s="69"/>
    </row>
    <row r="4816" s="2" customFormat="1" ht="24.95" customHeight="1" spans="1:19">
      <c r="A4816" s="15"/>
      <c r="B4816" s="55"/>
      <c r="C4816" s="56"/>
      <c r="D4816" s="68"/>
      <c r="E4816" s="69"/>
      <c r="F4816" s="69"/>
      <c r="G4816" s="65"/>
      <c r="H4816" s="65"/>
      <c r="I4816" s="70"/>
      <c r="J4816" s="71"/>
      <c r="K4816" s="71"/>
      <c r="L4816" s="72" t="str">
        <f>IFERROR(IF(G4816="","",VLOOKUP($G4816,[1]基础信息!$B:$C,2,FALSE)+SUMIF(G$8:G4816,G4816,J$8:J4816)-SUMIF(G$8:G4816,G4816,K$8:K4816)+SUMIFS([1]内部转账!$G:$G,[1]内部转账!$C:$C,"&lt;="&amp;$D4816,[1]内部转账!$E:$E,$G4816)-SUMIFS([1]内部转账!$G:$G,[1]内部转账!$C:$C,"&lt;="&amp;$D4816,[1]内部转账!$F:$F,$G4816)),"")</f>
        <v/>
      </c>
      <c r="M4816" s="64"/>
      <c r="N4816" s="69"/>
      <c r="O4816" s="64"/>
      <c r="P4816" s="64"/>
      <c r="Q4816" s="69"/>
      <c r="R4816" s="69"/>
      <c r="S4816" s="69"/>
    </row>
    <row r="4817" s="2" customFormat="1" ht="24.95" customHeight="1" spans="1:19">
      <c r="A4817" s="15"/>
      <c r="B4817" s="55"/>
      <c r="C4817" s="56"/>
      <c r="D4817" s="68"/>
      <c r="E4817" s="69"/>
      <c r="F4817" s="69"/>
      <c r="G4817" s="65"/>
      <c r="H4817" s="65"/>
      <c r="I4817" s="70"/>
      <c r="J4817" s="71"/>
      <c r="K4817" s="71"/>
      <c r="L4817" s="72" t="str">
        <f>IFERROR(IF(G4817="","",VLOOKUP($G4817,[1]基础信息!$B:$C,2,FALSE)+SUMIF(G$8:G4817,G4817,J$8:J4817)-SUMIF(G$8:G4817,G4817,K$8:K4817)+SUMIFS([1]内部转账!$G:$G,[1]内部转账!$C:$C,"&lt;="&amp;$D4817,[1]内部转账!$E:$E,$G4817)-SUMIFS([1]内部转账!$G:$G,[1]内部转账!$C:$C,"&lt;="&amp;$D4817,[1]内部转账!$F:$F,$G4817)),"")</f>
        <v/>
      </c>
      <c r="M4817" s="64"/>
      <c r="N4817" s="69"/>
      <c r="O4817" s="64"/>
      <c r="P4817" s="64"/>
      <c r="Q4817" s="69"/>
      <c r="R4817" s="69"/>
      <c r="S4817" s="69"/>
    </row>
    <row r="4818" s="2" customFormat="1" ht="24.95" customHeight="1" spans="1:19">
      <c r="A4818" s="15"/>
      <c r="B4818" s="55"/>
      <c r="C4818" s="56"/>
      <c r="D4818" s="68"/>
      <c r="E4818" s="69"/>
      <c r="F4818" s="69"/>
      <c r="G4818" s="65"/>
      <c r="H4818" s="65"/>
      <c r="I4818" s="70"/>
      <c r="J4818" s="71"/>
      <c r="K4818" s="71"/>
      <c r="L4818" s="72" t="str">
        <f>IFERROR(IF(G4818="","",VLOOKUP($G4818,[1]基础信息!$B:$C,2,FALSE)+SUMIF(G$8:G4818,G4818,J$8:J4818)-SUMIF(G$8:G4818,G4818,K$8:K4818)+SUMIFS([1]内部转账!$G:$G,[1]内部转账!$C:$C,"&lt;="&amp;$D4818,[1]内部转账!$E:$E,$G4818)-SUMIFS([1]内部转账!$G:$G,[1]内部转账!$C:$C,"&lt;="&amp;$D4818,[1]内部转账!$F:$F,$G4818)),"")</f>
        <v/>
      </c>
      <c r="M4818" s="64"/>
      <c r="N4818" s="69"/>
      <c r="O4818" s="64"/>
      <c r="P4818" s="64"/>
      <c r="Q4818" s="69"/>
      <c r="R4818" s="69"/>
      <c r="S4818" s="69"/>
    </row>
    <row r="4819" s="2" customFormat="1" ht="24.95" customHeight="1" spans="1:19">
      <c r="A4819" s="15"/>
      <c r="B4819" s="55"/>
      <c r="C4819" s="56"/>
      <c r="D4819" s="68"/>
      <c r="E4819" s="69"/>
      <c r="F4819" s="69"/>
      <c r="G4819" s="65"/>
      <c r="H4819" s="65"/>
      <c r="I4819" s="70"/>
      <c r="J4819" s="71"/>
      <c r="K4819" s="71"/>
      <c r="L4819" s="72" t="str">
        <f>IFERROR(IF(G4819="","",VLOOKUP($G4819,[1]基础信息!$B:$C,2,FALSE)+SUMIF(G$8:G4819,G4819,J$8:J4819)-SUMIF(G$8:G4819,G4819,K$8:K4819)+SUMIFS([1]内部转账!$G:$G,[1]内部转账!$C:$C,"&lt;="&amp;$D4819,[1]内部转账!$E:$E,$G4819)-SUMIFS([1]内部转账!$G:$G,[1]内部转账!$C:$C,"&lt;="&amp;$D4819,[1]内部转账!$F:$F,$G4819)),"")</f>
        <v/>
      </c>
      <c r="M4819" s="64"/>
      <c r="N4819" s="69"/>
      <c r="O4819" s="64"/>
      <c r="P4819" s="64"/>
      <c r="Q4819" s="69"/>
      <c r="R4819" s="69"/>
      <c r="S4819" s="69"/>
    </row>
    <row r="4820" s="2" customFormat="1" ht="24.95" customHeight="1" spans="1:19">
      <c r="A4820" s="15"/>
      <c r="B4820" s="55"/>
      <c r="C4820" s="56"/>
      <c r="D4820" s="68"/>
      <c r="E4820" s="69"/>
      <c r="F4820" s="69"/>
      <c r="G4820" s="65"/>
      <c r="H4820" s="65"/>
      <c r="I4820" s="70"/>
      <c r="J4820" s="71"/>
      <c r="K4820" s="71"/>
      <c r="L4820" s="72" t="str">
        <f>IFERROR(IF(G4820="","",VLOOKUP($G4820,[1]基础信息!$B:$C,2,FALSE)+SUMIF(G$8:G4820,G4820,J$8:J4820)-SUMIF(G$8:G4820,G4820,K$8:K4820)+SUMIFS([1]内部转账!$G:$G,[1]内部转账!$C:$C,"&lt;="&amp;$D4820,[1]内部转账!$E:$E,$G4820)-SUMIFS([1]内部转账!$G:$G,[1]内部转账!$C:$C,"&lt;="&amp;$D4820,[1]内部转账!$F:$F,$G4820)),"")</f>
        <v/>
      </c>
      <c r="M4820" s="64"/>
      <c r="N4820" s="69"/>
      <c r="O4820" s="64"/>
      <c r="P4820" s="64"/>
      <c r="Q4820" s="69"/>
      <c r="R4820" s="69"/>
      <c r="S4820" s="69"/>
    </row>
    <row r="4821" s="2" customFormat="1" ht="24.95" customHeight="1" spans="1:19">
      <c r="A4821" s="15"/>
      <c r="B4821" s="55"/>
      <c r="C4821" s="56"/>
      <c r="D4821" s="68"/>
      <c r="E4821" s="69"/>
      <c r="F4821" s="69"/>
      <c r="G4821" s="65"/>
      <c r="H4821" s="65"/>
      <c r="I4821" s="70"/>
      <c r="J4821" s="71"/>
      <c r="K4821" s="71"/>
      <c r="L4821" s="72" t="str">
        <f>IFERROR(IF(G4821="","",VLOOKUP($G4821,[1]基础信息!$B:$C,2,FALSE)+SUMIF(G$8:G4821,G4821,J$8:J4821)-SUMIF(G$8:G4821,G4821,K$8:K4821)+SUMIFS([1]内部转账!$G:$G,[1]内部转账!$C:$C,"&lt;="&amp;$D4821,[1]内部转账!$E:$E,$G4821)-SUMIFS([1]内部转账!$G:$G,[1]内部转账!$C:$C,"&lt;="&amp;$D4821,[1]内部转账!$F:$F,$G4821)),"")</f>
        <v/>
      </c>
      <c r="M4821" s="64"/>
      <c r="N4821" s="69"/>
      <c r="O4821" s="64"/>
      <c r="P4821" s="64"/>
      <c r="Q4821" s="69"/>
      <c r="R4821" s="69"/>
      <c r="S4821" s="69"/>
    </row>
    <row r="4822" s="2" customFormat="1" ht="24.95" customHeight="1" spans="1:19">
      <c r="A4822" s="15"/>
      <c r="B4822" s="55"/>
      <c r="C4822" s="56"/>
      <c r="D4822" s="68"/>
      <c r="E4822" s="69"/>
      <c r="F4822" s="69"/>
      <c r="G4822" s="65"/>
      <c r="H4822" s="65"/>
      <c r="I4822" s="70"/>
      <c r="J4822" s="71"/>
      <c r="K4822" s="71"/>
      <c r="L4822" s="72" t="str">
        <f>IFERROR(IF(G4822="","",VLOOKUP($G4822,[1]基础信息!$B:$C,2,FALSE)+SUMIF(G$8:G4822,G4822,J$8:J4822)-SUMIF(G$8:G4822,G4822,K$8:K4822)+SUMIFS([1]内部转账!$G:$G,[1]内部转账!$C:$C,"&lt;="&amp;$D4822,[1]内部转账!$E:$E,$G4822)-SUMIFS([1]内部转账!$G:$G,[1]内部转账!$C:$C,"&lt;="&amp;$D4822,[1]内部转账!$F:$F,$G4822)),"")</f>
        <v/>
      </c>
      <c r="M4822" s="64"/>
      <c r="N4822" s="69"/>
      <c r="O4822" s="64"/>
      <c r="P4822" s="64"/>
      <c r="Q4822" s="69"/>
      <c r="R4822" s="69"/>
      <c r="S4822" s="69"/>
    </row>
    <row r="4823" s="2" customFormat="1" ht="24.95" customHeight="1" spans="1:19">
      <c r="A4823" s="15"/>
      <c r="B4823" s="55"/>
      <c r="C4823" s="56"/>
      <c r="D4823" s="68"/>
      <c r="E4823" s="69"/>
      <c r="F4823" s="69"/>
      <c r="G4823" s="65"/>
      <c r="H4823" s="65"/>
      <c r="I4823" s="70"/>
      <c r="J4823" s="71"/>
      <c r="K4823" s="71"/>
      <c r="L4823" s="72" t="str">
        <f>IFERROR(IF(G4823="","",VLOOKUP($G4823,[1]基础信息!$B:$C,2,FALSE)+SUMIF(G$8:G4823,G4823,J$8:J4823)-SUMIF(G$8:G4823,G4823,K$8:K4823)+SUMIFS([1]内部转账!$G:$G,[1]内部转账!$C:$C,"&lt;="&amp;$D4823,[1]内部转账!$E:$E,$G4823)-SUMIFS([1]内部转账!$G:$G,[1]内部转账!$C:$C,"&lt;="&amp;$D4823,[1]内部转账!$F:$F,$G4823)),"")</f>
        <v/>
      </c>
      <c r="M4823" s="64"/>
      <c r="N4823" s="69"/>
      <c r="O4823" s="64"/>
      <c r="P4823" s="64"/>
      <c r="Q4823" s="69"/>
      <c r="R4823" s="69"/>
      <c r="S4823" s="69"/>
    </row>
    <row r="4824" s="2" customFormat="1" ht="24.95" customHeight="1" spans="1:19">
      <c r="A4824" s="15"/>
      <c r="B4824" s="55"/>
      <c r="C4824" s="56"/>
      <c r="D4824" s="68"/>
      <c r="E4824" s="69"/>
      <c r="F4824" s="69"/>
      <c r="G4824" s="65"/>
      <c r="H4824" s="65"/>
      <c r="I4824" s="70"/>
      <c r="J4824" s="71"/>
      <c r="K4824" s="71"/>
      <c r="L4824" s="72" t="str">
        <f>IFERROR(IF(G4824="","",VLOOKUP($G4824,[1]基础信息!$B:$C,2,FALSE)+SUMIF(G$8:G4824,G4824,J$8:J4824)-SUMIF(G$8:G4824,G4824,K$8:K4824)+SUMIFS([1]内部转账!$G:$G,[1]内部转账!$C:$C,"&lt;="&amp;$D4824,[1]内部转账!$E:$E,$G4824)-SUMIFS([1]内部转账!$G:$G,[1]内部转账!$C:$C,"&lt;="&amp;$D4824,[1]内部转账!$F:$F,$G4824)),"")</f>
        <v/>
      </c>
      <c r="M4824" s="64"/>
      <c r="N4824" s="69"/>
      <c r="O4824" s="64"/>
      <c r="P4824" s="64"/>
      <c r="Q4824" s="69"/>
      <c r="R4824" s="69"/>
      <c r="S4824" s="69"/>
    </row>
    <row r="4825" s="2" customFormat="1" ht="24.95" customHeight="1" spans="1:19">
      <c r="A4825" s="15"/>
      <c r="B4825" s="55"/>
      <c r="C4825" s="56"/>
      <c r="D4825" s="68"/>
      <c r="E4825" s="69"/>
      <c r="F4825" s="69"/>
      <c r="G4825" s="65"/>
      <c r="H4825" s="65"/>
      <c r="I4825" s="70"/>
      <c r="J4825" s="71"/>
      <c r="K4825" s="71"/>
      <c r="L4825" s="72" t="str">
        <f>IFERROR(IF(G4825="","",VLOOKUP($G4825,[1]基础信息!$B:$C,2,FALSE)+SUMIF(G$8:G4825,G4825,J$8:J4825)-SUMIF(G$8:G4825,G4825,K$8:K4825)+SUMIFS([1]内部转账!$G:$G,[1]内部转账!$C:$C,"&lt;="&amp;$D4825,[1]内部转账!$E:$E,$G4825)-SUMIFS([1]内部转账!$G:$G,[1]内部转账!$C:$C,"&lt;="&amp;$D4825,[1]内部转账!$F:$F,$G4825)),"")</f>
        <v/>
      </c>
      <c r="M4825" s="64"/>
      <c r="N4825" s="69"/>
      <c r="O4825" s="64"/>
      <c r="P4825" s="64"/>
      <c r="Q4825" s="69"/>
      <c r="R4825" s="69"/>
      <c r="S4825" s="69"/>
    </row>
    <row r="4826" s="2" customFormat="1" ht="24.95" customHeight="1" spans="1:19">
      <c r="A4826" s="15"/>
      <c r="B4826" s="55"/>
      <c r="C4826" s="56"/>
      <c r="D4826" s="68"/>
      <c r="E4826" s="69"/>
      <c r="F4826" s="69"/>
      <c r="G4826" s="65"/>
      <c r="H4826" s="65"/>
      <c r="I4826" s="70"/>
      <c r="J4826" s="71"/>
      <c r="K4826" s="71"/>
      <c r="L4826" s="72" t="str">
        <f>IFERROR(IF(G4826="","",VLOOKUP($G4826,[1]基础信息!$B:$C,2,FALSE)+SUMIF(G$8:G4826,G4826,J$8:J4826)-SUMIF(G$8:G4826,G4826,K$8:K4826)+SUMIFS([1]内部转账!$G:$G,[1]内部转账!$C:$C,"&lt;="&amp;$D4826,[1]内部转账!$E:$E,$G4826)-SUMIFS([1]内部转账!$G:$G,[1]内部转账!$C:$C,"&lt;="&amp;$D4826,[1]内部转账!$F:$F,$G4826)),"")</f>
        <v/>
      </c>
      <c r="M4826" s="64"/>
      <c r="N4826" s="69"/>
      <c r="O4826" s="64"/>
      <c r="P4826" s="64"/>
      <c r="Q4826" s="69"/>
      <c r="R4826" s="69"/>
      <c r="S4826" s="69"/>
    </row>
    <row r="4827" s="2" customFormat="1" ht="24.95" customHeight="1" spans="1:19">
      <c r="A4827" s="15"/>
      <c r="B4827" s="55"/>
      <c r="C4827" s="56"/>
      <c r="D4827" s="68"/>
      <c r="E4827" s="69"/>
      <c r="F4827" s="69"/>
      <c r="G4827" s="65"/>
      <c r="H4827" s="65"/>
      <c r="I4827" s="70"/>
      <c r="J4827" s="71"/>
      <c r="K4827" s="71"/>
      <c r="L4827" s="72" t="str">
        <f>IFERROR(IF(G4827="","",VLOOKUP($G4827,[1]基础信息!$B:$C,2,FALSE)+SUMIF(G$8:G4827,G4827,J$8:J4827)-SUMIF(G$8:G4827,G4827,K$8:K4827)+SUMIFS([1]内部转账!$G:$G,[1]内部转账!$C:$C,"&lt;="&amp;$D4827,[1]内部转账!$E:$E,$G4827)-SUMIFS([1]内部转账!$G:$G,[1]内部转账!$C:$C,"&lt;="&amp;$D4827,[1]内部转账!$F:$F,$G4827)),"")</f>
        <v/>
      </c>
      <c r="M4827" s="64"/>
      <c r="N4827" s="69"/>
      <c r="O4827" s="64"/>
      <c r="P4827" s="64"/>
      <c r="Q4827" s="69"/>
      <c r="R4827" s="69"/>
      <c r="S4827" s="69"/>
    </row>
    <row r="4828" s="2" customFormat="1" ht="24.95" customHeight="1" spans="1:19">
      <c r="A4828" s="15"/>
      <c r="B4828" s="55"/>
      <c r="C4828" s="56"/>
      <c r="D4828" s="68"/>
      <c r="E4828" s="69"/>
      <c r="F4828" s="69"/>
      <c r="G4828" s="65"/>
      <c r="H4828" s="65"/>
      <c r="I4828" s="70"/>
      <c r="J4828" s="71"/>
      <c r="K4828" s="71"/>
      <c r="L4828" s="72" t="str">
        <f>IFERROR(IF(G4828="","",VLOOKUP($G4828,[1]基础信息!$B:$C,2,FALSE)+SUMIF(G$8:G4828,G4828,J$8:J4828)-SUMIF(G$8:G4828,G4828,K$8:K4828)+SUMIFS([1]内部转账!$G:$G,[1]内部转账!$C:$C,"&lt;="&amp;$D4828,[1]内部转账!$E:$E,$G4828)-SUMIFS([1]内部转账!$G:$G,[1]内部转账!$C:$C,"&lt;="&amp;$D4828,[1]内部转账!$F:$F,$G4828)),"")</f>
        <v/>
      </c>
      <c r="M4828" s="64"/>
      <c r="N4828" s="69"/>
      <c r="O4828" s="64"/>
      <c r="P4828" s="64"/>
      <c r="Q4828" s="69"/>
      <c r="R4828" s="69"/>
      <c r="S4828" s="69"/>
    </row>
    <row r="4829" s="2" customFormat="1" ht="24.95" customHeight="1" spans="1:19">
      <c r="A4829" s="15"/>
      <c r="B4829" s="55"/>
      <c r="C4829" s="56"/>
      <c r="D4829" s="68"/>
      <c r="E4829" s="69"/>
      <c r="F4829" s="69"/>
      <c r="G4829" s="65"/>
      <c r="H4829" s="65"/>
      <c r="I4829" s="70"/>
      <c r="J4829" s="71"/>
      <c r="K4829" s="71"/>
      <c r="L4829" s="72" t="str">
        <f>IFERROR(IF(G4829="","",VLOOKUP($G4829,[1]基础信息!$B:$C,2,FALSE)+SUMIF(G$8:G4829,G4829,J$8:J4829)-SUMIF(G$8:G4829,G4829,K$8:K4829)+SUMIFS([1]内部转账!$G:$G,[1]内部转账!$C:$C,"&lt;="&amp;$D4829,[1]内部转账!$E:$E,$G4829)-SUMIFS([1]内部转账!$G:$G,[1]内部转账!$C:$C,"&lt;="&amp;$D4829,[1]内部转账!$F:$F,$G4829)),"")</f>
        <v/>
      </c>
      <c r="M4829" s="64"/>
      <c r="N4829" s="69"/>
      <c r="O4829" s="64"/>
      <c r="P4829" s="64"/>
      <c r="Q4829" s="69"/>
      <c r="R4829" s="69"/>
      <c r="S4829" s="69"/>
    </row>
    <row r="4830" s="2" customFormat="1" ht="24.95" customHeight="1" spans="1:19">
      <c r="A4830" s="15"/>
      <c r="B4830" s="55"/>
      <c r="C4830" s="56"/>
      <c r="D4830" s="68"/>
      <c r="E4830" s="69"/>
      <c r="F4830" s="69"/>
      <c r="G4830" s="65"/>
      <c r="H4830" s="65"/>
      <c r="I4830" s="70"/>
      <c r="J4830" s="71"/>
      <c r="K4830" s="71"/>
      <c r="L4830" s="72" t="str">
        <f>IFERROR(IF(G4830="","",VLOOKUP($G4830,[1]基础信息!$B:$C,2,FALSE)+SUMIF(G$8:G4830,G4830,J$8:J4830)-SUMIF(G$8:G4830,G4830,K$8:K4830)+SUMIFS([1]内部转账!$G:$G,[1]内部转账!$C:$C,"&lt;="&amp;$D4830,[1]内部转账!$E:$E,$G4830)-SUMIFS([1]内部转账!$G:$G,[1]内部转账!$C:$C,"&lt;="&amp;$D4830,[1]内部转账!$F:$F,$G4830)),"")</f>
        <v/>
      </c>
      <c r="M4830" s="64"/>
      <c r="N4830" s="69"/>
      <c r="O4830" s="64"/>
      <c r="P4830" s="64"/>
      <c r="Q4830" s="69"/>
      <c r="R4830" s="69"/>
      <c r="S4830" s="69"/>
    </row>
    <row r="4831" s="2" customFormat="1" ht="24.95" customHeight="1" spans="1:19">
      <c r="A4831" s="15"/>
      <c r="B4831" s="55"/>
      <c r="C4831" s="56"/>
      <c r="D4831" s="68"/>
      <c r="E4831" s="69"/>
      <c r="F4831" s="69"/>
      <c r="G4831" s="65"/>
      <c r="H4831" s="65"/>
      <c r="I4831" s="70"/>
      <c r="J4831" s="71"/>
      <c r="K4831" s="71"/>
      <c r="L4831" s="72" t="str">
        <f>IFERROR(IF(G4831="","",VLOOKUP($G4831,[1]基础信息!$B:$C,2,FALSE)+SUMIF(G$8:G4831,G4831,J$8:J4831)-SUMIF(G$8:G4831,G4831,K$8:K4831)+SUMIFS([1]内部转账!$G:$G,[1]内部转账!$C:$C,"&lt;="&amp;$D4831,[1]内部转账!$E:$E,$G4831)-SUMIFS([1]内部转账!$G:$G,[1]内部转账!$C:$C,"&lt;="&amp;$D4831,[1]内部转账!$F:$F,$G4831)),"")</f>
        <v/>
      </c>
      <c r="M4831" s="64"/>
      <c r="N4831" s="69"/>
      <c r="O4831" s="64"/>
      <c r="P4831" s="64"/>
      <c r="Q4831" s="69"/>
      <c r="R4831" s="69"/>
      <c r="S4831" s="69"/>
    </row>
    <row r="4832" s="2" customFormat="1" ht="24.95" customHeight="1" spans="1:19">
      <c r="A4832" s="15"/>
      <c r="B4832" s="55"/>
      <c r="C4832" s="56"/>
      <c r="D4832" s="68"/>
      <c r="E4832" s="69"/>
      <c r="F4832" s="69"/>
      <c r="G4832" s="65"/>
      <c r="H4832" s="65"/>
      <c r="I4832" s="70"/>
      <c r="J4832" s="71"/>
      <c r="K4832" s="71"/>
      <c r="L4832" s="72" t="str">
        <f>IFERROR(IF(G4832="","",VLOOKUP($G4832,[1]基础信息!$B:$C,2,FALSE)+SUMIF(G$8:G4832,G4832,J$8:J4832)-SUMIF(G$8:G4832,G4832,K$8:K4832)+SUMIFS([1]内部转账!$G:$G,[1]内部转账!$C:$C,"&lt;="&amp;$D4832,[1]内部转账!$E:$E,$G4832)-SUMIFS([1]内部转账!$G:$G,[1]内部转账!$C:$C,"&lt;="&amp;$D4832,[1]内部转账!$F:$F,$G4832)),"")</f>
        <v/>
      </c>
      <c r="M4832" s="64"/>
      <c r="N4832" s="69"/>
      <c r="O4832" s="64"/>
      <c r="P4832" s="64"/>
      <c r="Q4832" s="69"/>
      <c r="R4832" s="69"/>
      <c r="S4832" s="69"/>
    </row>
    <row r="4833" s="2" customFormat="1" ht="24.95" customHeight="1" spans="1:19">
      <c r="A4833" s="15"/>
      <c r="B4833" s="55"/>
      <c r="C4833" s="56"/>
      <c r="D4833" s="68"/>
      <c r="E4833" s="69"/>
      <c r="F4833" s="69"/>
      <c r="G4833" s="65"/>
      <c r="H4833" s="65"/>
      <c r="I4833" s="70"/>
      <c r="J4833" s="71"/>
      <c r="K4833" s="71"/>
      <c r="L4833" s="72" t="str">
        <f>IFERROR(IF(G4833="","",VLOOKUP($G4833,[1]基础信息!$B:$C,2,FALSE)+SUMIF(G$8:G4833,G4833,J$8:J4833)-SUMIF(G$8:G4833,G4833,K$8:K4833)+SUMIFS([1]内部转账!$G:$G,[1]内部转账!$C:$C,"&lt;="&amp;$D4833,[1]内部转账!$E:$E,$G4833)-SUMIFS([1]内部转账!$G:$G,[1]内部转账!$C:$C,"&lt;="&amp;$D4833,[1]内部转账!$F:$F,$G4833)),"")</f>
        <v/>
      </c>
      <c r="M4833" s="64"/>
      <c r="N4833" s="69"/>
      <c r="O4833" s="64"/>
      <c r="P4833" s="64"/>
      <c r="Q4833" s="69"/>
      <c r="R4833" s="69"/>
      <c r="S4833" s="69"/>
    </row>
    <row r="4834" s="2" customFormat="1" ht="24.95" customHeight="1" spans="1:19">
      <c r="A4834" s="15"/>
      <c r="B4834" s="55"/>
      <c r="C4834" s="56"/>
      <c r="D4834" s="68"/>
      <c r="E4834" s="69"/>
      <c r="F4834" s="69"/>
      <c r="G4834" s="65"/>
      <c r="H4834" s="65"/>
      <c r="I4834" s="70"/>
      <c r="J4834" s="71"/>
      <c r="K4834" s="71"/>
      <c r="L4834" s="72" t="str">
        <f>IFERROR(IF(G4834="","",VLOOKUP($G4834,[1]基础信息!$B:$C,2,FALSE)+SUMIF(G$8:G4834,G4834,J$8:J4834)-SUMIF(G$8:G4834,G4834,K$8:K4834)+SUMIFS([1]内部转账!$G:$G,[1]内部转账!$C:$C,"&lt;="&amp;$D4834,[1]内部转账!$E:$E,$G4834)-SUMIFS([1]内部转账!$G:$G,[1]内部转账!$C:$C,"&lt;="&amp;$D4834,[1]内部转账!$F:$F,$G4834)),"")</f>
        <v/>
      </c>
      <c r="M4834" s="64"/>
      <c r="N4834" s="69"/>
      <c r="O4834" s="64"/>
      <c r="P4834" s="64"/>
      <c r="Q4834" s="69"/>
      <c r="R4834" s="69"/>
      <c r="S4834" s="69"/>
    </row>
    <row r="4835" s="2" customFormat="1" ht="24.95" customHeight="1" spans="1:19">
      <c r="A4835" s="15"/>
      <c r="B4835" s="55"/>
      <c r="C4835" s="56"/>
      <c r="D4835" s="68"/>
      <c r="E4835" s="69"/>
      <c r="F4835" s="69"/>
      <c r="G4835" s="65"/>
      <c r="H4835" s="65"/>
      <c r="I4835" s="70"/>
      <c r="J4835" s="71"/>
      <c r="K4835" s="71"/>
      <c r="L4835" s="72" t="str">
        <f>IFERROR(IF(G4835="","",VLOOKUP($G4835,[1]基础信息!$B:$C,2,FALSE)+SUMIF(G$8:G4835,G4835,J$8:J4835)-SUMIF(G$8:G4835,G4835,K$8:K4835)+SUMIFS([1]内部转账!$G:$G,[1]内部转账!$C:$C,"&lt;="&amp;$D4835,[1]内部转账!$E:$E,$G4835)-SUMIFS([1]内部转账!$G:$G,[1]内部转账!$C:$C,"&lt;="&amp;$D4835,[1]内部转账!$F:$F,$G4835)),"")</f>
        <v/>
      </c>
      <c r="M4835" s="64"/>
      <c r="N4835" s="69"/>
      <c r="O4835" s="64"/>
      <c r="P4835" s="64"/>
      <c r="Q4835" s="69"/>
      <c r="R4835" s="69"/>
      <c r="S4835" s="69"/>
    </row>
    <row r="4836" s="2" customFormat="1" ht="24.95" customHeight="1" spans="1:19">
      <c r="A4836" s="15"/>
      <c r="B4836" s="55"/>
      <c r="C4836" s="56"/>
      <c r="D4836" s="68"/>
      <c r="E4836" s="69"/>
      <c r="F4836" s="69"/>
      <c r="G4836" s="65"/>
      <c r="H4836" s="65"/>
      <c r="I4836" s="70"/>
      <c r="J4836" s="71"/>
      <c r="K4836" s="71"/>
      <c r="L4836" s="72" t="str">
        <f>IFERROR(IF(G4836="","",VLOOKUP($G4836,[1]基础信息!$B:$C,2,FALSE)+SUMIF(G$8:G4836,G4836,J$8:J4836)-SUMIF(G$8:G4836,G4836,K$8:K4836)+SUMIFS([1]内部转账!$G:$G,[1]内部转账!$C:$C,"&lt;="&amp;$D4836,[1]内部转账!$E:$E,$G4836)-SUMIFS([1]内部转账!$G:$G,[1]内部转账!$C:$C,"&lt;="&amp;$D4836,[1]内部转账!$F:$F,$G4836)),"")</f>
        <v/>
      </c>
      <c r="M4836" s="64"/>
      <c r="N4836" s="69"/>
      <c r="O4836" s="64"/>
      <c r="P4836" s="64"/>
      <c r="Q4836" s="69"/>
      <c r="R4836" s="69"/>
      <c r="S4836" s="69"/>
    </row>
    <row r="4837" s="2" customFormat="1" ht="24.95" customHeight="1" spans="1:19">
      <c r="A4837" s="15"/>
      <c r="B4837" s="55"/>
      <c r="C4837" s="56"/>
      <c r="D4837" s="68"/>
      <c r="E4837" s="69"/>
      <c r="F4837" s="69"/>
      <c r="G4837" s="65"/>
      <c r="H4837" s="65"/>
      <c r="I4837" s="70"/>
      <c r="J4837" s="71"/>
      <c r="K4837" s="71"/>
      <c r="L4837" s="72" t="str">
        <f>IFERROR(IF(G4837="","",VLOOKUP($G4837,[1]基础信息!$B:$C,2,FALSE)+SUMIF(G$8:G4837,G4837,J$8:J4837)-SUMIF(G$8:G4837,G4837,K$8:K4837)+SUMIFS([1]内部转账!$G:$G,[1]内部转账!$C:$C,"&lt;="&amp;$D4837,[1]内部转账!$E:$E,$G4837)-SUMIFS([1]内部转账!$G:$G,[1]内部转账!$C:$C,"&lt;="&amp;$D4837,[1]内部转账!$F:$F,$G4837)),"")</f>
        <v/>
      </c>
      <c r="M4837" s="64"/>
      <c r="N4837" s="69"/>
      <c r="O4837" s="64"/>
      <c r="P4837" s="64"/>
      <c r="Q4837" s="69"/>
      <c r="R4837" s="69"/>
      <c r="S4837" s="69"/>
    </row>
    <row r="4838" s="2" customFormat="1" ht="24.95" customHeight="1" spans="1:19">
      <c r="A4838" s="15"/>
      <c r="B4838" s="55"/>
      <c r="C4838" s="56"/>
      <c r="D4838" s="68"/>
      <c r="E4838" s="69"/>
      <c r="F4838" s="69"/>
      <c r="G4838" s="65"/>
      <c r="H4838" s="65"/>
      <c r="I4838" s="70"/>
      <c r="J4838" s="71"/>
      <c r="K4838" s="71"/>
      <c r="L4838" s="72" t="str">
        <f>IFERROR(IF(G4838="","",VLOOKUP($G4838,[1]基础信息!$B:$C,2,FALSE)+SUMIF(G$8:G4838,G4838,J$8:J4838)-SUMIF(G$8:G4838,G4838,K$8:K4838)+SUMIFS([1]内部转账!$G:$G,[1]内部转账!$C:$C,"&lt;="&amp;$D4838,[1]内部转账!$E:$E,$G4838)-SUMIFS([1]内部转账!$G:$G,[1]内部转账!$C:$C,"&lt;="&amp;$D4838,[1]内部转账!$F:$F,$G4838)),"")</f>
        <v/>
      </c>
      <c r="M4838" s="64"/>
      <c r="N4838" s="69"/>
      <c r="O4838" s="64"/>
      <c r="P4838" s="64"/>
      <c r="Q4838" s="69"/>
      <c r="R4838" s="69"/>
      <c r="S4838" s="69"/>
    </row>
    <row r="4839" s="2" customFormat="1" ht="24.95" customHeight="1" spans="1:19">
      <c r="A4839" s="15"/>
      <c r="B4839" s="55"/>
      <c r="C4839" s="56"/>
      <c r="D4839" s="68"/>
      <c r="E4839" s="69"/>
      <c r="F4839" s="69"/>
      <c r="G4839" s="65"/>
      <c r="H4839" s="65"/>
      <c r="I4839" s="70"/>
      <c r="J4839" s="71"/>
      <c r="K4839" s="71"/>
      <c r="L4839" s="72" t="str">
        <f>IFERROR(IF(G4839="","",VLOOKUP($G4839,[1]基础信息!$B:$C,2,FALSE)+SUMIF(G$8:G4839,G4839,J$8:J4839)-SUMIF(G$8:G4839,G4839,K$8:K4839)+SUMIFS([1]内部转账!$G:$G,[1]内部转账!$C:$C,"&lt;="&amp;$D4839,[1]内部转账!$E:$E,$G4839)-SUMIFS([1]内部转账!$G:$G,[1]内部转账!$C:$C,"&lt;="&amp;$D4839,[1]内部转账!$F:$F,$G4839)),"")</f>
        <v/>
      </c>
      <c r="M4839" s="64"/>
      <c r="N4839" s="69"/>
      <c r="O4839" s="64"/>
      <c r="P4839" s="64"/>
      <c r="Q4839" s="69"/>
      <c r="R4839" s="69"/>
      <c r="S4839" s="69"/>
    </row>
    <row r="4840" s="2" customFormat="1" ht="24.95" customHeight="1" spans="1:19">
      <c r="A4840" s="15"/>
      <c r="B4840" s="55"/>
      <c r="C4840" s="56"/>
      <c r="D4840" s="68"/>
      <c r="E4840" s="69"/>
      <c r="F4840" s="69"/>
      <c r="G4840" s="65"/>
      <c r="H4840" s="65"/>
      <c r="I4840" s="70"/>
      <c r="J4840" s="71"/>
      <c r="K4840" s="71"/>
      <c r="L4840" s="72" t="str">
        <f>IFERROR(IF(G4840="","",VLOOKUP($G4840,[1]基础信息!$B:$C,2,FALSE)+SUMIF(G$8:G4840,G4840,J$8:J4840)-SUMIF(G$8:G4840,G4840,K$8:K4840)+SUMIFS([1]内部转账!$G:$G,[1]内部转账!$C:$C,"&lt;="&amp;$D4840,[1]内部转账!$E:$E,$G4840)-SUMIFS([1]内部转账!$G:$G,[1]内部转账!$C:$C,"&lt;="&amp;$D4840,[1]内部转账!$F:$F,$G4840)),"")</f>
        <v/>
      </c>
      <c r="M4840" s="64"/>
      <c r="N4840" s="69"/>
      <c r="O4840" s="64"/>
      <c r="P4840" s="64"/>
      <c r="Q4840" s="69"/>
      <c r="R4840" s="69"/>
      <c r="S4840" s="69"/>
    </row>
    <row r="4841" s="2" customFormat="1" ht="24.95" customHeight="1" spans="1:19">
      <c r="A4841" s="15"/>
      <c r="B4841" s="55"/>
      <c r="C4841" s="56"/>
      <c r="D4841" s="68"/>
      <c r="E4841" s="69"/>
      <c r="F4841" s="69"/>
      <c r="G4841" s="65"/>
      <c r="H4841" s="65"/>
      <c r="I4841" s="70"/>
      <c r="J4841" s="71"/>
      <c r="K4841" s="71"/>
      <c r="L4841" s="72" t="str">
        <f>IFERROR(IF(G4841="","",VLOOKUP($G4841,[1]基础信息!$B:$C,2,FALSE)+SUMIF(G$8:G4841,G4841,J$8:J4841)-SUMIF(G$8:G4841,G4841,K$8:K4841)+SUMIFS([1]内部转账!$G:$G,[1]内部转账!$C:$C,"&lt;="&amp;$D4841,[1]内部转账!$E:$E,$G4841)-SUMIFS([1]内部转账!$G:$G,[1]内部转账!$C:$C,"&lt;="&amp;$D4841,[1]内部转账!$F:$F,$G4841)),"")</f>
        <v/>
      </c>
      <c r="M4841" s="64"/>
      <c r="N4841" s="69"/>
      <c r="O4841" s="64"/>
      <c r="P4841" s="64"/>
      <c r="Q4841" s="69"/>
      <c r="R4841" s="69"/>
      <c r="S4841" s="69"/>
    </row>
    <row r="4842" s="2" customFormat="1" ht="24.95" customHeight="1" spans="1:19">
      <c r="A4842" s="15"/>
      <c r="B4842" s="55"/>
      <c r="C4842" s="56"/>
      <c r="D4842" s="68"/>
      <c r="E4842" s="69"/>
      <c r="F4842" s="69"/>
      <c r="G4842" s="65"/>
      <c r="H4842" s="65"/>
      <c r="I4842" s="70"/>
      <c r="J4842" s="71"/>
      <c r="K4842" s="71"/>
      <c r="L4842" s="72" t="str">
        <f>IFERROR(IF(G4842="","",VLOOKUP($G4842,[1]基础信息!$B:$C,2,FALSE)+SUMIF(G$8:G4842,G4842,J$8:J4842)-SUMIF(G$8:G4842,G4842,K$8:K4842)+SUMIFS([1]内部转账!$G:$G,[1]内部转账!$C:$C,"&lt;="&amp;$D4842,[1]内部转账!$E:$E,$G4842)-SUMIFS([1]内部转账!$G:$G,[1]内部转账!$C:$C,"&lt;="&amp;$D4842,[1]内部转账!$F:$F,$G4842)),"")</f>
        <v/>
      </c>
      <c r="M4842" s="64"/>
      <c r="N4842" s="69"/>
      <c r="O4842" s="64"/>
      <c r="P4842" s="64"/>
      <c r="Q4842" s="69"/>
      <c r="R4842" s="69"/>
      <c r="S4842" s="69"/>
    </row>
    <row r="4843" s="2" customFormat="1" ht="24.95" customHeight="1" spans="1:19">
      <c r="A4843" s="15"/>
      <c r="B4843" s="55"/>
      <c r="C4843" s="56"/>
      <c r="D4843" s="68"/>
      <c r="E4843" s="69"/>
      <c r="F4843" s="69"/>
      <c r="G4843" s="65"/>
      <c r="H4843" s="65"/>
      <c r="I4843" s="70"/>
      <c r="J4843" s="71"/>
      <c r="K4843" s="71"/>
      <c r="L4843" s="72" t="str">
        <f>IFERROR(IF(G4843="","",VLOOKUP($G4843,[1]基础信息!$B:$C,2,FALSE)+SUMIF(G$8:G4843,G4843,J$8:J4843)-SUMIF(G$8:G4843,G4843,K$8:K4843)+SUMIFS([1]内部转账!$G:$G,[1]内部转账!$C:$C,"&lt;="&amp;$D4843,[1]内部转账!$E:$E,$G4843)-SUMIFS([1]内部转账!$G:$G,[1]内部转账!$C:$C,"&lt;="&amp;$D4843,[1]内部转账!$F:$F,$G4843)),"")</f>
        <v/>
      </c>
      <c r="M4843" s="64"/>
      <c r="N4843" s="69"/>
      <c r="O4843" s="64"/>
      <c r="P4843" s="64"/>
      <c r="Q4843" s="69"/>
      <c r="R4843" s="69"/>
      <c r="S4843" s="69"/>
    </row>
    <row r="4844" s="2" customFormat="1" ht="24.95" customHeight="1" spans="1:19">
      <c r="A4844" s="15"/>
      <c r="B4844" s="55"/>
      <c r="C4844" s="56"/>
      <c r="D4844" s="68"/>
      <c r="E4844" s="69"/>
      <c r="F4844" s="69"/>
      <c r="G4844" s="65"/>
      <c r="H4844" s="65"/>
      <c r="I4844" s="70"/>
      <c r="J4844" s="71"/>
      <c r="K4844" s="71"/>
      <c r="L4844" s="72" t="str">
        <f>IFERROR(IF(G4844="","",VLOOKUP($G4844,[1]基础信息!$B:$C,2,FALSE)+SUMIF(G$8:G4844,G4844,J$8:J4844)-SUMIF(G$8:G4844,G4844,K$8:K4844)+SUMIFS([1]内部转账!$G:$G,[1]内部转账!$C:$C,"&lt;="&amp;$D4844,[1]内部转账!$E:$E,$G4844)-SUMIFS([1]内部转账!$G:$G,[1]内部转账!$C:$C,"&lt;="&amp;$D4844,[1]内部转账!$F:$F,$G4844)),"")</f>
        <v/>
      </c>
      <c r="M4844" s="64"/>
      <c r="N4844" s="69"/>
      <c r="O4844" s="64"/>
      <c r="P4844" s="64"/>
      <c r="Q4844" s="69"/>
      <c r="R4844" s="69"/>
      <c r="S4844" s="69"/>
    </row>
    <row r="4845" s="2" customFormat="1" ht="24.95" customHeight="1" spans="1:19">
      <c r="A4845" s="15"/>
      <c r="B4845" s="55"/>
      <c r="C4845" s="56"/>
      <c r="D4845" s="68"/>
      <c r="E4845" s="69"/>
      <c r="F4845" s="69"/>
      <c r="G4845" s="65"/>
      <c r="H4845" s="65"/>
      <c r="I4845" s="70"/>
      <c r="J4845" s="71"/>
      <c r="K4845" s="71"/>
      <c r="L4845" s="72" t="str">
        <f>IFERROR(IF(G4845="","",VLOOKUP($G4845,[1]基础信息!$B:$C,2,FALSE)+SUMIF(G$8:G4845,G4845,J$8:J4845)-SUMIF(G$8:G4845,G4845,K$8:K4845)+SUMIFS([1]内部转账!$G:$G,[1]内部转账!$C:$C,"&lt;="&amp;$D4845,[1]内部转账!$E:$E,$G4845)-SUMIFS([1]内部转账!$G:$G,[1]内部转账!$C:$C,"&lt;="&amp;$D4845,[1]内部转账!$F:$F,$G4845)),"")</f>
        <v/>
      </c>
      <c r="M4845" s="64"/>
      <c r="N4845" s="69"/>
      <c r="O4845" s="64"/>
      <c r="P4845" s="64"/>
      <c r="Q4845" s="69"/>
      <c r="R4845" s="69"/>
      <c r="S4845" s="69"/>
    </row>
    <row r="4846" s="2" customFormat="1" ht="24.95" customHeight="1" spans="1:19">
      <c r="A4846" s="15"/>
      <c r="B4846" s="55"/>
      <c r="C4846" s="56"/>
      <c r="D4846" s="68"/>
      <c r="E4846" s="69"/>
      <c r="F4846" s="69"/>
      <c r="G4846" s="65"/>
      <c r="H4846" s="65"/>
      <c r="I4846" s="70"/>
      <c r="J4846" s="71"/>
      <c r="K4846" s="71"/>
      <c r="L4846" s="72" t="str">
        <f>IFERROR(IF(G4846="","",VLOOKUP($G4846,[1]基础信息!$B:$C,2,FALSE)+SUMIF(G$8:G4846,G4846,J$8:J4846)-SUMIF(G$8:G4846,G4846,K$8:K4846)+SUMIFS([1]内部转账!$G:$G,[1]内部转账!$C:$C,"&lt;="&amp;$D4846,[1]内部转账!$E:$E,$G4846)-SUMIFS([1]内部转账!$G:$G,[1]内部转账!$C:$C,"&lt;="&amp;$D4846,[1]内部转账!$F:$F,$G4846)),"")</f>
        <v/>
      </c>
      <c r="M4846" s="64"/>
      <c r="N4846" s="69"/>
      <c r="O4846" s="64"/>
      <c r="P4846" s="64"/>
      <c r="Q4846" s="69"/>
      <c r="R4846" s="69"/>
      <c r="S4846" s="69"/>
    </row>
    <row r="4847" s="2" customFormat="1" ht="24.95" customHeight="1" spans="1:19">
      <c r="A4847" s="15"/>
      <c r="B4847" s="55"/>
      <c r="C4847" s="56"/>
      <c r="D4847" s="68"/>
      <c r="E4847" s="69"/>
      <c r="F4847" s="69"/>
      <c r="G4847" s="65"/>
      <c r="H4847" s="65"/>
      <c r="I4847" s="70"/>
      <c r="J4847" s="71"/>
      <c r="K4847" s="71"/>
      <c r="L4847" s="72" t="str">
        <f>IFERROR(IF(G4847="","",VLOOKUP($G4847,[1]基础信息!$B:$C,2,FALSE)+SUMIF(G$8:G4847,G4847,J$8:J4847)-SUMIF(G$8:G4847,G4847,K$8:K4847)+SUMIFS([1]内部转账!$G:$G,[1]内部转账!$C:$C,"&lt;="&amp;$D4847,[1]内部转账!$E:$E,$G4847)-SUMIFS([1]内部转账!$G:$G,[1]内部转账!$C:$C,"&lt;="&amp;$D4847,[1]内部转账!$F:$F,$G4847)),"")</f>
        <v/>
      </c>
      <c r="M4847" s="64"/>
      <c r="N4847" s="69"/>
      <c r="O4847" s="64"/>
      <c r="P4847" s="64"/>
      <c r="Q4847" s="69"/>
      <c r="R4847" s="69"/>
      <c r="S4847" s="69"/>
    </row>
    <row r="4848" s="2" customFormat="1" ht="24.95" customHeight="1" spans="1:19">
      <c r="A4848" s="15"/>
      <c r="B4848" s="55"/>
      <c r="C4848" s="56"/>
      <c r="D4848" s="68"/>
      <c r="E4848" s="69"/>
      <c r="F4848" s="69"/>
      <c r="G4848" s="65"/>
      <c r="H4848" s="65"/>
      <c r="I4848" s="70"/>
      <c r="J4848" s="71"/>
      <c r="K4848" s="71"/>
      <c r="L4848" s="72" t="str">
        <f>IFERROR(IF(G4848="","",VLOOKUP($G4848,[1]基础信息!$B:$C,2,FALSE)+SUMIF(G$8:G4848,G4848,J$8:J4848)-SUMIF(G$8:G4848,G4848,K$8:K4848)+SUMIFS([1]内部转账!$G:$G,[1]内部转账!$C:$C,"&lt;="&amp;$D4848,[1]内部转账!$E:$E,$G4848)-SUMIFS([1]内部转账!$G:$G,[1]内部转账!$C:$C,"&lt;="&amp;$D4848,[1]内部转账!$F:$F,$G4848)),"")</f>
        <v/>
      </c>
      <c r="M4848" s="64"/>
      <c r="N4848" s="69"/>
      <c r="O4848" s="64"/>
      <c r="P4848" s="64"/>
      <c r="Q4848" s="69"/>
      <c r="R4848" s="69"/>
      <c r="S4848" s="69"/>
    </row>
    <row r="4849" s="2" customFormat="1" ht="24.95" customHeight="1" spans="1:19">
      <c r="A4849" s="15"/>
      <c r="B4849" s="55"/>
      <c r="C4849" s="56"/>
      <c r="D4849" s="68"/>
      <c r="E4849" s="69"/>
      <c r="F4849" s="69"/>
      <c r="G4849" s="65"/>
      <c r="H4849" s="65"/>
      <c r="I4849" s="70"/>
      <c r="J4849" s="71"/>
      <c r="K4849" s="71"/>
      <c r="L4849" s="72" t="str">
        <f>IFERROR(IF(G4849="","",VLOOKUP($G4849,[1]基础信息!$B:$C,2,FALSE)+SUMIF(G$8:G4849,G4849,J$8:J4849)-SUMIF(G$8:G4849,G4849,K$8:K4849)+SUMIFS([1]内部转账!$G:$G,[1]内部转账!$C:$C,"&lt;="&amp;$D4849,[1]内部转账!$E:$E,$G4849)-SUMIFS([1]内部转账!$G:$G,[1]内部转账!$C:$C,"&lt;="&amp;$D4849,[1]内部转账!$F:$F,$G4849)),"")</f>
        <v/>
      </c>
      <c r="M4849" s="64"/>
      <c r="N4849" s="69"/>
      <c r="O4849" s="64"/>
      <c r="P4849" s="64"/>
      <c r="Q4849" s="69"/>
      <c r="R4849" s="69"/>
      <c r="S4849" s="69"/>
    </row>
    <row r="4850" s="2" customFormat="1" ht="24.95" customHeight="1" spans="1:19">
      <c r="A4850" s="15"/>
      <c r="B4850" s="55"/>
      <c r="C4850" s="56"/>
      <c r="D4850" s="68"/>
      <c r="E4850" s="69"/>
      <c r="F4850" s="69"/>
      <c r="G4850" s="65"/>
      <c r="H4850" s="65"/>
      <c r="I4850" s="70"/>
      <c r="J4850" s="71"/>
      <c r="K4850" s="71"/>
      <c r="L4850" s="72" t="str">
        <f>IFERROR(IF(G4850="","",VLOOKUP($G4850,[1]基础信息!$B:$C,2,FALSE)+SUMIF(G$8:G4850,G4850,J$8:J4850)-SUMIF(G$8:G4850,G4850,K$8:K4850)+SUMIFS([1]内部转账!$G:$G,[1]内部转账!$C:$C,"&lt;="&amp;$D4850,[1]内部转账!$E:$E,$G4850)-SUMIFS([1]内部转账!$G:$G,[1]内部转账!$C:$C,"&lt;="&amp;$D4850,[1]内部转账!$F:$F,$G4850)),"")</f>
        <v/>
      </c>
      <c r="M4850" s="64"/>
      <c r="N4850" s="69"/>
      <c r="O4850" s="64"/>
      <c r="P4850" s="64"/>
      <c r="Q4850" s="69"/>
      <c r="R4850" s="69"/>
      <c r="S4850" s="69"/>
    </row>
    <row r="4851" s="2" customFormat="1" ht="24.95" customHeight="1" spans="1:19">
      <c r="A4851" s="15"/>
      <c r="B4851" s="55"/>
      <c r="C4851" s="56"/>
      <c r="D4851" s="68"/>
      <c r="E4851" s="69"/>
      <c r="F4851" s="69"/>
      <c r="G4851" s="65"/>
      <c r="H4851" s="65"/>
      <c r="I4851" s="70"/>
      <c r="J4851" s="71"/>
      <c r="K4851" s="71"/>
      <c r="L4851" s="72" t="str">
        <f>IFERROR(IF(G4851="","",VLOOKUP($G4851,[1]基础信息!$B:$C,2,FALSE)+SUMIF(G$8:G4851,G4851,J$8:J4851)-SUMIF(G$8:G4851,G4851,K$8:K4851)+SUMIFS([1]内部转账!$G:$G,[1]内部转账!$C:$C,"&lt;="&amp;$D4851,[1]内部转账!$E:$E,$G4851)-SUMIFS([1]内部转账!$G:$G,[1]内部转账!$C:$C,"&lt;="&amp;$D4851,[1]内部转账!$F:$F,$G4851)),"")</f>
        <v/>
      </c>
      <c r="M4851" s="64"/>
      <c r="N4851" s="69"/>
      <c r="O4851" s="64"/>
      <c r="P4851" s="64"/>
      <c r="Q4851" s="69"/>
      <c r="R4851" s="69"/>
      <c r="S4851" s="69"/>
    </row>
    <row r="4852" s="2" customFormat="1" ht="24.95" customHeight="1" spans="1:19">
      <c r="A4852" s="15"/>
      <c r="B4852" s="55"/>
      <c r="C4852" s="56"/>
      <c r="D4852" s="68"/>
      <c r="E4852" s="69"/>
      <c r="F4852" s="69"/>
      <c r="G4852" s="65"/>
      <c r="H4852" s="65"/>
      <c r="I4852" s="70"/>
      <c r="J4852" s="71"/>
      <c r="K4852" s="71"/>
      <c r="L4852" s="72" t="str">
        <f>IFERROR(IF(G4852="","",VLOOKUP($G4852,[1]基础信息!$B:$C,2,FALSE)+SUMIF(G$8:G4852,G4852,J$8:J4852)-SUMIF(G$8:G4852,G4852,K$8:K4852)+SUMIFS([1]内部转账!$G:$G,[1]内部转账!$C:$C,"&lt;="&amp;$D4852,[1]内部转账!$E:$E,$G4852)-SUMIFS([1]内部转账!$G:$G,[1]内部转账!$C:$C,"&lt;="&amp;$D4852,[1]内部转账!$F:$F,$G4852)),"")</f>
        <v/>
      </c>
      <c r="M4852" s="64"/>
      <c r="N4852" s="69"/>
      <c r="O4852" s="64"/>
      <c r="P4852" s="64"/>
      <c r="Q4852" s="69"/>
      <c r="R4852" s="69"/>
      <c r="S4852" s="69"/>
    </row>
    <row r="4853" s="2" customFormat="1" ht="24.95" customHeight="1" spans="1:19">
      <c r="A4853" s="15"/>
      <c r="B4853" s="55"/>
      <c r="C4853" s="56"/>
      <c r="D4853" s="68"/>
      <c r="E4853" s="69"/>
      <c r="F4853" s="69"/>
      <c r="G4853" s="65"/>
      <c r="H4853" s="65"/>
      <c r="I4853" s="70"/>
      <c r="J4853" s="71"/>
      <c r="K4853" s="71"/>
      <c r="L4853" s="72" t="str">
        <f>IFERROR(IF(G4853="","",VLOOKUP($G4853,[1]基础信息!$B:$C,2,FALSE)+SUMIF(G$8:G4853,G4853,J$8:J4853)-SUMIF(G$8:G4853,G4853,K$8:K4853)+SUMIFS([1]内部转账!$G:$G,[1]内部转账!$C:$C,"&lt;="&amp;$D4853,[1]内部转账!$E:$E,$G4853)-SUMIFS([1]内部转账!$G:$G,[1]内部转账!$C:$C,"&lt;="&amp;$D4853,[1]内部转账!$F:$F,$G4853)),"")</f>
        <v/>
      </c>
      <c r="M4853" s="64"/>
      <c r="N4853" s="69"/>
      <c r="O4853" s="64"/>
      <c r="P4853" s="64"/>
      <c r="Q4853" s="69"/>
      <c r="R4853" s="69"/>
      <c r="S4853" s="69"/>
    </row>
    <row r="4854" s="2" customFormat="1" ht="24.95" customHeight="1" spans="1:19">
      <c r="A4854" s="15"/>
      <c r="B4854" s="55"/>
      <c r="C4854" s="56"/>
      <c r="D4854" s="68"/>
      <c r="E4854" s="69"/>
      <c r="F4854" s="69"/>
      <c r="G4854" s="65"/>
      <c r="H4854" s="65"/>
      <c r="I4854" s="70"/>
      <c r="J4854" s="71"/>
      <c r="K4854" s="71"/>
      <c r="L4854" s="72" t="str">
        <f>IFERROR(IF(G4854="","",VLOOKUP($G4854,[1]基础信息!$B:$C,2,FALSE)+SUMIF(G$8:G4854,G4854,J$8:J4854)-SUMIF(G$8:G4854,G4854,K$8:K4854)+SUMIFS([1]内部转账!$G:$G,[1]内部转账!$C:$C,"&lt;="&amp;$D4854,[1]内部转账!$E:$E,$G4854)-SUMIFS([1]内部转账!$G:$G,[1]内部转账!$C:$C,"&lt;="&amp;$D4854,[1]内部转账!$F:$F,$G4854)),"")</f>
        <v/>
      </c>
      <c r="M4854" s="64"/>
      <c r="N4854" s="69"/>
      <c r="O4854" s="64"/>
      <c r="P4854" s="64"/>
      <c r="Q4854" s="69"/>
      <c r="R4854" s="69"/>
      <c r="S4854" s="69"/>
    </row>
    <row r="4855" s="2" customFormat="1" ht="24.95" customHeight="1" spans="1:19">
      <c r="A4855" s="15"/>
      <c r="B4855" s="55"/>
      <c r="C4855" s="56"/>
      <c r="D4855" s="68"/>
      <c r="E4855" s="69"/>
      <c r="F4855" s="69"/>
      <c r="G4855" s="65"/>
      <c r="H4855" s="65"/>
      <c r="I4855" s="70"/>
      <c r="J4855" s="71"/>
      <c r="K4855" s="71"/>
      <c r="L4855" s="72" t="str">
        <f>IFERROR(IF(G4855="","",VLOOKUP($G4855,[1]基础信息!$B:$C,2,FALSE)+SUMIF(G$8:G4855,G4855,J$8:J4855)-SUMIF(G$8:G4855,G4855,K$8:K4855)+SUMIFS([1]内部转账!$G:$G,[1]内部转账!$C:$C,"&lt;="&amp;$D4855,[1]内部转账!$E:$E,$G4855)-SUMIFS([1]内部转账!$G:$G,[1]内部转账!$C:$C,"&lt;="&amp;$D4855,[1]内部转账!$F:$F,$G4855)),"")</f>
        <v/>
      </c>
      <c r="M4855" s="64"/>
      <c r="N4855" s="69"/>
      <c r="O4855" s="64"/>
      <c r="P4855" s="64"/>
      <c r="Q4855" s="69"/>
      <c r="R4855" s="69"/>
      <c r="S4855" s="69"/>
    </row>
    <row r="4856" s="2" customFormat="1" ht="24.95" customHeight="1" spans="1:19">
      <c r="A4856" s="15"/>
      <c r="B4856" s="55"/>
      <c r="C4856" s="56"/>
      <c r="D4856" s="68"/>
      <c r="E4856" s="69"/>
      <c r="F4856" s="69"/>
      <c r="G4856" s="65"/>
      <c r="H4856" s="65"/>
      <c r="I4856" s="70"/>
      <c r="J4856" s="71"/>
      <c r="K4856" s="71"/>
      <c r="L4856" s="72" t="str">
        <f>IFERROR(IF(G4856="","",VLOOKUP($G4856,[1]基础信息!$B:$C,2,FALSE)+SUMIF(G$8:G4856,G4856,J$8:J4856)-SUMIF(G$8:G4856,G4856,K$8:K4856)+SUMIFS([1]内部转账!$G:$G,[1]内部转账!$C:$C,"&lt;="&amp;$D4856,[1]内部转账!$E:$E,$G4856)-SUMIFS([1]内部转账!$G:$G,[1]内部转账!$C:$C,"&lt;="&amp;$D4856,[1]内部转账!$F:$F,$G4856)),"")</f>
        <v/>
      </c>
      <c r="M4856" s="64"/>
      <c r="N4856" s="69"/>
      <c r="O4856" s="64"/>
      <c r="P4856" s="64"/>
      <c r="Q4856" s="69"/>
      <c r="R4856" s="69"/>
      <c r="S4856" s="69"/>
    </row>
    <row r="4857" s="2" customFormat="1" ht="24.95" customHeight="1" spans="1:19">
      <c r="A4857" s="15"/>
      <c r="B4857" s="55"/>
      <c r="C4857" s="56"/>
      <c r="D4857" s="68"/>
      <c r="E4857" s="69"/>
      <c r="F4857" s="69"/>
      <c r="G4857" s="65"/>
      <c r="H4857" s="65"/>
      <c r="I4857" s="70"/>
      <c r="J4857" s="71"/>
      <c r="K4857" s="71"/>
      <c r="L4857" s="72" t="str">
        <f>IFERROR(IF(G4857="","",VLOOKUP($G4857,[1]基础信息!$B:$C,2,FALSE)+SUMIF(G$8:G4857,G4857,J$8:J4857)-SUMIF(G$8:G4857,G4857,K$8:K4857)+SUMIFS([1]内部转账!$G:$G,[1]内部转账!$C:$C,"&lt;="&amp;$D4857,[1]内部转账!$E:$E,$G4857)-SUMIFS([1]内部转账!$G:$G,[1]内部转账!$C:$C,"&lt;="&amp;$D4857,[1]内部转账!$F:$F,$G4857)),"")</f>
        <v/>
      </c>
      <c r="M4857" s="64"/>
      <c r="N4857" s="69"/>
      <c r="O4857" s="64"/>
      <c r="P4857" s="64"/>
      <c r="Q4857" s="69"/>
      <c r="R4857" s="69"/>
      <c r="S4857" s="69"/>
    </row>
    <row r="4858" s="2" customFormat="1" ht="24.95" customHeight="1" spans="1:19">
      <c r="A4858" s="15"/>
      <c r="B4858" s="55"/>
      <c r="C4858" s="56"/>
      <c r="D4858" s="68"/>
      <c r="E4858" s="69"/>
      <c r="F4858" s="69"/>
      <c r="G4858" s="65"/>
      <c r="H4858" s="65"/>
      <c r="I4858" s="70"/>
      <c r="J4858" s="71"/>
      <c r="K4858" s="71"/>
      <c r="L4858" s="72" t="str">
        <f>IFERROR(IF(G4858="","",VLOOKUP($G4858,[1]基础信息!$B:$C,2,FALSE)+SUMIF(G$8:G4858,G4858,J$8:J4858)-SUMIF(G$8:G4858,G4858,K$8:K4858)+SUMIFS([1]内部转账!$G:$G,[1]内部转账!$C:$C,"&lt;="&amp;$D4858,[1]内部转账!$E:$E,$G4858)-SUMIFS([1]内部转账!$G:$G,[1]内部转账!$C:$C,"&lt;="&amp;$D4858,[1]内部转账!$F:$F,$G4858)),"")</f>
        <v/>
      </c>
      <c r="M4858" s="64"/>
      <c r="N4858" s="69"/>
      <c r="O4858" s="64"/>
      <c r="P4858" s="64"/>
      <c r="Q4858" s="69"/>
      <c r="R4858" s="69"/>
      <c r="S4858" s="69"/>
    </row>
    <row r="4859" s="2" customFormat="1" ht="24.95" customHeight="1" spans="1:19">
      <c r="A4859" s="15"/>
      <c r="B4859" s="55"/>
      <c r="C4859" s="56"/>
      <c r="D4859" s="68"/>
      <c r="E4859" s="69"/>
      <c r="F4859" s="69"/>
      <c r="G4859" s="65"/>
      <c r="H4859" s="65"/>
      <c r="I4859" s="70"/>
      <c r="J4859" s="71"/>
      <c r="K4859" s="71"/>
      <c r="L4859" s="72" t="str">
        <f>IFERROR(IF(G4859="","",VLOOKUP($G4859,[1]基础信息!$B:$C,2,FALSE)+SUMIF(G$8:G4859,G4859,J$8:J4859)-SUMIF(G$8:G4859,G4859,K$8:K4859)+SUMIFS([1]内部转账!$G:$G,[1]内部转账!$C:$C,"&lt;="&amp;$D4859,[1]内部转账!$E:$E,$G4859)-SUMIFS([1]内部转账!$G:$G,[1]内部转账!$C:$C,"&lt;="&amp;$D4859,[1]内部转账!$F:$F,$G4859)),"")</f>
        <v/>
      </c>
      <c r="M4859" s="64"/>
      <c r="N4859" s="69"/>
      <c r="O4859" s="64"/>
      <c r="P4859" s="64"/>
      <c r="Q4859" s="69"/>
      <c r="R4859" s="69"/>
      <c r="S4859" s="69"/>
    </row>
    <row r="4860" s="2" customFormat="1" ht="24.95" customHeight="1" spans="1:19">
      <c r="A4860" s="15"/>
      <c r="B4860" s="55"/>
      <c r="C4860" s="56"/>
      <c r="D4860" s="68"/>
      <c r="E4860" s="69"/>
      <c r="F4860" s="69"/>
      <c r="G4860" s="65"/>
      <c r="H4860" s="65"/>
      <c r="I4860" s="70"/>
      <c r="J4860" s="71"/>
      <c r="K4860" s="71"/>
      <c r="L4860" s="72" t="str">
        <f>IFERROR(IF(G4860="","",VLOOKUP($G4860,[1]基础信息!$B:$C,2,FALSE)+SUMIF(G$8:G4860,G4860,J$8:J4860)-SUMIF(G$8:G4860,G4860,K$8:K4860)+SUMIFS([1]内部转账!$G:$G,[1]内部转账!$C:$C,"&lt;="&amp;$D4860,[1]内部转账!$E:$E,$G4860)-SUMIFS([1]内部转账!$G:$G,[1]内部转账!$C:$C,"&lt;="&amp;$D4860,[1]内部转账!$F:$F,$G4860)),"")</f>
        <v/>
      </c>
      <c r="M4860" s="64"/>
      <c r="N4860" s="69"/>
      <c r="O4860" s="64"/>
      <c r="P4860" s="64"/>
      <c r="Q4860" s="69"/>
      <c r="R4860" s="69"/>
      <c r="S4860" s="69"/>
    </row>
    <row r="4861" s="2" customFormat="1" ht="24.95" customHeight="1" spans="1:19">
      <c r="A4861" s="15"/>
      <c r="B4861" s="55"/>
      <c r="C4861" s="56"/>
      <c r="D4861" s="68"/>
      <c r="E4861" s="69"/>
      <c r="F4861" s="69"/>
      <c r="G4861" s="65"/>
      <c r="H4861" s="65"/>
      <c r="I4861" s="70"/>
      <c r="J4861" s="71"/>
      <c r="K4861" s="71"/>
      <c r="L4861" s="72" t="str">
        <f>IFERROR(IF(G4861="","",VLOOKUP($G4861,[1]基础信息!$B:$C,2,FALSE)+SUMIF(G$8:G4861,G4861,J$8:J4861)-SUMIF(G$8:G4861,G4861,K$8:K4861)+SUMIFS([1]内部转账!$G:$G,[1]内部转账!$C:$C,"&lt;="&amp;$D4861,[1]内部转账!$E:$E,$G4861)-SUMIFS([1]内部转账!$G:$G,[1]内部转账!$C:$C,"&lt;="&amp;$D4861,[1]内部转账!$F:$F,$G4861)),"")</f>
        <v/>
      </c>
      <c r="M4861" s="64"/>
      <c r="N4861" s="69"/>
      <c r="O4861" s="64"/>
      <c r="P4861" s="64"/>
      <c r="Q4861" s="69"/>
      <c r="R4861" s="69"/>
      <c r="S4861" s="69"/>
    </row>
    <row r="4862" s="2" customFormat="1" ht="24.95" customHeight="1" spans="1:19">
      <c r="A4862" s="15"/>
      <c r="B4862" s="55"/>
      <c r="C4862" s="56"/>
      <c r="D4862" s="68"/>
      <c r="E4862" s="69"/>
      <c r="F4862" s="69"/>
      <c r="G4862" s="65"/>
      <c r="H4862" s="65"/>
      <c r="I4862" s="70"/>
      <c r="J4862" s="71"/>
      <c r="K4862" s="71"/>
      <c r="L4862" s="72" t="str">
        <f>IFERROR(IF(G4862="","",VLOOKUP($G4862,[1]基础信息!$B:$C,2,FALSE)+SUMIF(G$8:G4862,G4862,J$8:J4862)-SUMIF(G$8:G4862,G4862,K$8:K4862)+SUMIFS([1]内部转账!$G:$G,[1]内部转账!$C:$C,"&lt;="&amp;$D4862,[1]内部转账!$E:$E,$G4862)-SUMIFS([1]内部转账!$G:$G,[1]内部转账!$C:$C,"&lt;="&amp;$D4862,[1]内部转账!$F:$F,$G4862)),"")</f>
        <v/>
      </c>
      <c r="M4862" s="64"/>
      <c r="N4862" s="69"/>
      <c r="O4862" s="64"/>
      <c r="P4862" s="64"/>
      <c r="Q4862" s="69"/>
      <c r="R4862" s="69"/>
      <c r="S4862" s="69"/>
    </row>
    <row r="4863" s="2" customFormat="1" ht="24.95" customHeight="1" spans="1:19">
      <c r="A4863" s="15"/>
      <c r="B4863" s="55"/>
      <c r="C4863" s="56"/>
      <c r="D4863" s="68"/>
      <c r="E4863" s="69"/>
      <c r="F4863" s="69"/>
      <c r="G4863" s="65"/>
      <c r="H4863" s="65"/>
      <c r="I4863" s="70"/>
      <c r="J4863" s="71"/>
      <c r="K4863" s="71"/>
      <c r="L4863" s="72" t="str">
        <f>IFERROR(IF(G4863="","",VLOOKUP($G4863,[1]基础信息!$B:$C,2,FALSE)+SUMIF(G$8:G4863,G4863,J$8:J4863)-SUMIF(G$8:G4863,G4863,K$8:K4863)+SUMIFS([1]内部转账!$G:$G,[1]内部转账!$C:$C,"&lt;="&amp;$D4863,[1]内部转账!$E:$E,$G4863)-SUMIFS([1]内部转账!$G:$G,[1]内部转账!$C:$C,"&lt;="&amp;$D4863,[1]内部转账!$F:$F,$G4863)),"")</f>
        <v/>
      </c>
      <c r="M4863" s="64"/>
      <c r="N4863" s="69"/>
      <c r="O4863" s="64"/>
      <c r="P4863" s="64"/>
      <c r="Q4863" s="69"/>
      <c r="R4863" s="69"/>
      <c r="S4863" s="69"/>
    </row>
    <row r="4864" s="2" customFormat="1" ht="24.95" customHeight="1" spans="1:19">
      <c r="A4864" s="15"/>
      <c r="B4864" s="55"/>
      <c r="C4864" s="56"/>
      <c r="D4864" s="68"/>
      <c r="E4864" s="69"/>
      <c r="F4864" s="69"/>
      <c r="G4864" s="65"/>
      <c r="H4864" s="65"/>
      <c r="I4864" s="70"/>
      <c r="J4864" s="71"/>
      <c r="K4864" s="71"/>
      <c r="L4864" s="72" t="str">
        <f>IFERROR(IF(G4864="","",VLOOKUP($G4864,[1]基础信息!$B:$C,2,FALSE)+SUMIF(G$8:G4864,G4864,J$8:J4864)-SUMIF(G$8:G4864,G4864,K$8:K4864)+SUMIFS([1]内部转账!$G:$G,[1]内部转账!$C:$C,"&lt;="&amp;$D4864,[1]内部转账!$E:$E,$G4864)-SUMIFS([1]内部转账!$G:$G,[1]内部转账!$C:$C,"&lt;="&amp;$D4864,[1]内部转账!$F:$F,$G4864)),"")</f>
        <v/>
      </c>
      <c r="M4864" s="64"/>
      <c r="N4864" s="69"/>
      <c r="O4864" s="64"/>
      <c r="P4864" s="64"/>
      <c r="Q4864" s="69"/>
      <c r="R4864" s="69"/>
      <c r="S4864" s="69"/>
    </row>
    <row r="4865" s="2" customFormat="1" ht="24.95" customHeight="1" spans="1:19">
      <c r="A4865" s="15"/>
      <c r="B4865" s="55"/>
      <c r="C4865" s="56"/>
      <c r="D4865" s="68"/>
      <c r="E4865" s="69"/>
      <c r="F4865" s="69"/>
      <c r="G4865" s="65"/>
      <c r="H4865" s="65"/>
      <c r="I4865" s="70"/>
      <c r="J4865" s="71"/>
      <c r="K4865" s="71"/>
      <c r="L4865" s="72" t="str">
        <f>IFERROR(IF(G4865="","",VLOOKUP($G4865,[1]基础信息!$B:$C,2,FALSE)+SUMIF(G$8:G4865,G4865,J$8:J4865)-SUMIF(G$8:G4865,G4865,K$8:K4865)+SUMIFS([1]内部转账!$G:$G,[1]内部转账!$C:$C,"&lt;="&amp;$D4865,[1]内部转账!$E:$E,$G4865)-SUMIFS([1]内部转账!$G:$G,[1]内部转账!$C:$C,"&lt;="&amp;$D4865,[1]内部转账!$F:$F,$G4865)),"")</f>
        <v/>
      </c>
      <c r="M4865" s="64"/>
      <c r="N4865" s="69"/>
      <c r="O4865" s="64"/>
      <c r="P4865" s="64"/>
      <c r="Q4865" s="69"/>
      <c r="R4865" s="69"/>
      <c r="S4865" s="69"/>
    </row>
    <row r="4866" s="2" customFormat="1" ht="24.95" customHeight="1" spans="1:19">
      <c r="A4866" s="15"/>
      <c r="B4866" s="55"/>
      <c r="C4866" s="56"/>
      <c r="D4866" s="68"/>
      <c r="E4866" s="69"/>
      <c r="F4866" s="69"/>
      <c r="G4866" s="65"/>
      <c r="H4866" s="65"/>
      <c r="I4866" s="70"/>
      <c r="J4866" s="71"/>
      <c r="K4866" s="71"/>
      <c r="L4866" s="72" t="str">
        <f>IFERROR(IF(G4866="","",VLOOKUP($G4866,[1]基础信息!$B:$C,2,FALSE)+SUMIF(G$8:G4866,G4866,J$8:J4866)-SUMIF(G$8:G4866,G4866,K$8:K4866)+SUMIFS([1]内部转账!$G:$G,[1]内部转账!$C:$C,"&lt;="&amp;$D4866,[1]内部转账!$E:$E,$G4866)-SUMIFS([1]内部转账!$G:$G,[1]内部转账!$C:$C,"&lt;="&amp;$D4866,[1]内部转账!$F:$F,$G4866)),"")</f>
        <v/>
      </c>
      <c r="M4866" s="64"/>
      <c r="N4866" s="69"/>
      <c r="O4866" s="64"/>
      <c r="P4866" s="64"/>
      <c r="Q4866" s="69"/>
      <c r="R4866" s="69"/>
      <c r="S4866" s="69"/>
    </row>
    <row r="4867" s="2" customFormat="1" ht="24.95" customHeight="1" spans="1:19">
      <c r="A4867" s="15"/>
      <c r="B4867" s="55"/>
      <c r="C4867" s="56"/>
      <c r="D4867" s="68"/>
      <c r="E4867" s="69"/>
      <c r="F4867" s="69"/>
      <c r="G4867" s="65"/>
      <c r="H4867" s="65"/>
      <c r="I4867" s="70"/>
      <c r="J4867" s="71"/>
      <c r="K4867" s="71"/>
      <c r="L4867" s="72" t="str">
        <f>IFERROR(IF(G4867="","",VLOOKUP($G4867,[1]基础信息!$B:$C,2,FALSE)+SUMIF(G$8:G4867,G4867,J$8:J4867)-SUMIF(G$8:G4867,G4867,K$8:K4867)+SUMIFS([1]内部转账!$G:$G,[1]内部转账!$C:$C,"&lt;="&amp;$D4867,[1]内部转账!$E:$E,$G4867)-SUMIFS([1]内部转账!$G:$G,[1]内部转账!$C:$C,"&lt;="&amp;$D4867,[1]内部转账!$F:$F,$G4867)),"")</f>
        <v/>
      </c>
      <c r="M4867" s="64"/>
      <c r="N4867" s="69"/>
      <c r="O4867" s="64"/>
      <c r="P4867" s="64"/>
      <c r="Q4867" s="69"/>
      <c r="R4867" s="69"/>
      <c r="S4867" s="69"/>
    </row>
    <row r="4868" s="2" customFormat="1" ht="24.95" customHeight="1" spans="1:19">
      <c r="A4868" s="15"/>
      <c r="B4868" s="55"/>
      <c r="C4868" s="56"/>
      <c r="D4868" s="68"/>
      <c r="E4868" s="69"/>
      <c r="F4868" s="69"/>
      <c r="G4868" s="65"/>
      <c r="H4868" s="65"/>
      <c r="I4868" s="70"/>
      <c r="J4868" s="71"/>
      <c r="K4868" s="71"/>
      <c r="L4868" s="72" t="str">
        <f>IFERROR(IF(G4868="","",VLOOKUP($G4868,[1]基础信息!$B:$C,2,FALSE)+SUMIF(G$8:G4868,G4868,J$8:J4868)-SUMIF(G$8:G4868,G4868,K$8:K4868)+SUMIFS([1]内部转账!$G:$G,[1]内部转账!$C:$C,"&lt;="&amp;$D4868,[1]内部转账!$E:$E,$G4868)-SUMIFS([1]内部转账!$G:$G,[1]内部转账!$C:$C,"&lt;="&amp;$D4868,[1]内部转账!$F:$F,$G4868)),"")</f>
        <v/>
      </c>
      <c r="M4868" s="64"/>
      <c r="N4868" s="69"/>
      <c r="O4868" s="64"/>
      <c r="P4868" s="64"/>
      <c r="Q4868" s="69"/>
      <c r="R4868" s="69"/>
      <c r="S4868" s="69"/>
    </row>
    <row r="4869" s="2" customFormat="1" ht="24.95" customHeight="1" spans="1:19">
      <c r="A4869" s="15"/>
      <c r="B4869" s="55"/>
      <c r="C4869" s="56"/>
      <c r="D4869" s="68"/>
      <c r="E4869" s="69"/>
      <c r="F4869" s="69"/>
      <c r="G4869" s="65"/>
      <c r="H4869" s="65"/>
      <c r="I4869" s="70"/>
      <c r="J4869" s="71"/>
      <c r="K4869" s="71"/>
      <c r="L4869" s="72" t="str">
        <f>IFERROR(IF(G4869="","",VLOOKUP($G4869,[1]基础信息!$B:$C,2,FALSE)+SUMIF(G$8:G4869,G4869,J$8:J4869)-SUMIF(G$8:G4869,G4869,K$8:K4869)+SUMIFS([1]内部转账!$G:$G,[1]内部转账!$C:$C,"&lt;="&amp;$D4869,[1]内部转账!$E:$E,$G4869)-SUMIFS([1]内部转账!$G:$G,[1]内部转账!$C:$C,"&lt;="&amp;$D4869,[1]内部转账!$F:$F,$G4869)),"")</f>
        <v/>
      </c>
      <c r="M4869" s="64"/>
      <c r="N4869" s="69"/>
      <c r="O4869" s="64"/>
      <c r="P4869" s="64"/>
      <c r="Q4869" s="69"/>
      <c r="R4869" s="69"/>
      <c r="S4869" s="69"/>
    </row>
    <row r="4870" s="2" customFormat="1" ht="24.95" customHeight="1" spans="1:19">
      <c r="A4870" s="15"/>
      <c r="B4870" s="55"/>
      <c r="C4870" s="56"/>
      <c r="D4870" s="68"/>
      <c r="E4870" s="69"/>
      <c r="F4870" s="69"/>
      <c r="G4870" s="65"/>
      <c r="H4870" s="65"/>
      <c r="I4870" s="70"/>
      <c r="J4870" s="71"/>
      <c r="K4870" s="71"/>
      <c r="L4870" s="72" t="str">
        <f>IFERROR(IF(G4870="","",VLOOKUP($G4870,[1]基础信息!$B:$C,2,FALSE)+SUMIF(G$8:G4870,G4870,J$8:J4870)-SUMIF(G$8:G4870,G4870,K$8:K4870)+SUMIFS([1]内部转账!$G:$G,[1]内部转账!$C:$C,"&lt;="&amp;$D4870,[1]内部转账!$E:$E,$G4870)-SUMIFS([1]内部转账!$G:$G,[1]内部转账!$C:$C,"&lt;="&amp;$D4870,[1]内部转账!$F:$F,$G4870)),"")</f>
        <v/>
      </c>
      <c r="M4870" s="64"/>
      <c r="N4870" s="69"/>
      <c r="O4870" s="64"/>
      <c r="P4870" s="64"/>
      <c r="Q4870" s="69"/>
      <c r="R4870" s="69"/>
      <c r="S4870" s="69"/>
    </row>
    <row r="4871" s="2" customFormat="1" ht="24.95" customHeight="1" spans="1:19">
      <c r="A4871" s="15"/>
      <c r="B4871" s="55"/>
      <c r="C4871" s="56"/>
      <c r="D4871" s="68"/>
      <c r="E4871" s="69"/>
      <c r="F4871" s="69"/>
      <c r="G4871" s="65"/>
      <c r="H4871" s="65"/>
      <c r="I4871" s="70"/>
      <c r="J4871" s="71"/>
      <c r="K4871" s="71"/>
      <c r="L4871" s="72" t="str">
        <f>IFERROR(IF(G4871="","",VLOOKUP($G4871,[1]基础信息!$B:$C,2,FALSE)+SUMIF(G$8:G4871,G4871,J$8:J4871)-SUMIF(G$8:G4871,G4871,K$8:K4871)+SUMIFS([1]内部转账!$G:$G,[1]内部转账!$C:$C,"&lt;="&amp;$D4871,[1]内部转账!$E:$E,$G4871)-SUMIFS([1]内部转账!$G:$G,[1]内部转账!$C:$C,"&lt;="&amp;$D4871,[1]内部转账!$F:$F,$G4871)),"")</f>
        <v/>
      </c>
      <c r="M4871" s="64"/>
      <c r="N4871" s="69"/>
      <c r="O4871" s="64"/>
      <c r="P4871" s="64"/>
      <c r="Q4871" s="69"/>
      <c r="R4871" s="69"/>
      <c r="S4871" s="69"/>
    </row>
    <row r="4872" s="2" customFormat="1" ht="24.95" customHeight="1" spans="1:19">
      <c r="A4872" s="15"/>
      <c r="B4872" s="55"/>
      <c r="C4872" s="56"/>
      <c r="D4872" s="68"/>
      <c r="E4872" s="69"/>
      <c r="F4872" s="69"/>
      <c r="G4872" s="65"/>
      <c r="H4872" s="65"/>
      <c r="I4872" s="70"/>
      <c r="J4872" s="71"/>
      <c r="K4872" s="71"/>
      <c r="L4872" s="72" t="str">
        <f>IFERROR(IF(G4872="","",VLOOKUP($G4872,[1]基础信息!$B:$C,2,FALSE)+SUMIF(G$8:G4872,G4872,J$8:J4872)-SUMIF(G$8:G4872,G4872,K$8:K4872)+SUMIFS([1]内部转账!$G:$G,[1]内部转账!$C:$C,"&lt;="&amp;$D4872,[1]内部转账!$E:$E,$G4872)-SUMIFS([1]内部转账!$G:$G,[1]内部转账!$C:$C,"&lt;="&amp;$D4872,[1]内部转账!$F:$F,$G4872)),"")</f>
        <v/>
      </c>
      <c r="M4872" s="64"/>
      <c r="N4872" s="69"/>
      <c r="O4872" s="64"/>
      <c r="P4872" s="64"/>
      <c r="Q4872" s="69"/>
      <c r="R4872" s="69"/>
      <c r="S4872" s="69"/>
    </row>
    <row r="4873" s="2" customFormat="1" ht="24.95" customHeight="1" spans="1:19">
      <c r="A4873" s="15"/>
      <c r="B4873" s="55"/>
      <c r="C4873" s="56"/>
      <c r="D4873" s="68"/>
      <c r="E4873" s="69"/>
      <c r="F4873" s="69"/>
      <c r="G4873" s="65"/>
      <c r="H4873" s="65"/>
      <c r="I4873" s="70"/>
      <c r="J4873" s="71"/>
      <c r="K4873" s="71"/>
      <c r="L4873" s="72" t="str">
        <f>IFERROR(IF(G4873="","",VLOOKUP($G4873,[1]基础信息!$B:$C,2,FALSE)+SUMIF(G$8:G4873,G4873,J$8:J4873)-SUMIF(G$8:G4873,G4873,K$8:K4873)+SUMIFS([1]内部转账!$G:$G,[1]内部转账!$C:$C,"&lt;="&amp;$D4873,[1]内部转账!$E:$E,$G4873)-SUMIFS([1]内部转账!$G:$G,[1]内部转账!$C:$C,"&lt;="&amp;$D4873,[1]内部转账!$F:$F,$G4873)),"")</f>
        <v/>
      </c>
      <c r="M4873" s="64"/>
      <c r="N4873" s="69"/>
      <c r="O4873" s="64"/>
      <c r="P4873" s="64"/>
      <c r="Q4873" s="69"/>
      <c r="R4873" s="69"/>
      <c r="S4873" s="69"/>
    </row>
    <row r="4874" s="2" customFormat="1" ht="24.95" customHeight="1" spans="1:19">
      <c r="A4874" s="15"/>
      <c r="B4874" s="55"/>
      <c r="C4874" s="56"/>
      <c r="D4874" s="68"/>
      <c r="E4874" s="69"/>
      <c r="F4874" s="69"/>
      <c r="G4874" s="65"/>
      <c r="H4874" s="65"/>
      <c r="I4874" s="70"/>
      <c r="J4874" s="71"/>
      <c r="K4874" s="71"/>
      <c r="L4874" s="72" t="str">
        <f>IFERROR(IF(G4874="","",VLOOKUP($G4874,[1]基础信息!$B:$C,2,FALSE)+SUMIF(G$8:G4874,G4874,J$8:J4874)-SUMIF(G$8:G4874,G4874,K$8:K4874)+SUMIFS([1]内部转账!$G:$G,[1]内部转账!$C:$C,"&lt;="&amp;$D4874,[1]内部转账!$E:$E,$G4874)-SUMIFS([1]内部转账!$G:$G,[1]内部转账!$C:$C,"&lt;="&amp;$D4874,[1]内部转账!$F:$F,$G4874)),"")</f>
        <v/>
      </c>
      <c r="M4874" s="64"/>
      <c r="N4874" s="69"/>
      <c r="O4874" s="64"/>
      <c r="P4874" s="64"/>
      <c r="Q4874" s="69"/>
      <c r="R4874" s="69"/>
      <c r="S4874" s="69"/>
    </row>
    <row r="4875" s="2" customFormat="1" ht="24.95" customHeight="1" spans="1:19">
      <c r="A4875" s="15"/>
      <c r="B4875" s="55"/>
      <c r="C4875" s="56"/>
      <c r="D4875" s="68"/>
      <c r="E4875" s="69"/>
      <c r="F4875" s="69"/>
      <c r="G4875" s="65"/>
      <c r="H4875" s="65"/>
      <c r="I4875" s="70"/>
      <c r="J4875" s="71"/>
      <c r="K4875" s="71"/>
      <c r="L4875" s="72" t="str">
        <f>IFERROR(IF(G4875="","",VLOOKUP($G4875,[1]基础信息!$B:$C,2,FALSE)+SUMIF(G$8:G4875,G4875,J$8:J4875)-SUMIF(G$8:G4875,G4875,K$8:K4875)+SUMIFS([1]内部转账!$G:$G,[1]内部转账!$C:$C,"&lt;="&amp;$D4875,[1]内部转账!$E:$E,$G4875)-SUMIFS([1]内部转账!$G:$G,[1]内部转账!$C:$C,"&lt;="&amp;$D4875,[1]内部转账!$F:$F,$G4875)),"")</f>
        <v/>
      </c>
      <c r="M4875" s="64"/>
      <c r="N4875" s="69"/>
      <c r="O4875" s="64"/>
      <c r="P4875" s="64"/>
      <c r="Q4875" s="69"/>
      <c r="R4875" s="69"/>
      <c r="S4875" s="69"/>
    </row>
    <row r="4876" s="2" customFormat="1" ht="24.95" customHeight="1" spans="1:19">
      <c r="A4876" s="15"/>
      <c r="B4876" s="55"/>
      <c r="C4876" s="56"/>
      <c r="D4876" s="68"/>
      <c r="E4876" s="69"/>
      <c r="F4876" s="69"/>
      <c r="G4876" s="65"/>
      <c r="H4876" s="65"/>
      <c r="I4876" s="70"/>
      <c r="J4876" s="71"/>
      <c r="K4876" s="71"/>
      <c r="L4876" s="72" t="str">
        <f>IFERROR(IF(G4876="","",VLOOKUP($G4876,[1]基础信息!$B:$C,2,FALSE)+SUMIF(G$8:G4876,G4876,J$8:J4876)-SUMIF(G$8:G4876,G4876,K$8:K4876)+SUMIFS([1]内部转账!$G:$G,[1]内部转账!$C:$C,"&lt;="&amp;$D4876,[1]内部转账!$E:$E,$G4876)-SUMIFS([1]内部转账!$G:$G,[1]内部转账!$C:$C,"&lt;="&amp;$D4876,[1]内部转账!$F:$F,$G4876)),"")</f>
        <v/>
      </c>
      <c r="M4876" s="64"/>
      <c r="N4876" s="69"/>
      <c r="O4876" s="64"/>
      <c r="P4876" s="64"/>
      <c r="Q4876" s="69"/>
      <c r="R4876" s="69"/>
      <c r="S4876" s="69"/>
    </row>
    <row r="4877" s="2" customFormat="1" ht="24.95" customHeight="1" spans="1:19">
      <c r="A4877" s="15"/>
      <c r="B4877" s="55"/>
      <c r="C4877" s="56"/>
      <c r="D4877" s="68"/>
      <c r="E4877" s="69"/>
      <c r="F4877" s="69"/>
      <c r="G4877" s="65"/>
      <c r="H4877" s="65"/>
      <c r="I4877" s="70"/>
      <c r="J4877" s="71"/>
      <c r="K4877" s="71"/>
      <c r="L4877" s="72" t="str">
        <f>IFERROR(IF(G4877="","",VLOOKUP($G4877,[1]基础信息!$B:$C,2,FALSE)+SUMIF(G$8:G4877,G4877,J$8:J4877)-SUMIF(G$8:G4877,G4877,K$8:K4877)+SUMIFS([1]内部转账!$G:$G,[1]内部转账!$C:$C,"&lt;="&amp;$D4877,[1]内部转账!$E:$E,$G4877)-SUMIFS([1]内部转账!$G:$G,[1]内部转账!$C:$C,"&lt;="&amp;$D4877,[1]内部转账!$F:$F,$G4877)),"")</f>
        <v/>
      </c>
      <c r="M4877" s="64"/>
      <c r="N4877" s="69"/>
      <c r="O4877" s="64"/>
      <c r="P4877" s="64"/>
      <c r="Q4877" s="69"/>
      <c r="R4877" s="69"/>
      <c r="S4877" s="69"/>
    </row>
    <row r="4878" s="2" customFormat="1" ht="24.95" customHeight="1" spans="1:19">
      <c r="A4878" s="15"/>
      <c r="B4878" s="55"/>
      <c r="C4878" s="56"/>
      <c r="D4878" s="68"/>
      <c r="E4878" s="69"/>
      <c r="F4878" s="69"/>
      <c r="G4878" s="65"/>
      <c r="H4878" s="65"/>
      <c r="I4878" s="70"/>
      <c r="J4878" s="71"/>
      <c r="K4878" s="71"/>
      <c r="L4878" s="72" t="str">
        <f>IFERROR(IF(G4878="","",VLOOKUP($G4878,[1]基础信息!$B:$C,2,FALSE)+SUMIF(G$8:G4878,G4878,J$8:J4878)-SUMIF(G$8:G4878,G4878,K$8:K4878)+SUMIFS([1]内部转账!$G:$G,[1]内部转账!$C:$C,"&lt;="&amp;$D4878,[1]内部转账!$E:$E,$G4878)-SUMIFS([1]内部转账!$G:$G,[1]内部转账!$C:$C,"&lt;="&amp;$D4878,[1]内部转账!$F:$F,$G4878)),"")</f>
        <v/>
      </c>
      <c r="M4878" s="64"/>
      <c r="N4878" s="69"/>
      <c r="O4878" s="64"/>
      <c r="P4878" s="64"/>
      <c r="Q4878" s="69"/>
      <c r="R4878" s="69"/>
      <c r="S4878" s="69"/>
    </row>
    <row r="4879" s="2" customFormat="1" ht="24.95" customHeight="1" spans="1:19">
      <c r="A4879" s="15"/>
      <c r="B4879" s="55"/>
      <c r="C4879" s="56"/>
      <c r="D4879" s="68"/>
      <c r="E4879" s="69"/>
      <c r="F4879" s="69"/>
      <c r="G4879" s="65"/>
      <c r="H4879" s="65"/>
      <c r="I4879" s="70"/>
      <c r="J4879" s="71"/>
      <c r="K4879" s="71"/>
      <c r="L4879" s="72" t="str">
        <f>IFERROR(IF(G4879="","",VLOOKUP($G4879,[1]基础信息!$B:$C,2,FALSE)+SUMIF(G$8:G4879,G4879,J$8:J4879)-SUMIF(G$8:G4879,G4879,K$8:K4879)+SUMIFS([1]内部转账!$G:$G,[1]内部转账!$C:$C,"&lt;="&amp;$D4879,[1]内部转账!$E:$E,$G4879)-SUMIFS([1]内部转账!$G:$G,[1]内部转账!$C:$C,"&lt;="&amp;$D4879,[1]内部转账!$F:$F,$G4879)),"")</f>
        <v/>
      </c>
      <c r="M4879" s="64"/>
      <c r="N4879" s="69"/>
      <c r="O4879" s="64"/>
      <c r="P4879" s="64"/>
      <c r="Q4879" s="69"/>
      <c r="R4879" s="69"/>
      <c r="S4879" s="69"/>
    </row>
    <row r="4880" s="2" customFormat="1" ht="24.95" customHeight="1" spans="1:19">
      <c r="A4880" s="15"/>
      <c r="B4880" s="55"/>
      <c r="C4880" s="56"/>
      <c r="D4880" s="68"/>
      <c r="E4880" s="69"/>
      <c r="F4880" s="69"/>
      <c r="G4880" s="65"/>
      <c r="H4880" s="65"/>
      <c r="I4880" s="70"/>
      <c r="J4880" s="71"/>
      <c r="K4880" s="71"/>
      <c r="L4880" s="72" t="str">
        <f>IFERROR(IF(G4880="","",VLOOKUP($G4880,[1]基础信息!$B:$C,2,FALSE)+SUMIF(G$8:G4880,G4880,J$8:J4880)-SUMIF(G$8:G4880,G4880,K$8:K4880)+SUMIFS([1]内部转账!$G:$G,[1]内部转账!$C:$C,"&lt;="&amp;$D4880,[1]内部转账!$E:$E,$G4880)-SUMIFS([1]内部转账!$G:$G,[1]内部转账!$C:$C,"&lt;="&amp;$D4880,[1]内部转账!$F:$F,$G4880)),"")</f>
        <v/>
      </c>
      <c r="M4880" s="64"/>
      <c r="N4880" s="69"/>
      <c r="O4880" s="64"/>
      <c r="P4880" s="64"/>
      <c r="Q4880" s="69"/>
      <c r="R4880" s="69"/>
      <c r="S4880" s="69"/>
    </row>
    <row r="4881" s="2" customFormat="1" ht="24.95" customHeight="1" spans="1:19">
      <c r="A4881" s="15"/>
      <c r="B4881" s="55"/>
      <c r="C4881" s="56"/>
      <c r="D4881" s="68"/>
      <c r="E4881" s="69"/>
      <c r="F4881" s="69"/>
      <c r="G4881" s="65"/>
      <c r="H4881" s="65"/>
      <c r="I4881" s="70"/>
      <c r="J4881" s="71"/>
      <c r="K4881" s="71"/>
      <c r="L4881" s="72" t="str">
        <f>IFERROR(IF(G4881="","",VLOOKUP($G4881,[1]基础信息!$B:$C,2,FALSE)+SUMIF(G$8:G4881,G4881,J$8:J4881)-SUMIF(G$8:G4881,G4881,K$8:K4881)+SUMIFS([1]内部转账!$G:$G,[1]内部转账!$C:$C,"&lt;="&amp;$D4881,[1]内部转账!$E:$E,$G4881)-SUMIFS([1]内部转账!$G:$G,[1]内部转账!$C:$C,"&lt;="&amp;$D4881,[1]内部转账!$F:$F,$G4881)),"")</f>
        <v/>
      </c>
      <c r="M4881" s="64"/>
      <c r="N4881" s="69"/>
      <c r="O4881" s="64"/>
      <c r="P4881" s="64"/>
      <c r="Q4881" s="69"/>
      <c r="R4881" s="69"/>
      <c r="S4881" s="69"/>
    </row>
    <row r="4882" s="2" customFormat="1" ht="24.95" customHeight="1" spans="1:19">
      <c r="A4882" s="15"/>
      <c r="B4882" s="55"/>
      <c r="C4882" s="56"/>
      <c r="D4882" s="68"/>
      <c r="E4882" s="69"/>
      <c r="F4882" s="69"/>
      <c r="G4882" s="65"/>
      <c r="H4882" s="65"/>
      <c r="I4882" s="70"/>
      <c r="J4882" s="71"/>
      <c r="K4882" s="71"/>
      <c r="L4882" s="72" t="str">
        <f>IFERROR(IF(G4882="","",VLOOKUP($G4882,[1]基础信息!$B:$C,2,FALSE)+SUMIF(G$8:G4882,G4882,J$8:J4882)-SUMIF(G$8:G4882,G4882,K$8:K4882)+SUMIFS([1]内部转账!$G:$G,[1]内部转账!$C:$C,"&lt;="&amp;$D4882,[1]内部转账!$E:$E,$G4882)-SUMIFS([1]内部转账!$G:$G,[1]内部转账!$C:$C,"&lt;="&amp;$D4882,[1]内部转账!$F:$F,$G4882)),"")</f>
        <v/>
      </c>
      <c r="M4882" s="64"/>
      <c r="N4882" s="69"/>
      <c r="O4882" s="64"/>
      <c r="P4882" s="64"/>
      <c r="Q4882" s="69"/>
      <c r="R4882" s="69"/>
      <c r="S4882" s="69"/>
    </row>
    <row r="4883" s="2" customFormat="1" ht="24.95" customHeight="1" spans="1:19">
      <c r="A4883" s="15"/>
      <c r="B4883" s="55"/>
      <c r="C4883" s="56"/>
      <c r="D4883" s="68"/>
      <c r="E4883" s="69"/>
      <c r="F4883" s="69"/>
      <c r="G4883" s="65"/>
      <c r="H4883" s="65"/>
      <c r="I4883" s="70"/>
      <c r="J4883" s="71"/>
      <c r="K4883" s="71"/>
      <c r="L4883" s="72" t="str">
        <f>IFERROR(IF(G4883="","",VLOOKUP($G4883,[1]基础信息!$B:$C,2,FALSE)+SUMIF(G$8:G4883,G4883,J$8:J4883)-SUMIF(G$8:G4883,G4883,K$8:K4883)+SUMIFS([1]内部转账!$G:$G,[1]内部转账!$C:$C,"&lt;="&amp;$D4883,[1]内部转账!$E:$E,$G4883)-SUMIFS([1]内部转账!$G:$G,[1]内部转账!$C:$C,"&lt;="&amp;$D4883,[1]内部转账!$F:$F,$G4883)),"")</f>
        <v/>
      </c>
      <c r="M4883" s="64"/>
      <c r="N4883" s="69"/>
      <c r="O4883" s="64"/>
      <c r="P4883" s="64"/>
      <c r="Q4883" s="69"/>
      <c r="R4883" s="69"/>
      <c r="S4883" s="69"/>
    </row>
    <row r="4884" s="2" customFormat="1" ht="24.95" customHeight="1" spans="1:19">
      <c r="A4884" s="15"/>
      <c r="B4884" s="55"/>
      <c r="C4884" s="56"/>
      <c r="D4884" s="68"/>
      <c r="E4884" s="69"/>
      <c r="F4884" s="69"/>
      <c r="G4884" s="65"/>
      <c r="H4884" s="65"/>
      <c r="I4884" s="70"/>
      <c r="J4884" s="71"/>
      <c r="K4884" s="71"/>
      <c r="L4884" s="72" t="str">
        <f>IFERROR(IF(G4884="","",VLOOKUP($G4884,[1]基础信息!$B:$C,2,FALSE)+SUMIF(G$8:G4884,G4884,J$8:J4884)-SUMIF(G$8:G4884,G4884,K$8:K4884)+SUMIFS([1]内部转账!$G:$G,[1]内部转账!$C:$C,"&lt;="&amp;$D4884,[1]内部转账!$E:$E,$G4884)-SUMIFS([1]内部转账!$G:$G,[1]内部转账!$C:$C,"&lt;="&amp;$D4884,[1]内部转账!$F:$F,$G4884)),"")</f>
        <v/>
      </c>
      <c r="M4884" s="64"/>
      <c r="N4884" s="69"/>
      <c r="O4884" s="64"/>
      <c r="P4884" s="64"/>
      <c r="Q4884" s="69"/>
      <c r="R4884" s="69"/>
      <c r="S4884" s="69"/>
    </row>
    <row r="4885" s="2" customFormat="1" ht="24.95" customHeight="1" spans="1:19">
      <c r="A4885" s="15"/>
      <c r="B4885" s="55"/>
      <c r="C4885" s="56"/>
      <c r="D4885" s="68"/>
      <c r="E4885" s="69"/>
      <c r="F4885" s="69"/>
      <c r="G4885" s="65"/>
      <c r="H4885" s="65"/>
      <c r="I4885" s="70"/>
      <c r="J4885" s="71"/>
      <c r="K4885" s="71"/>
      <c r="L4885" s="72" t="str">
        <f>IFERROR(IF(G4885="","",VLOOKUP($G4885,[1]基础信息!$B:$C,2,FALSE)+SUMIF(G$8:G4885,G4885,J$8:J4885)-SUMIF(G$8:G4885,G4885,K$8:K4885)+SUMIFS([1]内部转账!$G:$G,[1]内部转账!$C:$C,"&lt;="&amp;$D4885,[1]内部转账!$E:$E,$G4885)-SUMIFS([1]内部转账!$G:$G,[1]内部转账!$C:$C,"&lt;="&amp;$D4885,[1]内部转账!$F:$F,$G4885)),"")</f>
        <v/>
      </c>
      <c r="M4885" s="64"/>
      <c r="N4885" s="69"/>
      <c r="O4885" s="64"/>
      <c r="P4885" s="64"/>
      <c r="Q4885" s="69"/>
      <c r="R4885" s="69"/>
      <c r="S4885" s="69"/>
    </row>
    <row r="4886" s="2" customFormat="1" ht="24.95" customHeight="1" spans="1:19">
      <c r="A4886" s="15"/>
      <c r="B4886" s="55"/>
      <c r="C4886" s="56"/>
      <c r="D4886" s="68"/>
      <c r="E4886" s="69"/>
      <c r="F4886" s="69"/>
      <c r="G4886" s="65"/>
      <c r="H4886" s="65"/>
      <c r="I4886" s="70"/>
      <c r="J4886" s="71"/>
      <c r="K4886" s="71"/>
      <c r="L4886" s="72" t="str">
        <f>IFERROR(IF(G4886="","",VLOOKUP($G4886,[1]基础信息!$B:$C,2,FALSE)+SUMIF(G$8:G4886,G4886,J$8:J4886)-SUMIF(G$8:G4886,G4886,K$8:K4886)+SUMIFS([1]内部转账!$G:$G,[1]内部转账!$C:$C,"&lt;="&amp;$D4886,[1]内部转账!$E:$E,$G4886)-SUMIFS([1]内部转账!$G:$G,[1]内部转账!$C:$C,"&lt;="&amp;$D4886,[1]内部转账!$F:$F,$G4886)),"")</f>
        <v/>
      </c>
      <c r="M4886" s="64"/>
      <c r="N4886" s="69"/>
      <c r="O4886" s="64"/>
      <c r="P4886" s="64"/>
      <c r="Q4886" s="69"/>
      <c r="R4886" s="69"/>
      <c r="S4886" s="69"/>
    </row>
    <row r="4887" s="2" customFormat="1" ht="24.95" customHeight="1" spans="1:19">
      <c r="A4887" s="15"/>
      <c r="B4887" s="55"/>
      <c r="C4887" s="56"/>
      <c r="D4887" s="68"/>
      <c r="E4887" s="69"/>
      <c r="F4887" s="69"/>
      <c r="G4887" s="65"/>
      <c r="H4887" s="65"/>
      <c r="I4887" s="70"/>
      <c r="J4887" s="71"/>
      <c r="K4887" s="71"/>
      <c r="L4887" s="72" t="str">
        <f>IFERROR(IF(G4887="","",VLOOKUP($G4887,[1]基础信息!$B:$C,2,FALSE)+SUMIF(G$8:G4887,G4887,J$8:J4887)-SUMIF(G$8:G4887,G4887,K$8:K4887)+SUMIFS([1]内部转账!$G:$G,[1]内部转账!$C:$C,"&lt;="&amp;$D4887,[1]内部转账!$E:$E,$G4887)-SUMIFS([1]内部转账!$G:$G,[1]内部转账!$C:$C,"&lt;="&amp;$D4887,[1]内部转账!$F:$F,$G4887)),"")</f>
        <v/>
      </c>
      <c r="M4887" s="64"/>
      <c r="N4887" s="69"/>
      <c r="O4887" s="64"/>
      <c r="P4887" s="64"/>
      <c r="Q4887" s="69"/>
      <c r="R4887" s="69"/>
      <c r="S4887" s="69"/>
    </row>
    <row r="4888" s="2" customFormat="1" ht="24.95" customHeight="1" spans="1:19">
      <c r="A4888" s="15"/>
      <c r="B4888" s="55"/>
      <c r="C4888" s="56"/>
      <c r="D4888" s="68"/>
      <c r="E4888" s="69"/>
      <c r="F4888" s="69"/>
      <c r="G4888" s="65"/>
      <c r="H4888" s="65"/>
      <c r="I4888" s="70"/>
      <c r="J4888" s="71"/>
      <c r="K4888" s="71"/>
      <c r="L4888" s="72" t="str">
        <f>IFERROR(IF(G4888="","",VLOOKUP($G4888,[1]基础信息!$B:$C,2,FALSE)+SUMIF(G$8:G4888,G4888,J$8:J4888)-SUMIF(G$8:G4888,G4888,K$8:K4888)+SUMIFS([1]内部转账!$G:$G,[1]内部转账!$C:$C,"&lt;="&amp;$D4888,[1]内部转账!$E:$E,$G4888)-SUMIFS([1]内部转账!$G:$G,[1]内部转账!$C:$C,"&lt;="&amp;$D4888,[1]内部转账!$F:$F,$G4888)),"")</f>
        <v/>
      </c>
      <c r="M4888" s="64"/>
      <c r="N4888" s="69"/>
      <c r="O4888" s="64"/>
      <c r="P4888" s="64"/>
      <c r="Q4888" s="69"/>
      <c r="R4888" s="69"/>
      <c r="S4888" s="69"/>
    </row>
    <row r="4889" s="2" customFormat="1" ht="24.95" customHeight="1" spans="1:19">
      <c r="A4889" s="15"/>
      <c r="B4889" s="55"/>
      <c r="C4889" s="56"/>
      <c r="D4889" s="68"/>
      <c r="E4889" s="69"/>
      <c r="F4889" s="69"/>
      <c r="G4889" s="65"/>
      <c r="H4889" s="65"/>
      <c r="I4889" s="70"/>
      <c r="J4889" s="71"/>
      <c r="K4889" s="71"/>
      <c r="L4889" s="72" t="str">
        <f>IFERROR(IF(G4889="","",VLOOKUP($G4889,[1]基础信息!$B:$C,2,FALSE)+SUMIF(G$8:G4889,G4889,J$8:J4889)-SUMIF(G$8:G4889,G4889,K$8:K4889)+SUMIFS([1]内部转账!$G:$G,[1]内部转账!$C:$C,"&lt;="&amp;$D4889,[1]内部转账!$E:$E,$G4889)-SUMIFS([1]内部转账!$G:$G,[1]内部转账!$C:$C,"&lt;="&amp;$D4889,[1]内部转账!$F:$F,$G4889)),"")</f>
        <v/>
      </c>
      <c r="M4889" s="64"/>
      <c r="N4889" s="69"/>
      <c r="O4889" s="64"/>
      <c r="P4889" s="64"/>
      <c r="Q4889" s="69"/>
      <c r="R4889" s="69"/>
      <c r="S4889" s="69"/>
    </row>
    <row r="4890" s="2" customFormat="1" ht="24.95" customHeight="1" spans="1:19">
      <c r="A4890" s="15"/>
      <c r="B4890" s="55"/>
      <c r="C4890" s="56"/>
      <c r="D4890" s="68"/>
      <c r="E4890" s="69"/>
      <c r="F4890" s="69"/>
      <c r="G4890" s="65"/>
      <c r="H4890" s="65"/>
      <c r="I4890" s="70"/>
      <c r="J4890" s="71"/>
      <c r="K4890" s="71"/>
      <c r="L4890" s="72" t="str">
        <f>IFERROR(IF(G4890="","",VLOOKUP($G4890,[1]基础信息!$B:$C,2,FALSE)+SUMIF(G$8:G4890,G4890,J$8:J4890)-SUMIF(G$8:G4890,G4890,K$8:K4890)+SUMIFS([1]内部转账!$G:$G,[1]内部转账!$C:$C,"&lt;="&amp;$D4890,[1]内部转账!$E:$E,$G4890)-SUMIFS([1]内部转账!$G:$G,[1]内部转账!$C:$C,"&lt;="&amp;$D4890,[1]内部转账!$F:$F,$G4890)),"")</f>
        <v/>
      </c>
      <c r="M4890" s="64"/>
      <c r="N4890" s="69"/>
      <c r="O4890" s="64"/>
      <c r="P4890" s="64"/>
      <c r="Q4890" s="69"/>
      <c r="R4890" s="69"/>
      <c r="S4890" s="69"/>
    </row>
    <row r="4891" s="2" customFormat="1" ht="24.95" customHeight="1" spans="1:19">
      <c r="A4891" s="15"/>
      <c r="B4891" s="55"/>
      <c r="C4891" s="56"/>
      <c r="D4891" s="68"/>
      <c r="E4891" s="69"/>
      <c r="F4891" s="69"/>
      <c r="G4891" s="65"/>
      <c r="H4891" s="65"/>
      <c r="I4891" s="70"/>
      <c r="J4891" s="71"/>
      <c r="K4891" s="71"/>
      <c r="L4891" s="72" t="str">
        <f>IFERROR(IF(G4891="","",VLOOKUP($G4891,[1]基础信息!$B:$C,2,FALSE)+SUMIF(G$8:G4891,G4891,J$8:J4891)-SUMIF(G$8:G4891,G4891,K$8:K4891)+SUMIFS([1]内部转账!$G:$G,[1]内部转账!$C:$C,"&lt;="&amp;$D4891,[1]内部转账!$E:$E,$G4891)-SUMIFS([1]内部转账!$G:$G,[1]内部转账!$C:$C,"&lt;="&amp;$D4891,[1]内部转账!$F:$F,$G4891)),"")</f>
        <v/>
      </c>
      <c r="M4891" s="64"/>
      <c r="N4891" s="69"/>
      <c r="O4891" s="64"/>
      <c r="P4891" s="64"/>
      <c r="Q4891" s="69"/>
      <c r="R4891" s="69"/>
      <c r="S4891" s="69"/>
    </row>
    <row r="4892" s="2" customFormat="1" ht="24.95" customHeight="1" spans="1:19">
      <c r="A4892" s="15"/>
      <c r="B4892" s="55"/>
      <c r="C4892" s="56"/>
      <c r="D4892" s="68"/>
      <c r="E4892" s="69"/>
      <c r="F4892" s="69"/>
      <c r="G4892" s="65"/>
      <c r="H4892" s="65"/>
      <c r="I4892" s="70"/>
      <c r="J4892" s="71"/>
      <c r="K4892" s="71"/>
      <c r="L4892" s="72" t="str">
        <f>IFERROR(IF(G4892="","",VLOOKUP($G4892,[1]基础信息!$B:$C,2,FALSE)+SUMIF(G$8:G4892,G4892,J$8:J4892)-SUMIF(G$8:G4892,G4892,K$8:K4892)+SUMIFS([1]内部转账!$G:$G,[1]内部转账!$C:$C,"&lt;="&amp;$D4892,[1]内部转账!$E:$E,$G4892)-SUMIFS([1]内部转账!$G:$G,[1]内部转账!$C:$C,"&lt;="&amp;$D4892,[1]内部转账!$F:$F,$G4892)),"")</f>
        <v/>
      </c>
      <c r="M4892" s="64"/>
      <c r="N4892" s="69"/>
      <c r="O4892" s="64"/>
      <c r="P4892" s="64"/>
      <c r="Q4892" s="69"/>
      <c r="R4892" s="69"/>
      <c r="S4892" s="69"/>
    </row>
    <row r="4893" s="2" customFormat="1" ht="24.95" customHeight="1" spans="1:19">
      <c r="A4893" s="15"/>
      <c r="B4893" s="55"/>
      <c r="C4893" s="56"/>
      <c r="D4893" s="68"/>
      <c r="E4893" s="69"/>
      <c r="F4893" s="69"/>
      <c r="G4893" s="65"/>
      <c r="H4893" s="65"/>
      <c r="I4893" s="70"/>
      <c r="J4893" s="71"/>
      <c r="K4893" s="71"/>
      <c r="L4893" s="72" t="str">
        <f>IFERROR(IF(G4893="","",VLOOKUP($G4893,[1]基础信息!$B:$C,2,FALSE)+SUMIF(G$8:G4893,G4893,J$8:J4893)-SUMIF(G$8:G4893,G4893,K$8:K4893)+SUMIFS([1]内部转账!$G:$G,[1]内部转账!$C:$C,"&lt;="&amp;$D4893,[1]内部转账!$E:$E,$G4893)-SUMIFS([1]内部转账!$G:$G,[1]内部转账!$C:$C,"&lt;="&amp;$D4893,[1]内部转账!$F:$F,$G4893)),"")</f>
        <v/>
      </c>
      <c r="M4893" s="64"/>
      <c r="N4893" s="69"/>
      <c r="O4893" s="64"/>
      <c r="P4893" s="64"/>
      <c r="Q4893" s="69"/>
      <c r="R4893" s="69"/>
      <c r="S4893" s="69"/>
    </row>
    <row r="4894" s="2" customFormat="1" ht="24.95" customHeight="1" spans="1:19">
      <c r="A4894" s="15"/>
      <c r="B4894" s="55"/>
      <c r="C4894" s="56"/>
      <c r="D4894" s="68"/>
      <c r="E4894" s="69"/>
      <c r="F4894" s="69"/>
      <c r="G4894" s="65"/>
      <c r="H4894" s="65"/>
      <c r="I4894" s="70"/>
      <c r="J4894" s="71"/>
      <c r="K4894" s="71"/>
      <c r="L4894" s="72" t="str">
        <f>IFERROR(IF(G4894="","",VLOOKUP($G4894,[1]基础信息!$B:$C,2,FALSE)+SUMIF(G$8:G4894,G4894,J$8:J4894)-SUMIF(G$8:G4894,G4894,K$8:K4894)+SUMIFS([1]内部转账!$G:$G,[1]内部转账!$C:$C,"&lt;="&amp;$D4894,[1]内部转账!$E:$E,$G4894)-SUMIFS([1]内部转账!$G:$G,[1]内部转账!$C:$C,"&lt;="&amp;$D4894,[1]内部转账!$F:$F,$G4894)),"")</f>
        <v/>
      </c>
      <c r="M4894" s="64"/>
      <c r="N4894" s="69"/>
      <c r="O4894" s="64"/>
      <c r="P4894" s="64"/>
      <c r="Q4894" s="69"/>
      <c r="R4894" s="69"/>
      <c r="S4894" s="69"/>
    </row>
    <row r="4895" s="2" customFormat="1" ht="24.95" customHeight="1" spans="1:19">
      <c r="A4895" s="15"/>
      <c r="B4895" s="55"/>
      <c r="C4895" s="56"/>
      <c r="D4895" s="68"/>
      <c r="E4895" s="69"/>
      <c r="F4895" s="69"/>
      <c r="G4895" s="65"/>
      <c r="H4895" s="65"/>
      <c r="I4895" s="70"/>
      <c r="J4895" s="71"/>
      <c r="K4895" s="71"/>
      <c r="L4895" s="72" t="str">
        <f>IFERROR(IF(G4895="","",VLOOKUP($G4895,[1]基础信息!$B:$C,2,FALSE)+SUMIF(G$8:G4895,G4895,J$8:J4895)-SUMIF(G$8:G4895,G4895,K$8:K4895)+SUMIFS([1]内部转账!$G:$G,[1]内部转账!$C:$C,"&lt;="&amp;$D4895,[1]内部转账!$E:$E,$G4895)-SUMIFS([1]内部转账!$G:$G,[1]内部转账!$C:$C,"&lt;="&amp;$D4895,[1]内部转账!$F:$F,$G4895)),"")</f>
        <v/>
      </c>
      <c r="M4895" s="64"/>
      <c r="N4895" s="69"/>
      <c r="O4895" s="64"/>
      <c r="P4895" s="64"/>
      <c r="Q4895" s="69"/>
      <c r="R4895" s="69"/>
      <c r="S4895" s="69"/>
    </row>
    <row r="4896" s="2" customFormat="1" ht="24.95" customHeight="1" spans="1:19">
      <c r="A4896" s="15"/>
      <c r="B4896" s="55"/>
      <c r="C4896" s="56"/>
      <c r="D4896" s="68"/>
      <c r="E4896" s="69"/>
      <c r="F4896" s="69"/>
      <c r="G4896" s="65"/>
      <c r="H4896" s="65"/>
      <c r="I4896" s="70"/>
      <c r="J4896" s="71"/>
      <c r="K4896" s="71"/>
      <c r="L4896" s="72" t="str">
        <f>IFERROR(IF(G4896="","",VLOOKUP($G4896,[1]基础信息!$B:$C,2,FALSE)+SUMIF(G$8:G4896,G4896,J$8:J4896)-SUMIF(G$8:G4896,G4896,K$8:K4896)+SUMIFS([1]内部转账!$G:$G,[1]内部转账!$C:$C,"&lt;="&amp;$D4896,[1]内部转账!$E:$E,$G4896)-SUMIFS([1]内部转账!$G:$G,[1]内部转账!$C:$C,"&lt;="&amp;$D4896,[1]内部转账!$F:$F,$G4896)),"")</f>
        <v/>
      </c>
      <c r="M4896" s="64"/>
      <c r="N4896" s="69"/>
      <c r="O4896" s="64"/>
      <c r="P4896" s="64"/>
      <c r="Q4896" s="69"/>
      <c r="R4896" s="69"/>
      <c r="S4896" s="69"/>
    </row>
    <row r="4897" s="2" customFormat="1" ht="24.95" customHeight="1" spans="1:19">
      <c r="A4897" s="15"/>
      <c r="B4897" s="55"/>
      <c r="C4897" s="56"/>
      <c r="D4897" s="68"/>
      <c r="E4897" s="69"/>
      <c r="F4897" s="69"/>
      <c r="G4897" s="65"/>
      <c r="H4897" s="65"/>
      <c r="I4897" s="70"/>
      <c r="J4897" s="71"/>
      <c r="K4897" s="71"/>
      <c r="L4897" s="72" t="str">
        <f>IFERROR(IF(G4897="","",VLOOKUP($G4897,[1]基础信息!$B:$C,2,FALSE)+SUMIF(G$8:G4897,G4897,J$8:J4897)-SUMIF(G$8:G4897,G4897,K$8:K4897)+SUMIFS([1]内部转账!$G:$G,[1]内部转账!$C:$C,"&lt;="&amp;$D4897,[1]内部转账!$E:$E,$G4897)-SUMIFS([1]内部转账!$G:$G,[1]内部转账!$C:$C,"&lt;="&amp;$D4897,[1]内部转账!$F:$F,$G4897)),"")</f>
        <v/>
      </c>
      <c r="M4897" s="64"/>
      <c r="N4897" s="69"/>
      <c r="O4897" s="64"/>
      <c r="P4897" s="64"/>
      <c r="Q4897" s="69"/>
      <c r="R4897" s="69"/>
      <c r="S4897" s="69"/>
    </row>
    <row r="4898" s="2" customFormat="1" ht="24.95" customHeight="1" spans="1:19">
      <c r="A4898" s="15"/>
      <c r="B4898" s="55"/>
      <c r="C4898" s="56"/>
      <c r="D4898" s="68"/>
      <c r="E4898" s="69"/>
      <c r="F4898" s="69"/>
      <c r="G4898" s="65"/>
      <c r="H4898" s="65"/>
      <c r="I4898" s="70"/>
      <c r="J4898" s="71"/>
      <c r="K4898" s="71"/>
      <c r="L4898" s="72" t="str">
        <f>IFERROR(IF(G4898="","",VLOOKUP($G4898,[1]基础信息!$B:$C,2,FALSE)+SUMIF(G$8:G4898,G4898,J$8:J4898)-SUMIF(G$8:G4898,G4898,K$8:K4898)+SUMIFS([1]内部转账!$G:$G,[1]内部转账!$C:$C,"&lt;="&amp;$D4898,[1]内部转账!$E:$E,$G4898)-SUMIFS([1]内部转账!$G:$G,[1]内部转账!$C:$C,"&lt;="&amp;$D4898,[1]内部转账!$F:$F,$G4898)),"")</f>
        <v/>
      </c>
      <c r="M4898" s="64"/>
      <c r="N4898" s="69"/>
      <c r="O4898" s="64"/>
      <c r="P4898" s="64"/>
      <c r="Q4898" s="69"/>
      <c r="R4898" s="69"/>
      <c r="S4898" s="69"/>
    </row>
    <row r="4899" s="2" customFormat="1" ht="24.95" customHeight="1" spans="1:19">
      <c r="A4899" s="15"/>
      <c r="B4899" s="55"/>
      <c r="C4899" s="56"/>
      <c r="D4899" s="68"/>
      <c r="E4899" s="69"/>
      <c r="F4899" s="69"/>
      <c r="G4899" s="65"/>
      <c r="H4899" s="65"/>
      <c r="I4899" s="70"/>
      <c r="J4899" s="71"/>
      <c r="K4899" s="71"/>
      <c r="L4899" s="72" t="str">
        <f>IFERROR(IF(G4899="","",VLOOKUP($G4899,[1]基础信息!$B:$C,2,FALSE)+SUMIF(G$8:G4899,G4899,J$8:J4899)-SUMIF(G$8:G4899,G4899,K$8:K4899)+SUMIFS([1]内部转账!$G:$G,[1]内部转账!$C:$C,"&lt;="&amp;$D4899,[1]内部转账!$E:$E,$G4899)-SUMIFS([1]内部转账!$G:$G,[1]内部转账!$C:$C,"&lt;="&amp;$D4899,[1]内部转账!$F:$F,$G4899)),"")</f>
        <v/>
      </c>
      <c r="M4899" s="64"/>
      <c r="N4899" s="69"/>
      <c r="O4899" s="64"/>
      <c r="P4899" s="64"/>
      <c r="Q4899" s="69"/>
      <c r="R4899" s="69"/>
      <c r="S4899" s="69"/>
    </row>
    <row r="4900" s="2" customFormat="1" ht="24.95" customHeight="1" spans="1:19">
      <c r="A4900" s="15"/>
      <c r="B4900" s="55"/>
      <c r="C4900" s="56"/>
      <c r="D4900" s="68"/>
      <c r="E4900" s="69"/>
      <c r="F4900" s="69"/>
      <c r="G4900" s="65"/>
      <c r="H4900" s="65"/>
      <c r="I4900" s="70"/>
      <c r="J4900" s="71"/>
      <c r="K4900" s="71"/>
      <c r="L4900" s="72" t="str">
        <f>IFERROR(IF(G4900="","",VLOOKUP($G4900,[1]基础信息!$B:$C,2,FALSE)+SUMIF(G$8:G4900,G4900,J$8:J4900)-SUMIF(G$8:G4900,G4900,K$8:K4900)+SUMIFS([1]内部转账!$G:$G,[1]内部转账!$C:$C,"&lt;="&amp;$D4900,[1]内部转账!$E:$E,$G4900)-SUMIFS([1]内部转账!$G:$G,[1]内部转账!$C:$C,"&lt;="&amp;$D4900,[1]内部转账!$F:$F,$G4900)),"")</f>
        <v/>
      </c>
      <c r="M4900" s="64"/>
      <c r="N4900" s="69"/>
      <c r="O4900" s="64"/>
      <c r="P4900" s="64"/>
      <c r="Q4900" s="69"/>
      <c r="R4900" s="69"/>
      <c r="S4900" s="69"/>
    </row>
    <row r="4901" s="2" customFormat="1" ht="24.95" customHeight="1" spans="1:19">
      <c r="A4901" s="15"/>
      <c r="B4901" s="55"/>
      <c r="C4901" s="56"/>
      <c r="D4901" s="68"/>
      <c r="E4901" s="69"/>
      <c r="F4901" s="69"/>
      <c r="G4901" s="65"/>
      <c r="H4901" s="65"/>
      <c r="I4901" s="70"/>
      <c r="J4901" s="71"/>
      <c r="K4901" s="71"/>
      <c r="L4901" s="72" t="str">
        <f>IFERROR(IF(G4901="","",VLOOKUP($G4901,[1]基础信息!$B:$C,2,FALSE)+SUMIF(G$8:G4901,G4901,J$8:J4901)-SUMIF(G$8:G4901,G4901,K$8:K4901)+SUMIFS([1]内部转账!$G:$G,[1]内部转账!$C:$C,"&lt;="&amp;$D4901,[1]内部转账!$E:$E,$G4901)-SUMIFS([1]内部转账!$G:$G,[1]内部转账!$C:$C,"&lt;="&amp;$D4901,[1]内部转账!$F:$F,$G4901)),"")</f>
        <v/>
      </c>
      <c r="M4901" s="64"/>
      <c r="N4901" s="69"/>
      <c r="O4901" s="64"/>
      <c r="P4901" s="64"/>
      <c r="Q4901" s="69"/>
      <c r="R4901" s="69"/>
      <c r="S4901" s="69"/>
    </row>
    <row r="4902" s="2" customFormat="1" ht="24.95" customHeight="1" spans="1:19">
      <c r="A4902" s="15"/>
      <c r="B4902" s="55"/>
      <c r="C4902" s="56"/>
      <c r="D4902" s="68"/>
      <c r="E4902" s="69"/>
      <c r="F4902" s="69"/>
      <c r="G4902" s="65"/>
      <c r="H4902" s="65"/>
      <c r="I4902" s="70"/>
      <c r="J4902" s="71"/>
      <c r="K4902" s="71"/>
      <c r="L4902" s="72" t="str">
        <f>IFERROR(IF(G4902="","",VLOOKUP($G4902,[1]基础信息!$B:$C,2,FALSE)+SUMIF(G$8:G4902,G4902,J$8:J4902)-SUMIF(G$8:G4902,G4902,K$8:K4902)+SUMIFS([1]内部转账!$G:$G,[1]内部转账!$C:$C,"&lt;="&amp;$D4902,[1]内部转账!$E:$E,$G4902)-SUMIFS([1]内部转账!$G:$G,[1]内部转账!$C:$C,"&lt;="&amp;$D4902,[1]内部转账!$F:$F,$G4902)),"")</f>
        <v/>
      </c>
      <c r="M4902" s="64"/>
      <c r="N4902" s="69"/>
      <c r="O4902" s="64"/>
      <c r="P4902" s="64"/>
      <c r="Q4902" s="69"/>
      <c r="R4902" s="69"/>
      <c r="S4902" s="69"/>
    </row>
    <row r="4903" s="2" customFormat="1" ht="24.95" customHeight="1" spans="1:19">
      <c r="A4903" s="15"/>
      <c r="B4903" s="55"/>
      <c r="C4903" s="56"/>
      <c r="D4903" s="68"/>
      <c r="E4903" s="69"/>
      <c r="F4903" s="69"/>
      <c r="G4903" s="65"/>
      <c r="H4903" s="65"/>
      <c r="I4903" s="70"/>
      <c r="J4903" s="71"/>
      <c r="K4903" s="71"/>
      <c r="L4903" s="72" t="str">
        <f>IFERROR(IF(G4903="","",VLOOKUP($G4903,[1]基础信息!$B:$C,2,FALSE)+SUMIF(G$8:G4903,G4903,J$8:J4903)-SUMIF(G$8:G4903,G4903,K$8:K4903)+SUMIFS([1]内部转账!$G:$G,[1]内部转账!$C:$C,"&lt;="&amp;$D4903,[1]内部转账!$E:$E,$G4903)-SUMIFS([1]内部转账!$G:$G,[1]内部转账!$C:$C,"&lt;="&amp;$D4903,[1]内部转账!$F:$F,$G4903)),"")</f>
        <v/>
      </c>
      <c r="M4903" s="64"/>
      <c r="N4903" s="69"/>
      <c r="O4903" s="64"/>
      <c r="P4903" s="64"/>
      <c r="Q4903" s="69"/>
      <c r="R4903" s="69"/>
      <c r="S4903" s="69"/>
    </row>
    <row r="4904" s="2" customFormat="1" ht="24.95" customHeight="1" spans="1:19">
      <c r="A4904" s="15"/>
      <c r="B4904" s="55"/>
      <c r="C4904" s="56"/>
      <c r="D4904" s="68"/>
      <c r="E4904" s="69"/>
      <c r="F4904" s="69"/>
      <c r="G4904" s="65"/>
      <c r="H4904" s="65"/>
      <c r="I4904" s="70"/>
      <c r="J4904" s="71"/>
      <c r="K4904" s="71"/>
      <c r="L4904" s="72" t="str">
        <f>IFERROR(IF(G4904="","",VLOOKUP($G4904,[1]基础信息!$B:$C,2,FALSE)+SUMIF(G$8:G4904,G4904,J$8:J4904)-SUMIF(G$8:G4904,G4904,K$8:K4904)+SUMIFS([1]内部转账!$G:$G,[1]内部转账!$C:$C,"&lt;="&amp;$D4904,[1]内部转账!$E:$E,$G4904)-SUMIFS([1]内部转账!$G:$G,[1]内部转账!$C:$C,"&lt;="&amp;$D4904,[1]内部转账!$F:$F,$G4904)),"")</f>
        <v/>
      </c>
      <c r="M4904" s="64"/>
      <c r="N4904" s="69"/>
      <c r="O4904" s="64"/>
      <c r="P4904" s="64"/>
      <c r="Q4904" s="69"/>
      <c r="R4904" s="69"/>
      <c r="S4904" s="69"/>
    </row>
    <row r="4905" s="2" customFormat="1" ht="24.95" customHeight="1" spans="1:19">
      <c r="A4905" s="15"/>
      <c r="B4905" s="55"/>
      <c r="C4905" s="56"/>
      <c r="D4905" s="68"/>
      <c r="E4905" s="69"/>
      <c r="F4905" s="69"/>
      <c r="G4905" s="65"/>
      <c r="H4905" s="65"/>
      <c r="I4905" s="70"/>
      <c r="J4905" s="71"/>
      <c r="K4905" s="71"/>
      <c r="L4905" s="72" t="str">
        <f>IFERROR(IF(G4905="","",VLOOKUP($G4905,[1]基础信息!$B:$C,2,FALSE)+SUMIF(G$8:G4905,G4905,J$8:J4905)-SUMIF(G$8:G4905,G4905,K$8:K4905)+SUMIFS([1]内部转账!$G:$G,[1]内部转账!$C:$C,"&lt;="&amp;$D4905,[1]内部转账!$E:$E,$G4905)-SUMIFS([1]内部转账!$G:$G,[1]内部转账!$C:$C,"&lt;="&amp;$D4905,[1]内部转账!$F:$F,$G4905)),"")</f>
        <v/>
      </c>
      <c r="M4905" s="64"/>
      <c r="N4905" s="69"/>
      <c r="O4905" s="64"/>
      <c r="P4905" s="64"/>
      <c r="Q4905" s="69"/>
      <c r="R4905" s="69"/>
      <c r="S4905" s="69"/>
    </row>
    <row r="4906" s="2" customFormat="1" ht="24.95" customHeight="1" spans="1:19">
      <c r="A4906" s="15"/>
      <c r="B4906" s="55"/>
      <c r="C4906" s="56"/>
      <c r="D4906" s="68"/>
      <c r="E4906" s="69"/>
      <c r="F4906" s="69"/>
      <c r="G4906" s="65"/>
      <c r="H4906" s="65"/>
      <c r="I4906" s="70"/>
      <c r="J4906" s="71"/>
      <c r="K4906" s="71"/>
      <c r="L4906" s="72" t="str">
        <f>IFERROR(IF(G4906="","",VLOOKUP($G4906,[1]基础信息!$B:$C,2,FALSE)+SUMIF(G$8:G4906,G4906,J$8:J4906)-SUMIF(G$8:G4906,G4906,K$8:K4906)+SUMIFS([1]内部转账!$G:$G,[1]内部转账!$C:$C,"&lt;="&amp;$D4906,[1]内部转账!$E:$E,$G4906)-SUMIFS([1]内部转账!$G:$G,[1]内部转账!$C:$C,"&lt;="&amp;$D4906,[1]内部转账!$F:$F,$G4906)),"")</f>
        <v/>
      </c>
      <c r="M4906" s="64"/>
      <c r="N4906" s="69"/>
      <c r="O4906" s="64"/>
      <c r="P4906" s="64"/>
      <c r="Q4906" s="69"/>
      <c r="R4906" s="69"/>
      <c r="S4906" s="69"/>
    </row>
    <row r="4907" s="2" customFormat="1" ht="24.95" customHeight="1" spans="1:19">
      <c r="A4907" s="15"/>
      <c r="B4907" s="55"/>
      <c r="C4907" s="56"/>
      <c r="D4907" s="68"/>
      <c r="E4907" s="69"/>
      <c r="F4907" s="69"/>
      <c r="G4907" s="65"/>
      <c r="H4907" s="65"/>
      <c r="I4907" s="70"/>
      <c r="J4907" s="71"/>
      <c r="K4907" s="71"/>
      <c r="L4907" s="72" t="str">
        <f>IFERROR(IF(G4907="","",VLOOKUP($G4907,[1]基础信息!$B:$C,2,FALSE)+SUMIF(G$8:G4907,G4907,J$8:J4907)-SUMIF(G$8:G4907,G4907,K$8:K4907)+SUMIFS([1]内部转账!$G:$G,[1]内部转账!$C:$C,"&lt;="&amp;$D4907,[1]内部转账!$E:$E,$G4907)-SUMIFS([1]内部转账!$G:$G,[1]内部转账!$C:$C,"&lt;="&amp;$D4907,[1]内部转账!$F:$F,$G4907)),"")</f>
        <v/>
      </c>
      <c r="M4907" s="64"/>
      <c r="N4907" s="69"/>
      <c r="O4907" s="64"/>
      <c r="P4907" s="64"/>
      <c r="Q4907" s="69"/>
      <c r="R4907" s="69"/>
      <c r="S4907" s="69"/>
    </row>
    <row r="4908" s="2" customFormat="1" ht="24.95" customHeight="1" spans="1:19">
      <c r="A4908" s="15"/>
      <c r="B4908" s="55"/>
      <c r="C4908" s="56"/>
      <c r="D4908" s="68"/>
      <c r="E4908" s="69"/>
      <c r="F4908" s="69"/>
      <c r="G4908" s="65"/>
      <c r="H4908" s="65"/>
      <c r="I4908" s="70"/>
      <c r="J4908" s="71"/>
      <c r="K4908" s="71"/>
      <c r="L4908" s="72" t="str">
        <f>IFERROR(IF(G4908="","",VLOOKUP($G4908,[1]基础信息!$B:$C,2,FALSE)+SUMIF(G$8:G4908,G4908,J$8:J4908)-SUMIF(G$8:G4908,G4908,K$8:K4908)+SUMIFS([1]内部转账!$G:$G,[1]内部转账!$C:$C,"&lt;="&amp;$D4908,[1]内部转账!$E:$E,$G4908)-SUMIFS([1]内部转账!$G:$G,[1]内部转账!$C:$C,"&lt;="&amp;$D4908,[1]内部转账!$F:$F,$G4908)),"")</f>
        <v/>
      </c>
      <c r="M4908" s="64"/>
      <c r="N4908" s="69"/>
      <c r="O4908" s="64"/>
      <c r="P4908" s="64"/>
      <c r="Q4908" s="69"/>
      <c r="R4908" s="69"/>
      <c r="S4908" s="69"/>
    </row>
    <row r="4909" s="2" customFormat="1" ht="24.95" customHeight="1" spans="1:19">
      <c r="A4909" s="15"/>
      <c r="B4909" s="55"/>
      <c r="C4909" s="56"/>
      <c r="D4909" s="68"/>
      <c r="E4909" s="69"/>
      <c r="F4909" s="69"/>
      <c r="G4909" s="65"/>
      <c r="H4909" s="65"/>
      <c r="I4909" s="70"/>
      <c r="J4909" s="71"/>
      <c r="K4909" s="71"/>
      <c r="L4909" s="72" t="str">
        <f>IFERROR(IF(G4909="","",VLOOKUP($G4909,[1]基础信息!$B:$C,2,FALSE)+SUMIF(G$8:G4909,G4909,J$8:J4909)-SUMIF(G$8:G4909,G4909,K$8:K4909)+SUMIFS([1]内部转账!$G:$G,[1]内部转账!$C:$C,"&lt;="&amp;$D4909,[1]内部转账!$E:$E,$G4909)-SUMIFS([1]内部转账!$G:$G,[1]内部转账!$C:$C,"&lt;="&amp;$D4909,[1]内部转账!$F:$F,$G4909)),"")</f>
        <v/>
      </c>
      <c r="M4909" s="64"/>
      <c r="N4909" s="69"/>
      <c r="O4909" s="64"/>
      <c r="P4909" s="64"/>
      <c r="Q4909" s="69"/>
      <c r="R4909" s="69"/>
      <c r="S4909" s="69"/>
    </row>
    <row r="4910" s="2" customFormat="1" ht="24.95" customHeight="1" spans="1:19">
      <c r="A4910" s="15"/>
      <c r="B4910" s="55"/>
      <c r="C4910" s="56"/>
      <c r="D4910" s="68"/>
      <c r="E4910" s="69"/>
      <c r="F4910" s="69"/>
      <c r="G4910" s="65"/>
      <c r="H4910" s="65"/>
      <c r="I4910" s="70"/>
      <c r="J4910" s="71"/>
      <c r="K4910" s="71"/>
      <c r="L4910" s="72" t="str">
        <f>IFERROR(IF(G4910="","",VLOOKUP($G4910,[1]基础信息!$B:$C,2,FALSE)+SUMIF(G$8:G4910,G4910,J$8:J4910)-SUMIF(G$8:G4910,G4910,K$8:K4910)+SUMIFS([1]内部转账!$G:$G,[1]内部转账!$C:$C,"&lt;="&amp;$D4910,[1]内部转账!$E:$E,$G4910)-SUMIFS([1]内部转账!$G:$G,[1]内部转账!$C:$C,"&lt;="&amp;$D4910,[1]内部转账!$F:$F,$G4910)),"")</f>
        <v/>
      </c>
      <c r="M4910" s="64"/>
      <c r="N4910" s="69"/>
      <c r="O4910" s="64"/>
      <c r="P4910" s="64"/>
      <c r="Q4910" s="69"/>
      <c r="R4910" s="69"/>
      <c r="S4910" s="69"/>
    </row>
    <row r="4911" s="2" customFormat="1" ht="24.95" customHeight="1" spans="1:19">
      <c r="A4911" s="15"/>
      <c r="B4911" s="55"/>
      <c r="C4911" s="56"/>
      <c r="D4911" s="68"/>
      <c r="E4911" s="69"/>
      <c r="F4911" s="69"/>
      <c r="G4911" s="65"/>
      <c r="H4911" s="65"/>
      <c r="I4911" s="70"/>
      <c r="J4911" s="71"/>
      <c r="K4911" s="71"/>
      <c r="L4911" s="72" t="str">
        <f>IFERROR(IF(G4911="","",VLOOKUP($G4911,[1]基础信息!$B:$C,2,FALSE)+SUMIF(G$8:G4911,G4911,J$8:J4911)-SUMIF(G$8:G4911,G4911,K$8:K4911)+SUMIFS([1]内部转账!$G:$G,[1]内部转账!$C:$C,"&lt;="&amp;$D4911,[1]内部转账!$E:$E,$G4911)-SUMIFS([1]内部转账!$G:$G,[1]内部转账!$C:$C,"&lt;="&amp;$D4911,[1]内部转账!$F:$F,$G4911)),"")</f>
        <v/>
      </c>
      <c r="M4911" s="64"/>
      <c r="N4911" s="69"/>
      <c r="O4911" s="64"/>
      <c r="P4911" s="64"/>
      <c r="Q4911" s="69"/>
      <c r="R4911" s="69"/>
      <c r="S4911" s="69"/>
    </row>
    <row r="4912" s="2" customFormat="1" ht="24.95" customHeight="1" spans="1:19">
      <c r="A4912" s="15"/>
      <c r="B4912" s="55"/>
      <c r="C4912" s="56"/>
      <c r="D4912" s="68"/>
      <c r="E4912" s="69"/>
      <c r="F4912" s="69"/>
      <c r="G4912" s="65"/>
      <c r="H4912" s="65"/>
      <c r="I4912" s="70"/>
      <c r="J4912" s="71"/>
      <c r="K4912" s="71"/>
      <c r="L4912" s="72" t="str">
        <f>IFERROR(IF(G4912="","",VLOOKUP($G4912,[1]基础信息!$B:$C,2,FALSE)+SUMIF(G$8:G4912,G4912,J$8:J4912)-SUMIF(G$8:G4912,G4912,K$8:K4912)+SUMIFS([1]内部转账!$G:$G,[1]内部转账!$C:$C,"&lt;="&amp;$D4912,[1]内部转账!$E:$E,$G4912)-SUMIFS([1]内部转账!$G:$G,[1]内部转账!$C:$C,"&lt;="&amp;$D4912,[1]内部转账!$F:$F,$G4912)),"")</f>
        <v/>
      </c>
      <c r="M4912" s="64"/>
      <c r="N4912" s="69"/>
      <c r="O4912" s="64"/>
      <c r="P4912" s="64"/>
      <c r="Q4912" s="69"/>
      <c r="R4912" s="69"/>
      <c r="S4912" s="69"/>
    </row>
    <row r="4913" s="2" customFormat="1" ht="24.95" customHeight="1" spans="1:19">
      <c r="A4913" s="15"/>
      <c r="B4913" s="55"/>
      <c r="C4913" s="56"/>
      <c r="D4913" s="68"/>
      <c r="E4913" s="69"/>
      <c r="F4913" s="69"/>
      <c r="G4913" s="65"/>
      <c r="H4913" s="65"/>
      <c r="I4913" s="70"/>
      <c r="J4913" s="71"/>
      <c r="K4913" s="71"/>
      <c r="L4913" s="72" t="str">
        <f>IFERROR(IF(G4913="","",VLOOKUP($G4913,[1]基础信息!$B:$C,2,FALSE)+SUMIF(G$8:G4913,G4913,J$8:J4913)-SUMIF(G$8:G4913,G4913,K$8:K4913)+SUMIFS([1]内部转账!$G:$G,[1]内部转账!$C:$C,"&lt;="&amp;$D4913,[1]内部转账!$E:$E,$G4913)-SUMIFS([1]内部转账!$G:$G,[1]内部转账!$C:$C,"&lt;="&amp;$D4913,[1]内部转账!$F:$F,$G4913)),"")</f>
        <v/>
      </c>
      <c r="M4913" s="64"/>
      <c r="N4913" s="69"/>
      <c r="O4913" s="64"/>
      <c r="P4913" s="64"/>
      <c r="Q4913" s="69"/>
      <c r="R4913" s="69"/>
      <c r="S4913" s="69"/>
    </row>
    <row r="4914" s="2" customFormat="1" ht="24.95" customHeight="1" spans="1:19">
      <c r="A4914" s="15"/>
      <c r="B4914" s="55"/>
      <c r="C4914" s="56"/>
      <c r="D4914" s="68"/>
      <c r="E4914" s="69"/>
      <c r="F4914" s="69"/>
      <c r="G4914" s="65"/>
      <c r="H4914" s="65"/>
      <c r="I4914" s="70"/>
      <c r="J4914" s="71"/>
      <c r="K4914" s="71"/>
      <c r="L4914" s="72" t="str">
        <f>IFERROR(IF(G4914="","",VLOOKUP($G4914,[1]基础信息!$B:$C,2,FALSE)+SUMIF(G$8:G4914,G4914,J$8:J4914)-SUMIF(G$8:G4914,G4914,K$8:K4914)+SUMIFS([1]内部转账!$G:$G,[1]内部转账!$C:$C,"&lt;="&amp;$D4914,[1]内部转账!$E:$E,$G4914)-SUMIFS([1]内部转账!$G:$G,[1]内部转账!$C:$C,"&lt;="&amp;$D4914,[1]内部转账!$F:$F,$G4914)),"")</f>
        <v/>
      </c>
      <c r="M4914" s="64"/>
      <c r="N4914" s="69"/>
      <c r="O4914" s="64"/>
      <c r="P4914" s="64"/>
      <c r="Q4914" s="69"/>
      <c r="R4914" s="69"/>
      <c r="S4914" s="69"/>
    </row>
    <row r="4915" s="2" customFormat="1" ht="24.95" customHeight="1" spans="1:19">
      <c r="A4915" s="15"/>
      <c r="B4915" s="55"/>
      <c r="C4915" s="56"/>
      <c r="D4915" s="68"/>
      <c r="E4915" s="69"/>
      <c r="F4915" s="69"/>
      <c r="G4915" s="65"/>
      <c r="H4915" s="65"/>
      <c r="I4915" s="70"/>
      <c r="J4915" s="71"/>
      <c r="K4915" s="71"/>
      <c r="L4915" s="72" t="str">
        <f>IFERROR(IF(G4915="","",VLOOKUP($G4915,[1]基础信息!$B:$C,2,FALSE)+SUMIF(G$8:G4915,G4915,J$8:J4915)-SUMIF(G$8:G4915,G4915,K$8:K4915)+SUMIFS([1]内部转账!$G:$G,[1]内部转账!$C:$C,"&lt;="&amp;$D4915,[1]内部转账!$E:$E,$G4915)-SUMIFS([1]内部转账!$G:$G,[1]内部转账!$C:$C,"&lt;="&amp;$D4915,[1]内部转账!$F:$F,$G4915)),"")</f>
        <v/>
      </c>
      <c r="M4915" s="64"/>
      <c r="N4915" s="69"/>
      <c r="O4915" s="64"/>
      <c r="P4915" s="64"/>
      <c r="Q4915" s="69"/>
      <c r="R4915" s="69"/>
      <c r="S4915" s="69"/>
    </row>
    <row r="4916" s="2" customFormat="1" ht="24.95" customHeight="1" spans="1:19">
      <c r="A4916" s="15"/>
      <c r="B4916" s="55"/>
      <c r="C4916" s="56"/>
      <c r="D4916" s="68"/>
      <c r="E4916" s="69"/>
      <c r="F4916" s="69"/>
      <c r="G4916" s="65"/>
      <c r="H4916" s="65"/>
      <c r="I4916" s="70"/>
      <c r="J4916" s="71"/>
      <c r="K4916" s="71"/>
      <c r="L4916" s="72" t="str">
        <f>IFERROR(IF(G4916="","",VLOOKUP($G4916,[1]基础信息!$B:$C,2,FALSE)+SUMIF(G$8:G4916,G4916,J$8:J4916)-SUMIF(G$8:G4916,G4916,K$8:K4916)+SUMIFS([1]内部转账!$G:$G,[1]内部转账!$C:$C,"&lt;="&amp;$D4916,[1]内部转账!$E:$E,$G4916)-SUMIFS([1]内部转账!$G:$G,[1]内部转账!$C:$C,"&lt;="&amp;$D4916,[1]内部转账!$F:$F,$G4916)),"")</f>
        <v/>
      </c>
      <c r="M4916" s="64"/>
      <c r="N4916" s="69"/>
      <c r="O4916" s="64"/>
      <c r="P4916" s="64"/>
      <c r="Q4916" s="69"/>
      <c r="R4916" s="69"/>
      <c r="S4916" s="69"/>
    </row>
    <row r="4917" s="2" customFormat="1" ht="24.95" customHeight="1" spans="1:19">
      <c r="A4917" s="15"/>
      <c r="B4917" s="55"/>
      <c r="C4917" s="56"/>
      <c r="D4917" s="68"/>
      <c r="E4917" s="69"/>
      <c r="F4917" s="69"/>
      <c r="G4917" s="65"/>
      <c r="H4917" s="65"/>
      <c r="I4917" s="70"/>
      <c r="J4917" s="71"/>
      <c r="K4917" s="71"/>
      <c r="L4917" s="72" t="str">
        <f>IFERROR(IF(G4917="","",VLOOKUP($G4917,[1]基础信息!$B:$C,2,FALSE)+SUMIF(G$8:G4917,G4917,J$8:J4917)-SUMIF(G$8:G4917,G4917,K$8:K4917)+SUMIFS([1]内部转账!$G:$G,[1]内部转账!$C:$C,"&lt;="&amp;$D4917,[1]内部转账!$E:$E,$G4917)-SUMIFS([1]内部转账!$G:$G,[1]内部转账!$C:$C,"&lt;="&amp;$D4917,[1]内部转账!$F:$F,$G4917)),"")</f>
        <v/>
      </c>
      <c r="M4917" s="64"/>
      <c r="N4917" s="69"/>
      <c r="O4917" s="64"/>
      <c r="P4917" s="64"/>
      <c r="Q4917" s="69"/>
      <c r="R4917" s="69"/>
      <c r="S4917" s="69"/>
    </row>
    <row r="4918" s="2" customFormat="1" ht="24.95" customHeight="1" spans="1:19">
      <c r="A4918" s="15"/>
      <c r="B4918" s="55"/>
      <c r="C4918" s="56"/>
      <c r="D4918" s="68"/>
      <c r="E4918" s="69"/>
      <c r="F4918" s="69"/>
      <c r="G4918" s="65"/>
      <c r="H4918" s="65"/>
      <c r="I4918" s="70"/>
      <c r="J4918" s="71"/>
      <c r="K4918" s="71"/>
      <c r="L4918" s="72" t="str">
        <f>IFERROR(IF(G4918="","",VLOOKUP($G4918,[1]基础信息!$B:$C,2,FALSE)+SUMIF(G$8:G4918,G4918,J$8:J4918)-SUMIF(G$8:G4918,G4918,K$8:K4918)+SUMIFS([1]内部转账!$G:$G,[1]内部转账!$C:$C,"&lt;="&amp;$D4918,[1]内部转账!$E:$E,$G4918)-SUMIFS([1]内部转账!$G:$G,[1]内部转账!$C:$C,"&lt;="&amp;$D4918,[1]内部转账!$F:$F,$G4918)),"")</f>
        <v/>
      </c>
      <c r="M4918" s="64"/>
      <c r="N4918" s="69"/>
      <c r="O4918" s="64"/>
      <c r="P4918" s="64"/>
      <c r="Q4918" s="69"/>
      <c r="R4918" s="69"/>
      <c r="S4918" s="69"/>
    </row>
    <row r="4919" s="2" customFormat="1" ht="24.95" customHeight="1" spans="1:19">
      <c r="A4919" s="15"/>
      <c r="B4919" s="55"/>
      <c r="C4919" s="56"/>
      <c r="D4919" s="68"/>
      <c r="E4919" s="69"/>
      <c r="F4919" s="69"/>
      <c r="G4919" s="65"/>
      <c r="H4919" s="65"/>
      <c r="I4919" s="70"/>
      <c r="J4919" s="71"/>
      <c r="K4919" s="71"/>
      <c r="L4919" s="72" t="str">
        <f>IFERROR(IF(G4919="","",VLOOKUP($G4919,[1]基础信息!$B:$C,2,FALSE)+SUMIF(G$8:G4919,G4919,J$8:J4919)-SUMIF(G$8:G4919,G4919,K$8:K4919)+SUMIFS([1]内部转账!$G:$G,[1]内部转账!$C:$C,"&lt;="&amp;$D4919,[1]内部转账!$E:$E,$G4919)-SUMIFS([1]内部转账!$G:$G,[1]内部转账!$C:$C,"&lt;="&amp;$D4919,[1]内部转账!$F:$F,$G4919)),"")</f>
        <v/>
      </c>
      <c r="M4919" s="64"/>
      <c r="N4919" s="69"/>
      <c r="O4919" s="64"/>
      <c r="P4919" s="64"/>
      <c r="Q4919" s="69"/>
      <c r="R4919" s="69"/>
      <c r="S4919" s="69"/>
    </row>
    <row r="4920" s="2" customFormat="1" ht="24.95" customHeight="1" spans="1:19">
      <c r="A4920" s="15"/>
      <c r="B4920" s="55"/>
      <c r="C4920" s="56"/>
      <c r="D4920" s="68"/>
      <c r="E4920" s="69"/>
      <c r="F4920" s="69"/>
      <c r="G4920" s="65"/>
      <c r="H4920" s="65"/>
      <c r="I4920" s="70"/>
      <c r="J4920" s="71"/>
      <c r="K4920" s="71"/>
      <c r="L4920" s="72" t="str">
        <f>IFERROR(IF(G4920="","",VLOOKUP($G4920,[1]基础信息!$B:$C,2,FALSE)+SUMIF(G$8:G4920,G4920,J$8:J4920)-SUMIF(G$8:G4920,G4920,K$8:K4920)+SUMIFS([1]内部转账!$G:$G,[1]内部转账!$C:$C,"&lt;="&amp;$D4920,[1]内部转账!$E:$E,$G4920)-SUMIFS([1]内部转账!$G:$G,[1]内部转账!$C:$C,"&lt;="&amp;$D4920,[1]内部转账!$F:$F,$G4920)),"")</f>
        <v/>
      </c>
      <c r="M4920" s="64"/>
      <c r="N4920" s="69"/>
      <c r="O4920" s="64"/>
      <c r="P4920" s="64"/>
      <c r="Q4920" s="69"/>
      <c r="R4920" s="69"/>
      <c r="S4920" s="69"/>
    </row>
    <row r="4921" s="2" customFormat="1" ht="24.95" customHeight="1" spans="1:19">
      <c r="A4921" s="15"/>
      <c r="B4921" s="55"/>
      <c r="C4921" s="56"/>
      <c r="D4921" s="68"/>
      <c r="E4921" s="69"/>
      <c r="F4921" s="69"/>
      <c r="G4921" s="65"/>
      <c r="H4921" s="65"/>
      <c r="I4921" s="70"/>
      <c r="J4921" s="71"/>
      <c r="K4921" s="71"/>
      <c r="L4921" s="72" t="str">
        <f>IFERROR(IF(G4921="","",VLOOKUP($G4921,[1]基础信息!$B:$C,2,FALSE)+SUMIF(G$8:G4921,G4921,J$8:J4921)-SUMIF(G$8:G4921,G4921,K$8:K4921)+SUMIFS([1]内部转账!$G:$G,[1]内部转账!$C:$C,"&lt;="&amp;$D4921,[1]内部转账!$E:$E,$G4921)-SUMIFS([1]内部转账!$G:$G,[1]内部转账!$C:$C,"&lt;="&amp;$D4921,[1]内部转账!$F:$F,$G4921)),"")</f>
        <v/>
      </c>
      <c r="M4921" s="64"/>
      <c r="N4921" s="69"/>
      <c r="O4921" s="64"/>
      <c r="P4921" s="64"/>
      <c r="Q4921" s="69"/>
      <c r="R4921" s="69"/>
      <c r="S4921" s="69"/>
    </row>
    <row r="4922" s="2" customFormat="1" ht="24.95" customHeight="1" spans="1:19">
      <c r="A4922" s="15"/>
      <c r="B4922" s="55"/>
      <c r="C4922" s="56"/>
      <c r="D4922" s="68"/>
      <c r="E4922" s="69"/>
      <c r="F4922" s="69"/>
      <c r="G4922" s="65"/>
      <c r="H4922" s="65"/>
      <c r="I4922" s="70"/>
      <c r="J4922" s="71"/>
      <c r="K4922" s="71"/>
      <c r="L4922" s="72" t="str">
        <f>IFERROR(IF(G4922="","",VLOOKUP($G4922,[1]基础信息!$B:$C,2,FALSE)+SUMIF(G$8:G4922,G4922,J$8:J4922)-SUMIF(G$8:G4922,G4922,K$8:K4922)+SUMIFS([1]内部转账!$G:$G,[1]内部转账!$C:$C,"&lt;="&amp;$D4922,[1]内部转账!$E:$E,$G4922)-SUMIFS([1]内部转账!$G:$G,[1]内部转账!$C:$C,"&lt;="&amp;$D4922,[1]内部转账!$F:$F,$G4922)),"")</f>
        <v/>
      </c>
      <c r="M4922" s="64"/>
      <c r="N4922" s="69"/>
      <c r="O4922" s="64"/>
      <c r="P4922" s="64"/>
      <c r="Q4922" s="69"/>
      <c r="R4922" s="69"/>
      <c r="S4922" s="69"/>
    </row>
    <row r="4923" s="2" customFormat="1" ht="24.95" customHeight="1" spans="1:19">
      <c r="A4923" s="15"/>
      <c r="B4923" s="55"/>
      <c r="C4923" s="56"/>
      <c r="D4923" s="68"/>
      <c r="E4923" s="69"/>
      <c r="F4923" s="69"/>
      <c r="G4923" s="65"/>
      <c r="H4923" s="65"/>
      <c r="I4923" s="70"/>
      <c r="J4923" s="71"/>
      <c r="K4923" s="71"/>
      <c r="L4923" s="72" t="str">
        <f>IFERROR(IF(G4923="","",VLOOKUP($G4923,[1]基础信息!$B:$C,2,FALSE)+SUMIF(G$8:G4923,G4923,J$8:J4923)-SUMIF(G$8:G4923,G4923,K$8:K4923)+SUMIFS([1]内部转账!$G:$G,[1]内部转账!$C:$C,"&lt;="&amp;$D4923,[1]内部转账!$E:$E,$G4923)-SUMIFS([1]内部转账!$G:$G,[1]内部转账!$C:$C,"&lt;="&amp;$D4923,[1]内部转账!$F:$F,$G4923)),"")</f>
        <v/>
      </c>
      <c r="M4923" s="64"/>
      <c r="N4923" s="69"/>
      <c r="O4923" s="64"/>
      <c r="P4923" s="64"/>
      <c r="Q4923" s="69"/>
      <c r="R4923" s="69"/>
      <c r="S4923" s="69"/>
    </row>
    <row r="4924" s="2" customFormat="1" ht="24.95" customHeight="1" spans="1:19">
      <c r="A4924" s="15"/>
      <c r="B4924" s="55"/>
      <c r="C4924" s="56"/>
      <c r="D4924" s="68"/>
      <c r="E4924" s="69"/>
      <c r="F4924" s="69"/>
      <c r="G4924" s="65"/>
      <c r="H4924" s="65"/>
      <c r="I4924" s="70"/>
      <c r="J4924" s="71"/>
      <c r="K4924" s="71"/>
      <c r="L4924" s="72" t="str">
        <f>IFERROR(IF(G4924="","",VLOOKUP($G4924,[1]基础信息!$B:$C,2,FALSE)+SUMIF(G$8:G4924,G4924,J$8:J4924)-SUMIF(G$8:G4924,G4924,K$8:K4924)+SUMIFS([1]内部转账!$G:$G,[1]内部转账!$C:$C,"&lt;="&amp;$D4924,[1]内部转账!$E:$E,$G4924)-SUMIFS([1]内部转账!$G:$G,[1]内部转账!$C:$C,"&lt;="&amp;$D4924,[1]内部转账!$F:$F,$G4924)),"")</f>
        <v/>
      </c>
      <c r="M4924" s="64"/>
      <c r="N4924" s="69"/>
      <c r="O4924" s="64"/>
      <c r="P4924" s="64"/>
      <c r="Q4924" s="69"/>
      <c r="R4924" s="69"/>
      <c r="S4924" s="69"/>
    </row>
    <row r="4925" s="2" customFormat="1" ht="24.95" customHeight="1" spans="1:19">
      <c r="A4925" s="15"/>
      <c r="B4925" s="55"/>
      <c r="C4925" s="56"/>
      <c r="D4925" s="68"/>
      <c r="E4925" s="69"/>
      <c r="F4925" s="69"/>
      <c r="G4925" s="65"/>
      <c r="H4925" s="65"/>
      <c r="I4925" s="70"/>
      <c r="J4925" s="71"/>
      <c r="K4925" s="71"/>
      <c r="L4925" s="72" t="str">
        <f>IFERROR(IF(G4925="","",VLOOKUP($G4925,[1]基础信息!$B:$C,2,FALSE)+SUMIF(G$8:G4925,G4925,J$8:J4925)-SUMIF(G$8:G4925,G4925,K$8:K4925)+SUMIFS([1]内部转账!$G:$G,[1]内部转账!$C:$C,"&lt;="&amp;$D4925,[1]内部转账!$E:$E,$G4925)-SUMIFS([1]内部转账!$G:$G,[1]内部转账!$C:$C,"&lt;="&amp;$D4925,[1]内部转账!$F:$F,$G4925)),"")</f>
        <v/>
      </c>
      <c r="M4925" s="64"/>
      <c r="N4925" s="69"/>
      <c r="O4925" s="64"/>
      <c r="P4925" s="64"/>
      <c r="Q4925" s="69"/>
      <c r="R4925" s="69"/>
      <c r="S4925" s="69"/>
    </row>
    <row r="4926" s="2" customFormat="1" ht="24.95" customHeight="1" spans="1:19">
      <c r="A4926" s="15"/>
      <c r="B4926" s="55"/>
      <c r="C4926" s="56"/>
      <c r="D4926" s="68"/>
      <c r="E4926" s="69"/>
      <c r="F4926" s="69"/>
      <c r="G4926" s="65"/>
      <c r="H4926" s="65"/>
      <c r="I4926" s="70"/>
      <c r="J4926" s="71"/>
      <c r="K4926" s="71"/>
      <c r="L4926" s="72" t="str">
        <f>IFERROR(IF(G4926="","",VLOOKUP($G4926,[1]基础信息!$B:$C,2,FALSE)+SUMIF(G$8:G4926,G4926,J$8:J4926)-SUMIF(G$8:G4926,G4926,K$8:K4926)+SUMIFS([1]内部转账!$G:$G,[1]内部转账!$C:$C,"&lt;="&amp;$D4926,[1]内部转账!$E:$E,$G4926)-SUMIFS([1]内部转账!$G:$G,[1]内部转账!$C:$C,"&lt;="&amp;$D4926,[1]内部转账!$F:$F,$G4926)),"")</f>
        <v/>
      </c>
      <c r="M4926" s="64"/>
      <c r="N4926" s="69"/>
      <c r="O4926" s="64"/>
      <c r="P4926" s="64"/>
      <c r="Q4926" s="69"/>
      <c r="R4926" s="69"/>
      <c r="S4926" s="69"/>
    </row>
    <row r="4927" s="2" customFormat="1" ht="24.95" customHeight="1" spans="1:19">
      <c r="A4927" s="15"/>
      <c r="B4927" s="55"/>
      <c r="C4927" s="56"/>
      <c r="D4927" s="68"/>
      <c r="E4927" s="69"/>
      <c r="F4927" s="69"/>
      <c r="G4927" s="65"/>
      <c r="H4927" s="65"/>
      <c r="I4927" s="70"/>
      <c r="J4927" s="71"/>
      <c r="K4927" s="71"/>
      <c r="L4927" s="72" t="str">
        <f>IFERROR(IF(G4927="","",VLOOKUP($G4927,[1]基础信息!$B:$C,2,FALSE)+SUMIF(G$8:G4927,G4927,J$8:J4927)-SUMIF(G$8:G4927,G4927,K$8:K4927)+SUMIFS([1]内部转账!$G:$G,[1]内部转账!$C:$C,"&lt;="&amp;$D4927,[1]内部转账!$E:$E,$G4927)-SUMIFS([1]内部转账!$G:$G,[1]内部转账!$C:$C,"&lt;="&amp;$D4927,[1]内部转账!$F:$F,$G4927)),"")</f>
        <v/>
      </c>
      <c r="M4927" s="64"/>
      <c r="N4927" s="69"/>
      <c r="O4927" s="64"/>
      <c r="P4927" s="64"/>
      <c r="Q4927" s="69"/>
      <c r="R4927" s="69"/>
      <c r="S4927" s="69"/>
    </row>
    <row r="4928" s="2" customFormat="1" ht="24.95" customHeight="1" spans="1:19">
      <c r="A4928" s="15"/>
      <c r="B4928" s="55"/>
      <c r="C4928" s="56"/>
      <c r="D4928" s="68"/>
      <c r="E4928" s="69"/>
      <c r="F4928" s="69"/>
      <c r="G4928" s="65"/>
      <c r="H4928" s="65"/>
      <c r="I4928" s="70"/>
      <c r="J4928" s="71"/>
      <c r="K4928" s="71"/>
      <c r="L4928" s="72" t="str">
        <f>IFERROR(IF(G4928="","",VLOOKUP($G4928,[1]基础信息!$B:$C,2,FALSE)+SUMIF(G$8:G4928,G4928,J$8:J4928)-SUMIF(G$8:G4928,G4928,K$8:K4928)+SUMIFS([1]内部转账!$G:$G,[1]内部转账!$C:$C,"&lt;="&amp;$D4928,[1]内部转账!$E:$E,$G4928)-SUMIFS([1]内部转账!$G:$G,[1]内部转账!$C:$C,"&lt;="&amp;$D4928,[1]内部转账!$F:$F,$G4928)),"")</f>
        <v/>
      </c>
      <c r="M4928" s="64"/>
      <c r="N4928" s="69"/>
      <c r="O4928" s="64"/>
      <c r="P4928" s="64"/>
      <c r="Q4928" s="69"/>
      <c r="R4928" s="69"/>
      <c r="S4928" s="69"/>
    </row>
    <row r="4929" s="2" customFormat="1" ht="24.95" customHeight="1" spans="1:19">
      <c r="A4929" s="15"/>
      <c r="B4929" s="55"/>
      <c r="C4929" s="56"/>
      <c r="D4929" s="68"/>
      <c r="E4929" s="69"/>
      <c r="F4929" s="69"/>
      <c r="G4929" s="65"/>
      <c r="H4929" s="65"/>
      <c r="I4929" s="70"/>
      <c r="J4929" s="71"/>
      <c r="K4929" s="71"/>
      <c r="L4929" s="72" t="str">
        <f>IFERROR(IF(G4929="","",VLOOKUP($G4929,[1]基础信息!$B:$C,2,FALSE)+SUMIF(G$8:G4929,G4929,J$8:J4929)-SUMIF(G$8:G4929,G4929,K$8:K4929)+SUMIFS([1]内部转账!$G:$G,[1]内部转账!$C:$C,"&lt;="&amp;$D4929,[1]内部转账!$E:$E,$G4929)-SUMIFS([1]内部转账!$G:$G,[1]内部转账!$C:$C,"&lt;="&amp;$D4929,[1]内部转账!$F:$F,$G4929)),"")</f>
        <v/>
      </c>
      <c r="M4929" s="64"/>
      <c r="N4929" s="69"/>
      <c r="O4929" s="64"/>
      <c r="P4929" s="64"/>
      <c r="Q4929" s="69"/>
      <c r="R4929" s="69"/>
      <c r="S4929" s="69"/>
    </row>
    <row r="4930" s="2" customFormat="1" ht="24.95" customHeight="1" spans="1:19">
      <c r="A4930" s="15"/>
      <c r="B4930" s="55"/>
      <c r="C4930" s="56"/>
      <c r="D4930" s="68"/>
      <c r="E4930" s="69"/>
      <c r="F4930" s="69"/>
      <c r="G4930" s="65"/>
      <c r="H4930" s="65"/>
      <c r="I4930" s="70"/>
      <c r="J4930" s="71"/>
      <c r="K4930" s="71"/>
      <c r="L4930" s="72" t="str">
        <f>IFERROR(IF(G4930="","",VLOOKUP($G4930,[1]基础信息!$B:$C,2,FALSE)+SUMIF(G$8:G4930,G4930,J$8:J4930)-SUMIF(G$8:G4930,G4930,K$8:K4930)+SUMIFS([1]内部转账!$G:$G,[1]内部转账!$C:$C,"&lt;="&amp;$D4930,[1]内部转账!$E:$E,$G4930)-SUMIFS([1]内部转账!$G:$G,[1]内部转账!$C:$C,"&lt;="&amp;$D4930,[1]内部转账!$F:$F,$G4930)),"")</f>
        <v/>
      </c>
      <c r="M4930" s="64"/>
      <c r="N4930" s="69"/>
      <c r="O4930" s="64"/>
      <c r="P4930" s="64"/>
      <c r="Q4930" s="69"/>
      <c r="R4930" s="69"/>
      <c r="S4930" s="69"/>
    </row>
    <row r="4931" s="2" customFormat="1" ht="24.95" customHeight="1" spans="1:19">
      <c r="A4931" s="15"/>
      <c r="B4931" s="55"/>
      <c r="C4931" s="56"/>
      <c r="D4931" s="68"/>
      <c r="E4931" s="69"/>
      <c r="F4931" s="69"/>
      <c r="G4931" s="65"/>
      <c r="H4931" s="65"/>
      <c r="I4931" s="70"/>
      <c r="J4931" s="71"/>
      <c r="K4931" s="71"/>
      <c r="L4931" s="72" t="str">
        <f>IFERROR(IF(G4931="","",VLOOKUP($G4931,[1]基础信息!$B:$C,2,FALSE)+SUMIF(G$8:G4931,G4931,J$8:J4931)-SUMIF(G$8:G4931,G4931,K$8:K4931)+SUMIFS([1]内部转账!$G:$G,[1]内部转账!$C:$C,"&lt;="&amp;$D4931,[1]内部转账!$E:$E,$G4931)-SUMIFS([1]内部转账!$G:$G,[1]内部转账!$C:$C,"&lt;="&amp;$D4931,[1]内部转账!$F:$F,$G4931)),"")</f>
        <v/>
      </c>
      <c r="M4931" s="64"/>
      <c r="N4931" s="69"/>
      <c r="O4931" s="64"/>
      <c r="P4931" s="64"/>
      <c r="Q4931" s="69"/>
      <c r="R4931" s="69"/>
      <c r="S4931" s="69"/>
    </row>
    <row r="4932" s="2" customFormat="1" ht="24.95" customHeight="1" spans="1:19">
      <c r="A4932" s="15"/>
      <c r="B4932" s="55"/>
      <c r="C4932" s="56"/>
      <c r="D4932" s="68"/>
      <c r="E4932" s="69"/>
      <c r="F4932" s="69"/>
      <c r="G4932" s="65"/>
      <c r="H4932" s="65"/>
      <c r="I4932" s="70"/>
      <c r="J4932" s="71"/>
      <c r="K4932" s="71"/>
      <c r="L4932" s="72" t="str">
        <f>IFERROR(IF(G4932="","",VLOOKUP($G4932,[1]基础信息!$B:$C,2,FALSE)+SUMIF(G$8:G4932,G4932,J$8:J4932)-SUMIF(G$8:G4932,G4932,K$8:K4932)+SUMIFS([1]内部转账!$G:$G,[1]内部转账!$C:$C,"&lt;="&amp;$D4932,[1]内部转账!$E:$E,$G4932)-SUMIFS([1]内部转账!$G:$G,[1]内部转账!$C:$C,"&lt;="&amp;$D4932,[1]内部转账!$F:$F,$G4932)),"")</f>
        <v/>
      </c>
      <c r="M4932" s="64"/>
      <c r="N4932" s="69"/>
      <c r="O4932" s="64"/>
      <c r="P4932" s="64"/>
      <c r="Q4932" s="69"/>
      <c r="R4932" s="69"/>
      <c r="S4932" s="69"/>
    </row>
    <row r="4933" s="2" customFormat="1" ht="24.95" customHeight="1" spans="1:19">
      <c r="A4933" s="15"/>
      <c r="B4933" s="55"/>
      <c r="C4933" s="56"/>
      <c r="D4933" s="68"/>
      <c r="E4933" s="69"/>
      <c r="F4933" s="69"/>
      <c r="G4933" s="65"/>
      <c r="H4933" s="65"/>
      <c r="I4933" s="70"/>
      <c r="J4933" s="71"/>
      <c r="K4933" s="71"/>
      <c r="L4933" s="72" t="str">
        <f>IFERROR(IF(G4933="","",VLOOKUP($G4933,[1]基础信息!$B:$C,2,FALSE)+SUMIF(G$8:G4933,G4933,J$8:J4933)-SUMIF(G$8:G4933,G4933,K$8:K4933)+SUMIFS([1]内部转账!$G:$G,[1]内部转账!$C:$C,"&lt;="&amp;$D4933,[1]内部转账!$E:$E,$G4933)-SUMIFS([1]内部转账!$G:$G,[1]内部转账!$C:$C,"&lt;="&amp;$D4933,[1]内部转账!$F:$F,$G4933)),"")</f>
        <v/>
      </c>
      <c r="M4933" s="64"/>
      <c r="N4933" s="69"/>
      <c r="O4933" s="64"/>
      <c r="P4933" s="64"/>
      <c r="Q4933" s="69"/>
      <c r="R4933" s="69"/>
      <c r="S4933" s="69"/>
    </row>
    <row r="4934" s="2" customFormat="1" ht="24.95" customHeight="1" spans="1:19">
      <c r="A4934" s="15"/>
      <c r="B4934" s="55"/>
      <c r="C4934" s="56"/>
      <c r="D4934" s="68"/>
      <c r="E4934" s="69"/>
      <c r="F4934" s="69"/>
      <c r="G4934" s="65"/>
      <c r="H4934" s="65"/>
      <c r="I4934" s="70"/>
      <c r="J4934" s="71"/>
      <c r="K4934" s="71"/>
      <c r="L4934" s="72" t="str">
        <f>IFERROR(IF(G4934="","",VLOOKUP($G4934,[1]基础信息!$B:$C,2,FALSE)+SUMIF(G$8:G4934,G4934,J$8:J4934)-SUMIF(G$8:G4934,G4934,K$8:K4934)+SUMIFS([1]内部转账!$G:$G,[1]内部转账!$C:$C,"&lt;="&amp;$D4934,[1]内部转账!$E:$E,$G4934)-SUMIFS([1]内部转账!$G:$G,[1]内部转账!$C:$C,"&lt;="&amp;$D4934,[1]内部转账!$F:$F,$G4934)),"")</f>
        <v/>
      </c>
      <c r="M4934" s="64"/>
      <c r="N4934" s="69"/>
      <c r="O4934" s="64"/>
      <c r="P4934" s="64"/>
      <c r="Q4934" s="69"/>
      <c r="R4934" s="69"/>
      <c r="S4934" s="69"/>
    </row>
    <row r="4935" s="2" customFormat="1" ht="24.95" customHeight="1" spans="1:19">
      <c r="A4935" s="15"/>
      <c r="B4935" s="55"/>
      <c r="C4935" s="56"/>
      <c r="D4935" s="68"/>
      <c r="E4935" s="69"/>
      <c r="F4935" s="69"/>
      <c r="G4935" s="65"/>
      <c r="H4935" s="65"/>
      <c r="I4935" s="70"/>
      <c r="J4935" s="71"/>
      <c r="K4935" s="71"/>
      <c r="L4935" s="72" t="str">
        <f>IFERROR(IF(G4935="","",VLOOKUP($G4935,[1]基础信息!$B:$C,2,FALSE)+SUMIF(G$8:G4935,G4935,J$8:J4935)-SUMIF(G$8:G4935,G4935,K$8:K4935)+SUMIFS([1]内部转账!$G:$G,[1]内部转账!$C:$C,"&lt;="&amp;$D4935,[1]内部转账!$E:$E,$G4935)-SUMIFS([1]内部转账!$G:$G,[1]内部转账!$C:$C,"&lt;="&amp;$D4935,[1]内部转账!$F:$F,$G4935)),"")</f>
        <v/>
      </c>
      <c r="M4935" s="64"/>
      <c r="N4935" s="69"/>
      <c r="O4935" s="64"/>
      <c r="P4935" s="64"/>
      <c r="Q4935" s="69"/>
      <c r="R4935" s="69"/>
      <c r="S4935" s="69"/>
    </row>
    <row r="4936" s="2" customFormat="1" ht="24.95" customHeight="1" spans="1:19">
      <c r="A4936" s="15"/>
      <c r="B4936" s="55"/>
      <c r="C4936" s="56"/>
      <c r="D4936" s="68"/>
      <c r="E4936" s="69"/>
      <c r="F4936" s="69"/>
      <c r="G4936" s="65"/>
      <c r="H4936" s="65"/>
      <c r="I4936" s="70"/>
      <c r="J4936" s="71"/>
      <c r="K4936" s="71"/>
      <c r="L4936" s="72" t="str">
        <f>IFERROR(IF(G4936="","",VLOOKUP($G4936,[1]基础信息!$B:$C,2,FALSE)+SUMIF(G$8:G4936,G4936,J$8:J4936)-SUMIF(G$8:G4936,G4936,K$8:K4936)+SUMIFS([1]内部转账!$G:$G,[1]内部转账!$C:$C,"&lt;="&amp;$D4936,[1]内部转账!$E:$E,$G4936)-SUMIFS([1]内部转账!$G:$G,[1]内部转账!$C:$C,"&lt;="&amp;$D4936,[1]内部转账!$F:$F,$G4936)),"")</f>
        <v/>
      </c>
      <c r="M4936" s="64"/>
      <c r="N4936" s="69"/>
      <c r="O4936" s="64"/>
      <c r="P4936" s="64"/>
      <c r="Q4936" s="69"/>
      <c r="R4936" s="69"/>
      <c r="S4936" s="69"/>
    </row>
    <row r="4937" s="2" customFormat="1" ht="24.95" customHeight="1" spans="1:19">
      <c r="A4937" s="15"/>
      <c r="B4937" s="55"/>
      <c r="C4937" s="56"/>
      <c r="D4937" s="68"/>
      <c r="E4937" s="69"/>
      <c r="F4937" s="69"/>
      <c r="G4937" s="65"/>
      <c r="H4937" s="65"/>
      <c r="I4937" s="70"/>
      <c r="J4937" s="71"/>
      <c r="K4937" s="71"/>
      <c r="L4937" s="72" t="str">
        <f>IFERROR(IF(G4937="","",VLOOKUP($G4937,[1]基础信息!$B:$C,2,FALSE)+SUMIF(G$8:G4937,G4937,J$8:J4937)-SUMIF(G$8:G4937,G4937,K$8:K4937)+SUMIFS([1]内部转账!$G:$G,[1]内部转账!$C:$C,"&lt;="&amp;$D4937,[1]内部转账!$E:$E,$G4937)-SUMIFS([1]内部转账!$G:$G,[1]内部转账!$C:$C,"&lt;="&amp;$D4937,[1]内部转账!$F:$F,$G4937)),"")</f>
        <v/>
      </c>
      <c r="M4937" s="64"/>
      <c r="N4937" s="69"/>
      <c r="O4937" s="64"/>
      <c r="P4937" s="64"/>
      <c r="Q4937" s="69"/>
      <c r="R4937" s="69"/>
      <c r="S4937" s="69"/>
    </row>
    <row r="4938" s="2" customFormat="1" ht="24.95" customHeight="1" spans="1:19">
      <c r="A4938" s="15"/>
      <c r="B4938" s="55"/>
      <c r="C4938" s="56"/>
      <c r="D4938" s="68"/>
      <c r="E4938" s="69"/>
      <c r="F4938" s="69"/>
      <c r="G4938" s="65"/>
      <c r="H4938" s="65"/>
      <c r="I4938" s="70"/>
      <c r="J4938" s="71"/>
      <c r="K4938" s="71"/>
      <c r="L4938" s="72" t="str">
        <f>IFERROR(IF(G4938="","",VLOOKUP($G4938,[1]基础信息!$B:$C,2,FALSE)+SUMIF(G$8:G4938,G4938,J$8:J4938)-SUMIF(G$8:G4938,G4938,K$8:K4938)+SUMIFS([1]内部转账!$G:$G,[1]内部转账!$C:$C,"&lt;="&amp;$D4938,[1]内部转账!$E:$E,$G4938)-SUMIFS([1]内部转账!$G:$G,[1]内部转账!$C:$C,"&lt;="&amp;$D4938,[1]内部转账!$F:$F,$G4938)),"")</f>
        <v/>
      </c>
      <c r="M4938" s="64"/>
      <c r="N4938" s="69"/>
      <c r="O4938" s="64"/>
      <c r="P4938" s="64"/>
      <c r="Q4938" s="69"/>
      <c r="R4938" s="69"/>
      <c r="S4938" s="69"/>
    </row>
    <row r="4939" s="2" customFormat="1" ht="24.95" customHeight="1" spans="1:19">
      <c r="A4939" s="15"/>
      <c r="B4939" s="55"/>
      <c r="C4939" s="56"/>
      <c r="D4939" s="68"/>
      <c r="E4939" s="69"/>
      <c r="F4939" s="69"/>
      <c r="G4939" s="65"/>
      <c r="H4939" s="65"/>
      <c r="I4939" s="70"/>
      <c r="J4939" s="71"/>
      <c r="K4939" s="71"/>
      <c r="L4939" s="72" t="str">
        <f>IFERROR(IF(G4939="","",VLOOKUP($G4939,[1]基础信息!$B:$C,2,FALSE)+SUMIF(G$8:G4939,G4939,J$8:J4939)-SUMIF(G$8:G4939,G4939,K$8:K4939)+SUMIFS([1]内部转账!$G:$G,[1]内部转账!$C:$C,"&lt;="&amp;$D4939,[1]内部转账!$E:$E,$G4939)-SUMIFS([1]内部转账!$G:$G,[1]内部转账!$C:$C,"&lt;="&amp;$D4939,[1]内部转账!$F:$F,$G4939)),"")</f>
        <v/>
      </c>
      <c r="M4939" s="64"/>
      <c r="N4939" s="69"/>
      <c r="O4939" s="64"/>
      <c r="P4939" s="64"/>
      <c r="Q4939" s="69"/>
      <c r="R4939" s="69"/>
      <c r="S4939" s="69"/>
    </row>
    <row r="4940" s="2" customFormat="1" ht="24.95" customHeight="1" spans="1:19">
      <c r="A4940" s="15"/>
      <c r="B4940" s="55"/>
      <c r="C4940" s="56"/>
      <c r="D4940" s="68"/>
      <c r="E4940" s="69"/>
      <c r="F4940" s="69"/>
      <c r="G4940" s="65"/>
      <c r="H4940" s="65"/>
      <c r="I4940" s="70"/>
      <c r="J4940" s="71"/>
      <c r="K4940" s="71"/>
      <c r="L4940" s="72" t="str">
        <f>IFERROR(IF(G4940="","",VLOOKUP($G4940,[1]基础信息!$B:$C,2,FALSE)+SUMIF(G$8:G4940,G4940,J$8:J4940)-SUMIF(G$8:G4940,G4940,K$8:K4940)+SUMIFS([1]内部转账!$G:$G,[1]内部转账!$C:$C,"&lt;="&amp;$D4940,[1]内部转账!$E:$E,$G4940)-SUMIFS([1]内部转账!$G:$G,[1]内部转账!$C:$C,"&lt;="&amp;$D4940,[1]内部转账!$F:$F,$G4940)),"")</f>
        <v/>
      </c>
      <c r="M4940" s="64"/>
      <c r="N4940" s="69"/>
      <c r="O4940" s="64"/>
      <c r="P4940" s="64"/>
      <c r="Q4940" s="69"/>
      <c r="R4940" s="69"/>
      <c r="S4940" s="69"/>
    </row>
    <row r="4941" s="2" customFormat="1" ht="24.95" customHeight="1" spans="1:19">
      <c r="A4941" s="15"/>
      <c r="B4941" s="55"/>
      <c r="C4941" s="56"/>
      <c r="D4941" s="68"/>
      <c r="E4941" s="69"/>
      <c r="F4941" s="69"/>
      <c r="G4941" s="65"/>
      <c r="H4941" s="65"/>
      <c r="I4941" s="70"/>
      <c r="J4941" s="71"/>
      <c r="K4941" s="71"/>
      <c r="L4941" s="72" t="str">
        <f>IFERROR(IF(G4941="","",VLOOKUP($G4941,[1]基础信息!$B:$C,2,FALSE)+SUMIF(G$8:G4941,G4941,J$8:J4941)-SUMIF(G$8:G4941,G4941,K$8:K4941)+SUMIFS([1]内部转账!$G:$G,[1]内部转账!$C:$C,"&lt;="&amp;$D4941,[1]内部转账!$E:$E,$G4941)-SUMIFS([1]内部转账!$G:$G,[1]内部转账!$C:$C,"&lt;="&amp;$D4941,[1]内部转账!$F:$F,$G4941)),"")</f>
        <v/>
      </c>
      <c r="M4941" s="64"/>
      <c r="N4941" s="69"/>
      <c r="O4941" s="64"/>
      <c r="P4941" s="64"/>
      <c r="Q4941" s="69"/>
      <c r="R4941" s="69"/>
      <c r="S4941" s="69"/>
    </row>
    <row r="4942" s="2" customFormat="1" ht="24.95" customHeight="1" spans="1:19">
      <c r="A4942" s="15"/>
      <c r="B4942" s="55"/>
      <c r="C4942" s="56"/>
      <c r="D4942" s="68"/>
      <c r="E4942" s="69"/>
      <c r="F4942" s="69"/>
      <c r="G4942" s="65"/>
      <c r="H4942" s="65"/>
      <c r="I4942" s="70"/>
      <c r="J4942" s="71"/>
      <c r="K4942" s="71"/>
      <c r="L4942" s="72" t="str">
        <f>IFERROR(IF(G4942="","",VLOOKUP($G4942,[1]基础信息!$B:$C,2,FALSE)+SUMIF(G$8:G4942,G4942,J$8:J4942)-SUMIF(G$8:G4942,G4942,K$8:K4942)+SUMIFS([1]内部转账!$G:$G,[1]内部转账!$C:$C,"&lt;="&amp;$D4942,[1]内部转账!$E:$E,$G4942)-SUMIFS([1]内部转账!$G:$G,[1]内部转账!$C:$C,"&lt;="&amp;$D4942,[1]内部转账!$F:$F,$G4942)),"")</f>
        <v/>
      </c>
      <c r="M4942" s="64"/>
      <c r="N4942" s="69"/>
      <c r="O4942" s="64"/>
      <c r="P4942" s="64"/>
      <c r="Q4942" s="69"/>
      <c r="R4942" s="69"/>
      <c r="S4942" s="69"/>
    </row>
    <row r="4943" s="2" customFormat="1" ht="24.95" customHeight="1" spans="1:19">
      <c r="A4943" s="15"/>
      <c r="B4943" s="55"/>
      <c r="C4943" s="56"/>
      <c r="D4943" s="68"/>
      <c r="E4943" s="69"/>
      <c r="F4943" s="69"/>
      <c r="G4943" s="65"/>
      <c r="H4943" s="65"/>
      <c r="I4943" s="70"/>
      <c r="J4943" s="71"/>
      <c r="K4943" s="71"/>
      <c r="L4943" s="72" t="str">
        <f>IFERROR(IF(G4943="","",VLOOKUP($G4943,[1]基础信息!$B:$C,2,FALSE)+SUMIF(G$8:G4943,G4943,J$8:J4943)-SUMIF(G$8:G4943,G4943,K$8:K4943)+SUMIFS([1]内部转账!$G:$G,[1]内部转账!$C:$C,"&lt;="&amp;$D4943,[1]内部转账!$E:$E,$G4943)-SUMIFS([1]内部转账!$G:$G,[1]内部转账!$C:$C,"&lt;="&amp;$D4943,[1]内部转账!$F:$F,$G4943)),"")</f>
        <v/>
      </c>
      <c r="M4943" s="64"/>
      <c r="N4943" s="69"/>
      <c r="O4943" s="64"/>
      <c r="P4943" s="64"/>
      <c r="Q4943" s="69"/>
      <c r="R4943" s="69"/>
      <c r="S4943" s="69"/>
    </row>
    <row r="4944" s="2" customFormat="1" ht="24.95" customHeight="1" spans="1:19">
      <c r="A4944" s="15"/>
      <c r="B4944" s="55"/>
      <c r="C4944" s="56"/>
      <c r="D4944" s="68"/>
      <c r="E4944" s="69"/>
      <c r="F4944" s="69"/>
      <c r="G4944" s="65"/>
      <c r="H4944" s="65"/>
      <c r="I4944" s="70"/>
      <c r="J4944" s="71"/>
      <c r="K4944" s="71"/>
      <c r="L4944" s="72" t="str">
        <f>IFERROR(IF(G4944="","",VLOOKUP($G4944,[1]基础信息!$B:$C,2,FALSE)+SUMIF(G$8:G4944,G4944,J$8:J4944)-SUMIF(G$8:G4944,G4944,K$8:K4944)+SUMIFS([1]内部转账!$G:$G,[1]内部转账!$C:$C,"&lt;="&amp;$D4944,[1]内部转账!$E:$E,$G4944)-SUMIFS([1]内部转账!$G:$G,[1]内部转账!$C:$C,"&lt;="&amp;$D4944,[1]内部转账!$F:$F,$G4944)),"")</f>
        <v/>
      </c>
      <c r="M4944" s="64"/>
      <c r="N4944" s="69"/>
      <c r="O4944" s="64"/>
      <c r="P4944" s="64"/>
      <c r="Q4944" s="69"/>
      <c r="R4944" s="69"/>
      <c r="S4944" s="69"/>
    </row>
    <row r="4945" s="2" customFormat="1" ht="24.95" customHeight="1" spans="1:19">
      <c r="A4945" s="15"/>
      <c r="B4945" s="55"/>
      <c r="C4945" s="56"/>
      <c r="D4945" s="68"/>
      <c r="E4945" s="69"/>
      <c r="F4945" s="69"/>
      <c r="G4945" s="65"/>
      <c r="H4945" s="65"/>
      <c r="I4945" s="70"/>
      <c r="J4945" s="71"/>
      <c r="K4945" s="71"/>
      <c r="L4945" s="72" t="str">
        <f>IFERROR(IF(G4945="","",VLOOKUP($G4945,[1]基础信息!$B:$C,2,FALSE)+SUMIF(G$8:G4945,G4945,J$8:J4945)-SUMIF(G$8:G4945,G4945,K$8:K4945)+SUMIFS([1]内部转账!$G:$G,[1]内部转账!$C:$C,"&lt;="&amp;$D4945,[1]内部转账!$E:$E,$G4945)-SUMIFS([1]内部转账!$G:$G,[1]内部转账!$C:$C,"&lt;="&amp;$D4945,[1]内部转账!$F:$F,$G4945)),"")</f>
        <v/>
      </c>
      <c r="M4945" s="64"/>
      <c r="N4945" s="69"/>
      <c r="O4945" s="64"/>
      <c r="P4945" s="64"/>
      <c r="Q4945" s="69"/>
      <c r="R4945" s="69"/>
      <c r="S4945" s="69"/>
    </row>
    <row r="4946" s="2" customFormat="1" ht="24.95" customHeight="1" spans="1:19">
      <c r="A4946" s="15"/>
      <c r="B4946" s="55"/>
      <c r="C4946" s="56"/>
      <c r="D4946" s="68"/>
      <c r="E4946" s="69"/>
      <c r="F4946" s="69"/>
      <c r="G4946" s="65"/>
      <c r="H4946" s="65"/>
      <c r="I4946" s="70"/>
      <c r="J4946" s="71"/>
      <c r="K4946" s="71"/>
      <c r="L4946" s="72" t="str">
        <f>IFERROR(IF(G4946="","",VLOOKUP($G4946,[1]基础信息!$B:$C,2,FALSE)+SUMIF(G$8:G4946,G4946,J$8:J4946)-SUMIF(G$8:G4946,G4946,K$8:K4946)+SUMIFS([1]内部转账!$G:$G,[1]内部转账!$C:$C,"&lt;="&amp;$D4946,[1]内部转账!$E:$E,$G4946)-SUMIFS([1]内部转账!$G:$G,[1]内部转账!$C:$C,"&lt;="&amp;$D4946,[1]内部转账!$F:$F,$G4946)),"")</f>
        <v/>
      </c>
      <c r="M4946" s="64"/>
      <c r="N4946" s="69"/>
      <c r="O4946" s="64"/>
      <c r="P4946" s="64"/>
      <c r="Q4946" s="69"/>
      <c r="R4946" s="69"/>
      <c r="S4946" s="69"/>
    </row>
    <row r="4947" s="2" customFormat="1" ht="24.95" customHeight="1" spans="1:19">
      <c r="A4947" s="15"/>
      <c r="B4947" s="55"/>
      <c r="C4947" s="56"/>
      <c r="D4947" s="68"/>
      <c r="E4947" s="69"/>
      <c r="F4947" s="69"/>
      <c r="G4947" s="65"/>
      <c r="H4947" s="65"/>
      <c r="I4947" s="70"/>
      <c r="J4947" s="71"/>
      <c r="K4947" s="71"/>
      <c r="L4947" s="72" t="str">
        <f>IFERROR(IF(G4947="","",VLOOKUP($G4947,[1]基础信息!$B:$C,2,FALSE)+SUMIF(G$8:G4947,G4947,J$8:J4947)-SUMIF(G$8:G4947,G4947,K$8:K4947)+SUMIFS([1]内部转账!$G:$G,[1]内部转账!$C:$C,"&lt;="&amp;$D4947,[1]内部转账!$E:$E,$G4947)-SUMIFS([1]内部转账!$G:$G,[1]内部转账!$C:$C,"&lt;="&amp;$D4947,[1]内部转账!$F:$F,$G4947)),"")</f>
        <v/>
      </c>
      <c r="M4947" s="64"/>
      <c r="N4947" s="69"/>
      <c r="O4947" s="64"/>
      <c r="P4947" s="64"/>
      <c r="Q4947" s="69"/>
      <c r="R4947" s="69"/>
      <c r="S4947" s="69"/>
    </row>
    <row r="4948" s="2" customFormat="1" ht="24.95" customHeight="1" spans="1:19">
      <c r="A4948" s="15"/>
      <c r="B4948" s="55"/>
      <c r="C4948" s="56"/>
      <c r="D4948" s="68"/>
      <c r="E4948" s="69"/>
      <c r="F4948" s="69"/>
      <c r="G4948" s="65"/>
      <c r="H4948" s="65"/>
      <c r="I4948" s="70"/>
      <c r="J4948" s="71"/>
      <c r="K4948" s="71"/>
      <c r="L4948" s="72" t="str">
        <f>IFERROR(IF(G4948="","",VLOOKUP($G4948,[1]基础信息!$B:$C,2,FALSE)+SUMIF(G$8:G4948,G4948,J$8:J4948)-SUMIF(G$8:G4948,G4948,K$8:K4948)+SUMIFS([1]内部转账!$G:$G,[1]内部转账!$C:$C,"&lt;="&amp;$D4948,[1]内部转账!$E:$E,$G4948)-SUMIFS([1]内部转账!$G:$G,[1]内部转账!$C:$C,"&lt;="&amp;$D4948,[1]内部转账!$F:$F,$G4948)),"")</f>
        <v/>
      </c>
      <c r="M4948" s="64"/>
      <c r="N4948" s="69"/>
      <c r="O4948" s="64"/>
      <c r="P4948" s="64"/>
      <c r="Q4948" s="69"/>
      <c r="R4948" s="69"/>
      <c r="S4948" s="69"/>
    </row>
    <row r="4949" s="2" customFormat="1" ht="24.95" customHeight="1" spans="1:19">
      <c r="A4949" s="15"/>
      <c r="B4949" s="55"/>
      <c r="C4949" s="56"/>
      <c r="D4949" s="68"/>
      <c r="E4949" s="69"/>
      <c r="F4949" s="69"/>
      <c r="G4949" s="65"/>
      <c r="H4949" s="65"/>
      <c r="I4949" s="70"/>
      <c r="J4949" s="71"/>
      <c r="K4949" s="71"/>
      <c r="L4949" s="72" t="str">
        <f>IFERROR(IF(G4949="","",VLOOKUP($G4949,[1]基础信息!$B:$C,2,FALSE)+SUMIF(G$8:G4949,G4949,J$8:J4949)-SUMIF(G$8:G4949,G4949,K$8:K4949)+SUMIFS([1]内部转账!$G:$G,[1]内部转账!$C:$C,"&lt;="&amp;$D4949,[1]内部转账!$E:$E,$G4949)-SUMIFS([1]内部转账!$G:$G,[1]内部转账!$C:$C,"&lt;="&amp;$D4949,[1]内部转账!$F:$F,$G4949)),"")</f>
        <v/>
      </c>
      <c r="M4949" s="64"/>
      <c r="N4949" s="69"/>
      <c r="O4949" s="64"/>
      <c r="P4949" s="64"/>
      <c r="Q4949" s="69"/>
      <c r="R4949" s="69"/>
      <c r="S4949" s="69"/>
    </row>
    <row r="4950" s="2" customFormat="1" ht="24.95" customHeight="1" spans="1:19">
      <c r="A4950" s="15"/>
      <c r="B4950" s="55"/>
      <c r="C4950" s="56"/>
      <c r="D4950" s="68"/>
      <c r="E4950" s="69"/>
      <c r="F4950" s="69"/>
      <c r="G4950" s="65"/>
      <c r="H4950" s="65"/>
      <c r="I4950" s="70"/>
      <c r="J4950" s="71"/>
      <c r="K4950" s="71"/>
      <c r="L4950" s="72" t="str">
        <f>IFERROR(IF(G4950="","",VLOOKUP($G4950,[1]基础信息!$B:$C,2,FALSE)+SUMIF(G$8:G4950,G4950,J$8:J4950)-SUMIF(G$8:G4950,G4950,K$8:K4950)+SUMIFS([1]内部转账!$G:$G,[1]内部转账!$C:$C,"&lt;="&amp;$D4950,[1]内部转账!$E:$E,$G4950)-SUMIFS([1]内部转账!$G:$G,[1]内部转账!$C:$C,"&lt;="&amp;$D4950,[1]内部转账!$F:$F,$G4950)),"")</f>
        <v/>
      </c>
      <c r="M4950" s="64"/>
      <c r="N4950" s="69"/>
      <c r="O4950" s="64"/>
      <c r="P4950" s="64"/>
      <c r="Q4950" s="69"/>
      <c r="R4950" s="69"/>
      <c r="S4950" s="69"/>
    </row>
    <row r="4951" s="2" customFormat="1" ht="24.95" customHeight="1" spans="1:19">
      <c r="A4951" s="15"/>
      <c r="B4951" s="55"/>
      <c r="C4951" s="56"/>
      <c r="D4951" s="68"/>
      <c r="E4951" s="69"/>
      <c r="F4951" s="69"/>
      <c r="G4951" s="65"/>
      <c r="H4951" s="65"/>
      <c r="I4951" s="70"/>
      <c r="J4951" s="71"/>
      <c r="K4951" s="71"/>
      <c r="L4951" s="72" t="str">
        <f>IFERROR(IF(G4951="","",VLOOKUP($G4951,[1]基础信息!$B:$C,2,FALSE)+SUMIF(G$8:G4951,G4951,J$8:J4951)-SUMIF(G$8:G4951,G4951,K$8:K4951)+SUMIFS([1]内部转账!$G:$G,[1]内部转账!$C:$C,"&lt;="&amp;$D4951,[1]内部转账!$E:$E,$G4951)-SUMIFS([1]内部转账!$G:$G,[1]内部转账!$C:$C,"&lt;="&amp;$D4951,[1]内部转账!$F:$F,$G4951)),"")</f>
        <v/>
      </c>
      <c r="M4951" s="64"/>
      <c r="N4951" s="69"/>
      <c r="O4951" s="64"/>
      <c r="P4951" s="64"/>
      <c r="Q4951" s="69"/>
      <c r="R4951" s="69"/>
      <c r="S4951" s="69"/>
    </row>
    <row r="4952" s="2" customFormat="1" ht="24.95" customHeight="1" spans="1:19">
      <c r="A4952" s="15"/>
      <c r="B4952" s="55"/>
      <c r="C4952" s="56"/>
      <c r="D4952" s="68"/>
      <c r="E4952" s="69"/>
      <c r="F4952" s="69"/>
      <c r="G4952" s="65"/>
      <c r="H4952" s="65"/>
      <c r="I4952" s="70"/>
      <c r="J4952" s="71"/>
      <c r="K4952" s="71"/>
      <c r="L4952" s="72" t="str">
        <f>IFERROR(IF(G4952="","",VLOOKUP($G4952,[1]基础信息!$B:$C,2,FALSE)+SUMIF(G$8:G4952,G4952,J$8:J4952)-SUMIF(G$8:G4952,G4952,K$8:K4952)+SUMIFS([1]内部转账!$G:$G,[1]内部转账!$C:$C,"&lt;="&amp;$D4952,[1]内部转账!$E:$E,$G4952)-SUMIFS([1]内部转账!$G:$G,[1]内部转账!$C:$C,"&lt;="&amp;$D4952,[1]内部转账!$F:$F,$G4952)),"")</f>
        <v/>
      </c>
      <c r="M4952" s="64"/>
      <c r="N4952" s="69"/>
      <c r="O4952" s="64"/>
      <c r="P4952" s="64"/>
      <c r="Q4952" s="69"/>
      <c r="R4952" s="69"/>
      <c r="S4952" s="69"/>
    </row>
    <row r="4953" s="2" customFormat="1" ht="24.95" customHeight="1" spans="1:19">
      <c r="A4953" s="15"/>
      <c r="B4953" s="55"/>
      <c r="C4953" s="56"/>
      <c r="D4953" s="68"/>
      <c r="E4953" s="69"/>
      <c r="F4953" s="69"/>
      <c r="G4953" s="65"/>
      <c r="H4953" s="65"/>
      <c r="I4953" s="70"/>
      <c r="J4953" s="71"/>
      <c r="K4953" s="71"/>
      <c r="L4953" s="72" t="str">
        <f>IFERROR(IF(G4953="","",VLOOKUP($G4953,[1]基础信息!$B:$C,2,FALSE)+SUMIF(G$8:G4953,G4953,J$8:J4953)-SUMIF(G$8:G4953,G4953,K$8:K4953)+SUMIFS([1]内部转账!$G:$G,[1]内部转账!$C:$C,"&lt;="&amp;$D4953,[1]内部转账!$E:$E,$G4953)-SUMIFS([1]内部转账!$G:$G,[1]内部转账!$C:$C,"&lt;="&amp;$D4953,[1]内部转账!$F:$F,$G4953)),"")</f>
        <v/>
      </c>
      <c r="M4953" s="64"/>
      <c r="N4953" s="69"/>
      <c r="O4953" s="64"/>
      <c r="P4953" s="64"/>
      <c r="Q4953" s="69"/>
      <c r="R4953" s="69"/>
      <c r="S4953" s="69"/>
    </row>
    <row r="4954" s="2" customFormat="1" ht="24.95" customHeight="1" spans="1:19">
      <c r="A4954" s="15"/>
      <c r="B4954" s="55"/>
      <c r="C4954" s="56"/>
      <c r="D4954" s="68"/>
      <c r="E4954" s="69"/>
      <c r="F4954" s="69"/>
      <c r="G4954" s="65"/>
      <c r="H4954" s="65"/>
      <c r="I4954" s="70"/>
      <c r="J4954" s="71"/>
      <c r="K4954" s="71"/>
      <c r="L4954" s="72" t="str">
        <f>IFERROR(IF(G4954="","",VLOOKUP($G4954,[1]基础信息!$B:$C,2,FALSE)+SUMIF(G$8:G4954,G4954,J$8:J4954)-SUMIF(G$8:G4954,G4954,K$8:K4954)+SUMIFS([1]内部转账!$G:$G,[1]内部转账!$C:$C,"&lt;="&amp;$D4954,[1]内部转账!$E:$E,$G4954)-SUMIFS([1]内部转账!$G:$G,[1]内部转账!$C:$C,"&lt;="&amp;$D4954,[1]内部转账!$F:$F,$G4954)),"")</f>
        <v/>
      </c>
      <c r="M4954" s="64"/>
      <c r="N4954" s="69"/>
      <c r="O4954" s="64"/>
      <c r="P4954" s="64"/>
      <c r="Q4954" s="69"/>
      <c r="R4954" s="69"/>
      <c r="S4954" s="69"/>
    </row>
    <row r="4955" s="2" customFormat="1" ht="24.95" customHeight="1" spans="1:19">
      <c r="A4955" s="15"/>
      <c r="B4955" s="55"/>
      <c r="C4955" s="56"/>
      <c r="D4955" s="68"/>
      <c r="E4955" s="69"/>
      <c r="F4955" s="69"/>
      <c r="G4955" s="65"/>
      <c r="H4955" s="65"/>
      <c r="I4955" s="70"/>
      <c r="J4955" s="71"/>
      <c r="K4955" s="71"/>
      <c r="L4955" s="72" t="str">
        <f>IFERROR(IF(G4955="","",VLOOKUP($G4955,[1]基础信息!$B:$C,2,FALSE)+SUMIF(G$8:G4955,G4955,J$8:J4955)-SUMIF(G$8:G4955,G4955,K$8:K4955)+SUMIFS([1]内部转账!$G:$G,[1]内部转账!$C:$C,"&lt;="&amp;$D4955,[1]内部转账!$E:$E,$G4955)-SUMIFS([1]内部转账!$G:$G,[1]内部转账!$C:$C,"&lt;="&amp;$D4955,[1]内部转账!$F:$F,$G4955)),"")</f>
        <v/>
      </c>
      <c r="M4955" s="64"/>
      <c r="N4955" s="69"/>
      <c r="O4955" s="64"/>
      <c r="P4955" s="64"/>
      <c r="Q4955" s="69"/>
      <c r="R4955" s="69"/>
      <c r="S4955" s="69"/>
    </row>
    <row r="4956" s="2" customFormat="1" ht="24.95" customHeight="1" spans="1:19">
      <c r="A4956" s="15"/>
      <c r="B4956" s="55"/>
      <c r="C4956" s="56"/>
      <c r="D4956" s="68"/>
      <c r="E4956" s="69"/>
      <c r="F4956" s="69"/>
      <c r="G4956" s="65"/>
      <c r="H4956" s="65"/>
      <c r="I4956" s="70"/>
      <c r="J4956" s="71"/>
      <c r="K4956" s="71"/>
      <c r="L4956" s="72" t="str">
        <f>IFERROR(IF(G4956="","",VLOOKUP($G4956,[1]基础信息!$B:$C,2,FALSE)+SUMIF(G$8:G4956,G4956,J$8:J4956)-SUMIF(G$8:G4956,G4956,K$8:K4956)+SUMIFS([1]内部转账!$G:$G,[1]内部转账!$C:$C,"&lt;="&amp;$D4956,[1]内部转账!$E:$E,$G4956)-SUMIFS([1]内部转账!$G:$G,[1]内部转账!$C:$C,"&lt;="&amp;$D4956,[1]内部转账!$F:$F,$G4956)),"")</f>
        <v/>
      </c>
      <c r="M4956" s="64"/>
      <c r="N4956" s="69"/>
      <c r="O4956" s="64"/>
      <c r="P4956" s="64"/>
      <c r="Q4956" s="69"/>
      <c r="R4956" s="69"/>
      <c r="S4956" s="69"/>
    </row>
    <row r="4957" s="2" customFormat="1" ht="24.95" customHeight="1" spans="1:19">
      <c r="A4957" s="15"/>
      <c r="B4957" s="55"/>
      <c r="C4957" s="56"/>
      <c r="D4957" s="68"/>
      <c r="E4957" s="69"/>
      <c r="F4957" s="69"/>
      <c r="G4957" s="65"/>
      <c r="H4957" s="65"/>
      <c r="I4957" s="70"/>
      <c r="J4957" s="71"/>
      <c r="K4957" s="71"/>
      <c r="L4957" s="72" t="str">
        <f>IFERROR(IF(G4957="","",VLOOKUP($G4957,[1]基础信息!$B:$C,2,FALSE)+SUMIF(G$8:G4957,G4957,J$8:J4957)-SUMIF(G$8:G4957,G4957,K$8:K4957)+SUMIFS([1]内部转账!$G:$G,[1]内部转账!$C:$C,"&lt;="&amp;$D4957,[1]内部转账!$E:$E,$G4957)-SUMIFS([1]内部转账!$G:$G,[1]内部转账!$C:$C,"&lt;="&amp;$D4957,[1]内部转账!$F:$F,$G4957)),"")</f>
        <v/>
      </c>
      <c r="M4957" s="64"/>
      <c r="N4957" s="69"/>
      <c r="O4957" s="64"/>
      <c r="P4957" s="64"/>
      <c r="Q4957" s="69"/>
      <c r="R4957" s="69"/>
      <c r="S4957" s="69"/>
    </row>
    <row r="4958" s="2" customFormat="1" ht="24.95" customHeight="1" spans="1:19">
      <c r="A4958" s="15"/>
      <c r="B4958" s="55"/>
      <c r="C4958" s="56"/>
      <c r="D4958" s="68"/>
      <c r="E4958" s="69"/>
      <c r="F4958" s="69"/>
      <c r="G4958" s="65"/>
      <c r="H4958" s="65"/>
      <c r="I4958" s="70"/>
      <c r="J4958" s="71"/>
      <c r="K4958" s="71"/>
      <c r="L4958" s="72" t="str">
        <f>IFERROR(IF(G4958="","",VLOOKUP($G4958,[1]基础信息!$B:$C,2,FALSE)+SUMIF(G$8:G4958,G4958,J$8:J4958)-SUMIF(G$8:G4958,G4958,K$8:K4958)+SUMIFS([1]内部转账!$G:$G,[1]内部转账!$C:$C,"&lt;="&amp;$D4958,[1]内部转账!$E:$E,$G4958)-SUMIFS([1]内部转账!$G:$G,[1]内部转账!$C:$C,"&lt;="&amp;$D4958,[1]内部转账!$F:$F,$G4958)),"")</f>
        <v/>
      </c>
      <c r="M4958" s="64"/>
      <c r="N4958" s="69"/>
      <c r="O4958" s="64"/>
      <c r="P4958" s="64"/>
      <c r="Q4958" s="69"/>
      <c r="R4958" s="69"/>
      <c r="S4958" s="69"/>
    </row>
    <row r="4959" s="2" customFormat="1" ht="24.95" customHeight="1" spans="1:19">
      <c r="A4959" s="15"/>
      <c r="B4959" s="55"/>
      <c r="C4959" s="56"/>
      <c r="D4959" s="68"/>
      <c r="E4959" s="69"/>
      <c r="F4959" s="69"/>
      <c r="G4959" s="65"/>
      <c r="H4959" s="65"/>
      <c r="I4959" s="70"/>
      <c r="J4959" s="71"/>
      <c r="K4959" s="71"/>
      <c r="L4959" s="72" t="str">
        <f>IFERROR(IF(G4959="","",VLOOKUP($G4959,[1]基础信息!$B:$C,2,FALSE)+SUMIF(G$8:G4959,G4959,J$8:J4959)-SUMIF(G$8:G4959,G4959,K$8:K4959)+SUMIFS([1]内部转账!$G:$G,[1]内部转账!$C:$C,"&lt;="&amp;$D4959,[1]内部转账!$E:$E,$G4959)-SUMIFS([1]内部转账!$G:$G,[1]内部转账!$C:$C,"&lt;="&amp;$D4959,[1]内部转账!$F:$F,$G4959)),"")</f>
        <v/>
      </c>
      <c r="M4959" s="64"/>
      <c r="N4959" s="69"/>
      <c r="O4959" s="64"/>
      <c r="P4959" s="64"/>
      <c r="Q4959" s="69"/>
      <c r="R4959" s="69"/>
      <c r="S4959" s="69"/>
    </row>
    <row r="4960" s="2" customFormat="1" ht="24.95" customHeight="1" spans="1:19">
      <c r="A4960" s="15"/>
      <c r="B4960" s="55"/>
      <c r="C4960" s="56"/>
      <c r="D4960" s="68"/>
      <c r="E4960" s="69"/>
      <c r="F4960" s="69"/>
      <c r="G4960" s="65"/>
      <c r="H4960" s="65"/>
      <c r="I4960" s="70"/>
      <c r="J4960" s="71"/>
      <c r="K4960" s="71"/>
      <c r="L4960" s="72" t="str">
        <f>IFERROR(IF(G4960="","",VLOOKUP($G4960,[1]基础信息!$B:$C,2,FALSE)+SUMIF(G$8:G4960,G4960,J$8:J4960)-SUMIF(G$8:G4960,G4960,K$8:K4960)+SUMIFS([1]内部转账!$G:$G,[1]内部转账!$C:$C,"&lt;="&amp;$D4960,[1]内部转账!$E:$E,$G4960)-SUMIFS([1]内部转账!$G:$G,[1]内部转账!$C:$C,"&lt;="&amp;$D4960,[1]内部转账!$F:$F,$G4960)),"")</f>
        <v/>
      </c>
      <c r="M4960" s="64"/>
      <c r="N4960" s="69"/>
      <c r="O4960" s="64"/>
      <c r="P4960" s="64"/>
      <c r="Q4960" s="69"/>
      <c r="R4960" s="69"/>
      <c r="S4960" s="69"/>
    </row>
    <row r="4961" s="2" customFormat="1" ht="24.95" customHeight="1" spans="1:19">
      <c r="A4961" s="15"/>
      <c r="B4961" s="55"/>
      <c r="C4961" s="56"/>
      <c r="D4961" s="68"/>
      <c r="E4961" s="69"/>
      <c r="F4961" s="69"/>
      <c r="G4961" s="65"/>
      <c r="H4961" s="65"/>
      <c r="I4961" s="70"/>
      <c r="J4961" s="71"/>
      <c r="K4961" s="71"/>
      <c r="L4961" s="72" t="str">
        <f>IFERROR(IF(G4961="","",VLOOKUP($G4961,[1]基础信息!$B:$C,2,FALSE)+SUMIF(G$8:G4961,G4961,J$8:J4961)-SUMIF(G$8:G4961,G4961,K$8:K4961)+SUMIFS([1]内部转账!$G:$G,[1]内部转账!$C:$C,"&lt;="&amp;$D4961,[1]内部转账!$E:$E,$G4961)-SUMIFS([1]内部转账!$G:$G,[1]内部转账!$C:$C,"&lt;="&amp;$D4961,[1]内部转账!$F:$F,$G4961)),"")</f>
        <v/>
      </c>
      <c r="M4961" s="64"/>
      <c r="N4961" s="69"/>
      <c r="O4961" s="64"/>
      <c r="P4961" s="64"/>
      <c r="Q4961" s="69"/>
      <c r="R4961" s="69"/>
      <c r="S4961" s="69"/>
    </row>
    <row r="4962" s="2" customFormat="1" ht="24.95" customHeight="1" spans="1:19">
      <c r="A4962" s="15"/>
      <c r="B4962" s="55"/>
      <c r="C4962" s="56"/>
      <c r="D4962" s="68"/>
      <c r="E4962" s="69"/>
      <c r="F4962" s="69"/>
      <c r="G4962" s="65"/>
      <c r="H4962" s="65"/>
      <c r="I4962" s="70"/>
      <c r="J4962" s="71"/>
      <c r="K4962" s="71"/>
      <c r="L4962" s="72" t="str">
        <f>IFERROR(IF(G4962="","",VLOOKUP($G4962,[1]基础信息!$B:$C,2,FALSE)+SUMIF(G$8:G4962,G4962,J$8:J4962)-SUMIF(G$8:G4962,G4962,K$8:K4962)+SUMIFS([1]内部转账!$G:$G,[1]内部转账!$C:$C,"&lt;="&amp;$D4962,[1]内部转账!$E:$E,$G4962)-SUMIFS([1]内部转账!$G:$G,[1]内部转账!$C:$C,"&lt;="&amp;$D4962,[1]内部转账!$F:$F,$G4962)),"")</f>
        <v/>
      </c>
      <c r="M4962" s="64"/>
      <c r="N4962" s="69"/>
      <c r="O4962" s="64"/>
      <c r="P4962" s="64"/>
      <c r="Q4962" s="69"/>
      <c r="R4962" s="69"/>
      <c r="S4962" s="69"/>
    </row>
    <row r="4963" s="2" customFormat="1" ht="24.95" customHeight="1" spans="1:19">
      <c r="A4963" s="15"/>
      <c r="B4963" s="55"/>
      <c r="C4963" s="56"/>
      <c r="D4963" s="68"/>
      <c r="E4963" s="69"/>
      <c r="F4963" s="69"/>
      <c r="G4963" s="65"/>
      <c r="H4963" s="65"/>
      <c r="I4963" s="70"/>
      <c r="J4963" s="71"/>
      <c r="K4963" s="71"/>
      <c r="L4963" s="72" t="str">
        <f>IFERROR(IF(G4963="","",VLOOKUP($G4963,[1]基础信息!$B:$C,2,FALSE)+SUMIF(G$8:G4963,G4963,J$8:J4963)-SUMIF(G$8:G4963,G4963,K$8:K4963)+SUMIFS([1]内部转账!$G:$G,[1]内部转账!$C:$C,"&lt;="&amp;$D4963,[1]内部转账!$E:$E,$G4963)-SUMIFS([1]内部转账!$G:$G,[1]内部转账!$C:$C,"&lt;="&amp;$D4963,[1]内部转账!$F:$F,$G4963)),"")</f>
        <v/>
      </c>
      <c r="M4963" s="64"/>
      <c r="N4963" s="69"/>
      <c r="O4963" s="64"/>
      <c r="P4963" s="64"/>
      <c r="Q4963" s="69"/>
      <c r="R4963" s="69"/>
      <c r="S4963" s="69"/>
    </row>
    <row r="4964" s="2" customFormat="1" ht="24.95" customHeight="1" spans="1:19">
      <c r="A4964" s="15"/>
      <c r="B4964" s="55"/>
      <c r="C4964" s="56"/>
      <c r="D4964" s="68"/>
      <c r="E4964" s="69"/>
      <c r="F4964" s="69"/>
      <c r="G4964" s="65"/>
      <c r="H4964" s="65"/>
      <c r="I4964" s="70"/>
      <c r="J4964" s="71"/>
      <c r="K4964" s="71"/>
      <c r="L4964" s="72" t="str">
        <f>IFERROR(IF(G4964="","",VLOOKUP($G4964,[1]基础信息!$B:$C,2,FALSE)+SUMIF(G$8:G4964,G4964,J$8:J4964)-SUMIF(G$8:G4964,G4964,K$8:K4964)+SUMIFS([1]内部转账!$G:$G,[1]内部转账!$C:$C,"&lt;="&amp;$D4964,[1]内部转账!$E:$E,$G4964)-SUMIFS([1]内部转账!$G:$G,[1]内部转账!$C:$C,"&lt;="&amp;$D4964,[1]内部转账!$F:$F,$G4964)),"")</f>
        <v/>
      </c>
      <c r="M4964" s="64"/>
      <c r="N4964" s="69"/>
      <c r="O4964" s="64"/>
      <c r="P4964" s="64"/>
      <c r="Q4964" s="69"/>
      <c r="R4964" s="69"/>
      <c r="S4964" s="69"/>
    </row>
    <row r="4965" s="2" customFormat="1" ht="24.95" customHeight="1" spans="1:19">
      <c r="A4965" s="15"/>
      <c r="B4965" s="55"/>
      <c r="C4965" s="56"/>
      <c r="D4965" s="68"/>
      <c r="E4965" s="69"/>
      <c r="F4965" s="69"/>
      <c r="G4965" s="65"/>
      <c r="H4965" s="65"/>
      <c r="I4965" s="70"/>
      <c r="J4965" s="71"/>
      <c r="K4965" s="71"/>
      <c r="L4965" s="72" t="str">
        <f>IFERROR(IF(G4965="","",VLOOKUP($G4965,[1]基础信息!$B:$C,2,FALSE)+SUMIF(G$8:G4965,G4965,J$8:J4965)-SUMIF(G$8:G4965,G4965,K$8:K4965)+SUMIFS([1]内部转账!$G:$G,[1]内部转账!$C:$C,"&lt;="&amp;$D4965,[1]内部转账!$E:$E,$G4965)-SUMIFS([1]内部转账!$G:$G,[1]内部转账!$C:$C,"&lt;="&amp;$D4965,[1]内部转账!$F:$F,$G4965)),"")</f>
        <v/>
      </c>
      <c r="M4965" s="64"/>
      <c r="N4965" s="69"/>
      <c r="O4965" s="64"/>
      <c r="P4965" s="64"/>
      <c r="Q4965" s="69"/>
      <c r="R4965" s="69"/>
      <c r="S4965" s="69"/>
    </row>
    <row r="4966" s="2" customFormat="1" ht="24.95" customHeight="1" spans="1:19">
      <c r="A4966" s="15"/>
      <c r="B4966" s="55"/>
      <c r="C4966" s="56"/>
      <c r="D4966" s="68"/>
      <c r="E4966" s="69"/>
      <c r="F4966" s="69"/>
      <c r="G4966" s="65"/>
      <c r="H4966" s="65"/>
      <c r="I4966" s="70"/>
      <c r="J4966" s="71"/>
      <c r="K4966" s="71"/>
      <c r="L4966" s="72" t="str">
        <f>IFERROR(IF(G4966="","",VLOOKUP($G4966,[1]基础信息!$B:$C,2,FALSE)+SUMIF(G$8:G4966,G4966,J$8:J4966)-SUMIF(G$8:G4966,G4966,K$8:K4966)+SUMIFS([1]内部转账!$G:$G,[1]内部转账!$C:$C,"&lt;="&amp;$D4966,[1]内部转账!$E:$E,$G4966)-SUMIFS([1]内部转账!$G:$G,[1]内部转账!$C:$C,"&lt;="&amp;$D4966,[1]内部转账!$F:$F,$G4966)),"")</f>
        <v/>
      </c>
      <c r="M4966" s="64"/>
      <c r="N4966" s="69"/>
      <c r="O4966" s="64"/>
      <c r="P4966" s="64"/>
      <c r="Q4966" s="69"/>
      <c r="R4966" s="69"/>
      <c r="S4966" s="69"/>
    </row>
    <row r="4967" s="2" customFormat="1" ht="24.95" customHeight="1" spans="1:19">
      <c r="A4967" s="15"/>
      <c r="B4967" s="55"/>
      <c r="C4967" s="56"/>
      <c r="D4967" s="68"/>
      <c r="E4967" s="69"/>
      <c r="F4967" s="69"/>
      <c r="G4967" s="65"/>
      <c r="H4967" s="65"/>
      <c r="I4967" s="70"/>
      <c r="J4967" s="71"/>
      <c r="K4967" s="71"/>
      <c r="L4967" s="72" t="str">
        <f>IFERROR(IF(G4967="","",VLOOKUP($G4967,[1]基础信息!$B:$C,2,FALSE)+SUMIF(G$8:G4967,G4967,J$8:J4967)-SUMIF(G$8:G4967,G4967,K$8:K4967)+SUMIFS([1]内部转账!$G:$G,[1]内部转账!$C:$C,"&lt;="&amp;$D4967,[1]内部转账!$E:$E,$G4967)-SUMIFS([1]内部转账!$G:$G,[1]内部转账!$C:$C,"&lt;="&amp;$D4967,[1]内部转账!$F:$F,$G4967)),"")</f>
        <v/>
      </c>
      <c r="M4967" s="64"/>
      <c r="N4967" s="69"/>
      <c r="O4967" s="64"/>
      <c r="P4967" s="64"/>
      <c r="Q4967" s="69"/>
      <c r="R4967" s="69"/>
      <c r="S4967" s="69"/>
    </row>
    <row r="4968" s="2" customFormat="1" ht="24.95" customHeight="1" spans="1:19">
      <c r="A4968" s="15"/>
      <c r="B4968" s="55"/>
      <c r="C4968" s="56"/>
      <c r="D4968" s="68"/>
      <c r="E4968" s="69"/>
      <c r="F4968" s="69"/>
      <c r="G4968" s="65"/>
      <c r="H4968" s="65"/>
      <c r="I4968" s="70"/>
      <c r="J4968" s="71"/>
      <c r="K4968" s="71"/>
      <c r="L4968" s="72" t="str">
        <f>IFERROR(IF(G4968="","",VLOOKUP($G4968,[1]基础信息!$B:$C,2,FALSE)+SUMIF(G$8:G4968,G4968,J$8:J4968)-SUMIF(G$8:G4968,G4968,K$8:K4968)+SUMIFS([1]内部转账!$G:$G,[1]内部转账!$C:$C,"&lt;="&amp;$D4968,[1]内部转账!$E:$E,$G4968)-SUMIFS([1]内部转账!$G:$G,[1]内部转账!$C:$C,"&lt;="&amp;$D4968,[1]内部转账!$F:$F,$G4968)),"")</f>
        <v/>
      </c>
      <c r="M4968" s="64"/>
      <c r="N4968" s="69"/>
      <c r="O4968" s="64"/>
      <c r="P4968" s="64"/>
      <c r="Q4968" s="69"/>
      <c r="R4968" s="69"/>
      <c r="S4968" s="69"/>
    </row>
    <row r="4969" s="2" customFormat="1" ht="24.95" customHeight="1" spans="1:19">
      <c r="A4969" s="15"/>
      <c r="B4969" s="55"/>
      <c r="C4969" s="56"/>
      <c r="D4969" s="68"/>
      <c r="E4969" s="69"/>
      <c r="F4969" s="69"/>
      <c r="G4969" s="65"/>
      <c r="H4969" s="65"/>
      <c r="I4969" s="70"/>
      <c r="J4969" s="71"/>
      <c r="K4969" s="71"/>
      <c r="L4969" s="72" t="str">
        <f>IFERROR(IF(G4969="","",VLOOKUP($G4969,[1]基础信息!$B:$C,2,FALSE)+SUMIF(G$8:G4969,G4969,J$8:J4969)-SUMIF(G$8:G4969,G4969,K$8:K4969)+SUMIFS([1]内部转账!$G:$G,[1]内部转账!$C:$C,"&lt;="&amp;$D4969,[1]内部转账!$E:$E,$G4969)-SUMIFS([1]内部转账!$G:$G,[1]内部转账!$C:$C,"&lt;="&amp;$D4969,[1]内部转账!$F:$F,$G4969)),"")</f>
        <v/>
      </c>
      <c r="M4969" s="64"/>
      <c r="N4969" s="69"/>
      <c r="O4969" s="64"/>
      <c r="P4969" s="64"/>
      <c r="Q4969" s="69"/>
      <c r="R4969" s="69"/>
      <c r="S4969" s="69"/>
    </row>
    <row r="4970" s="2" customFormat="1" ht="24.95" customHeight="1" spans="1:19">
      <c r="A4970" s="15"/>
      <c r="B4970" s="55"/>
      <c r="C4970" s="56"/>
      <c r="D4970" s="68"/>
      <c r="E4970" s="69"/>
      <c r="F4970" s="69"/>
      <c r="G4970" s="65"/>
      <c r="H4970" s="65"/>
      <c r="I4970" s="70"/>
      <c r="J4970" s="71"/>
      <c r="K4970" s="71"/>
      <c r="L4970" s="72" t="str">
        <f>IFERROR(IF(G4970="","",VLOOKUP($G4970,[1]基础信息!$B:$C,2,FALSE)+SUMIF(G$8:G4970,G4970,J$8:J4970)-SUMIF(G$8:G4970,G4970,K$8:K4970)+SUMIFS([1]内部转账!$G:$G,[1]内部转账!$C:$C,"&lt;="&amp;$D4970,[1]内部转账!$E:$E,$G4970)-SUMIFS([1]内部转账!$G:$G,[1]内部转账!$C:$C,"&lt;="&amp;$D4970,[1]内部转账!$F:$F,$G4970)),"")</f>
        <v/>
      </c>
      <c r="M4970" s="64"/>
      <c r="N4970" s="69"/>
      <c r="O4970" s="64"/>
      <c r="P4970" s="64"/>
      <c r="Q4970" s="69"/>
      <c r="R4970" s="69"/>
      <c r="S4970" s="69"/>
    </row>
    <row r="4971" s="2" customFormat="1" ht="24.95" customHeight="1" spans="1:19">
      <c r="A4971" s="15"/>
      <c r="B4971" s="55"/>
      <c r="C4971" s="56"/>
      <c r="D4971" s="68"/>
      <c r="E4971" s="69"/>
      <c r="F4971" s="69"/>
      <c r="G4971" s="65"/>
      <c r="H4971" s="65"/>
      <c r="I4971" s="70"/>
      <c r="J4971" s="71"/>
      <c r="K4971" s="71"/>
      <c r="L4971" s="72" t="str">
        <f>IFERROR(IF(G4971="","",VLOOKUP($G4971,[1]基础信息!$B:$C,2,FALSE)+SUMIF(G$8:G4971,G4971,J$8:J4971)-SUMIF(G$8:G4971,G4971,K$8:K4971)+SUMIFS([1]内部转账!$G:$G,[1]内部转账!$C:$C,"&lt;="&amp;$D4971,[1]内部转账!$E:$E,$G4971)-SUMIFS([1]内部转账!$G:$G,[1]内部转账!$C:$C,"&lt;="&amp;$D4971,[1]内部转账!$F:$F,$G4971)),"")</f>
        <v/>
      </c>
      <c r="M4971" s="64"/>
      <c r="N4971" s="69"/>
      <c r="O4971" s="64"/>
      <c r="P4971" s="64"/>
      <c r="Q4971" s="69"/>
      <c r="R4971" s="69"/>
      <c r="S4971" s="69"/>
    </row>
    <row r="4972" s="2" customFormat="1" ht="24.95" customHeight="1" spans="1:19">
      <c r="A4972" s="15"/>
      <c r="B4972" s="55"/>
      <c r="C4972" s="56"/>
      <c r="D4972" s="68"/>
      <c r="E4972" s="69"/>
      <c r="F4972" s="69"/>
      <c r="G4972" s="65"/>
      <c r="H4972" s="65"/>
      <c r="I4972" s="70"/>
      <c r="J4972" s="71"/>
      <c r="K4972" s="71"/>
      <c r="L4972" s="72" t="str">
        <f>IFERROR(IF(G4972="","",VLOOKUP($G4972,[1]基础信息!$B:$C,2,FALSE)+SUMIF(G$8:G4972,G4972,J$8:J4972)-SUMIF(G$8:G4972,G4972,K$8:K4972)+SUMIFS([1]内部转账!$G:$G,[1]内部转账!$C:$C,"&lt;="&amp;$D4972,[1]内部转账!$E:$E,$G4972)-SUMIFS([1]内部转账!$G:$G,[1]内部转账!$C:$C,"&lt;="&amp;$D4972,[1]内部转账!$F:$F,$G4972)),"")</f>
        <v/>
      </c>
      <c r="M4972" s="64"/>
      <c r="N4972" s="69"/>
      <c r="O4972" s="64"/>
      <c r="P4972" s="64"/>
      <c r="Q4972" s="69"/>
      <c r="R4972" s="69"/>
      <c r="S4972" s="69"/>
    </row>
    <row r="4973" s="2" customFormat="1" ht="24.95" customHeight="1" spans="1:19">
      <c r="A4973" s="15"/>
      <c r="B4973" s="55"/>
      <c r="C4973" s="56"/>
      <c r="D4973" s="68"/>
      <c r="E4973" s="69"/>
      <c r="F4973" s="69"/>
      <c r="G4973" s="65"/>
      <c r="H4973" s="65"/>
      <c r="I4973" s="70"/>
      <c r="J4973" s="71"/>
      <c r="K4973" s="71"/>
      <c r="L4973" s="72" t="str">
        <f>IFERROR(IF(G4973="","",VLOOKUP($G4973,[1]基础信息!$B:$C,2,FALSE)+SUMIF(G$8:G4973,G4973,J$8:J4973)-SUMIF(G$8:G4973,G4973,K$8:K4973)+SUMIFS([1]内部转账!$G:$G,[1]内部转账!$C:$C,"&lt;="&amp;$D4973,[1]内部转账!$E:$E,$G4973)-SUMIFS([1]内部转账!$G:$G,[1]内部转账!$C:$C,"&lt;="&amp;$D4973,[1]内部转账!$F:$F,$G4973)),"")</f>
        <v/>
      </c>
      <c r="M4973" s="64"/>
      <c r="N4973" s="69"/>
      <c r="O4973" s="64"/>
      <c r="P4973" s="64"/>
      <c r="Q4973" s="69"/>
      <c r="R4973" s="69"/>
      <c r="S4973" s="69"/>
    </row>
    <row r="4974" s="2" customFormat="1" ht="24.95" customHeight="1" spans="1:19">
      <c r="A4974" s="15"/>
      <c r="B4974" s="55"/>
      <c r="C4974" s="56"/>
      <c r="D4974" s="68"/>
      <c r="E4974" s="69"/>
      <c r="F4974" s="69"/>
      <c r="G4974" s="65"/>
      <c r="H4974" s="65"/>
      <c r="I4974" s="70"/>
      <c r="J4974" s="71"/>
      <c r="K4974" s="71"/>
      <c r="L4974" s="72" t="str">
        <f>IFERROR(IF(G4974="","",VLOOKUP($G4974,[1]基础信息!$B:$C,2,FALSE)+SUMIF(G$8:G4974,G4974,J$8:J4974)-SUMIF(G$8:G4974,G4974,K$8:K4974)+SUMIFS([1]内部转账!$G:$G,[1]内部转账!$C:$C,"&lt;="&amp;$D4974,[1]内部转账!$E:$E,$G4974)-SUMIFS([1]内部转账!$G:$G,[1]内部转账!$C:$C,"&lt;="&amp;$D4974,[1]内部转账!$F:$F,$G4974)),"")</f>
        <v/>
      </c>
      <c r="M4974" s="64"/>
      <c r="N4974" s="69"/>
      <c r="O4974" s="64"/>
      <c r="P4974" s="64"/>
      <c r="Q4974" s="69"/>
      <c r="R4974" s="69"/>
      <c r="S4974" s="69"/>
    </row>
    <row r="4975" s="2" customFormat="1" ht="24.95" customHeight="1" spans="1:19">
      <c r="A4975" s="15"/>
      <c r="B4975" s="55"/>
      <c r="C4975" s="56"/>
      <c r="D4975" s="68"/>
      <c r="E4975" s="69"/>
      <c r="F4975" s="69"/>
      <c r="G4975" s="65"/>
      <c r="H4975" s="65"/>
      <c r="I4975" s="70"/>
      <c r="J4975" s="71"/>
      <c r="K4975" s="71"/>
      <c r="L4975" s="72" t="str">
        <f>IFERROR(IF(G4975="","",VLOOKUP($G4975,[1]基础信息!$B:$C,2,FALSE)+SUMIF(G$8:G4975,G4975,J$8:J4975)-SUMIF(G$8:G4975,G4975,K$8:K4975)+SUMIFS([1]内部转账!$G:$G,[1]内部转账!$C:$C,"&lt;="&amp;$D4975,[1]内部转账!$E:$E,$G4975)-SUMIFS([1]内部转账!$G:$G,[1]内部转账!$C:$C,"&lt;="&amp;$D4975,[1]内部转账!$F:$F,$G4975)),"")</f>
        <v/>
      </c>
      <c r="M4975" s="64"/>
      <c r="N4975" s="69"/>
      <c r="O4975" s="64"/>
      <c r="P4975" s="64"/>
      <c r="Q4975" s="69"/>
      <c r="R4975" s="69"/>
      <c r="S4975" s="69"/>
    </row>
    <row r="4976" s="2" customFormat="1" ht="24.95" customHeight="1" spans="1:19">
      <c r="A4976" s="15"/>
      <c r="B4976" s="55"/>
      <c r="C4976" s="56"/>
      <c r="D4976" s="68"/>
      <c r="E4976" s="69"/>
      <c r="F4976" s="69"/>
      <c r="G4976" s="65"/>
      <c r="H4976" s="65"/>
      <c r="I4976" s="70"/>
      <c r="J4976" s="71"/>
      <c r="K4976" s="71"/>
      <c r="L4976" s="72" t="str">
        <f>IFERROR(IF(G4976="","",VLOOKUP($G4976,[1]基础信息!$B:$C,2,FALSE)+SUMIF(G$8:G4976,G4976,J$8:J4976)-SUMIF(G$8:G4976,G4976,K$8:K4976)+SUMIFS([1]内部转账!$G:$G,[1]内部转账!$C:$C,"&lt;="&amp;$D4976,[1]内部转账!$E:$E,$G4976)-SUMIFS([1]内部转账!$G:$G,[1]内部转账!$C:$C,"&lt;="&amp;$D4976,[1]内部转账!$F:$F,$G4976)),"")</f>
        <v/>
      </c>
      <c r="M4976" s="64"/>
      <c r="N4976" s="69"/>
      <c r="O4976" s="64"/>
      <c r="P4976" s="64"/>
      <c r="Q4976" s="69"/>
      <c r="R4976" s="69"/>
      <c r="S4976" s="69"/>
    </row>
    <row r="4977" s="2" customFormat="1" ht="24.95" customHeight="1" spans="1:19">
      <c r="A4977" s="15"/>
      <c r="B4977" s="55"/>
      <c r="C4977" s="56"/>
      <c r="D4977" s="68"/>
      <c r="E4977" s="69"/>
      <c r="F4977" s="69"/>
      <c r="G4977" s="65"/>
      <c r="H4977" s="65"/>
      <c r="I4977" s="70"/>
      <c r="J4977" s="71"/>
      <c r="K4977" s="71"/>
      <c r="L4977" s="72" t="str">
        <f>IFERROR(IF(G4977="","",VLOOKUP($G4977,[1]基础信息!$B:$C,2,FALSE)+SUMIF(G$8:G4977,G4977,J$8:J4977)-SUMIF(G$8:G4977,G4977,K$8:K4977)+SUMIFS([1]内部转账!$G:$G,[1]内部转账!$C:$C,"&lt;="&amp;$D4977,[1]内部转账!$E:$E,$G4977)-SUMIFS([1]内部转账!$G:$G,[1]内部转账!$C:$C,"&lt;="&amp;$D4977,[1]内部转账!$F:$F,$G4977)),"")</f>
        <v/>
      </c>
      <c r="M4977" s="64"/>
      <c r="N4977" s="69"/>
      <c r="O4977" s="64"/>
      <c r="P4977" s="64"/>
      <c r="Q4977" s="69"/>
      <c r="R4977" s="69"/>
      <c r="S4977" s="69"/>
    </row>
    <row r="4978" s="2" customFormat="1" ht="24.95" customHeight="1" spans="1:19">
      <c r="A4978" s="15"/>
      <c r="B4978" s="55"/>
      <c r="C4978" s="56"/>
      <c r="D4978" s="68"/>
      <c r="E4978" s="69"/>
      <c r="F4978" s="69"/>
      <c r="G4978" s="65"/>
      <c r="H4978" s="65"/>
      <c r="I4978" s="70"/>
      <c r="J4978" s="71"/>
      <c r="K4978" s="71"/>
      <c r="L4978" s="72" t="str">
        <f>IFERROR(IF(G4978="","",VLOOKUP($G4978,[1]基础信息!$B:$C,2,FALSE)+SUMIF(G$8:G4978,G4978,J$8:J4978)-SUMIF(G$8:G4978,G4978,K$8:K4978)+SUMIFS([1]内部转账!$G:$G,[1]内部转账!$C:$C,"&lt;="&amp;$D4978,[1]内部转账!$E:$E,$G4978)-SUMIFS([1]内部转账!$G:$G,[1]内部转账!$C:$C,"&lt;="&amp;$D4978,[1]内部转账!$F:$F,$G4978)),"")</f>
        <v/>
      </c>
      <c r="M4978" s="64"/>
      <c r="N4978" s="69"/>
      <c r="O4978" s="64"/>
      <c r="P4978" s="64"/>
      <c r="Q4978" s="69"/>
      <c r="R4978" s="69"/>
      <c r="S4978" s="69"/>
    </row>
    <row r="4979" s="2" customFormat="1" ht="24.95" customHeight="1" spans="1:19">
      <c r="A4979" s="15"/>
      <c r="B4979" s="55"/>
      <c r="C4979" s="56"/>
      <c r="D4979" s="68"/>
      <c r="E4979" s="69"/>
      <c r="F4979" s="69"/>
      <c r="G4979" s="65"/>
      <c r="H4979" s="65"/>
      <c r="I4979" s="70"/>
      <c r="J4979" s="71"/>
      <c r="K4979" s="71"/>
      <c r="L4979" s="72" t="str">
        <f>IFERROR(IF(G4979="","",VLOOKUP($G4979,[1]基础信息!$B:$C,2,FALSE)+SUMIF(G$8:G4979,G4979,J$8:J4979)-SUMIF(G$8:G4979,G4979,K$8:K4979)+SUMIFS([1]内部转账!$G:$G,[1]内部转账!$C:$C,"&lt;="&amp;$D4979,[1]内部转账!$E:$E,$G4979)-SUMIFS([1]内部转账!$G:$G,[1]内部转账!$C:$C,"&lt;="&amp;$D4979,[1]内部转账!$F:$F,$G4979)),"")</f>
        <v/>
      </c>
      <c r="M4979" s="64"/>
      <c r="N4979" s="69"/>
      <c r="O4979" s="64"/>
      <c r="P4979" s="64"/>
      <c r="Q4979" s="69"/>
      <c r="R4979" s="69"/>
      <c r="S4979" s="69"/>
    </row>
    <row r="4980" s="2" customFormat="1" ht="24.95" customHeight="1" spans="1:19">
      <c r="A4980" s="15"/>
      <c r="B4980" s="55"/>
      <c r="C4980" s="56"/>
      <c r="D4980" s="68"/>
      <c r="E4980" s="69"/>
      <c r="F4980" s="69"/>
      <c r="G4980" s="65"/>
      <c r="H4980" s="65"/>
      <c r="I4980" s="70"/>
      <c r="J4980" s="71"/>
      <c r="K4980" s="71"/>
      <c r="L4980" s="72" t="str">
        <f>IFERROR(IF(G4980="","",VLOOKUP($G4980,[1]基础信息!$B:$C,2,FALSE)+SUMIF(G$8:G4980,G4980,J$8:J4980)-SUMIF(G$8:G4980,G4980,K$8:K4980)+SUMIFS([1]内部转账!$G:$G,[1]内部转账!$C:$C,"&lt;="&amp;$D4980,[1]内部转账!$E:$E,$G4980)-SUMIFS([1]内部转账!$G:$G,[1]内部转账!$C:$C,"&lt;="&amp;$D4980,[1]内部转账!$F:$F,$G4980)),"")</f>
        <v/>
      </c>
      <c r="M4980" s="64"/>
      <c r="N4980" s="69"/>
      <c r="O4980" s="64"/>
      <c r="P4980" s="64"/>
      <c r="Q4980" s="69"/>
      <c r="R4980" s="69"/>
      <c r="S4980" s="69"/>
    </row>
    <row r="4981" s="2" customFormat="1" ht="24.95" customHeight="1" spans="1:19">
      <c r="A4981" s="15"/>
      <c r="B4981" s="55"/>
      <c r="C4981" s="56"/>
      <c r="D4981" s="68"/>
      <c r="E4981" s="69"/>
      <c r="F4981" s="69"/>
      <c r="G4981" s="65"/>
      <c r="H4981" s="65"/>
      <c r="I4981" s="70"/>
      <c r="J4981" s="71"/>
      <c r="K4981" s="71"/>
      <c r="L4981" s="72" t="str">
        <f>IFERROR(IF(G4981="","",VLOOKUP($G4981,[1]基础信息!$B:$C,2,FALSE)+SUMIF(G$8:G4981,G4981,J$8:J4981)-SUMIF(G$8:G4981,G4981,K$8:K4981)+SUMIFS([1]内部转账!$G:$G,[1]内部转账!$C:$C,"&lt;="&amp;$D4981,[1]内部转账!$E:$E,$G4981)-SUMIFS([1]内部转账!$G:$G,[1]内部转账!$C:$C,"&lt;="&amp;$D4981,[1]内部转账!$F:$F,$G4981)),"")</f>
        <v/>
      </c>
      <c r="M4981" s="64"/>
      <c r="N4981" s="69"/>
      <c r="O4981" s="64"/>
      <c r="P4981" s="64"/>
      <c r="Q4981" s="69"/>
      <c r="R4981" s="69"/>
      <c r="S4981" s="69"/>
    </row>
    <row r="4982" s="2" customFormat="1" ht="24.95" customHeight="1" spans="1:19">
      <c r="A4982" s="15"/>
      <c r="B4982" s="55"/>
      <c r="C4982" s="56"/>
      <c r="D4982" s="68"/>
      <c r="E4982" s="69"/>
      <c r="F4982" s="69"/>
      <c r="G4982" s="65"/>
      <c r="H4982" s="65"/>
      <c r="I4982" s="70"/>
      <c r="J4982" s="71"/>
      <c r="K4982" s="71"/>
      <c r="L4982" s="72" t="str">
        <f>IFERROR(IF(G4982="","",VLOOKUP($G4982,[1]基础信息!$B:$C,2,FALSE)+SUMIF(G$8:G4982,G4982,J$8:J4982)-SUMIF(G$8:G4982,G4982,K$8:K4982)+SUMIFS([1]内部转账!$G:$G,[1]内部转账!$C:$C,"&lt;="&amp;$D4982,[1]内部转账!$E:$E,$G4982)-SUMIFS([1]内部转账!$G:$G,[1]内部转账!$C:$C,"&lt;="&amp;$D4982,[1]内部转账!$F:$F,$G4982)),"")</f>
        <v/>
      </c>
      <c r="M4982" s="64"/>
      <c r="N4982" s="69"/>
      <c r="O4982" s="64"/>
      <c r="P4982" s="64"/>
      <c r="Q4982" s="69"/>
      <c r="R4982" s="69"/>
      <c r="S4982" s="69"/>
    </row>
    <row r="4983" s="2" customFormat="1" ht="24.95" customHeight="1" spans="1:19">
      <c r="A4983" s="15"/>
      <c r="B4983" s="55"/>
      <c r="C4983" s="56"/>
      <c r="D4983" s="68"/>
      <c r="E4983" s="69"/>
      <c r="F4983" s="69"/>
      <c r="G4983" s="65"/>
      <c r="H4983" s="65"/>
      <c r="I4983" s="70"/>
      <c r="J4983" s="71"/>
      <c r="K4983" s="71"/>
      <c r="L4983" s="72" t="str">
        <f>IFERROR(IF(G4983="","",VLOOKUP($G4983,[1]基础信息!$B:$C,2,FALSE)+SUMIF(G$8:G4983,G4983,J$8:J4983)-SUMIF(G$8:G4983,G4983,K$8:K4983)+SUMIFS([1]内部转账!$G:$G,[1]内部转账!$C:$C,"&lt;="&amp;$D4983,[1]内部转账!$E:$E,$G4983)-SUMIFS([1]内部转账!$G:$G,[1]内部转账!$C:$C,"&lt;="&amp;$D4983,[1]内部转账!$F:$F,$G4983)),"")</f>
        <v/>
      </c>
      <c r="M4983" s="64"/>
      <c r="N4983" s="69"/>
      <c r="O4983" s="64"/>
      <c r="P4983" s="64"/>
      <c r="Q4983" s="69"/>
      <c r="R4983" s="69"/>
      <c r="S4983" s="69"/>
    </row>
    <row r="4984" s="2" customFormat="1" ht="24.95" customHeight="1" spans="1:19">
      <c r="A4984" s="15"/>
      <c r="B4984" s="55"/>
      <c r="C4984" s="56"/>
      <c r="D4984" s="68"/>
      <c r="E4984" s="69"/>
      <c r="F4984" s="69"/>
      <c r="G4984" s="65"/>
      <c r="H4984" s="65"/>
      <c r="I4984" s="70"/>
      <c r="J4984" s="71"/>
      <c r="K4984" s="71"/>
      <c r="L4984" s="72" t="str">
        <f>IFERROR(IF(G4984="","",VLOOKUP($G4984,[1]基础信息!$B:$C,2,FALSE)+SUMIF(G$8:G4984,G4984,J$8:J4984)-SUMIF(G$8:G4984,G4984,K$8:K4984)+SUMIFS([1]内部转账!$G:$G,[1]内部转账!$C:$C,"&lt;="&amp;$D4984,[1]内部转账!$E:$E,$G4984)-SUMIFS([1]内部转账!$G:$G,[1]内部转账!$C:$C,"&lt;="&amp;$D4984,[1]内部转账!$F:$F,$G4984)),"")</f>
        <v/>
      </c>
      <c r="M4984" s="64"/>
      <c r="N4984" s="69"/>
      <c r="O4984" s="64"/>
      <c r="P4984" s="64"/>
      <c r="Q4984" s="69"/>
      <c r="R4984" s="69"/>
      <c r="S4984" s="69"/>
    </row>
    <row r="4985" s="2" customFormat="1" ht="24.95" customHeight="1" spans="1:19">
      <c r="A4985" s="15"/>
      <c r="B4985" s="55"/>
      <c r="C4985" s="56"/>
      <c r="D4985" s="68"/>
      <c r="E4985" s="69"/>
      <c r="F4985" s="69"/>
      <c r="G4985" s="65"/>
      <c r="H4985" s="65"/>
      <c r="I4985" s="70"/>
      <c r="J4985" s="71"/>
      <c r="K4985" s="71"/>
      <c r="L4985" s="72" t="str">
        <f>IFERROR(IF(G4985="","",VLOOKUP($G4985,[1]基础信息!$B:$C,2,FALSE)+SUMIF(G$8:G4985,G4985,J$8:J4985)-SUMIF(G$8:G4985,G4985,K$8:K4985)+SUMIFS([1]内部转账!$G:$G,[1]内部转账!$C:$C,"&lt;="&amp;$D4985,[1]内部转账!$E:$E,$G4985)-SUMIFS([1]内部转账!$G:$G,[1]内部转账!$C:$C,"&lt;="&amp;$D4985,[1]内部转账!$F:$F,$G4985)),"")</f>
        <v/>
      </c>
      <c r="M4985" s="64"/>
      <c r="N4985" s="69"/>
      <c r="O4985" s="64"/>
      <c r="P4985" s="64"/>
      <c r="Q4985" s="69"/>
      <c r="R4985" s="69"/>
      <c r="S4985" s="69"/>
    </row>
    <row r="4986" s="2" customFormat="1" ht="24.95" customHeight="1" spans="1:19">
      <c r="A4986" s="15"/>
      <c r="B4986" s="55"/>
      <c r="C4986" s="56"/>
      <c r="D4986" s="68"/>
      <c r="E4986" s="69"/>
      <c r="F4986" s="69"/>
      <c r="G4986" s="65"/>
      <c r="H4986" s="65"/>
      <c r="I4986" s="70"/>
      <c r="J4986" s="71"/>
      <c r="K4986" s="71"/>
      <c r="L4986" s="72" t="str">
        <f>IFERROR(IF(G4986="","",VLOOKUP($G4986,[1]基础信息!$B:$C,2,FALSE)+SUMIF(G$8:G4986,G4986,J$8:J4986)-SUMIF(G$8:G4986,G4986,K$8:K4986)+SUMIFS([1]内部转账!$G:$G,[1]内部转账!$C:$C,"&lt;="&amp;$D4986,[1]内部转账!$E:$E,$G4986)-SUMIFS([1]内部转账!$G:$G,[1]内部转账!$C:$C,"&lt;="&amp;$D4986,[1]内部转账!$F:$F,$G4986)),"")</f>
        <v/>
      </c>
      <c r="M4986" s="64"/>
      <c r="N4986" s="69"/>
      <c r="O4986" s="64"/>
      <c r="P4986" s="64"/>
      <c r="Q4986" s="69"/>
      <c r="R4986" s="69"/>
      <c r="S4986" s="69"/>
    </row>
    <row r="4987" s="2" customFormat="1" ht="24.95" customHeight="1" spans="1:19">
      <c r="A4987" s="15"/>
      <c r="B4987" s="55"/>
      <c r="C4987" s="56"/>
      <c r="D4987" s="68"/>
      <c r="E4987" s="69"/>
      <c r="F4987" s="69"/>
      <c r="G4987" s="65"/>
      <c r="H4987" s="65"/>
      <c r="I4987" s="70"/>
      <c r="J4987" s="71"/>
      <c r="K4987" s="71"/>
      <c r="L4987" s="72" t="str">
        <f>IFERROR(IF(G4987="","",VLOOKUP($G4987,[1]基础信息!$B:$C,2,FALSE)+SUMIF(G$8:G4987,G4987,J$8:J4987)-SUMIF(G$8:G4987,G4987,K$8:K4987)+SUMIFS([1]内部转账!$G:$G,[1]内部转账!$C:$C,"&lt;="&amp;$D4987,[1]内部转账!$E:$E,$G4987)-SUMIFS([1]内部转账!$G:$G,[1]内部转账!$C:$C,"&lt;="&amp;$D4987,[1]内部转账!$F:$F,$G4987)),"")</f>
        <v/>
      </c>
      <c r="M4987" s="64"/>
      <c r="N4987" s="69"/>
      <c r="O4987" s="64"/>
      <c r="P4987" s="64"/>
      <c r="Q4987" s="69"/>
      <c r="R4987" s="69"/>
      <c r="S4987" s="69"/>
    </row>
    <row r="4988" s="2" customFormat="1" ht="24.95" customHeight="1" spans="1:19">
      <c r="A4988" s="15"/>
      <c r="B4988" s="55"/>
      <c r="C4988" s="56"/>
      <c r="D4988" s="68"/>
      <c r="E4988" s="69"/>
      <c r="F4988" s="69"/>
      <c r="G4988" s="65"/>
      <c r="H4988" s="65"/>
      <c r="I4988" s="70"/>
      <c r="J4988" s="71"/>
      <c r="K4988" s="71"/>
      <c r="L4988" s="72" t="str">
        <f>IFERROR(IF(G4988="","",VLOOKUP($G4988,[1]基础信息!$B:$C,2,FALSE)+SUMIF(G$8:G4988,G4988,J$8:J4988)-SUMIF(G$8:G4988,G4988,K$8:K4988)+SUMIFS([1]内部转账!$G:$G,[1]内部转账!$C:$C,"&lt;="&amp;$D4988,[1]内部转账!$E:$E,$G4988)-SUMIFS([1]内部转账!$G:$G,[1]内部转账!$C:$C,"&lt;="&amp;$D4988,[1]内部转账!$F:$F,$G4988)),"")</f>
        <v/>
      </c>
      <c r="M4988" s="64"/>
      <c r="N4988" s="69"/>
      <c r="O4988" s="64"/>
      <c r="P4988" s="64"/>
      <c r="Q4988" s="69"/>
      <c r="R4988" s="69"/>
      <c r="S4988" s="69"/>
    </row>
    <row r="4989" s="2" customFormat="1" ht="24.95" customHeight="1" spans="1:19">
      <c r="A4989" s="15"/>
      <c r="B4989" s="55"/>
      <c r="C4989" s="56"/>
      <c r="D4989" s="68"/>
      <c r="E4989" s="69"/>
      <c r="F4989" s="69"/>
      <c r="G4989" s="65"/>
      <c r="H4989" s="65"/>
      <c r="I4989" s="70"/>
      <c r="J4989" s="71"/>
      <c r="K4989" s="71"/>
      <c r="L4989" s="72" t="str">
        <f>IFERROR(IF(G4989="","",VLOOKUP($G4989,[1]基础信息!$B:$C,2,FALSE)+SUMIF(G$8:G4989,G4989,J$8:J4989)-SUMIF(G$8:G4989,G4989,K$8:K4989)+SUMIFS([1]内部转账!$G:$G,[1]内部转账!$C:$C,"&lt;="&amp;$D4989,[1]内部转账!$E:$E,$G4989)-SUMIFS([1]内部转账!$G:$G,[1]内部转账!$C:$C,"&lt;="&amp;$D4989,[1]内部转账!$F:$F,$G4989)),"")</f>
        <v/>
      </c>
      <c r="M4989" s="64"/>
      <c r="N4989" s="69"/>
      <c r="O4989" s="64"/>
      <c r="P4989" s="64"/>
      <c r="Q4989" s="69"/>
      <c r="R4989" s="69"/>
      <c r="S4989" s="69"/>
    </row>
    <row r="4990" s="2" customFormat="1" ht="24.95" customHeight="1" spans="1:19">
      <c r="A4990" s="15"/>
      <c r="B4990" s="55"/>
      <c r="C4990" s="56"/>
      <c r="D4990" s="68"/>
      <c r="E4990" s="69"/>
      <c r="F4990" s="69"/>
      <c r="G4990" s="65"/>
      <c r="H4990" s="65"/>
      <c r="I4990" s="70"/>
      <c r="J4990" s="71"/>
      <c r="K4990" s="71"/>
      <c r="L4990" s="72" t="str">
        <f>IFERROR(IF(G4990="","",VLOOKUP($G4990,[1]基础信息!$B:$C,2,FALSE)+SUMIF(G$8:G4990,G4990,J$8:J4990)-SUMIF(G$8:G4990,G4990,K$8:K4990)+SUMIFS([1]内部转账!$G:$G,[1]内部转账!$C:$C,"&lt;="&amp;$D4990,[1]内部转账!$E:$E,$G4990)-SUMIFS([1]内部转账!$G:$G,[1]内部转账!$C:$C,"&lt;="&amp;$D4990,[1]内部转账!$F:$F,$G4990)),"")</f>
        <v/>
      </c>
      <c r="M4990" s="64"/>
      <c r="N4990" s="69"/>
      <c r="O4990" s="64"/>
      <c r="P4990" s="64"/>
      <c r="Q4990" s="69"/>
      <c r="R4990" s="69"/>
      <c r="S4990" s="69"/>
    </row>
    <row r="4991" s="2" customFormat="1" ht="24.95" customHeight="1" spans="1:19">
      <c r="A4991" s="15"/>
      <c r="B4991" s="55"/>
      <c r="C4991" s="56"/>
      <c r="D4991" s="68"/>
      <c r="E4991" s="69"/>
      <c r="F4991" s="69"/>
      <c r="G4991" s="65"/>
      <c r="H4991" s="65"/>
      <c r="I4991" s="70"/>
      <c r="J4991" s="71"/>
      <c r="K4991" s="71"/>
      <c r="L4991" s="72" t="str">
        <f>IFERROR(IF(G4991="","",VLOOKUP($G4991,[1]基础信息!$B:$C,2,FALSE)+SUMIF(G$8:G4991,G4991,J$8:J4991)-SUMIF(G$8:G4991,G4991,K$8:K4991)+SUMIFS([1]内部转账!$G:$G,[1]内部转账!$C:$C,"&lt;="&amp;$D4991,[1]内部转账!$E:$E,$G4991)-SUMIFS([1]内部转账!$G:$G,[1]内部转账!$C:$C,"&lt;="&amp;$D4991,[1]内部转账!$F:$F,$G4991)),"")</f>
        <v/>
      </c>
      <c r="M4991" s="64"/>
      <c r="N4991" s="69"/>
      <c r="O4991" s="64"/>
      <c r="P4991" s="64"/>
      <c r="Q4991" s="69"/>
      <c r="R4991" s="69"/>
      <c r="S4991" s="69"/>
    </row>
    <row r="4992" s="2" customFormat="1" ht="24.95" customHeight="1" spans="1:19">
      <c r="A4992" s="15"/>
      <c r="B4992" s="55"/>
      <c r="C4992" s="56"/>
      <c r="D4992" s="68"/>
      <c r="E4992" s="69"/>
      <c r="F4992" s="69"/>
      <c r="G4992" s="65"/>
      <c r="H4992" s="65"/>
      <c r="I4992" s="70"/>
      <c r="J4992" s="71"/>
      <c r="K4992" s="71"/>
      <c r="L4992" s="72" t="str">
        <f>IFERROR(IF(G4992="","",VLOOKUP($G4992,[1]基础信息!$B:$C,2,FALSE)+SUMIF(G$8:G4992,G4992,J$8:J4992)-SUMIF(G$8:G4992,G4992,K$8:K4992)+SUMIFS([1]内部转账!$G:$G,[1]内部转账!$C:$C,"&lt;="&amp;$D4992,[1]内部转账!$E:$E,$G4992)-SUMIFS([1]内部转账!$G:$G,[1]内部转账!$C:$C,"&lt;="&amp;$D4992,[1]内部转账!$F:$F,$G4992)),"")</f>
        <v/>
      </c>
      <c r="M4992" s="64"/>
      <c r="N4992" s="69"/>
      <c r="O4992" s="64"/>
      <c r="P4992" s="64"/>
      <c r="Q4992" s="69"/>
      <c r="R4992" s="69"/>
      <c r="S4992" s="69"/>
    </row>
    <row r="4993" s="2" customFormat="1" ht="24.95" customHeight="1" spans="1:19">
      <c r="A4993" s="15"/>
      <c r="B4993" s="55"/>
      <c r="C4993" s="56"/>
      <c r="D4993" s="68"/>
      <c r="E4993" s="69"/>
      <c r="F4993" s="69"/>
      <c r="G4993" s="65"/>
      <c r="H4993" s="65"/>
      <c r="I4993" s="70"/>
      <c r="J4993" s="71"/>
      <c r="K4993" s="71"/>
      <c r="L4993" s="72" t="str">
        <f>IFERROR(IF(G4993="","",VLOOKUP($G4993,[1]基础信息!$B:$C,2,FALSE)+SUMIF(G$8:G4993,G4993,J$8:J4993)-SUMIF(G$8:G4993,G4993,K$8:K4993)+SUMIFS([1]内部转账!$G:$G,[1]内部转账!$C:$C,"&lt;="&amp;$D4993,[1]内部转账!$E:$E,$G4993)-SUMIFS([1]内部转账!$G:$G,[1]内部转账!$C:$C,"&lt;="&amp;$D4993,[1]内部转账!$F:$F,$G4993)),"")</f>
        <v/>
      </c>
      <c r="M4993" s="64"/>
      <c r="N4993" s="69"/>
      <c r="O4993" s="64"/>
      <c r="P4993" s="64"/>
      <c r="Q4993" s="69"/>
      <c r="R4993" s="69"/>
      <c r="S4993" s="69"/>
    </row>
    <row r="4994" s="2" customFormat="1" ht="24.95" customHeight="1" spans="1:19">
      <c r="A4994" s="15"/>
      <c r="B4994" s="55"/>
      <c r="C4994" s="56"/>
      <c r="D4994" s="68"/>
      <c r="E4994" s="69"/>
      <c r="F4994" s="69"/>
      <c r="G4994" s="65"/>
      <c r="H4994" s="65"/>
      <c r="I4994" s="70"/>
      <c r="J4994" s="71"/>
      <c r="K4994" s="71"/>
      <c r="L4994" s="72" t="str">
        <f>IFERROR(IF(G4994="","",VLOOKUP($G4994,[1]基础信息!$B:$C,2,FALSE)+SUMIF(G$8:G4994,G4994,J$8:J4994)-SUMIF(G$8:G4994,G4994,K$8:K4994)+SUMIFS([1]内部转账!$G:$G,[1]内部转账!$C:$C,"&lt;="&amp;$D4994,[1]内部转账!$E:$E,$G4994)-SUMIFS([1]内部转账!$G:$G,[1]内部转账!$C:$C,"&lt;="&amp;$D4994,[1]内部转账!$F:$F,$G4994)),"")</f>
        <v/>
      </c>
      <c r="M4994" s="64"/>
      <c r="N4994" s="69"/>
      <c r="O4994" s="64"/>
      <c r="P4994" s="64"/>
      <c r="Q4994" s="69"/>
      <c r="R4994" s="69"/>
      <c r="S4994" s="69"/>
    </row>
    <row r="4995" s="2" customFormat="1" ht="24.95" customHeight="1" spans="1:19">
      <c r="A4995" s="15"/>
      <c r="B4995" s="55"/>
      <c r="C4995" s="56"/>
      <c r="D4995" s="68"/>
      <c r="E4995" s="69"/>
      <c r="F4995" s="69"/>
      <c r="G4995" s="65"/>
      <c r="H4995" s="65"/>
      <c r="I4995" s="70"/>
      <c r="J4995" s="71"/>
      <c r="K4995" s="71"/>
      <c r="L4995" s="72" t="str">
        <f>IFERROR(IF(G4995="","",VLOOKUP($G4995,[1]基础信息!$B:$C,2,FALSE)+SUMIF(G$8:G4995,G4995,J$8:J4995)-SUMIF(G$8:G4995,G4995,K$8:K4995)+SUMIFS([1]内部转账!$G:$G,[1]内部转账!$C:$C,"&lt;="&amp;$D4995,[1]内部转账!$E:$E,$G4995)-SUMIFS([1]内部转账!$G:$G,[1]内部转账!$C:$C,"&lt;="&amp;$D4995,[1]内部转账!$F:$F,$G4995)),"")</f>
        <v/>
      </c>
      <c r="M4995" s="64"/>
      <c r="N4995" s="69"/>
      <c r="O4995" s="64"/>
      <c r="P4995" s="64"/>
      <c r="Q4995" s="69"/>
      <c r="R4995" s="69"/>
      <c r="S4995" s="69"/>
    </row>
    <row r="4996" s="2" customFormat="1" ht="24.95" customHeight="1" spans="1:19">
      <c r="A4996" s="15"/>
      <c r="B4996" s="55"/>
      <c r="C4996" s="56"/>
      <c r="D4996" s="68"/>
      <c r="E4996" s="69"/>
      <c r="F4996" s="69"/>
      <c r="G4996" s="65"/>
      <c r="H4996" s="65"/>
      <c r="I4996" s="70"/>
      <c r="J4996" s="71"/>
      <c r="K4996" s="71"/>
      <c r="L4996" s="72" t="str">
        <f>IFERROR(IF(G4996="","",VLOOKUP($G4996,[1]基础信息!$B:$C,2,FALSE)+SUMIF(G$8:G4996,G4996,J$8:J4996)-SUMIF(G$8:G4996,G4996,K$8:K4996)+SUMIFS([1]内部转账!$G:$G,[1]内部转账!$C:$C,"&lt;="&amp;$D4996,[1]内部转账!$E:$E,$G4996)-SUMIFS([1]内部转账!$G:$G,[1]内部转账!$C:$C,"&lt;="&amp;$D4996,[1]内部转账!$F:$F,$G4996)),"")</f>
        <v/>
      </c>
      <c r="M4996" s="64"/>
      <c r="N4996" s="69"/>
      <c r="O4996" s="64"/>
      <c r="P4996" s="64"/>
      <c r="Q4996" s="69"/>
      <c r="R4996" s="69"/>
      <c r="S4996" s="69"/>
    </row>
    <row r="4997" s="2" customFormat="1" ht="24.95" customHeight="1" spans="1:19">
      <c r="A4997" s="15"/>
      <c r="B4997" s="55"/>
      <c r="C4997" s="56"/>
      <c r="D4997" s="68"/>
      <c r="E4997" s="69"/>
      <c r="F4997" s="69"/>
      <c r="G4997" s="65"/>
      <c r="H4997" s="65"/>
      <c r="I4997" s="70"/>
      <c r="J4997" s="71"/>
      <c r="K4997" s="71"/>
      <c r="L4997" s="72" t="str">
        <f>IFERROR(IF(G4997="","",VLOOKUP($G4997,[1]基础信息!$B:$C,2,FALSE)+SUMIF(G$8:G4997,G4997,J$8:J4997)-SUMIF(G$8:G4997,G4997,K$8:K4997)+SUMIFS([1]内部转账!$G:$G,[1]内部转账!$C:$C,"&lt;="&amp;$D4997,[1]内部转账!$E:$E,$G4997)-SUMIFS([1]内部转账!$G:$G,[1]内部转账!$C:$C,"&lt;="&amp;$D4997,[1]内部转账!$F:$F,$G4997)),"")</f>
        <v/>
      </c>
      <c r="M4997" s="64"/>
      <c r="N4997" s="69"/>
      <c r="O4997" s="64"/>
      <c r="P4997" s="64"/>
      <c r="Q4997" s="69"/>
      <c r="R4997" s="69"/>
      <c r="S4997" s="69"/>
    </row>
    <row r="4998" s="2" customFormat="1" ht="24.95" customHeight="1" spans="1:19">
      <c r="A4998" s="15"/>
      <c r="B4998" s="55"/>
      <c r="C4998" s="56"/>
      <c r="D4998" s="68"/>
      <c r="E4998" s="69"/>
      <c r="F4998" s="69"/>
      <c r="G4998" s="65"/>
      <c r="H4998" s="65"/>
      <c r="I4998" s="70"/>
      <c r="J4998" s="71"/>
      <c r="K4998" s="71"/>
      <c r="L4998" s="72" t="str">
        <f>IFERROR(IF(G4998="","",VLOOKUP($G4998,[1]基础信息!$B:$C,2,FALSE)+SUMIF(G$8:G4998,G4998,J$8:J4998)-SUMIF(G$8:G4998,G4998,K$8:K4998)+SUMIFS([1]内部转账!$G:$G,[1]内部转账!$C:$C,"&lt;="&amp;$D4998,[1]内部转账!$E:$E,$G4998)-SUMIFS([1]内部转账!$G:$G,[1]内部转账!$C:$C,"&lt;="&amp;$D4998,[1]内部转账!$F:$F,$G4998)),"")</f>
        <v/>
      </c>
      <c r="M4998" s="64"/>
      <c r="N4998" s="69"/>
      <c r="O4998" s="64"/>
      <c r="P4998" s="64"/>
      <c r="Q4998" s="69"/>
      <c r="R4998" s="69"/>
      <c r="S4998" s="69"/>
    </row>
    <row r="4999" s="2" customFormat="1" ht="24.95" customHeight="1" spans="1:19">
      <c r="A4999" s="15"/>
      <c r="B4999" s="55"/>
      <c r="C4999" s="56"/>
      <c r="D4999" s="68"/>
      <c r="E4999" s="69"/>
      <c r="F4999" s="69"/>
      <c r="G4999" s="65"/>
      <c r="H4999" s="65"/>
      <c r="I4999" s="70"/>
      <c r="J4999" s="71"/>
      <c r="K4999" s="71"/>
      <c r="L4999" s="72" t="str">
        <f>IFERROR(IF(G4999="","",VLOOKUP($G4999,[1]基础信息!$B:$C,2,FALSE)+SUMIF(G$8:G4999,G4999,J$8:J4999)-SUMIF(G$8:G4999,G4999,K$8:K4999)+SUMIFS([1]内部转账!$G:$G,[1]内部转账!$C:$C,"&lt;="&amp;$D4999,[1]内部转账!$E:$E,$G4999)-SUMIFS([1]内部转账!$G:$G,[1]内部转账!$C:$C,"&lt;="&amp;$D4999,[1]内部转账!$F:$F,$G4999)),"")</f>
        <v/>
      </c>
      <c r="M4999" s="64"/>
      <c r="N4999" s="69"/>
      <c r="O4999" s="64"/>
      <c r="P4999" s="64"/>
      <c r="Q4999" s="69"/>
      <c r="R4999" s="69"/>
      <c r="S4999" s="69"/>
    </row>
    <row r="5000" s="2" customFormat="1" ht="24.95" customHeight="1" spans="1:19">
      <c r="A5000" s="15"/>
      <c r="B5000" s="55"/>
      <c r="C5000" s="56"/>
      <c r="D5000" s="68"/>
      <c r="E5000" s="69"/>
      <c r="F5000" s="69"/>
      <c r="G5000" s="65"/>
      <c r="H5000" s="65"/>
      <c r="I5000" s="70"/>
      <c r="J5000" s="71"/>
      <c r="K5000" s="71"/>
      <c r="L5000" s="72" t="str">
        <f>IFERROR(IF(G5000="","",VLOOKUP($G5000,[1]基础信息!$B:$C,2,FALSE)+SUMIF(G$8:G5000,G5000,J$8:J5000)-SUMIF(G$8:G5000,G5000,K$8:K5000)+SUMIFS([1]内部转账!$G:$G,[1]内部转账!$C:$C,"&lt;="&amp;$D5000,[1]内部转账!$E:$E,$G5000)-SUMIFS([1]内部转账!$G:$G,[1]内部转账!$C:$C,"&lt;="&amp;$D5000,[1]内部转账!$F:$F,$G5000)),"")</f>
        <v/>
      </c>
      <c r="M5000" s="64"/>
      <c r="N5000" s="69"/>
      <c r="O5000" s="64"/>
      <c r="P5000" s="64"/>
      <c r="Q5000" s="69"/>
      <c r="R5000" s="69"/>
      <c r="S5000" s="69"/>
    </row>
    <row r="5001" s="2" customFormat="1" ht="24.95" customHeight="1" spans="1:19">
      <c r="A5001" s="15"/>
      <c r="B5001" s="55"/>
      <c r="C5001" s="56"/>
      <c r="D5001" s="68"/>
      <c r="E5001" s="69"/>
      <c r="F5001" s="69"/>
      <c r="G5001" s="65"/>
      <c r="H5001" s="65"/>
      <c r="I5001" s="70"/>
      <c r="J5001" s="71"/>
      <c r="K5001" s="71"/>
      <c r="L5001" s="72" t="str">
        <f>IFERROR(IF(G5001="","",VLOOKUP($G5001,[1]基础信息!$B:$C,2,FALSE)+SUMIF(G$8:G5001,G5001,J$8:J5001)-SUMIF(G$8:G5001,G5001,K$8:K5001)+SUMIFS([1]内部转账!$G:$G,[1]内部转账!$C:$C,"&lt;="&amp;$D5001,[1]内部转账!$E:$E,$G5001)-SUMIFS([1]内部转账!$G:$G,[1]内部转账!$C:$C,"&lt;="&amp;$D5001,[1]内部转账!$F:$F,$G5001)),"")</f>
        <v/>
      </c>
      <c r="M5001" s="64"/>
      <c r="N5001" s="69"/>
      <c r="O5001" s="64"/>
      <c r="P5001" s="64"/>
      <c r="Q5001" s="69"/>
      <c r="R5001" s="69"/>
      <c r="S5001" s="69"/>
    </row>
    <row r="5002" s="2" customFormat="1" ht="24.95" customHeight="1" spans="1:19">
      <c r="A5002" s="15"/>
      <c r="B5002" s="55"/>
      <c r="C5002" s="56"/>
      <c r="D5002" s="68"/>
      <c r="E5002" s="69"/>
      <c r="F5002" s="69"/>
      <c r="G5002" s="65"/>
      <c r="H5002" s="65"/>
      <c r="I5002" s="70"/>
      <c r="J5002" s="71"/>
      <c r="K5002" s="71"/>
      <c r="L5002" s="72" t="str">
        <f>IFERROR(IF(G5002="","",VLOOKUP($G5002,[1]基础信息!$B:$C,2,FALSE)+SUMIF(G$8:G5002,G5002,J$8:J5002)-SUMIF(G$8:G5002,G5002,K$8:K5002)+SUMIFS([1]内部转账!$G:$G,[1]内部转账!$C:$C,"&lt;="&amp;$D5002,[1]内部转账!$E:$E,$G5002)-SUMIFS([1]内部转账!$G:$G,[1]内部转账!$C:$C,"&lt;="&amp;$D5002,[1]内部转账!$F:$F,$G5002)),"")</f>
        <v/>
      </c>
      <c r="M5002" s="64"/>
      <c r="N5002" s="69"/>
      <c r="O5002" s="64"/>
      <c r="P5002" s="64"/>
      <c r="Q5002" s="69"/>
      <c r="R5002" s="69"/>
      <c r="S5002" s="69"/>
    </row>
    <row r="5003" s="2" customFormat="1" ht="24.95" customHeight="1" spans="1:19">
      <c r="A5003" s="15"/>
      <c r="B5003" s="55"/>
      <c r="C5003" s="56"/>
      <c r="D5003" s="68"/>
      <c r="E5003" s="69"/>
      <c r="F5003" s="69"/>
      <c r="G5003" s="65"/>
      <c r="H5003" s="65"/>
      <c r="I5003" s="70"/>
      <c r="J5003" s="71"/>
      <c r="K5003" s="71"/>
      <c r="L5003" s="72" t="str">
        <f>IFERROR(IF(G5003="","",VLOOKUP($G5003,[1]基础信息!$B:$C,2,FALSE)+SUMIF(G$8:G5003,G5003,J$8:J5003)-SUMIF(G$8:G5003,G5003,K$8:K5003)+SUMIFS([1]内部转账!$G:$G,[1]内部转账!$C:$C,"&lt;="&amp;$D5003,[1]内部转账!$E:$E,$G5003)-SUMIFS([1]内部转账!$G:$G,[1]内部转账!$C:$C,"&lt;="&amp;$D5003,[1]内部转账!$F:$F,$G5003)),"")</f>
        <v/>
      </c>
      <c r="M5003" s="64"/>
      <c r="N5003" s="69"/>
      <c r="O5003" s="64"/>
      <c r="P5003" s="64"/>
      <c r="Q5003" s="69"/>
      <c r="R5003" s="69"/>
      <c r="S5003" s="69"/>
    </row>
    <row r="5004" s="2" customFormat="1" ht="24.95" customHeight="1" spans="1:19">
      <c r="A5004" s="15"/>
      <c r="B5004" s="55"/>
      <c r="C5004" s="56"/>
      <c r="D5004" s="68"/>
      <c r="E5004" s="69"/>
      <c r="F5004" s="69"/>
      <c r="G5004" s="65"/>
      <c r="H5004" s="65"/>
      <c r="I5004" s="70"/>
      <c r="J5004" s="71"/>
      <c r="K5004" s="71"/>
      <c r="L5004" s="72" t="str">
        <f>IFERROR(IF(G5004="","",VLOOKUP($G5004,[1]基础信息!$B:$C,2,FALSE)+SUMIF(G$8:G5004,G5004,J$8:J5004)-SUMIF(G$8:G5004,G5004,K$8:K5004)+SUMIFS([1]内部转账!$G:$G,[1]内部转账!$C:$C,"&lt;="&amp;$D5004,[1]内部转账!$E:$E,$G5004)-SUMIFS([1]内部转账!$G:$G,[1]内部转账!$C:$C,"&lt;="&amp;$D5004,[1]内部转账!$F:$F,$G5004)),"")</f>
        <v/>
      </c>
      <c r="M5004" s="64"/>
      <c r="N5004" s="69"/>
      <c r="O5004" s="64"/>
      <c r="P5004" s="64"/>
      <c r="Q5004" s="69"/>
      <c r="R5004" s="69"/>
      <c r="S5004" s="69"/>
    </row>
    <row r="5005" s="2" customFormat="1" ht="24.95" customHeight="1" spans="1:19">
      <c r="A5005" s="15"/>
      <c r="B5005" s="55"/>
      <c r="C5005" s="56"/>
      <c r="D5005" s="68"/>
      <c r="E5005" s="69"/>
      <c r="F5005" s="69"/>
      <c r="G5005" s="65"/>
      <c r="H5005" s="65"/>
      <c r="I5005" s="70"/>
      <c r="J5005" s="71"/>
      <c r="K5005" s="71"/>
      <c r="L5005" s="72" t="str">
        <f>IFERROR(IF(G5005="","",VLOOKUP($G5005,[1]基础信息!$B:$C,2,FALSE)+SUMIF(G$8:G5005,G5005,J$8:J5005)-SUMIF(G$8:G5005,G5005,K$8:K5005)+SUMIFS([1]内部转账!$G:$G,[1]内部转账!$C:$C,"&lt;="&amp;$D5005,[1]内部转账!$E:$E,$G5005)-SUMIFS([1]内部转账!$G:$G,[1]内部转账!$C:$C,"&lt;="&amp;$D5005,[1]内部转账!$F:$F,$G5005)),"")</f>
        <v/>
      </c>
      <c r="M5005" s="64"/>
      <c r="N5005" s="69"/>
      <c r="O5005" s="64"/>
      <c r="P5005" s="64"/>
      <c r="Q5005" s="69"/>
      <c r="R5005" s="69"/>
      <c r="S5005" s="69"/>
    </row>
    <row r="5006" s="2" customFormat="1" ht="24.95" customHeight="1" spans="1:19">
      <c r="A5006" s="15"/>
      <c r="B5006" s="55"/>
      <c r="C5006" s="56"/>
      <c r="D5006" s="68"/>
      <c r="E5006" s="69"/>
      <c r="F5006" s="69"/>
      <c r="G5006" s="65"/>
      <c r="H5006" s="65"/>
      <c r="I5006" s="70"/>
      <c r="J5006" s="71"/>
      <c r="K5006" s="71"/>
      <c r="L5006" s="72" t="str">
        <f>IFERROR(IF(G5006="","",VLOOKUP($G5006,[1]基础信息!$B:$C,2,FALSE)+SUMIF(G$8:G5006,G5006,J$8:J5006)-SUMIF(G$8:G5006,G5006,K$8:K5006)+SUMIFS([1]内部转账!$G:$G,[1]内部转账!$C:$C,"&lt;="&amp;$D5006,[1]内部转账!$E:$E,$G5006)-SUMIFS([1]内部转账!$G:$G,[1]内部转账!$C:$C,"&lt;="&amp;$D5006,[1]内部转账!$F:$F,$G5006)),"")</f>
        <v/>
      </c>
      <c r="M5006" s="64"/>
      <c r="N5006" s="69"/>
      <c r="O5006" s="64"/>
      <c r="P5006" s="64"/>
      <c r="Q5006" s="69"/>
      <c r="R5006" s="69"/>
      <c r="S5006" s="69"/>
    </row>
    <row r="5007" s="2" customFormat="1" ht="24.95" customHeight="1" spans="1:19">
      <c r="A5007" s="15"/>
      <c r="B5007" s="55"/>
      <c r="C5007" s="56"/>
      <c r="D5007" s="68"/>
      <c r="E5007" s="69"/>
      <c r="F5007" s="69"/>
      <c r="G5007" s="65"/>
      <c r="H5007" s="65"/>
      <c r="I5007" s="70"/>
      <c r="J5007" s="71"/>
      <c r="K5007" s="71"/>
      <c r="L5007" s="72" t="str">
        <f>IFERROR(IF(G5007="","",VLOOKUP($G5007,[1]基础信息!$B:$C,2,FALSE)+SUMIF(G$8:G5007,G5007,J$8:J5007)-SUMIF(G$8:G5007,G5007,K$8:K5007)+SUMIFS([1]内部转账!$G:$G,[1]内部转账!$C:$C,"&lt;="&amp;$D5007,[1]内部转账!$E:$E,$G5007)-SUMIFS([1]内部转账!$G:$G,[1]内部转账!$C:$C,"&lt;="&amp;$D5007,[1]内部转账!$F:$F,$G5007)),"")</f>
        <v/>
      </c>
      <c r="M5007" s="64"/>
      <c r="N5007" s="69"/>
      <c r="O5007" s="64"/>
      <c r="P5007" s="64"/>
      <c r="Q5007" s="69"/>
      <c r="R5007" s="69"/>
      <c r="S5007" s="69"/>
    </row>
    <row r="5008" s="2" customFormat="1" ht="24.95" customHeight="1" spans="1:19">
      <c r="A5008" s="15"/>
      <c r="B5008" s="55"/>
      <c r="C5008" s="56"/>
      <c r="D5008" s="68"/>
      <c r="E5008" s="69"/>
      <c r="F5008" s="69"/>
      <c r="G5008" s="65"/>
      <c r="H5008" s="65"/>
      <c r="I5008" s="70"/>
      <c r="J5008" s="71"/>
      <c r="K5008" s="71"/>
      <c r="L5008" s="72" t="str">
        <f>IFERROR(IF(G5008="","",VLOOKUP($G5008,[1]基础信息!$B:$C,2,FALSE)+SUMIF(G$8:G5008,G5008,J$8:J5008)-SUMIF(G$8:G5008,G5008,K$8:K5008)+SUMIFS([1]内部转账!$G:$G,[1]内部转账!$C:$C,"&lt;="&amp;$D5008,[1]内部转账!$E:$E,$G5008)-SUMIFS([1]内部转账!$G:$G,[1]内部转账!$C:$C,"&lt;="&amp;$D5008,[1]内部转账!$F:$F,$G5008)),"")</f>
        <v/>
      </c>
      <c r="M5008" s="64"/>
      <c r="N5008" s="69"/>
      <c r="O5008" s="64"/>
      <c r="P5008" s="64"/>
      <c r="Q5008" s="69"/>
      <c r="R5008" s="69"/>
      <c r="S5008" s="69"/>
    </row>
    <row r="5009" s="2" customFormat="1" ht="24.95" customHeight="1" spans="1:19">
      <c r="A5009" s="15"/>
      <c r="B5009" s="55"/>
      <c r="C5009" s="56"/>
      <c r="D5009" s="68"/>
      <c r="E5009" s="69"/>
      <c r="F5009" s="69"/>
      <c r="G5009" s="65"/>
      <c r="H5009" s="65"/>
      <c r="I5009" s="70"/>
      <c r="J5009" s="71"/>
      <c r="K5009" s="71"/>
      <c r="L5009" s="72" t="str">
        <f>IFERROR(IF(G5009="","",VLOOKUP($G5009,[1]基础信息!$B:$C,2,FALSE)+SUMIF(G$8:G5009,G5009,J$8:J5009)-SUMIF(G$8:G5009,G5009,K$8:K5009)+SUMIFS([1]内部转账!$G:$G,[1]内部转账!$C:$C,"&lt;="&amp;$D5009,[1]内部转账!$E:$E,$G5009)-SUMIFS([1]内部转账!$G:$G,[1]内部转账!$C:$C,"&lt;="&amp;$D5009,[1]内部转账!$F:$F,$G5009)),"")</f>
        <v/>
      </c>
      <c r="M5009" s="64"/>
      <c r="N5009" s="69"/>
      <c r="O5009" s="64"/>
      <c r="P5009" s="64"/>
      <c r="Q5009" s="69"/>
      <c r="R5009" s="69"/>
      <c r="S5009" s="69"/>
    </row>
    <row r="5010" s="2" customFormat="1" ht="24.95" customHeight="1" spans="1:19">
      <c r="A5010" s="15"/>
      <c r="B5010" s="55"/>
      <c r="C5010" s="56"/>
      <c r="D5010" s="68"/>
      <c r="E5010" s="69"/>
      <c r="F5010" s="69"/>
      <c r="G5010" s="65"/>
      <c r="H5010" s="65"/>
      <c r="I5010" s="70"/>
      <c r="J5010" s="71"/>
      <c r="K5010" s="71"/>
      <c r="L5010" s="72" t="str">
        <f>IFERROR(IF(G5010="","",VLOOKUP($G5010,[1]基础信息!$B:$C,2,FALSE)+SUMIF(G$8:G5010,G5010,J$8:J5010)-SUMIF(G$8:G5010,G5010,K$8:K5010)+SUMIFS([1]内部转账!$G:$G,[1]内部转账!$C:$C,"&lt;="&amp;$D5010,[1]内部转账!$E:$E,$G5010)-SUMIFS([1]内部转账!$G:$G,[1]内部转账!$C:$C,"&lt;="&amp;$D5010,[1]内部转账!$F:$F,$G5010)),"")</f>
        <v/>
      </c>
      <c r="M5010" s="64"/>
      <c r="N5010" s="69"/>
      <c r="O5010" s="64"/>
      <c r="P5010" s="64"/>
      <c r="Q5010" s="69"/>
      <c r="R5010" s="69"/>
      <c r="S5010" s="69"/>
    </row>
    <row r="5011" s="2" customFormat="1" ht="24.95" customHeight="1" spans="1:19">
      <c r="A5011" s="15"/>
      <c r="B5011" s="55"/>
      <c r="C5011" s="56"/>
      <c r="D5011" s="68"/>
      <c r="E5011" s="69"/>
      <c r="F5011" s="69"/>
      <c r="G5011" s="65"/>
      <c r="H5011" s="65"/>
      <c r="I5011" s="70"/>
      <c r="J5011" s="71"/>
      <c r="K5011" s="71"/>
      <c r="L5011" s="72" t="str">
        <f>IFERROR(IF(G5011="","",VLOOKUP($G5011,[1]基础信息!$B:$C,2,FALSE)+SUMIF(G$8:G5011,G5011,J$8:J5011)-SUMIF(G$8:G5011,G5011,K$8:K5011)+SUMIFS([1]内部转账!$G:$G,[1]内部转账!$C:$C,"&lt;="&amp;$D5011,[1]内部转账!$E:$E,$G5011)-SUMIFS([1]内部转账!$G:$G,[1]内部转账!$C:$C,"&lt;="&amp;$D5011,[1]内部转账!$F:$F,$G5011)),"")</f>
        <v/>
      </c>
      <c r="M5011" s="64"/>
      <c r="N5011" s="69"/>
      <c r="O5011" s="64"/>
      <c r="P5011" s="64"/>
      <c r="Q5011" s="69"/>
      <c r="R5011" s="69"/>
      <c r="S5011" s="69"/>
    </row>
    <row r="5012" s="2" customFormat="1" ht="24.95" customHeight="1" spans="1:19">
      <c r="A5012" s="15"/>
      <c r="B5012" s="55"/>
      <c r="C5012" s="56"/>
      <c r="D5012" s="68"/>
      <c r="E5012" s="69"/>
      <c r="F5012" s="69"/>
      <c r="G5012" s="65"/>
      <c r="H5012" s="65"/>
      <c r="I5012" s="70"/>
      <c r="J5012" s="71"/>
      <c r="K5012" s="71"/>
      <c r="L5012" s="72" t="str">
        <f>IFERROR(IF(G5012="","",VLOOKUP($G5012,[1]基础信息!$B:$C,2,FALSE)+SUMIF(G$8:G5012,G5012,J$8:J5012)-SUMIF(G$8:G5012,G5012,K$8:K5012)+SUMIFS([1]内部转账!$G:$G,[1]内部转账!$C:$C,"&lt;="&amp;$D5012,[1]内部转账!$E:$E,$G5012)-SUMIFS([1]内部转账!$G:$G,[1]内部转账!$C:$C,"&lt;="&amp;$D5012,[1]内部转账!$F:$F,$G5012)),"")</f>
        <v/>
      </c>
      <c r="M5012" s="64"/>
      <c r="N5012" s="69"/>
      <c r="O5012" s="64"/>
      <c r="P5012" s="64"/>
      <c r="Q5012" s="69"/>
      <c r="R5012" s="69"/>
      <c r="S5012" s="69"/>
    </row>
    <row r="5013" s="2" customFormat="1" ht="24.95" customHeight="1" spans="1:19">
      <c r="A5013" s="15"/>
      <c r="B5013" s="55"/>
      <c r="C5013" s="56"/>
      <c r="D5013" s="68"/>
      <c r="E5013" s="69"/>
      <c r="F5013" s="69"/>
      <c r="G5013" s="65"/>
      <c r="H5013" s="65"/>
      <c r="I5013" s="70"/>
      <c r="J5013" s="71"/>
      <c r="K5013" s="71"/>
      <c r="L5013" s="72" t="str">
        <f>IFERROR(IF(G5013="","",VLOOKUP($G5013,[1]基础信息!$B:$C,2,FALSE)+SUMIF(G$8:G5013,G5013,J$8:J5013)-SUMIF(G$8:G5013,G5013,K$8:K5013)+SUMIFS([1]内部转账!$G:$G,[1]内部转账!$C:$C,"&lt;="&amp;$D5013,[1]内部转账!$E:$E,$G5013)-SUMIFS([1]内部转账!$G:$G,[1]内部转账!$C:$C,"&lt;="&amp;$D5013,[1]内部转账!$F:$F,$G5013)),"")</f>
        <v/>
      </c>
      <c r="M5013" s="64"/>
      <c r="N5013" s="69"/>
      <c r="O5013" s="64"/>
      <c r="P5013" s="64"/>
      <c r="Q5013" s="69"/>
      <c r="R5013" s="69"/>
      <c r="S5013" s="69"/>
    </row>
    <row r="5014" s="2" customFormat="1" ht="24.95" customHeight="1" spans="1:19">
      <c r="A5014" s="15"/>
      <c r="B5014" s="55"/>
      <c r="C5014" s="56"/>
      <c r="D5014" s="68"/>
      <c r="E5014" s="69"/>
      <c r="F5014" s="69"/>
      <c r="G5014" s="65"/>
      <c r="H5014" s="65"/>
      <c r="I5014" s="70"/>
      <c r="J5014" s="71"/>
      <c r="K5014" s="71"/>
      <c r="L5014" s="72" t="str">
        <f>IFERROR(IF(G5014="","",VLOOKUP($G5014,[1]基础信息!$B:$C,2,FALSE)+SUMIF(G$8:G5014,G5014,J$8:J5014)-SUMIF(G$8:G5014,G5014,K$8:K5014)+SUMIFS([1]内部转账!$G:$G,[1]内部转账!$C:$C,"&lt;="&amp;$D5014,[1]内部转账!$E:$E,$G5014)-SUMIFS([1]内部转账!$G:$G,[1]内部转账!$C:$C,"&lt;="&amp;$D5014,[1]内部转账!$F:$F,$G5014)),"")</f>
        <v/>
      </c>
      <c r="M5014" s="64"/>
      <c r="N5014" s="69"/>
      <c r="O5014" s="64"/>
      <c r="P5014" s="64"/>
      <c r="Q5014" s="69"/>
      <c r="R5014" s="69"/>
      <c r="S5014" s="69"/>
    </row>
    <row r="5015" s="2" customFormat="1" ht="24.95" customHeight="1" spans="1:19">
      <c r="A5015" s="15"/>
      <c r="B5015" s="55"/>
      <c r="C5015" s="56"/>
      <c r="D5015" s="68"/>
      <c r="E5015" s="69"/>
      <c r="F5015" s="69"/>
      <c r="G5015" s="65"/>
      <c r="H5015" s="65"/>
      <c r="I5015" s="70"/>
      <c r="J5015" s="71"/>
      <c r="K5015" s="71"/>
      <c r="L5015" s="72" t="str">
        <f>IFERROR(IF(G5015="","",VLOOKUP($G5015,[1]基础信息!$B:$C,2,FALSE)+SUMIF(G$8:G5015,G5015,J$8:J5015)-SUMIF(G$8:G5015,G5015,K$8:K5015)+SUMIFS([1]内部转账!$G:$G,[1]内部转账!$C:$C,"&lt;="&amp;$D5015,[1]内部转账!$E:$E,$G5015)-SUMIFS([1]内部转账!$G:$G,[1]内部转账!$C:$C,"&lt;="&amp;$D5015,[1]内部转账!$F:$F,$G5015)),"")</f>
        <v/>
      </c>
      <c r="M5015" s="64"/>
      <c r="N5015" s="69"/>
      <c r="O5015" s="64"/>
      <c r="P5015" s="64"/>
      <c r="Q5015" s="69"/>
      <c r="R5015" s="69"/>
      <c r="S5015" s="69"/>
    </row>
    <row r="5016" s="2" customFormat="1" ht="24.95" customHeight="1" spans="1:19">
      <c r="A5016" s="15"/>
      <c r="B5016" s="55"/>
      <c r="C5016" s="56"/>
      <c r="D5016" s="68"/>
      <c r="E5016" s="69"/>
      <c r="F5016" s="69"/>
      <c r="G5016" s="65"/>
      <c r="H5016" s="65"/>
      <c r="I5016" s="70"/>
      <c r="J5016" s="71"/>
      <c r="K5016" s="71"/>
      <c r="L5016" s="72" t="str">
        <f>IFERROR(IF(G5016="","",VLOOKUP($G5016,[1]基础信息!$B:$C,2,FALSE)+SUMIF(G$8:G5016,G5016,J$8:J5016)-SUMIF(G$8:G5016,G5016,K$8:K5016)+SUMIFS([1]内部转账!$G:$G,[1]内部转账!$C:$C,"&lt;="&amp;$D5016,[1]内部转账!$E:$E,$G5016)-SUMIFS([1]内部转账!$G:$G,[1]内部转账!$C:$C,"&lt;="&amp;$D5016,[1]内部转账!$F:$F,$G5016)),"")</f>
        <v/>
      </c>
      <c r="M5016" s="64"/>
      <c r="N5016" s="69"/>
      <c r="O5016" s="64"/>
      <c r="P5016" s="64"/>
      <c r="Q5016" s="69"/>
      <c r="R5016" s="69"/>
      <c r="S5016" s="69"/>
    </row>
    <row r="5017" s="2" customFormat="1" ht="24.95" customHeight="1" spans="1:19">
      <c r="A5017" s="15"/>
      <c r="B5017" s="55"/>
      <c r="C5017" s="56"/>
      <c r="D5017" s="68"/>
      <c r="E5017" s="69"/>
      <c r="F5017" s="69"/>
      <c r="G5017" s="65"/>
      <c r="H5017" s="65"/>
      <c r="I5017" s="70"/>
      <c r="J5017" s="71"/>
      <c r="K5017" s="71"/>
      <c r="L5017" s="72" t="str">
        <f>IFERROR(IF(G5017="","",VLOOKUP($G5017,[1]基础信息!$B:$C,2,FALSE)+SUMIF(G$8:G5017,G5017,J$8:J5017)-SUMIF(G$8:G5017,G5017,K$8:K5017)+SUMIFS([1]内部转账!$G:$G,[1]内部转账!$C:$C,"&lt;="&amp;$D5017,[1]内部转账!$E:$E,$G5017)-SUMIFS([1]内部转账!$G:$G,[1]内部转账!$C:$C,"&lt;="&amp;$D5017,[1]内部转账!$F:$F,$G5017)),"")</f>
        <v/>
      </c>
      <c r="M5017" s="64"/>
      <c r="N5017" s="69"/>
      <c r="O5017" s="64"/>
      <c r="P5017" s="64"/>
      <c r="Q5017" s="69"/>
      <c r="R5017" s="69"/>
      <c r="S5017" s="69"/>
    </row>
    <row r="5018" s="2" customFormat="1" ht="24.95" customHeight="1" spans="1:19">
      <c r="A5018" s="15"/>
      <c r="B5018" s="55"/>
      <c r="C5018" s="56"/>
      <c r="D5018" s="68"/>
      <c r="E5018" s="69"/>
      <c r="F5018" s="69"/>
      <c r="G5018" s="65"/>
      <c r="H5018" s="65"/>
      <c r="I5018" s="70"/>
      <c r="J5018" s="71"/>
      <c r="K5018" s="71"/>
      <c r="L5018" s="72" t="str">
        <f>IFERROR(IF(G5018="","",VLOOKUP($G5018,[1]基础信息!$B:$C,2,FALSE)+SUMIF(G$8:G5018,G5018,J$8:J5018)-SUMIF(G$8:G5018,G5018,K$8:K5018)+SUMIFS([1]内部转账!$G:$G,[1]内部转账!$C:$C,"&lt;="&amp;$D5018,[1]内部转账!$E:$E,$G5018)-SUMIFS([1]内部转账!$G:$G,[1]内部转账!$C:$C,"&lt;="&amp;$D5018,[1]内部转账!$F:$F,$G5018)),"")</f>
        <v/>
      </c>
      <c r="M5018" s="64"/>
      <c r="N5018" s="69"/>
      <c r="O5018" s="64"/>
      <c r="P5018" s="64"/>
      <c r="Q5018" s="69"/>
      <c r="R5018" s="69"/>
      <c r="S5018" s="69"/>
    </row>
    <row r="5019" s="2" customFormat="1" ht="24.95" customHeight="1" spans="1:19">
      <c r="A5019" s="15"/>
      <c r="B5019" s="55"/>
      <c r="C5019" s="56"/>
      <c r="D5019" s="68"/>
      <c r="E5019" s="69"/>
      <c r="F5019" s="69"/>
      <c r="G5019" s="65"/>
      <c r="H5019" s="65"/>
      <c r="I5019" s="70"/>
      <c r="J5019" s="71"/>
      <c r="K5019" s="71"/>
      <c r="L5019" s="72" t="str">
        <f>IFERROR(IF(G5019="","",VLOOKUP($G5019,[1]基础信息!$B:$C,2,FALSE)+SUMIF(G$8:G5019,G5019,J$8:J5019)-SUMIF(G$8:G5019,G5019,K$8:K5019)+SUMIFS([1]内部转账!$G:$G,[1]内部转账!$C:$C,"&lt;="&amp;$D5019,[1]内部转账!$E:$E,$G5019)-SUMIFS([1]内部转账!$G:$G,[1]内部转账!$C:$C,"&lt;="&amp;$D5019,[1]内部转账!$F:$F,$G5019)),"")</f>
        <v/>
      </c>
      <c r="M5019" s="64"/>
      <c r="N5019" s="69"/>
      <c r="O5019" s="64"/>
      <c r="P5019" s="64"/>
      <c r="Q5019" s="69"/>
      <c r="R5019" s="69"/>
      <c r="S5019" s="69"/>
    </row>
    <row r="5020" s="2" customFormat="1" ht="24.95" customHeight="1" spans="1:19">
      <c r="A5020" s="15"/>
      <c r="B5020" s="55"/>
      <c r="C5020" s="56"/>
      <c r="D5020" s="68"/>
      <c r="E5020" s="69"/>
      <c r="F5020" s="69"/>
      <c r="G5020" s="65"/>
      <c r="H5020" s="65"/>
      <c r="I5020" s="70"/>
      <c r="J5020" s="71"/>
      <c r="K5020" s="71"/>
      <c r="L5020" s="72" t="str">
        <f>IFERROR(IF(G5020="","",VLOOKUP($G5020,[1]基础信息!$B:$C,2,FALSE)+SUMIF(G$8:G5020,G5020,J$8:J5020)-SUMIF(G$8:G5020,G5020,K$8:K5020)+SUMIFS([1]内部转账!$G:$G,[1]内部转账!$C:$C,"&lt;="&amp;$D5020,[1]内部转账!$E:$E,$G5020)-SUMIFS([1]内部转账!$G:$G,[1]内部转账!$C:$C,"&lt;="&amp;$D5020,[1]内部转账!$F:$F,$G5020)),"")</f>
        <v/>
      </c>
      <c r="M5020" s="64"/>
      <c r="N5020" s="69"/>
      <c r="O5020" s="64"/>
      <c r="P5020" s="64"/>
      <c r="Q5020" s="69"/>
      <c r="R5020" s="69"/>
      <c r="S5020" s="69"/>
    </row>
    <row r="5021" s="2" customFormat="1" ht="24.95" customHeight="1" spans="1:19">
      <c r="A5021" s="15"/>
      <c r="B5021" s="55"/>
      <c r="C5021" s="56"/>
      <c r="D5021" s="68"/>
      <c r="E5021" s="69"/>
      <c r="F5021" s="69"/>
      <c r="G5021" s="65"/>
      <c r="H5021" s="65"/>
      <c r="I5021" s="70"/>
      <c r="J5021" s="71"/>
      <c r="K5021" s="71"/>
      <c r="L5021" s="72" t="str">
        <f>IFERROR(IF(G5021="","",VLOOKUP($G5021,[1]基础信息!$B:$C,2,FALSE)+SUMIF(G$8:G5021,G5021,J$8:J5021)-SUMIF(G$8:G5021,G5021,K$8:K5021)+SUMIFS([1]内部转账!$G:$G,[1]内部转账!$C:$C,"&lt;="&amp;$D5021,[1]内部转账!$E:$E,$G5021)-SUMIFS([1]内部转账!$G:$G,[1]内部转账!$C:$C,"&lt;="&amp;$D5021,[1]内部转账!$F:$F,$G5021)),"")</f>
        <v/>
      </c>
      <c r="M5021" s="64"/>
      <c r="N5021" s="69"/>
      <c r="O5021" s="64"/>
      <c r="P5021" s="64"/>
      <c r="Q5021" s="69"/>
      <c r="R5021" s="69"/>
      <c r="S5021" s="69"/>
    </row>
    <row r="5022" s="2" customFormat="1" ht="24.95" customHeight="1" spans="1:19">
      <c r="A5022" s="15"/>
      <c r="B5022" s="55"/>
      <c r="C5022" s="56"/>
      <c r="D5022" s="68"/>
      <c r="E5022" s="69"/>
      <c r="F5022" s="69"/>
      <c r="G5022" s="65"/>
      <c r="H5022" s="65"/>
      <c r="I5022" s="70"/>
      <c r="J5022" s="71"/>
      <c r="K5022" s="71"/>
      <c r="L5022" s="72" t="str">
        <f>IFERROR(IF(G5022="","",VLOOKUP($G5022,[1]基础信息!$B:$C,2,FALSE)+SUMIF(G$8:G5022,G5022,J$8:J5022)-SUMIF(G$8:G5022,G5022,K$8:K5022)+SUMIFS([1]内部转账!$G:$G,[1]内部转账!$C:$C,"&lt;="&amp;$D5022,[1]内部转账!$E:$E,$G5022)-SUMIFS([1]内部转账!$G:$G,[1]内部转账!$C:$C,"&lt;="&amp;$D5022,[1]内部转账!$F:$F,$G5022)),"")</f>
        <v/>
      </c>
      <c r="M5022" s="64"/>
      <c r="N5022" s="69"/>
      <c r="O5022" s="64"/>
      <c r="P5022" s="64"/>
      <c r="Q5022" s="69"/>
      <c r="R5022" s="69"/>
      <c r="S5022" s="69"/>
    </row>
    <row r="5023" s="2" customFormat="1" ht="24.95" customHeight="1" spans="1:19">
      <c r="A5023" s="15"/>
      <c r="B5023" s="55"/>
      <c r="C5023" s="56"/>
      <c r="D5023" s="68"/>
      <c r="E5023" s="69"/>
      <c r="F5023" s="69"/>
      <c r="G5023" s="65"/>
      <c r="H5023" s="65"/>
      <c r="I5023" s="70"/>
      <c r="J5023" s="71"/>
      <c r="K5023" s="71"/>
      <c r="L5023" s="72" t="str">
        <f>IFERROR(IF(G5023="","",VLOOKUP($G5023,[1]基础信息!$B:$C,2,FALSE)+SUMIF(G$8:G5023,G5023,J$8:J5023)-SUMIF(G$8:G5023,G5023,K$8:K5023)+SUMIFS([1]内部转账!$G:$G,[1]内部转账!$C:$C,"&lt;="&amp;$D5023,[1]内部转账!$E:$E,$G5023)-SUMIFS([1]内部转账!$G:$G,[1]内部转账!$C:$C,"&lt;="&amp;$D5023,[1]内部转账!$F:$F,$G5023)),"")</f>
        <v/>
      </c>
      <c r="M5023" s="64"/>
      <c r="N5023" s="69"/>
      <c r="O5023" s="64"/>
      <c r="P5023" s="64"/>
      <c r="Q5023" s="69"/>
      <c r="R5023" s="69"/>
      <c r="S5023" s="69"/>
    </row>
    <row r="5024" s="2" customFormat="1" ht="24.95" customHeight="1" spans="1:19">
      <c r="A5024" s="15"/>
      <c r="B5024" s="55"/>
      <c r="C5024" s="56"/>
      <c r="D5024" s="68"/>
      <c r="E5024" s="69"/>
      <c r="F5024" s="69"/>
      <c r="G5024" s="65"/>
      <c r="H5024" s="65"/>
      <c r="I5024" s="70"/>
      <c r="J5024" s="71"/>
      <c r="K5024" s="71"/>
      <c r="L5024" s="72" t="str">
        <f>IFERROR(IF(G5024="","",VLOOKUP($G5024,[1]基础信息!$B:$C,2,FALSE)+SUMIF(G$8:G5024,G5024,J$8:J5024)-SUMIF(G$8:G5024,G5024,K$8:K5024)+SUMIFS([1]内部转账!$G:$G,[1]内部转账!$C:$C,"&lt;="&amp;$D5024,[1]内部转账!$E:$E,$G5024)-SUMIFS([1]内部转账!$G:$G,[1]内部转账!$C:$C,"&lt;="&amp;$D5024,[1]内部转账!$F:$F,$G5024)),"")</f>
        <v/>
      </c>
      <c r="M5024" s="64"/>
      <c r="N5024" s="69"/>
      <c r="O5024" s="64"/>
      <c r="P5024" s="64"/>
      <c r="Q5024" s="69"/>
      <c r="R5024" s="69"/>
      <c r="S5024" s="69"/>
    </row>
    <row r="5025" s="2" customFormat="1" ht="24.95" customHeight="1" spans="1:19">
      <c r="A5025" s="15"/>
      <c r="B5025" s="55"/>
      <c r="C5025" s="56"/>
      <c r="D5025" s="68"/>
      <c r="E5025" s="69"/>
      <c r="F5025" s="69"/>
      <c r="G5025" s="65"/>
      <c r="H5025" s="65"/>
      <c r="I5025" s="70"/>
      <c r="J5025" s="71"/>
      <c r="K5025" s="71"/>
      <c r="L5025" s="72" t="str">
        <f>IFERROR(IF(G5025="","",VLOOKUP($G5025,[1]基础信息!$B:$C,2,FALSE)+SUMIF(G$8:G5025,G5025,J$8:J5025)-SUMIF(G$8:G5025,G5025,K$8:K5025)+SUMIFS([1]内部转账!$G:$G,[1]内部转账!$C:$C,"&lt;="&amp;$D5025,[1]内部转账!$E:$E,$G5025)-SUMIFS([1]内部转账!$G:$G,[1]内部转账!$C:$C,"&lt;="&amp;$D5025,[1]内部转账!$F:$F,$G5025)),"")</f>
        <v/>
      </c>
      <c r="M5025" s="64"/>
      <c r="N5025" s="69"/>
      <c r="O5025" s="64"/>
      <c r="P5025" s="64"/>
      <c r="Q5025" s="69"/>
      <c r="R5025" s="69"/>
      <c r="S5025" s="69"/>
    </row>
    <row r="5026" s="2" customFormat="1" ht="24.95" customHeight="1" spans="1:19">
      <c r="A5026" s="15"/>
      <c r="B5026" s="55"/>
      <c r="C5026" s="56"/>
      <c r="D5026" s="68"/>
      <c r="E5026" s="69"/>
      <c r="F5026" s="69"/>
      <c r="G5026" s="65"/>
      <c r="H5026" s="65"/>
      <c r="I5026" s="70"/>
      <c r="J5026" s="71"/>
      <c r="K5026" s="71"/>
      <c r="L5026" s="72" t="str">
        <f>IFERROR(IF(G5026="","",VLOOKUP($G5026,[1]基础信息!$B:$C,2,FALSE)+SUMIF(G$8:G5026,G5026,J$8:J5026)-SUMIF(G$8:G5026,G5026,K$8:K5026)+SUMIFS([1]内部转账!$G:$G,[1]内部转账!$C:$C,"&lt;="&amp;$D5026,[1]内部转账!$E:$E,$G5026)-SUMIFS([1]内部转账!$G:$G,[1]内部转账!$C:$C,"&lt;="&amp;$D5026,[1]内部转账!$F:$F,$G5026)),"")</f>
        <v/>
      </c>
      <c r="M5026" s="64"/>
      <c r="N5026" s="69"/>
      <c r="O5026" s="64"/>
      <c r="P5026" s="64"/>
      <c r="Q5026" s="69"/>
      <c r="R5026" s="69"/>
      <c r="S5026" s="69"/>
    </row>
    <row r="5027" s="2" customFormat="1" ht="24.95" customHeight="1" spans="1:19">
      <c r="A5027" s="15"/>
      <c r="B5027" s="55"/>
      <c r="C5027" s="56"/>
      <c r="D5027" s="68"/>
      <c r="E5027" s="69"/>
      <c r="F5027" s="69"/>
      <c r="G5027" s="65"/>
      <c r="H5027" s="65"/>
      <c r="I5027" s="70"/>
      <c r="J5027" s="71"/>
      <c r="K5027" s="71"/>
      <c r="L5027" s="72" t="str">
        <f>IFERROR(IF(G5027="","",VLOOKUP($G5027,[1]基础信息!$B:$C,2,FALSE)+SUMIF(G$8:G5027,G5027,J$8:J5027)-SUMIF(G$8:G5027,G5027,K$8:K5027)+SUMIFS([1]内部转账!$G:$G,[1]内部转账!$C:$C,"&lt;="&amp;$D5027,[1]内部转账!$E:$E,$G5027)-SUMIFS([1]内部转账!$G:$G,[1]内部转账!$C:$C,"&lt;="&amp;$D5027,[1]内部转账!$F:$F,$G5027)),"")</f>
        <v/>
      </c>
      <c r="M5027" s="64"/>
      <c r="N5027" s="69"/>
      <c r="O5027" s="64"/>
      <c r="P5027" s="64"/>
      <c r="Q5027" s="69"/>
      <c r="R5027" s="69"/>
      <c r="S5027" s="69"/>
    </row>
    <row r="5028" s="2" customFormat="1" ht="24.95" customHeight="1" spans="1:19">
      <c r="A5028" s="15"/>
      <c r="B5028" s="55"/>
      <c r="C5028" s="56"/>
      <c r="D5028" s="68"/>
      <c r="E5028" s="69"/>
      <c r="F5028" s="69"/>
      <c r="G5028" s="65"/>
      <c r="H5028" s="65"/>
      <c r="I5028" s="70"/>
      <c r="J5028" s="71"/>
      <c r="K5028" s="71"/>
      <c r="L5028" s="72" t="str">
        <f>IFERROR(IF(G5028="","",VLOOKUP($G5028,[1]基础信息!$B:$C,2,FALSE)+SUMIF(G$8:G5028,G5028,J$8:J5028)-SUMIF(G$8:G5028,G5028,K$8:K5028)+SUMIFS([1]内部转账!$G:$G,[1]内部转账!$C:$C,"&lt;="&amp;$D5028,[1]内部转账!$E:$E,$G5028)-SUMIFS([1]内部转账!$G:$G,[1]内部转账!$C:$C,"&lt;="&amp;$D5028,[1]内部转账!$F:$F,$G5028)),"")</f>
        <v/>
      </c>
      <c r="M5028" s="64"/>
      <c r="N5028" s="69"/>
      <c r="O5028" s="64"/>
      <c r="P5028" s="64"/>
      <c r="Q5028" s="69"/>
      <c r="R5028" s="69"/>
      <c r="S5028" s="69"/>
    </row>
    <row r="5029" s="2" customFormat="1" ht="24.95" customHeight="1" spans="1:19">
      <c r="A5029" s="15"/>
      <c r="B5029" s="55"/>
      <c r="C5029" s="56"/>
      <c r="D5029" s="68"/>
      <c r="E5029" s="69"/>
      <c r="F5029" s="69"/>
      <c r="G5029" s="65"/>
      <c r="H5029" s="65"/>
      <c r="I5029" s="70"/>
      <c r="J5029" s="71"/>
      <c r="K5029" s="71"/>
      <c r="L5029" s="72" t="str">
        <f>IFERROR(IF(G5029="","",VLOOKUP($G5029,[1]基础信息!$B:$C,2,FALSE)+SUMIF(G$8:G5029,G5029,J$8:J5029)-SUMIF(G$8:G5029,G5029,K$8:K5029)+SUMIFS([1]内部转账!$G:$G,[1]内部转账!$C:$C,"&lt;="&amp;$D5029,[1]内部转账!$E:$E,$G5029)-SUMIFS([1]内部转账!$G:$G,[1]内部转账!$C:$C,"&lt;="&amp;$D5029,[1]内部转账!$F:$F,$G5029)),"")</f>
        <v/>
      </c>
      <c r="M5029" s="64"/>
      <c r="N5029" s="69"/>
      <c r="O5029" s="64"/>
      <c r="P5029" s="64"/>
      <c r="Q5029" s="69"/>
      <c r="R5029" s="69"/>
      <c r="S5029" s="69"/>
    </row>
    <row r="5030" s="2" customFormat="1" ht="24.95" customHeight="1" spans="1:19">
      <c r="A5030" s="15"/>
      <c r="B5030" s="55"/>
      <c r="C5030" s="56"/>
      <c r="D5030" s="68"/>
      <c r="E5030" s="69"/>
      <c r="F5030" s="69"/>
      <c r="G5030" s="65"/>
      <c r="H5030" s="65"/>
      <c r="I5030" s="70"/>
      <c r="J5030" s="71"/>
      <c r="K5030" s="71"/>
      <c r="L5030" s="72" t="str">
        <f>IFERROR(IF(G5030="","",VLOOKUP($G5030,[1]基础信息!$B:$C,2,FALSE)+SUMIF(G$8:G5030,G5030,J$8:J5030)-SUMIF(G$8:G5030,G5030,K$8:K5030)+SUMIFS([1]内部转账!$G:$G,[1]内部转账!$C:$C,"&lt;="&amp;$D5030,[1]内部转账!$E:$E,$G5030)-SUMIFS([1]内部转账!$G:$G,[1]内部转账!$C:$C,"&lt;="&amp;$D5030,[1]内部转账!$F:$F,$G5030)),"")</f>
        <v/>
      </c>
      <c r="M5030" s="64"/>
      <c r="N5030" s="69"/>
      <c r="O5030" s="64"/>
      <c r="P5030" s="64"/>
      <c r="Q5030" s="69"/>
      <c r="R5030" s="69"/>
      <c r="S5030" s="69"/>
    </row>
    <row r="5031" s="2" customFormat="1" ht="24.95" customHeight="1" spans="1:19">
      <c r="A5031" s="15"/>
      <c r="B5031" s="55"/>
      <c r="C5031" s="56"/>
      <c r="D5031" s="68"/>
      <c r="E5031" s="69"/>
      <c r="F5031" s="69"/>
      <c r="G5031" s="65"/>
      <c r="H5031" s="65"/>
      <c r="I5031" s="70"/>
      <c r="J5031" s="71"/>
      <c r="K5031" s="71"/>
      <c r="L5031" s="72" t="str">
        <f>IFERROR(IF(G5031="","",VLOOKUP($G5031,[1]基础信息!$B:$C,2,FALSE)+SUMIF(G$8:G5031,G5031,J$8:J5031)-SUMIF(G$8:G5031,G5031,K$8:K5031)+SUMIFS([1]内部转账!$G:$G,[1]内部转账!$C:$C,"&lt;="&amp;$D5031,[1]内部转账!$E:$E,$G5031)-SUMIFS([1]内部转账!$G:$G,[1]内部转账!$C:$C,"&lt;="&amp;$D5031,[1]内部转账!$F:$F,$G5031)),"")</f>
        <v/>
      </c>
      <c r="M5031" s="64"/>
      <c r="N5031" s="69"/>
      <c r="O5031" s="64"/>
      <c r="P5031" s="64"/>
      <c r="Q5031" s="69"/>
      <c r="R5031" s="69"/>
      <c r="S5031" s="69"/>
    </row>
    <row r="5032" s="2" customFormat="1" ht="24.95" customHeight="1" spans="1:19">
      <c r="A5032" s="15"/>
      <c r="B5032" s="55"/>
      <c r="C5032" s="56"/>
      <c r="D5032" s="68"/>
      <c r="E5032" s="69"/>
      <c r="F5032" s="69"/>
      <c r="G5032" s="65"/>
      <c r="H5032" s="65"/>
      <c r="I5032" s="70"/>
      <c r="J5032" s="71"/>
      <c r="K5032" s="71"/>
      <c r="L5032" s="72" t="str">
        <f>IFERROR(IF(G5032="","",VLOOKUP($G5032,[1]基础信息!$B:$C,2,FALSE)+SUMIF(G$8:G5032,G5032,J$8:J5032)-SUMIF(G$8:G5032,G5032,K$8:K5032)+SUMIFS([1]内部转账!$G:$G,[1]内部转账!$C:$C,"&lt;="&amp;$D5032,[1]内部转账!$E:$E,$G5032)-SUMIFS([1]内部转账!$G:$G,[1]内部转账!$C:$C,"&lt;="&amp;$D5032,[1]内部转账!$F:$F,$G5032)),"")</f>
        <v/>
      </c>
      <c r="M5032" s="64"/>
      <c r="N5032" s="69"/>
      <c r="O5032" s="64"/>
      <c r="P5032" s="64"/>
      <c r="Q5032" s="69"/>
      <c r="R5032" s="69"/>
      <c r="S5032" s="69"/>
    </row>
    <row r="5033" s="2" customFormat="1" ht="24.95" customHeight="1" spans="1:19">
      <c r="A5033" s="15"/>
      <c r="B5033" s="55"/>
      <c r="C5033" s="56"/>
      <c r="D5033" s="68"/>
      <c r="E5033" s="69"/>
      <c r="F5033" s="69"/>
      <c r="G5033" s="65"/>
      <c r="H5033" s="65"/>
      <c r="I5033" s="70"/>
      <c r="J5033" s="71"/>
      <c r="K5033" s="71"/>
      <c r="L5033" s="72" t="str">
        <f>IFERROR(IF(G5033="","",VLOOKUP($G5033,[1]基础信息!$B:$C,2,FALSE)+SUMIF(G$8:G5033,G5033,J$8:J5033)-SUMIF(G$8:G5033,G5033,K$8:K5033)+SUMIFS([1]内部转账!$G:$G,[1]内部转账!$C:$C,"&lt;="&amp;$D5033,[1]内部转账!$E:$E,$G5033)-SUMIFS([1]内部转账!$G:$G,[1]内部转账!$C:$C,"&lt;="&amp;$D5033,[1]内部转账!$F:$F,$G5033)),"")</f>
        <v/>
      </c>
      <c r="M5033" s="64"/>
      <c r="N5033" s="69"/>
      <c r="O5033" s="64"/>
      <c r="P5033" s="64"/>
      <c r="Q5033" s="69"/>
      <c r="R5033" s="69"/>
      <c r="S5033" s="69"/>
    </row>
    <row r="5034" s="2" customFormat="1" ht="24.95" customHeight="1" spans="1:19">
      <c r="A5034" s="15"/>
      <c r="B5034" s="55"/>
      <c r="C5034" s="56"/>
      <c r="D5034" s="68"/>
      <c r="E5034" s="69"/>
      <c r="F5034" s="69"/>
      <c r="G5034" s="65"/>
      <c r="H5034" s="65"/>
      <c r="I5034" s="70"/>
      <c r="J5034" s="71"/>
      <c r="K5034" s="71"/>
      <c r="L5034" s="72" t="str">
        <f>IFERROR(IF(G5034="","",VLOOKUP($G5034,[1]基础信息!$B:$C,2,FALSE)+SUMIF(G$8:G5034,G5034,J$8:J5034)-SUMIF(G$8:G5034,G5034,K$8:K5034)+SUMIFS([1]内部转账!$G:$G,[1]内部转账!$C:$C,"&lt;="&amp;$D5034,[1]内部转账!$E:$E,$G5034)-SUMIFS([1]内部转账!$G:$G,[1]内部转账!$C:$C,"&lt;="&amp;$D5034,[1]内部转账!$F:$F,$G5034)),"")</f>
        <v/>
      </c>
      <c r="M5034" s="64"/>
      <c r="N5034" s="69"/>
      <c r="O5034" s="64"/>
      <c r="P5034" s="64"/>
      <c r="Q5034" s="69"/>
      <c r="R5034" s="69"/>
      <c r="S5034" s="69"/>
    </row>
    <row r="5035" s="2" customFormat="1" ht="24.95" customHeight="1" spans="1:19">
      <c r="A5035" s="15"/>
      <c r="B5035" s="55"/>
      <c r="C5035" s="56"/>
      <c r="D5035" s="68"/>
      <c r="E5035" s="69"/>
      <c r="F5035" s="69"/>
      <c r="G5035" s="65"/>
      <c r="H5035" s="65"/>
      <c r="I5035" s="70"/>
      <c r="J5035" s="71"/>
      <c r="K5035" s="71"/>
      <c r="L5035" s="72" t="str">
        <f>IFERROR(IF(G5035="","",VLOOKUP($G5035,[1]基础信息!$B:$C,2,FALSE)+SUMIF(G$8:G5035,G5035,J$8:J5035)-SUMIF(G$8:G5035,G5035,K$8:K5035)+SUMIFS([1]内部转账!$G:$G,[1]内部转账!$C:$C,"&lt;="&amp;$D5035,[1]内部转账!$E:$E,$G5035)-SUMIFS([1]内部转账!$G:$G,[1]内部转账!$C:$C,"&lt;="&amp;$D5035,[1]内部转账!$F:$F,$G5035)),"")</f>
        <v/>
      </c>
      <c r="M5035" s="64"/>
      <c r="N5035" s="69"/>
      <c r="O5035" s="64"/>
      <c r="P5035" s="64"/>
      <c r="Q5035" s="69"/>
      <c r="R5035" s="69"/>
      <c r="S5035" s="69"/>
    </row>
    <row r="5036" s="2" customFormat="1" ht="24.95" customHeight="1" spans="1:19">
      <c r="A5036" s="15"/>
      <c r="B5036" s="55"/>
      <c r="C5036" s="56"/>
      <c r="D5036" s="68"/>
      <c r="E5036" s="69"/>
      <c r="F5036" s="69"/>
      <c r="G5036" s="65"/>
      <c r="H5036" s="65"/>
      <c r="I5036" s="70"/>
      <c r="J5036" s="71"/>
      <c r="K5036" s="71"/>
      <c r="L5036" s="72" t="str">
        <f>IFERROR(IF(G5036="","",VLOOKUP($G5036,[1]基础信息!$B:$C,2,FALSE)+SUMIF(G$8:G5036,G5036,J$8:J5036)-SUMIF(G$8:G5036,G5036,K$8:K5036)+SUMIFS([1]内部转账!$G:$G,[1]内部转账!$C:$C,"&lt;="&amp;$D5036,[1]内部转账!$E:$E,$G5036)-SUMIFS([1]内部转账!$G:$G,[1]内部转账!$C:$C,"&lt;="&amp;$D5036,[1]内部转账!$F:$F,$G5036)),"")</f>
        <v/>
      </c>
      <c r="M5036" s="64"/>
      <c r="N5036" s="69"/>
      <c r="O5036" s="64"/>
      <c r="P5036" s="64"/>
      <c r="Q5036" s="69"/>
      <c r="R5036" s="69"/>
      <c r="S5036" s="69"/>
    </row>
    <row r="5037" s="2" customFormat="1" ht="24.95" customHeight="1" spans="1:19">
      <c r="A5037" s="15"/>
      <c r="B5037" s="55"/>
      <c r="C5037" s="56"/>
      <c r="D5037" s="68"/>
      <c r="E5037" s="69"/>
      <c r="F5037" s="69"/>
      <c r="G5037" s="65"/>
      <c r="H5037" s="65"/>
      <c r="I5037" s="70"/>
      <c r="J5037" s="71"/>
      <c r="K5037" s="71"/>
      <c r="L5037" s="72" t="str">
        <f>IFERROR(IF(G5037="","",VLOOKUP($G5037,[1]基础信息!$B:$C,2,FALSE)+SUMIF(G$8:G5037,G5037,J$8:J5037)-SUMIF(G$8:G5037,G5037,K$8:K5037)+SUMIFS([1]内部转账!$G:$G,[1]内部转账!$C:$C,"&lt;="&amp;$D5037,[1]内部转账!$E:$E,$G5037)-SUMIFS([1]内部转账!$G:$G,[1]内部转账!$C:$C,"&lt;="&amp;$D5037,[1]内部转账!$F:$F,$G5037)),"")</f>
        <v/>
      </c>
      <c r="M5037" s="64"/>
      <c r="N5037" s="69"/>
      <c r="O5037" s="64"/>
      <c r="P5037" s="64"/>
      <c r="Q5037" s="69"/>
      <c r="R5037" s="69"/>
      <c r="S5037" s="69"/>
    </row>
    <row r="5038" s="2" customFormat="1" ht="24.95" customHeight="1" spans="1:19">
      <c r="A5038" s="15"/>
      <c r="B5038" s="55"/>
      <c r="C5038" s="56"/>
      <c r="D5038" s="68"/>
      <c r="E5038" s="69"/>
      <c r="F5038" s="69"/>
      <c r="G5038" s="65"/>
      <c r="H5038" s="65"/>
      <c r="I5038" s="70"/>
      <c r="J5038" s="71"/>
      <c r="K5038" s="71"/>
      <c r="L5038" s="72" t="str">
        <f>IFERROR(IF(G5038="","",VLOOKUP($G5038,[1]基础信息!$B:$C,2,FALSE)+SUMIF(G$8:G5038,G5038,J$8:J5038)-SUMIF(G$8:G5038,G5038,K$8:K5038)+SUMIFS([1]内部转账!$G:$G,[1]内部转账!$C:$C,"&lt;="&amp;$D5038,[1]内部转账!$E:$E,$G5038)-SUMIFS([1]内部转账!$G:$G,[1]内部转账!$C:$C,"&lt;="&amp;$D5038,[1]内部转账!$F:$F,$G5038)),"")</f>
        <v/>
      </c>
      <c r="M5038" s="64"/>
      <c r="N5038" s="69"/>
      <c r="O5038" s="64"/>
      <c r="P5038" s="64"/>
      <c r="Q5038" s="69"/>
      <c r="R5038" s="69"/>
      <c r="S5038" s="69"/>
    </row>
    <row r="5039" s="2" customFormat="1" ht="24.95" customHeight="1" spans="1:19">
      <c r="A5039" s="15"/>
      <c r="B5039" s="55"/>
      <c r="C5039" s="56"/>
      <c r="D5039" s="68"/>
      <c r="E5039" s="69"/>
      <c r="F5039" s="69"/>
      <c r="G5039" s="65"/>
      <c r="H5039" s="65"/>
      <c r="I5039" s="70"/>
      <c r="J5039" s="71"/>
      <c r="K5039" s="71"/>
      <c r="L5039" s="72" t="str">
        <f>IFERROR(IF(G5039="","",VLOOKUP($G5039,[1]基础信息!$B:$C,2,FALSE)+SUMIF(G$8:G5039,G5039,J$8:J5039)-SUMIF(G$8:G5039,G5039,K$8:K5039)+SUMIFS([1]内部转账!$G:$G,[1]内部转账!$C:$C,"&lt;="&amp;$D5039,[1]内部转账!$E:$E,$G5039)-SUMIFS([1]内部转账!$G:$G,[1]内部转账!$C:$C,"&lt;="&amp;$D5039,[1]内部转账!$F:$F,$G5039)),"")</f>
        <v/>
      </c>
      <c r="M5039" s="64"/>
      <c r="N5039" s="69"/>
      <c r="O5039" s="64"/>
      <c r="P5039" s="64"/>
      <c r="Q5039" s="69"/>
      <c r="R5039" s="69"/>
      <c r="S5039" s="69"/>
    </row>
    <row r="5040" s="2" customFormat="1" ht="24.95" customHeight="1" spans="1:19">
      <c r="A5040" s="15"/>
      <c r="B5040" s="55"/>
      <c r="C5040" s="56"/>
      <c r="D5040" s="68"/>
      <c r="E5040" s="69"/>
      <c r="F5040" s="69"/>
      <c r="G5040" s="65"/>
      <c r="H5040" s="65"/>
      <c r="I5040" s="70"/>
      <c r="J5040" s="71"/>
      <c r="K5040" s="71"/>
      <c r="L5040" s="72" t="str">
        <f>IFERROR(IF(G5040="","",VLOOKUP($G5040,[1]基础信息!$B:$C,2,FALSE)+SUMIF(G$8:G5040,G5040,J$8:J5040)-SUMIF(G$8:G5040,G5040,K$8:K5040)+SUMIFS([1]内部转账!$G:$G,[1]内部转账!$C:$C,"&lt;="&amp;$D5040,[1]内部转账!$E:$E,$G5040)-SUMIFS([1]内部转账!$G:$G,[1]内部转账!$C:$C,"&lt;="&amp;$D5040,[1]内部转账!$F:$F,$G5040)),"")</f>
        <v/>
      </c>
      <c r="M5040" s="64"/>
      <c r="N5040" s="69"/>
      <c r="O5040" s="64"/>
      <c r="P5040" s="64"/>
      <c r="Q5040" s="69"/>
      <c r="R5040" s="69"/>
      <c r="S5040" s="69"/>
    </row>
    <row r="5041" s="2" customFormat="1" ht="24.95" customHeight="1" spans="1:19">
      <c r="A5041" s="15"/>
      <c r="B5041" s="55"/>
      <c r="C5041" s="56"/>
      <c r="D5041" s="68"/>
      <c r="E5041" s="69"/>
      <c r="F5041" s="69"/>
      <c r="G5041" s="65"/>
      <c r="H5041" s="65"/>
      <c r="I5041" s="70"/>
      <c r="J5041" s="71"/>
      <c r="K5041" s="71"/>
      <c r="L5041" s="72" t="str">
        <f>IFERROR(IF(G5041="","",VLOOKUP($G5041,[1]基础信息!$B:$C,2,FALSE)+SUMIF(G$8:G5041,G5041,J$8:J5041)-SUMIF(G$8:G5041,G5041,K$8:K5041)+SUMIFS([1]内部转账!$G:$G,[1]内部转账!$C:$C,"&lt;="&amp;$D5041,[1]内部转账!$E:$E,$G5041)-SUMIFS([1]内部转账!$G:$G,[1]内部转账!$C:$C,"&lt;="&amp;$D5041,[1]内部转账!$F:$F,$G5041)),"")</f>
        <v/>
      </c>
      <c r="M5041" s="64"/>
      <c r="N5041" s="69"/>
      <c r="O5041" s="64"/>
      <c r="P5041" s="64"/>
      <c r="Q5041" s="69"/>
      <c r="R5041" s="69"/>
      <c r="S5041" s="69"/>
    </row>
    <row r="5042" s="2" customFormat="1" ht="24.95" customHeight="1" spans="1:19">
      <c r="A5042" s="15"/>
      <c r="B5042" s="55"/>
      <c r="C5042" s="56"/>
      <c r="D5042" s="68"/>
      <c r="E5042" s="69"/>
      <c r="F5042" s="69"/>
      <c r="G5042" s="65"/>
      <c r="H5042" s="65"/>
      <c r="I5042" s="70"/>
      <c r="J5042" s="71"/>
      <c r="K5042" s="71"/>
      <c r="L5042" s="72" t="str">
        <f>IFERROR(IF(G5042="","",VLOOKUP($G5042,[1]基础信息!$B:$C,2,FALSE)+SUMIF(G$8:G5042,G5042,J$8:J5042)-SUMIF(G$8:G5042,G5042,K$8:K5042)+SUMIFS([1]内部转账!$G:$G,[1]内部转账!$C:$C,"&lt;="&amp;$D5042,[1]内部转账!$E:$E,$G5042)-SUMIFS([1]内部转账!$G:$G,[1]内部转账!$C:$C,"&lt;="&amp;$D5042,[1]内部转账!$F:$F,$G5042)),"")</f>
        <v/>
      </c>
      <c r="M5042" s="64"/>
      <c r="N5042" s="69"/>
      <c r="O5042" s="64"/>
      <c r="P5042" s="64"/>
      <c r="Q5042" s="69"/>
      <c r="R5042" s="69"/>
      <c r="S5042" s="69"/>
    </row>
    <row r="5043" s="2" customFormat="1" ht="24.95" customHeight="1" spans="1:19">
      <c r="A5043" s="15"/>
      <c r="B5043" s="55"/>
      <c r="C5043" s="56"/>
      <c r="D5043" s="68"/>
      <c r="E5043" s="69"/>
      <c r="F5043" s="69"/>
      <c r="G5043" s="65"/>
      <c r="H5043" s="65"/>
      <c r="I5043" s="70"/>
      <c r="J5043" s="71"/>
      <c r="K5043" s="71"/>
      <c r="L5043" s="72" t="str">
        <f>IFERROR(IF(G5043="","",VLOOKUP($G5043,[1]基础信息!$B:$C,2,FALSE)+SUMIF(G$8:G5043,G5043,J$8:J5043)-SUMIF(G$8:G5043,G5043,K$8:K5043)+SUMIFS([1]内部转账!$G:$G,[1]内部转账!$C:$C,"&lt;="&amp;$D5043,[1]内部转账!$E:$E,$G5043)-SUMIFS([1]内部转账!$G:$G,[1]内部转账!$C:$C,"&lt;="&amp;$D5043,[1]内部转账!$F:$F,$G5043)),"")</f>
        <v/>
      </c>
      <c r="M5043" s="64"/>
      <c r="N5043" s="69"/>
      <c r="O5043" s="64"/>
      <c r="P5043" s="64"/>
      <c r="Q5043" s="69"/>
      <c r="R5043" s="69"/>
      <c r="S5043" s="69"/>
    </row>
    <row r="5044" s="2" customFormat="1" ht="24.95" customHeight="1" spans="1:19">
      <c r="A5044" s="15"/>
      <c r="B5044" s="55"/>
      <c r="C5044" s="56"/>
      <c r="D5044" s="68"/>
      <c r="E5044" s="69"/>
      <c r="F5044" s="69"/>
      <c r="G5044" s="65"/>
      <c r="H5044" s="65"/>
      <c r="I5044" s="70"/>
      <c r="J5044" s="71"/>
      <c r="K5044" s="71"/>
      <c r="L5044" s="72" t="str">
        <f>IFERROR(IF(G5044="","",VLOOKUP($G5044,[1]基础信息!$B:$C,2,FALSE)+SUMIF(G$8:G5044,G5044,J$8:J5044)-SUMIF(G$8:G5044,G5044,K$8:K5044)+SUMIFS([1]内部转账!$G:$G,[1]内部转账!$C:$C,"&lt;="&amp;$D5044,[1]内部转账!$E:$E,$G5044)-SUMIFS([1]内部转账!$G:$G,[1]内部转账!$C:$C,"&lt;="&amp;$D5044,[1]内部转账!$F:$F,$G5044)),"")</f>
        <v/>
      </c>
      <c r="M5044" s="64"/>
      <c r="N5044" s="69"/>
      <c r="O5044" s="64"/>
      <c r="P5044" s="64"/>
      <c r="Q5044" s="69"/>
      <c r="R5044" s="69"/>
      <c r="S5044" s="69"/>
    </row>
    <row r="5045" s="2" customFormat="1" ht="24.95" customHeight="1" spans="1:19">
      <c r="A5045" s="15"/>
      <c r="B5045" s="55"/>
      <c r="C5045" s="56"/>
      <c r="D5045" s="68"/>
      <c r="E5045" s="69"/>
      <c r="F5045" s="69"/>
      <c r="G5045" s="65"/>
      <c r="H5045" s="65"/>
      <c r="I5045" s="70"/>
      <c r="J5045" s="71"/>
      <c r="K5045" s="71"/>
      <c r="L5045" s="72" t="str">
        <f>IFERROR(IF(G5045="","",VLOOKUP($G5045,[1]基础信息!$B:$C,2,FALSE)+SUMIF(G$8:G5045,G5045,J$8:J5045)-SUMIF(G$8:G5045,G5045,K$8:K5045)+SUMIFS([1]内部转账!$G:$G,[1]内部转账!$C:$C,"&lt;="&amp;$D5045,[1]内部转账!$E:$E,$G5045)-SUMIFS([1]内部转账!$G:$G,[1]内部转账!$C:$C,"&lt;="&amp;$D5045,[1]内部转账!$F:$F,$G5045)),"")</f>
        <v/>
      </c>
      <c r="M5045" s="64"/>
      <c r="N5045" s="69"/>
      <c r="O5045" s="64"/>
      <c r="P5045" s="64"/>
      <c r="Q5045" s="69"/>
      <c r="R5045" s="69"/>
      <c r="S5045" s="69"/>
    </row>
    <row r="5046" s="2" customFormat="1" ht="24.95" customHeight="1" spans="1:19">
      <c r="A5046" s="15"/>
      <c r="B5046" s="55"/>
      <c r="C5046" s="56"/>
      <c r="D5046" s="68"/>
      <c r="E5046" s="69"/>
      <c r="F5046" s="69"/>
      <c r="G5046" s="65"/>
      <c r="H5046" s="65"/>
      <c r="I5046" s="70"/>
      <c r="J5046" s="71"/>
      <c r="K5046" s="71"/>
      <c r="L5046" s="72" t="str">
        <f>IFERROR(IF(G5046="","",VLOOKUP($G5046,[1]基础信息!$B:$C,2,FALSE)+SUMIF(G$8:G5046,G5046,J$8:J5046)-SUMIF(G$8:G5046,G5046,K$8:K5046)+SUMIFS([1]内部转账!$G:$G,[1]内部转账!$C:$C,"&lt;="&amp;$D5046,[1]内部转账!$E:$E,$G5046)-SUMIFS([1]内部转账!$G:$G,[1]内部转账!$C:$C,"&lt;="&amp;$D5046,[1]内部转账!$F:$F,$G5046)),"")</f>
        <v/>
      </c>
      <c r="M5046" s="64"/>
      <c r="N5046" s="69"/>
      <c r="O5046" s="64"/>
      <c r="P5046" s="64"/>
      <c r="Q5046" s="69"/>
      <c r="R5046" s="69"/>
      <c r="S5046" s="69"/>
    </row>
    <row r="5047" s="2" customFormat="1" ht="24.95" customHeight="1" spans="1:19">
      <c r="A5047" s="15"/>
      <c r="B5047" s="55"/>
      <c r="C5047" s="56"/>
      <c r="D5047" s="68"/>
      <c r="E5047" s="69"/>
      <c r="F5047" s="69"/>
      <c r="G5047" s="65"/>
      <c r="H5047" s="65"/>
      <c r="I5047" s="70"/>
      <c r="J5047" s="71"/>
      <c r="K5047" s="71"/>
      <c r="L5047" s="72" t="str">
        <f>IFERROR(IF(G5047="","",VLOOKUP($G5047,[1]基础信息!$B:$C,2,FALSE)+SUMIF(G$8:G5047,G5047,J$8:J5047)-SUMIF(G$8:G5047,G5047,K$8:K5047)+SUMIFS([1]内部转账!$G:$G,[1]内部转账!$C:$C,"&lt;="&amp;$D5047,[1]内部转账!$E:$E,$G5047)-SUMIFS([1]内部转账!$G:$G,[1]内部转账!$C:$C,"&lt;="&amp;$D5047,[1]内部转账!$F:$F,$G5047)),"")</f>
        <v/>
      </c>
      <c r="M5047" s="64"/>
      <c r="N5047" s="69"/>
      <c r="O5047" s="64"/>
      <c r="P5047" s="64"/>
      <c r="Q5047" s="69"/>
      <c r="R5047" s="69"/>
      <c r="S5047" s="69"/>
    </row>
    <row r="5048" s="2" customFormat="1" ht="24.95" customHeight="1" spans="1:19">
      <c r="A5048" s="15"/>
      <c r="B5048" s="55"/>
      <c r="C5048" s="56"/>
      <c r="D5048" s="68"/>
      <c r="E5048" s="69"/>
      <c r="F5048" s="69"/>
      <c r="G5048" s="65"/>
      <c r="H5048" s="65"/>
      <c r="I5048" s="70"/>
      <c r="J5048" s="71"/>
      <c r="K5048" s="71"/>
      <c r="L5048" s="72" t="str">
        <f>IFERROR(IF(G5048="","",VLOOKUP($G5048,[1]基础信息!$B:$C,2,FALSE)+SUMIF(G$8:G5048,G5048,J$8:J5048)-SUMIF(G$8:G5048,G5048,K$8:K5048)+SUMIFS([1]内部转账!$G:$G,[1]内部转账!$C:$C,"&lt;="&amp;$D5048,[1]内部转账!$E:$E,$G5048)-SUMIFS([1]内部转账!$G:$G,[1]内部转账!$C:$C,"&lt;="&amp;$D5048,[1]内部转账!$F:$F,$G5048)),"")</f>
        <v/>
      </c>
      <c r="M5048" s="64"/>
      <c r="N5048" s="69"/>
      <c r="O5048" s="64"/>
      <c r="P5048" s="64"/>
      <c r="Q5048" s="69"/>
      <c r="R5048" s="69"/>
      <c r="S5048" s="69"/>
    </row>
    <row r="5049" s="2" customFormat="1" ht="24.95" customHeight="1" spans="1:19">
      <c r="A5049" s="15"/>
      <c r="B5049" s="55"/>
      <c r="C5049" s="56"/>
      <c r="D5049" s="68"/>
      <c r="E5049" s="69"/>
      <c r="F5049" s="69"/>
      <c r="G5049" s="65"/>
      <c r="H5049" s="65"/>
      <c r="I5049" s="70"/>
      <c r="J5049" s="71"/>
      <c r="K5049" s="71"/>
      <c r="L5049" s="72" t="str">
        <f>IFERROR(IF(G5049="","",VLOOKUP($G5049,[1]基础信息!$B:$C,2,FALSE)+SUMIF(G$8:G5049,G5049,J$8:J5049)-SUMIF(G$8:G5049,G5049,K$8:K5049)+SUMIFS([1]内部转账!$G:$G,[1]内部转账!$C:$C,"&lt;="&amp;$D5049,[1]内部转账!$E:$E,$G5049)-SUMIFS([1]内部转账!$G:$G,[1]内部转账!$C:$C,"&lt;="&amp;$D5049,[1]内部转账!$F:$F,$G5049)),"")</f>
        <v/>
      </c>
      <c r="M5049" s="64"/>
      <c r="N5049" s="69"/>
      <c r="O5049" s="64"/>
      <c r="P5049" s="64"/>
      <c r="Q5049" s="69"/>
      <c r="R5049" s="69"/>
      <c r="S5049" s="69"/>
    </row>
    <row r="5050" s="2" customFormat="1" ht="24.95" customHeight="1" spans="1:19">
      <c r="A5050" s="15"/>
      <c r="B5050" s="55"/>
      <c r="C5050" s="56"/>
      <c r="D5050" s="68"/>
      <c r="E5050" s="69"/>
      <c r="F5050" s="69"/>
      <c r="G5050" s="65"/>
      <c r="H5050" s="65"/>
      <c r="I5050" s="70"/>
      <c r="J5050" s="71"/>
      <c r="K5050" s="71"/>
      <c r="L5050" s="72" t="str">
        <f>IFERROR(IF(G5050="","",VLOOKUP($G5050,[1]基础信息!$B:$C,2,FALSE)+SUMIF(G$8:G5050,G5050,J$8:J5050)-SUMIF(G$8:G5050,G5050,K$8:K5050)+SUMIFS([1]内部转账!$G:$G,[1]内部转账!$C:$C,"&lt;="&amp;$D5050,[1]内部转账!$E:$E,$G5050)-SUMIFS([1]内部转账!$G:$G,[1]内部转账!$C:$C,"&lt;="&amp;$D5050,[1]内部转账!$F:$F,$G5050)),"")</f>
        <v/>
      </c>
      <c r="M5050" s="64"/>
      <c r="N5050" s="69"/>
      <c r="O5050" s="64"/>
      <c r="P5050" s="64"/>
      <c r="Q5050" s="69"/>
      <c r="R5050" s="69"/>
      <c r="S5050" s="69"/>
    </row>
    <row r="5051" s="2" customFormat="1" ht="24.95" customHeight="1" spans="1:19">
      <c r="A5051" s="15"/>
      <c r="B5051" s="55"/>
      <c r="C5051" s="56"/>
      <c r="D5051" s="68"/>
      <c r="E5051" s="69"/>
      <c r="F5051" s="69"/>
      <c r="G5051" s="65"/>
      <c r="H5051" s="65"/>
      <c r="I5051" s="70"/>
      <c r="J5051" s="71"/>
      <c r="K5051" s="71"/>
      <c r="L5051" s="72" t="str">
        <f>IFERROR(IF(G5051="","",VLOOKUP($G5051,[1]基础信息!$B:$C,2,FALSE)+SUMIF(G$8:G5051,G5051,J$8:J5051)-SUMIF(G$8:G5051,G5051,K$8:K5051)+SUMIFS([1]内部转账!$G:$G,[1]内部转账!$C:$C,"&lt;="&amp;$D5051,[1]内部转账!$E:$E,$G5051)-SUMIFS([1]内部转账!$G:$G,[1]内部转账!$C:$C,"&lt;="&amp;$D5051,[1]内部转账!$F:$F,$G5051)),"")</f>
        <v/>
      </c>
      <c r="M5051" s="64"/>
      <c r="N5051" s="69"/>
      <c r="O5051" s="64"/>
      <c r="P5051" s="64"/>
      <c r="Q5051" s="69"/>
      <c r="R5051" s="69"/>
      <c r="S5051" s="69"/>
    </row>
    <row r="5052" s="2" customFormat="1" ht="24.95" customHeight="1" spans="1:19">
      <c r="A5052" s="15"/>
      <c r="B5052" s="55"/>
      <c r="C5052" s="56"/>
      <c r="D5052" s="68"/>
      <c r="E5052" s="69"/>
      <c r="F5052" s="69"/>
      <c r="G5052" s="65"/>
      <c r="H5052" s="65"/>
      <c r="I5052" s="70"/>
      <c r="J5052" s="71"/>
      <c r="K5052" s="71"/>
      <c r="L5052" s="72" t="str">
        <f>IFERROR(IF(G5052="","",VLOOKUP($G5052,[1]基础信息!$B:$C,2,FALSE)+SUMIF(G$8:G5052,G5052,J$8:J5052)-SUMIF(G$8:G5052,G5052,K$8:K5052)+SUMIFS([1]内部转账!$G:$G,[1]内部转账!$C:$C,"&lt;="&amp;$D5052,[1]内部转账!$E:$E,$G5052)-SUMIFS([1]内部转账!$G:$G,[1]内部转账!$C:$C,"&lt;="&amp;$D5052,[1]内部转账!$F:$F,$G5052)),"")</f>
        <v/>
      </c>
      <c r="M5052" s="64"/>
      <c r="N5052" s="69"/>
      <c r="O5052" s="64"/>
      <c r="P5052" s="64"/>
      <c r="Q5052" s="69"/>
      <c r="R5052" s="69"/>
      <c r="S5052" s="69"/>
    </row>
    <row r="5053" s="2" customFormat="1" ht="24.95" customHeight="1" spans="1:19">
      <c r="A5053" s="15"/>
      <c r="B5053" s="55"/>
      <c r="C5053" s="56"/>
      <c r="D5053" s="68"/>
      <c r="E5053" s="69"/>
      <c r="F5053" s="69"/>
      <c r="G5053" s="65"/>
      <c r="H5053" s="65"/>
      <c r="I5053" s="70"/>
      <c r="J5053" s="71"/>
      <c r="K5053" s="71"/>
      <c r="L5053" s="72" t="str">
        <f>IFERROR(IF(G5053="","",VLOOKUP($G5053,[1]基础信息!$B:$C,2,FALSE)+SUMIF(G$8:G5053,G5053,J$8:J5053)-SUMIF(G$8:G5053,G5053,K$8:K5053)+SUMIFS([1]内部转账!$G:$G,[1]内部转账!$C:$C,"&lt;="&amp;$D5053,[1]内部转账!$E:$E,$G5053)-SUMIFS([1]内部转账!$G:$G,[1]内部转账!$C:$C,"&lt;="&amp;$D5053,[1]内部转账!$F:$F,$G5053)),"")</f>
        <v/>
      </c>
      <c r="M5053" s="64"/>
      <c r="N5053" s="69"/>
      <c r="O5053" s="64"/>
      <c r="P5053" s="64"/>
      <c r="Q5053" s="69"/>
      <c r="R5053" s="69"/>
      <c r="S5053" s="69"/>
    </row>
    <row r="5054" s="2" customFormat="1" ht="24.95" customHeight="1" spans="1:19">
      <c r="A5054" s="15"/>
      <c r="B5054" s="55"/>
      <c r="C5054" s="56"/>
      <c r="D5054" s="68"/>
      <c r="E5054" s="69"/>
      <c r="F5054" s="69"/>
      <c r="G5054" s="65"/>
      <c r="H5054" s="65"/>
      <c r="I5054" s="70"/>
      <c r="J5054" s="71"/>
      <c r="K5054" s="71"/>
      <c r="L5054" s="72" t="str">
        <f>IFERROR(IF(G5054="","",VLOOKUP($G5054,[1]基础信息!$B:$C,2,FALSE)+SUMIF(G$8:G5054,G5054,J$8:J5054)-SUMIF(G$8:G5054,G5054,K$8:K5054)+SUMIFS([1]内部转账!$G:$G,[1]内部转账!$C:$C,"&lt;="&amp;$D5054,[1]内部转账!$E:$E,$G5054)-SUMIFS([1]内部转账!$G:$G,[1]内部转账!$C:$C,"&lt;="&amp;$D5054,[1]内部转账!$F:$F,$G5054)),"")</f>
        <v/>
      </c>
      <c r="M5054" s="64"/>
      <c r="N5054" s="69"/>
      <c r="O5054" s="64"/>
      <c r="P5054" s="64"/>
      <c r="Q5054" s="69"/>
      <c r="R5054" s="69"/>
      <c r="S5054" s="69"/>
    </row>
    <row r="5055" s="2" customFormat="1" ht="24.95" customHeight="1" spans="1:19">
      <c r="A5055" s="15"/>
      <c r="B5055" s="55"/>
      <c r="C5055" s="56"/>
      <c r="D5055" s="68"/>
      <c r="E5055" s="69"/>
      <c r="F5055" s="69"/>
      <c r="G5055" s="65"/>
      <c r="H5055" s="65"/>
      <c r="I5055" s="70"/>
      <c r="J5055" s="71"/>
      <c r="K5055" s="71"/>
      <c r="L5055" s="72" t="str">
        <f>IFERROR(IF(G5055="","",VLOOKUP($G5055,[1]基础信息!$B:$C,2,FALSE)+SUMIF(G$8:G5055,G5055,J$8:J5055)-SUMIF(G$8:G5055,G5055,K$8:K5055)+SUMIFS([1]内部转账!$G:$G,[1]内部转账!$C:$C,"&lt;="&amp;$D5055,[1]内部转账!$E:$E,$G5055)-SUMIFS([1]内部转账!$G:$G,[1]内部转账!$C:$C,"&lt;="&amp;$D5055,[1]内部转账!$F:$F,$G5055)),"")</f>
        <v/>
      </c>
      <c r="M5055" s="64"/>
      <c r="N5055" s="69"/>
      <c r="O5055" s="64"/>
      <c r="P5055" s="64"/>
      <c r="Q5055" s="69"/>
      <c r="R5055" s="69"/>
      <c r="S5055" s="69"/>
    </row>
    <row r="5056" s="2" customFormat="1" ht="24.95" customHeight="1" spans="1:19">
      <c r="A5056" s="15"/>
      <c r="B5056" s="55"/>
      <c r="C5056" s="56"/>
      <c r="D5056" s="68"/>
      <c r="E5056" s="69"/>
      <c r="F5056" s="69"/>
      <c r="G5056" s="65"/>
      <c r="H5056" s="65"/>
      <c r="I5056" s="70"/>
      <c r="J5056" s="71"/>
      <c r="K5056" s="71"/>
      <c r="L5056" s="72" t="str">
        <f>IFERROR(IF(G5056="","",VLOOKUP($G5056,[1]基础信息!$B:$C,2,FALSE)+SUMIF(G$8:G5056,G5056,J$8:J5056)-SUMIF(G$8:G5056,G5056,K$8:K5056)+SUMIFS([1]内部转账!$G:$G,[1]内部转账!$C:$C,"&lt;="&amp;$D5056,[1]内部转账!$E:$E,$G5056)-SUMIFS([1]内部转账!$G:$G,[1]内部转账!$C:$C,"&lt;="&amp;$D5056,[1]内部转账!$F:$F,$G5056)),"")</f>
        <v/>
      </c>
      <c r="M5056" s="64"/>
      <c r="N5056" s="69"/>
      <c r="O5056" s="64"/>
      <c r="P5056" s="64"/>
      <c r="Q5056" s="69"/>
      <c r="R5056" s="69"/>
      <c r="S5056" s="69"/>
    </row>
    <row r="5057" s="2" customFormat="1" ht="24.95" customHeight="1" spans="1:19">
      <c r="A5057" s="15"/>
      <c r="B5057" s="55"/>
      <c r="C5057" s="56"/>
      <c r="D5057" s="68"/>
      <c r="E5057" s="69"/>
      <c r="F5057" s="69"/>
      <c r="G5057" s="65"/>
      <c r="H5057" s="65"/>
      <c r="I5057" s="70"/>
      <c r="J5057" s="71"/>
      <c r="K5057" s="71"/>
      <c r="L5057" s="72" t="str">
        <f>IFERROR(IF(G5057="","",VLOOKUP($G5057,[1]基础信息!$B:$C,2,FALSE)+SUMIF(G$8:G5057,G5057,J$8:J5057)-SUMIF(G$8:G5057,G5057,K$8:K5057)+SUMIFS([1]内部转账!$G:$G,[1]内部转账!$C:$C,"&lt;="&amp;$D5057,[1]内部转账!$E:$E,$G5057)-SUMIFS([1]内部转账!$G:$G,[1]内部转账!$C:$C,"&lt;="&amp;$D5057,[1]内部转账!$F:$F,$G5057)),"")</f>
        <v/>
      </c>
      <c r="M5057" s="64"/>
      <c r="N5057" s="69"/>
      <c r="O5057" s="64"/>
      <c r="P5057" s="64"/>
      <c r="Q5057" s="69"/>
      <c r="R5057" s="69"/>
      <c r="S5057" s="69"/>
    </row>
    <row r="5058" s="2" customFormat="1" ht="24.95" customHeight="1" spans="1:19">
      <c r="A5058" s="15"/>
      <c r="B5058" s="55"/>
      <c r="C5058" s="56"/>
      <c r="D5058" s="68"/>
      <c r="E5058" s="69"/>
      <c r="F5058" s="69"/>
      <c r="G5058" s="65"/>
      <c r="H5058" s="65"/>
      <c r="I5058" s="70"/>
      <c r="J5058" s="71"/>
      <c r="K5058" s="71"/>
      <c r="L5058" s="72" t="str">
        <f>IFERROR(IF(G5058="","",VLOOKUP($G5058,[1]基础信息!$B:$C,2,FALSE)+SUMIF(G$8:G5058,G5058,J$8:J5058)-SUMIF(G$8:G5058,G5058,K$8:K5058)+SUMIFS([1]内部转账!$G:$G,[1]内部转账!$C:$C,"&lt;="&amp;$D5058,[1]内部转账!$E:$E,$G5058)-SUMIFS([1]内部转账!$G:$G,[1]内部转账!$C:$C,"&lt;="&amp;$D5058,[1]内部转账!$F:$F,$G5058)),"")</f>
        <v/>
      </c>
      <c r="M5058" s="64"/>
      <c r="N5058" s="69"/>
      <c r="O5058" s="64"/>
      <c r="P5058" s="64"/>
      <c r="Q5058" s="69"/>
      <c r="R5058" s="69"/>
      <c r="S5058" s="69"/>
    </row>
    <row r="5059" s="2" customFormat="1" ht="24.95" customHeight="1" spans="1:19">
      <c r="A5059" s="15"/>
      <c r="B5059" s="55"/>
      <c r="C5059" s="56"/>
      <c r="D5059" s="68"/>
      <c r="E5059" s="69"/>
      <c r="F5059" s="69"/>
      <c r="G5059" s="65"/>
      <c r="H5059" s="65"/>
      <c r="I5059" s="70"/>
      <c r="J5059" s="71"/>
      <c r="K5059" s="71"/>
      <c r="L5059" s="72" t="str">
        <f>IFERROR(IF(G5059="","",VLOOKUP($G5059,[1]基础信息!$B:$C,2,FALSE)+SUMIF(G$8:G5059,G5059,J$8:J5059)-SUMIF(G$8:G5059,G5059,K$8:K5059)+SUMIFS([1]内部转账!$G:$G,[1]内部转账!$C:$C,"&lt;="&amp;$D5059,[1]内部转账!$E:$E,$G5059)-SUMIFS([1]内部转账!$G:$G,[1]内部转账!$C:$C,"&lt;="&amp;$D5059,[1]内部转账!$F:$F,$G5059)),"")</f>
        <v/>
      </c>
      <c r="M5059" s="64"/>
      <c r="N5059" s="69"/>
      <c r="O5059" s="64"/>
      <c r="P5059" s="64"/>
      <c r="Q5059" s="69"/>
      <c r="R5059" s="69"/>
      <c r="S5059" s="69"/>
    </row>
    <row r="5060" s="2" customFormat="1" ht="24.95" customHeight="1" spans="1:19">
      <c r="A5060" s="15"/>
      <c r="B5060" s="55"/>
      <c r="C5060" s="56"/>
      <c r="D5060" s="68"/>
      <c r="E5060" s="69"/>
      <c r="F5060" s="69"/>
      <c r="G5060" s="65"/>
      <c r="H5060" s="65"/>
      <c r="I5060" s="70"/>
      <c r="J5060" s="71"/>
      <c r="K5060" s="71"/>
      <c r="L5060" s="72" t="str">
        <f>IFERROR(IF(G5060="","",VLOOKUP($G5060,[1]基础信息!$B:$C,2,FALSE)+SUMIF(G$8:G5060,G5060,J$8:J5060)-SUMIF(G$8:G5060,G5060,K$8:K5060)+SUMIFS([1]内部转账!$G:$G,[1]内部转账!$C:$C,"&lt;="&amp;$D5060,[1]内部转账!$E:$E,$G5060)-SUMIFS([1]内部转账!$G:$G,[1]内部转账!$C:$C,"&lt;="&amp;$D5060,[1]内部转账!$F:$F,$G5060)),"")</f>
        <v/>
      </c>
      <c r="M5060" s="64"/>
      <c r="N5060" s="69"/>
      <c r="O5060" s="64"/>
      <c r="P5060" s="64"/>
      <c r="Q5060" s="69"/>
      <c r="R5060" s="69"/>
      <c r="S5060" s="69"/>
    </row>
    <row r="5061" s="2" customFormat="1" ht="24.95" customHeight="1" spans="1:19">
      <c r="A5061" s="15"/>
      <c r="B5061" s="55"/>
      <c r="C5061" s="56"/>
      <c r="D5061" s="68"/>
      <c r="E5061" s="69"/>
      <c r="F5061" s="69"/>
      <c r="G5061" s="65"/>
      <c r="H5061" s="65"/>
      <c r="I5061" s="70"/>
      <c r="J5061" s="71"/>
      <c r="K5061" s="71"/>
      <c r="L5061" s="72" t="str">
        <f>IFERROR(IF(G5061="","",VLOOKUP($G5061,[1]基础信息!$B:$C,2,FALSE)+SUMIF(G$8:G5061,G5061,J$8:J5061)-SUMIF(G$8:G5061,G5061,K$8:K5061)+SUMIFS([1]内部转账!$G:$G,[1]内部转账!$C:$C,"&lt;="&amp;$D5061,[1]内部转账!$E:$E,$G5061)-SUMIFS([1]内部转账!$G:$G,[1]内部转账!$C:$C,"&lt;="&amp;$D5061,[1]内部转账!$F:$F,$G5061)),"")</f>
        <v/>
      </c>
      <c r="M5061" s="64"/>
      <c r="N5061" s="69"/>
      <c r="O5061" s="64"/>
      <c r="P5061" s="64"/>
      <c r="Q5061" s="69"/>
      <c r="R5061" s="69"/>
      <c r="S5061" s="69"/>
    </row>
    <row r="5062" s="2" customFormat="1" ht="24.95" customHeight="1" spans="1:19">
      <c r="A5062" s="15"/>
      <c r="B5062" s="55"/>
      <c r="C5062" s="56"/>
      <c r="D5062" s="68"/>
      <c r="E5062" s="69"/>
      <c r="F5062" s="69"/>
      <c r="G5062" s="65"/>
      <c r="H5062" s="65"/>
      <c r="I5062" s="70"/>
      <c r="J5062" s="71"/>
      <c r="K5062" s="71"/>
      <c r="L5062" s="72" t="str">
        <f>IFERROR(IF(G5062="","",VLOOKUP($G5062,[1]基础信息!$B:$C,2,FALSE)+SUMIF(G$8:G5062,G5062,J$8:J5062)-SUMIF(G$8:G5062,G5062,K$8:K5062)+SUMIFS([1]内部转账!$G:$G,[1]内部转账!$C:$C,"&lt;="&amp;$D5062,[1]内部转账!$E:$E,$G5062)-SUMIFS([1]内部转账!$G:$G,[1]内部转账!$C:$C,"&lt;="&amp;$D5062,[1]内部转账!$F:$F,$G5062)),"")</f>
        <v/>
      </c>
      <c r="M5062" s="64"/>
      <c r="N5062" s="69"/>
      <c r="O5062" s="64"/>
      <c r="P5062" s="64"/>
      <c r="Q5062" s="69"/>
      <c r="R5062" s="69"/>
      <c r="S5062" s="69"/>
    </row>
    <row r="5063" s="2" customFormat="1" ht="24.95" customHeight="1" spans="1:19">
      <c r="A5063" s="15"/>
      <c r="B5063" s="55"/>
      <c r="C5063" s="56"/>
      <c r="D5063" s="68"/>
      <c r="E5063" s="69"/>
      <c r="F5063" s="69"/>
      <c r="G5063" s="65"/>
      <c r="H5063" s="65"/>
      <c r="I5063" s="70"/>
      <c r="J5063" s="71"/>
      <c r="K5063" s="71"/>
      <c r="L5063" s="72" t="str">
        <f>IFERROR(IF(G5063="","",VLOOKUP($G5063,[1]基础信息!$B:$C,2,FALSE)+SUMIF(G$8:G5063,G5063,J$8:J5063)-SUMIF(G$8:G5063,G5063,K$8:K5063)+SUMIFS([1]内部转账!$G:$G,[1]内部转账!$C:$C,"&lt;="&amp;$D5063,[1]内部转账!$E:$E,$G5063)-SUMIFS([1]内部转账!$G:$G,[1]内部转账!$C:$C,"&lt;="&amp;$D5063,[1]内部转账!$F:$F,$G5063)),"")</f>
        <v/>
      </c>
      <c r="M5063" s="64"/>
      <c r="N5063" s="69"/>
      <c r="O5063" s="64"/>
      <c r="P5063" s="64"/>
      <c r="Q5063" s="69"/>
      <c r="R5063" s="69"/>
      <c r="S5063" s="69"/>
    </row>
    <row r="5064" s="2" customFormat="1" ht="24.95" customHeight="1" spans="1:19">
      <c r="A5064" s="15"/>
      <c r="B5064" s="55"/>
      <c r="C5064" s="56"/>
      <c r="D5064" s="68"/>
      <c r="E5064" s="69"/>
      <c r="F5064" s="69"/>
      <c r="G5064" s="65"/>
      <c r="H5064" s="65"/>
      <c r="I5064" s="70"/>
      <c r="J5064" s="71"/>
      <c r="K5064" s="71"/>
      <c r="L5064" s="72" t="str">
        <f>IFERROR(IF(G5064="","",VLOOKUP($G5064,[1]基础信息!$B:$C,2,FALSE)+SUMIF(G$8:G5064,G5064,J$8:J5064)-SUMIF(G$8:G5064,G5064,K$8:K5064)+SUMIFS([1]内部转账!$G:$G,[1]内部转账!$C:$C,"&lt;="&amp;$D5064,[1]内部转账!$E:$E,$G5064)-SUMIFS([1]内部转账!$G:$G,[1]内部转账!$C:$C,"&lt;="&amp;$D5064,[1]内部转账!$F:$F,$G5064)),"")</f>
        <v/>
      </c>
      <c r="M5064" s="64"/>
      <c r="N5064" s="69"/>
      <c r="O5064" s="64"/>
      <c r="P5064" s="64"/>
      <c r="Q5064" s="69"/>
      <c r="R5064" s="69"/>
      <c r="S5064" s="69"/>
    </row>
    <row r="5065" s="2" customFormat="1" ht="24.95" customHeight="1" spans="1:19">
      <c r="A5065" s="15"/>
      <c r="B5065" s="55"/>
      <c r="C5065" s="56"/>
      <c r="D5065" s="68"/>
      <c r="E5065" s="69"/>
      <c r="F5065" s="69"/>
      <c r="G5065" s="65"/>
      <c r="H5065" s="65"/>
      <c r="I5065" s="70"/>
      <c r="J5065" s="71"/>
      <c r="K5065" s="71"/>
      <c r="L5065" s="72" t="str">
        <f>IFERROR(IF(G5065="","",VLOOKUP($G5065,[1]基础信息!$B:$C,2,FALSE)+SUMIF(G$8:G5065,G5065,J$8:J5065)-SUMIF(G$8:G5065,G5065,K$8:K5065)+SUMIFS([1]内部转账!$G:$G,[1]内部转账!$C:$C,"&lt;="&amp;$D5065,[1]内部转账!$E:$E,$G5065)-SUMIFS([1]内部转账!$G:$G,[1]内部转账!$C:$C,"&lt;="&amp;$D5065,[1]内部转账!$F:$F,$G5065)),"")</f>
        <v/>
      </c>
      <c r="M5065" s="64"/>
      <c r="N5065" s="69"/>
      <c r="O5065" s="64"/>
      <c r="P5065" s="64"/>
      <c r="Q5065" s="69"/>
      <c r="R5065" s="69"/>
      <c r="S5065" s="69"/>
    </row>
    <row r="5066" s="2" customFormat="1" ht="24.95" customHeight="1" spans="1:19">
      <c r="A5066" s="15"/>
      <c r="B5066" s="55"/>
      <c r="C5066" s="56"/>
      <c r="D5066" s="68"/>
      <c r="E5066" s="69"/>
      <c r="F5066" s="69"/>
      <c r="G5066" s="65"/>
      <c r="H5066" s="65"/>
      <c r="I5066" s="70"/>
      <c r="J5066" s="71"/>
      <c r="K5066" s="71"/>
      <c r="L5066" s="72" t="str">
        <f>IFERROR(IF(G5066="","",VLOOKUP($G5066,[1]基础信息!$B:$C,2,FALSE)+SUMIF(G$8:G5066,G5066,J$8:J5066)-SUMIF(G$8:G5066,G5066,K$8:K5066)+SUMIFS([1]内部转账!$G:$G,[1]内部转账!$C:$C,"&lt;="&amp;$D5066,[1]内部转账!$E:$E,$G5066)-SUMIFS([1]内部转账!$G:$G,[1]内部转账!$C:$C,"&lt;="&amp;$D5066,[1]内部转账!$F:$F,$G5066)),"")</f>
        <v/>
      </c>
      <c r="M5066" s="64"/>
      <c r="N5066" s="69"/>
      <c r="O5066" s="64"/>
      <c r="P5066" s="64"/>
      <c r="Q5066" s="69"/>
      <c r="R5066" s="69"/>
      <c r="S5066" s="69"/>
    </row>
    <row r="5067" s="2" customFormat="1" ht="24.95" customHeight="1" spans="1:19">
      <c r="A5067" s="15"/>
      <c r="B5067" s="55"/>
      <c r="C5067" s="56"/>
      <c r="D5067" s="68"/>
      <c r="E5067" s="69"/>
      <c r="F5067" s="69"/>
      <c r="G5067" s="65"/>
      <c r="H5067" s="65"/>
      <c r="I5067" s="70"/>
      <c r="J5067" s="71"/>
      <c r="K5067" s="71"/>
      <c r="L5067" s="72" t="str">
        <f>IFERROR(IF(G5067="","",VLOOKUP($G5067,[1]基础信息!$B:$C,2,FALSE)+SUMIF(G$8:G5067,G5067,J$8:J5067)-SUMIF(G$8:G5067,G5067,K$8:K5067)+SUMIFS([1]内部转账!$G:$G,[1]内部转账!$C:$C,"&lt;="&amp;$D5067,[1]内部转账!$E:$E,$G5067)-SUMIFS([1]内部转账!$G:$G,[1]内部转账!$C:$C,"&lt;="&amp;$D5067,[1]内部转账!$F:$F,$G5067)),"")</f>
        <v/>
      </c>
      <c r="M5067" s="64"/>
      <c r="N5067" s="69"/>
      <c r="O5067" s="64"/>
      <c r="P5067" s="64"/>
      <c r="Q5067" s="69"/>
      <c r="R5067" s="69"/>
      <c r="S5067" s="69"/>
    </row>
    <row r="5068" s="2" customFormat="1" ht="24.95" customHeight="1" spans="1:19">
      <c r="A5068" s="15"/>
      <c r="B5068" s="55"/>
      <c r="C5068" s="56"/>
      <c r="D5068" s="68"/>
      <c r="E5068" s="69"/>
      <c r="F5068" s="69"/>
      <c r="G5068" s="65"/>
      <c r="H5068" s="65"/>
      <c r="I5068" s="70"/>
      <c r="J5068" s="71"/>
      <c r="K5068" s="71"/>
      <c r="L5068" s="72" t="str">
        <f>IFERROR(IF(G5068="","",VLOOKUP($G5068,[1]基础信息!$B:$C,2,FALSE)+SUMIF(G$8:G5068,G5068,J$8:J5068)-SUMIF(G$8:G5068,G5068,K$8:K5068)+SUMIFS([1]内部转账!$G:$G,[1]内部转账!$C:$C,"&lt;="&amp;$D5068,[1]内部转账!$E:$E,$G5068)-SUMIFS([1]内部转账!$G:$G,[1]内部转账!$C:$C,"&lt;="&amp;$D5068,[1]内部转账!$F:$F,$G5068)),"")</f>
        <v/>
      </c>
      <c r="M5068" s="64"/>
      <c r="N5068" s="69"/>
      <c r="O5068" s="64"/>
      <c r="P5068" s="64"/>
      <c r="Q5068" s="69"/>
      <c r="R5068" s="69"/>
      <c r="S5068" s="69"/>
    </row>
    <row r="5069" s="2" customFormat="1" ht="24.95" customHeight="1" spans="1:19">
      <c r="A5069" s="15"/>
      <c r="B5069" s="55"/>
      <c r="C5069" s="56"/>
      <c r="D5069" s="68"/>
      <c r="E5069" s="69"/>
      <c r="F5069" s="69"/>
      <c r="G5069" s="65"/>
      <c r="H5069" s="65"/>
      <c r="I5069" s="70"/>
      <c r="J5069" s="71"/>
      <c r="K5069" s="71"/>
      <c r="L5069" s="72" t="str">
        <f>IFERROR(IF(G5069="","",VLOOKUP($G5069,[1]基础信息!$B:$C,2,FALSE)+SUMIF(G$8:G5069,G5069,J$8:J5069)-SUMIF(G$8:G5069,G5069,K$8:K5069)+SUMIFS([1]内部转账!$G:$G,[1]内部转账!$C:$C,"&lt;="&amp;$D5069,[1]内部转账!$E:$E,$G5069)-SUMIFS([1]内部转账!$G:$G,[1]内部转账!$C:$C,"&lt;="&amp;$D5069,[1]内部转账!$F:$F,$G5069)),"")</f>
        <v/>
      </c>
      <c r="M5069" s="64"/>
      <c r="N5069" s="69"/>
      <c r="O5069" s="64"/>
      <c r="P5069" s="64"/>
      <c r="Q5069" s="69"/>
      <c r="R5069" s="69"/>
      <c r="S5069" s="69"/>
    </row>
    <row r="5070" s="2" customFormat="1" ht="24.95" customHeight="1" spans="1:19">
      <c r="A5070" s="15"/>
      <c r="B5070" s="55"/>
      <c r="C5070" s="56"/>
      <c r="D5070" s="68"/>
      <c r="E5070" s="69"/>
      <c r="F5070" s="69"/>
      <c r="G5070" s="65"/>
      <c r="H5070" s="65"/>
      <c r="I5070" s="70"/>
      <c r="J5070" s="71"/>
      <c r="K5070" s="71"/>
      <c r="L5070" s="72" t="str">
        <f>IFERROR(IF(G5070="","",VLOOKUP($G5070,[1]基础信息!$B:$C,2,FALSE)+SUMIF(G$8:G5070,G5070,J$8:J5070)-SUMIF(G$8:G5070,G5070,K$8:K5070)+SUMIFS([1]内部转账!$G:$G,[1]内部转账!$C:$C,"&lt;="&amp;$D5070,[1]内部转账!$E:$E,$G5070)-SUMIFS([1]内部转账!$G:$G,[1]内部转账!$C:$C,"&lt;="&amp;$D5070,[1]内部转账!$F:$F,$G5070)),"")</f>
        <v/>
      </c>
      <c r="M5070" s="64"/>
      <c r="N5070" s="69"/>
      <c r="O5070" s="64"/>
      <c r="P5070" s="64"/>
      <c r="Q5070" s="69"/>
      <c r="R5070" s="69"/>
      <c r="S5070" s="69"/>
    </row>
    <row r="5071" s="2" customFormat="1" ht="24.95" customHeight="1" spans="1:19">
      <c r="A5071" s="15"/>
      <c r="B5071" s="55"/>
      <c r="C5071" s="56"/>
      <c r="D5071" s="68"/>
      <c r="E5071" s="69"/>
      <c r="F5071" s="69"/>
      <c r="G5071" s="65"/>
      <c r="H5071" s="65"/>
      <c r="I5071" s="70"/>
      <c r="J5071" s="71"/>
      <c r="K5071" s="71"/>
      <c r="L5071" s="72" t="str">
        <f>IFERROR(IF(G5071="","",VLOOKUP($G5071,[1]基础信息!$B:$C,2,FALSE)+SUMIF(G$8:G5071,G5071,J$8:J5071)-SUMIF(G$8:G5071,G5071,K$8:K5071)+SUMIFS([1]内部转账!$G:$G,[1]内部转账!$C:$C,"&lt;="&amp;$D5071,[1]内部转账!$E:$E,$G5071)-SUMIFS([1]内部转账!$G:$G,[1]内部转账!$C:$C,"&lt;="&amp;$D5071,[1]内部转账!$F:$F,$G5071)),"")</f>
        <v/>
      </c>
      <c r="M5071" s="64"/>
      <c r="N5071" s="69"/>
      <c r="O5071" s="64"/>
      <c r="P5071" s="64"/>
      <c r="Q5071" s="69"/>
      <c r="R5071" s="69"/>
      <c r="S5071" s="69"/>
    </row>
    <row r="5072" s="2" customFormat="1" ht="24.95" customHeight="1" spans="1:19">
      <c r="A5072" s="15"/>
      <c r="B5072" s="55"/>
      <c r="C5072" s="56"/>
      <c r="D5072" s="68"/>
      <c r="E5072" s="69"/>
      <c r="F5072" s="69"/>
      <c r="G5072" s="65"/>
      <c r="H5072" s="65"/>
      <c r="I5072" s="70"/>
      <c r="J5072" s="71"/>
      <c r="K5072" s="71"/>
      <c r="L5072" s="72" t="str">
        <f>IFERROR(IF(G5072="","",VLOOKUP($G5072,[1]基础信息!$B:$C,2,FALSE)+SUMIF(G$8:G5072,G5072,J$8:J5072)-SUMIF(G$8:G5072,G5072,K$8:K5072)+SUMIFS([1]内部转账!$G:$G,[1]内部转账!$C:$C,"&lt;="&amp;$D5072,[1]内部转账!$E:$E,$G5072)-SUMIFS([1]内部转账!$G:$G,[1]内部转账!$C:$C,"&lt;="&amp;$D5072,[1]内部转账!$F:$F,$G5072)),"")</f>
        <v/>
      </c>
      <c r="M5072" s="64"/>
      <c r="N5072" s="69"/>
      <c r="O5072" s="64"/>
      <c r="P5072" s="64"/>
      <c r="Q5072" s="69"/>
      <c r="R5072" s="69"/>
      <c r="S5072" s="69"/>
    </row>
    <row r="5073" s="2" customFormat="1" ht="24.95" customHeight="1" spans="1:19">
      <c r="A5073" s="15"/>
      <c r="B5073" s="55"/>
      <c r="C5073" s="56"/>
      <c r="D5073" s="68"/>
      <c r="E5073" s="69"/>
      <c r="F5073" s="69"/>
      <c r="G5073" s="65"/>
      <c r="H5073" s="65"/>
      <c r="I5073" s="70"/>
      <c r="J5073" s="71"/>
      <c r="K5073" s="71"/>
      <c r="L5073" s="72" t="str">
        <f>IFERROR(IF(G5073="","",VLOOKUP($G5073,[1]基础信息!$B:$C,2,FALSE)+SUMIF(G$8:G5073,G5073,J$8:J5073)-SUMIF(G$8:G5073,G5073,K$8:K5073)+SUMIFS([1]内部转账!$G:$G,[1]内部转账!$C:$C,"&lt;="&amp;$D5073,[1]内部转账!$E:$E,$G5073)-SUMIFS([1]内部转账!$G:$G,[1]内部转账!$C:$C,"&lt;="&amp;$D5073,[1]内部转账!$F:$F,$G5073)),"")</f>
        <v/>
      </c>
      <c r="M5073" s="64"/>
      <c r="N5073" s="69"/>
      <c r="O5073" s="64"/>
      <c r="P5073" s="64"/>
      <c r="Q5073" s="69"/>
      <c r="R5073" s="69"/>
      <c r="S5073" s="69"/>
    </row>
    <row r="5074" s="2" customFormat="1" ht="24.95" customHeight="1" spans="1:19">
      <c r="A5074" s="15"/>
      <c r="B5074" s="55"/>
      <c r="C5074" s="56"/>
      <c r="D5074" s="68"/>
      <c r="E5074" s="69"/>
      <c r="F5074" s="69"/>
      <c r="G5074" s="65"/>
      <c r="H5074" s="65"/>
      <c r="I5074" s="70"/>
      <c r="J5074" s="71"/>
      <c r="K5074" s="71"/>
      <c r="L5074" s="72" t="str">
        <f>IFERROR(IF(G5074="","",VLOOKUP($G5074,[1]基础信息!$B:$C,2,FALSE)+SUMIF(G$8:G5074,G5074,J$8:J5074)-SUMIF(G$8:G5074,G5074,K$8:K5074)+SUMIFS([1]内部转账!$G:$G,[1]内部转账!$C:$C,"&lt;="&amp;$D5074,[1]内部转账!$E:$E,$G5074)-SUMIFS([1]内部转账!$G:$G,[1]内部转账!$C:$C,"&lt;="&amp;$D5074,[1]内部转账!$F:$F,$G5074)),"")</f>
        <v/>
      </c>
      <c r="M5074" s="64"/>
      <c r="N5074" s="69"/>
      <c r="O5074" s="64"/>
      <c r="P5074" s="64"/>
      <c r="Q5074" s="69"/>
      <c r="R5074" s="69"/>
      <c r="S5074" s="69"/>
    </row>
    <row r="5075" s="2" customFormat="1" ht="24.95" customHeight="1" spans="1:19">
      <c r="A5075" s="15"/>
      <c r="B5075" s="55"/>
      <c r="C5075" s="56"/>
      <c r="D5075" s="68"/>
      <c r="E5075" s="69"/>
      <c r="F5075" s="69"/>
      <c r="G5075" s="65"/>
      <c r="H5075" s="65"/>
      <c r="I5075" s="70"/>
      <c r="J5075" s="71"/>
      <c r="K5075" s="71"/>
      <c r="L5075" s="72" t="str">
        <f>IFERROR(IF(G5075="","",VLOOKUP($G5075,[1]基础信息!$B:$C,2,FALSE)+SUMIF(G$8:G5075,G5075,J$8:J5075)-SUMIF(G$8:G5075,G5075,K$8:K5075)+SUMIFS([1]内部转账!$G:$G,[1]内部转账!$C:$C,"&lt;="&amp;$D5075,[1]内部转账!$E:$E,$G5075)-SUMIFS([1]内部转账!$G:$G,[1]内部转账!$C:$C,"&lt;="&amp;$D5075,[1]内部转账!$F:$F,$G5075)),"")</f>
        <v/>
      </c>
      <c r="M5075" s="64"/>
      <c r="N5075" s="69"/>
      <c r="O5075" s="64"/>
      <c r="P5075" s="64"/>
      <c r="Q5075" s="69"/>
      <c r="R5075" s="69"/>
      <c r="S5075" s="69"/>
    </row>
    <row r="5076" s="2" customFormat="1" ht="24.95" customHeight="1" spans="1:19">
      <c r="A5076" s="15"/>
      <c r="B5076" s="55"/>
      <c r="C5076" s="56"/>
      <c r="D5076" s="68"/>
      <c r="E5076" s="69"/>
      <c r="F5076" s="69"/>
      <c r="G5076" s="65"/>
      <c r="H5076" s="65"/>
      <c r="I5076" s="70"/>
      <c r="J5076" s="71"/>
      <c r="K5076" s="71"/>
      <c r="L5076" s="72" t="str">
        <f>IFERROR(IF(G5076="","",VLOOKUP($G5076,[1]基础信息!$B:$C,2,FALSE)+SUMIF(G$8:G5076,G5076,J$8:J5076)-SUMIF(G$8:G5076,G5076,K$8:K5076)+SUMIFS([1]内部转账!$G:$G,[1]内部转账!$C:$C,"&lt;="&amp;$D5076,[1]内部转账!$E:$E,$G5076)-SUMIFS([1]内部转账!$G:$G,[1]内部转账!$C:$C,"&lt;="&amp;$D5076,[1]内部转账!$F:$F,$G5076)),"")</f>
        <v/>
      </c>
      <c r="M5076" s="64"/>
      <c r="N5076" s="69"/>
      <c r="O5076" s="64"/>
      <c r="P5076" s="64"/>
      <c r="Q5076" s="69"/>
      <c r="R5076" s="69"/>
      <c r="S5076" s="69"/>
    </row>
    <row r="5077" s="2" customFormat="1" ht="24.95" customHeight="1" spans="1:19">
      <c r="A5077" s="15"/>
      <c r="B5077" s="55"/>
      <c r="C5077" s="56"/>
      <c r="D5077" s="68"/>
      <c r="E5077" s="69"/>
      <c r="F5077" s="69"/>
      <c r="G5077" s="65"/>
      <c r="H5077" s="65"/>
      <c r="I5077" s="70"/>
      <c r="J5077" s="71"/>
      <c r="K5077" s="71"/>
      <c r="L5077" s="72" t="str">
        <f>IFERROR(IF(G5077="","",VLOOKUP($G5077,[1]基础信息!$B:$C,2,FALSE)+SUMIF(G$8:G5077,G5077,J$8:J5077)-SUMIF(G$8:G5077,G5077,K$8:K5077)+SUMIFS([1]内部转账!$G:$G,[1]内部转账!$C:$C,"&lt;="&amp;$D5077,[1]内部转账!$E:$E,$G5077)-SUMIFS([1]内部转账!$G:$G,[1]内部转账!$C:$C,"&lt;="&amp;$D5077,[1]内部转账!$F:$F,$G5077)),"")</f>
        <v/>
      </c>
      <c r="M5077" s="64"/>
      <c r="N5077" s="69"/>
      <c r="O5077" s="64"/>
      <c r="P5077" s="64"/>
      <c r="Q5077" s="69"/>
      <c r="R5077" s="69"/>
      <c r="S5077" s="69"/>
    </row>
    <row r="5078" s="2" customFormat="1" ht="24.95" customHeight="1" spans="1:19">
      <c r="A5078" s="15"/>
      <c r="B5078" s="55"/>
      <c r="C5078" s="56"/>
      <c r="D5078" s="68"/>
      <c r="E5078" s="69"/>
      <c r="F5078" s="69"/>
      <c r="G5078" s="65"/>
      <c r="H5078" s="65"/>
      <c r="I5078" s="70"/>
      <c r="J5078" s="71"/>
      <c r="K5078" s="71"/>
      <c r="L5078" s="72" t="str">
        <f>IFERROR(IF(G5078="","",VLOOKUP($G5078,[1]基础信息!$B:$C,2,FALSE)+SUMIF(G$8:G5078,G5078,J$8:J5078)-SUMIF(G$8:G5078,G5078,K$8:K5078)+SUMIFS([1]内部转账!$G:$G,[1]内部转账!$C:$C,"&lt;="&amp;$D5078,[1]内部转账!$E:$E,$G5078)-SUMIFS([1]内部转账!$G:$G,[1]内部转账!$C:$C,"&lt;="&amp;$D5078,[1]内部转账!$F:$F,$G5078)),"")</f>
        <v/>
      </c>
      <c r="M5078" s="64"/>
      <c r="N5078" s="69"/>
      <c r="O5078" s="64"/>
      <c r="P5078" s="64"/>
      <c r="Q5078" s="69"/>
      <c r="R5078" s="69"/>
      <c r="S5078" s="69"/>
    </row>
    <row r="5079" s="2" customFormat="1" ht="24.95" customHeight="1" spans="1:19">
      <c r="A5079" s="15"/>
      <c r="B5079" s="55"/>
      <c r="C5079" s="56"/>
      <c r="D5079" s="68"/>
      <c r="E5079" s="69"/>
      <c r="F5079" s="69"/>
      <c r="G5079" s="65"/>
      <c r="H5079" s="65"/>
      <c r="I5079" s="70"/>
      <c r="J5079" s="71"/>
      <c r="K5079" s="71"/>
      <c r="L5079" s="72" t="str">
        <f>IFERROR(IF(G5079="","",VLOOKUP($G5079,[1]基础信息!$B:$C,2,FALSE)+SUMIF(G$8:G5079,G5079,J$8:J5079)-SUMIF(G$8:G5079,G5079,K$8:K5079)+SUMIFS([1]内部转账!$G:$G,[1]内部转账!$C:$C,"&lt;="&amp;$D5079,[1]内部转账!$E:$E,$G5079)-SUMIFS([1]内部转账!$G:$G,[1]内部转账!$C:$C,"&lt;="&amp;$D5079,[1]内部转账!$F:$F,$G5079)),"")</f>
        <v/>
      </c>
      <c r="M5079" s="64"/>
      <c r="N5079" s="69"/>
      <c r="O5079" s="64"/>
      <c r="P5079" s="64"/>
      <c r="Q5079" s="69"/>
      <c r="R5079" s="69"/>
      <c r="S5079" s="69"/>
    </row>
    <row r="5080" s="2" customFormat="1" ht="24.95" customHeight="1" spans="1:19">
      <c r="A5080" s="15"/>
      <c r="B5080" s="55"/>
      <c r="C5080" s="56"/>
      <c r="D5080" s="68"/>
      <c r="E5080" s="69"/>
      <c r="F5080" s="69"/>
      <c r="G5080" s="65"/>
      <c r="H5080" s="65"/>
      <c r="I5080" s="70"/>
      <c r="J5080" s="71"/>
      <c r="K5080" s="71"/>
      <c r="L5080" s="72" t="str">
        <f>IFERROR(IF(G5080="","",VLOOKUP($G5080,[1]基础信息!$B:$C,2,FALSE)+SUMIF(G$8:G5080,G5080,J$8:J5080)-SUMIF(G$8:G5080,G5080,K$8:K5080)+SUMIFS([1]内部转账!$G:$G,[1]内部转账!$C:$C,"&lt;="&amp;$D5080,[1]内部转账!$E:$E,$G5080)-SUMIFS([1]内部转账!$G:$G,[1]内部转账!$C:$C,"&lt;="&amp;$D5080,[1]内部转账!$F:$F,$G5080)),"")</f>
        <v/>
      </c>
      <c r="M5080" s="64"/>
      <c r="N5080" s="69"/>
      <c r="O5080" s="64"/>
      <c r="P5080" s="64"/>
      <c r="Q5080" s="69"/>
      <c r="R5080" s="69"/>
      <c r="S5080" s="69"/>
    </row>
    <row r="5081" s="2" customFormat="1" ht="24.95" customHeight="1" spans="1:19">
      <c r="A5081" s="15"/>
      <c r="B5081" s="55"/>
      <c r="C5081" s="56"/>
      <c r="D5081" s="68"/>
      <c r="E5081" s="69"/>
      <c r="F5081" s="69"/>
      <c r="G5081" s="65"/>
      <c r="H5081" s="65"/>
      <c r="I5081" s="70"/>
      <c r="J5081" s="71"/>
      <c r="K5081" s="71"/>
      <c r="L5081" s="72" t="str">
        <f>IFERROR(IF(G5081="","",VLOOKUP($G5081,[1]基础信息!$B:$C,2,FALSE)+SUMIF(G$8:G5081,G5081,J$8:J5081)-SUMIF(G$8:G5081,G5081,K$8:K5081)+SUMIFS([1]内部转账!$G:$G,[1]内部转账!$C:$C,"&lt;="&amp;$D5081,[1]内部转账!$E:$E,$G5081)-SUMIFS([1]内部转账!$G:$G,[1]内部转账!$C:$C,"&lt;="&amp;$D5081,[1]内部转账!$F:$F,$G5081)),"")</f>
        <v/>
      </c>
      <c r="M5081" s="64"/>
      <c r="N5081" s="69"/>
      <c r="O5081" s="64"/>
      <c r="P5081" s="64"/>
      <c r="Q5081" s="69"/>
      <c r="R5081" s="69"/>
      <c r="S5081" s="69"/>
    </row>
    <row r="5082" s="2" customFormat="1" ht="24.95" customHeight="1" spans="1:19">
      <c r="A5082" s="15"/>
      <c r="B5082" s="55"/>
      <c r="C5082" s="56"/>
      <c r="D5082" s="68"/>
      <c r="E5082" s="69"/>
      <c r="F5082" s="69"/>
      <c r="G5082" s="65"/>
      <c r="H5082" s="65"/>
      <c r="I5082" s="70"/>
      <c r="J5082" s="71"/>
      <c r="K5082" s="71"/>
      <c r="L5082" s="72" t="str">
        <f>IFERROR(IF(G5082="","",VLOOKUP($G5082,[1]基础信息!$B:$C,2,FALSE)+SUMIF(G$8:G5082,G5082,J$8:J5082)-SUMIF(G$8:G5082,G5082,K$8:K5082)+SUMIFS([1]内部转账!$G:$G,[1]内部转账!$C:$C,"&lt;="&amp;$D5082,[1]内部转账!$E:$E,$G5082)-SUMIFS([1]内部转账!$G:$G,[1]内部转账!$C:$C,"&lt;="&amp;$D5082,[1]内部转账!$F:$F,$G5082)),"")</f>
        <v/>
      </c>
      <c r="M5082" s="64"/>
      <c r="N5082" s="69"/>
      <c r="O5082" s="64"/>
      <c r="P5082" s="64"/>
      <c r="Q5082" s="69"/>
      <c r="R5082" s="69"/>
      <c r="S5082" s="69"/>
    </row>
    <row r="5083" s="2" customFormat="1" ht="24.95" customHeight="1" spans="1:19">
      <c r="A5083" s="15"/>
      <c r="B5083" s="55"/>
      <c r="C5083" s="56"/>
      <c r="D5083" s="68"/>
      <c r="E5083" s="69"/>
      <c r="F5083" s="69"/>
      <c r="G5083" s="65"/>
      <c r="H5083" s="65"/>
      <c r="I5083" s="70"/>
      <c r="J5083" s="71"/>
      <c r="K5083" s="71"/>
      <c r="L5083" s="72" t="str">
        <f>IFERROR(IF(G5083="","",VLOOKUP($G5083,[1]基础信息!$B:$C,2,FALSE)+SUMIF(G$8:G5083,G5083,J$8:J5083)-SUMIF(G$8:G5083,G5083,K$8:K5083)+SUMIFS([1]内部转账!$G:$G,[1]内部转账!$C:$C,"&lt;="&amp;$D5083,[1]内部转账!$E:$E,$G5083)-SUMIFS([1]内部转账!$G:$G,[1]内部转账!$C:$C,"&lt;="&amp;$D5083,[1]内部转账!$F:$F,$G5083)),"")</f>
        <v/>
      </c>
      <c r="M5083" s="64"/>
      <c r="N5083" s="69"/>
      <c r="O5083" s="64"/>
      <c r="P5083" s="64"/>
      <c r="Q5083" s="69"/>
      <c r="R5083" s="69"/>
      <c r="S5083" s="69"/>
    </row>
    <row r="5084" s="2" customFormat="1" ht="24.95" customHeight="1" spans="1:19">
      <c r="A5084" s="15"/>
      <c r="B5084" s="55"/>
      <c r="C5084" s="56"/>
      <c r="D5084" s="68"/>
      <c r="E5084" s="69"/>
      <c r="F5084" s="69"/>
      <c r="G5084" s="65"/>
      <c r="H5084" s="65"/>
      <c r="I5084" s="70"/>
      <c r="J5084" s="71"/>
      <c r="K5084" s="71"/>
      <c r="L5084" s="72" t="str">
        <f>IFERROR(IF(G5084="","",VLOOKUP($G5084,[1]基础信息!$B:$C,2,FALSE)+SUMIF(G$8:G5084,G5084,J$8:J5084)-SUMIF(G$8:G5084,G5084,K$8:K5084)+SUMIFS([1]内部转账!$G:$G,[1]内部转账!$C:$C,"&lt;="&amp;$D5084,[1]内部转账!$E:$E,$G5084)-SUMIFS([1]内部转账!$G:$G,[1]内部转账!$C:$C,"&lt;="&amp;$D5084,[1]内部转账!$F:$F,$G5084)),"")</f>
        <v/>
      </c>
      <c r="M5084" s="64"/>
      <c r="N5084" s="69"/>
      <c r="O5084" s="64"/>
      <c r="P5084" s="64"/>
      <c r="Q5084" s="69"/>
      <c r="R5084" s="69"/>
      <c r="S5084" s="69"/>
    </row>
    <row r="5085" s="2" customFormat="1" ht="24.95" customHeight="1" spans="1:19">
      <c r="A5085" s="15"/>
      <c r="B5085" s="55"/>
      <c r="C5085" s="56"/>
      <c r="D5085" s="68"/>
      <c r="E5085" s="69"/>
      <c r="F5085" s="69"/>
      <c r="G5085" s="65"/>
      <c r="H5085" s="65"/>
      <c r="I5085" s="70"/>
      <c r="J5085" s="71"/>
      <c r="K5085" s="71"/>
      <c r="L5085" s="72" t="str">
        <f>IFERROR(IF(G5085="","",VLOOKUP($G5085,[1]基础信息!$B:$C,2,FALSE)+SUMIF(G$8:G5085,G5085,J$8:J5085)-SUMIF(G$8:G5085,G5085,K$8:K5085)+SUMIFS([1]内部转账!$G:$G,[1]内部转账!$C:$C,"&lt;="&amp;$D5085,[1]内部转账!$E:$E,$G5085)-SUMIFS([1]内部转账!$G:$G,[1]内部转账!$C:$C,"&lt;="&amp;$D5085,[1]内部转账!$F:$F,$G5085)),"")</f>
        <v/>
      </c>
      <c r="M5085" s="64"/>
      <c r="N5085" s="69"/>
      <c r="O5085" s="64"/>
      <c r="P5085" s="64"/>
      <c r="Q5085" s="69"/>
      <c r="R5085" s="69"/>
      <c r="S5085" s="69"/>
    </row>
    <row r="5086" s="2" customFormat="1" ht="24.95" customHeight="1" spans="1:19">
      <c r="A5086" s="15"/>
      <c r="B5086" s="55"/>
      <c r="C5086" s="56"/>
      <c r="D5086" s="68"/>
      <c r="E5086" s="69"/>
      <c r="F5086" s="69"/>
      <c r="G5086" s="65"/>
      <c r="H5086" s="65"/>
      <c r="I5086" s="70"/>
      <c r="J5086" s="71"/>
      <c r="K5086" s="71"/>
      <c r="L5086" s="72" t="str">
        <f>IFERROR(IF(G5086="","",VLOOKUP($G5086,[1]基础信息!$B:$C,2,FALSE)+SUMIF(G$8:G5086,G5086,J$8:J5086)-SUMIF(G$8:G5086,G5086,K$8:K5086)+SUMIFS([1]内部转账!$G:$G,[1]内部转账!$C:$C,"&lt;="&amp;$D5086,[1]内部转账!$E:$E,$G5086)-SUMIFS([1]内部转账!$G:$G,[1]内部转账!$C:$C,"&lt;="&amp;$D5086,[1]内部转账!$F:$F,$G5086)),"")</f>
        <v/>
      </c>
      <c r="M5086" s="64"/>
      <c r="N5086" s="69"/>
      <c r="O5086" s="64"/>
      <c r="P5086" s="64"/>
      <c r="Q5086" s="69"/>
      <c r="R5086" s="69"/>
      <c r="S5086" s="69"/>
    </row>
    <row r="5087" s="2" customFormat="1" ht="24.95" customHeight="1" spans="1:19">
      <c r="A5087" s="15"/>
      <c r="B5087" s="55"/>
      <c r="C5087" s="56"/>
      <c r="D5087" s="68"/>
      <c r="E5087" s="69"/>
      <c r="F5087" s="69"/>
      <c r="G5087" s="65"/>
      <c r="H5087" s="65"/>
      <c r="I5087" s="70"/>
      <c r="J5087" s="71"/>
      <c r="K5087" s="71"/>
      <c r="L5087" s="72" t="str">
        <f>IFERROR(IF(G5087="","",VLOOKUP($G5087,[1]基础信息!$B:$C,2,FALSE)+SUMIF(G$8:G5087,G5087,J$8:J5087)-SUMIF(G$8:G5087,G5087,K$8:K5087)+SUMIFS([1]内部转账!$G:$G,[1]内部转账!$C:$C,"&lt;="&amp;$D5087,[1]内部转账!$E:$E,$G5087)-SUMIFS([1]内部转账!$G:$G,[1]内部转账!$C:$C,"&lt;="&amp;$D5087,[1]内部转账!$F:$F,$G5087)),"")</f>
        <v/>
      </c>
      <c r="M5087" s="64"/>
      <c r="N5087" s="69"/>
      <c r="O5087" s="64"/>
      <c r="P5087" s="64"/>
      <c r="Q5087" s="69"/>
      <c r="R5087" s="69"/>
      <c r="S5087" s="69"/>
    </row>
    <row r="5088" s="2" customFormat="1" ht="24.95" customHeight="1" spans="1:19">
      <c r="A5088" s="15"/>
      <c r="B5088" s="55"/>
      <c r="C5088" s="56"/>
      <c r="D5088" s="68"/>
      <c r="E5088" s="69"/>
      <c r="F5088" s="69"/>
      <c r="G5088" s="65"/>
      <c r="H5088" s="65"/>
      <c r="I5088" s="70"/>
      <c r="J5088" s="71"/>
      <c r="K5088" s="71"/>
      <c r="L5088" s="72" t="str">
        <f>IFERROR(IF(G5088="","",VLOOKUP($G5088,[1]基础信息!$B:$C,2,FALSE)+SUMIF(G$8:G5088,G5088,J$8:J5088)-SUMIF(G$8:G5088,G5088,K$8:K5088)+SUMIFS([1]内部转账!$G:$G,[1]内部转账!$C:$C,"&lt;="&amp;$D5088,[1]内部转账!$E:$E,$G5088)-SUMIFS([1]内部转账!$G:$G,[1]内部转账!$C:$C,"&lt;="&amp;$D5088,[1]内部转账!$F:$F,$G5088)),"")</f>
        <v/>
      </c>
      <c r="M5088" s="64"/>
      <c r="N5088" s="69"/>
      <c r="O5088" s="64"/>
      <c r="P5088" s="64"/>
      <c r="Q5088" s="69"/>
      <c r="R5088" s="69"/>
      <c r="S5088" s="69"/>
    </row>
    <row r="5089" s="2" customFormat="1" ht="24.95" customHeight="1" spans="1:19">
      <c r="A5089" s="15"/>
      <c r="B5089" s="55"/>
      <c r="C5089" s="56"/>
      <c r="D5089" s="68"/>
      <c r="E5089" s="69"/>
      <c r="F5089" s="69"/>
      <c r="G5089" s="65"/>
      <c r="H5089" s="65"/>
      <c r="I5089" s="70"/>
      <c r="J5089" s="71"/>
      <c r="K5089" s="71"/>
      <c r="L5089" s="72" t="str">
        <f>IFERROR(IF(G5089="","",VLOOKUP($G5089,[1]基础信息!$B:$C,2,FALSE)+SUMIF(G$8:G5089,G5089,J$8:J5089)-SUMIF(G$8:G5089,G5089,K$8:K5089)+SUMIFS([1]内部转账!$G:$G,[1]内部转账!$C:$C,"&lt;="&amp;$D5089,[1]内部转账!$E:$E,$G5089)-SUMIFS([1]内部转账!$G:$G,[1]内部转账!$C:$C,"&lt;="&amp;$D5089,[1]内部转账!$F:$F,$G5089)),"")</f>
        <v/>
      </c>
      <c r="M5089" s="64"/>
      <c r="N5089" s="69"/>
      <c r="O5089" s="64"/>
      <c r="P5089" s="64"/>
      <c r="Q5089" s="69"/>
      <c r="R5089" s="69"/>
      <c r="S5089" s="69"/>
    </row>
    <row r="5090" s="2" customFormat="1" ht="24.95" customHeight="1" spans="1:19">
      <c r="A5090" s="15"/>
      <c r="B5090" s="55"/>
      <c r="C5090" s="56"/>
      <c r="D5090" s="68"/>
      <c r="E5090" s="69"/>
      <c r="F5090" s="69"/>
      <c r="G5090" s="65"/>
      <c r="H5090" s="65"/>
      <c r="I5090" s="70"/>
      <c r="J5090" s="71"/>
      <c r="K5090" s="71"/>
      <c r="L5090" s="72" t="str">
        <f>IFERROR(IF(G5090="","",VLOOKUP($G5090,[1]基础信息!$B:$C,2,FALSE)+SUMIF(G$8:G5090,G5090,J$8:J5090)-SUMIF(G$8:G5090,G5090,K$8:K5090)+SUMIFS([1]内部转账!$G:$G,[1]内部转账!$C:$C,"&lt;="&amp;$D5090,[1]内部转账!$E:$E,$G5090)-SUMIFS([1]内部转账!$G:$G,[1]内部转账!$C:$C,"&lt;="&amp;$D5090,[1]内部转账!$F:$F,$G5090)),"")</f>
        <v/>
      </c>
      <c r="M5090" s="64"/>
      <c r="N5090" s="69"/>
      <c r="O5090" s="64"/>
      <c r="P5090" s="64"/>
      <c r="Q5090" s="69"/>
      <c r="R5090" s="69"/>
      <c r="S5090" s="69"/>
    </row>
    <row r="5091" s="2" customFormat="1" ht="24.95" customHeight="1" spans="1:19">
      <c r="A5091" s="15"/>
      <c r="B5091" s="55"/>
      <c r="C5091" s="56"/>
      <c r="D5091" s="68"/>
      <c r="E5091" s="69"/>
      <c r="F5091" s="69"/>
      <c r="G5091" s="65"/>
      <c r="H5091" s="65"/>
      <c r="I5091" s="70"/>
      <c r="J5091" s="71"/>
      <c r="K5091" s="71"/>
      <c r="L5091" s="72" t="str">
        <f>IFERROR(IF(G5091="","",VLOOKUP($G5091,[1]基础信息!$B:$C,2,FALSE)+SUMIF(G$8:G5091,G5091,J$8:J5091)-SUMIF(G$8:G5091,G5091,K$8:K5091)+SUMIFS([1]内部转账!$G:$G,[1]内部转账!$C:$C,"&lt;="&amp;$D5091,[1]内部转账!$E:$E,$G5091)-SUMIFS([1]内部转账!$G:$G,[1]内部转账!$C:$C,"&lt;="&amp;$D5091,[1]内部转账!$F:$F,$G5091)),"")</f>
        <v/>
      </c>
      <c r="M5091" s="64"/>
      <c r="N5091" s="69"/>
      <c r="O5091" s="64"/>
      <c r="P5091" s="64"/>
      <c r="Q5091" s="69"/>
      <c r="R5091" s="69"/>
      <c r="S5091" s="69"/>
    </row>
    <row r="5092" s="2" customFormat="1" ht="24.95" customHeight="1" spans="1:19">
      <c r="A5092" s="15"/>
      <c r="B5092" s="55"/>
      <c r="C5092" s="56"/>
      <c r="D5092" s="68"/>
      <c r="E5092" s="69"/>
      <c r="F5092" s="69"/>
      <c r="G5092" s="65"/>
      <c r="H5092" s="65"/>
      <c r="I5092" s="70"/>
      <c r="J5092" s="71"/>
      <c r="K5092" s="71"/>
      <c r="L5092" s="72" t="str">
        <f>IFERROR(IF(G5092="","",VLOOKUP($G5092,[1]基础信息!$B:$C,2,FALSE)+SUMIF(G$8:G5092,G5092,J$8:J5092)-SUMIF(G$8:G5092,G5092,K$8:K5092)+SUMIFS([1]内部转账!$G:$G,[1]内部转账!$C:$C,"&lt;="&amp;$D5092,[1]内部转账!$E:$E,$G5092)-SUMIFS([1]内部转账!$G:$G,[1]内部转账!$C:$C,"&lt;="&amp;$D5092,[1]内部转账!$F:$F,$G5092)),"")</f>
        <v/>
      </c>
      <c r="M5092" s="64"/>
      <c r="N5092" s="69"/>
      <c r="O5092" s="64"/>
      <c r="P5092" s="64"/>
      <c r="Q5092" s="69"/>
      <c r="R5092" s="69"/>
      <c r="S5092" s="69"/>
    </row>
    <row r="5093" s="2" customFormat="1" ht="24.95" customHeight="1" spans="1:19">
      <c r="A5093" s="15"/>
      <c r="B5093" s="55"/>
      <c r="C5093" s="56"/>
      <c r="D5093" s="68"/>
      <c r="E5093" s="69"/>
      <c r="F5093" s="69"/>
      <c r="G5093" s="65"/>
      <c r="H5093" s="65"/>
      <c r="I5093" s="70"/>
      <c r="J5093" s="71"/>
      <c r="K5093" s="71"/>
      <c r="L5093" s="72" t="str">
        <f>IFERROR(IF(G5093="","",VLOOKUP($G5093,[1]基础信息!$B:$C,2,FALSE)+SUMIF(G$8:G5093,G5093,J$8:J5093)-SUMIF(G$8:G5093,G5093,K$8:K5093)+SUMIFS([1]内部转账!$G:$G,[1]内部转账!$C:$C,"&lt;="&amp;$D5093,[1]内部转账!$E:$E,$G5093)-SUMIFS([1]内部转账!$G:$G,[1]内部转账!$C:$C,"&lt;="&amp;$D5093,[1]内部转账!$F:$F,$G5093)),"")</f>
        <v/>
      </c>
      <c r="M5093" s="64"/>
      <c r="N5093" s="69"/>
      <c r="O5093" s="64"/>
      <c r="P5093" s="64"/>
      <c r="Q5093" s="69"/>
      <c r="R5093" s="69"/>
      <c r="S5093" s="69"/>
    </row>
    <row r="5094" s="2" customFormat="1" ht="24.95" customHeight="1" spans="1:19">
      <c r="A5094" s="15"/>
      <c r="B5094" s="55"/>
      <c r="C5094" s="56"/>
      <c r="D5094" s="68"/>
      <c r="E5094" s="69"/>
      <c r="F5094" s="69"/>
      <c r="G5094" s="65"/>
      <c r="H5094" s="65"/>
      <c r="I5094" s="70"/>
      <c r="J5094" s="71"/>
      <c r="K5094" s="71"/>
      <c r="L5094" s="72" t="str">
        <f>IFERROR(IF(G5094="","",VLOOKUP($G5094,[1]基础信息!$B:$C,2,FALSE)+SUMIF(G$8:G5094,G5094,J$8:J5094)-SUMIF(G$8:G5094,G5094,K$8:K5094)+SUMIFS([1]内部转账!$G:$G,[1]内部转账!$C:$C,"&lt;="&amp;$D5094,[1]内部转账!$E:$E,$G5094)-SUMIFS([1]内部转账!$G:$G,[1]内部转账!$C:$C,"&lt;="&amp;$D5094,[1]内部转账!$F:$F,$G5094)),"")</f>
        <v/>
      </c>
      <c r="M5094" s="64"/>
      <c r="N5094" s="69"/>
      <c r="O5094" s="64"/>
      <c r="P5094" s="64"/>
      <c r="Q5094" s="69"/>
      <c r="R5094" s="69"/>
      <c r="S5094" s="69"/>
    </row>
    <row r="5095" s="2" customFormat="1" ht="24.95" customHeight="1" spans="1:19">
      <c r="A5095" s="15"/>
      <c r="B5095" s="55"/>
      <c r="C5095" s="56"/>
      <c r="D5095" s="68"/>
      <c r="E5095" s="69"/>
      <c r="F5095" s="69"/>
      <c r="G5095" s="65"/>
      <c r="H5095" s="65"/>
      <c r="I5095" s="70"/>
      <c r="J5095" s="71"/>
      <c r="K5095" s="71"/>
      <c r="L5095" s="72" t="str">
        <f>IFERROR(IF(G5095="","",VLOOKUP($G5095,[1]基础信息!$B:$C,2,FALSE)+SUMIF(G$8:G5095,G5095,J$8:J5095)-SUMIF(G$8:G5095,G5095,K$8:K5095)+SUMIFS([1]内部转账!$G:$G,[1]内部转账!$C:$C,"&lt;="&amp;$D5095,[1]内部转账!$E:$E,$G5095)-SUMIFS([1]内部转账!$G:$G,[1]内部转账!$C:$C,"&lt;="&amp;$D5095,[1]内部转账!$F:$F,$G5095)),"")</f>
        <v/>
      </c>
      <c r="M5095" s="64"/>
      <c r="N5095" s="69"/>
      <c r="O5095" s="64"/>
      <c r="P5095" s="64"/>
      <c r="Q5095" s="69"/>
      <c r="R5095" s="69"/>
      <c r="S5095" s="69"/>
    </row>
    <row r="5096" s="2" customFormat="1" ht="24.95" customHeight="1" spans="1:19">
      <c r="A5096" s="15"/>
      <c r="B5096" s="55"/>
      <c r="C5096" s="56"/>
      <c r="D5096" s="68"/>
      <c r="E5096" s="69"/>
      <c r="F5096" s="69"/>
      <c r="G5096" s="65"/>
      <c r="H5096" s="65"/>
      <c r="I5096" s="70"/>
      <c r="J5096" s="71"/>
      <c r="K5096" s="71"/>
      <c r="L5096" s="72" t="str">
        <f>IFERROR(IF(G5096="","",VLOOKUP($G5096,[1]基础信息!$B:$C,2,FALSE)+SUMIF(G$8:G5096,G5096,J$8:J5096)-SUMIF(G$8:G5096,G5096,K$8:K5096)+SUMIFS([1]内部转账!$G:$G,[1]内部转账!$C:$C,"&lt;="&amp;$D5096,[1]内部转账!$E:$E,$G5096)-SUMIFS([1]内部转账!$G:$G,[1]内部转账!$C:$C,"&lt;="&amp;$D5096,[1]内部转账!$F:$F,$G5096)),"")</f>
        <v/>
      </c>
      <c r="M5096" s="64"/>
      <c r="N5096" s="69"/>
      <c r="O5096" s="64"/>
      <c r="P5096" s="64"/>
      <c r="Q5096" s="69"/>
      <c r="R5096" s="69"/>
      <c r="S5096" s="69"/>
    </row>
    <row r="5097" s="2" customFormat="1" ht="24.95" customHeight="1" spans="1:19">
      <c r="A5097" s="15"/>
      <c r="B5097" s="55"/>
      <c r="C5097" s="56"/>
      <c r="D5097" s="68"/>
      <c r="E5097" s="69"/>
      <c r="F5097" s="69"/>
      <c r="G5097" s="65"/>
      <c r="H5097" s="65"/>
      <c r="I5097" s="70"/>
      <c r="J5097" s="71"/>
      <c r="K5097" s="71"/>
      <c r="L5097" s="72" t="str">
        <f>IFERROR(IF(G5097="","",VLOOKUP($G5097,[1]基础信息!$B:$C,2,FALSE)+SUMIF(G$8:G5097,G5097,J$8:J5097)-SUMIF(G$8:G5097,G5097,K$8:K5097)+SUMIFS([1]内部转账!$G:$G,[1]内部转账!$C:$C,"&lt;="&amp;$D5097,[1]内部转账!$E:$E,$G5097)-SUMIFS([1]内部转账!$G:$G,[1]内部转账!$C:$C,"&lt;="&amp;$D5097,[1]内部转账!$F:$F,$G5097)),"")</f>
        <v/>
      </c>
      <c r="M5097" s="64"/>
      <c r="N5097" s="69"/>
      <c r="O5097" s="64"/>
      <c r="P5097" s="64"/>
      <c r="Q5097" s="69"/>
      <c r="R5097" s="69"/>
      <c r="S5097" s="69"/>
    </row>
    <row r="5098" s="2" customFormat="1" ht="24.95" customHeight="1" spans="1:19">
      <c r="A5098" s="15"/>
      <c r="B5098" s="55"/>
      <c r="C5098" s="56"/>
      <c r="D5098" s="68"/>
      <c r="E5098" s="69"/>
      <c r="F5098" s="69"/>
      <c r="G5098" s="65"/>
      <c r="H5098" s="65"/>
      <c r="I5098" s="70"/>
      <c r="J5098" s="71"/>
      <c r="K5098" s="71"/>
      <c r="L5098" s="72" t="str">
        <f>IFERROR(IF(G5098="","",VLOOKUP($G5098,[1]基础信息!$B:$C,2,FALSE)+SUMIF(G$8:G5098,G5098,J$8:J5098)-SUMIF(G$8:G5098,G5098,K$8:K5098)+SUMIFS([1]内部转账!$G:$G,[1]内部转账!$C:$C,"&lt;="&amp;$D5098,[1]内部转账!$E:$E,$G5098)-SUMIFS([1]内部转账!$G:$G,[1]内部转账!$C:$C,"&lt;="&amp;$D5098,[1]内部转账!$F:$F,$G5098)),"")</f>
        <v/>
      </c>
      <c r="M5098" s="64"/>
      <c r="N5098" s="69"/>
      <c r="O5098" s="64"/>
      <c r="P5098" s="64"/>
      <c r="Q5098" s="69"/>
      <c r="R5098" s="69"/>
      <c r="S5098" s="69"/>
    </row>
    <row r="5099" s="2" customFormat="1" ht="24.95" customHeight="1" spans="1:19">
      <c r="A5099" s="15"/>
      <c r="B5099" s="55"/>
      <c r="C5099" s="56"/>
      <c r="D5099" s="68"/>
      <c r="E5099" s="69"/>
      <c r="F5099" s="69"/>
      <c r="G5099" s="65"/>
      <c r="H5099" s="65"/>
      <c r="I5099" s="70"/>
      <c r="J5099" s="71"/>
      <c r="K5099" s="71"/>
      <c r="L5099" s="72" t="str">
        <f>IFERROR(IF(G5099="","",VLOOKUP($G5099,[1]基础信息!$B:$C,2,FALSE)+SUMIF(G$8:G5099,G5099,J$8:J5099)-SUMIF(G$8:G5099,G5099,K$8:K5099)+SUMIFS([1]内部转账!$G:$G,[1]内部转账!$C:$C,"&lt;="&amp;$D5099,[1]内部转账!$E:$E,$G5099)-SUMIFS([1]内部转账!$G:$G,[1]内部转账!$C:$C,"&lt;="&amp;$D5099,[1]内部转账!$F:$F,$G5099)),"")</f>
        <v/>
      </c>
      <c r="M5099" s="64"/>
      <c r="N5099" s="69"/>
      <c r="O5099" s="64"/>
      <c r="P5099" s="64"/>
      <c r="Q5099" s="69"/>
      <c r="R5099" s="69"/>
      <c r="S5099" s="69"/>
    </row>
    <row r="5100" s="2" customFormat="1" ht="24.95" customHeight="1" spans="1:19">
      <c r="A5100" s="15"/>
      <c r="B5100" s="55"/>
      <c r="C5100" s="56"/>
      <c r="D5100" s="68"/>
      <c r="E5100" s="69"/>
      <c r="F5100" s="69"/>
      <c r="G5100" s="65"/>
      <c r="H5100" s="65"/>
      <c r="I5100" s="70"/>
      <c r="J5100" s="71"/>
      <c r="K5100" s="71"/>
      <c r="L5100" s="72" t="str">
        <f>IFERROR(IF(G5100="","",VLOOKUP($G5100,[1]基础信息!$B:$C,2,FALSE)+SUMIF(G$8:G5100,G5100,J$8:J5100)-SUMIF(G$8:G5100,G5100,K$8:K5100)+SUMIFS([1]内部转账!$G:$G,[1]内部转账!$C:$C,"&lt;="&amp;$D5100,[1]内部转账!$E:$E,$G5100)-SUMIFS([1]内部转账!$G:$G,[1]内部转账!$C:$C,"&lt;="&amp;$D5100,[1]内部转账!$F:$F,$G5100)),"")</f>
        <v/>
      </c>
      <c r="M5100" s="64"/>
      <c r="N5100" s="69"/>
      <c r="O5100" s="64"/>
      <c r="P5100" s="64"/>
      <c r="Q5100" s="69"/>
      <c r="R5100" s="69"/>
      <c r="S5100" s="69"/>
    </row>
    <row r="5101" s="2" customFormat="1" ht="24.95" customHeight="1" spans="1:19">
      <c r="A5101" s="15"/>
      <c r="B5101" s="55"/>
      <c r="C5101" s="56"/>
      <c r="D5101" s="68"/>
      <c r="E5101" s="69"/>
      <c r="F5101" s="69"/>
      <c r="G5101" s="65"/>
      <c r="H5101" s="65"/>
      <c r="I5101" s="70"/>
      <c r="J5101" s="71"/>
      <c r="K5101" s="71"/>
      <c r="L5101" s="72" t="str">
        <f>IFERROR(IF(G5101="","",VLOOKUP($G5101,[1]基础信息!$B:$C,2,FALSE)+SUMIF(G$8:G5101,G5101,J$8:J5101)-SUMIF(G$8:G5101,G5101,K$8:K5101)+SUMIFS([1]内部转账!$G:$G,[1]内部转账!$C:$C,"&lt;="&amp;$D5101,[1]内部转账!$E:$E,$G5101)-SUMIFS([1]内部转账!$G:$G,[1]内部转账!$C:$C,"&lt;="&amp;$D5101,[1]内部转账!$F:$F,$G5101)),"")</f>
        <v/>
      </c>
      <c r="M5101" s="64"/>
      <c r="N5101" s="69"/>
      <c r="O5101" s="64"/>
      <c r="P5101" s="64"/>
      <c r="Q5101" s="69"/>
      <c r="R5101" s="69"/>
      <c r="S5101" s="69"/>
    </row>
    <row r="5102" s="2" customFormat="1" ht="24.95" customHeight="1" spans="1:19">
      <c r="A5102" s="15"/>
      <c r="B5102" s="55"/>
      <c r="C5102" s="56"/>
      <c r="D5102" s="68"/>
      <c r="E5102" s="69"/>
      <c r="F5102" s="69"/>
      <c r="G5102" s="65"/>
      <c r="H5102" s="65"/>
      <c r="I5102" s="70"/>
      <c r="J5102" s="71"/>
      <c r="K5102" s="71"/>
      <c r="L5102" s="72" t="str">
        <f>IFERROR(IF(G5102="","",VLOOKUP($G5102,[1]基础信息!$B:$C,2,FALSE)+SUMIF(G$8:G5102,G5102,J$8:J5102)-SUMIF(G$8:G5102,G5102,K$8:K5102)+SUMIFS([1]内部转账!$G:$G,[1]内部转账!$C:$C,"&lt;="&amp;$D5102,[1]内部转账!$E:$E,$G5102)-SUMIFS([1]内部转账!$G:$G,[1]内部转账!$C:$C,"&lt;="&amp;$D5102,[1]内部转账!$F:$F,$G5102)),"")</f>
        <v/>
      </c>
      <c r="M5102" s="64"/>
      <c r="N5102" s="69"/>
      <c r="O5102" s="64"/>
      <c r="P5102" s="64"/>
      <c r="Q5102" s="69"/>
      <c r="R5102" s="69"/>
      <c r="S5102" s="69"/>
    </row>
    <row r="5103" s="2" customFormat="1" ht="24.95" customHeight="1" spans="1:19">
      <c r="A5103" s="15"/>
      <c r="B5103" s="55"/>
      <c r="C5103" s="56"/>
      <c r="D5103" s="68"/>
      <c r="E5103" s="69"/>
      <c r="F5103" s="69"/>
      <c r="G5103" s="65"/>
      <c r="H5103" s="65"/>
      <c r="I5103" s="70"/>
      <c r="J5103" s="71"/>
      <c r="K5103" s="71"/>
      <c r="L5103" s="72" t="str">
        <f>IFERROR(IF(G5103="","",VLOOKUP($G5103,[1]基础信息!$B:$C,2,FALSE)+SUMIF(G$8:G5103,G5103,J$8:J5103)-SUMIF(G$8:G5103,G5103,K$8:K5103)+SUMIFS([1]内部转账!$G:$G,[1]内部转账!$C:$C,"&lt;="&amp;$D5103,[1]内部转账!$E:$E,$G5103)-SUMIFS([1]内部转账!$G:$G,[1]内部转账!$C:$C,"&lt;="&amp;$D5103,[1]内部转账!$F:$F,$G5103)),"")</f>
        <v/>
      </c>
      <c r="M5103" s="64"/>
      <c r="N5103" s="69"/>
      <c r="O5103" s="64"/>
      <c r="P5103" s="64"/>
      <c r="Q5103" s="69"/>
      <c r="R5103" s="69"/>
      <c r="S5103" s="69"/>
    </row>
    <row r="5104" s="2" customFormat="1" ht="24.95" customHeight="1" spans="1:19">
      <c r="A5104" s="15"/>
      <c r="B5104" s="55"/>
      <c r="C5104" s="56"/>
      <c r="D5104" s="68"/>
      <c r="E5104" s="69"/>
      <c r="F5104" s="69"/>
      <c r="G5104" s="65"/>
      <c r="H5104" s="65"/>
      <c r="I5104" s="70"/>
      <c r="J5104" s="71"/>
      <c r="K5104" s="71"/>
      <c r="L5104" s="72" t="str">
        <f>IFERROR(IF(G5104="","",VLOOKUP($G5104,[1]基础信息!$B:$C,2,FALSE)+SUMIF(G$8:G5104,G5104,J$8:J5104)-SUMIF(G$8:G5104,G5104,K$8:K5104)+SUMIFS([1]内部转账!$G:$G,[1]内部转账!$C:$C,"&lt;="&amp;$D5104,[1]内部转账!$E:$E,$G5104)-SUMIFS([1]内部转账!$G:$G,[1]内部转账!$C:$C,"&lt;="&amp;$D5104,[1]内部转账!$F:$F,$G5104)),"")</f>
        <v/>
      </c>
      <c r="M5104" s="64"/>
      <c r="N5104" s="69"/>
      <c r="O5104" s="64"/>
      <c r="P5104" s="64"/>
      <c r="Q5104" s="69"/>
      <c r="R5104" s="69"/>
      <c r="S5104" s="69"/>
    </row>
    <row r="5105" s="2" customFormat="1" ht="24.95" customHeight="1" spans="1:19">
      <c r="A5105" s="15"/>
      <c r="B5105" s="55"/>
      <c r="C5105" s="56"/>
      <c r="D5105" s="68"/>
      <c r="E5105" s="69"/>
      <c r="F5105" s="69"/>
      <c r="G5105" s="65"/>
      <c r="H5105" s="65"/>
      <c r="I5105" s="70"/>
      <c r="J5105" s="71"/>
      <c r="K5105" s="71"/>
      <c r="L5105" s="72" t="str">
        <f>IFERROR(IF(G5105="","",VLOOKUP($G5105,[1]基础信息!$B:$C,2,FALSE)+SUMIF(G$8:G5105,G5105,J$8:J5105)-SUMIF(G$8:G5105,G5105,K$8:K5105)+SUMIFS([1]内部转账!$G:$G,[1]内部转账!$C:$C,"&lt;="&amp;$D5105,[1]内部转账!$E:$E,$G5105)-SUMIFS([1]内部转账!$G:$G,[1]内部转账!$C:$C,"&lt;="&amp;$D5105,[1]内部转账!$F:$F,$G5105)),"")</f>
        <v/>
      </c>
      <c r="M5105" s="64"/>
      <c r="N5105" s="69"/>
      <c r="O5105" s="64"/>
      <c r="P5105" s="64"/>
      <c r="Q5105" s="69"/>
      <c r="R5105" s="69"/>
      <c r="S5105" s="69"/>
    </row>
    <row r="5106" s="2" customFormat="1" ht="24.95" customHeight="1" spans="1:19">
      <c r="A5106" s="15"/>
      <c r="B5106" s="55"/>
      <c r="C5106" s="56"/>
      <c r="D5106" s="68"/>
      <c r="E5106" s="69"/>
      <c r="F5106" s="69"/>
      <c r="G5106" s="65"/>
      <c r="H5106" s="65"/>
      <c r="I5106" s="70"/>
      <c r="J5106" s="71"/>
      <c r="K5106" s="71"/>
      <c r="L5106" s="72" t="str">
        <f>IFERROR(IF(G5106="","",VLOOKUP($G5106,[1]基础信息!$B:$C,2,FALSE)+SUMIF(G$8:G5106,G5106,J$8:J5106)-SUMIF(G$8:G5106,G5106,K$8:K5106)+SUMIFS([1]内部转账!$G:$G,[1]内部转账!$C:$C,"&lt;="&amp;$D5106,[1]内部转账!$E:$E,$G5106)-SUMIFS([1]内部转账!$G:$G,[1]内部转账!$C:$C,"&lt;="&amp;$D5106,[1]内部转账!$F:$F,$G5106)),"")</f>
        <v/>
      </c>
      <c r="M5106" s="64"/>
      <c r="N5106" s="69"/>
      <c r="O5106" s="64"/>
      <c r="P5106" s="64"/>
      <c r="Q5106" s="69"/>
      <c r="R5106" s="69"/>
      <c r="S5106" s="69"/>
    </row>
    <row r="5107" s="2" customFormat="1" ht="24.95" customHeight="1" spans="1:19">
      <c r="A5107" s="15"/>
      <c r="B5107" s="55"/>
      <c r="C5107" s="56"/>
      <c r="D5107" s="68"/>
      <c r="E5107" s="69"/>
      <c r="F5107" s="69"/>
      <c r="G5107" s="65"/>
      <c r="H5107" s="65"/>
      <c r="I5107" s="70"/>
      <c r="J5107" s="71"/>
      <c r="K5107" s="71"/>
      <c r="L5107" s="72" t="str">
        <f>IFERROR(IF(G5107="","",VLOOKUP($G5107,[1]基础信息!$B:$C,2,FALSE)+SUMIF(G$8:G5107,G5107,J$8:J5107)-SUMIF(G$8:G5107,G5107,K$8:K5107)+SUMIFS([1]内部转账!$G:$G,[1]内部转账!$C:$C,"&lt;="&amp;$D5107,[1]内部转账!$E:$E,$G5107)-SUMIFS([1]内部转账!$G:$G,[1]内部转账!$C:$C,"&lt;="&amp;$D5107,[1]内部转账!$F:$F,$G5107)),"")</f>
        <v/>
      </c>
      <c r="M5107" s="64"/>
      <c r="N5107" s="69"/>
      <c r="O5107" s="64"/>
      <c r="P5107" s="64"/>
      <c r="Q5107" s="69"/>
      <c r="R5107" s="69"/>
      <c r="S5107" s="69"/>
    </row>
    <row r="5108" s="2" customFormat="1" ht="24.95" customHeight="1" spans="1:19">
      <c r="A5108" s="15"/>
      <c r="B5108" s="55"/>
      <c r="C5108" s="56"/>
      <c r="D5108" s="68"/>
      <c r="E5108" s="69"/>
      <c r="F5108" s="69"/>
      <c r="G5108" s="65"/>
      <c r="H5108" s="65"/>
      <c r="I5108" s="70"/>
      <c r="J5108" s="71"/>
      <c r="K5108" s="71"/>
      <c r="L5108" s="72" t="str">
        <f>IFERROR(IF(G5108="","",VLOOKUP($G5108,[1]基础信息!$B:$C,2,FALSE)+SUMIF(G$8:G5108,G5108,J$8:J5108)-SUMIF(G$8:G5108,G5108,K$8:K5108)+SUMIFS([1]内部转账!$G:$G,[1]内部转账!$C:$C,"&lt;="&amp;$D5108,[1]内部转账!$E:$E,$G5108)-SUMIFS([1]内部转账!$G:$G,[1]内部转账!$C:$C,"&lt;="&amp;$D5108,[1]内部转账!$F:$F,$G5108)),"")</f>
        <v/>
      </c>
      <c r="M5108" s="64"/>
      <c r="N5108" s="69"/>
      <c r="O5108" s="64"/>
      <c r="P5108" s="64"/>
      <c r="Q5108" s="69"/>
      <c r="R5108" s="69"/>
      <c r="S5108" s="69"/>
    </row>
    <row r="5109" s="2" customFormat="1" ht="24.95" customHeight="1" spans="1:19">
      <c r="A5109" s="15"/>
      <c r="B5109" s="55"/>
      <c r="C5109" s="56"/>
      <c r="D5109" s="68"/>
      <c r="E5109" s="69"/>
      <c r="F5109" s="69"/>
      <c r="G5109" s="65"/>
      <c r="H5109" s="65"/>
      <c r="I5109" s="70"/>
      <c r="J5109" s="71"/>
      <c r="K5109" s="71"/>
      <c r="L5109" s="72" t="str">
        <f>IFERROR(IF(G5109="","",VLOOKUP($G5109,[1]基础信息!$B:$C,2,FALSE)+SUMIF(G$8:G5109,G5109,J$8:J5109)-SUMIF(G$8:G5109,G5109,K$8:K5109)+SUMIFS([1]内部转账!$G:$G,[1]内部转账!$C:$C,"&lt;="&amp;$D5109,[1]内部转账!$E:$E,$G5109)-SUMIFS([1]内部转账!$G:$G,[1]内部转账!$C:$C,"&lt;="&amp;$D5109,[1]内部转账!$F:$F,$G5109)),"")</f>
        <v/>
      </c>
      <c r="M5109" s="64"/>
      <c r="N5109" s="69"/>
      <c r="O5109" s="64"/>
      <c r="P5109" s="64"/>
      <c r="Q5109" s="69"/>
      <c r="R5109" s="69"/>
      <c r="S5109" s="69"/>
    </row>
    <row r="5110" s="2" customFormat="1" ht="24.95" customHeight="1" spans="1:19">
      <c r="A5110" s="15"/>
      <c r="B5110" s="55"/>
      <c r="C5110" s="56"/>
      <c r="D5110" s="68"/>
      <c r="E5110" s="69"/>
      <c r="F5110" s="69"/>
      <c r="G5110" s="65"/>
      <c r="H5110" s="65"/>
      <c r="I5110" s="70"/>
      <c r="J5110" s="71"/>
      <c r="K5110" s="71"/>
      <c r="L5110" s="72" t="str">
        <f>IFERROR(IF(G5110="","",VLOOKUP($G5110,[1]基础信息!$B:$C,2,FALSE)+SUMIF(G$8:G5110,G5110,J$8:J5110)-SUMIF(G$8:G5110,G5110,K$8:K5110)+SUMIFS([1]内部转账!$G:$G,[1]内部转账!$C:$C,"&lt;="&amp;$D5110,[1]内部转账!$E:$E,$G5110)-SUMIFS([1]内部转账!$G:$G,[1]内部转账!$C:$C,"&lt;="&amp;$D5110,[1]内部转账!$F:$F,$G5110)),"")</f>
        <v/>
      </c>
      <c r="M5110" s="64"/>
      <c r="N5110" s="69"/>
      <c r="O5110" s="64"/>
      <c r="P5110" s="64"/>
      <c r="Q5110" s="69"/>
      <c r="R5110" s="69"/>
      <c r="S5110" s="69"/>
    </row>
    <row r="5111" s="2" customFormat="1" ht="24.95" customHeight="1" spans="1:19">
      <c r="A5111" s="15"/>
      <c r="B5111" s="55"/>
      <c r="C5111" s="56"/>
      <c r="D5111" s="68"/>
      <c r="E5111" s="69"/>
      <c r="F5111" s="69"/>
      <c r="G5111" s="65"/>
      <c r="H5111" s="65"/>
      <c r="I5111" s="70"/>
      <c r="J5111" s="71"/>
      <c r="K5111" s="71"/>
      <c r="L5111" s="72" t="str">
        <f>IFERROR(IF(G5111="","",VLOOKUP($G5111,[1]基础信息!$B:$C,2,FALSE)+SUMIF(G$8:G5111,G5111,J$8:J5111)-SUMIF(G$8:G5111,G5111,K$8:K5111)+SUMIFS([1]内部转账!$G:$G,[1]内部转账!$C:$C,"&lt;="&amp;$D5111,[1]内部转账!$E:$E,$G5111)-SUMIFS([1]内部转账!$G:$G,[1]内部转账!$C:$C,"&lt;="&amp;$D5111,[1]内部转账!$F:$F,$G5111)),"")</f>
        <v/>
      </c>
      <c r="M5111" s="64"/>
      <c r="N5111" s="69"/>
      <c r="O5111" s="64"/>
      <c r="P5111" s="64"/>
      <c r="Q5111" s="69"/>
      <c r="R5111" s="69"/>
      <c r="S5111" s="69"/>
    </row>
    <row r="5112" s="2" customFormat="1" ht="24.95" customHeight="1" spans="1:19">
      <c r="A5112" s="15"/>
      <c r="B5112" s="55"/>
      <c r="C5112" s="56"/>
      <c r="D5112" s="68"/>
      <c r="E5112" s="69"/>
      <c r="F5112" s="69"/>
      <c r="G5112" s="65"/>
      <c r="H5112" s="65"/>
      <c r="I5112" s="70"/>
      <c r="J5112" s="71"/>
      <c r="K5112" s="71"/>
      <c r="L5112" s="72" t="str">
        <f>IFERROR(IF(G5112="","",VLOOKUP($G5112,[1]基础信息!$B:$C,2,FALSE)+SUMIF(G$8:G5112,G5112,J$8:J5112)-SUMIF(G$8:G5112,G5112,K$8:K5112)+SUMIFS([1]内部转账!$G:$G,[1]内部转账!$C:$C,"&lt;="&amp;$D5112,[1]内部转账!$E:$E,$G5112)-SUMIFS([1]内部转账!$G:$G,[1]内部转账!$C:$C,"&lt;="&amp;$D5112,[1]内部转账!$F:$F,$G5112)),"")</f>
        <v/>
      </c>
      <c r="M5112" s="64"/>
      <c r="N5112" s="69"/>
      <c r="O5112" s="64"/>
      <c r="P5112" s="64"/>
      <c r="Q5112" s="69"/>
      <c r="R5112" s="69"/>
      <c r="S5112" s="69"/>
    </row>
    <row r="5113" s="2" customFormat="1" ht="24.95" customHeight="1" spans="1:19">
      <c r="A5113" s="15"/>
      <c r="B5113" s="55"/>
      <c r="C5113" s="56"/>
      <c r="D5113" s="68"/>
      <c r="E5113" s="69"/>
      <c r="F5113" s="69"/>
      <c r="G5113" s="65"/>
      <c r="H5113" s="65"/>
      <c r="I5113" s="70"/>
      <c r="J5113" s="71"/>
      <c r="K5113" s="71"/>
      <c r="L5113" s="72" t="str">
        <f>IFERROR(IF(G5113="","",VLOOKUP($G5113,[1]基础信息!$B:$C,2,FALSE)+SUMIF(G$8:G5113,G5113,J$8:J5113)-SUMIF(G$8:G5113,G5113,K$8:K5113)+SUMIFS([1]内部转账!$G:$G,[1]内部转账!$C:$C,"&lt;="&amp;$D5113,[1]内部转账!$E:$E,$G5113)-SUMIFS([1]内部转账!$G:$G,[1]内部转账!$C:$C,"&lt;="&amp;$D5113,[1]内部转账!$F:$F,$G5113)),"")</f>
        <v/>
      </c>
      <c r="M5113" s="64"/>
      <c r="N5113" s="69"/>
      <c r="O5113" s="64"/>
      <c r="P5113" s="64"/>
      <c r="Q5113" s="69"/>
      <c r="R5113" s="69"/>
      <c r="S5113" s="69"/>
    </row>
    <row r="5114" s="2" customFormat="1" ht="24.95" customHeight="1" spans="1:19">
      <c r="A5114" s="15"/>
      <c r="B5114" s="55"/>
      <c r="C5114" s="56"/>
      <c r="D5114" s="68"/>
      <c r="E5114" s="69"/>
      <c r="F5114" s="69"/>
      <c r="G5114" s="65"/>
      <c r="H5114" s="65"/>
      <c r="I5114" s="70"/>
      <c r="J5114" s="71"/>
      <c r="K5114" s="71"/>
      <c r="L5114" s="72" t="str">
        <f>IFERROR(IF(G5114="","",VLOOKUP($G5114,[1]基础信息!$B:$C,2,FALSE)+SUMIF(G$8:G5114,G5114,J$8:J5114)-SUMIF(G$8:G5114,G5114,K$8:K5114)+SUMIFS([1]内部转账!$G:$G,[1]内部转账!$C:$C,"&lt;="&amp;$D5114,[1]内部转账!$E:$E,$G5114)-SUMIFS([1]内部转账!$G:$G,[1]内部转账!$C:$C,"&lt;="&amp;$D5114,[1]内部转账!$F:$F,$G5114)),"")</f>
        <v/>
      </c>
      <c r="M5114" s="64"/>
      <c r="N5114" s="69"/>
      <c r="O5114" s="64"/>
      <c r="P5114" s="64"/>
      <c r="Q5114" s="69"/>
      <c r="R5114" s="69"/>
      <c r="S5114" s="69"/>
    </row>
    <row r="5115" s="2" customFormat="1" ht="24.95" customHeight="1" spans="1:19">
      <c r="A5115" s="15"/>
      <c r="B5115" s="55"/>
      <c r="C5115" s="56"/>
      <c r="D5115" s="68"/>
      <c r="E5115" s="69"/>
      <c r="F5115" s="69"/>
      <c r="G5115" s="65"/>
      <c r="H5115" s="65"/>
      <c r="I5115" s="70"/>
      <c r="J5115" s="71"/>
      <c r="K5115" s="71"/>
      <c r="L5115" s="72" t="str">
        <f>IFERROR(IF(G5115="","",VLOOKUP($G5115,[1]基础信息!$B:$C,2,FALSE)+SUMIF(G$8:G5115,G5115,J$8:J5115)-SUMIF(G$8:G5115,G5115,K$8:K5115)+SUMIFS([1]内部转账!$G:$G,[1]内部转账!$C:$C,"&lt;="&amp;$D5115,[1]内部转账!$E:$E,$G5115)-SUMIFS([1]内部转账!$G:$G,[1]内部转账!$C:$C,"&lt;="&amp;$D5115,[1]内部转账!$F:$F,$G5115)),"")</f>
        <v/>
      </c>
      <c r="M5115" s="64"/>
      <c r="N5115" s="69"/>
      <c r="O5115" s="64"/>
      <c r="P5115" s="64"/>
      <c r="Q5115" s="69"/>
      <c r="R5115" s="69"/>
      <c r="S5115" s="69"/>
    </row>
    <row r="5116" s="2" customFormat="1" ht="24.95" customHeight="1" spans="1:19">
      <c r="A5116" s="15"/>
      <c r="B5116" s="55"/>
      <c r="C5116" s="56"/>
      <c r="D5116" s="68"/>
      <c r="E5116" s="69"/>
      <c r="F5116" s="69"/>
      <c r="G5116" s="65"/>
      <c r="H5116" s="65"/>
      <c r="I5116" s="70"/>
      <c r="J5116" s="71"/>
      <c r="K5116" s="71"/>
      <c r="L5116" s="72" t="str">
        <f>IFERROR(IF(G5116="","",VLOOKUP($G5116,[1]基础信息!$B:$C,2,FALSE)+SUMIF(G$8:G5116,G5116,J$8:J5116)-SUMIF(G$8:G5116,G5116,K$8:K5116)+SUMIFS([1]内部转账!$G:$G,[1]内部转账!$C:$C,"&lt;="&amp;$D5116,[1]内部转账!$E:$E,$G5116)-SUMIFS([1]内部转账!$G:$G,[1]内部转账!$C:$C,"&lt;="&amp;$D5116,[1]内部转账!$F:$F,$G5116)),"")</f>
        <v/>
      </c>
      <c r="M5116" s="64"/>
      <c r="N5116" s="69"/>
      <c r="O5116" s="64"/>
      <c r="P5116" s="64"/>
      <c r="Q5116" s="69"/>
      <c r="R5116" s="69"/>
      <c r="S5116" s="69"/>
    </row>
    <row r="5117" s="2" customFormat="1" ht="24.95" customHeight="1" spans="1:19">
      <c r="A5117" s="15"/>
      <c r="B5117" s="55"/>
      <c r="C5117" s="56"/>
      <c r="D5117" s="68"/>
      <c r="E5117" s="69"/>
      <c r="F5117" s="69"/>
      <c r="G5117" s="65"/>
      <c r="H5117" s="65"/>
      <c r="I5117" s="70"/>
      <c r="J5117" s="71"/>
      <c r="K5117" s="71"/>
      <c r="L5117" s="72" t="str">
        <f>IFERROR(IF(G5117="","",VLOOKUP($G5117,[1]基础信息!$B:$C,2,FALSE)+SUMIF(G$8:G5117,G5117,J$8:J5117)-SUMIF(G$8:G5117,G5117,K$8:K5117)+SUMIFS([1]内部转账!$G:$G,[1]内部转账!$C:$C,"&lt;="&amp;$D5117,[1]内部转账!$E:$E,$G5117)-SUMIFS([1]内部转账!$G:$G,[1]内部转账!$C:$C,"&lt;="&amp;$D5117,[1]内部转账!$F:$F,$G5117)),"")</f>
        <v/>
      </c>
      <c r="M5117" s="64"/>
      <c r="N5117" s="69"/>
      <c r="O5117" s="64"/>
      <c r="P5117" s="64"/>
      <c r="Q5117" s="69"/>
      <c r="R5117" s="69"/>
      <c r="S5117" s="69"/>
    </row>
    <row r="5118" s="2" customFormat="1" ht="24.95" customHeight="1" spans="1:19">
      <c r="A5118" s="15"/>
      <c r="B5118" s="55"/>
      <c r="C5118" s="56"/>
      <c r="D5118" s="68"/>
      <c r="E5118" s="69"/>
      <c r="F5118" s="69"/>
      <c r="G5118" s="65"/>
      <c r="H5118" s="65"/>
      <c r="I5118" s="70"/>
      <c r="J5118" s="71"/>
      <c r="K5118" s="71"/>
      <c r="L5118" s="72" t="str">
        <f>IFERROR(IF(G5118="","",VLOOKUP($G5118,[1]基础信息!$B:$C,2,FALSE)+SUMIF(G$8:G5118,G5118,J$8:J5118)-SUMIF(G$8:G5118,G5118,K$8:K5118)+SUMIFS([1]内部转账!$G:$G,[1]内部转账!$C:$C,"&lt;="&amp;$D5118,[1]内部转账!$E:$E,$G5118)-SUMIFS([1]内部转账!$G:$G,[1]内部转账!$C:$C,"&lt;="&amp;$D5118,[1]内部转账!$F:$F,$G5118)),"")</f>
        <v/>
      </c>
      <c r="M5118" s="64"/>
      <c r="N5118" s="69"/>
      <c r="O5118" s="64"/>
      <c r="P5118" s="64"/>
      <c r="Q5118" s="69"/>
      <c r="R5118" s="69"/>
      <c r="S5118" s="69"/>
    </row>
    <row r="5119" s="2" customFormat="1" ht="24.95" customHeight="1" spans="1:19">
      <c r="A5119" s="15"/>
      <c r="B5119" s="55"/>
      <c r="C5119" s="56"/>
      <c r="D5119" s="68"/>
      <c r="E5119" s="69"/>
      <c r="F5119" s="69"/>
      <c r="G5119" s="65"/>
      <c r="H5119" s="65"/>
      <c r="I5119" s="70"/>
      <c r="J5119" s="71"/>
      <c r="K5119" s="71"/>
      <c r="L5119" s="72" t="str">
        <f>IFERROR(IF(G5119="","",VLOOKUP($G5119,[1]基础信息!$B:$C,2,FALSE)+SUMIF(G$8:G5119,G5119,J$8:J5119)-SUMIF(G$8:G5119,G5119,K$8:K5119)+SUMIFS([1]内部转账!$G:$G,[1]内部转账!$C:$C,"&lt;="&amp;$D5119,[1]内部转账!$E:$E,$G5119)-SUMIFS([1]内部转账!$G:$G,[1]内部转账!$C:$C,"&lt;="&amp;$D5119,[1]内部转账!$F:$F,$G5119)),"")</f>
        <v/>
      </c>
      <c r="M5119" s="64"/>
      <c r="N5119" s="69"/>
      <c r="O5119" s="64"/>
      <c r="P5119" s="64"/>
      <c r="Q5119" s="69"/>
      <c r="R5119" s="69"/>
      <c r="S5119" s="69"/>
    </row>
    <row r="5120" s="2" customFormat="1" ht="24.95" customHeight="1" spans="1:19">
      <c r="A5120" s="15"/>
      <c r="B5120" s="55"/>
      <c r="C5120" s="56"/>
      <c r="D5120" s="68"/>
      <c r="E5120" s="69"/>
      <c r="F5120" s="69"/>
      <c r="G5120" s="65"/>
      <c r="H5120" s="65"/>
      <c r="I5120" s="70"/>
      <c r="J5120" s="71"/>
      <c r="K5120" s="71"/>
      <c r="L5120" s="72" t="str">
        <f>IFERROR(IF(G5120="","",VLOOKUP($G5120,[1]基础信息!$B:$C,2,FALSE)+SUMIF(G$8:G5120,G5120,J$8:J5120)-SUMIF(G$8:G5120,G5120,K$8:K5120)+SUMIFS([1]内部转账!$G:$G,[1]内部转账!$C:$C,"&lt;="&amp;$D5120,[1]内部转账!$E:$E,$G5120)-SUMIFS([1]内部转账!$G:$G,[1]内部转账!$C:$C,"&lt;="&amp;$D5120,[1]内部转账!$F:$F,$G5120)),"")</f>
        <v/>
      </c>
      <c r="M5120" s="64"/>
      <c r="N5120" s="69"/>
      <c r="O5120" s="64"/>
      <c r="P5120" s="64"/>
      <c r="Q5120" s="69"/>
      <c r="R5120" s="69"/>
      <c r="S5120" s="69"/>
    </row>
    <row r="5121" s="2" customFormat="1" ht="24.95" customHeight="1" spans="1:19">
      <c r="A5121" s="15"/>
      <c r="B5121" s="55"/>
      <c r="C5121" s="56"/>
      <c r="D5121" s="68"/>
      <c r="E5121" s="69"/>
      <c r="F5121" s="69"/>
      <c r="G5121" s="65"/>
      <c r="H5121" s="65"/>
      <c r="I5121" s="70"/>
      <c r="J5121" s="71"/>
      <c r="K5121" s="71"/>
      <c r="L5121" s="72" t="str">
        <f>IFERROR(IF(G5121="","",VLOOKUP($G5121,[1]基础信息!$B:$C,2,FALSE)+SUMIF(G$8:G5121,G5121,J$8:J5121)-SUMIF(G$8:G5121,G5121,K$8:K5121)+SUMIFS([1]内部转账!$G:$G,[1]内部转账!$C:$C,"&lt;="&amp;$D5121,[1]内部转账!$E:$E,$G5121)-SUMIFS([1]内部转账!$G:$G,[1]内部转账!$C:$C,"&lt;="&amp;$D5121,[1]内部转账!$F:$F,$G5121)),"")</f>
        <v/>
      </c>
      <c r="M5121" s="64"/>
      <c r="N5121" s="69"/>
      <c r="O5121" s="64"/>
      <c r="P5121" s="64"/>
      <c r="Q5121" s="69"/>
      <c r="R5121" s="69"/>
      <c r="S5121" s="69"/>
    </row>
    <row r="5122" s="2" customFormat="1" ht="24.95" customHeight="1" spans="1:19">
      <c r="A5122" s="15"/>
      <c r="B5122" s="55"/>
      <c r="C5122" s="56"/>
      <c r="D5122" s="68"/>
      <c r="E5122" s="69"/>
      <c r="F5122" s="69"/>
      <c r="G5122" s="65"/>
      <c r="H5122" s="65"/>
      <c r="I5122" s="70"/>
      <c r="J5122" s="71"/>
      <c r="K5122" s="71"/>
      <c r="L5122" s="72" t="str">
        <f>IFERROR(IF(G5122="","",VLOOKUP($G5122,[1]基础信息!$B:$C,2,FALSE)+SUMIF(G$8:G5122,G5122,J$8:J5122)-SUMIF(G$8:G5122,G5122,K$8:K5122)+SUMIFS([1]内部转账!$G:$G,[1]内部转账!$C:$C,"&lt;="&amp;$D5122,[1]内部转账!$E:$E,$G5122)-SUMIFS([1]内部转账!$G:$G,[1]内部转账!$C:$C,"&lt;="&amp;$D5122,[1]内部转账!$F:$F,$G5122)),"")</f>
        <v/>
      </c>
      <c r="M5122" s="64"/>
      <c r="N5122" s="69"/>
      <c r="O5122" s="64"/>
      <c r="P5122" s="64"/>
      <c r="Q5122" s="69"/>
      <c r="R5122" s="69"/>
      <c r="S5122" s="69"/>
    </row>
    <row r="5123" s="2" customFormat="1" ht="24.95" customHeight="1" spans="1:19">
      <c r="A5123" s="15"/>
      <c r="B5123" s="55"/>
      <c r="C5123" s="56"/>
      <c r="D5123" s="68"/>
      <c r="E5123" s="69"/>
      <c r="F5123" s="69"/>
      <c r="G5123" s="65"/>
      <c r="H5123" s="65"/>
      <c r="I5123" s="70"/>
      <c r="J5123" s="71"/>
      <c r="K5123" s="71"/>
      <c r="L5123" s="72" t="str">
        <f>IFERROR(IF(G5123="","",VLOOKUP($G5123,[1]基础信息!$B:$C,2,FALSE)+SUMIF(G$8:G5123,G5123,J$8:J5123)-SUMIF(G$8:G5123,G5123,K$8:K5123)+SUMIFS([1]内部转账!$G:$G,[1]内部转账!$C:$C,"&lt;="&amp;$D5123,[1]内部转账!$E:$E,$G5123)-SUMIFS([1]内部转账!$G:$G,[1]内部转账!$C:$C,"&lt;="&amp;$D5123,[1]内部转账!$F:$F,$G5123)),"")</f>
        <v/>
      </c>
      <c r="M5123" s="64"/>
      <c r="N5123" s="69"/>
      <c r="O5123" s="64"/>
      <c r="P5123" s="64"/>
      <c r="Q5123" s="69"/>
      <c r="R5123" s="69"/>
      <c r="S5123" s="69"/>
    </row>
    <row r="5124" s="2" customFormat="1" ht="24.95" customHeight="1" spans="1:19">
      <c r="A5124" s="15"/>
      <c r="B5124" s="55"/>
      <c r="C5124" s="56"/>
      <c r="D5124" s="68"/>
      <c r="E5124" s="69"/>
      <c r="F5124" s="69"/>
      <c r="G5124" s="65"/>
      <c r="H5124" s="65"/>
      <c r="I5124" s="70"/>
      <c r="J5124" s="71"/>
      <c r="K5124" s="71"/>
      <c r="L5124" s="72" t="str">
        <f>IFERROR(IF(G5124="","",VLOOKUP($G5124,[1]基础信息!$B:$C,2,FALSE)+SUMIF(G$8:G5124,G5124,J$8:J5124)-SUMIF(G$8:G5124,G5124,K$8:K5124)+SUMIFS([1]内部转账!$G:$G,[1]内部转账!$C:$C,"&lt;="&amp;$D5124,[1]内部转账!$E:$E,$G5124)-SUMIFS([1]内部转账!$G:$G,[1]内部转账!$C:$C,"&lt;="&amp;$D5124,[1]内部转账!$F:$F,$G5124)),"")</f>
        <v/>
      </c>
      <c r="M5124" s="64"/>
      <c r="N5124" s="69"/>
      <c r="O5124" s="64"/>
      <c r="P5124" s="64"/>
      <c r="Q5124" s="69"/>
      <c r="R5124" s="69"/>
      <c r="S5124" s="69"/>
    </row>
    <row r="5125" s="2" customFormat="1" ht="24.95" customHeight="1" spans="1:19">
      <c r="A5125" s="15"/>
      <c r="B5125" s="55"/>
      <c r="C5125" s="56"/>
      <c r="D5125" s="68"/>
      <c r="E5125" s="69"/>
      <c r="F5125" s="69"/>
      <c r="G5125" s="65"/>
      <c r="H5125" s="65"/>
      <c r="I5125" s="70"/>
      <c r="J5125" s="71"/>
      <c r="K5125" s="71"/>
      <c r="L5125" s="72" t="str">
        <f>IFERROR(IF(G5125="","",VLOOKUP($G5125,[1]基础信息!$B:$C,2,FALSE)+SUMIF(G$8:G5125,G5125,J$8:J5125)-SUMIF(G$8:G5125,G5125,K$8:K5125)+SUMIFS([1]内部转账!$G:$G,[1]内部转账!$C:$C,"&lt;="&amp;$D5125,[1]内部转账!$E:$E,$G5125)-SUMIFS([1]内部转账!$G:$G,[1]内部转账!$C:$C,"&lt;="&amp;$D5125,[1]内部转账!$F:$F,$G5125)),"")</f>
        <v/>
      </c>
      <c r="M5125" s="64"/>
      <c r="N5125" s="69"/>
      <c r="O5125" s="64"/>
      <c r="P5125" s="64"/>
      <c r="Q5125" s="69"/>
      <c r="R5125" s="69"/>
      <c r="S5125" s="69"/>
    </row>
    <row r="5126" s="2" customFormat="1" ht="24.95" customHeight="1" spans="1:19">
      <c r="A5126" s="15"/>
      <c r="B5126" s="55"/>
      <c r="C5126" s="56"/>
      <c r="D5126" s="68"/>
      <c r="E5126" s="69"/>
      <c r="F5126" s="69"/>
      <c r="G5126" s="65"/>
      <c r="H5126" s="65"/>
      <c r="I5126" s="70"/>
      <c r="J5126" s="71"/>
      <c r="K5126" s="71"/>
      <c r="L5126" s="72" t="str">
        <f>IFERROR(IF(G5126="","",VLOOKUP($G5126,[1]基础信息!$B:$C,2,FALSE)+SUMIF(G$8:G5126,G5126,J$8:J5126)-SUMIF(G$8:G5126,G5126,K$8:K5126)+SUMIFS([1]内部转账!$G:$G,[1]内部转账!$C:$C,"&lt;="&amp;$D5126,[1]内部转账!$E:$E,$G5126)-SUMIFS([1]内部转账!$G:$G,[1]内部转账!$C:$C,"&lt;="&amp;$D5126,[1]内部转账!$F:$F,$G5126)),"")</f>
        <v/>
      </c>
      <c r="M5126" s="64"/>
      <c r="N5126" s="69"/>
      <c r="O5126" s="64"/>
      <c r="P5126" s="64"/>
      <c r="Q5126" s="69"/>
      <c r="R5126" s="69"/>
      <c r="S5126" s="69"/>
    </row>
    <row r="5127" s="2" customFormat="1" ht="24.95" customHeight="1" spans="1:19">
      <c r="A5127" s="15"/>
      <c r="B5127" s="55"/>
      <c r="C5127" s="56"/>
      <c r="D5127" s="68"/>
      <c r="E5127" s="69"/>
      <c r="F5127" s="69"/>
      <c r="G5127" s="65"/>
      <c r="H5127" s="65"/>
      <c r="I5127" s="70"/>
      <c r="J5127" s="71"/>
      <c r="K5127" s="71"/>
      <c r="L5127" s="72" t="str">
        <f>IFERROR(IF(G5127="","",VLOOKUP($G5127,[1]基础信息!$B:$C,2,FALSE)+SUMIF(G$8:G5127,G5127,J$8:J5127)-SUMIF(G$8:G5127,G5127,K$8:K5127)+SUMIFS([1]内部转账!$G:$G,[1]内部转账!$C:$C,"&lt;="&amp;$D5127,[1]内部转账!$E:$E,$G5127)-SUMIFS([1]内部转账!$G:$G,[1]内部转账!$C:$C,"&lt;="&amp;$D5127,[1]内部转账!$F:$F,$G5127)),"")</f>
        <v/>
      </c>
      <c r="M5127" s="64"/>
      <c r="N5127" s="69"/>
      <c r="O5127" s="64"/>
      <c r="P5127" s="64"/>
      <c r="Q5127" s="69"/>
      <c r="R5127" s="69"/>
      <c r="S5127" s="69"/>
    </row>
    <row r="5128" s="2" customFormat="1" ht="24.95" customHeight="1" spans="1:19">
      <c r="A5128" s="15"/>
      <c r="B5128" s="55"/>
      <c r="C5128" s="56"/>
      <c r="D5128" s="68"/>
      <c r="E5128" s="69"/>
      <c r="F5128" s="69"/>
      <c r="G5128" s="65"/>
      <c r="H5128" s="65"/>
      <c r="I5128" s="70"/>
      <c r="J5128" s="71"/>
      <c r="K5128" s="71"/>
      <c r="L5128" s="72" t="str">
        <f>IFERROR(IF(G5128="","",VLOOKUP($G5128,[1]基础信息!$B:$C,2,FALSE)+SUMIF(G$8:G5128,G5128,J$8:J5128)-SUMIF(G$8:G5128,G5128,K$8:K5128)+SUMIFS([1]内部转账!$G:$G,[1]内部转账!$C:$C,"&lt;="&amp;$D5128,[1]内部转账!$E:$E,$G5128)-SUMIFS([1]内部转账!$G:$G,[1]内部转账!$C:$C,"&lt;="&amp;$D5128,[1]内部转账!$F:$F,$G5128)),"")</f>
        <v/>
      </c>
      <c r="M5128" s="64"/>
      <c r="N5128" s="69"/>
      <c r="O5128" s="64"/>
      <c r="P5128" s="64"/>
      <c r="Q5128" s="69"/>
      <c r="R5128" s="69"/>
      <c r="S5128" s="69"/>
    </row>
    <row r="5129" s="2" customFormat="1" ht="24.95" customHeight="1" spans="1:19">
      <c r="A5129" s="15"/>
      <c r="B5129" s="55"/>
      <c r="C5129" s="56"/>
      <c r="D5129" s="68"/>
      <c r="E5129" s="69"/>
      <c r="F5129" s="69"/>
      <c r="G5129" s="65"/>
      <c r="H5129" s="65"/>
      <c r="I5129" s="70"/>
      <c r="J5129" s="71"/>
      <c r="K5129" s="71"/>
      <c r="L5129" s="72" t="str">
        <f>IFERROR(IF(G5129="","",VLOOKUP($G5129,[1]基础信息!$B:$C,2,FALSE)+SUMIF(G$8:G5129,G5129,J$8:J5129)-SUMIF(G$8:G5129,G5129,K$8:K5129)+SUMIFS([1]内部转账!$G:$G,[1]内部转账!$C:$C,"&lt;="&amp;$D5129,[1]内部转账!$E:$E,$G5129)-SUMIFS([1]内部转账!$G:$G,[1]内部转账!$C:$C,"&lt;="&amp;$D5129,[1]内部转账!$F:$F,$G5129)),"")</f>
        <v/>
      </c>
      <c r="M5129" s="64"/>
      <c r="N5129" s="69"/>
      <c r="O5129" s="64"/>
      <c r="P5129" s="64"/>
      <c r="Q5129" s="69"/>
      <c r="R5129" s="69"/>
      <c r="S5129" s="69"/>
    </row>
    <row r="5130" s="2" customFormat="1" ht="24.95" customHeight="1" spans="1:19">
      <c r="A5130" s="15"/>
      <c r="B5130" s="55"/>
      <c r="C5130" s="56"/>
      <c r="D5130" s="68"/>
      <c r="E5130" s="69"/>
      <c r="F5130" s="69"/>
      <c r="G5130" s="65"/>
      <c r="H5130" s="65"/>
      <c r="I5130" s="70"/>
      <c r="J5130" s="71"/>
      <c r="K5130" s="71"/>
      <c r="L5130" s="72" t="str">
        <f>IFERROR(IF(G5130="","",VLOOKUP($G5130,[1]基础信息!$B:$C,2,FALSE)+SUMIF(G$8:G5130,G5130,J$8:J5130)-SUMIF(G$8:G5130,G5130,K$8:K5130)+SUMIFS([1]内部转账!$G:$G,[1]内部转账!$C:$C,"&lt;="&amp;$D5130,[1]内部转账!$E:$E,$G5130)-SUMIFS([1]内部转账!$G:$G,[1]内部转账!$C:$C,"&lt;="&amp;$D5130,[1]内部转账!$F:$F,$G5130)),"")</f>
        <v/>
      </c>
      <c r="M5130" s="64"/>
      <c r="N5130" s="69"/>
      <c r="O5130" s="64"/>
      <c r="P5130" s="64"/>
      <c r="Q5130" s="69"/>
      <c r="R5130" s="69"/>
      <c r="S5130" s="69"/>
    </row>
    <row r="5131" s="2" customFormat="1" ht="24.95" customHeight="1" spans="1:19">
      <c r="A5131" s="15"/>
      <c r="B5131" s="55"/>
      <c r="C5131" s="56"/>
      <c r="D5131" s="68"/>
      <c r="E5131" s="69"/>
      <c r="F5131" s="69"/>
      <c r="G5131" s="65"/>
      <c r="H5131" s="65"/>
      <c r="I5131" s="70"/>
      <c r="J5131" s="71"/>
      <c r="K5131" s="71"/>
      <c r="L5131" s="72" t="str">
        <f>IFERROR(IF(G5131="","",VLOOKUP($G5131,[1]基础信息!$B:$C,2,FALSE)+SUMIF(G$8:G5131,G5131,J$8:J5131)-SUMIF(G$8:G5131,G5131,K$8:K5131)+SUMIFS([1]内部转账!$G:$G,[1]内部转账!$C:$C,"&lt;="&amp;$D5131,[1]内部转账!$E:$E,$G5131)-SUMIFS([1]内部转账!$G:$G,[1]内部转账!$C:$C,"&lt;="&amp;$D5131,[1]内部转账!$F:$F,$G5131)),"")</f>
        <v/>
      </c>
      <c r="M5131" s="64"/>
      <c r="N5131" s="69"/>
      <c r="O5131" s="64"/>
      <c r="P5131" s="64"/>
      <c r="Q5131" s="69"/>
      <c r="R5131" s="69"/>
      <c r="S5131" s="69"/>
    </row>
    <row r="5132" s="2" customFormat="1" ht="24.95" customHeight="1" spans="1:19">
      <c r="A5132" s="15"/>
      <c r="B5132" s="55"/>
      <c r="C5132" s="56"/>
      <c r="D5132" s="68"/>
      <c r="E5132" s="69"/>
      <c r="F5132" s="69"/>
      <c r="G5132" s="65"/>
      <c r="H5132" s="65"/>
      <c r="I5132" s="70"/>
      <c r="J5132" s="71"/>
      <c r="K5132" s="71"/>
      <c r="L5132" s="72" t="str">
        <f>IFERROR(IF(G5132="","",VLOOKUP($G5132,[1]基础信息!$B:$C,2,FALSE)+SUMIF(G$8:G5132,G5132,J$8:J5132)-SUMIF(G$8:G5132,G5132,K$8:K5132)+SUMIFS([1]内部转账!$G:$G,[1]内部转账!$C:$C,"&lt;="&amp;$D5132,[1]内部转账!$E:$E,$G5132)-SUMIFS([1]内部转账!$G:$G,[1]内部转账!$C:$C,"&lt;="&amp;$D5132,[1]内部转账!$F:$F,$G5132)),"")</f>
        <v/>
      </c>
      <c r="M5132" s="64"/>
      <c r="N5132" s="69"/>
      <c r="O5132" s="64"/>
      <c r="P5132" s="64"/>
      <c r="Q5132" s="69"/>
      <c r="R5132" s="69"/>
      <c r="S5132" s="69"/>
    </row>
    <row r="5133" s="2" customFormat="1" ht="24.95" customHeight="1" spans="1:19">
      <c r="A5133" s="15"/>
      <c r="B5133" s="55"/>
      <c r="C5133" s="56"/>
      <c r="D5133" s="68"/>
      <c r="E5133" s="69"/>
      <c r="F5133" s="69"/>
      <c r="G5133" s="65"/>
      <c r="H5133" s="65"/>
      <c r="I5133" s="70"/>
      <c r="J5133" s="71"/>
      <c r="K5133" s="71"/>
      <c r="L5133" s="72" t="str">
        <f>IFERROR(IF(G5133="","",VLOOKUP($G5133,[1]基础信息!$B:$C,2,FALSE)+SUMIF(G$8:G5133,G5133,J$8:J5133)-SUMIF(G$8:G5133,G5133,K$8:K5133)+SUMIFS([1]内部转账!$G:$G,[1]内部转账!$C:$C,"&lt;="&amp;$D5133,[1]内部转账!$E:$E,$G5133)-SUMIFS([1]内部转账!$G:$G,[1]内部转账!$C:$C,"&lt;="&amp;$D5133,[1]内部转账!$F:$F,$G5133)),"")</f>
        <v/>
      </c>
      <c r="M5133" s="64"/>
      <c r="N5133" s="69"/>
      <c r="O5133" s="64"/>
      <c r="P5133" s="64"/>
      <c r="Q5133" s="69"/>
      <c r="R5133" s="69"/>
      <c r="S5133" s="69"/>
    </row>
    <row r="5134" s="2" customFormat="1" ht="24.95" customHeight="1" spans="1:19">
      <c r="A5134" s="15"/>
      <c r="B5134" s="55"/>
      <c r="C5134" s="56"/>
      <c r="D5134" s="68"/>
      <c r="E5134" s="69"/>
      <c r="F5134" s="69"/>
      <c r="G5134" s="65"/>
      <c r="H5134" s="65"/>
      <c r="I5134" s="70"/>
      <c r="J5134" s="71"/>
      <c r="K5134" s="71"/>
      <c r="L5134" s="72" t="str">
        <f>IFERROR(IF(G5134="","",VLOOKUP($G5134,[1]基础信息!$B:$C,2,FALSE)+SUMIF(G$8:G5134,G5134,J$8:J5134)-SUMIF(G$8:G5134,G5134,K$8:K5134)+SUMIFS([1]内部转账!$G:$G,[1]内部转账!$C:$C,"&lt;="&amp;$D5134,[1]内部转账!$E:$E,$G5134)-SUMIFS([1]内部转账!$G:$G,[1]内部转账!$C:$C,"&lt;="&amp;$D5134,[1]内部转账!$F:$F,$G5134)),"")</f>
        <v/>
      </c>
      <c r="M5134" s="64"/>
      <c r="N5134" s="69"/>
      <c r="O5134" s="64"/>
      <c r="P5134" s="64"/>
      <c r="Q5134" s="69"/>
      <c r="R5134" s="69"/>
      <c r="S5134" s="69"/>
    </row>
    <row r="5135" s="2" customFormat="1" ht="24.95" customHeight="1" spans="1:19">
      <c r="A5135" s="15"/>
      <c r="B5135" s="55"/>
      <c r="C5135" s="56"/>
      <c r="D5135" s="68"/>
      <c r="E5135" s="69"/>
      <c r="F5135" s="69"/>
      <c r="G5135" s="65"/>
      <c r="H5135" s="65"/>
      <c r="I5135" s="70"/>
      <c r="J5135" s="71"/>
      <c r="K5135" s="71"/>
      <c r="L5135" s="72" t="str">
        <f>IFERROR(IF(G5135="","",VLOOKUP($G5135,[1]基础信息!$B:$C,2,FALSE)+SUMIF(G$8:G5135,G5135,J$8:J5135)-SUMIF(G$8:G5135,G5135,K$8:K5135)+SUMIFS([1]内部转账!$G:$G,[1]内部转账!$C:$C,"&lt;="&amp;$D5135,[1]内部转账!$E:$E,$G5135)-SUMIFS([1]内部转账!$G:$G,[1]内部转账!$C:$C,"&lt;="&amp;$D5135,[1]内部转账!$F:$F,$G5135)),"")</f>
        <v/>
      </c>
      <c r="M5135" s="64"/>
      <c r="N5135" s="69"/>
      <c r="O5135" s="64"/>
      <c r="P5135" s="64"/>
      <c r="Q5135" s="69"/>
      <c r="R5135" s="69"/>
      <c r="S5135" s="69"/>
    </row>
    <row r="5136" s="2" customFormat="1" ht="24.95" customHeight="1" spans="1:19">
      <c r="A5136" s="15"/>
      <c r="B5136" s="55"/>
      <c r="C5136" s="56"/>
      <c r="D5136" s="68"/>
      <c r="E5136" s="69"/>
      <c r="F5136" s="69"/>
      <c r="G5136" s="65"/>
      <c r="H5136" s="65"/>
      <c r="I5136" s="70"/>
      <c r="J5136" s="71"/>
      <c r="K5136" s="71"/>
      <c r="L5136" s="72" t="str">
        <f>IFERROR(IF(G5136="","",VLOOKUP($G5136,[1]基础信息!$B:$C,2,FALSE)+SUMIF(G$8:G5136,G5136,J$8:J5136)-SUMIF(G$8:G5136,G5136,K$8:K5136)+SUMIFS([1]内部转账!$G:$G,[1]内部转账!$C:$C,"&lt;="&amp;$D5136,[1]内部转账!$E:$E,$G5136)-SUMIFS([1]内部转账!$G:$G,[1]内部转账!$C:$C,"&lt;="&amp;$D5136,[1]内部转账!$F:$F,$G5136)),"")</f>
        <v/>
      </c>
      <c r="M5136" s="64"/>
      <c r="N5136" s="69"/>
      <c r="O5136" s="64"/>
      <c r="P5136" s="64"/>
      <c r="Q5136" s="69"/>
      <c r="R5136" s="69"/>
      <c r="S5136" s="69"/>
    </row>
    <row r="5137" s="2" customFormat="1" ht="24.95" customHeight="1" spans="1:19">
      <c r="A5137" s="15"/>
      <c r="B5137" s="55"/>
      <c r="C5137" s="56"/>
      <c r="D5137" s="68"/>
      <c r="E5137" s="69"/>
      <c r="F5137" s="69"/>
      <c r="G5137" s="65"/>
      <c r="H5137" s="65"/>
      <c r="I5137" s="70"/>
      <c r="J5137" s="71"/>
      <c r="K5137" s="71"/>
      <c r="L5137" s="72" t="str">
        <f>IFERROR(IF(G5137="","",VLOOKUP($G5137,[1]基础信息!$B:$C,2,FALSE)+SUMIF(G$8:G5137,G5137,J$8:J5137)-SUMIF(G$8:G5137,G5137,K$8:K5137)+SUMIFS([1]内部转账!$G:$G,[1]内部转账!$C:$C,"&lt;="&amp;$D5137,[1]内部转账!$E:$E,$G5137)-SUMIFS([1]内部转账!$G:$G,[1]内部转账!$C:$C,"&lt;="&amp;$D5137,[1]内部转账!$F:$F,$G5137)),"")</f>
        <v/>
      </c>
      <c r="M5137" s="64"/>
      <c r="N5137" s="69"/>
      <c r="O5137" s="64"/>
      <c r="P5137" s="64"/>
      <c r="Q5137" s="69"/>
      <c r="R5137" s="69"/>
      <c r="S5137" s="69"/>
    </row>
    <row r="5138" s="2" customFormat="1" ht="24.95" customHeight="1" spans="1:19">
      <c r="A5138" s="15"/>
      <c r="B5138" s="55"/>
      <c r="C5138" s="56"/>
      <c r="D5138" s="68"/>
      <c r="E5138" s="69"/>
      <c r="F5138" s="69"/>
      <c r="G5138" s="65"/>
      <c r="H5138" s="65"/>
      <c r="I5138" s="70"/>
      <c r="J5138" s="71"/>
      <c r="K5138" s="71"/>
      <c r="L5138" s="72" t="str">
        <f>IFERROR(IF(G5138="","",VLOOKUP($G5138,[1]基础信息!$B:$C,2,FALSE)+SUMIF(G$8:G5138,G5138,J$8:J5138)-SUMIF(G$8:G5138,G5138,K$8:K5138)+SUMIFS([1]内部转账!$G:$G,[1]内部转账!$C:$C,"&lt;="&amp;$D5138,[1]内部转账!$E:$E,$G5138)-SUMIFS([1]内部转账!$G:$G,[1]内部转账!$C:$C,"&lt;="&amp;$D5138,[1]内部转账!$F:$F,$G5138)),"")</f>
        <v/>
      </c>
      <c r="M5138" s="64"/>
      <c r="N5138" s="69"/>
      <c r="O5138" s="64"/>
      <c r="P5138" s="64"/>
      <c r="Q5138" s="69"/>
      <c r="R5138" s="69"/>
      <c r="S5138" s="69"/>
    </row>
    <row r="5139" s="2" customFormat="1" ht="24.95" customHeight="1" spans="1:19">
      <c r="A5139" s="15"/>
      <c r="B5139" s="55"/>
      <c r="C5139" s="56"/>
      <c r="D5139" s="68"/>
      <c r="E5139" s="69"/>
      <c r="F5139" s="69"/>
      <c r="G5139" s="65"/>
      <c r="H5139" s="65"/>
      <c r="I5139" s="70"/>
      <c r="J5139" s="71"/>
      <c r="K5139" s="71"/>
      <c r="L5139" s="72" t="str">
        <f>IFERROR(IF(G5139="","",VLOOKUP($G5139,[1]基础信息!$B:$C,2,FALSE)+SUMIF(G$8:G5139,G5139,J$8:J5139)-SUMIF(G$8:G5139,G5139,K$8:K5139)+SUMIFS([1]内部转账!$G:$G,[1]内部转账!$C:$C,"&lt;="&amp;$D5139,[1]内部转账!$E:$E,$G5139)-SUMIFS([1]内部转账!$G:$G,[1]内部转账!$C:$C,"&lt;="&amp;$D5139,[1]内部转账!$F:$F,$G5139)),"")</f>
        <v/>
      </c>
      <c r="M5139" s="64"/>
      <c r="N5139" s="69"/>
      <c r="O5139" s="64"/>
      <c r="P5139" s="64"/>
      <c r="Q5139" s="69"/>
      <c r="R5139" s="69"/>
      <c r="S5139" s="69"/>
    </row>
    <row r="5140" s="2" customFormat="1" ht="24.95" customHeight="1" spans="1:19">
      <c r="A5140" s="15"/>
      <c r="B5140" s="55"/>
      <c r="C5140" s="56"/>
      <c r="D5140" s="68"/>
      <c r="E5140" s="69"/>
      <c r="F5140" s="69"/>
      <c r="G5140" s="65"/>
      <c r="H5140" s="65"/>
      <c r="I5140" s="70"/>
      <c r="J5140" s="71"/>
      <c r="K5140" s="71"/>
      <c r="L5140" s="72" t="str">
        <f>IFERROR(IF(G5140="","",VLOOKUP($G5140,[1]基础信息!$B:$C,2,FALSE)+SUMIF(G$8:G5140,G5140,J$8:J5140)-SUMIF(G$8:G5140,G5140,K$8:K5140)+SUMIFS([1]内部转账!$G:$G,[1]内部转账!$C:$C,"&lt;="&amp;$D5140,[1]内部转账!$E:$E,$G5140)-SUMIFS([1]内部转账!$G:$G,[1]内部转账!$C:$C,"&lt;="&amp;$D5140,[1]内部转账!$F:$F,$G5140)),"")</f>
        <v/>
      </c>
      <c r="M5140" s="64"/>
      <c r="N5140" s="69"/>
      <c r="O5140" s="64"/>
      <c r="P5140" s="64"/>
      <c r="Q5140" s="69"/>
      <c r="R5140" s="69"/>
      <c r="S5140" s="69"/>
    </row>
    <row r="5141" s="2" customFormat="1" ht="24.95" customHeight="1" spans="1:19">
      <c r="A5141" s="15"/>
      <c r="B5141" s="55"/>
      <c r="C5141" s="56"/>
      <c r="D5141" s="68"/>
      <c r="E5141" s="69"/>
      <c r="F5141" s="69"/>
      <c r="G5141" s="65"/>
      <c r="H5141" s="65"/>
      <c r="I5141" s="70"/>
      <c r="J5141" s="71"/>
      <c r="K5141" s="71"/>
      <c r="L5141" s="72" t="str">
        <f>IFERROR(IF(G5141="","",VLOOKUP($G5141,[1]基础信息!$B:$C,2,FALSE)+SUMIF(G$8:G5141,G5141,J$8:J5141)-SUMIF(G$8:G5141,G5141,K$8:K5141)+SUMIFS([1]内部转账!$G:$G,[1]内部转账!$C:$C,"&lt;="&amp;$D5141,[1]内部转账!$E:$E,$G5141)-SUMIFS([1]内部转账!$G:$G,[1]内部转账!$C:$C,"&lt;="&amp;$D5141,[1]内部转账!$F:$F,$G5141)),"")</f>
        <v/>
      </c>
      <c r="M5141" s="64"/>
      <c r="N5141" s="69"/>
      <c r="O5141" s="64"/>
      <c r="P5141" s="64"/>
      <c r="Q5141" s="69"/>
      <c r="R5141" s="69"/>
      <c r="S5141" s="69"/>
    </row>
    <row r="5142" s="2" customFormat="1" ht="24.95" customHeight="1" spans="1:19">
      <c r="A5142" s="15"/>
      <c r="B5142" s="55"/>
      <c r="C5142" s="56"/>
      <c r="D5142" s="68"/>
      <c r="E5142" s="69"/>
      <c r="F5142" s="69"/>
      <c r="G5142" s="65"/>
      <c r="H5142" s="65"/>
      <c r="I5142" s="70"/>
      <c r="J5142" s="71"/>
      <c r="K5142" s="71"/>
      <c r="L5142" s="72" t="str">
        <f>IFERROR(IF(G5142="","",VLOOKUP($G5142,[1]基础信息!$B:$C,2,FALSE)+SUMIF(G$8:G5142,G5142,J$8:J5142)-SUMIF(G$8:G5142,G5142,K$8:K5142)+SUMIFS([1]内部转账!$G:$G,[1]内部转账!$C:$C,"&lt;="&amp;$D5142,[1]内部转账!$E:$E,$G5142)-SUMIFS([1]内部转账!$G:$G,[1]内部转账!$C:$C,"&lt;="&amp;$D5142,[1]内部转账!$F:$F,$G5142)),"")</f>
        <v/>
      </c>
      <c r="M5142" s="64"/>
      <c r="N5142" s="69"/>
      <c r="O5142" s="64"/>
      <c r="P5142" s="64"/>
      <c r="Q5142" s="69"/>
      <c r="R5142" s="69"/>
      <c r="S5142" s="69"/>
    </row>
    <row r="5143" s="2" customFormat="1" ht="24.95" customHeight="1" spans="1:19">
      <c r="A5143" s="15"/>
      <c r="B5143" s="55"/>
      <c r="C5143" s="56"/>
      <c r="D5143" s="68"/>
      <c r="E5143" s="69"/>
      <c r="F5143" s="69"/>
      <c r="G5143" s="65"/>
      <c r="H5143" s="65"/>
      <c r="I5143" s="70"/>
      <c r="J5143" s="71"/>
      <c r="K5143" s="71"/>
      <c r="L5143" s="72" t="str">
        <f>IFERROR(IF(G5143="","",VLOOKUP($G5143,[1]基础信息!$B:$C,2,FALSE)+SUMIF(G$8:G5143,G5143,J$8:J5143)-SUMIF(G$8:G5143,G5143,K$8:K5143)+SUMIFS([1]内部转账!$G:$G,[1]内部转账!$C:$C,"&lt;="&amp;$D5143,[1]内部转账!$E:$E,$G5143)-SUMIFS([1]内部转账!$G:$G,[1]内部转账!$C:$C,"&lt;="&amp;$D5143,[1]内部转账!$F:$F,$G5143)),"")</f>
        <v/>
      </c>
      <c r="M5143" s="64"/>
      <c r="N5143" s="69"/>
      <c r="O5143" s="64"/>
      <c r="P5143" s="64"/>
      <c r="Q5143" s="69"/>
      <c r="R5143" s="69"/>
      <c r="S5143" s="69"/>
    </row>
    <row r="5144" s="2" customFormat="1" ht="24.95" customHeight="1" spans="1:19">
      <c r="A5144" s="15"/>
      <c r="B5144" s="55"/>
      <c r="C5144" s="56"/>
      <c r="D5144" s="68"/>
      <c r="E5144" s="69"/>
      <c r="F5144" s="69"/>
      <c r="G5144" s="65"/>
      <c r="H5144" s="65"/>
      <c r="I5144" s="70"/>
      <c r="J5144" s="71"/>
      <c r="K5144" s="71"/>
      <c r="L5144" s="72" t="str">
        <f>IFERROR(IF(G5144="","",VLOOKUP($G5144,[1]基础信息!$B:$C,2,FALSE)+SUMIF(G$8:G5144,G5144,J$8:J5144)-SUMIF(G$8:G5144,G5144,K$8:K5144)+SUMIFS([1]内部转账!$G:$G,[1]内部转账!$C:$C,"&lt;="&amp;$D5144,[1]内部转账!$E:$E,$G5144)-SUMIFS([1]内部转账!$G:$G,[1]内部转账!$C:$C,"&lt;="&amp;$D5144,[1]内部转账!$F:$F,$G5144)),"")</f>
        <v/>
      </c>
      <c r="M5144" s="64"/>
      <c r="N5144" s="69"/>
      <c r="O5144" s="64"/>
      <c r="P5144" s="64"/>
      <c r="Q5144" s="69"/>
      <c r="R5144" s="69"/>
      <c r="S5144" s="69"/>
    </row>
    <row r="5145" s="2" customFormat="1" ht="24.95" customHeight="1" spans="1:19">
      <c r="A5145" s="15"/>
      <c r="B5145" s="55"/>
      <c r="C5145" s="56"/>
      <c r="D5145" s="68"/>
      <c r="E5145" s="69"/>
      <c r="F5145" s="69"/>
      <c r="G5145" s="65"/>
      <c r="H5145" s="65"/>
      <c r="I5145" s="70"/>
      <c r="J5145" s="71"/>
      <c r="K5145" s="71"/>
      <c r="L5145" s="72" t="str">
        <f>IFERROR(IF(G5145="","",VLOOKUP($G5145,[1]基础信息!$B:$C,2,FALSE)+SUMIF(G$8:G5145,G5145,J$8:J5145)-SUMIF(G$8:G5145,G5145,K$8:K5145)+SUMIFS([1]内部转账!$G:$G,[1]内部转账!$C:$C,"&lt;="&amp;$D5145,[1]内部转账!$E:$E,$G5145)-SUMIFS([1]内部转账!$G:$G,[1]内部转账!$C:$C,"&lt;="&amp;$D5145,[1]内部转账!$F:$F,$G5145)),"")</f>
        <v/>
      </c>
      <c r="M5145" s="64"/>
      <c r="N5145" s="69"/>
      <c r="O5145" s="64"/>
      <c r="P5145" s="64"/>
      <c r="Q5145" s="69"/>
      <c r="R5145" s="69"/>
      <c r="S5145" s="69"/>
    </row>
    <row r="5146" s="2" customFormat="1" ht="24.95" customHeight="1" spans="1:19">
      <c r="A5146" s="15"/>
      <c r="B5146" s="55"/>
      <c r="C5146" s="56"/>
      <c r="D5146" s="68"/>
      <c r="E5146" s="69"/>
      <c r="F5146" s="69"/>
      <c r="G5146" s="65"/>
      <c r="H5146" s="65"/>
      <c r="I5146" s="70"/>
      <c r="J5146" s="71"/>
      <c r="K5146" s="71"/>
      <c r="L5146" s="72" t="str">
        <f>IFERROR(IF(G5146="","",VLOOKUP($G5146,[1]基础信息!$B:$C,2,FALSE)+SUMIF(G$8:G5146,G5146,J$8:J5146)-SUMIF(G$8:G5146,G5146,K$8:K5146)+SUMIFS([1]内部转账!$G:$G,[1]内部转账!$C:$C,"&lt;="&amp;$D5146,[1]内部转账!$E:$E,$G5146)-SUMIFS([1]内部转账!$G:$G,[1]内部转账!$C:$C,"&lt;="&amp;$D5146,[1]内部转账!$F:$F,$G5146)),"")</f>
        <v/>
      </c>
      <c r="M5146" s="64"/>
      <c r="N5146" s="69"/>
      <c r="O5146" s="64"/>
      <c r="P5146" s="64"/>
      <c r="Q5146" s="69"/>
      <c r="R5146" s="69"/>
      <c r="S5146" s="69"/>
    </row>
    <row r="5147" s="2" customFormat="1" ht="24.95" customHeight="1" spans="1:19">
      <c r="A5147" s="15"/>
      <c r="B5147" s="55"/>
      <c r="C5147" s="56"/>
      <c r="D5147" s="68"/>
      <c r="E5147" s="69"/>
      <c r="F5147" s="69"/>
      <c r="G5147" s="65"/>
      <c r="H5147" s="65"/>
      <c r="I5147" s="70"/>
      <c r="J5147" s="71"/>
      <c r="K5147" s="71"/>
      <c r="L5147" s="72" t="str">
        <f>IFERROR(IF(G5147="","",VLOOKUP($G5147,[1]基础信息!$B:$C,2,FALSE)+SUMIF(G$8:G5147,G5147,J$8:J5147)-SUMIF(G$8:G5147,G5147,K$8:K5147)+SUMIFS([1]内部转账!$G:$G,[1]内部转账!$C:$C,"&lt;="&amp;$D5147,[1]内部转账!$E:$E,$G5147)-SUMIFS([1]内部转账!$G:$G,[1]内部转账!$C:$C,"&lt;="&amp;$D5147,[1]内部转账!$F:$F,$G5147)),"")</f>
        <v/>
      </c>
      <c r="M5147" s="64"/>
      <c r="N5147" s="69"/>
      <c r="O5147" s="64"/>
      <c r="P5147" s="64"/>
      <c r="Q5147" s="69"/>
      <c r="R5147" s="69"/>
      <c r="S5147" s="69"/>
    </row>
    <row r="5148" s="2" customFormat="1" ht="24.95" customHeight="1" spans="1:19">
      <c r="A5148" s="15"/>
      <c r="B5148" s="55"/>
      <c r="C5148" s="56"/>
      <c r="D5148" s="68"/>
      <c r="E5148" s="69"/>
      <c r="F5148" s="69"/>
      <c r="G5148" s="65"/>
      <c r="H5148" s="65"/>
      <c r="I5148" s="70"/>
      <c r="J5148" s="71"/>
      <c r="K5148" s="71"/>
      <c r="L5148" s="72" t="str">
        <f>IFERROR(IF(G5148="","",VLOOKUP($G5148,[1]基础信息!$B:$C,2,FALSE)+SUMIF(G$8:G5148,G5148,J$8:J5148)-SUMIF(G$8:G5148,G5148,K$8:K5148)+SUMIFS([1]内部转账!$G:$G,[1]内部转账!$C:$C,"&lt;="&amp;$D5148,[1]内部转账!$E:$E,$G5148)-SUMIFS([1]内部转账!$G:$G,[1]内部转账!$C:$C,"&lt;="&amp;$D5148,[1]内部转账!$F:$F,$G5148)),"")</f>
        <v/>
      </c>
      <c r="M5148" s="64"/>
      <c r="N5148" s="69"/>
      <c r="O5148" s="64"/>
      <c r="P5148" s="64"/>
      <c r="Q5148" s="69"/>
      <c r="R5148" s="69"/>
      <c r="S5148" s="69"/>
    </row>
    <row r="5149" s="2" customFormat="1" ht="24.95" customHeight="1" spans="1:19">
      <c r="A5149" s="15"/>
      <c r="B5149" s="55"/>
      <c r="C5149" s="56"/>
      <c r="D5149" s="68"/>
      <c r="E5149" s="69"/>
      <c r="F5149" s="69"/>
      <c r="G5149" s="65"/>
      <c r="H5149" s="65"/>
      <c r="I5149" s="70"/>
      <c r="J5149" s="71"/>
      <c r="K5149" s="71"/>
      <c r="L5149" s="72" t="str">
        <f>IFERROR(IF(G5149="","",VLOOKUP($G5149,[1]基础信息!$B:$C,2,FALSE)+SUMIF(G$8:G5149,G5149,J$8:J5149)-SUMIF(G$8:G5149,G5149,K$8:K5149)+SUMIFS([1]内部转账!$G:$G,[1]内部转账!$C:$C,"&lt;="&amp;$D5149,[1]内部转账!$E:$E,$G5149)-SUMIFS([1]内部转账!$G:$G,[1]内部转账!$C:$C,"&lt;="&amp;$D5149,[1]内部转账!$F:$F,$G5149)),"")</f>
        <v/>
      </c>
      <c r="M5149" s="64"/>
      <c r="N5149" s="69"/>
      <c r="O5149" s="64"/>
      <c r="P5149" s="64"/>
      <c r="Q5149" s="69"/>
      <c r="R5149" s="69"/>
      <c r="S5149" s="69"/>
    </row>
    <row r="5150" s="2" customFormat="1" ht="24.95" customHeight="1" spans="1:19">
      <c r="A5150" s="15"/>
      <c r="B5150" s="55"/>
      <c r="C5150" s="56"/>
      <c r="D5150" s="68"/>
      <c r="E5150" s="69"/>
      <c r="F5150" s="69"/>
      <c r="G5150" s="65"/>
      <c r="H5150" s="65"/>
      <c r="I5150" s="70"/>
      <c r="J5150" s="71"/>
      <c r="K5150" s="71"/>
      <c r="L5150" s="72" t="str">
        <f>IFERROR(IF(G5150="","",VLOOKUP($G5150,[1]基础信息!$B:$C,2,FALSE)+SUMIF(G$8:G5150,G5150,J$8:J5150)-SUMIF(G$8:G5150,G5150,K$8:K5150)+SUMIFS([1]内部转账!$G:$G,[1]内部转账!$C:$C,"&lt;="&amp;$D5150,[1]内部转账!$E:$E,$G5150)-SUMIFS([1]内部转账!$G:$G,[1]内部转账!$C:$C,"&lt;="&amp;$D5150,[1]内部转账!$F:$F,$G5150)),"")</f>
        <v/>
      </c>
      <c r="M5150" s="64"/>
      <c r="N5150" s="69"/>
      <c r="O5150" s="64"/>
      <c r="P5150" s="64"/>
      <c r="Q5150" s="69"/>
      <c r="R5150" s="69"/>
      <c r="S5150" s="69"/>
    </row>
    <row r="5151" s="2" customFormat="1" ht="24.95" customHeight="1" spans="1:19">
      <c r="A5151" s="15"/>
      <c r="B5151" s="55"/>
      <c r="C5151" s="56"/>
      <c r="D5151" s="68"/>
      <c r="E5151" s="69"/>
      <c r="F5151" s="69"/>
      <c r="G5151" s="65"/>
      <c r="H5151" s="65"/>
      <c r="I5151" s="70"/>
      <c r="J5151" s="71"/>
      <c r="K5151" s="71"/>
      <c r="L5151" s="72" t="str">
        <f>IFERROR(IF(G5151="","",VLOOKUP($G5151,[1]基础信息!$B:$C,2,FALSE)+SUMIF(G$8:G5151,G5151,J$8:J5151)-SUMIF(G$8:G5151,G5151,K$8:K5151)+SUMIFS([1]内部转账!$G:$G,[1]内部转账!$C:$C,"&lt;="&amp;$D5151,[1]内部转账!$E:$E,$G5151)-SUMIFS([1]内部转账!$G:$G,[1]内部转账!$C:$C,"&lt;="&amp;$D5151,[1]内部转账!$F:$F,$G5151)),"")</f>
        <v/>
      </c>
      <c r="M5151" s="64"/>
      <c r="N5151" s="69"/>
      <c r="O5151" s="64"/>
      <c r="P5151" s="64"/>
      <c r="Q5151" s="69"/>
      <c r="R5151" s="69"/>
      <c r="S5151" s="69"/>
    </row>
    <row r="5152" s="2" customFormat="1" ht="24.95" customHeight="1" spans="1:19">
      <c r="A5152" s="15"/>
      <c r="B5152" s="55"/>
      <c r="C5152" s="56"/>
      <c r="D5152" s="68"/>
      <c r="E5152" s="69"/>
      <c r="F5152" s="69"/>
      <c r="G5152" s="65"/>
      <c r="H5152" s="65"/>
      <c r="I5152" s="70"/>
      <c r="J5152" s="71"/>
      <c r="K5152" s="71"/>
      <c r="L5152" s="72" t="str">
        <f>IFERROR(IF(G5152="","",VLOOKUP($G5152,[1]基础信息!$B:$C,2,FALSE)+SUMIF(G$8:G5152,G5152,J$8:J5152)-SUMIF(G$8:G5152,G5152,K$8:K5152)+SUMIFS([1]内部转账!$G:$G,[1]内部转账!$C:$C,"&lt;="&amp;$D5152,[1]内部转账!$E:$E,$G5152)-SUMIFS([1]内部转账!$G:$G,[1]内部转账!$C:$C,"&lt;="&amp;$D5152,[1]内部转账!$F:$F,$G5152)),"")</f>
        <v/>
      </c>
      <c r="M5152" s="64"/>
      <c r="N5152" s="69"/>
      <c r="O5152" s="64"/>
      <c r="P5152" s="64"/>
      <c r="Q5152" s="69"/>
      <c r="R5152" s="69"/>
      <c r="S5152" s="69"/>
    </row>
    <row r="5153" s="2" customFormat="1" ht="24.95" customHeight="1" spans="1:19">
      <c r="A5153" s="15"/>
      <c r="B5153" s="55"/>
      <c r="C5153" s="56"/>
      <c r="D5153" s="68"/>
      <c r="E5153" s="69"/>
      <c r="F5153" s="69"/>
      <c r="G5153" s="65"/>
      <c r="H5153" s="65"/>
      <c r="I5153" s="70"/>
      <c r="J5153" s="71"/>
      <c r="K5153" s="71"/>
      <c r="L5153" s="72" t="str">
        <f>IFERROR(IF(G5153="","",VLOOKUP($G5153,[1]基础信息!$B:$C,2,FALSE)+SUMIF(G$8:G5153,G5153,J$8:J5153)-SUMIF(G$8:G5153,G5153,K$8:K5153)+SUMIFS([1]内部转账!$G:$G,[1]内部转账!$C:$C,"&lt;="&amp;$D5153,[1]内部转账!$E:$E,$G5153)-SUMIFS([1]内部转账!$G:$G,[1]内部转账!$C:$C,"&lt;="&amp;$D5153,[1]内部转账!$F:$F,$G5153)),"")</f>
        <v/>
      </c>
      <c r="M5153" s="64"/>
      <c r="N5153" s="69"/>
      <c r="O5153" s="64"/>
      <c r="P5153" s="64"/>
      <c r="Q5153" s="69"/>
      <c r="R5153" s="69"/>
      <c r="S5153" s="69"/>
    </row>
    <row r="5154" s="2" customFormat="1" ht="24.95" customHeight="1" spans="1:19">
      <c r="A5154" s="15"/>
      <c r="B5154" s="55"/>
      <c r="C5154" s="56"/>
      <c r="D5154" s="68"/>
      <c r="E5154" s="69"/>
      <c r="F5154" s="69"/>
      <c r="G5154" s="65"/>
      <c r="H5154" s="65"/>
      <c r="I5154" s="70"/>
      <c r="J5154" s="71"/>
      <c r="K5154" s="71"/>
      <c r="L5154" s="72" t="str">
        <f>IFERROR(IF(G5154="","",VLOOKUP($G5154,[1]基础信息!$B:$C,2,FALSE)+SUMIF(G$8:G5154,G5154,J$8:J5154)-SUMIF(G$8:G5154,G5154,K$8:K5154)+SUMIFS([1]内部转账!$G:$G,[1]内部转账!$C:$C,"&lt;="&amp;$D5154,[1]内部转账!$E:$E,$G5154)-SUMIFS([1]内部转账!$G:$G,[1]内部转账!$C:$C,"&lt;="&amp;$D5154,[1]内部转账!$F:$F,$G5154)),"")</f>
        <v/>
      </c>
      <c r="M5154" s="64"/>
      <c r="N5154" s="69"/>
      <c r="O5154" s="64"/>
      <c r="P5154" s="64"/>
      <c r="Q5154" s="69"/>
      <c r="R5154" s="69"/>
      <c r="S5154" s="69"/>
    </row>
    <row r="5155" s="2" customFormat="1" ht="24.95" customHeight="1" spans="1:19">
      <c r="A5155" s="15"/>
      <c r="B5155" s="55"/>
      <c r="C5155" s="56"/>
      <c r="D5155" s="68"/>
      <c r="E5155" s="69"/>
      <c r="F5155" s="69"/>
      <c r="G5155" s="65"/>
      <c r="H5155" s="65"/>
      <c r="I5155" s="70"/>
      <c r="J5155" s="71"/>
      <c r="K5155" s="71"/>
      <c r="L5155" s="72" t="str">
        <f>IFERROR(IF(G5155="","",VLOOKUP($G5155,[1]基础信息!$B:$C,2,FALSE)+SUMIF(G$8:G5155,G5155,J$8:J5155)-SUMIF(G$8:G5155,G5155,K$8:K5155)+SUMIFS([1]内部转账!$G:$G,[1]内部转账!$C:$C,"&lt;="&amp;$D5155,[1]内部转账!$E:$E,$G5155)-SUMIFS([1]内部转账!$G:$G,[1]内部转账!$C:$C,"&lt;="&amp;$D5155,[1]内部转账!$F:$F,$G5155)),"")</f>
        <v/>
      </c>
      <c r="M5155" s="64"/>
      <c r="N5155" s="69"/>
      <c r="O5155" s="64"/>
      <c r="P5155" s="64"/>
      <c r="Q5155" s="69"/>
      <c r="R5155" s="69"/>
      <c r="S5155" s="69"/>
    </row>
    <row r="5156" s="2" customFormat="1" ht="24.95" customHeight="1" spans="1:19">
      <c r="A5156" s="15"/>
      <c r="B5156" s="55"/>
      <c r="C5156" s="56"/>
      <c r="D5156" s="68"/>
      <c r="E5156" s="69"/>
      <c r="F5156" s="69"/>
      <c r="G5156" s="65"/>
      <c r="H5156" s="65"/>
      <c r="I5156" s="70"/>
      <c r="J5156" s="71"/>
      <c r="K5156" s="71"/>
      <c r="L5156" s="72" t="str">
        <f>IFERROR(IF(G5156="","",VLOOKUP($G5156,[1]基础信息!$B:$C,2,FALSE)+SUMIF(G$8:G5156,G5156,J$8:J5156)-SUMIF(G$8:G5156,G5156,K$8:K5156)+SUMIFS([1]内部转账!$G:$G,[1]内部转账!$C:$C,"&lt;="&amp;$D5156,[1]内部转账!$E:$E,$G5156)-SUMIFS([1]内部转账!$G:$G,[1]内部转账!$C:$C,"&lt;="&amp;$D5156,[1]内部转账!$F:$F,$G5156)),"")</f>
        <v/>
      </c>
      <c r="M5156" s="64"/>
      <c r="N5156" s="69"/>
      <c r="O5156" s="64"/>
      <c r="P5156" s="64"/>
      <c r="Q5156" s="69"/>
      <c r="R5156" s="69"/>
      <c r="S5156" s="69"/>
    </row>
    <row r="5157" s="2" customFormat="1" ht="24.95" customHeight="1" spans="1:19">
      <c r="A5157" s="15"/>
      <c r="B5157" s="55"/>
      <c r="C5157" s="56"/>
      <c r="D5157" s="68"/>
      <c r="E5157" s="69"/>
      <c r="F5157" s="69"/>
      <c r="G5157" s="65"/>
      <c r="H5157" s="65"/>
      <c r="I5157" s="70"/>
      <c r="J5157" s="71"/>
      <c r="K5157" s="71"/>
      <c r="L5157" s="72" t="str">
        <f>IFERROR(IF(G5157="","",VLOOKUP($G5157,[1]基础信息!$B:$C,2,FALSE)+SUMIF(G$8:G5157,G5157,J$8:J5157)-SUMIF(G$8:G5157,G5157,K$8:K5157)+SUMIFS([1]内部转账!$G:$G,[1]内部转账!$C:$C,"&lt;="&amp;$D5157,[1]内部转账!$E:$E,$G5157)-SUMIFS([1]内部转账!$G:$G,[1]内部转账!$C:$C,"&lt;="&amp;$D5157,[1]内部转账!$F:$F,$G5157)),"")</f>
        <v/>
      </c>
      <c r="M5157" s="64"/>
      <c r="N5157" s="69"/>
      <c r="O5157" s="64"/>
      <c r="P5157" s="64"/>
      <c r="Q5157" s="69"/>
      <c r="R5157" s="69"/>
      <c r="S5157" s="69"/>
    </row>
    <row r="5158" s="2" customFormat="1" ht="24.95" customHeight="1" spans="1:19">
      <c r="A5158" s="15"/>
      <c r="B5158" s="55"/>
      <c r="C5158" s="56"/>
      <c r="D5158" s="68"/>
      <c r="E5158" s="69"/>
      <c r="F5158" s="69"/>
      <c r="G5158" s="65"/>
      <c r="H5158" s="65"/>
      <c r="I5158" s="70"/>
      <c r="J5158" s="71"/>
      <c r="K5158" s="71"/>
      <c r="L5158" s="72" t="str">
        <f>IFERROR(IF(G5158="","",VLOOKUP($G5158,[1]基础信息!$B:$C,2,FALSE)+SUMIF(G$8:G5158,G5158,J$8:J5158)-SUMIF(G$8:G5158,G5158,K$8:K5158)+SUMIFS([1]内部转账!$G:$G,[1]内部转账!$C:$C,"&lt;="&amp;$D5158,[1]内部转账!$E:$E,$G5158)-SUMIFS([1]内部转账!$G:$G,[1]内部转账!$C:$C,"&lt;="&amp;$D5158,[1]内部转账!$F:$F,$G5158)),"")</f>
        <v/>
      </c>
      <c r="M5158" s="64"/>
      <c r="N5158" s="69"/>
      <c r="O5158" s="64"/>
      <c r="P5158" s="64"/>
      <c r="Q5158" s="69"/>
      <c r="R5158" s="69"/>
      <c r="S5158" s="69"/>
    </row>
    <row r="5159" s="2" customFormat="1" ht="24.95" customHeight="1" spans="1:19">
      <c r="A5159" s="15"/>
      <c r="B5159" s="55"/>
      <c r="C5159" s="56"/>
      <c r="D5159" s="68"/>
      <c r="E5159" s="69"/>
      <c r="F5159" s="69"/>
      <c r="G5159" s="65"/>
      <c r="H5159" s="65"/>
      <c r="I5159" s="70"/>
      <c r="J5159" s="71"/>
      <c r="K5159" s="71"/>
      <c r="L5159" s="72" t="str">
        <f>IFERROR(IF(G5159="","",VLOOKUP($G5159,[1]基础信息!$B:$C,2,FALSE)+SUMIF(G$8:G5159,G5159,J$8:J5159)-SUMIF(G$8:G5159,G5159,K$8:K5159)+SUMIFS([1]内部转账!$G:$G,[1]内部转账!$C:$C,"&lt;="&amp;$D5159,[1]内部转账!$E:$E,$G5159)-SUMIFS([1]内部转账!$G:$G,[1]内部转账!$C:$C,"&lt;="&amp;$D5159,[1]内部转账!$F:$F,$G5159)),"")</f>
        <v/>
      </c>
      <c r="M5159" s="64"/>
      <c r="N5159" s="69"/>
      <c r="O5159" s="64"/>
      <c r="P5159" s="64"/>
      <c r="Q5159" s="69"/>
      <c r="R5159" s="69"/>
      <c r="S5159" s="69"/>
    </row>
    <row r="5160" s="2" customFormat="1" ht="24.95" customHeight="1" spans="1:19">
      <c r="A5160" s="15"/>
      <c r="B5160" s="55"/>
      <c r="C5160" s="56"/>
      <c r="D5160" s="68"/>
      <c r="E5160" s="69"/>
      <c r="F5160" s="69"/>
      <c r="G5160" s="65"/>
      <c r="H5160" s="65"/>
      <c r="I5160" s="70"/>
      <c r="J5160" s="71"/>
      <c r="K5160" s="71"/>
      <c r="L5160" s="72" t="str">
        <f>IFERROR(IF(G5160="","",VLOOKUP($G5160,[1]基础信息!$B:$C,2,FALSE)+SUMIF(G$8:G5160,G5160,J$8:J5160)-SUMIF(G$8:G5160,G5160,K$8:K5160)+SUMIFS([1]内部转账!$G:$G,[1]内部转账!$C:$C,"&lt;="&amp;$D5160,[1]内部转账!$E:$E,$G5160)-SUMIFS([1]内部转账!$G:$G,[1]内部转账!$C:$C,"&lt;="&amp;$D5160,[1]内部转账!$F:$F,$G5160)),"")</f>
        <v/>
      </c>
      <c r="M5160" s="64"/>
      <c r="N5160" s="69"/>
      <c r="O5160" s="64"/>
      <c r="P5160" s="64"/>
      <c r="Q5160" s="69"/>
      <c r="R5160" s="69"/>
      <c r="S5160" s="69"/>
    </row>
    <row r="5161" s="2" customFormat="1" ht="24.95" customHeight="1" spans="1:19">
      <c r="A5161" s="15"/>
      <c r="B5161" s="55"/>
      <c r="C5161" s="56"/>
      <c r="D5161" s="68"/>
      <c r="E5161" s="69"/>
      <c r="F5161" s="69"/>
      <c r="G5161" s="65"/>
      <c r="H5161" s="65"/>
      <c r="I5161" s="70"/>
      <c r="J5161" s="71"/>
      <c r="K5161" s="71"/>
      <c r="L5161" s="72" t="str">
        <f>IFERROR(IF(G5161="","",VLOOKUP($G5161,[1]基础信息!$B:$C,2,FALSE)+SUMIF(G$8:G5161,G5161,J$8:J5161)-SUMIF(G$8:G5161,G5161,K$8:K5161)+SUMIFS([1]内部转账!$G:$G,[1]内部转账!$C:$C,"&lt;="&amp;$D5161,[1]内部转账!$E:$E,$G5161)-SUMIFS([1]内部转账!$G:$G,[1]内部转账!$C:$C,"&lt;="&amp;$D5161,[1]内部转账!$F:$F,$G5161)),"")</f>
        <v/>
      </c>
      <c r="M5161" s="64"/>
      <c r="N5161" s="69"/>
      <c r="O5161" s="64"/>
      <c r="P5161" s="64"/>
      <c r="Q5161" s="69"/>
      <c r="R5161" s="69"/>
      <c r="S5161" s="69"/>
    </row>
    <row r="5165" spans="1:19">
      <c r="Q5165" s="74"/>
    </row>
  </sheetData>
  <autoFilter xmlns:etc="http://www.wps.cn/officeDocument/2017/etCustomData" ref="D7:S5161" etc:filterBottomFollowUsedRange="0">
    <sortState ref="D7:S5161">
      <sortCondition ref="D7:D5161"/>
    </sortState>
    <extLst/>
  </autoFilter>
  <mergeCells count="2">
    <mergeCell ref="M5:M6"/>
    <mergeCell ref="D5:I6"/>
  </mergeCells>
  <conditionalFormatting sqref="D8:S5161">
    <cfRule type="expression" dxfId="0" priority="2">
      <formula>$F8="收入"</formula>
    </cfRule>
    <cfRule type="expression" dxfId="1" priority="1">
      <formula>$F8="支出"</formula>
    </cfRule>
  </conditionalFormatting>
  <dataValidations count="11">
    <dataValidation type="date" operator="greaterThan" allowBlank="1" showInputMessage="1" showErrorMessage="1" error="日期格式2021-1-1" sqref="D8:D5161">
      <formula1>32874</formula1>
    </dataValidation>
    <dataValidation type="list" allowBlank="1" showInputMessage="1" showErrorMessage="1" sqref="F8:F5161">
      <formula1>"收入,支出"</formula1>
    </dataValidation>
    <dataValidation type="list" allowBlank="1" showInputMessage="1" showErrorMessage="1" sqref="G8:G5161">
      <formula1>账户</formula1>
    </dataValidation>
    <dataValidation type="list" allowBlank="1" showInputMessage="1" showErrorMessage="1" sqref="H8:H5161">
      <formula1>INDIRECT($F8)</formula1>
    </dataValidation>
    <dataValidation type="custom" allowBlank="1" showInputMessage="1" showErrorMessage="1" errorTitle="亲，类别请选择收入" sqref="J8:J5161">
      <formula1>F8="收入"</formula1>
    </dataValidation>
    <dataValidation type="custom" allowBlank="1" showInputMessage="1" showErrorMessage="1" errorTitle="亲，类别请选择支出" sqref="K8:K5161">
      <formula1>F8="支出"</formula1>
    </dataValidation>
    <dataValidation type="list" allowBlank="1" showInputMessage="1" showErrorMessage="1" sqref="M8:M5161">
      <formula1>工程项目</formula1>
    </dataValidation>
    <dataValidation type="list" allowBlank="1" showInputMessage="1" showErrorMessage="1" sqref="N8:N5161">
      <formula1>员工</formula1>
    </dataValidation>
    <dataValidation type="list" allowBlank="1" showInputMessage="1" showErrorMessage="1" sqref="P8:P5161">
      <formula1>IF(F8&lt;&gt;"支出","",供应商)</formula1>
    </dataValidation>
    <dataValidation type="list" allowBlank="1" showInputMessage="1" showErrorMessage="1" sqref="Q8:Q5161">
      <formula1>销售合同号</formula1>
    </dataValidation>
    <dataValidation type="list" allowBlank="1" showInputMessage="1" showErrorMessage="1" sqref="R8:R5161">
      <formula1>采购合同号</formula1>
    </dataValidation>
  </dataValidations>
  <printOptions horizontalCentered="1" verticalCentered="1"/>
  <pageMargins left="0.393055555555556" right="0.393055555555556" top="0.590277777777778" bottom="0.393055555555556" header="0.5" footer="0.5"/>
  <pageSetup paperSize="9" scale="50" pageOrder="overThenDown" orientation="portrait" horizontalDpi="600"/>
  <headerFooter/>
  <rowBreaks count="1" manualBreakCount="1">
    <brk id="208" max="16383" man="1"/>
  </rowBreaks>
  <colBreaks count="2" manualBreakCount="2">
    <brk id="13" max="1048575" man="1"/>
    <brk id="1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2026-10-08T08:21:00Z</dcterms:created>
  <dcterms:modified xsi:type="dcterms:W3CDTF">2026-10-08T14:03:38Z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24F2C337582C417588A774FB0517B4B2_13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