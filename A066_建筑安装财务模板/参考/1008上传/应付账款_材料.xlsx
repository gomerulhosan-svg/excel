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10\"/>
    </mc:Choice>
  </mc:AlternateContent>
  <bookViews>
    <workbookView windowWidth="27945" windowHeight="12375"/>
  </bookViews>
  <sheets>
    <sheet name="总表" sheetId="2" r:id="rId1"/>
    <sheet name="筑强" sheetId="1" r:id="rId2"/>
    <sheet name="九江安洋钢材熊总" sheetId="3" r:id="rId3"/>
    <sheet name="鑫城五金庄总" sheetId="4" r:id="rId4"/>
    <sheet name="浔阳楼电缆" sheetId="5" r:id="rId5"/>
    <sheet name="启航五金" sheetId="6" r:id="rId6"/>
    <sheet name="杭州行消物资贸易" sheetId="7" r:id="rId7"/>
    <sheet name="南昌盈厚建材" sheetId="8" r:id="rId8"/>
    <sheet name="浙缆元通电缆" sheetId="9" r:id="rId9"/>
    <sheet name="江西允诺消防" sheetId="10" r:id="rId10"/>
    <sheet name="江西沐丰水箱" sheetId="11" r:id="rId11"/>
    <sheet name="上海诚果泵阀" sheetId="12" r:id="rId12"/>
    <sheet name="佩力通风" sheetId="13" r:id="rId13"/>
    <sheet name="浙江寅盾智能" sheetId="18" r:id="rId14"/>
    <sheet name="九江中和安" sheetId="14" r:id="rId15"/>
    <sheet name="江西弘文消防" sheetId="15" r:id="rId16"/>
    <sheet name="华翔电缆桥架" sheetId="16" r:id="rId17"/>
    <sheet name="温州冠林物资" sheetId="17" r:id="rId18"/>
    <sheet name="温州创泰电气" sheetId="19" r:id="rId19"/>
    <sheet name="浙江杭风通风" sheetId="20" r:id="rId20"/>
    <sheet name="浙江尚杰建材" sheetId="21" r:id="rId21"/>
    <sheet name="江西跃池建材" sheetId="22" r:id="rId22"/>
    <sheet name="天闽消防" sheetId="23" r:id="rId23"/>
    <sheet name="瑞安中拓拱水" sheetId="24" r:id="rId24"/>
    <sheet name="辰南贸易" sheetId="25" r:id="rId25"/>
    <sheet name="南昌航卓建材" sheetId="26" r:id="rId26"/>
    <sheet name="德安远达建材" sheetId="27" r:id="rId27"/>
    <sheet name="九江恒讯消防" sheetId="28" r:id="rId28"/>
    <sheet name="四川久远" sheetId="30" r:id="rId29"/>
    <sheet name="温州爱思强贸易" sheetId="31" r:id="rId30"/>
    <sheet name="零星供应商" sheetId="29" r:id="rId31"/>
    <sheet name="Sheet19" sheetId="32" r:id="rId32"/>
    <sheet name="Sheet20" sheetId="33" r:id="rId33"/>
    <sheet name="Sheet21" sheetId="34" r:id="rId34"/>
    <sheet name="Sheet22" sheetId="35" r:id="rId35"/>
  </sheets>
  <definedNames>
    <definedName name="_xlnm._FilterDatabase" localSheetId="1" hidden="1">筑强!$A$1:$K$214</definedName>
    <definedName name="_xlnm._FilterDatabase" localSheetId="3" hidden="1">鑫城五金庄总!$A$2:$L$148</definedName>
    <definedName name="_xlnm._FilterDatabase" localSheetId="4" hidden="1">浔阳楼电缆!$A$1:$L$46</definedName>
    <definedName name="_xlnm._FilterDatabase" localSheetId="5" hidden="1">启航五金!$A$1:$L$172</definedName>
    <definedName name="_xlnm._FilterDatabase" localSheetId="14" hidden="1">九江中和安!$A$1:$L$28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<sst xmlns="http://schemas.openxmlformats.org/spreadsheetml/2006/main" count="1402" uniqueCount="113">
  <si>
    <t>应付账款总表</t>
  </si>
  <si>
    <t>开始日期</t>
  </si>
  <si>
    <t>结束日期</t>
  </si>
  <si>
    <t>序号</t>
  </si>
  <si>
    <t>供应商名称</t>
  </si>
  <si>
    <t>链接</t>
  </si>
  <si>
    <t>应付总额</t>
  </si>
  <si>
    <t>已付总额</t>
  </si>
  <si>
    <t>剩余未付总额</t>
  </si>
  <si>
    <t>德安养老中心</t>
  </si>
  <si>
    <t>科创中心</t>
  </si>
  <si>
    <t>九安架空层</t>
  </si>
  <si>
    <t>数字产业园</t>
  </si>
  <si>
    <t>德安农商行总部</t>
  </si>
  <si>
    <t>抚州1号楼</t>
  </si>
  <si>
    <t>抚州8号楼</t>
  </si>
  <si>
    <t>抚州2号楼</t>
  </si>
  <si>
    <t>邹桥派出所</t>
  </si>
  <si>
    <t>隆世光伏</t>
  </si>
  <si>
    <t>博河科创中心</t>
  </si>
  <si>
    <t>合计：</t>
  </si>
  <si>
    <t>筑强应付账款明细表</t>
  </si>
  <si>
    <t>扎账金额</t>
  </si>
  <si>
    <t>未付金额</t>
  </si>
  <si>
    <t>日期</t>
  </si>
  <si>
    <t>项目名称</t>
  </si>
  <si>
    <t>应付金额</t>
  </si>
  <si>
    <t>已付金额</t>
  </si>
  <si>
    <t>付款日期</t>
  </si>
  <si>
    <t>付款账户</t>
  </si>
  <si>
    <t>已开票金额</t>
  </si>
  <si>
    <t>开票日期</t>
  </si>
  <si>
    <t>税率</t>
  </si>
  <si>
    <t>税额</t>
  </si>
  <si>
    <t>备注2</t>
  </si>
  <si>
    <t>九江银行</t>
  </si>
  <si>
    <t>扎账后欠款</t>
  </si>
  <si>
    <t>王伟微信转</t>
  </si>
  <si>
    <t>温州爱思强贸易有限公司</t>
  </si>
  <si>
    <t>退聂辉</t>
  </si>
  <si>
    <t>工商银行</t>
  </si>
  <si>
    <t>退温州爱思强贸易有限公司</t>
  </si>
  <si>
    <t>张滨微信转</t>
  </si>
  <si>
    <t>九安</t>
  </si>
  <si>
    <t>扎账</t>
  </si>
  <si>
    <t>已开票</t>
  </si>
  <si>
    <t>26年9月7日登记</t>
  </si>
  <si>
    <t>九江安洋钢材（熊总）</t>
  </si>
  <si>
    <t>九江安洋钢材销售有限公司</t>
  </si>
  <si>
    <t>鑫城五金庄总</t>
  </si>
  <si>
    <t>收款账户</t>
  </si>
  <si>
    <t>聂辉建行私户</t>
  </si>
  <si>
    <t>李美坚</t>
  </si>
  <si>
    <t>付李美坚</t>
  </si>
  <si>
    <t>九江银行（公）</t>
  </si>
  <si>
    <t>江西安迪消防器材有限公司</t>
  </si>
  <si>
    <t>付安迪消防</t>
  </si>
  <si>
    <t>开票税费分摊</t>
  </si>
  <si>
    <t>相差476元无清单</t>
  </si>
  <si>
    <t>浔阳楼电缆明细</t>
  </si>
  <si>
    <t>剩余金额</t>
  </si>
  <si>
    <t>应付款含补差200</t>
  </si>
  <si>
    <t>备用</t>
  </si>
  <si>
    <t>德安县启航五金机电超市</t>
  </si>
  <si>
    <t>未开票</t>
  </si>
  <si>
    <t>叶焰平报销</t>
  </si>
  <si>
    <t>以上款已付清</t>
  </si>
  <si>
    <t>杭州行消物资贸易有限公司</t>
  </si>
  <si>
    <t>中国农业银行</t>
  </si>
  <si>
    <t>南昌盈厚建材有限公司</t>
  </si>
  <si>
    <t>浙缆元通电缆控股有限公司</t>
  </si>
  <si>
    <t>江西允诺消防设备有限公司</t>
  </si>
  <si>
    <t>第二批</t>
  </si>
  <si>
    <t>上海诚果泵阀制造有限公司永嘉分公司</t>
  </si>
  <si>
    <t>江西佩力通风设备有限公司</t>
  </si>
  <si>
    <t>浙江寅盾智能消防有限公司</t>
  </si>
  <si>
    <t>示范园</t>
  </si>
  <si>
    <t>平账</t>
  </si>
  <si>
    <t>江西弘文消防科技有限公司</t>
  </si>
  <si>
    <t>江西华翔节能科技有限公司</t>
  </si>
  <si>
    <t>温州冠林物资有限公司</t>
  </si>
  <si>
    <t>镀锌管</t>
  </si>
  <si>
    <t>温州创泰电气设备有限公司</t>
  </si>
  <si>
    <t>电线款</t>
  </si>
  <si>
    <t>浙江杭风通风设备有限公司</t>
  </si>
  <si>
    <t>通风设备</t>
  </si>
  <si>
    <t>浙江尚杰建材有限公司</t>
  </si>
  <si>
    <t>江西跃池建材有限公司</t>
  </si>
  <si>
    <t>江西天闽消防科技有限公司</t>
  </si>
  <si>
    <t>消防箱</t>
  </si>
  <si>
    <t>瑞安市中拓供水设备有限公司</t>
  </si>
  <si>
    <t>江西省辰南贸易有限公司</t>
  </si>
  <si>
    <t>南昌航卓建材装鉓有限公司</t>
  </si>
  <si>
    <t>挡烟垂壁材料款</t>
  </si>
  <si>
    <t>德安县远达建材店</t>
  </si>
  <si>
    <t>九江恒讯消防安装工程有限公司</t>
  </si>
  <si>
    <t>退单</t>
  </si>
  <si>
    <t>336另付不开票</t>
  </si>
  <si>
    <t>无货单</t>
  </si>
  <si>
    <t>四川久远智能消防设备有限公司</t>
  </si>
  <si>
    <t>河南省众贝源管道制造有限公司</t>
  </si>
  <si>
    <t>管道</t>
  </si>
  <si>
    <t>德安县共安机电配件销售中心</t>
  </si>
  <si>
    <t>修路灯</t>
  </si>
  <si>
    <t>叶焰平垫付</t>
  </si>
  <si>
    <t>立邦专卖店</t>
  </si>
  <si>
    <t>已报销</t>
  </si>
  <si>
    <t>春虹文体超市</t>
  </si>
  <si>
    <t>安南五金机电城</t>
  </si>
  <si>
    <t>南昌市西湖区联信大市场敏芬电缆器材经营部</t>
  </si>
  <si>
    <t>桥架款</t>
  </si>
  <si>
    <t>江西伦川科技有限公司</t>
  </si>
  <si>
    <t>孙法炳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</si>
</sst>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theme="1"/>
      <name val="微软雅黑"/>
      <charset val="134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0" fillId="17" borderId="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18" borderId="6">
      <alignment vertical="center"/>
    </xf>
    <xf numFmtId="0" fontId="17" fillId="19" borderId="7">
      <alignment vertical="center"/>
    </xf>
    <xf numFmtId="0" fontId="18" fillId="19" borderId="6">
      <alignment vertical="center"/>
    </xf>
    <xf numFmtId="0" fontId="19" fillId="20" borderId="8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5" fillId="2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5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7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6" fillId="38" borderId="0">
      <alignment vertical="center"/>
    </xf>
    <xf numFmtId="0" fontId="26" fillId="39" borderId="0">
      <alignment vertical="center"/>
    </xf>
    <xf numFmtId="0" fontId="25" fillId="40" borderId="0">
      <alignment vertical="center"/>
    </xf>
    <xf numFmtId="0" fontId="25" fillId="41" borderId="0">
      <alignment vertical="center"/>
    </xf>
    <xf numFmtId="0" fontId="26" fillId="42" borderId="0">
      <alignment vertical="center"/>
    </xf>
    <xf numFmtId="0" fontId="26" fillId="43" borderId="0">
      <alignment vertical="center"/>
    </xf>
    <xf numFmtId="0" fontId="25" fillId="44" borderId="0">
      <alignment vertical="center"/>
    </xf>
    <xf numFmtId="0" fontId="27" fillId="0" borderId="0"/>
    <xf numFmtId="0" fontId="28" fillId="0" borderId="0">
      <alignment vertical="center"/>
    </xf>
  </cellStyleXfs>
  <cellXfs count="8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77" fontId="0" fillId="0" borderId="0" xfId="0" applyNumberFormat="1" applyAlignment="1">
      <alignment horizontal="centerContinuous" vertical="center"/>
    </xf>
    <xf numFmtId="176" fontId="0" fillId="0" borderId="0" xfId="0" applyNumberFormat="1" applyAlignment="1">
      <alignment horizontal="centerContinuous" vertical="center"/>
    </xf>
    <xf numFmtId="0" fontId="2" fillId="0" borderId="0" xfId="6" applyFont="1">
      <alignment vertical="center"/>
    </xf>
    <xf numFmtId="176" fontId="3" fillId="2" borderId="1" xfId="0" applyNumberFormat="1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177" fontId="3" fillId="2" borderId="1" xfId="0" applyNumberFormat="1" applyFont="1" applyFill="1" applyBorder="1" applyAlignment="1">
      <alignment horizontal="centerContinuous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0" borderId="0" xfId="6">
      <alignment vertical="center"/>
    </xf>
    <xf numFmtId="177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177" fontId="0" fillId="6" borderId="1" xfId="0" applyNumberForma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1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77" fontId="0" fillId="0" borderId="2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7" fontId="6" fillId="0" borderId="2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left" vertical="center"/>
    </xf>
    <xf numFmtId="0" fontId="2" fillId="0" borderId="2" xfId="6" applyFont="1" applyBorder="1">
      <alignment vertical="center"/>
    </xf>
    <xf numFmtId="0" fontId="0" fillId="0" borderId="2" xfId="0" applyBorder="1" applyAlignment="1">
      <alignment horizontal="centerContinuous" vertical="center"/>
    </xf>
    <xf numFmtId="9" fontId="3" fillId="2" borderId="1" xfId="0" applyNumberFormat="1" applyFont="1" applyFill="1" applyBorder="1" applyAlignment="1">
      <alignment horizontal="centerContinuous" vertical="center"/>
    </xf>
    <xf numFmtId="177" fontId="0" fillId="8" borderId="1" xfId="0" applyNumberFormat="1" applyFill="1" applyBorder="1" applyAlignment="1">
      <alignment horizontal="center" vertical="center"/>
    </xf>
    <xf numFmtId="177" fontId="0" fillId="9" borderId="1" xfId="0" applyNumberFormat="1" applyFill="1" applyBorder="1" applyAlignment="1">
      <alignment horizontal="center" vertical="center"/>
    </xf>
    <xf numFmtId="177" fontId="0" fillId="1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11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7" fontId="0" fillId="11" borderId="0" xfId="0" applyNumberFormat="1" applyFill="1" applyAlignment="1">
      <alignment horizontal="center" vertical="center"/>
    </xf>
    <xf numFmtId="177" fontId="0" fillId="8" borderId="0" xfId="0" applyNumberFormat="1" applyFill="1" applyAlignment="1">
      <alignment horizontal="center" vertical="center"/>
    </xf>
    <xf numFmtId="177" fontId="0" fillId="12" borderId="0" xfId="0" applyNumberFormat="1" applyFill="1" applyAlignment="1">
      <alignment horizontal="centerContinuous" vertical="center"/>
    </xf>
    <xf numFmtId="177" fontId="0" fillId="12" borderId="0" xfId="0" applyNumberFormat="1" applyFill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177" fontId="0" fillId="7" borderId="1" xfId="0" applyNumberFormat="1" applyFill="1" applyBorder="1" applyAlignment="1">
      <alignment horizontal="center" vertical="center"/>
    </xf>
    <xf numFmtId="177" fontId="0" fillId="13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6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177" fontId="0" fillId="14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Continuous" vertical="center"/>
    </xf>
    <xf numFmtId="0" fontId="7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Continuous" vertical="center"/>
    </xf>
    <xf numFmtId="176" fontId="7" fillId="0" borderId="0" xfId="0" applyNumberFormat="1" applyFont="1" applyFill="1" applyAlignment="1">
      <alignment horizontal="center" vertical="center"/>
    </xf>
    <xf numFmtId="0" fontId="3" fillId="14" borderId="0" xfId="0" applyFont="1" applyFill="1" applyAlignment="1">
      <alignment horizontal="centerContinuous" vertical="center"/>
    </xf>
    <xf numFmtId="0" fontId="3" fillId="14" borderId="0" xfId="0" applyFont="1" applyFill="1" applyAlignment="1">
      <alignment horizontal="center" vertical="center"/>
    </xf>
    <xf numFmtId="14" fontId="9" fillId="14" borderId="0" xfId="0" applyNumberFormat="1" applyFont="1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4" fontId="3" fillId="15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177" fontId="0" fillId="16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4" fillId="0" borderId="1" xfId="6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 4" xfId="5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eetMetadata" Target="metadata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0"/>
  <sheetViews>
    <sheetView tabSelected="1" workbookViewId="0">
      <pane ySplit="4" topLeftCell="A26" activePane="bottomLeft" state="frozen"/>
      <selection/>
      <selection pane="bottomLeft" activeCell="G47" sqref="G47"/>
    </sheetView>
  </sheetViews>
  <sheetFormatPr defaultColWidth="17.275" defaultRowHeight="13.5"/>
  <cols>
    <col min="1" max="1" width="5.725" style="1" customWidth="1"/>
    <col min="2" max="2" width="19.8166666666667" style="1" customWidth="1"/>
    <col min="3" max="3" width="12.275" style="1" customWidth="1"/>
    <col min="4" max="5" width="14.6333333333333" style="1" customWidth="1"/>
    <col min="6" max="6" width="14.275" style="1" customWidth="1"/>
    <col min="7" max="7" width="13.7583333333333" style="1" customWidth="1"/>
    <col min="8" max="10" width="11.5" style="1" customWidth="1"/>
    <col min="11" max="11" width="13.7583333333333" style="1" customWidth="1"/>
    <col min="12" max="12" width="10.625" style="1" customWidth="1"/>
    <col min="13" max="13" width="11.5" style="1" customWidth="1"/>
    <col min="14" max="14" width="10.625" style="1" customWidth="1"/>
    <col min="15" max="15" width="11.5" style="1" customWidth="1"/>
    <col min="16" max="16" width="10.375" style="1" customWidth="1"/>
    <col min="17" max="17" width="14.8166666666667" style="1" customWidth="1"/>
    <col min="18" max="16384" width="17.275" style="1" customWidth="1"/>
  </cols>
  <sheetData>
    <row r="1" ht="13" customHeight="1" spans="1:17">
      <c r="A1" s="68"/>
      <c r="B1" s="68"/>
      <c r="C1" s="68"/>
      <c r="D1" s="68"/>
      <c r="E1" s="68"/>
      <c r="F1" s="60"/>
      <c r="G1" s="60"/>
      <c r="H1" s="60"/>
      <c r="I1" s="60"/>
      <c r="J1" s="69"/>
      <c r="K1" s="60"/>
      <c r="L1" s="60"/>
      <c r="M1" s="60"/>
      <c r="N1" s="60"/>
      <c r="O1" s="60"/>
      <c r="P1" s="60"/>
      <c r="Q1" s="60"/>
    </row>
    <row r="2" ht="22" customHeight="1" spans="1:17">
      <c r="A2" s="70" t="s">
        <v>0</v>
      </c>
      <c r="B2" s="68"/>
      <c r="C2" s="68"/>
      <c r="D2" s="68"/>
      <c r="E2" s="68"/>
      <c r="F2" s="60" t="s">
        <v>1</v>
      </c>
      <c r="G2" s="71">
        <v>45292</v>
      </c>
      <c r="H2" s="60" t="s">
        <v>2</v>
      </c>
      <c r="I2" s="71">
        <v>28</v>
      </c>
      <c r="J2" s="69"/>
      <c r="K2" s="60"/>
      <c r="L2" s="60"/>
      <c r="M2" s="60"/>
      <c r="N2" s="60"/>
      <c r="O2" s="60"/>
      <c r="P2" s="60"/>
      <c r="Q2" s="60"/>
    </row>
    <row r="3" ht="15" customHeight="1" spans="1:17">
      <c r="A3" s="72"/>
      <c r="B3" s="72"/>
      <c r="C3" s="72"/>
      <c r="D3" s="72"/>
      <c r="E3" s="72"/>
      <c r="F3" s="73"/>
      <c r="G3" s="73"/>
      <c r="H3" s="73"/>
      <c r="I3" s="73"/>
      <c r="J3" s="74"/>
      <c r="K3" s="73"/>
      <c r="L3" s="73"/>
      <c r="M3" s="73"/>
      <c r="N3" s="73"/>
      <c r="O3" s="73"/>
      <c r="P3" s="60"/>
      <c r="Q3" s="60"/>
    </row>
    <row r="4" ht="21" customHeight="1" spans="1:17">
      <c r="A4" s="75" t="s">
        <v>3</v>
      </c>
      <c r="B4" s="75" t="s">
        <v>4</v>
      </c>
      <c r="C4" s="75" t="s">
        <v>5</v>
      </c>
      <c r="D4" s="75" t="s">
        <v>6</v>
      </c>
      <c r="E4" s="75" t="s">
        <v>7</v>
      </c>
      <c r="F4" s="75" t="s">
        <v>8</v>
      </c>
      <c r="G4" s="75" t="s">
        <v>9</v>
      </c>
      <c r="H4" s="75" t="s">
        <v>10</v>
      </c>
      <c r="I4" s="75" t="s">
        <v>11</v>
      </c>
      <c r="J4" s="76" t="s">
        <v>12</v>
      </c>
      <c r="K4" s="75" t="s">
        <v>13</v>
      </c>
      <c r="L4" s="77" t="s">
        <v>14</v>
      </c>
      <c r="M4" s="77" t="s">
        <v>15</v>
      </c>
      <c r="N4" s="77" t="s">
        <v>16</v>
      </c>
      <c r="O4" s="77" t="s">
        <v>17</v>
      </c>
      <c r="P4" s="77" t="s">
        <v>18</v>
      </c>
      <c r="Q4" s="77" t="s">
        <v>19</v>
      </c>
    </row>
    <row r="5" ht="19" customHeight="1" spans="1:17">
      <c r="A5" s="13">
        <f>ROW()-4</f>
        <v>1</v>
      </c>
      <c r="B5" s="13" t="str" cm="1">
        <f ca="1" t="array" ref="B5:B38">_wpsfn.SHEETSNAME(,1,1)</f>
        <v>筑强</v>
      </c>
      <c r="C5" s="78" t="str">
        <f ca="1">HYPERLINK("#"&amp;B5&amp;"!a3","点击跳转")</f>
        <v>点击跳转</v>
      </c>
      <c r="D5" s="79">
        <f ca="1">SUMIFS(INDIRECT($B5&amp;"!C:C"),INDIRECT($B5&amp;"!A:A"),"&gt;="&amp;$G$2,INDIRECT($B5&amp;"!A:A"),"&gt;="&amp;$I$2)</f>
        <v>1532992.03</v>
      </c>
      <c r="E5" s="79">
        <f ca="1">SUMIFS(INDIRECT($B5&amp;"!D:D"),INDIRECT($B5&amp;"!A:A"),"&gt;="&amp;$G$2,INDIRECT($B5&amp;"!A:A"),"&gt;="&amp;$I$2)</f>
        <v>1308939.18</v>
      </c>
      <c r="F5" s="56">
        <f ca="1">D5-E5</f>
        <v>224052.85</v>
      </c>
      <c r="G5" s="14">
        <f ca="1">IFERROR(SUMIF(INDIRECT($B5&amp;"!B:B"),G$4,INDIRECT($B5&amp;"!C:C")),"")</f>
        <v>604482.11</v>
      </c>
      <c r="H5" s="14">
        <f ca="1" t="shared" ref="H5:Q5" si="0">IFERROR(SUMIF(INDIRECT($B5&amp;"!B:B"),H$4,INDIRECT($B5&amp;"!C:C")),"")</f>
        <v>446419.88</v>
      </c>
      <c r="I5" s="14">
        <f ca="1" t="shared" si="0"/>
        <v>44610.37</v>
      </c>
      <c r="J5" s="14">
        <f ca="1" t="shared" si="0"/>
        <v>33897.01</v>
      </c>
      <c r="K5" s="14">
        <f ca="1" t="shared" si="0"/>
        <v>546.94</v>
      </c>
      <c r="L5" s="14">
        <f ca="1" t="shared" si="0"/>
        <v>196807.17</v>
      </c>
      <c r="M5" s="14">
        <f ca="1" t="shared" si="0"/>
        <v>165801.94</v>
      </c>
      <c r="N5" s="14">
        <f ca="1" t="shared" si="0"/>
        <v>13680.81</v>
      </c>
      <c r="O5" s="14">
        <f ca="1" t="shared" si="0"/>
        <v>23900.65</v>
      </c>
      <c r="P5" s="14">
        <f ca="1" t="shared" si="0"/>
        <v>2845.15</v>
      </c>
      <c r="Q5" s="14">
        <f ca="1" t="shared" si="0"/>
        <v>0</v>
      </c>
    </row>
    <row r="6" ht="19" customHeight="1" spans="1:17">
      <c r="A6" s="13">
        <f t="shared" ref="A6:A15" si="1">ROW()-4</f>
        <v>2</v>
      </c>
      <c r="B6" s="13" t="str">
        <v>九江安洋钢材熊总</v>
      </c>
      <c r="C6" s="78" t="str">
        <f ca="1" t="shared" ref="C6:C16" si="2">HYPERLINK("#"&amp;B6&amp;"!a3","点击跳转")</f>
        <v>点击跳转</v>
      </c>
      <c r="D6" s="79">
        <f ca="1">SUMIFS(INDIRECT($B6&amp;"!C:C"),INDIRECT($B6&amp;"!A:A"),"&gt;="&amp;$G$2,INDIRECT($B6&amp;"!A:A"),"&gt;="&amp;$I$2)</f>
        <v>331446.38</v>
      </c>
      <c r="E6" s="79">
        <f ca="1">SUMIFS(INDIRECT($B6&amp;"!D:D"),INDIRECT($B6&amp;"!A:A"),"&gt;="&amp;$G$2,INDIRECT($B6&amp;"!A:A"),"&gt;="&amp;$I$2)</f>
        <v>331446.38</v>
      </c>
      <c r="F6" s="56">
        <f ca="1" t="shared" ref="F6:F15" si="3">D6-E6</f>
        <v>0</v>
      </c>
      <c r="G6" s="14">
        <f ca="1" t="shared" ref="G6:G41" si="4">IFERROR(SUMIF(INDIRECT($B6&amp;"!B:B"),G$4,INDIRECT($B6&amp;"!C:C")),"")</f>
        <v>331446.38</v>
      </c>
      <c r="H6" s="14">
        <f ca="1" t="shared" ref="H6:H41" si="5">IFERROR(SUMIF(INDIRECT($B6&amp;"!B:B"),H$4,INDIRECT($B6&amp;"!C:C")),"")</f>
        <v>0</v>
      </c>
      <c r="I6" s="14">
        <f ca="1" t="shared" ref="I6:I41" si="6">IFERROR(SUMIF(INDIRECT($B6&amp;"!B:B"),I$4,INDIRECT($B6&amp;"!C:C")),"")</f>
        <v>0</v>
      </c>
      <c r="J6" s="14">
        <f ca="1" t="shared" ref="J6:J41" si="7">IFERROR(SUMIF(INDIRECT($B6&amp;"!B:B"),J$4,INDIRECT($B6&amp;"!C:C")),"")</f>
        <v>0</v>
      </c>
      <c r="K6" s="14">
        <f ca="1" t="shared" ref="K6:K41" si="8">IFERROR(SUMIF(INDIRECT($B6&amp;"!B:B"),K$4,INDIRECT($B6&amp;"!C:C")),"")</f>
        <v>0</v>
      </c>
      <c r="L6" s="14">
        <f ca="1" t="shared" ref="L6:L41" si="9">IFERROR(SUMIF(INDIRECT($B6&amp;"!B:B"),L$4,INDIRECT($B6&amp;"!C:C")),"")</f>
        <v>0</v>
      </c>
      <c r="M6" s="14">
        <f ca="1" t="shared" ref="M6:M41" si="10">IFERROR(SUMIF(INDIRECT($B6&amp;"!B:B"),M$4,INDIRECT($B6&amp;"!C:C")),"")</f>
        <v>0</v>
      </c>
      <c r="N6" s="14">
        <f ca="1" t="shared" ref="N6:N41" si="11">IFERROR(SUMIF(INDIRECT($B6&amp;"!B:B"),N$4,INDIRECT($B6&amp;"!C:C")),"")</f>
        <v>0</v>
      </c>
      <c r="O6" s="14">
        <f ca="1" t="shared" ref="O6:O41" si="12">IFERROR(SUMIF(INDIRECT($B6&amp;"!B:B"),O$4,INDIRECT($B6&amp;"!C:C")),"")</f>
        <v>0</v>
      </c>
      <c r="P6" s="14">
        <f ca="1" t="shared" ref="P6:P41" si="13">IFERROR(SUMIF(INDIRECT($B6&amp;"!B:B"),P$4,INDIRECT($B6&amp;"!C:C")),"")</f>
        <v>0</v>
      </c>
      <c r="Q6" s="14">
        <f ca="1" t="shared" ref="Q6:Q16" si="14">IFERROR(SUMIF(INDIRECT($B6&amp;"!B:B"),Q$4,INDIRECT($B6&amp;"!C:C")),"")</f>
        <v>0</v>
      </c>
    </row>
    <row r="7" ht="19" customHeight="1" spans="1:17">
      <c r="A7" s="13">
        <f t="shared" si="1"/>
        <v>3</v>
      </c>
      <c r="B7" s="13" t="str">
        <v>鑫城五金庄总</v>
      </c>
      <c r="C7" s="78" t="str">
        <f ca="1" t="shared" si="2"/>
        <v>点击跳转</v>
      </c>
      <c r="D7" s="79">
        <f ca="1">SUMIFS(INDIRECT($B7&amp;"!C:C"),INDIRECT($B7&amp;"!A:A"),"&gt;="&amp;$G$2,INDIRECT($B7&amp;"!A:A"),"&gt;="&amp;$I$2)</f>
        <v>256240</v>
      </c>
      <c r="E7" s="79">
        <f ca="1">SUMIFS(INDIRECT($B7&amp;"!D:D"),INDIRECT($B7&amp;"!A:A"),"&gt;="&amp;$G$2,INDIRECT($B7&amp;"!A:A"),"&gt;="&amp;$I$2)</f>
        <v>256240</v>
      </c>
      <c r="F7" s="56">
        <f ca="1" t="shared" si="3"/>
        <v>0</v>
      </c>
      <c r="G7" s="14">
        <f ca="1" t="shared" si="4"/>
        <v>64938.4</v>
      </c>
      <c r="H7" s="14">
        <f ca="1" t="shared" si="5"/>
        <v>0</v>
      </c>
      <c r="I7" s="14">
        <f ca="1" t="shared" si="6"/>
        <v>172061.6</v>
      </c>
      <c r="J7" s="14">
        <f ca="1" t="shared" si="7"/>
        <v>0</v>
      </c>
      <c r="K7" s="14">
        <f ca="1" t="shared" si="8"/>
        <v>0</v>
      </c>
      <c r="L7" s="14">
        <f ca="1" t="shared" si="9"/>
        <v>0</v>
      </c>
      <c r="M7" s="14">
        <f ca="1" t="shared" si="10"/>
        <v>0</v>
      </c>
      <c r="N7" s="14">
        <f ca="1" t="shared" si="11"/>
        <v>0</v>
      </c>
      <c r="O7" s="14">
        <f ca="1" t="shared" si="12"/>
        <v>0</v>
      </c>
      <c r="P7" s="14">
        <f ca="1" t="shared" si="13"/>
        <v>19240</v>
      </c>
      <c r="Q7" s="14">
        <f ca="1" t="shared" si="14"/>
        <v>0</v>
      </c>
    </row>
    <row r="8" ht="19" customHeight="1" spans="1:17">
      <c r="A8" s="13">
        <f t="shared" si="1"/>
        <v>4</v>
      </c>
      <c r="B8" s="13" t="str">
        <v>浔阳楼电缆</v>
      </c>
      <c r="C8" s="78" t="str">
        <f ca="1" t="shared" si="2"/>
        <v>点击跳转</v>
      </c>
      <c r="D8" s="79">
        <f ca="1">SUMIFS(INDIRECT($B8&amp;"!C:C"),INDIRECT($B8&amp;"!A:A"),"&gt;="&amp;$G$2,INDIRECT($B8&amp;"!A:A"),"&gt;="&amp;$I$2)</f>
        <v>222007</v>
      </c>
      <c r="E8" s="79">
        <f ca="1" t="shared" ref="E6:E15" si="15">SUMIFS(INDIRECT($B8&amp;"!D:D"),INDIRECT($B8&amp;"!A:A"),"&gt;="&amp;$G$2,INDIRECT($B8&amp;"!A:A"),"&gt;="&amp;$I$2)</f>
        <v>187470</v>
      </c>
      <c r="F8" s="56">
        <f ca="1" t="shared" si="3"/>
        <v>34537</v>
      </c>
      <c r="G8" s="14">
        <f ca="1" t="shared" si="4"/>
        <v>128958</v>
      </c>
      <c r="H8" s="14">
        <f ca="1" t="shared" si="5"/>
        <v>11971</v>
      </c>
      <c r="I8" s="14">
        <f ca="1" t="shared" si="6"/>
        <v>0</v>
      </c>
      <c r="J8" s="14">
        <f ca="1" t="shared" si="7"/>
        <v>0</v>
      </c>
      <c r="K8" s="14">
        <f ca="1" t="shared" si="8"/>
        <v>0</v>
      </c>
      <c r="L8" s="14">
        <f ca="1" t="shared" si="9"/>
        <v>5808</v>
      </c>
      <c r="M8" s="14">
        <f ca="1" t="shared" si="10"/>
        <v>59858</v>
      </c>
      <c r="N8" s="14">
        <f ca="1" t="shared" si="11"/>
        <v>3640</v>
      </c>
      <c r="O8" s="14">
        <f ca="1" t="shared" si="12"/>
        <v>7542</v>
      </c>
      <c r="P8" s="14">
        <f ca="1" t="shared" si="13"/>
        <v>0</v>
      </c>
      <c r="Q8" s="14">
        <f ca="1" t="shared" si="14"/>
        <v>0</v>
      </c>
    </row>
    <row r="9" ht="19" customHeight="1" spans="1:17">
      <c r="A9" s="13">
        <f t="shared" si="1"/>
        <v>5</v>
      </c>
      <c r="B9" s="13" t="str">
        <v>启航五金</v>
      </c>
      <c r="C9" s="78" t="str">
        <f ca="1" t="shared" si="2"/>
        <v>点击跳转</v>
      </c>
      <c r="D9" s="79">
        <f ca="1" t="shared" ref="D6:D15" si="16">SUMIFS(INDIRECT($B9&amp;"!C:C"),INDIRECT($B9&amp;"!A:A"),"&gt;="&amp;$G$2,INDIRECT($B9&amp;"!A:A"),"&gt;="&amp;$I$2)</f>
        <v>30949</v>
      </c>
      <c r="E9" s="79">
        <f ca="1" t="shared" si="15"/>
        <v>22490</v>
      </c>
      <c r="F9" s="56">
        <f ca="1" t="shared" si="3"/>
        <v>8459</v>
      </c>
      <c r="G9" s="14">
        <f ca="1" t="shared" si="4"/>
        <v>19835</v>
      </c>
      <c r="H9" s="14">
        <f ca="1" t="shared" si="5"/>
        <v>8112</v>
      </c>
      <c r="I9" s="14">
        <f ca="1" t="shared" si="6"/>
        <v>327</v>
      </c>
      <c r="J9" s="14">
        <f ca="1" t="shared" si="7"/>
        <v>978</v>
      </c>
      <c r="K9" s="14">
        <f ca="1" t="shared" si="8"/>
        <v>0</v>
      </c>
      <c r="L9" s="14">
        <f ca="1" t="shared" si="9"/>
        <v>0</v>
      </c>
      <c r="M9" s="14">
        <f ca="1" t="shared" si="10"/>
        <v>0</v>
      </c>
      <c r="N9" s="14">
        <f ca="1" t="shared" si="11"/>
        <v>0</v>
      </c>
      <c r="O9" s="14">
        <f ca="1" t="shared" si="12"/>
        <v>1697</v>
      </c>
      <c r="P9" s="14">
        <f ca="1" t="shared" si="13"/>
        <v>0</v>
      </c>
      <c r="Q9" s="14">
        <f ca="1" t="shared" si="14"/>
        <v>0</v>
      </c>
    </row>
    <row r="10" ht="19" customHeight="1" spans="1:17">
      <c r="A10" s="13">
        <f t="shared" si="1"/>
        <v>6</v>
      </c>
      <c r="B10" s="13" t="str">
        <v>杭州行消物资贸易</v>
      </c>
      <c r="C10" s="78" t="str">
        <f ca="1" t="shared" si="2"/>
        <v>点击跳转</v>
      </c>
      <c r="D10" s="79">
        <f ca="1" t="shared" si="16"/>
        <v>36511</v>
      </c>
      <c r="E10" s="79">
        <f ca="1" t="shared" si="15"/>
        <v>36511</v>
      </c>
      <c r="F10" s="56">
        <f ca="1" t="shared" si="3"/>
        <v>0</v>
      </c>
      <c r="G10" s="14">
        <f ca="1" t="shared" si="4"/>
        <v>10338</v>
      </c>
      <c r="H10" s="14">
        <f ca="1" t="shared" si="5"/>
        <v>10121</v>
      </c>
      <c r="I10" s="14">
        <f ca="1" t="shared" si="6"/>
        <v>0</v>
      </c>
      <c r="J10" s="14">
        <f ca="1" t="shared" si="7"/>
        <v>0</v>
      </c>
      <c r="K10" s="14">
        <f ca="1" t="shared" si="8"/>
        <v>0</v>
      </c>
      <c r="L10" s="14">
        <f ca="1" t="shared" si="9"/>
        <v>10068</v>
      </c>
      <c r="M10" s="14">
        <f ca="1" t="shared" si="10"/>
        <v>5984</v>
      </c>
      <c r="N10" s="14">
        <f ca="1" t="shared" si="11"/>
        <v>0</v>
      </c>
      <c r="O10" s="14">
        <f ca="1" t="shared" si="12"/>
        <v>0</v>
      </c>
      <c r="P10" s="14">
        <f ca="1" t="shared" si="13"/>
        <v>0</v>
      </c>
      <c r="Q10" s="14">
        <f ca="1" t="shared" si="14"/>
        <v>0</v>
      </c>
    </row>
    <row r="11" ht="19" customHeight="1" spans="1:17">
      <c r="A11" s="13">
        <f t="shared" si="1"/>
        <v>7</v>
      </c>
      <c r="B11" s="13" t="str">
        <v>南昌盈厚建材</v>
      </c>
      <c r="C11" s="78" t="str">
        <f ca="1" t="shared" si="2"/>
        <v>点击跳转</v>
      </c>
      <c r="D11" s="79">
        <f ca="1" t="shared" si="16"/>
        <v>34674</v>
      </c>
      <c r="E11" s="79">
        <f ca="1" t="shared" si="15"/>
        <v>34674</v>
      </c>
      <c r="F11" s="56">
        <f ca="1" t="shared" si="3"/>
        <v>0</v>
      </c>
      <c r="G11" s="14">
        <f ca="1" t="shared" si="4"/>
        <v>24954</v>
      </c>
      <c r="H11" s="14">
        <f ca="1" t="shared" si="5"/>
        <v>0</v>
      </c>
      <c r="I11" s="14">
        <f ca="1" t="shared" si="6"/>
        <v>0</v>
      </c>
      <c r="J11" s="14">
        <f ca="1" t="shared" si="7"/>
        <v>0</v>
      </c>
      <c r="K11" s="14">
        <f ca="1" t="shared" si="8"/>
        <v>0</v>
      </c>
      <c r="L11" s="14">
        <f ca="1" t="shared" si="9"/>
        <v>9720</v>
      </c>
      <c r="M11" s="14">
        <f ca="1" t="shared" si="10"/>
        <v>0</v>
      </c>
      <c r="N11" s="14">
        <f ca="1" t="shared" si="11"/>
        <v>0</v>
      </c>
      <c r="O11" s="14">
        <f ca="1" t="shared" si="12"/>
        <v>0</v>
      </c>
      <c r="P11" s="14">
        <f ca="1" t="shared" si="13"/>
        <v>0</v>
      </c>
      <c r="Q11" s="14">
        <f ca="1" t="shared" si="14"/>
        <v>0</v>
      </c>
    </row>
    <row r="12" ht="19" customHeight="1" spans="1:17">
      <c r="A12" s="13">
        <f t="shared" si="1"/>
        <v>8</v>
      </c>
      <c r="B12" s="13" t="str">
        <v>浙缆元通电缆</v>
      </c>
      <c r="C12" s="78" t="str">
        <f ca="1" t="shared" si="2"/>
        <v>点击跳转</v>
      </c>
      <c r="D12" s="79">
        <f ca="1" t="shared" si="16"/>
        <v>74807.4</v>
      </c>
      <c r="E12" s="79">
        <f ca="1" t="shared" si="15"/>
        <v>74807.4</v>
      </c>
      <c r="F12" s="56">
        <f ca="1" t="shared" si="3"/>
        <v>0</v>
      </c>
      <c r="G12" s="14">
        <f ca="1" t="shared" si="4"/>
        <v>38175.4</v>
      </c>
      <c r="H12" s="14">
        <f ca="1" t="shared" si="5"/>
        <v>0</v>
      </c>
      <c r="I12" s="14">
        <f ca="1" t="shared" si="6"/>
        <v>0</v>
      </c>
      <c r="J12" s="14">
        <f ca="1" t="shared" si="7"/>
        <v>0</v>
      </c>
      <c r="K12" s="14">
        <f ca="1" t="shared" si="8"/>
        <v>0</v>
      </c>
      <c r="L12" s="14">
        <f ca="1" t="shared" si="9"/>
        <v>36632</v>
      </c>
      <c r="M12" s="14">
        <f ca="1" t="shared" si="10"/>
        <v>0</v>
      </c>
      <c r="N12" s="14">
        <f ca="1" t="shared" si="11"/>
        <v>0</v>
      </c>
      <c r="O12" s="14">
        <f ca="1" t="shared" si="12"/>
        <v>0</v>
      </c>
      <c r="P12" s="14">
        <f ca="1" t="shared" si="13"/>
        <v>0</v>
      </c>
      <c r="Q12" s="14">
        <f ca="1" t="shared" si="14"/>
        <v>0</v>
      </c>
    </row>
    <row r="13" ht="19" customHeight="1" spans="1:17">
      <c r="A13" s="13">
        <f t="shared" si="1"/>
        <v>9</v>
      </c>
      <c r="B13" s="13" t="str">
        <v>江西允诺消防</v>
      </c>
      <c r="C13" s="78" t="str">
        <f ca="1" t="shared" si="2"/>
        <v>点击跳转</v>
      </c>
      <c r="D13" s="79">
        <f ca="1" t="shared" si="16"/>
        <v>45881</v>
      </c>
      <c r="E13" s="79">
        <f ca="1" t="shared" si="15"/>
        <v>45881</v>
      </c>
      <c r="F13" s="56">
        <f ca="1" t="shared" si="3"/>
        <v>0</v>
      </c>
      <c r="G13" s="14">
        <f ca="1" t="shared" si="4"/>
        <v>45881</v>
      </c>
      <c r="H13" s="14">
        <f ca="1" t="shared" si="5"/>
        <v>0</v>
      </c>
      <c r="I13" s="14">
        <f ca="1" t="shared" si="6"/>
        <v>0</v>
      </c>
      <c r="J13" s="14">
        <f ca="1" t="shared" si="7"/>
        <v>0</v>
      </c>
      <c r="K13" s="14">
        <f ca="1" t="shared" si="8"/>
        <v>0</v>
      </c>
      <c r="L13" s="14">
        <f ca="1" t="shared" si="9"/>
        <v>0</v>
      </c>
      <c r="M13" s="14">
        <f ca="1" t="shared" si="10"/>
        <v>0</v>
      </c>
      <c r="N13" s="14">
        <f ca="1" t="shared" si="11"/>
        <v>0</v>
      </c>
      <c r="O13" s="14">
        <f ca="1" t="shared" si="12"/>
        <v>0</v>
      </c>
      <c r="P13" s="14">
        <f ca="1" t="shared" si="13"/>
        <v>0</v>
      </c>
      <c r="Q13" s="14">
        <f ca="1" t="shared" si="14"/>
        <v>0</v>
      </c>
    </row>
    <row r="14" ht="19" customHeight="1" spans="1:17">
      <c r="A14" s="13">
        <f t="shared" si="1"/>
        <v>10</v>
      </c>
      <c r="B14" s="13" t="str">
        <v>江西沐丰水箱</v>
      </c>
      <c r="C14" s="78" t="str">
        <f ca="1" t="shared" si="2"/>
        <v>点击跳转</v>
      </c>
      <c r="D14" s="79">
        <f ca="1" t="shared" si="16"/>
        <v>55000</v>
      </c>
      <c r="E14" s="79">
        <f ca="1" t="shared" si="15"/>
        <v>53500</v>
      </c>
      <c r="F14" s="56">
        <f ca="1" t="shared" si="3"/>
        <v>1500</v>
      </c>
      <c r="G14" s="14">
        <f ca="1" t="shared" si="4"/>
        <v>0</v>
      </c>
      <c r="H14" s="14">
        <f ca="1" t="shared" si="5"/>
        <v>31500</v>
      </c>
      <c r="I14" s="14">
        <f ca="1" t="shared" si="6"/>
        <v>0</v>
      </c>
      <c r="J14" s="14">
        <f ca="1" t="shared" si="7"/>
        <v>0</v>
      </c>
      <c r="K14" s="14">
        <f ca="1" t="shared" si="8"/>
        <v>0</v>
      </c>
      <c r="L14" s="14">
        <f ca="1" t="shared" si="9"/>
        <v>0</v>
      </c>
      <c r="M14" s="14">
        <f ca="1" t="shared" si="10"/>
        <v>0</v>
      </c>
      <c r="N14" s="14">
        <f ca="1" t="shared" si="11"/>
        <v>0</v>
      </c>
      <c r="O14" s="14">
        <f ca="1" t="shared" si="12"/>
        <v>23500</v>
      </c>
      <c r="P14" s="14">
        <f ca="1" t="shared" si="13"/>
        <v>0</v>
      </c>
      <c r="Q14" s="14">
        <f ca="1" t="shared" si="14"/>
        <v>0</v>
      </c>
    </row>
    <row r="15" ht="19" customHeight="1" spans="1:17">
      <c r="A15" s="13">
        <f t="shared" si="1"/>
        <v>11</v>
      </c>
      <c r="B15" s="13" t="str">
        <v>上海诚果泵阀</v>
      </c>
      <c r="C15" s="78" t="str">
        <f ca="1" t="shared" si="2"/>
        <v>点击跳转</v>
      </c>
      <c r="D15" s="79">
        <f ca="1" t="shared" si="16"/>
        <v>90744</v>
      </c>
      <c r="E15" s="79">
        <f ca="1" t="shared" si="15"/>
        <v>90744</v>
      </c>
      <c r="F15" s="56">
        <f ca="1" t="shared" si="3"/>
        <v>0</v>
      </c>
      <c r="G15" s="14">
        <f ca="1" t="shared" si="4"/>
        <v>63800</v>
      </c>
      <c r="H15" s="14">
        <f ca="1" t="shared" si="5"/>
        <v>15144</v>
      </c>
      <c r="I15" s="14">
        <f ca="1" t="shared" si="6"/>
        <v>0</v>
      </c>
      <c r="J15" s="14">
        <f ca="1" t="shared" si="7"/>
        <v>0</v>
      </c>
      <c r="K15" s="14">
        <f ca="1" t="shared" si="8"/>
        <v>0</v>
      </c>
      <c r="L15" s="14">
        <f ca="1" t="shared" si="9"/>
        <v>0</v>
      </c>
      <c r="M15" s="14">
        <f ca="1" t="shared" si="10"/>
        <v>0</v>
      </c>
      <c r="N15" s="14">
        <f ca="1" t="shared" si="11"/>
        <v>0</v>
      </c>
      <c r="O15" s="14">
        <f ca="1" t="shared" si="12"/>
        <v>11800</v>
      </c>
      <c r="P15" s="14">
        <f ca="1" t="shared" si="13"/>
        <v>0</v>
      </c>
      <c r="Q15" s="14">
        <f ca="1" t="shared" si="14"/>
        <v>0</v>
      </c>
    </row>
    <row r="16" ht="19" customHeight="1" spans="1:17">
      <c r="A16" s="13">
        <f t="shared" ref="A16:A22" si="17">ROW()-4</f>
        <v>12</v>
      </c>
      <c r="B16" s="13" t="str">
        <v>佩力通风</v>
      </c>
      <c r="C16" s="78" t="str">
        <f ca="1" t="shared" si="2"/>
        <v>点击跳转</v>
      </c>
      <c r="D16" s="79">
        <f ca="1" t="shared" ref="D16:D28" si="18">SUMIFS(INDIRECT($B16&amp;"!C:C"),INDIRECT($B16&amp;"!A:A"),"&gt;="&amp;$G$2,INDIRECT($B16&amp;"!A:A"),"&gt;="&amp;$I$2)</f>
        <v>112695</v>
      </c>
      <c r="E16" s="79">
        <f ca="1" t="shared" ref="E16:E21" si="19">SUMIFS(INDIRECT($B16&amp;"!D:D"),INDIRECT($B16&amp;"!A:A"),"&gt;="&amp;$G$2,INDIRECT($B16&amp;"!A:A"),"&gt;="&amp;$I$2)</f>
        <v>114368</v>
      </c>
      <c r="F16" s="56">
        <f ca="1" t="shared" ref="F16:F21" si="20">D16-E16</f>
        <v>-1673</v>
      </c>
      <c r="G16" s="14">
        <f ca="1" t="shared" si="4"/>
        <v>112695</v>
      </c>
      <c r="H16" s="14">
        <f ca="1" t="shared" si="5"/>
        <v>0</v>
      </c>
      <c r="I16" s="14">
        <f ca="1" t="shared" si="6"/>
        <v>0</v>
      </c>
      <c r="J16" s="14">
        <f ca="1" t="shared" si="7"/>
        <v>0</v>
      </c>
      <c r="K16" s="14">
        <f ca="1" t="shared" si="8"/>
        <v>0</v>
      </c>
      <c r="L16" s="14">
        <f ca="1" t="shared" si="9"/>
        <v>0</v>
      </c>
      <c r="M16" s="14">
        <f ca="1" t="shared" si="10"/>
        <v>0</v>
      </c>
      <c r="N16" s="14">
        <f ca="1" t="shared" si="11"/>
        <v>0</v>
      </c>
      <c r="O16" s="14">
        <f ca="1" t="shared" si="12"/>
        <v>0</v>
      </c>
      <c r="P16" s="14">
        <f ca="1" t="shared" si="13"/>
        <v>0</v>
      </c>
      <c r="Q16" s="14">
        <f ca="1" t="shared" si="14"/>
        <v>0</v>
      </c>
    </row>
    <row r="17" ht="19" customHeight="1" spans="1:17">
      <c r="A17" s="13">
        <f t="shared" si="17"/>
        <v>13</v>
      </c>
      <c r="B17" s="13" t="str">
        <v>浙江寅盾智能</v>
      </c>
      <c r="C17" s="78" t="str">
        <f ca="1" t="shared" ref="C17:C22" si="21">HYPERLINK("#"&amp;B17&amp;"!a3","点击跳转")</f>
        <v>点击跳转</v>
      </c>
      <c r="D17" s="79">
        <f ca="1" t="shared" si="18"/>
        <v>42600</v>
      </c>
      <c r="E17" s="79">
        <f ca="1" t="shared" si="19"/>
        <v>42600</v>
      </c>
      <c r="F17" s="56">
        <f ca="1" t="shared" si="20"/>
        <v>0</v>
      </c>
      <c r="G17" s="14">
        <f ca="1" t="shared" si="4"/>
        <v>42600</v>
      </c>
      <c r="H17" s="14">
        <f ca="1" t="shared" si="5"/>
        <v>0</v>
      </c>
      <c r="I17" s="14">
        <f ca="1" t="shared" si="6"/>
        <v>0</v>
      </c>
      <c r="J17" s="14">
        <f ca="1" t="shared" si="7"/>
        <v>0</v>
      </c>
      <c r="K17" s="14">
        <f ca="1" t="shared" si="8"/>
        <v>0</v>
      </c>
      <c r="L17" s="14">
        <f ca="1" t="shared" si="9"/>
        <v>0</v>
      </c>
      <c r="M17" s="14">
        <f ca="1" t="shared" si="10"/>
        <v>0</v>
      </c>
      <c r="N17" s="14">
        <f ca="1" t="shared" si="11"/>
        <v>0</v>
      </c>
      <c r="O17" s="14">
        <f ca="1" t="shared" si="12"/>
        <v>0</v>
      </c>
      <c r="P17" s="14">
        <f ca="1" t="shared" si="13"/>
        <v>0</v>
      </c>
      <c r="Q17" s="14">
        <f ca="1" t="shared" ref="Q17:Q34" si="22">IFERROR(SUMIF(INDIRECT($B17&amp;"!B:B"),Q$4,INDIRECT($B17&amp;"!C:C")),"")</f>
        <v>0</v>
      </c>
    </row>
    <row r="18" ht="19" customHeight="1" spans="1:17">
      <c r="A18" s="13">
        <f t="shared" si="17"/>
        <v>14</v>
      </c>
      <c r="B18" s="80" t="str">
        <v>九江中和安</v>
      </c>
      <c r="C18" s="78" t="str">
        <f ca="1" t="shared" si="21"/>
        <v>点击跳转</v>
      </c>
      <c r="D18" s="79">
        <f ca="1" t="shared" si="18"/>
        <v>66993.8</v>
      </c>
      <c r="E18" s="79">
        <f ca="1" t="shared" si="19"/>
        <v>61178.82</v>
      </c>
      <c r="F18" s="56">
        <f ca="1" t="shared" si="20"/>
        <v>5814.98</v>
      </c>
      <c r="G18" s="14">
        <f ca="1" t="shared" si="4"/>
        <v>0</v>
      </c>
      <c r="H18" s="14">
        <f ca="1" t="shared" si="5"/>
        <v>62032.3</v>
      </c>
      <c r="I18" s="14">
        <f ca="1" t="shared" si="6"/>
        <v>0</v>
      </c>
      <c r="J18" s="14">
        <f ca="1" t="shared" si="7"/>
        <v>4601.5</v>
      </c>
      <c r="K18" s="14">
        <f ca="1" t="shared" si="8"/>
        <v>0</v>
      </c>
      <c r="L18" s="14">
        <f ca="1" t="shared" si="9"/>
        <v>0</v>
      </c>
      <c r="M18" s="14">
        <f ca="1" t="shared" si="10"/>
        <v>0</v>
      </c>
      <c r="N18" s="14">
        <f ca="1" t="shared" si="11"/>
        <v>0</v>
      </c>
      <c r="O18" s="14">
        <f ca="1" t="shared" si="12"/>
        <v>0</v>
      </c>
      <c r="P18" s="14">
        <f ca="1" t="shared" si="13"/>
        <v>0</v>
      </c>
      <c r="Q18" s="14">
        <f ca="1" t="shared" si="22"/>
        <v>360</v>
      </c>
    </row>
    <row r="19" ht="19" customHeight="1" spans="1:17">
      <c r="A19" s="13">
        <f t="shared" si="17"/>
        <v>15</v>
      </c>
      <c r="B19" s="13" t="str">
        <v>江西弘文消防</v>
      </c>
      <c r="C19" s="78" t="str">
        <f ca="1" t="shared" si="21"/>
        <v>点击跳转</v>
      </c>
      <c r="D19" s="79">
        <f ca="1" t="shared" si="18"/>
        <v>44600</v>
      </c>
      <c r="E19" s="79">
        <f ca="1" t="shared" si="19"/>
        <v>40000</v>
      </c>
      <c r="F19" s="56">
        <f ca="1" t="shared" si="20"/>
        <v>4600</v>
      </c>
      <c r="G19" s="14">
        <f ca="1" t="shared" si="4"/>
        <v>44600</v>
      </c>
      <c r="H19" s="14">
        <f ca="1" t="shared" si="5"/>
        <v>0</v>
      </c>
      <c r="I19" s="14">
        <f ca="1" t="shared" si="6"/>
        <v>0</v>
      </c>
      <c r="J19" s="14">
        <f ca="1" t="shared" si="7"/>
        <v>0</v>
      </c>
      <c r="K19" s="14">
        <f ca="1" t="shared" si="8"/>
        <v>0</v>
      </c>
      <c r="L19" s="14">
        <f ca="1" t="shared" si="9"/>
        <v>0</v>
      </c>
      <c r="M19" s="14">
        <f ca="1" t="shared" si="10"/>
        <v>0</v>
      </c>
      <c r="N19" s="14">
        <f ca="1" t="shared" si="11"/>
        <v>0</v>
      </c>
      <c r="O19" s="14">
        <f ca="1" t="shared" si="12"/>
        <v>0</v>
      </c>
      <c r="P19" s="14">
        <f ca="1" t="shared" si="13"/>
        <v>0</v>
      </c>
      <c r="Q19" s="14">
        <f ca="1" t="shared" si="22"/>
        <v>0</v>
      </c>
    </row>
    <row r="20" ht="19" customHeight="1" spans="1:17">
      <c r="A20" s="13">
        <f t="shared" si="17"/>
        <v>16</v>
      </c>
      <c r="B20" s="13" t="str">
        <v>华翔电缆桥架</v>
      </c>
      <c r="C20" s="78" t="str">
        <f ca="1" t="shared" si="21"/>
        <v>点击跳转</v>
      </c>
      <c r="D20" s="79">
        <f ca="1" t="shared" si="18"/>
        <v>8271.5</v>
      </c>
      <c r="E20" s="79">
        <f ca="1" t="shared" si="19"/>
        <v>8271.5</v>
      </c>
      <c r="F20" s="56">
        <f ca="1" t="shared" si="20"/>
        <v>0</v>
      </c>
      <c r="G20" s="14">
        <f ca="1" t="shared" si="4"/>
        <v>8271.5</v>
      </c>
      <c r="H20" s="14">
        <f ca="1" t="shared" si="5"/>
        <v>0</v>
      </c>
      <c r="I20" s="14">
        <f ca="1" t="shared" si="6"/>
        <v>0</v>
      </c>
      <c r="J20" s="14">
        <f ca="1" t="shared" si="7"/>
        <v>0</v>
      </c>
      <c r="K20" s="14">
        <f ca="1" t="shared" si="8"/>
        <v>0</v>
      </c>
      <c r="L20" s="14">
        <f ca="1" t="shared" si="9"/>
        <v>0</v>
      </c>
      <c r="M20" s="14">
        <f ca="1" t="shared" si="10"/>
        <v>0</v>
      </c>
      <c r="N20" s="14">
        <f ca="1" t="shared" si="11"/>
        <v>0</v>
      </c>
      <c r="O20" s="14">
        <f ca="1" t="shared" si="12"/>
        <v>0</v>
      </c>
      <c r="P20" s="14">
        <f ca="1" t="shared" si="13"/>
        <v>0</v>
      </c>
      <c r="Q20" s="14">
        <f ca="1" t="shared" si="22"/>
        <v>0</v>
      </c>
    </row>
    <row r="21" ht="19" customHeight="1" spans="1:17">
      <c r="A21" s="13">
        <f t="shared" si="17"/>
        <v>17</v>
      </c>
      <c r="B21" s="13" t="str">
        <v>温州冠林物资</v>
      </c>
      <c r="C21" s="81" t="str">
        <f ca="1" t="shared" si="21"/>
        <v>点击跳转</v>
      </c>
      <c r="D21" s="79">
        <f ca="1" t="shared" si="18"/>
        <v>150880</v>
      </c>
      <c r="E21" s="79">
        <f ca="1" t="shared" si="19"/>
        <v>150880</v>
      </c>
      <c r="F21" s="56">
        <f ca="1" t="shared" si="20"/>
        <v>0</v>
      </c>
      <c r="G21" s="14">
        <f ca="1" t="shared" si="4"/>
        <v>150880</v>
      </c>
      <c r="H21" s="14">
        <f ca="1" t="shared" si="5"/>
        <v>0</v>
      </c>
      <c r="I21" s="14">
        <f ca="1" t="shared" si="6"/>
        <v>0</v>
      </c>
      <c r="J21" s="14">
        <f ca="1" t="shared" si="7"/>
        <v>0</v>
      </c>
      <c r="K21" s="14">
        <f ca="1" t="shared" si="8"/>
        <v>0</v>
      </c>
      <c r="L21" s="14">
        <f ca="1" t="shared" si="9"/>
        <v>0</v>
      </c>
      <c r="M21" s="14">
        <f ca="1" t="shared" si="10"/>
        <v>0</v>
      </c>
      <c r="N21" s="14">
        <f ca="1" t="shared" si="11"/>
        <v>0</v>
      </c>
      <c r="O21" s="14">
        <f ca="1" t="shared" si="12"/>
        <v>0</v>
      </c>
      <c r="P21" s="14">
        <f ca="1" t="shared" si="13"/>
        <v>0</v>
      </c>
      <c r="Q21" s="14">
        <f ca="1" t="shared" si="22"/>
        <v>0</v>
      </c>
    </row>
    <row r="22" ht="19" customHeight="1" spans="1:17">
      <c r="A22" s="13">
        <f t="shared" si="17"/>
        <v>18</v>
      </c>
      <c r="B22" s="13" t="str">
        <v>温州创泰电气</v>
      </c>
      <c r="C22" s="81" t="str">
        <f ca="1" t="shared" si="21"/>
        <v>点击跳转</v>
      </c>
      <c r="D22" s="79">
        <f ca="1" t="shared" ref="D22:D38" si="23">SUMIFS(INDIRECT($B22&amp;"!C:C"),INDIRECT($B22&amp;"!A:A"),"&gt;="&amp;$G$2,INDIRECT($B22&amp;"!A:A"),"&gt;="&amp;$I$2)</f>
        <v>150008</v>
      </c>
      <c r="E22" s="79">
        <f ca="1" t="shared" ref="E22:E38" si="24">SUMIFS(INDIRECT($B22&amp;"!D:D"),INDIRECT($B22&amp;"!A:A"),"&gt;="&amp;$G$2,INDIRECT($B22&amp;"!A:A"),"&gt;="&amp;$I$2)</f>
        <v>150008</v>
      </c>
      <c r="F22" s="56">
        <f ca="1" t="shared" ref="F22:F38" si="25">D22-E22</f>
        <v>0</v>
      </c>
      <c r="G22" s="14">
        <f ca="1" t="shared" si="4"/>
        <v>150008</v>
      </c>
      <c r="H22" s="14">
        <f ca="1" t="shared" si="5"/>
        <v>0</v>
      </c>
      <c r="I22" s="14">
        <f ca="1" t="shared" si="6"/>
        <v>0</v>
      </c>
      <c r="J22" s="14">
        <f ca="1" t="shared" si="7"/>
        <v>0</v>
      </c>
      <c r="K22" s="14">
        <f ca="1" t="shared" si="8"/>
        <v>0</v>
      </c>
      <c r="L22" s="14">
        <f ca="1" t="shared" si="9"/>
        <v>0</v>
      </c>
      <c r="M22" s="14">
        <f ca="1" t="shared" si="10"/>
        <v>0</v>
      </c>
      <c r="N22" s="14">
        <f ca="1" t="shared" si="11"/>
        <v>0</v>
      </c>
      <c r="O22" s="14">
        <f ca="1" t="shared" si="12"/>
        <v>0</v>
      </c>
      <c r="P22" s="14">
        <f ca="1" t="shared" si="13"/>
        <v>0</v>
      </c>
      <c r="Q22" s="14">
        <f ca="1" t="shared" si="22"/>
        <v>0</v>
      </c>
    </row>
    <row r="23" ht="19" customHeight="1" spans="1:17">
      <c r="A23" s="13">
        <f t="shared" ref="A23:A34" si="26">ROW()-4</f>
        <v>19</v>
      </c>
      <c r="B23" s="13" t="str">
        <v>浙江杭风通风</v>
      </c>
      <c r="C23" s="81" t="str">
        <f ca="1" t="shared" ref="C23:C38" si="27">HYPERLINK("#"&amp;B23&amp;"!a3","点击跳转")</f>
        <v>点击跳转</v>
      </c>
      <c r="D23" s="79">
        <f ca="1" t="shared" si="23"/>
        <v>25678.29</v>
      </c>
      <c r="E23" s="79">
        <f ca="1" t="shared" si="24"/>
        <v>25678.29</v>
      </c>
      <c r="F23" s="56">
        <f ca="1" t="shared" si="25"/>
        <v>0</v>
      </c>
      <c r="G23" s="14">
        <f ca="1" t="shared" si="4"/>
        <v>25678.29</v>
      </c>
      <c r="H23" s="14">
        <f ca="1" t="shared" si="5"/>
        <v>0</v>
      </c>
      <c r="I23" s="14">
        <f ca="1" t="shared" si="6"/>
        <v>0</v>
      </c>
      <c r="J23" s="14">
        <f ca="1" t="shared" si="7"/>
        <v>0</v>
      </c>
      <c r="K23" s="14">
        <f ca="1" t="shared" si="8"/>
        <v>0</v>
      </c>
      <c r="L23" s="14">
        <f ca="1" t="shared" si="9"/>
        <v>0</v>
      </c>
      <c r="M23" s="14">
        <f ca="1" t="shared" si="10"/>
        <v>0</v>
      </c>
      <c r="N23" s="14">
        <f ca="1" t="shared" si="11"/>
        <v>0</v>
      </c>
      <c r="O23" s="14">
        <f ca="1" t="shared" si="12"/>
        <v>0</v>
      </c>
      <c r="P23" s="14">
        <f ca="1" t="shared" si="13"/>
        <v>0</v>
      </c>
      <c r="Q23" s="14">
        <f ca="1" t="shared" si="22"/>
        <v>0</v>
      </c>
    </row>
    <row r="24" ht="19" customHeight="1" spans="1:17">
      <c r="A24" s="13">
        <f t="shared" si="26"/>
        <v>20</v>
      </c>
      <c r="B24" s="13" t="str">
        <v>浙江尚杰建材</v>
      </c>
      <c r="C24" s="81" t="str">
        <f ca="1" t="shared" si="27"/>
        <v>点击跳转</v>
      </c>
      <c r="D24" s="79">
        <f ca="1" t="shared" si="23"/>
        <v>47656</v>
      </c>
      <c r="E24" s="79">
        <f ca="1" t="shared" si="24"/>
        <v>47656</v>
      </c>
      <c r="F24" s="56">
        <f ca="1" t="shared" si="25"/>
        <v>0</v>
      </c>
      <c r="G24" s="14">
        <f ca="1" t="shared" si="4"/>
        <v>47656</v>
      </c>
      <c r="H24" s="14">
        <f ca="1" t="shared" si="5"/>
        <v>0</v>
      </c>
      <c r="I24" s="14">
        <f ca="1" t="shared" si="6"/>
        <v>0</v>
      </c>
      <c r="J24" s="14">
        <f ca="1" t="shared" si="7"/>
        <v>0</v>
      </c>
      <c r="K24" s="14">
        <f ca="1" t="shared" si="8"/>
        <v>0</v>
      </c>
      <c r="L24" s="14">
        <f ca="1" t="shared" si="9"/>
        <v>0</v>
      </c>
      <c r="M24" s="14">
        <f ca="1" t="shared" si="10"/>
        <v>0</v>
      </c>
      <c r="N24" s="14">
        <f ca="1" t="shared" si="11"/>
        <v>0</v>
      </c>
      <c r="O24" s="14">
        <f ca="1" t="shared" si="12"/>
        <v>0</v>
      </c>
      <c r="P24" s="14">
        <f ca="1" t="shared" si="13"/>
        <v>0</v>
      </c>
      <c r="Q24" s="14">
        <f ca="1" t="shared" si="22"/>
        <v>0</v>
      </c>
    </row>
    <row r="25" ht="19" customHeight="1" spans="1:17">
      <c r="A25" s="13">
        <f t="shared" si="26"/>
        <v>21</v>
      </c>
      <c r="B25" s="13" t="str">
        <v>江西跃池建材</v>
      </c>
      <c r="C25" s="81" t="str">
        <f ca="1" t="shared" si="27"/>
        <v>点击跳转</v>
      </c>
      <c r="D25" s="79">
        <f ca="1" t="shared" si="23"/>
        <v>49997.52</v>
      </c>
      <c r="E25" s="79">
        <f ca="1" t="shared" si="24"/>
        <v>49997.52</v>
      </c>
      <c r="F25" s="56">
        <f ca="1" t="shared" si="25"/>
        <v>0</v>
      </c>
      <c r="G25" s="14">
        <f ca="1" t="shared" si="4"/>
        <v>49997.52</v>
      </c>
      <c r="H25" s="14">
        <f ca="1" t="shared" si="5"/>
        <v>0</v>
      </c>
      <c r="I25" s="14">
        <f ca="1" t="shared" si="6"/>
        <v>0</v>
      </c>
      <c r="J25" s="14">
        <f ca="1" t="shared" si="7"/>
        <v>0</v>
      </c>
      <c r="K25" s="14">
        <f ca="1" t="shared" si="8"/>
        <v>0</v>
      </c>
      <c r="L25" s="14">
        <f ca="1" t="shared" si="9"/>
        <v>0</v>
      </c>
      <c r="M25" s="14">
        <f ca="1" t="shared" si="10"/>
        <v>0</v>
      </c>
      <c r="N25" s="14">
        <f ca="1" t="shared" si="11"/>
        <v>0</v>
      </c>
      <c r="O25" s="14">
        <f ca="1" t="shared" si="12"/>
        <v>0</v>
      </c>
      <c r="P25" s="14">
        <f ca="1" t="shared" si="13"/>
        <v>0</v>
      </c>
      <c r="Q25" s="14">
        <f ca="1" t="shared" si="22"/>
        <v>0</v>
      </c>
    </row>
    <row r="26" ht="19" customHeight="1" spans="1:17">
      <c r="A26" s="13">
        <f t="shared" si="26"/>
        <v>22</v>
      </c>
      <c r="B26" s="13" t="str">
        <v>天闽消防</v>
      </c>
      <c r="C26" s="78" t="str">
        <f ca="1" t="shared" si="27"/>
        <v>点击跳转</v>
      </c>
      <c r="D26" s="79">
        <f ca="1" t="shared" si="23"/>
        <v>22384</v>
      </c>
      <c r="E26" s="79">
        <f ca="1" t="shared" si="24"/>
        <v>22384</v>
      </c>
      <c r="F26" s="56">
        <f ca="1" t="shared" si="25"/>
        <v>0</v>
      </c>
      <c r="G26" s="14">
        <f ca="1" t="shared" si="4"/>
        <v>22384</v>
      </c>
      <c r="H26" s="14">
        <f ca="1" t="shared" si="5"/>
        <v>0</v>
      </c>
      <c r="I26" s="14">
        <f ca="1" t="shared" si="6"/>
        <v>0</v>
      </c>
      <c r="J26" s="14">
        <f ca="1" t="shared" si="7"/>
        <v>0</v>
      </c>
      <c r="K26" s="14">
        <f ca="1" t="shared" si="8"/>
        <v>0</v>
      </c>
      <c r="L26" s="14">
        <f ca="1" t="shared" si="9"/>
        <v>0</v>
      </c>
      <c r="M26" s="14">
        <f ca="1" t="shared" si="10"/>
        <v>0</v>
      </c>
      <c r="N26" s="14">
        <f ca="1" t="shared" si="11"/>
        <v>0</v>
      </c>
      <c r="O26" s="14">
        <f ca="1" t="shared" si="12"/>
        <v>0</v>
      </c>
      <c r="P26" s="14">
        <f ca="1" t="shared" si="13"/>
        <v>0</v>
      </c>
      <c r="Q26" s="14">
        <f ca="1" t="shared" si="22"/>
        <v>0</v>
      </c>
    </row>
    <row r="27" ht="19" customHeight="1" spans="1:17">
      <c r="A27" s="13">
        <f t="shared" si="26"/>
        <v>23</v>
      </c>
      <c r="B27" s="13" t="str">
        <v>瑞安中拓拱水</v>
      </c>
      <c r="C27" s="81" t="str">
        <f ca="1" t="shared" si="27"/>
        <v>点击跳转</v>
      </c>
      <c r="D27" s="79">
        <f ca="1" t="shared" si="23"/>
        <v>30000</v>
      </c>
      <c r="E27" s="79">
        <f ca="1" t="shared" si="24"/>
        <v>30000</v>
      </c>
      <c r="F27" s="56">
        <f ca="1" t="shared" si="25"/>
        <v>0</v>
      </c>
      <c r="G27" s="14">
        <f ca="1" t="shared" si="4"/>
        <v>30000</v>
      </c>
      <c r="H27" s="14">
        <f ca="1" t="shared" si="5"/>
        <v>0</v>
      </c>
      <c r="I27" s="14">
        <f ca="1" t="shared" si="6"/>
        <v>0</v>
      </c>
      <c r="J27" s="14">
        <f ca="1" t="shared" si="7"/>
        <v>0</v>
      </c>
      <c r="K27" s="14">
        <f ca="1" t="shared" si="8"/>
        <v>0</v>
      </c>
      <c r="L27" s="14">
        <f ca="1" t="shared" si="9"/>
        <v>0</v>
      </c>
      <c r="M27" s="14">
        <f ca="1" t="shared" si="10"/>
        <v>0</v>
      </c>
      <c r="N27" s="14">
        <f ca="1" t="shared" si="11"/>
        <v>0</v>
      </c>
      <c r="O27" s="14">
        <f ca="1" t="shared" si="12"/>
        <v>0</v>
      </c>
      <c r="P27" s="14">
        <f ca="1" t="shared" si="13"/>
        <v>0</v>
      </c>
      <c r="Q27" s="14">
        <f ca="1" t="shared" si="22"/>
        <v>0</v>
      </c>
    </row>
    <row r="28" ht="19" customHeight="1" spans="1:17">
      <c r="A28" s="13">
        <f t="shared" si="26"/>
        <v>24</v>
      </c>
      <c r="B28" s="13" t="str">
        <v>辰南贸易</v>
      </c>
      <c r="C28" s="78" t="str">
        <f ca="1" t="shared" si="27"/>
        <v>点击跳转</v>
      </c>
      <c r="D28" s="79">
        <f ca="1" t="shared" si="23"/>
        <v>6129.65</v>
      </c>
      <c r="E28" s="79">
        <f ca="1" t="shared" si="24"/>
        <v>6129.65</v>
      </c>
      <c r="F28" s="56">
        <f ca="1" t="shared" si="25"/>
        <v>0</v>
      </c>
      <c r="G28" s="14">
        <f ca="1" t="shared" si="4"/>
        <v>6129.65</v>
      </c>
      <c r="H28" s="14">
        <f ca="1" t="shared" si="5"/>
        <v>0</v>
      </c>
      <c r="I28" s="14">
        <f ca="1" t="shared" si="6"/>
        <v>0</v>
      </c>
      <c r="J28" s="14">
        <f ca="1" t="shared" si="7"/>
        <v>0</v>
      </c>
      <c r="K28" s="14">
        <f ca="1" t="shared" si="8"/>
        <v>0</v>
      </c>
      <c r="L28" s="14">
        <f ca="1" t="shared" si="9"/>
        <v>0</v>
      </c>
      <c r="M28" s="14">
        <f ca="1" t="shared" si="10"/>
        <v>0</v>
      </c>
      <c r="N28" s="14">
        <f ca="1" t="shared" si="11"/>
        <v>0</v>
      </c>
      <c r="O28" s="14">
        <f ca="1" t="shared" si="12"/>
        <v>0</v>
      </c>
      <c r="P28" s="14">
        <f ca="1" t="shared" si="13"/>
        <v>0</v>
      </c>
      <c r="Q28" s="14">
        <f ca="1" t="shared" si="22"/>
        <v>0</v>
      </c>
    </row>
    <row r="29" ht="19" customHeight="1" spans="1:17">
      <c r="A29" s="13">
        <f t="shared" si="26"/>
        <v>25</v>
      </c>
      <c r="B29" s="13" t="str">
        <v>南昌航卓建材</v>
      </c>
      <c r="C29" s="81" t="str">
        <f ca="1" t="shared" si="27"/>
        <v>点击跳转</v>
      </c>
      <c r="D29" s="79">
        <f ca="1" t="shared" si="23"/>
        <v>4500</v>
      </c>
      <c r="E29" s="79">
        <f ca="1" t="shared" si="24"/>
        <v>4500</v>
      </c>
      <c r="F29" s="56">
        <f ca="1" t="shared" si="25"/>
        <v>0</v>
      </c>
      <c r="G29" s="14">
        <f ca="1" t="shared" si="4"/>
        <v>4500</v>
      </c>
      <c r="H29" s="14">
        <f ca="1" t="shared" si="5"/>
        <v>0</v>
      </c>
      <c r="I29" s="14">
        <f ca="1" t="shared" si="6"/>
        <v>0</v>
      </c>
      <c r="J29" s="14">
        <f ca="1" t="shared" si="7"/>
        <v>0</v>
      </c>
      <c r="K29" s="14">
        <f ca="1" t="shared" si="8"/>
        <v>0</v>
      </c>
      <c r="L29" s="14">
        <f ca="1" t="shared" si="9"/>
        <v>0</v>
      </c>
      <c r="M29" s="14">
        <f ca="1" t="shared" si="10"/>
        <v>0</v>
      </c>
      <c r="N29" s="14">
        <f ca="1" t="shared" si="11"/>
        <v>0</v>
      </c>
      <c r="O29" s="14">
        <f ca="1" t="shared" si="12"/>
        <v>0</v>
      </c>
      <c r="P29" s="14">
        <f ca="1" t="shared" si="13"/>
        <v>0</v>
      </c>
      <c r="Q29" s="14">
        <f ca="1" t="shared" si="22"/>
        <v>0</v>
      </c>
    </row>
    <row r="30" ht="19" customHeight="1" spans="1:17">
      <c r="A30" s="13">
        <f t="shared" si="26"/>
        <v>26</v>
      </c>
      <c r="B30" s="13" t="str">
        <v>德安远达建材</v>
      </c>
      <c r="C30" s="78" t="str">
        <f ca="1" t="shared" si="27"/>
        <v>点击跳转</v>
      </c>
      <c r="D30" s="79">
        <f ca="1" t="shared" si="23"/>
        <v>6840</v>
      </c>
      <c r="E30" s="79">
        <f ca="1" t="shared" si="24"/>
        <v>6840</v>
      </c>
      <c r="F30" s="56">
        <f ca="1" t="shared" si="25"/>
        <v>0</v>
      </c>
      <c r="G30" s="14">
        <f ca="1" t="shared" si="4"/>
        <v>0</v>
      </c>
      <c r="H30" s="14">
        <f ca="1" t="shared" si="5"/>
        <v>5700</v>
      </c>
      <c r="I30" s="14">
        <f ca="1" t="shared" si="6"/>
        <v>0</v>
      </c>
      <c r="J30" s="14">
        <f ca="1" t="shared" si="7"/>
        <v>0</v>
      </c>
      <c r="K30" s="14">
        <f ca="1" t="shared" si="8"/>
        <v>0</v>
      </c>
      <c r="L30" s="14">
        <f ca="1" t="shared" si="9"/>
        <v>0</v>
      </c>
      <c r="M30" s="14">
        <f ca="1" t="shared" si="10"/>
        <v>0</v>
      </c>
      <c r="N30" s="14">
        <f ca="1" t="shared" si="11"/>
        <v>0</v>
      </c>
      <c r="O30" s="14">
        <f ca="1" t="shared" si="12"/>
        <v>1140</v>
      </c>
      <c r="P30" s="14">
        <f ca="1" t="shared" si="13"/>
        <v>0</v>
      </c>
      <c r="Q30" s="14">
        <f ca="1" t="shared" si="22"/>
        <v>0</v>
      </c>
    </row>
    <row r="31" ht="19" customHeight="1" spans="1:17">
      <c r="A31" s="13">
        <f t="shared" si="26"/>
        <v>27</v>
      </c>
      <c r="B31" s="80" t="str">
        <v>九江恒讯消防</v>
      </c>
      <c r="C31" s="78" t="str">
        <f ca="1" t="shared" si="27"/>
        <v>点击跳转</v>
      </c>
      <c r="D31" s="79">
        <f ca="1" t="shared" si="23"/>
        <v>56101.75</v>
      </c>
      <c r="E31" s="79">
        <f ca="1" t="shared" si="24"/>
        <v>56101.7</v>
      </c>
      <c r="F31" s="56">
        <f ca="1" t="shared" si="25"/>
        <v>0.0500000000029104</v>
      </c>
      <c r="G31" s="14">
        <f ca="1" t="shared" si="4"/>
        <v>0</v>
      </c>
      <c r="H31" s="14">
        <f ca="1" t="shared" si="5"/>
        <v>56101.75</v>
      </c>
      <c r="I31" s="14">
        <f ca="1" t="shared" si="6"/>
        <v>0</v>
      </c>
      <c r="J31" s="14">
        <f ca="1" t="shared" si="7"/>
        <v>0</v>
      </c>
      <c r="K31" s="14">
        <f ca="1" t="shared" si="8"/>
        <v>0</v>
      </c>
      <c r="L31" s="14">
        <f ca="1" t="shared" si="9"/>
        <v>0</v>
      </c>
      <c r="M31" s="14">
        <f ca="1" t="shared" si="10"/>
        <v>0</v>
      </c>
      <c r="N31" s="14">
        <f ca="1" t="shared" si="11"/>
        <v>0</v>
      </c>
      <c r="O31" s="14">
        <f ca="1" t="shared" si="12"/>
        <v>0</v>
      </c>
      <c r="P31" s="14">
        <f ca="1" t="shared" si="13"/>
        <v>0</v>
      </c>
      <c r="Q31" s="14">
        <f ca="1" t="shared" si="22"/>
        <v>0</v>
      </c>
    </row>
    <row r="32" ht="19" customHeight="1" spans="1:17">
      <c r="A32" s="13">
        <f t="shared" si="26"/>
        <v>28</v>
      </c>
      <c r="B32" s="80" t="str">
        <v>四川久远</v>
      </c>
      <c r="C32" s="78" t="str">
        <f ca="1" t="shared" si="27"/>
        <v>点击跳转</v>
      </c>
      <c r="D32" s="79">
        <f ca="1" t="shared" si="23"/>
        <v>145822.11</v>
      </c>
      <c r="E32" s="79">
        <f ca="1" t="shared" si="24"/>
        <v>110551.22</v>
      </c>
      <c r="F32" s="56">
        <f ca="1" t="shared" si="25"/>
        <v>35270.89</v>
      </c>
      <c r="G32" s="14">
        <f ca="1" t="shared" si="4"/>
        <v>139762.71</v>
      </c>
      <c r="H32" s="14">
        <f ca="1" t="shared" si="5"/>
        <v>0</v>
      </c>
      <c r="I32" s="14">
        <f ca="1" t="shared" si="6"/>
        <v>2935.04</v>
      </c>
      <c r="J32" s="14">
        <f ca="1" t="shared" si="7"/>
        <v>0</v>
      </c>
      <c r="K32" s="14">
        <f ca="1" t="shared" si="8"/>
        <v>0</v>
      </c>
      <c r="L32" s="14">
        <f ca="1" t="shared" si="9"/>
        <v>0</v>
      </c>
      <c r="M32" s="14">
        <f ca="1" t="shared" si="10"/>
        <v>0</v>
      </c>
      <c r="N32" s="14">
        <f ca="1" t="shared" si="11"/>
        <v>0</v>
      </c>
      <c r="O32" s="14">
        <f ca="1" t="shared" si="12"/>
        <v>3124.36</v>
      </c>
      <c r="P32" s="14">
        <f ca="1" t="shared" si="13"/>
        <v>0</v>
      </c>
      <c r="Q32" s="14">
        <f ca="1" t="shared" si="22"/>
        <v>0</v>
      </c>
    </row>
    <row r="33" ht="19" customHeight="1" spans="1:17">
      <c r="A33" s="13">
        <f t="shared" si="26"/>
        <v>29</v>
      </c>
      <c r="B33" s="13" t="str">
        <v>温州爱思强贸易</v>
      </c>
      <c r="C33" s="78" t="str">
        <f ca="1" t="shared" si="27"/>
        <v>点击跳转</v>
      </c>
      <c r="D33" s="79">
        <f ca="1" t="shared" si="23"/>
        <v>11100</v>
      </c>
      <c r="E33" s="79">
        <f ca="1" t="shared" si="24"/>
        <v>0</v>
      </c>
      <c r="F33" s="56">
        <f ca="1" t="shared" si="25"/>
        <v>11100</v>
      </c>
      <c r="G33" s="14">
        <f ca="1" t="shared" si="4"/>
        <v>0</v>
      </c>
      <c r="H33" s="14">
        <f ca="1" t="shared" si="5"/>
        <v>0</v>
      </c>
      <c r="I33" s="14">
        <f ca="1" t="shared" si="6"/>
        <v>0</v>
      </c>
      <c r="J33" s="14">
        <f ca="1" t="shared" si="7"/>
        <v>0</v>
      </c>
      <c r="K33" s="14">
        <f ca="1" t="shared" si="8"/>
        <v>0</v>
      </c>
      <c r="L33" s="14">
        <f ca="1" t="shared" si="9"/>
        <v>0</v>
      </c>
      <c r="M33" s="14">
        <f ca="1" t="shared" si="10"/>
        <v>0</v>
      </c>
      <c r="N33" s="14">
        <f ca="1" t="shared" si="11"/>
        <v>0</v>
      </c>
      <c r="O33" s="14">
        <f ca="1" t="shared" si="12"/>
        <v>0</v>
      </c>
      <c r="P33" s="14">
        <f ca="1" t="shared" si="13"/>
        <v>0</v>
      </c>
      <c r="Q33" s="14">
        <f ca="1" t="shared" si="22"/>
        <v>11100</v>
      </c>
    </row>
    <row r="34" ht="19" customHeight="1" spans="1:17">
      <c r="A34" s="13">
        <f t="shared" si="26"/>
        <v>30</v>
      </c>
      <c r="B34" s="13" t="str">
        <v>零星供应商</v>
      </c>
      <c r="C34" s="78" t="str">
        <f ca="1" t="shared" si="27"/>
        <v>点击跳转</v>
      </c>
      <c r="D34" s="79">
        <f ca="1" t="shared" si="23"/>
        <v>11916.7</v>
      </c>
      <c r="E34" s="79">
        <f ca="1" t="shared" si="24"/>
        <v>11916.7</v>
      </c>
      <c r="F34" s="56">
        <f ca="1" t="shared" si="25"/>
        <v>0</v>
      </c>
      <c r="G34" s="14">
        <f ca="1" t="shared" si="4"/>
        <v>2304.5</v>
      </c>
      <c r="H34" s="14">
        <f ca="1" t="shared" si="5"/>
        <v>6682</v>
      </c>
      <c r="I34" s="14">
        <f ca="1" t="shared" si="6"/>
        <v>0</v>
      </c>
      <c r="J34" s="14">
        <f ca="1" t="shared" si="7"/>
        <v>2627</v>
      </c>
      <c r="K34" s="14">
        <f ca="1" t="shared" si="8"/>
        <v>0</v>
      </c>
      <c r="L34" s="14">
        <f ca="1" t="shared" si="9"/>
        <v>0</v>
      </c>
      <c r="M34" s="14">
        <f ca="1" t="shared" si="10"/>
        <v>0</v>
      </c>
      <c r="N34" s="14">
        <f ca="1" t="shared" si="11"/>
        <v>0</v>
      </c>
      <c r="O34" s="14">
        <f ca="1" t="shared" si="12"/>
        <v>303.2</v>
      </c>
      <c r="P34" s="14">
        <f ca="1" t="shared" si="13"/>
        <v>0</v>
      </c>
      <c r="Q34" s="14">
        <f ca="1" t="shared" si="22"/>
        <v>0</v>
      </c>
    </row>
    <row r="35" ht="19" customHeight="1" spans="1:17">
      <c r="A35" s="13"/>
      <c r="B35" s="13" t="str">
        <v>Sheet19</v>
      </c>
      <c r="C35" s="81" t="str">
        <f ca="1" t="shared" si="27"/>
        <v>点击跳转</v>
      </c>
      <c r="D35" s="79">
        <f ca="1" t="shared" si="23"/>
        <v>0</v>
      </c>
      <c r="E35" s="79">
        <f ca="1" t="shared" si="24"/>
        <v>0</v>
      </c>
      <c r="F35" s="56">
        <f ca="1" t="shared" si="25"/>
        <v>0</v>
      </c>
      <c r="G35" s="14">
        <f ca="1" t="shared" si="4"/>
        <v>0</v>
      </c>
      <c r="H35" s="14">
        <f ca="1" t="shared" si="5"/>
        <v>0</v>
      </c>
      <c r="I35" s="14">
        <f ca="1" t="shared" si="6"/>
        <v>0</v>
      </c>
      <c r="J35" s="14">
        <f ca="1" t="shared" si="7"/>
        <v>0</v>
      </c>
      <c r="K35" s="14">
        <f ca="1" t="shared" si="8"/>
        <v>0</v>
      </c>
      <c r="L35" s="14">
        <f ca="1" t="shared" si="9"/>
        <v>0</v>
      </c>
      <c r="M35" s="14">
        <f ca="1" t="shared" si="10"/>
        <v>0</v>
      </c>
      <c r="N35" s="14">
        <f ca="1" t="shared" si="11"/>
        <v>0</v>
      </c>
      <c r="O35" s="14">
        <f ca="1" t="shared" si="12"/>
        <v>0</v>
      </c>
      <c r="P35" s="14">
        <f ca="1" t="shared" si="13"/>
        <v>0</v>
      </c>
      <c r="Q35" s="13"/>
    </row>
    <row r="36" ht="19" hidden="1" customHeight="1" spans="1:17">
      <c r="A36" s="13"/>
      <c r="B36" s="13" t="str">
        <v>Sheet20</v>
      </c>
      <c r="C36" s="81" t="str">
        <f ca="1" t="shared" si="27"/>
        <v>点击跳转</v>
      </c>
      <c r="D36" s="79">
        <f ca="1" t="shared" si="23"/>
        <v>0</v>
      </c>
      <c r="E36" s="79">
        <f ca="1" t="shared" si="24"/>
        <v>0</v>
      </c>
      <c r="F36" s="56">
        <f ca="1" t="shared" si="25"/>
        <v>0</v>
      </c>
      <c r="G36" s="14">
        <f ca="1" t="shared" si="4"/>
        <v>0</v>
      </c>
      <c r="H36" s="14">
        <f ca="1" t="shared" si="5"/>
        <v>0</v>
      </c>
      <c r="I36" s="14">
        <f ca="1" t="shared" si="6"/>
        <v>0</v>
      </c>
      <c r="J36" s="14">
        <f ca="1" t="shared" si="7"/>
        <v>0</v>
      </c>
      <c r="K36" s="14">
        <f ca="1" t="shared" si="8"/>
        <v>0</v>
      </c>
      <c r="L36" s="14">
        <f ca="1" t="shared" si="9"/>
        <v>0</v>
      </c>
      <c r="M36" s="14">
        <f ca="1" t="shared" si="10"/>
        <v>0</v>
      </c>
      <c r="N36" s="14">
        <f ca="1" t="shared" si="11"/>
        <v>0</v>
      </c>
      <c r="O36" s="14">
        <f ca="1" t="shared" si="12"/>
        <v>0</v>
      </c>
      <c r="P36" s="14">
        <f ca="1" t="shared" si="13"/>
        <v>0</v>
      </c>
      <c r="Q36" s="13"/>
    </row>
    <row r="37" ht="19" hidden="1" customHeight="1" spans="1:17">
      <c r="A37" s="13"/>
      <c r="B37" s="13" t="str">
        <v>Sheet21</v>
      </c>
      <c r="C37" s="81" t="str">
        <f ca="1" t="shared" si="27"/>
        <v>点击跳转</v>
      </c>
      <c r="D37" s="79">
        <f ca="1" t="shared" si="23"/>
        <v>0</v>
      </c>
      <c r="E37" s="79">
        <f ca="1" t="shared" si="24"/>
        <v>0</v>
      </c>
      <c r="F37" s="56">
        <f ca="1" t="shared" si="25"/>
        <v>0</v>
      </c>
      <c r="G37" s="14">
        <f ca="1" t="shared" si="4"/>
        <v>0</v>
      </c>
      <c r="H37" s="14">
        <f ca="1" t="shared" si="5"/>
        <v>0</v>
      </c>
      <c r="I37" s="14">
        <f ca="1" t="shared" si="6"/>
        <v>0</v>
      </c>
      <c r="J37" s="14">
        <f ca="1" t="shared" si="7"/>
        <v>0</v>
      </c>
      <c r="K37" s="14">
        <f ca="1" t="shared" si="8"/>
        <v>0</v>
      </c>
      <c r="L37" s="14">
        <f ca="1" t="shared" si="9"/>
        <v>0</v>
      </c>
      <c r="M37" s="14">
        <f ca="1" t="shared" si="10"/>
        <v>0</v>
      </c>
      <c r="N37" s="14">
        <f ca="1" t="shared" si="11"/>
        <v>0</v>
      </c>
      <c r="O37" s="14">
        <f ca="1" t="shared" si="12"/>
        <v>0</v>
      </c>
      <c r="P37" s="14">
        <f ca="1" t="shared" si="13"/>
        <v>0</v>
      </c>
      <c r="Q37" s="13"/>
    </row>
    <row r="38" ht="19" hidden="1" customHeight="1" spans="1:17">
      <c r="A38" s="13"/>
      <c r="B38" s="13" t="str">
        <v>Sheet22</v>
      </c>
      <c r="C38" s="81" t="str">
        <f ca="1" t="shared" si="27"/>
        <v>点击跳转</v>
      </c>
      <c r="D38" s="79">
        <f ca="1" t="shared" si="23"/>
        <v>0</v>
      </c>
      <c r="E38" s="79">
        <f ca="1" t="shared" si="24"/>
        <v>0</v>
      </c>
      <c r="F38" s="56">
        <f ca="1" t="shared" si="25"/>
        <v>0</v>
      </c>
      <c r="G38" s="14">
        <f ca="1" t="shared" si="4"/>
        <v>0</v>
      </c>
      <c r="H38" s="14">
        <f ca="1" t="shared" si="5"/>
        <v>0</v>
      </c>
      <c r="I38" s="14">
        <f ca="1" t="shared" si="6"/>
        <v>0</v>
      </c>
      <c r="J38" s="14">
        <f ca="1" t="shared" si="7"/>
        <v>0</v>
      </c>
      <c r="K38" s="14">
        <f ca="1" t="shared" si="8"/>
        <v>0</v>
      </c>
      <c r="L38" s="14">
        <f ca="1" t="shared" si="9"/>
        <v>0</v>
      </c>
      <c r="M38" s="14">
        <f ca="1" t="shared" si="10"/>
        <v>0</v>
      </c>
      <c r="N38" s="14">
        <f ca="1" t="shared" si="11"/>
        <v>0</v>
      </c>
      <c r="O38" s="14">
        <f ca="1" t="shared" si="12"/>
        <v>0</v>
      </c>
      <c r="P38" s="14">
        <f ca="1" t="shared" si="13"/>
        <v>0</v>
      </c>
      <c r="Q38" s="13"/>
    </row>
    <row r="39" ht="19" hidden="1" customHeight="1" spans="1:17">
      <c r="A39" s="13"/>
      <c r="B39" s="13"/>
      <c r="C39" s="13"/>
      <c r="D39" s="79"/>
      <c r="E39" s="79"/>
      <c r="F39" s="79"/>
      <c r="G39" s="14" t="str">
        <f ca="1" t="shared" si="4"/>
        <v/>
      </c>
      <c r="H39" s="14" t="str">
        <f ca="1" t="shared" si="5"/>
        <v/>
      </c>
      <c r="I39" s="14" t="str">
        <f ca="1" t="shared" si="6"/>
        <v/>
      </c>
      <c r="J39" s="14" t="str">
        <f ca="1" t="shared" si="7"/>
        <v/>
      </c>
      <c r="K39" s="14" t="str">
        <f ca="1" t="shared" si="8"/>
        <v/>
      </c>
      <c r="L39" s="14" t="str">
        <f ca="1" t="shared" si="9"/>
        <v/>
      </c>
      <c r="M39" s="14" t="str">
        <f ca="1" t="shared" si="10"/>
        <v/>
      </c>
      <c r="N39" s="14" t="str">
        <f ca="1" t="shared" si="11"/>
        <v/>
      </c>
      <c r="O39" s="14" t="str">
        <f ca="1" t="shared" si="12"/>
        <v/>
      </c>
      <c r="P39" s="14" t="str">
        <f ca="1" t="shared" si="13"/>
        <v/>
      </c>
      <c r="Q39" s="13"/>
    </row>
    <row r="40" ht="19" hidden="1" customHeight="1" spans="1:17">
      <c r="A40" s="13"/>
      <c r="B40" s="13"/>
      <c r="C40" s="13"/>
      <c r="D40" s="79"/>
      <c r="E40" s="79"/>
      <c r="F40" s="79"/>
      <c r="G40" s="14" t="str">
        <f ca="1" t="shared" si="4"/>
        <v/>
      </c>
      <c r="H40" s="14" t="str">
        <f ca="1" t="shared" si="5"/>
        <v/>
      </c>
      <c r="I40" s="14" t="str">
        <f ca="1" t="shared" si="6"/>
        <v/>
      </c>
      <c r="J40" s="14" t="str">
        <f ca="1" t="shared" si="7"/>
        <v/>
      </c>
      <c r="K40" s="14" t="str">
        <f ca="1" t="shared" si="8"/>
        <v/>
      </c>
      <c r="L40" s="14" t="str">
        <f ca="1" t="shared" si="9"/>
        <v/>
      </c>
      <c r="M40" s="14" t="str">
        <f ca="1" t="shared" si="10"/>
        <v/>
      </c>
      <c r="N40" s="14" t="str">
        <f ca="1" t="shared" si="11"/>
        <v/>
      </c>
      <c r="O40" s="14" t="str">
        <f ca="1" t="shared" si="12"/>
        <v/>
      </c>
      <c r="P40" s="14" t="str">
        <f ca="1" t="shared" si="13"/>
        <v/>
      </c>
      <c r="Q40" s="13"/>
    </row>
    <row r="41" ht="19" hidden="1" customHeight="1" spans="1:17">
      <c r="A41" s="13"/>
      <c r="B41" s="13"/>
      <c r="C41" s="13"/>
      <c r="D41" s="79"/>
      <c r="E41" s="79"/>
      <c r="F41" s="79"/>
      <c r="G41" s="14" t="str">
        <f ca="1" t="shared" si="4"/>
        <v/>
      </c>
      <c r="H41" s="14" t="str">
        <f ca="1" t="shared" si="5"/>
        <v/>
      </c>
      <c r="I41" s="14" t="str">
        <f ca="1" t="shared" si="6"/>
        <v/>
      </c>
      <c r="J41" s="14" t="str">
        <f ca="1" t="shared" si="7"/>
        <v/>
      </c>
      <c r="K41" s="14" t="str">
        <f ca="1" t="shared" si="8"/>
        <v/>
      </c>
      <c r="L41" s="14" t="str">
        <f ca="1" t="shared" si="9"/>
        <v/>
      </c>
      <c r="M41" s="14" t="str">
        <f ca="1" t="shared" si="10"/>
        <v/>
      </c>
      <c r="N41" s="14" t="str">
        <f ca="1" t="shared" si="11"/>
        <v/>
      </c>
      <c r="O41" s="14" t="str">
        <f ca="1" t="shared" si="12"/>
        <v/>
      </c>
      <c r="P41" s="14" t="str">
        <f ca="1" t="shared" si="13"/>
        <v/>
      </c>
      <c r="Q41" s="13"/>
    </row>
    <row r="42" ht="19" hidden="1" customHeight="1" spans="1:17">
      <c r="A42" s="13"/>
      <c r="B42" s="13"/>
      <c r="C42" s="13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13"/>
    </row>
    <row r="43" ht="19" hidden="1" customHeight="1" spans="1:17">
      <c r="A43" s="13"/>
      <c r="B43" s="13"/>
      <c r="C43" s="13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13"/>
    </row>
    <row r="44" ht="19" customHeight="1" spans="1:17">
      <c r="A44" s="13"/>
      <c r="B44" s="13"/>
      <c r="C44" s="13" t="s">
        <v>20</v>
      </c>
      <c r="D44" s="79">
        <f ca="1">SUM(D5:INDEX(D:D,ROW()-1))</f>
        <v>3705426.13</v>
      </c>
      <c r="E44" s="79">
        <f ca="1" t="shared" ref="E44:Q44" si="28">SUM(E5:INDEX(E:E,ROW()-1))</f>
        <v>3381764.36</v>
      </c>
      <c r="F44" s="79">
        <f ca="1" t="shared" si="28"/>
        <v>323661.77</v>
      </c>
      <c r="G44" s="79">
        <f ca="1" t="shared" si="28"/>
        <v>2170275.46</v>
      </c>
      <c r="H44" s="79">
        <f ca="1" t="shared" si="28"/>
        <v>653783.93</v>
      </c>
      <c r="I44" s="79">
        <f ca="1" t="shared" si="28"/>
        <v>219934.01</v>
      </c>
      <c r="J44" s="79">
        <f ca="1" t="shared" si="28"/>
        <v>42103.51</v>
      </c>
      <c r="K44" s="79">
        <f ca="1" t="shared" si="28"/>
        <v>546.94</v>
      </c>
      <c r="L44" s="79">
        <f ca="1" t="shared" si="28"/>
        <v>259035.17</v>
      </c>
      <c r="M44" s="79">
        <f ca="1" t="shared" si="28"/>
        <v>231643.94</v>
      </c>
      <c r="N44" s="79">
        <f ca="1" t="shared" si="28"/>
        <v>17320.81</v>
      </c>
      <c r="O44" s="79">
        <f ca="1" t="shared" si="28"/>
        <v>73007.21</v>
      </c>
      <c r="P44" s="79">
        <f ca="1" t="shared" si="28"/>
        <v>22085.15</v>
      </c>
      <c r="Q44" s="79">
        <f ca="1" t="shared" si="28"/>
        <v>11460</v>
      </c>
    </row>
    <row r="45" spans="1:17">
      <c r="D45" s="3"/>
      <c r="E45" s="3"/>
      <c r="F45" s="3"/>
      <c r="G45" s="3"/>
      <c r="H45" s="3"/>
      <c r="I45" s="3"/>
      <c r="J45" s="3"/>
      <c r="K45" s="3"/>
      <c r="L45" s="3"/>
    </row>
    <row r="46" spans="1:17">
      <c r="D46" s="3"/>
      <c r="E46" s="3"/>
      <c r="F46" s="3"/>
      <c r="G46" s="3"/>
      <c r="H46" s="3"/>
      <c r="I46" s="3"/>
      <c r="J46" s="3"/>
      <c r="K46" s="3"/>
      <c r="L46" s="3"/>
    </row>
    <row r="47" spans="1:17">
      <c r="D47" s="3"/>
      <c r="E47" s="3"/>
      <c r="F47" s="3"/>
      <c r="G47" s="3"/>
      <c r="H47" s="3"/>
      <c r="I47" s="3"/>
      <c r="J47" s="3"/>
      <c r="K47" s="3"/>
      <c r="L47" s="3"/>
    </row>
    <row r="48" spans="1:17">
      <c r="D48" s="3"/>
      <c r="E48" s="3"/>
      <c r="F48" s="3"/>
      <c r="G48" s="3"/>
      <c r="H48" s="3"/>
      <c r="I48" s="3"/>
      <c r="J48" s="3"/>
      <c r="K48" s="3"/>
      <c r="L48" s="3"/>
    </row>
    <row r="49" spans="4:12">
      <c r="D49" s="3"/>
      <c r="E49" s="3"/>
      <c r="F49" s="3"/>
      <c r="G49" s="3"/>
      <c r="H49" s="3"/>
      <c r="I49" s="3"/>
      <c r="J49" s="3"/>
      <c r="K49" s="3"/>
      <c r="L49" s="3"/>
    </row>
    <row r="50" spans="4:12">
      <c r="D50" s="3"/>
      <c r="E50" s="3"/>
      <c r="F50" s="3"/>
      <c r="G50" s="3"/>
      <c r="H50" s="3"/>
      <c r="I50" s="3"/>
      <c r="J50" s="3"/>
      <c r="K50" s="3"/>
      <c r="L50" s="3"/>
    </row>
    <row r="51" spans="4:12">
      <c r="D51" s="3"/>
      <c r="E51" s="3"/>
      <c r="F51" s="3"/>
      <c r="G51" s="3"/>
      <c r="H51" s="3"/>
      <c r="I51" s="3"/>
      <c r="J51" s="3"/>
      <c r="K51" s="3"/>
      <c r="L51" s="3"/>
    </row>
    <row r="52" spans="4:12">
      <c r="D52" s="3"/>
      <c r="E52" s="3"/>
      <c r="F52" s="3"/>
      <c r="G52" s="3"/>
      <c r="H52" s="3"/>
      <c r="I52" s="3"/>
      <c r="J52" s="3"/>
      <c r="K52" s="3"/>
      <c r="L52" s="3"/>
    </row>
    <row r="53" spans="4:12">
      <c r="D53" s="3"/>
      <c r="E53" s="3"/>
      <c r="F53" s="3"/>
      <c r="G53" s="3"/>
      <c r="H53" s="3"/>
      <c r="I53" s="3"/>
      <c r="J53" s="3"/>
      <c r="K53" s="3"/>
      <c r="L53" s="3"/>
    </row>
    <row r="54" spans="4:12">
      <c r="D54" s="3"/>
      <c r="E54" s="3"/>
      <c r="F54" s="3"/>
      <c r="G54" s="3"/>
      <c r="H54" s="3"/>
      <c r="I54" s="3"/>
      <c r="J54" s="3"/>
      <c r="K54" s="3"/>
      <c r="L54" s="3"/>
    </row>
    <row r="55" spans="4:12">
      <c r="D55" s="3"/>
      <c r="E55" s="3"/>
      <c r="F55" s="3"/>
      <c r="G55" s="3"/>
      <c r="H55" s="3"/>
      <c r="I55" s="3"/>
      <c r="J55" s="3"/>
      <c r="K55" s="3"/>
      <c r="L55" s="3"/>
    </row>
    <row r="56" spans="4:12">
      <c r="D56" s="3"/>
      <c r="E56" s="3"/>
      <c r="F56" s="3"/>
      <c r="G56" s="3"/>
      <c r="H56" s="3"/>
      <c r="I56" s="3"/>
      <c r="J56" s="3"/>
      <c r="K56" s="3"/>
      <c r="L56" s="3"/>
    </row>
    <row r="57" spans="4:12">
      <c r="D57" s="3"/>
      <c r="E57" s="3"/>
      <c r="F57" s="3"/>
      <c r="G57" s="3"/>
      <c r="H57" s="3"/>
      <c r="I57" s="3"/>
      <c r="J57" s="3"/>
      <c r="K57" s="3"/>
      <c r="L57" s="3"/>
    </row>
    <row r="58" spans="4:12">
      <c r="D58" s="3"/>
      <c r="E58" s="3"/>
      <c r="F58" s="3"/>
      <c r="G58" s="3"/>
      <c r="H58" s="3"/>
      <c r="I58" s="3"/>
      <c r="J58" s="3"/>
      <c r="K58" s="3"/>
      <c r="L58" s="3"/>
    </row>
    <row r="59" spans="4:12">
      <c r="D59" s="3"/>
      <c r="E59" s="3"/>
      <c r="F59" s="3"/>
      <c r="G59" s="3"/>
      <c r="H59" s="3"/>
      <c r="I59" s="3"/>
      <c r="J59" s="3"/>
      <c r="K59" s="3"/>
      <c r="L59" s="3"/>
    </row>
    <row r="60" spans="4:12">
      <c r="D60" s="3"/>
      <c r="E60" s="3"/>
      <c r="F60" s="3"/>
      <c r="G60" s="3"/>
      <c r="H60" s="3"/>
      <c r="I60" s="3"/>
      <c r="J60" s="3"/>
      <c r="K60" s="3"/>
      <c r="L60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4"/>
  <sheetViews>
    <sheetView topLeftCell="D1" workbookViewId="0">
      <pane ySplit="2" topLeftCell="A3" activePane="bottomLeft" state="frozen"/>
      <selection/>
      <selection pane="bottomLeft" activeCell="J11" sqref="J1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8" width="14.0916666666667" style="3" customWidth="1"/>
    <col min="9" max="10" width="15.2583333333333" style="3" customWidth="1"/>
    <col min="11" max="11" width="9" style="1" customWidth="1"/>
    <col min="12" max="12" width="2.25833333333333" style="1" customWidth="1"/>
    <col min="13" max="13" width="18.375" style="1" customWidth="1"/>
    <col min="14" max="14" width="13" style="3" customWidth="1"/>
    <col min="15" max="15" width="12.625" style="3"/>
    <col min="16" max="16" width="11.8166666666667" style="3"/>
    <col min="17" max="16384" width="9" style="1"/>
  </cols>
  <sheetData>
    <row r="1" ht="31" customHeight="1" spans="1:16">
      <c r="A1" s="4" t="s">
        <v>21</v>
      </c>
      <c r="B1" s="5"/>
      <c r="C1" s="6"/>
      <c r="D1" s="6"/>
      <c r="E1" s="7"/>
      <c r="F1" s="6"/>
      <c r="G1" s="52" t="s">
        <v>22</v>
      </c>
      <c r="H1" s="53">
        <v>221581.94</v>
      </c>
      <c r="I1" s="6"/>
      <c r="J1" s="8" t="str">
        <f>HYPERLINK("#总表！A3","返回总表")</f>
        <v>返回总表</v>
      </c>
      <c r="K1" s="5"/>
      <c r="M1" s="54" t="str" cm="1">
        <f t="array" ref="M1:O12">_xlfn.PIVOTBY(_xlfn._TRO_TRAILING(B2:B999),,_xlfn._TRO_TRAILING(C2:D999),_xleta.SUM,3)</f>
        <v>项目名称</v>
      </c>
      <c r="N1" s="55" t="str">
        <v>应付金额</v>
      </c>
      <c r="O1" s="55" t="str">
        <v>已付金额</v>
      </c>
      <c r="P1" s="55" t="s">
        <v>23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30</v>
      </c>
      <c r="H2" s="11" t="s">
        <v>31</v>
      </c>
      <c r="I2" s="11" t="s">
        <v>32</v>
      </c>
      <c r="J2" s="11" t="s">
        <v>33</v>
      </c>
      <c r="K2" s="10" t="s">
        <v>34</v>
      </c>
      <c r="M2" s="13" t="str">
        <v>德安农商行总部</v>
      </c>
      <c r="N2" s="14">
        <v>546.94</v>
      </c>
      <c r="O2" s="14">
        <v>0</v>
      </c>
      <c r="P2" s="14"/>
    </row>
    <row r="3" customHeight="1" spans="1:16">
      <c r="A3" s="12">
        <v>45724</v>
      </c>
      <c r="B3" s="13" t="s">
        <v>11</v>
      </c>
      <c r="C3" s="14">
        <v>18500</v>
      </c>
      <c r="D3" s="14">
        <v>16500</v>
      </c>
      <c r="E3" s="12">
        <v>45724</v>
      </c>
      <c r="F3" s="14"/>
      <c r="G3" s="14"/>
      <c r="H3" s="14"/>
      <c r="I3" s="14"/>
      <c r="J3" s="14"/>
      <c r="K3" s="13"/>
      <c r="M3" s="13" t="str">
        <v>德安养老中心</v>
      </c>
      <c r="N3" s="14">
        <v>604482.11</v>
      </c>
      <c r="O3" s="14">
        <v>896946.54</v>
      </c>
      <c r="P3" s="14"/>
    </row>
    <row r="4" customHeight="1" spans="1:16">
      <c r="A4" s="12">
        <v>45727</v>
      </c>
      <c r="B4" s="13" t="s">
        <v>11</v>
      </c>
      <c r="C4" s="14">
        <v>3800</v>
      </c>
      <c r="D4" s="14">
        <v>2000</v>
      </c>
      <c r="E4" s="12">
        <v>45724</v>
      </c>
      <c r="F4" s="14"/>
      <c r="G4" s="14"/>
      <c r="H4" s="14"/>
      <c r="I4" s="14"/>
      <c r="J4" s="14"/>
      <c r="K4" s="13"/>
      <c r="M4" s="13" t="str">
        <v>抚州1号楼</v>
      </c>
      <c r="N4" s="14">
        <v>196807.17</v>
      </c>
      <c r="O4" s="14">
        <v>165000</v>
      </c>
      <c r="P4" s="14"/>
    </row>
    <row r="5" customHeight="1" spans="1:16">
      <c r="A5" s="12">
        <v>45728</v>
      </c>
      <c r="B5" s="13" t="s">
        <v>11</v>
      </c>
      <c r="C5" s="14">
        <v>-1189.27</v>
      </c>
      <c r="D5" s="14">
        <v>3800</v>
      </c>
      <c r="E5" s="12">
        <v>45727</v>
      </c>
      <c r="F5" s="14"/>
      <c r="G5" s="14"/>
      <c r="H5" s="14"/>
      <c r="I5" s="14"/>
      <c r="J5" s="14"/>
      <c r="K5" s="13"/>
      <c r="M5" s="13" t="str">
        <v>抚州2号楼</v>
      </c>
      <c r="N5" s="56">
        <v>13680.81</v>
      </c>
      <c r="O5" s="14">
        <v>0</v>
      </c>
      <c r="P5" s="14"/>
    </row>
    <row r="6" customHeight="1" spans="1:16">
      <c r="A6" s="12">
        <v>45730</v>
      </c>
      <c r="B6" s="13" t="s">
        <v>11</v>
      </c>
      <c r="C6" s="14">
        <v>275.09</v>
      </c>
      <c r="D6" s="14">
        <v>10881</v>
      </c>
      <c r="E6" s="12">
        <v>45814</v>
      </c>
      <c r="F6" s="14"/>
      <c r="G6" s="14"/>
      <c r="H6" s="14"/>
      <c r="I6" s="14"/>
      <c r="J6" s="14"/>
      <c r="K6" s="13"/>
      <c r="M6" s="13" t="str">
        <v>抚州8号楼</v>
      </c>
      <c r="N6" s="56">
        <v>165801.94</v>
      </c>
      <c r="O6" s="14">
        <v>0</v>
      </c>
      <c r="P6" s="14"/>
    </row>
    <row r="7" customHeight="1" spans="1:16">
      <c r="A7" s="12">
        <v>45735</v>
      </c>
      <c r="B7" s="13" t="s">
        <v>11</v>
      </c>
      <c r="C7" s="14">
        <v>1006.82</v>
      </c>
      <c r="D7" s="14">
        <v>-1189.27</v>
      </c>
      <c r="E7" s="12"/>
      <c r="F7" s="14"/>
      <c r="G7" s="14"/>
      <c r="H7" s="14"/>
      <c r="I7" s="14"/>
      <c r="J7" s="14"/>
      <c r="K7" s="13"/>
      <c r="M7" s="13" t="str">
        <v>九安架空层</v>
      </c>
      <c r="N7" s="56">
        <v>44610.37</v>
      </c>
      <c r="O7" s="14">
        <v>31992.64</v>
      </c>
      <c r="P7" s="14"/>
    </row>
    <row r="8" customHeight="1" spans="1:16">
      <c r="A8" s="12">
        <v>45782</v>
      </c>
      <c r="B8" s="13" t="s">
        <v>11</v>
      </c>
      <c r="C8" s="14">
        <v>9600</v>
      </c>
      <c r="D8" s="14">
        <v>0.91</v>
      </c>
      <c r="E8" s="12"/>
      <c r="F8" s="14"/>
      <c r="G8" s="14"/>
      <c r="H8" s="14"/>
      <c r="I8" s="14"/>
      <c r="J8" s="14"/>
      <c r="K8" s="13"/>
      <c r="M8" s="13" t="str">
        <v>科创中心</v>
      </c>
      <c r="N8" s="14">
        <v>446419.88</v>
      </c>
      <c r="O8" s="14">
        <v>215000</v>
      </c>
      <c r="P8" s="14"/>
    </row>
    <row r="9" customHeight="1" spans="1:16">
      <c r="A9" s="12">
        <v>45921</v>
      </c>
      <c r="B9" s="13" t="s">
        <v>9</v>
      </c>
      <c r="C9" s="14">
        <v>71575.38</v>
      </c>
      <c r="D9" s="14">
        <v>71575.38</v>
      </c>
      <c r="E9" s="12">
        <v>45922</v>
      </c>
      <c r="F9" s="14" t="s">
        <v>35</v>
      </c>
      <c r="G9" s="14"/>
      <c r="H9" s="14"/>
      <c r="I9" s="14"/>
      <c r="J9" s="14"/>
      <c r="K9" s="13"/>
      <c r="M9" s="13" t="str">
        <v>隆世光伏</v>
      </c>
      <c r="N9" s="14">
        <v>2845.15</v>
      </c>
      <c r="O9" s="14">
        <v>0</v>
      </c>
      <c r="P9" s="14"/>
    </row>
    <row r="10" customHeight="1" spans="1:16">
      <c r="A10" s="12">
        <v>45925</v>
      </c>
      <c r="B10" s="13" t="s">
        <v>9</v>
      </c>
      <c r="C10" s="14">
        <v>172.5</v>
      </c>
      <c r="D10" s="14">
        <v>3937.66</v>
      </c>
      <c r="E10" s="12">
        <v>45926</v>
      </c>
      <c r="F10" s="14" t="s">
        <v>35</v>
      </c>
      <c r="G10" s="14"/>
      <c r="H10" s="14"/>
      <c r="I10" s="14"/>
      <c r="J10" s="14"/>
      <c r="K10" s="13"/>
      <c r="M10" s="13" t="str">
        <v>数字产业园</v>
      </c>
      <c r="N10" s="14">
        <v>33897.01</v>
      </c>
      <c r="O10" s="14">
        <v>0</v>
      </c>
      <c r="P10" s="14"/>
    </row>
    <row r="11" customHeight="1" spans="1:16">
      <c r="A11" s="12">
        <v>45926</v>
      </c>
      <c r="B11" s="13" t="s">
        <v>9</v>
      </c>
      <c r="C11" s="14">
        <v>3765.16</v>
      </c>
      <c r="D11" s="14">
        <v>4432.4</v>
      </c>
      <c r="E11" s="12">
        <v>45929</v>
      </c>
      <c r="F11" s="14" t="s">
        <v>35</v>
      </c>
      <c r="G11" s="14"/>
      <c r="H11" s="14"/>
      <c r="I11" s="14"/>
      <c r="J11" s="14"/>
      <c r="K11" s="13"/>
      <c r="M11" s="13" t="str">
        <v>邹桥派出所</v>
      </c>
      <c r="N11" s="14">
        <v>23900.65</v>
      </c>
      <c r="O11" s="14">
        <v>0</v>
      </c>
      <c r="P11" s="14"/>
    </row>
    <row r="12" customHeight="1" spans="1:16">
      <c r="A12" s="12">
        <v>45926</v>
      </c>
      <c r="B12" s="13" t="s">
        <v>9</v>
      </c>
      <c r="C12" s="14">
        <v>132.4</v>
      </c>
      <c r="D12" s="14">
        <v>58556.29</v>
      </c>
      <c r="E12" s="12">
        <v>45929</v>
      </c>
      <c r="F12" s="14" t="s">
        <v>35</v>
      </c>
      <c r="G12" s="14"/>
      <c r="H12" s="14"/>
      <c r="I12" s="14"/>
      <c r="J12" s="14"/>
      <c r="K12" s="13"/>
      <c r="M12" s="13" t="str">
        <v>总计</v>
      </c>
      <c r="N12" s="14">
        <v>1532992.03</v>
      </c>
      <c r="O12" s="14">
        <v>1308939.18</v>
      </c>
      <c r="P12" s="14">
        <f>N12-O12</f>
        <v>224052.85</v>
      </c>
    </row>
    <row r="13" customHeight="1" spans="1:16">
      <c r="A13" s="12">
        <v>45928</v>
      </c>
      <c r="B13" s="13" t="s">
        <v>9</v>
      </c>
      <c r="C13" s="14">
        <v>4300</v>
      </c>
      <c r="D13" s="14">
        <v>10731.29</v>
      </c>
      <c r="E13" s="12">
        <v>45938</v>
      </c>
      <c r="F13" s="14" t="s">
        <v>35</v>
      </c>
      <c r="G13" s="14"/>
      <c r="H13" s="14"/>
      <c r="I13" s="14"/>
      <c r="J13" s="14"/>
      <c r="K13" s="13"/>
      <c r="M13" s="13"/>
      <c r="N13" s="14"/>
      <c r="O13" s="14"/>
      <c r="P13" s="14"/>
    </row>
    <row r="14" customHeight="1" spans="1:16">
      <c r="A14" s="12">
        <v>45933</v>
      </c>
      <c r="B14" s="13" t="s">
        <v>9</v>
      </c>
      <c r="C14" s="14">
        <v>7972.87</v>
      </c>
      <c r="D14" s="14">
        <v>69485.2</v>
      </c>
      <c r="E14" s="12">
        <v>45938</v>
      </c>
      <c r="F14" s="14" t="s">
        <v>35</v>
      </c>
      <c r="G14" s="14"/>
      <c r="H14" s="14"/>
      <c r="I14" s="14"/>
      <c r="J14" s="14"/>
      <c r="K14" s="13"/>
    </row>
    <row r="15" customHeight="1" spans="1:16">
      <c r="A15" s="12">
        <v>45937</v>
      </c>
      <c r="B15" s="13" t="s">
        <v>9</v>
      </c>
      <c r="C15" s="14">
        <v>2758.42</v>
      </c>
      <c r="D15" s="14">
        <v>5583.6</v>
      </c>
      <c r="E15" s="12">
        <v>45944</v>
      </c>
      <c r="F15" s="14" t="s">
        <v>35</v>
      </c>
      <c r="G15" s="14"/>
      <c r="H15" s="14"/>
      <c r="I15" s="14"/>
      <c r="J15" s="14"/>
      <c r="K15" s="13"/>
      <c r="M15" s="1" t="s">
        <v>36</v>
      </c>
      <c r="N15" s="3">
        <f>P12-H1</f>
        <v>2470.91000000009</v>
      </c>
    </row>
    <row r="16" customHeight="1" spans="1:16">
      <c r="A16" s="12">
        <v>45938</v>
      </c>
      <c r="B16" s="13" t="s">
        <v>9</v>
      </c>
      <c r="C16" s="14">
        <v>1853.6</v>
      </c>
      <c r="D16" s="14">
        <v>1269</v>
      </c>
      <c r="E16" s="12">
        <v>45944</v>
      </c>
      <c r="F16" s="14" t="s">
        <v>35</v>
      </c>
      <c r="G16" s="14"/>
      <c r="H16" s="14"/>
      <c r="I16" s="14"/>
      <c r="J16" s="14"/>
      <c r="K16" s="13"/>
      <c r="M16" s="57"/>
      <c r="N16" s="58"/>
    </row>
    <row r="17" customHeight="1" spans="1:11">
      <c r="A17" s="12">
        <v>45942</v>
      </c>
      <c r="B17" s="13" t="s">
        <v>9</v>
      </c>
      <c r="C17" s="14">
        <v>3730</v>
      </c>
      <c r="D17" s="14">
        <v>16442.13</v>
      </c>
      <c r="E17" s="12">
        <v>45947</v>
      </c>
      <c r="F17" s="14" t="s">
        <v>35</v>
      </c>
      <c r="G17" s="14"/>
      <c r="H17" s="14"/>
      <c r="I17" s="14"/>
      <c r="J17" s="14"/>
      <c r="K17" s="13"/>
    </row>
    <row r="18" customHeight="1" spans="1:11">
      <c r="A18" s="12">
        <v>45947</v>
      </c>
      <c r="B18" s="13" t="s">
        <v>9</v>
      </c>
      <c r="C18" s="14">
        <v>2147.6</v>
      </c>
      <c r="D18" s="14">
        <v>1723.51</v>
      </c>
      <c r="E18" s="12">
        <v>45944</v>
      </c>
      <c r="F18" s="14" t="s">
        <v>35</v>
      </c>
      <c r="G18" s="14"/>
      <c r="H18" s="14"/>
      <c r="I18" s="14"/>
      <c r="J18" s="14"/>
      <c r="K18" s="13"/>
    </row>
    <row r="19" customHeight="1" spans="1:11">
      <c r="A19" s="12">
        <v>45948</v>
      </c>
      <c r="B19" s="13" t="s">
        <v>9</v>
      </c>
      <c r="C19" s="14">
        <v>23990.56</v>
      </c>
      <c r="D19" s="14">
        <v>26138.16</v>
      </c>
      <c r="E19" s="12">
        <v>45951</v>
      </c>
      <c r="F19" s="14" t="s">
        <v>35</v>
      </c>
      <c r="G19" s="14"/>
      <c r="H19" s="14"/>
      <c r="I19" s="14"/>
      <c r="J19" s="14"/>
      <c r="K19" s="13"/>
    </row>
    <row r="20" customHeight="1" spans="1:11">
      <c r="A20" s="12">
        <v>45951</v>
      </c>
      <c r="B20" s="13" t="s">
        <v>9</v>
      </c>
      <c r="C20" s="14">
        <v>1680.09</v>
      </c>
      <c r="D20" s="14">
        <v>1500</v>
      </c>
      <c r="E20" s="12">
        <v>45951</v>
      </c>
      <c r="F20" s="14" t="s">
        <v>35</v>
      </c>
      <c r="G20" s="14"/>
      <c r="H20" s="14"/>
      <c r="I20" s="14"/>
      <c r="J20" s="14"/>
      <c r="K20" s="13"/>
    </row>
    <row r="21" customHeight="1" spans="1:11">
      <c r="A21" s="12">
        <v>45952</v>
      </c>
      <c r="B21" s="13" t="s">
        <v>9</v>
      </c>
      <c r="C21" s="14">
        <v>400</v>
      </c>
      <c r="D21" s="14">
        <v>7716.04</v>
      </c>
      <c r="E21" s="12">
        <v>45963</v>
      </c>
      <c r="F21" s="14" t="s">
        <v>35</v>
      </c>
      <c r="G21" s="14"/>
      <c r="H21" s="14"/>
      <c r="I21" s="14"/>
      <c r="J21" s="14"/>
      <c r="K21" s="13"/>
    </row>
    <row r="22" customHeight="1" spans="1:11">
      <c r="A22" s="12">
        <v>45953</v>
      </c>
      <c r="B22" s="13" t="s">
        <v>9</v>
      </c>
      <c r="C22" s="14">
        <v>678.78</v>
      </c>
      <c r="D22" s="14">
        <v>17198.43</v>
      </c>
      <c r="E22" s="12">
        <v>45963</v>
      </c>
      <c r="F22" s="14" t="s">
        <v>35</v>
      </c>
      <c r="G22" s="14"/>
      <c r="H22" s="14"/>
      <c r="I22" s="14"/>
      <c r="J22" s="14"/>
      <c r="K22" s="13"/>
    </row>
    <row r="23" customHeight="1" spans="1:11">
      <c r="A23" s="12">
        <v>45954</v>
      </c>
      <c r="B23" s="13" t="s">
        <v>9</v>
      </c>
      <c r="C23" s="14">
        <v>301.37</v>
      </c>
      <c r="D23" s="14"/>
      <c r="E23" s="12"/>
      <c r="F23" s="14"/>
      <c r="G23" s="14"/>
      <c r="H23" s="14"/>
      <c r="I23" s="14"/>
      <c r="J23" s="14"/>
      <c r="K23" s="13"/>
    </row>
    <row r="24" customHeight="1" spans="1:11">
      <c r="A24" s="12">
        <v>45957</v>
      </c>
      <c r="B24" s="13" t="s">
        <v>9</v>
      </c>
      <c r="C24" s="14">
        <v>3795.5</v>
      </c>
      <c r="D24" s="14">
        <v>69648.6</v>
      </c>
      <c r="E24" s="12">
        <v>45982</v>
      </c>
      <c r="F24" s="14" t="s">
        <v>35</v>
      </c>
      <c r="G24" s="14"/>
      <c r="H24" s="14"/>
      <c r="I24" s="14"/>
      <c r="J24" s="14"/>
      <c r="K24" s="13"/>
    </row>
    <row r="25" customHeight="1" spans="1:11">
      <c r="A25" s="12">
        <v>45958</v>
      </c>
      <c r="B25" s="13" t="s">
        <v>9</v>
      </c>
      <c r="C25" s="14">
        <v>860.3</v>
      </c>
      <c r="D25" s="14">
        <v>60808.85</v>
      </c>
      <c r="E25" s="12">
        <v>45999</v>
      </c>
      <c r="F25" s="14" t="s">
        <v>35</v>
      </c>
      <c r="G25" s="14"/>
      <c r="H25" s="14"/>
      <c r="I25" s="14"/>
      <c r="J25" s="14"/>
      <c r="K25" s="13"/>
    </row>
    <row r="26" customHeight="1" spans="1:11">
      <c r="A26" s="12">
        <v>45939</v>
      </c>
      <c r="B26" s="13" t="s">
        <v>10</v>
      </c>
      <c r="C26" s="14">
        <v>16442.13</v>
      </c>
      <c r="D26" s="14">
        <v>15000</v>
      </c>
      <c r="E26" s="12">
        <v>46002</v>
      </c>
      <c r="F26" s="14" t="s">
        <v>35</v>
      </c>
      <c r="G26" s="14"/>
      <c r="H26" s="14"/>
      <c r="I26" s="14"/>
      <c r="J26" s="14"/>
      <c r="K26" s="13"/>
    </row>
    <row r="27" customHeight="1" spans="1:11">
      <c r="A27" s="12">
        <v>45948</v>
      </c>
      <c r="B27" s="13" t="s">
        <v>10</v>
      </c>
      <c r="C27" s="14">
        <v>1500</v>
      </c>
      <c r="D27" s="14">
        <v>200000</v>
      </c>
      <c r="E27" s="12">
        <v>46067</v>
      </c>
      <c r="F27" s="14" t="s">
        <v>35</v>
      </c>
      <c r="G27" s="14"/>
      <c r="H27" s="14"/>
      <c r="I27" s="14"/>
      <c r="J27" s="14"/>
      <c r="K27" s="13"/>
    </row>
    <row r="28" customHeight="1" spans="1:11">
      <c r="A28" s="12">
        <v>45929</v>
      </c>
      <c r="B28" s="13" t="s">
        <v>14</v>
      </c>
      <c r="C28" s="14">
        <v>58556.29</v>
      </c>
      <c r="D28" s="14">
        <v>4000</v>
      </c>
      <c r="E28" s="12">
        <v>46004</v>
      </c>
      <c r="F28" s="14" t="s">
        <v>37</v>
      </c>
      <c r="G28" s="14"/>
      <c r="H28" s="14"/>
      <c r="I28" s="14"/>
      <c r="J28" s="14"/>
      <c r="K28" s="13"/>
    </row>
    <row r="29" customHeight="1" spans="1:11">
      <c r="A29" s="12">
        <v>45933</v>
      </c>
      <c r="B29" s="13" t="s">
        <v>14</v>
      </c>
      <c r="C29" s="14">
        <v>69485.2</v>
      </c>
      <c r="D29" s="14">
        <v>280000</v>
      </c>
      <c r="E29" s="12">
        <v>46021</v>
      </c>
      <c r="F29" s="14" t="s">
        <v>38</v>
      </c>
      <c r="G29" s="14"/>
      <c r="H29" s="14"/>
      <c r="I29" s="14"/>
      <c r="J29" s="14"/>
      <c r="K29" s="13"/>
    </row>
    <row r="30" customHeight="1" spans="1:11">
      <c r="A30" s="2">
        <v>45942</v>
      </c>
      <c r="B30" s="13" t="s">
        <v>14</v>
      </c>
      <c r="C30" s="3">
        <v>1269</v>
      </c>
      <c r="D30" s="3">
        <v>-80000</v>
      </c>
      <c r="E30" s="2">
        <v>46021</v>
      </c>
      <c r="F30" s="3" t="s">
        <v>39</v>
      </c>
    </row>
    <row r="31" customHeight="1" spans="1:11">
      <c r="A31" s="2">
        <v>45943</v>
      </c>
      <c r="B31" s="13" t="s">
        <v>14</v>
      </c>
      <c r="C31" s="3">
        <v>1723.51</v>
      </c>
      <c r="D31" s="3">
        <v>281000</v>
      </c>
      <c r="E31" s="2">
        <v>46036</v>
      </c>
      <c r="F31" s="3" t="s">
        <v>40</v>
      </c>
    </row>
    <row r="32" customHeight="1" spans="1:11">
      <c r="A32" s="2">
        <v>45948</v>
      </c>
      <c r="B32" s="13" t="s">
        <v>14</v>
      </c>
      <c r="C32" s="3">
        <v>-1026.7</v>
      </c>
      <c r="D32" s="3">
        <v>-280000</v>
      </c>
      <c r="E32" s="2">
        <v>46068</v>
      </c>
      <c r="F32" s="3" t="s">
        <v>41</v>
      </c>
    </row>
    <row r="33" customHeight="1" spans="1:6">
      <c r="A33" s="2">
        <v>45951</v>
      </c>
      <c r="B33" s="13" t="s">
        <v>14</v>
      </c>
      <c r="C33" s="3">
        <v>16139.75</v>
      </c>
    </row>
    <row r="34" customHeight="1" spans="1:6">
      <c r="A34" s="2">
        <v>45957</v>
      </c>
      <c r="B34" s="13" t="s">
        <v>14</v>
      </c>
      <c r="C34" s="3">
        <v>2085.38</v>
      </c>
    </row>
    <row r="35" customHeight="1" spans="1:6">
      <c r="A35" s="2">
        <v>45959</v>
      </c>
      <c r="B35" s="1" t="s">
        <v>9</v>
      </c>
      <c r="C35" s="3">
        <v>1016</v>
      </c>
    </row>
    <row r="36" customHeight="1" spans="1:6">
      <c r="A36" s="2">
        <v>45959</v>
      </c>
      <c r="B36" s="1" t="s">
        <v>14</v>
      </c>
      <c r="C36" s="3">
        <v>213.99</v>
      </c>
      <c r="D36" s="3">
        <v>-40000</v>
      </c>
      <c r="E36" s="2">
        <v>46068</v>
      </c>
      <c r="F36" s="3" t="s">
        <v>39</v>
      </c>
    </row>
    <row r="37" customHeight="1" spans="1:6">
      <c r="A37" s="2">
        <v>45960</v>
      </c>
      <c r="B37" s="1" t="s">
        <v>9</v>
      </c>
      <c r="C37" s="3">
        <v>588</v>
      </c>
    </row>
    <row r="38" customHeight="1" spans="1:6">
      <c r="A38" s="2">
        <v>45961</v>
      </c>
      <c r="B38" s="1" t="s">
        <v>9</v>
      </c>
      <c r="C38" s="3">
        <v>173.34</v>
      </c>
    </row>
    <row r="39" customHeight="1" spans="1:6">
      <c r="A39" s="2">
        <v>45963</v>
      </c>
      <c r="B39" s="1" t="s">
        <v>14</v>
      </c>
      <c r="C39" s="3">
        <v>10590.35</v>
      </c>
    </row>
    <row r="40" customHeight="1" spans="1:6">
      <c r="A40" s="2">
        <v>45965</v>
      </c>
      <c r="B40" s="1" t="s">
        <v>9</v>
      </c>
      <c r="C40" s="3">
        <v>1621.68</v>
      </c>
    </row>
    <row r="41" customHeight="1" spans="1:6">
      <c r="A41" s="2">
        <v>45964</v>
      </c>
      <c r="B41" s="1" t="s">
        <v>9</v>
      </c>
      <c r="C41" s="3">
        <v>96985.41</v>
      </c>
    </row>
    <row r="42" customHeight="1" spans="1:6">
      <c r="A42" s="2">
        <v>45968</v>
      </c>
      <c r="B42" s="1" t="s">
        <v>14</v>
      </c>
      <c r="C42" s="3">
        <v>457.27</v>
      </c>
    </row>
    <row r="43" customHeight="1" spans="1:6">
      <c r="A43" s="2">
        <v>45968</v>
      </c>
      <c r="B43" s="1" t="s">
        <v>9</v>
      </c>
      <c r="C43" s="3">
        <v>11881.47</v>
      </c>
    </row>
    <row r="44" customHeight="1" spans="1:6">
      <c r="A44" s="2">
        <v>45970</v>
      </c>
      <c r="B44" s="1" t="s">
        <v>9</v>
      </c>
      <c r="C44" s="3">
        <v>630</v>
      </c>
    </row>
    <row r="45" customHeight="1" spans="1:6">
      <c r="A45" s="2">
        <v>45969</v>
      </c>
      <c r="B45" s="1" t="s">
        <v>9</v>
      </c>
      <c r="C45" s="3">
        <v>2310.4</v>
      </c>
      <c r="D45" s="3">
        <v>200</v>
      </c>
      <c r="F45" s="3" t="s">
        <v>42</v>
      </c>
    </row>
    <row r="46" customHeight="1" spans="1:6">
      <c r="A46" s="2">
        <v>45970</v>
      </c>
      <c r="B46" s="1" t="s">
        <v>9</v>
      </c>
      <c r="C46" s="3">
        <v>7919.11</v>
      </c>
    </row>
    <row r="47" customHeight="1" spans="1:6">
      <c r="A47" s="2">
        <v>45971</v>
      </c>
      <c r="B47" s="1" t="s">
        <v>9</v>
      </c>
      <c r="C47" s="3">
        <v>18680.45</v>
      </c>
    </row>
    <row r="48" customHeight="1" spans="1:6">
      <c r="A48" s="2">
        <v>45973</v>
      </c>
      <c r="B48" s="1" t="s">
        <v>14</v>
      </c>
      <c r="C48" s="3">
        <v>194.84</v>
      </c>
    </row>
    <row r="49" customHeight="1" spans="1:6">
      <c r="A49" s="2">
        <v>45973</v>
      </c>
      <c r="B49" s="1" t="s">
        <v>9</v>
      </c>
      <c r="C49" s="3">
        <v>202.4</v>
      </c>
      <c r="D49" s="3">
        <v>200000</v>
      </c>
      <c r="E49" s="2">
        <v>46067</v>
      </c>
      <c r="F49" s="3" t="s">
        <v>43</v>
      </c>
    </row>
    <row r="50" customHeight="1" spans="1:6">
      <c r="A50" s="2">
        <v>45974</v>
      </c>
      <c r="B50" s="1" t="s">
        <v>9</v>
      </c>
      <c r="C50" s="3">
        <v>2061.8</v>
      </c>
      <c r="D50" s="3">
        <v>100000</v>
      </c>
      <c r="E50" s="2">
        <v>46067</v>
      </c>
      <c r="F50" s="3" t="s">
        <v>43</v>
      </c>
    </row>
    <row r="51" customHeight="1" spans="1:6">
      <c r="A51" s="2">
        <v>45971</v>
      </c>
      <c r="B51" s="1" t="s">
        <v>9</v>
      </c>
      <c r="C51" s="3">
        <v>723.8</v>
      </c>
      <c r="D51" s="3">
        <v>120000</v>
      </c>
      <c r="E51" s="2">
        <v>46067</v>
      </c>
      <c r="F51" s="3" t="s">
        <v>43</v>
      </c>
    </row>
    <row r="52" customHeight="1" spans="1:6">
      <c r="A52" s="2">
        <v>45974</v>
      </c>
      <c r="B52" s="1" t="s">
        <v>9</v>
      </c>
      <c r="C52" s="3">
        <v>6009.9</v>
      </c>
    </row>
    <row r="53" customHeight="1" spans="1:6">
      <c r="A53" s="2">
        <v>45973</v>
      </c>
      <c r="B53" s="1" t="s">
        <v>10</v>
      </c>
      <c r="C53" s="3">
        <v>36862.56</v>
      </c>
    </row>
    <row r="54" customHeight="1" spans="1:6">
      <c r="A54" s="2">
        <v>45973</v>
      </c>
      <c r="B54" s="1" t="s">
        <v>10</v>
      </c>
      <c r="C54" s="3">
        <v>172.55</v>
      </c>
    </row>
    <row r="55" customHeight="1" spans="1:6">
      <c r="A55" s="2">
        <v>45976</v>
      </c>
      <c r="B55" s="1" t="s">
        <v>9</v>
      </c>
      <c r="C55" s="3">
        <v>413.62</v>
      </c>
    </row>
    <row r="56" customHeight="1" spans="1:6">
      <c r="A56" s="2">
        <v>45973</v>
      </c>
      <c r="B56" s="1" t="s">
        <v>10</v>
      </c>
      <c r="C56" s="3">
        <v>133471.67</v>
      </c>
    </row>
    <row r="57" customHeight="1" spans="1:6">
      <c r="A57" s="2">
        <v>45981</v>
      </c>
      <c r="B57" s="1" t="s">
        <v>9</v>
      </c>
      <c r="C57" s="3">
        <v>200</v>
      </c>
    </row>
    <row r="58" customHeight="1" spans="1:6">
      <c r="A58" s="2">
        <v>45981</v>
      </c>
      <c r="B58" s="1" t="s">
        <v>10</v>
      </c>
      <c r="C58" s="3">
        <v>69648.6</v>
      </c>
    </row>
    <row r="59" customHeight="1" spans="1:6">
      <c r="A59" s="2">
        <v>45983</v>
      </c>
      <c r="B59" s="1" t="s">
        <v>14</v>
      </c>
      <c r="C59" s="3">
        <v>303.95</v>
      </c>
    </row>
    <row r="60" customHeight="1" spans="1:6">
      <c r="A60" s="2">
        <v>45983</v>
      </c>
      <c r="B60" s="1" t="s">
        <v>10</v>
      </c>
      <c r="C60" s="3">
        <v>4130.61</v>
      </c>
    </row>
    <row r="61" customHeight="1" spans="1:6">
      <c r="A61" s="2">
        <v>45983</v>
      </c>
      <c r="B61" s="1" t="s">
        <v>9</v>
      </c>
      <c r="C61" s="3">
        <v>36991.4</v>
      </c>
    </row>
    <row r="62" customHeight="1" spans="1:6">
      <c r="A62" s="2">
        <v>45986</v>
      </c>
      <c r="B62" s="1" t="s">
        <v>9</v>
      </c>
      <c r="C62" s="3">
        <v>1042.59</v>
      </c>
    </row>
    <row r="63" customHeight="1" spans="1:6">
      <c r="A63" s="2">
        <v>45987</v>
      </c>
      <c r="B63" s="1" t="s">
        <v>9</v>
      </c>
      <c r="C63" s="3">
        <v>5519.5</v>
      </c>
    </row>
    <row r="64" customHeight="1" spans="1:6">
      <c r="A64" s="2">
        <v>45988</v>
      </c>
      <c r="B64" s="1" t="s">
        <v>9</v>
      </c>
      <c r="C64" s="3">
        <v>464.46</v>
      </c>
    </row>
    <row r="65" customHeight="1" spans="1:3">
      <c r="A65" s="2">
        <v>45987</v>
      </c>
      <c r="B65" s="1" t="s">
        <v>10</v>
      </c>
      <c r="C65" s="3">
        <v>63553.66</v>
      </c>
    </row>
    <row r="66" customHeight="1" spans="1:3">
      <c r="A66" s="2">
        <v>45990</v>
      </c>
      <c r="B66" s="1" t="s">
        <v>14</v>
      </c>
      <c r="C66" s="3">
        <v>6221.32</v>
      </c>
    </row>
    <row r="67" customHeight="1" spans="1:3">
      <c r="A67" s="2">
        <v>45991</v>
      </c>
      <c r="B67" s="1" t="s">
        <v>10</v>
      </c>
      <c r="C67" s="3">
        <v>2140.88</v>
      </c>
    </row>
    <row r="68" customHeight="1" spans="1:3">
      <c r="A68" s="2">
        <v>45991</v>
      </c>
      <c r="B68" s="1" t="s">
        <v>9</v>
      </c>
      <c r="C68" s="3">
        <v>2222.43</v>
      </c>
    </row>
    <row r="69" customHeight="1" spans="1:3">
      <c r="A69" s="2">
        <v>45991</v>
      </c>
      <c r="B69" s="1" t="s">
        <v>10</v>
      </c>
      <c r="C69" s="3">
        <v>465.4</v>
      </c>
    </row>
    <row r="70" customHeight="1" spans="1:3">
      <c r="A70" s="2">
        <v>45991</v>
      </c>
      <c r="B70" s="1" t="s">
        <v>10</v>
      </c>
      <c r="C70" s="3">
        <v>5289.29</v>
      </c>
    </row>
    <row r="71" customHeight="1" spans="1:3">
      <c r="A71" s="2">
        <v>45992</v>
      </c>
      <c r="B71" s="1" t="s">
        <v>9</v>
      </c>
      <c r="C71" s="3">
        <v>95.92</v>
      </c>
    </row>
    <row r="72" customHeight="1" spans="1:3">
      <c r="A72" s="2">
        <v>45992</v>
      </c>
      <c r="B72" s="1" t="s">
        <v>10</v>
      </c>
      <c r="C72" s="3">
        <v>2048</v>
      </c>
    </row>
    <row r="73" customHeight="1" spans="1:3">
      <c r="A73" s="2">
        <v>45994</v>
      </c>
      <c r="B73" s="1" t="s">
        <v>10</v>
      </c>
      <c r="C73" s="3">
        <v>211.81</v>
      </c>
    </row>
    <row r="74" customHeight="1" spans="1:3">
      <c r="A74" s="2">
        <v>45994</v>
      </c>
      <c r="B74" s="1" t="s">
        <v>14</v>
      </c>
      <c r="C74" s="3">
        <v>1432.25</v>
      </c>
    </row>
    <row r="75" customHeight="1" spans="1:3">
      <c r="A75" s="2">
        <v>45994</v>
      </c>
      <c r="B75" s="1" t="s">
        <v>9</v>
      </c>
      <c r="C75" s="3">
        <v>7041.41</v>
      </c>
    </row>
    <row r="76" customHeight="1" spans="1:3">
      <c r="A76" s="2">
        <v>45993</v>
      </c>
      <c r="B76" s="1" t="s">
        <v>10</v>
      </c>
      <c r="C76" s="3">
        <v>-1352</v>
      </c>
    </row>
    <row r="77" customHeight="1" spans="1:3">
      <c r="A77" s="2">
        <v>45993</v>
      </c>
      <c r="B77" s="1" t="s">
        <v>9</v>
      </c>
      <c r="C77" s="3">
        <v>-252</v>
      </c>
    </row>
    <row r="78" customHeight="1" spans="1:3">
      <c r="A78" s="2">
        <v>45993</v>
      </c>
      <c r="B78" s="1" t="s">
        <v>10</v>
      </c>
      <c r="C78" s="3">
        <v>-137.37</v>
      </c>
    </row>
    <row r="79" customHeight="1" spans="1:3">
      <c r="A79" s="2">
        <v>45996</v>
      </c>
      <c r="B79" s="1" t="s">
        <v>10</v>
      </c>
      <c r="C79" s="3">
        <v>73.47</v>
      </c>
    </row>
    <row r="80" customHeight="1" spans="1:3">
      <c r="A80" s="2">
        <v>45996</v>
      </c>
      <c r="B80" s="1" t="s">
        <v>10</v>
      </c>
      <c r="C80" s="3">
        <v>1088.1</v>
      </c>
    </row>
    <row r="81" customHeight="1" spans="1:3">
      <c r="A81" s="2">
        <v>45999</v>
      </c>
      <c r="B81" s="1" t="s">
        <v>10</v>
      </c>
      <c r="C81" s="3">
        <v>60808.85</v>
      </c>
    </row>
    <row r="82" customHeight="1" spans="1:3">
      <c r="A82" s="2">
        <v>46001</v>
      </c>
      <c r="B82" s="1" t="s">
        <v>9</v>
      </c>
      <c r="C82" s="3">
        <v>1763.52</v>
      </c>
    </row>
    <row r="83" customHeight="1" spans="1:3">
      <c r="A83" s="2">
        <v>46001</v>
      </c>
      <c r="B83" s="1" t="s">
        <v>10</v>
      </c>
      <c r="C83" s="3">
        <v>1361.31</v>
      </c>
    </row>
    <row r="84" customHeight="1" spans="1:3">
      <c r="A84" s="2">
        <v>46002</v>
      </c>
      <c r="B84" s="1" t="s">
        <v>14</v>
      </c>
      <c r="C84" s="3">
        <v>6522.46</v>
      </c>
    </row>
    <row r="85" customHeight="1" spans="1:3">
      <c r="A85" s="2">
        <v>46002</v>
      </c>
      <c r="B85" s="1" t="s">
        <v>9</v>
      </c>
      <c r="C85" s="3">
        <v>16420.35</v>
      </c>
    </row>
    <row r="86" customHeight="1" spans="1:3">
      <c r="A86" s="2">
        <v>46006</v>
      </c>
      <c r="B86" s="1" t="s">
        <v>12</v>
      </c>
      <c r="C86" s="3">
        <v>132.5</v>
      </c>
    </row>
    <row r="87" customHeight="1" spans="1:3">
      <c r="A87" s="2">
        <v>46005</v>
      </c>
      <c r="B87" s="1" t="s">
        <v>12</v>
      </c>
      <c r="C87" s="3">
        <v>14211.07</v>
      </c>
    </row>
    <row r="88" customHeight="1" spans="1:3">
      <c r="A88" s="2">
        <v>46002</v>
      </c>
      <c r="B88" s="1" t="s">
        <v>12</v>
      </c>
      <c r="C88" s="3">
        <v>2979.69</v>
      </c>
    </row>
    <row r="89" customHeight="1" spans="1:3">
      <c r="A89" s="2">
        <v>46003</v>
      </c>
      <c r="B89" s="1" t="s">
        <v>14</v>
      </c>
      <c r="C89" s="3">
        <v>1515.11</v>
      </c>
    </row>
    <row r="90" customHeight="1" spans="1:3">
      <c r="A90" s="2">
        <v>46006</v>
      </c>
      <c r="B90" s="1" t="s">
        <v>10</v>
      </c>
      <c r="C90" s="3">
        <v>4</v>
      </c>
    </row>
    <row r="91" customHeight="1" spans="1:3">
      <c r="A91" s="2">
        <v>46002</v>
      </c>
      <c r="B91" s="1" t="s">
        <v>10</v>
      </c>
      <c r="C91" s="3">
        <v>7010.73</v>
      </c>
    </row>
    <row r="92" customHeight="1" spans="1:3">
      <c r="A92" s="2">
        <v>46006</v>
      </c>
      <c r="B92" s="1" t="s">
        <v>9</v>
      </c>
      <c r="C92" s="3">
        <v>588.17</v>
      </c>
    </row>
    <row r="93" customHeight="1" spans="1:3">
      <c r="A93" s="2">
        <v>46005</v>
      </c>
      <c r="B93" s="1" t="s">
        <v>9</v>
      </c>
      <c r="C93" s="3">
        <v>120.96</v>
      </c>
    </row>
    <row r="94" customHeight="1" spans="1:3">
      <c r="A94" s="2">
        <v>46007</v>
      </c>
      <c r="B94" s="1" t="s">
        <v>9</v>
      </c>
      <c r="C94" s="3">
        <v>2900.86</v>
      </c>
    </row>
    <row r="95" customHeight="1" spans="1:3">
      <c r="A95" s="2">
        <v>46004</v>
      </c>
      <c r="B95" s="1" t="s">
        <v>9</v>
      </c>
      <c r="C95" s="3">
        <v>571.07</v>
      </c>
    </row>
    <row r="96" customHeight="1" spans="1:3">
      <c r="A96" s="2">
        <v>46004</v>
      </c>
      <c r="B96" s="1" t="s">
        <v>9</v>
      </c>
      <c r="C96" s="3">
        <v>4000</v>
      </c>
    </row>
    <row r="97" customHeight="1" spans="1:3">
      <c r="A97" s="2">
        <v>46000</v>
      </c>
      <c r="B97" s="1" t="s">
        <v>9</v>
      </c>
      <c r="C97" s="3">
        <v>55087.75</v>
      </c>
    </row>
    <row r="98" customHeight="1" spans="1:3">
      <c r="A98" s="2">
        <v>46007</v>
      </c>
      <c r="B98" s="1" t="s">
        <v>12</v>
      </c>
      <c r="C98" s="3">
        <v>2116.34</v>
      </c>
    </row>
    <row r="99" customHeight="1" spans="1:3">
      <c r="A99" s="2">
        <v>46008</v>
      </c>
      <c r="B99" s="1" t="s">
        <v>9</v>
      </c>
      <c r="C99" s="3">
        <v>1859.78</v>
      </c>
    </row>
    <row r="100" customHeight="1" spans="1:3">
      <c r="A100" s="2">
        <v>46009</v>
      </c>
      <c r="B100" s="1" t="s">
        <v>12</v>
      </c>
      <c r="C100" s="3">
        <v>1123.58</v>
      </c>
    </row>
    <row r="101" customHeight="1" spans="1:3">
      <c r="A101" s="2">
        <v>46009</v>
      </c>
      <c r="B101" s="1" t="s">
        <v>9</v>
      </c>
      <c r="C101" s="3">
        <v>1789.65</v>
      </c>
    </row>
    <row r="102" customHeight="1" spans="1:3">
      <c r="A102" s="2">
        <v>46009</v>
      </c>
      <c r="B102" s="1" t="s">
        <v>14</v>
      </c>
      <c r="C102" s="3">
        <v>36.85</v>
      </c>
    </row>
    <row r="103" customHeight="1" spans="1:3">
      <c r="A103" s="2">
        <v>46010</v>
      </c>
      <c r="B103" s="1" t="s">
        <v>9</v>
      </c>
      <c r="C103" s="3">
        <v>-7353.45</v>
      </c>
    </row>
    <row r="104" customHeight="1" spans="1:3">
      <c r="A104" s="2">
        <v>46011</v>
      </c>
      <c r="B104" s="1" t="s">
        <v>9</v>
      </c>
      <c r="C104" s="3">
        <v>3700.51</v>
      </c>
    </row>
    <row r="105" customHeight="1" spans="1:3">
      <c r="A105" s="2">
        <v>46014</v>
      </c>
      <c r="B105" s="1" t="s">
        <v>9</v>
      </c>
      <c r="C105" s="3">
        <v>9710.89</v>
      </c>
    </row>
    <row r="106" customHeight="1" spans="1:3">
      <c r="A106" s="2">
        <v>46013</v>
      </c>
      <c r="B106" s="1" t="s">
        <v>12</v>
      </c>
      <c r="C106" s="3">
        <v>703.51</v>
      </c>
    </row>
    <row r="107" customHeight="1" spans="1:3">
      <c r="A107" s="2">
        <v>46014</v>
      </c>
      <c r="B107" s="1" t="s">
        <v>9</v>
      </c>
      <c r="C107" s="3">
        <v>-1544.26</v>
      </c>
    </row>
    <row r="108" customHeight="1" spans="1:3">
      <c r="A108" s="2">
        <v>46016</v>
      </c>
      <c r="B108" s="1" t="s">
        <v>9</v>
      </c>
      <c r="C108" s="3">
        <v>1443.64</v>
      </c>
    </row>
    <row r="109" customHeight="1" spans="1:3">
      <c r="A109" s="2">
        <v>46018</v>
      </c>
      <c r="B109" s="1" t="s">
        <v>9</v>
      </c>
      <c r="C109" s="3">
        <v>1534.99</v>
      </c>
    </row>
    <row r="110" customHeight="1" spans="1:3">
      <c r="A110" s="2">
        <v>46018</v>
      </c>
      <c r="B110" s="1" t="s">
        <v>12</v>
      </c>
      <c r="C110" s="3">
        <v>8393.53</v>
      </c>
    </row>
    <row r="111" customHeight="1" spans="1:3">
      <c r="A111" s="2">
        <v>46020</v>
      </c>
      <c r="B111" s="1" t="s">
        <v>14</v>
      </c>
      <c r="C111" s="3">
        <v>274.94</v>
      </c>
    </row>
    <row r="112" customHeight="1" spans="1:3">
      <c r="A112" s="2">
        <v>46020</v>
      </c>
      <c r="B112" s="1" t="s">
        <v>9</v>
      </c>
      <c r="C112" s="3">
        <v>571.64</v>
      </c>
    </row>
    <row r="113" customHeight="1" spans="1:3">
      <c r="A113" s="2">
        <v>46021</v>
      </c>
      <c r="B113" s="1" t="s">
        <v>10</v>
      </c>
      <c r="C113" s="3">
        <v>3247</v>
      </c>
    </row>
    <row r="114" customHeight="1" spans="1:3">
      <c r="A114" s="2">
        <v>46387</v>
      </c>
      <c r="B114" s="1" t="s">
        <v>9</v>
      </c>
      <c r="C114" s="3">
        <v>2568.64</v>
      </c>
    </row>
    <row r="115" customHeight="1" spans="1:3">
      <c r="A115" s="2">
        <v>46024</v>
      </c>
      <c r="B115" s="1" t="s">
        <v>9</v>
      </c>
      <c r="C115" s="3">
        <v>544.87</v>
      </c>
    </row>
    <row r="116" customHeight="1" spans="1:3">
      <c r="A116" s="2">
        <v>46026</v>
      </c>
      <c r="B116" s="1" t="s">
        <v>12</v>
      </c>
      <c r="C116" s="3">
        <v>4236.79</v>
      </c>
    </row>
    <row r="117" customHeight="1" spans="1:3">
      <c r="A117" s="2">
        <v>46026</v>
      </c>
      <c r="B117" s="1" t="s">
        <v>9</v>
      </c>
      <c r="C117" s="3">
        <v>23602.44</v>
      </c>
    </row>
    <row r="118" customHeight="1" spans="1:3">
      <c r="A118" s="2">
        <v>46027</v>
      </c>
      <c r="B118" s="1" t="s">
        <v>14</v>
      </c>
      <c r="C118" s="3">
        <v>5037.75</v>
      </c>
    </row>
    <row r="119" customHeight="1" spans="1:3">
      <c r="A119" s="2">
        <v>46028</v>
      </c>
      <c r="B119" s="1" t="s">
        <v>10</v>
      </c>
      <c r="C119" s="3">
        <v>463.21</v>
      </c>
    </row>
    <row r="120" customHeight="1" spans="1:3">
      <c r="A120" s="2">
        <v>46028</v>
      </c>
      <c r="B120" s="1" t="s">
        <v>9</v>
      </c>
      <c r="C120" s="3">
        <v>704.86</v>
      </c>
    </row>
    <row r="121" customHeight="1" spans="1:3">
      <c r="A121" s="2">
        <v>46029</v>
      </c>
      <c r="B121" s="1" t="s">
        <v>9</v>
      </c>
      <c r="C121" s="3">
        <v>11332.96</v>
      </c>
    </row>
    <row r="122" customHeight="1" spans="1:3">
      <c r="A122" s="2">
        <v>46031</v>
      </c>
      <c r="B122" s="1" t="s">
        <v>9</v>
      </c>
      <c r="C122" s="3">
        <v>-526.56</v>
      </c>
    </row>
    <row r="123" customHeight="1" spans="1:3">
      <c r="A123" s="2">
        <v>46031</v>
      </c>
      <c r="B123" s="1" t="s">
        <v>15</v>
      </c>
      <c r="C123" s="3">
        <v>106746.71</v>
      </c>
    </row>
    <row r="124" customHeight="1" spans="1:3">
      <c r="A124" s="2">
        <v>46030</v>
      </c>
      <c r="B124" s="1" t="s">
        <v>9</v>
      </c>
      <c r="C124" s="3">
        <v>49718.62</v>
      </c>
    </row>
    <row r="125" customHeight="1" spans="1:3">
      <c r="A125" s="2">
        <v>46032</v>
      </c>
      <c r="B125" s="1" t="s">
        <v>9</v>
      </c>
      <c r="C125" s="3">
        <v>3473.45</v>
      </c>
    </row>
    <row r="126" customHeight="1" spans="1:3">
      <c r="A126" s="2">
        <v>46034</v>
      </c>
      <c r="B126" s="1" t="s">
        <v>9</v>
      </c>
      <c r="C126" s="3">
        <v>290.29</v>
      </c>
    </row>
    <row r="127" customHeight="1" spans="1:3">
      <c r="A127" s="2">
        <v>46035</v>
      </c>
      <c r="B127" s="1" t="s">
        <v>15</v>
      </c>
      <c r="C127" s="3">
        <v>-1410</v>
      </c>
    </row>
    <row r="128" customHeight="1" spans="1:3">
      <c r="A128" s="2">
        <v>46036</v>
      </c>
      <c r="B128" s="1" t="s">
        <v>9</v>
      </c>
      <c r="C128" s="3">
        <v>3467.64</v>
      </c>
    </row>
    <row r="129" customHeight="1" spans="1:3">
      <c r="A129" s="2">
        <v>46037</v>
      </c>
      <c r="B129" s="1" t="s">
        <v>9</v>
      </c>
      <c r="C129" s="3">
        <v>34.38</v>
      </c>
    </row>
    <row r="130" customHeight="1" spans="1:3">
      <c r="A130" s="2">
        <v>46038</v>
      </c>
      <c r="B130" s="1" t="s">
        <v>9</v>
      </c>
      <c r="C130" s="3">
        <v>30.27</v>
      </c>
    </row>
    <row r="131" customHeight="1" spans="1:3">
      <c r="A131" s="2">
        <v>46039</v>
      </c>
      <c r="B131" s="1" t="s">
        <v>15</v>
      </c>
      <c r="C131" s="3">
        <v>2343.9</v>
      </c>
    </row>
    <row r="132" customHeight="1" spans="1:3">
      <c r="A132" s="2">
        <v>46038</v>
      </c>
      <c r="B132" s="1" t="s">
        <v>10</v>
      </c>
      <c r="C132" s="3">
        <v>14544.7</v>
      </c>
    </row>
    <row r="133" customHeight="1" spans="1:3">
      <c r="A133" s="2">
        <v>46042</v>
      </c>
      <c r="B133" s="1" t="s">
        <v>15</v>
      </c>
      <c r="C133" s="3">
        <v>1462.7</v>
      </c>
    </row>
    <row r="134" customHeight="1" spans="1:3">
      <c r="A134" s="2">
        <v>46044</v>
      </c>
      <c r="B134" s="1" t="s">
        <v>10</v>
      </c>
      <c r="C134" s="3">
        <v>926.74</v>
      </c>
    </row>
    <row r="135" customHeight="1" spans="1:3">
      <c r="A135" s="2">
        <v>46043</v>
      </c>
      <c r="B135" s="1" t="s">
        <v>10</v>
      </c>
      <c r="C135" s="3">
        <v>15213.84</v>
      </c>
    </row>
    <row r="136" customHeight="1" spans="1:3">
      <c r="A136" s="2">
        <v>46047</v>
      </c>
      <c r="B136" s="1" t="s">
        <v>10</v>
      </c>
      <c r="C136" s="3">
        <v>608.81</v>
      </c>
    </row>
    <row r="137" customHeight="1" spans="1:3">
      <c r="A137" s="2">
        <v>46047</v>
      </c>
      <c r="B137" s="1" t="s">
        <v>18</v>
      </c>
      <c r="C137" s="3">
        <v>2845.15</v>
      </c>
    </row>
    <row r="138" customHeight="1" spans="1:3">
      <c r="A138" s="2">
        <v>46048</v>
      </c>
      <c r="B138" s="1" t="s">
        <v>10</v>
      </c>
      <c r="C138" s="3">
        <v>1489.03</v>
      </c>
    </row>
    <row r="139" customHeight="1" spans="1:3">
      <c r="A139" s="2">
        <v>46049</v>
      </c>
      <c r="B139" s="1" t="s">
        <v>15</v>
      </c>
      <c r="C139" s="3">
        <v>16879.81</v>
      </c>
    </row>
    <row r="140" customHeight="1" spans="1:3">
      <c r="A140" s="2">
        <v>46050</v>
      </c>
      <c r="B140" s="1" t="s">
        <v>10</v>
      </c>
      <c r="C140" s="3">
        <v>3606.55</v>
      </c>
    </row>
    <row r="141" customHeight="1" spans="1:3">
      <c r="A141" s="2">
        <v>46053</v>
      </c>
      <c r="B141" s="1" t="s">
        <v>15</v>
      </c>
      <c r="C141" s="3">
        <v>802.85</v>
      </c>
    </row>
    <row r="142" customHeight="1" spans="1:3">
      <c r="A142" s="2">
        <v>46055</v>
      </c>
      <c r="B142" s="1" t="s">
        <v>15</v>
      </c>
      <c r="C142" s="3">
        <v>211.83</v>
      </c>
    </row>
    <row r="143" customHeight="1" spans="1:3">
      <c r="A143" s="2">
        <v>46058</v>
      </c>
      <c r="B143" s="1" t="s">
        <v>10</v>
      </c>
      <c r="C143" s="3">
        <v>491.75</v>
      </c>
    </row>
    <row r="144" customHeight="1" spans="1:3">
      <c r="A144" s="2">
        <v>46059</v>
      </c>
      <c r="B144" s="1" t="s">
        <v>10</v>
      </c>
      <c r="C144" s="3">
        <v>330</v>
      </c>
    </row>
    <row r="145" customHeight="1" spans="1:3">
      <c r="A145" s="2">
        <v>46059</v>
      </c>
      <c r="B145" s="1" t="s">
        <v>15</v>
      </c>
      <c r="C145" s="3">
        <v>140.85</v>
      </c>
    </row>
    <row r="146" customHeight="1" spans="1:3">
      <c r="A146" s="2">
        <v>46060</v>
      </c>
      <c r="B146" s="1" t="s">
        <v>10</v>
      </c>
      <c r="C146" s="3">
        <v>224</v>
      </c>
    </row>
    <row r="147" customHeight="1" spans="1:3">
      <c r="A147" s="2">
        <v>46077</v>
      </c>
      <c r="B147" s="1" t="s">
        <v>9</v>
      </c>
      <c r="C147" s="3">
        <v>7580.2</v>
      </c>
    </row>
    <row r="148" customHeight="1" spans="1:3">
      <c r="A148" s="2">
        <v>46081</v>
      </c>
      <c r="B148" s="1" t="s">
        <v>9</v>
      </c>
      <c r="C148" s="3">
        <v>684.66</v>
      </c>
    </row>
    <row r="149" customHeight="1" spans="1:3">
      <c r="A149" s="2">
        <v>46083</v>
      </c>
      <c r="B149" s="1" t="s">
        <v>9</v>
      </c>
      <c r="C149" s="3">
        <v>350.12</v>
      </c>
    </row>
    <row r="150" customHeight="1" spans="1:3">
      <c r="A150" s="2">
        <v>46087</v>
      </c>
      <c r="B150" s="1" t="s">
        <v>9</v>
      </c>
      <c r="C150" s="3">
        <v>17.29</v>
      </c>
    </row>
    <row r="151" customHeight="1" spans="1:3">
      <c r="A151" s="2">
        <v>46087</v>
      </c>
      <c r="B151" s="1" t="s">
        <v>15</v>
      </c>
      <c r="C151" s="3">
        <v>210</v>
      </c>
    </row>
    <row r="152" customHeight="1" spans="1:3">
      <c r="A152" s="2">
        <v>46088</v>
      </c>
      <c r="B152" s="1" t="s">
        <v>17</v>
      </c>
      <c r="C152" s="3">
        <v>11471.35</v>
      </c>
    </row>
    <row r="153" customHeight="1" spans="1:3">
      <c r="A153" s="2">
        <v>46086</v>
      </c>
      <c r="B153" s="1" t="s">
        <v>9</v>
      </c>
      <c r="C153" s="3">
        <v>167</v>
      </c>
    </row>
    <row r="154" customHeight="1" spans="1:3">
      <c r="A154" s="2">
        <v>46086</v>
      </c>
      <c r="B154" s="1" t="s">
        <v>15</v>
      </c>
      <c r="C154" s="3">
        <v>19726.71</v>
      </c>
    </row>
    <row r="155" customHeight="1" spans="1:3">
      <c r="A155" s="2">
        <v>46090</v>
      </c>
      <c r="B155" s="1" t="s">
        <v>9</v>
      </c>
      <c r="C155" s="3">
        <v>1519.45</v>
      </c>
    </row>
    <row r="156" customHeight="1" spans="1:3">
      <c r="A156" s="2">
        <v>46091</v>
      </c>
      <c r="B156" s="1" t="s">
        <v>15</v>
      </c>
      <c r="C156" s="3">
        <v>-800</v>
      </c>
    </row>
    <row r="157" customHeight="1" spans="1:3">
      <c r="A157" s="2">
        <v>46090</v>
      </c>
      <c r="B157" s="1" t="s">
        <v>15</v>
      </c>
      <c r="C157" s="3">
        <v>2697.08</v>
      </c>
    </row>
    <row r="158" customHeight="1" spans="1:3">
      <c r="A158" s="2">
        <v>46091</v>
      </c>
      <c r="B158" s="1" t="s">
        <v>10</v>
      </c>
      <c r="C158" s="3">
        <v>480</v>
      </c>
    </row>
    <row r="159" customHeight="1" spans="1:3">
      <c r="A159" s="2">
        <v>46092</v>
      </c>
      <c r="B159" s="1" t="s">
        <v>9</v>
      </c>
      <c r="C159" s="3">
        <v>214.45</v>
      </c>
    </row>
    <row r="160" customHeight="1" spans="1:3">
      <c r="A160" s="2">
        <v>46092</v>
      </c>
      <c r="B160" s="1" t="s">
        <v>17</v>
      </c>
      <c r="C160" s="3">
        <v>486.11</v>
      </c>
    </row>
    <row r="161" customHeight="1" spans="1:3">
      <c r="A161" s="2">
        <v>46094</v>
      </c>
      <c r="B161" s="1" t="s">
        <v>15</v>
      </c>
      <c r="C161" s="3">
        <v>14.77</v>
      </c>
    </row>
    <row r="162" customHeight="1" spans="1:3">
      <c r="A162" s="2">
        <v>46094</v>
      </c>
      <c r="B162" s="1" t="s">
        <v>9</v>
      </c>
      <c r="C162" s="3">
        <v>3360.51</v>
      </c>
    </row>
    <row r="163" customHeight="1" spans="1:3">
      <c r="A163" s="2">
        <v>46093</v>
      </c>
      <c r="B163" s="1" t="s">
        <v>9</v>
      </c>
      <c r="C163" s="3">
        <v>6581.69</v>
      </c>
    </row>
    <row r="164" customHeight="1" spans="1:3">
      <c r="A164" s="2">
        <v>46098</v>
      </c>
      <c r="B164" s="1" t="s">
        <v>9</v>
      </c>
      <c r="C164" s="3">
        <v>150.75</v>
      </c>
    </row>
    <row r="165" customHeight="1" spans="1:3">
      <c r="A165" s="2">
        <v>46098</v>
      </c>
      <c r="B165" s="1" t="s">
        <v>15</v>
      </c>
      <c r="C165" s="3">
        <v>1974.78</v>
      </c>
    </row>
    <row r="166" customHeight="1" spans="1:3">
      <c r="A166" s="2">
        <v>46100</v>
      </c>
      <c r="B166" s="1" t="s">
        <v>9</v>
      </c>
      <c r="C166" s="3">
        <v>484.12</v>
      </c>
    </row>
    <row r="167" customHeight="1" spans="1:3">
      <c r="A167" s="2">
        <v>46101</v>
      </c>
      <c r="B167" s="1" t="s">
        <v>9</v>
      </c>
      <c r="C167" s="3">
        <v>6783.02</v>
      </c>
    </row>
    <row r="168" customHeight="1" spans="1:3">
      <c r="A168" s="2">
        <v>46102</v>
      </c>
      <c r="B168" s="1" t="s">
        <v>9</v>
      </c>
      <c r="C168" s="3">
        <v>1977.08</v>
      </c>
    </row>
    <row r="169" customHeight="1" spans="1:3">
      <c r="A169" s="2">
        <v>46107</v>
      </c>
      <c r="B169" s="1" t="s">
        <v>9</v>
      </c>
      <c r="C169" s="3">
        <v>12152.78</v>
      </c>
    </row>
    <row r="170" customHeight="1" spans="1:3">
      <c r="A170" s="2">
        <v>46109</v>
      </c>
      <c r="B170" s="1" t="s">
        <v>15</v>
      </c>
      <c r="C170" s="3">
        <v>541.5</v>
      </c>
    </row>
    <row r="171" customHeight="1" spans="1:3">
      <c r="A171" s="2">
        <v>46109</v>
      </c>
      <c r="B171" s="1" t="s">
        <v>17</v>
      </c>
      <c r="C171" s="3">
        <v>5980.8</v>
      </c>
    </row>
    <row r="172" customHeight="1" spans="1:3">
      <c r="A172" s="2">
        <v>46109</v>
      </c>
      <c r="B172" s="1" t="s">
        <v>9</v>
      </c>
      <c r="C172" s="3">
        <v>1454.21</v>
      </c>
    </row>
    <row r="173" customHeight="1" spans="1:3">
      <c r="A173" s="2">
        <v>46112</v>
      </c>
      <c r="B173" s="1" t="s">
        <v>9</v>
      </c>
      <c r="C173" s="3">
        <v>5577.86</v>
      </c>
    </row>
    <row r="174" customHeight="1" spans="1:3">
      <c r="A174" s="2">
        <v>46116</v>
      </c>
      <c r="B174" s="1" t="s">
        <v>9</v>
      </c>
      <c r="C174" s="3">
        <v>3972.04</v>
      </c>
    </row>
    <row r="175" customHeight="1" spans="1:3">
      <c r="A175" s="2">
        <v>46119</v>
      </c>
      <c r="B175" s="1" t="s">
        <v>17</v>
      </c>
      <c r="C175" s="3">
        <v>81.71</v>
      </c>
    </row>
    <row r="176" customHeight="1" spans="1:3">
      <c r="A176" s="2">
        <v>46120</v>
      </c>
      <c r="B176" s="1" t="s">
        <v>15</v>
      </c>
      <c r="C176" s="3">
        <v>1620.85</v>
      </c>
    </row>
    <row r="177" customHeight="1" spans="1:3">
      <c r="A177" s="2">
        <v>46123</v>
      </c>
      <c r="B177" s="1" t="s">
        <v>15</v>
      </c>
      <c r="C177" s="3">
        <v>415.75</v>
      </c>
    </row>
    <row r="178" customHeight="1" spans="1:3">
      <c r="A178" s="2">
        <v>46125</v>
      </c>
      <c r="B178" s="1" t="s">
        <v>11</v>
      </c>
      <c r="C178" s="3">
        <v>492.11</v>
      </c>
    </row>
    <row r="179" customHeight="1" spans="1:3">
      <c r="A179" s="2">
        <v>46122</v>
      </c>
      <c r="B179" s="1" t="s">
        <v>11</v>
      </c>
      <c r="C179" s="3">
        <v>5386.26</v>
      </c>
    </row>
    <row r="180" customHeight="1" spans="1:3">
      <c r="A180" s="2">
        <v>46125</v>
      </c>
      <c r="B180" s="1" t="s">
        <v>17</v>
      </c>
      <c r="C180" s="3">
        <v>783.82</v>
      </c>
    </row>
    <row r="181" customHeight="1" spans="1:3">
      <c r="A181" s="2">
        <v>46129</v>
      </c>
      <c r="B181" s="1" t="s">
        <v>9</v>
      </c>
      <c r="C181" s="3">
        <v>2349.97</v>
      </c>
    </row>
    <row r="182" customHeight="1" spans="1:3">
      <c r="A182" s="2">
        <v>46130</v>
      </c>
      <c r="B182" s="1" t="s">
        <v>15</v>
      </c>
      <c r="C182" s="3">
        <v>209.48</v>
      </c>
    </row>
    <row r="183" customHeight="1" spans="1:3">
      <c r="A183" s="2">
        <v>46139</v>
      </c>
      <c r="B183" s="1" t="s">
        <v>11</v>
      </c>
      <c r="C183" s="3">
        <v>1769.22</v>
      </c>
    </row>
    <row r="184" customHeight="1" spans="1:3">
      <c r="A184" s="2">
        <v>46140</v>
      </c>
      <c r="B184" s="1" t="s">
        <v>11</v>
      </c>
      <c r="C184" s="3">
        <v>912</v>
      </c>
    </row>
    <row r="185" customHeight="1" spans="1:3">
      <c r="A185" s="2">
        <v>46148</v>
      </c>
      <c r="B185" s="1" t="s">
        <v>11</v>
      </c>
      <c r="C185" s="3">
        <v>540.27</v>
      </c>
    </row>
    <row r="186" customHeight="1" spans="1:3">
      <c r="A186" s="2">
        <v>46155</v>
      </c>
      <c r="B186" s="1" t="s">
        <v>9</v>
      </c>
      <c r="C186" s="3">
        <v>4649.1</v>
      </c>
    </row>
    <row r="187" customHeight="1" spans="1:3">
      <c r="A187" s="2">
        <v>46165</v>
      </c>
      <c r="B187" s="1" t="s">
        <v>11</v>
      </c>
      <c r="C187" s="3">
        <v>3500.7</v>
      </c>
    </row>
    <row r="188" customHeight="1" spans="1:3">
      <c r="A188" s="2">
        <v>46165</v>
      </c>
      <c r="B188" s="1" t="s">
        <v>17</v>
      </c>
      <c r="C188" s="3">
        <v>429.81</v>
      </c>
    </row>
    <row r="189" customHeight="1" spans="1:3">
      <c r="A189" s="2">
        <v>46165</v>
      </c>
      <c r="B189" s="1" t="s">
        <v>13</v>
      </c>
      <c r="C189" s="3">
        <v>546.94</v>
      </c>
    </row>
    <row r="190" customHeight="1" spans="1:3">
      <c r="A190" s="2">
        <v>46136</v>
      </c>
      <c r="B190" s="1" t="s">
        <v>15</v>
      </c>
      <c r="C190" s="3">
        <v>204.78</v>
      </c>
    </row>
    <row r="191" customHeight="1" spans="1:3">
      <c r="A191" s="2">
        <v>46154</v>
      </c>
      <c r="B191" s="1" t="s">
        <v>15</v>
      </c>
      <c r="C191" s="3">
        <v>31.42</v>
      </c>
    </row>
    <row r="192" customHeight="1" spans="1:3">
      <c r="A192" s="2">
        <v>46167</v>
      </c>
      <c r="B192" s="1" t="s">
        <v>16</v>
      </c>
      <c r="C192" s="3">
        <v>8859.79</v>
      </c>
    </row>
    <row r="193" customHeight="1" spans="1:15">
      <c r="A193" s="2">
        <v>46169</v>
      </c>
      <c r="B193" s="1" t="s">
        <v>17</v>
      </c>
      <c r="C193" s="3">
        <v>136.08</v>
      </c>
    </row>
    <row r="194" customHeight="1" spans="1:15">
      <c r="A194" s="2">
        <v>46170</v>
      </c>
      <c r="B194" s="1" t="s">
        <v>9</v>
      </c>
      <c r="C194" s="3">
        <v>1729.11</v>
      </c>
    </row>
    <row r="195" customHeight="1" spans="1:15">
      <c r="A195" s="2">
        <v>46176</v>
      </c>
      <c r="B195" s="1" t="s">
        <v>17</v>
      </c>
      <c r="C195" s="3">
        <v>300.01</v>
      </c>
    </row>
    <row r="196" customHeight="1" spans="1:15">
      <c r="A196" s="2">
        <v>46177</v>
      </c>
      <c r="B196" s="1" t="s">
        <v>11</v>
      </c>
      <c r="C196" s="3">
        <v>-76.8</v>
      </c>
    </row>
    <row r="197" customHeight="1" spans="1:15">
      <c r="A197" s="59">
        <v>46178</v>
      </c>
      <c r="B197" s="60" t="s">
        <v>17</v>
      </c>
      <c r="C197" s="61">
        <v>3886.02</v>
      </c>
      <c r="D197" s="61"/>
      <c r="E197" s="59"/>
      <c r="F197" s="61"/>
      <c r="G197" s="61"/>
      <c r="H197" s="61"/>
      <c r="I197" s="61"/>
      <c r="J197" s="61"/>
      <c r="K197" s="60" t="s">
        <v>44</v>
      </c>
    </row>
    <row r="198" customHeight="1" spans="1:15">
      <c r="A198" s="62">
        <v>46195</v>
      </c>
      <c r="B198" s="63" t="s">
        <v>9</v>
      </c>
      <c r="C198" s="64">
        <v>4612.39</v>
      </c>
      <c r="D198" s="64"/>
      <c r="E198" s="62"/>
      <c r="F198" s="64"/>
      <c r="G198" s="64"/>
      <c r="H198" s="64"/>
      <c r="I198" s="64"/>
      <c r="J198" s="64"/>
      <c r="K198" s="63"/>
      <c r="M198" s="1" t="s">
        <v>17</v>
      </c>
      <c r="N198" s="3" t="s">
        <v>45</v>
      </c>
      <c r="O198" s="3">
        <v>23555.71</v>
      </c>
    </row>
    <row r="199" customHeight="1" spans="1:15">
      <c r="A199" s="2">
        <v>46197</v>
      </c>
      <c r="B199" s="1" t="s">
        <v>9</v>
      </c>
      <c r="C199" s="3">
        <v>136.93</v>
      </c>
      <c r="M199" s="1" t="s">
        <v>12</v>
      </c>
      <c r="N199" s="3" t="s">
        <v>45</v>
      </c>
      <c r="O199" s="3">
        <v>33897.01</v>
      </c>
    </row>
    <row r="200" customHeight="1" spans="1:15">
      <c r="A200" s="2">
        <v>46203</v>
      </c>
      <c r="B200" s="1" t="s">
        <v>9</v>
      </c>
      <c r="C200" s="3">
        <v>9.6</v>
      </c>
      <c r="M200" s="1" t="s">
        <v>10</v>
      </c>
      <c r="N200" s="3" t="s">
        <v>45</v>
      </c>
      <c r="O200" s="3">
        <v>35181.28</v>
      </c>
    </row>
    <row r="201" customHeight="1" spans="1:15">
      <c r="A201" s="2">
        <v>46203</v>
      </c>
      <c r="B201" s="1" t="s">
        <v>11</v>
      </c>
      <c r="C201" s="3">
        <v>93.97</v>
      </c>
    </row>
    <row r="202" customHeight="1" spans="1:15">
      <c r="A202" s="2">
        <v>46207</v>
      </c>
      <c r="B202" s="1" t="s">
        <v>9</v>
      </c>
      <c r="C202" s="3">
        <v>44.94</v>
      </c>
    </row>
    <row r="203" customHeight="1" spans="1:15">
      <c r="A203" s="65">
        <v>46225</v>
      </c>
      <c r="B203" s="66" t="s">
        <v>9</v>
      </c>
      <c r="C203" s="67">
        <v>1284.96</v>
      </c>
      <c r="K203" s="1" t="s">
        <v>46</v>
      </c>
    </row>
    <row r="204" customHeight="1" spans="1:15">
      <c r="A204" s="2">
        <v>46228</v>
      </c>
      <c r="B204" s="1" t="s">
        <v>9</v>
      </c>
      <c r="C204" s="3">
        <v>1684.88</v>
      </c>
    </row>
    <row r="205" customHeight="1" spans="1:15">
      <c r="A205" s="2">
        <v>46229</v>
      </c>
      <c r="B205" s="1" t="s">
        <v>9</v>
      </c>
      <c r="C205" s="3">
        <v>1095.44</v>
      </c>
    </row>
    <row r="206" customHeight="1" spans="1:15">
      <c r="A206" s="2">
        <v>46235</v>
      </c>
      <c r="B206" s="1" t="s">
        <v>9</v>
      </c>
      <c r="C206" s="3">
        <v>652.95</v>
      </c>
    </row>
    <row r="207" customHeight="1" spans="1:15">
      <c r="A207" s="2">
        <v>46242</v>
      </c>
      <c r="B207" s="1" t="s">
        <v>9</v>
      </c>
      <c r="C207" s="3">
        <v>401</v>
      </c>
    </row>
    <row r="208" customHeight="1" spans="1:15">
      <c r="A208" s="2">
        <v>46243</v>
      </c>
      <c r="B208" s="1" t="s">
        <v>9</v>
      </c>
      <c r="C208" s="3">
        <v>9738.06</v>
      </c>
      <c r="D208" s="3">
        <v>50000</v>
      </c>
      <c r="E208" s="2">
        <v>46265</v>
      </c>
      <c r="F208" s="3" t="s">
        <v>35</v>
      </c>
    </row>
    <row r="209" customHeight="1" spans="1:3">
      <c r="A209" s="2">
        <v>46225</v>
      </c>
      <c r="B209" s="1" t="s">
        <v>17</v>
      </c>
      <c r="C209" s="3">
        <v>83</v>
      </c>
    </row>
    <row r="210" customHeight="1" spans="1:3">
      <c r="A210" s="2">
        <v>46223</v>
      </c>
      <c r="B210" s="1" t="s">
        <v>17</v>
      </c>
      <c r="C210" s="3">
        <v>261.94</v>
      </c>
    </row>
    <row r="211" customHeight="1" spans="1:3">
      <c r="A211" s="2">
        <v>46198</v>
      </c>
      <c r="B211" s="1" t="s">
        <v>14</v>
      </c>
      <c r="C211" s="3">
        <v>15773.66</v>
      </c>
    </row>
    <row r="212" customHeight="1" spans="1:3">
      <c r="A212" s="2">
        <v>46198</v>
      </c>
      <c r="B212" s="1" t="s">
        <v>16</v>
      </c>
      <c r="C212" s="3">
        <v>4821.02</v>
      </c>
    </row>
    <row r="213" customHeight="1" spans="1:3">
      <c r="A213" s="2">
        <v>46198</v>
      </c>
      <c r="B213" s="1" t="s">
        <v>15</v>
      </c>
      <c r="C213" s="3">
        <v>8896.17</v>
      </c>
    </row>
    <row r="214" customHeight="1" spans="1:3">
      <c r="A214" s="2">
        <v>46199</v>
      </c>
      <c r="B214" s="1" t="s">
        <v>15</v>
      </c>
      <c r="C214" s="3">
        <v>2880</v>
      </c>
    </row>
  </sheetData>
  <autoFilter xmlns:etc="http://www.wps.cn/officeDocument/2017/etCustomData" ref="A1:K214" etc:filterBottomFollowUsedRange="0">
    <extLst/>
  </autoFilter>
  <conditionalFormatting sqref="M10">
    <cfRule type="expression" dxfId="0" priority="4">
      <formula>$A3&lt;&gt;""</formula>
    </cfRule>
  </conditionalFormatting>
  <conditionalFormatting sqref="A98:K98">
    <cfRule type="expression" dxfId="0" priority="15">
      <formula>$A98&lt;&gt;""</formula>
    </cfRule>
    <cfRule type="expression" dxfId="0" priority="16">
      <formula>#REF!&lt;&gt;""</formula>
    </cfRule>
  </conditionalFormatting>
  <conditionalFormatting sqref="A189:K189">
    <cfRule type="expression" dxfId="0" priority="9">
      <formula>$A189&lt;&gt;""</formula>
    </cfRule>
    <cfRule type="expression" dxfId="0" priority="10">
      <formula>#REF!&lt;&gt;""</formula>
    </cfRule>
  </conditionalFormatting>
  <conditionalFormatting sqref="A1:K97 A99:K188 A190:K191 A195:K196 A199:K1048574">
    <cfRule type="expression" dxfId="0" priority="1">
      <formula>$A1&lt;&gt;""</formula>
    </cfRule>
    <cfRule type="expression" dxfId="0" priority="3">
      <formula>$A2&lt;&gt;""</formula>
    </cfRule>
  </conditionalFormatting>
  <conditionalFormatting sqref="A192:K194">
    <cfRule type="expression" dxfId="0" priority="11">
      <formula>$A192&lt;&gt;""</formula>
    </cfRule>
    <cfRule type="expression" dxfId="0" priority="12">
      <formula>$A195&lt;&gt;""</formula>
    </cfRule>
  </conditionalFormatting>
  <conditionalFormatting sqref="A197:K198">
    <cfRule type="expression" dxfId="0" priority="13">
      <formula>$A197&lt;&gt;""</formula>
    </cfRule>
    <cfRule type="expression" dxfId="0" priority="14">
      <formula>$A199&lt;&gt;""</formula>
    </cfRule>
  </conditionalFormatting>
  <conditionalFormatting sqref="A1048575:K1048576">
    <cfRule type="expression" dxfId="0" priority="5">
      <formula>$A1048575&lt;&gt;""</formula>
    </cfRule>
    <cfRule type="expression" dxfId="0" priority="6">
      <formula>$A1&lt;&gt;""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3"/>
  <sheetViews>
    <sheetView topLeftCell="B1" workbookViewId="0">
      <selection activeCell="G8" sqref="G8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26.5416666666667" style="3" customWidth="1"/>
    <col min="7" max="8" width="14.0916666666667" style="3" customWidth="1"/>
    <col min="9" max="9" width="12.125" style="3" customWidth="1"/>
    <col min="10" max="10" width="15.2583333333333" style="3" customWidth="1"/>
    <col min="11" max="12" width="9" style="1"/>
    <col min="13" max="13" width="18.375" style="1" customWidth="1"/>
    <col min="14" max="14" width="13" style="1" customWidth="1"/>
    <col min="15" max="16" width="10.375" style="1"/>
    <col min="17" max="16384" width="9" style="1"/>
  </cols>
  <sheetData>
    <row r="1" s="1" customFormat="1" ht="31" customHeight="1" spans="1:15">
      <c r="A1" s="4" t="s">
        <v>47</v>
      </c>
      <c r="B1" s="5"/>
      <c r="C1" s="6"/>
      <c r="D1" s="6"/>
      <c r="E1" s="7"/>
      <c r="F1" s="6"/>
      <c r="G1" s="6"/>
      <c r="H1" s="6"/>
      <c r="I1" s="6"/>
      <c r="J1" s="15" t="str">
        <f>HYPERLINK("#总表！A3","返回总表")</f>
        <v>返回总表</v>
      </c>
      <c r="K1" s="5"/>
      <c r="M1" s="1" t="str" cm="1">
        <f t="array" ref="M1:O3">_xlfn.PIVOTBY(_xlfn._TRO_TRAILING(B2:B999),,_xlfn._TRO_TRAILING(C2:D999),_xleta.SUM,3)</f>
        <v>项目名称</v>
      </c>
      <c r="N1" s="1" t="str">
        <v>应付金额</v>
      </c>
      <c r="O1" s="1" t="str">
        <v>已付金额</v>
      </c>
    </row>
    <row r="2" s="1" customFormat="1" customHeight="1" spans="1:15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30</v>
      </c>
      <c r="H2" s="11" t="s">
        <v>31</v>
      </c>
      <c r="I2" s="11" t="s">
        <v>32</v>
      </c>
      <c r="J2" s="11" t="s">
        <v>33</v>
      </c>
      <c r="K2" s="10" t="s">
        <v>34</v>
      </c>
      <c r="M2" s="1" t="str">
        <v>德安养老中心</v>
      </c>
      <c r="N2" s="1">
        <v>331446.38</v>
      </c>
      <c r="O2" s="1">
        <v>331446.38</v>
      </c>
    </row>
    <row r="3" s="1" customFormat="1" customHeight="1" spans="1:15">
      <c r="A3" s="12">
        <v>45826</v>
      </c>
      <c r="B3" s="13" t="s">
        <v>9</v>
      </c>
      <c r="C3" s="14">
        <v>96296.9</v>
      </c>
      <c r="D3" s="14">
        <v>96296.9</v>
      </c>
      <c r="E3" s="12">
        <v>45827</v>
      </c>
      <c r="F3" s="14" t="s">
        <v>48</v>
      </c>
      <c r="G3" s="14"/>
      <c r="H3" s="14"/>
      <c r="I3" s="14"/>
      <c r="J3" s="14"/>
      <c r="K3" s="13"/>
      <c r="M3" s="1" t="str">
        <v>总计</v>
      </c>
      <c r="N3" s="1">
        <v>331446.38</v>
      </c>
      <c r="O3" s="1">
        <v>331446.38</v>
      </c>
    </row>
    <row r="4" s="1" customFormat="1" customHeight="1" spans="1:15">
      <c r="A4" s="12">
        <v>45832</v>
      </c>
      <c r="B4" s="13" t="s">
        <v>9</v>
      </c>
      <c r="C4" s="14">
        <v>17044.19</v>
      </c>
      <c r="D4" s="14">
        <v>17044.19</v>
      </c>
      <c r="E4" s="12">
        <v>45832</v>
      </c>
      <c r="F4" s="14" t="s">
        <v>48</v>
      </c>
      <c r="G4" s="14"/>
      <c r="H4" s="14"/>
      <c r="I4" s="14"/>
      <c r="J4" s="14"/>
      <c r="K4" s="13"/>
    </row>
    <row r="5" s="1" customFormat="1" customHeight="1" spans="1:15">
      <c r="A5" s="12">
        <v>45834</v>
      </c>
      <c r="B5" s="13" t="s">
        <v>9</v>
      </c>
      <c r="C5" s="14">
        <v>41602.3</v>
      </c>
      <c r="D5" s="14">
        <v>43009.8</v>
      </c>
      <c r="E5" s="12">
        <v>45838</v>
      </c>
      <c r="F5" s="14" t="s">
        <v>48</v>
      </c>
      <c r="G5" s="14"/>
      <c r="H5" s="14"/>
      <c r="I5" s="14"/>
      <c r="J5" s="14"/>
      <c r="K5" s="13"/>
    </row>
    <row r="6" s="1" customFormat="1" customHeight="1" spans="1:15">
      <c r="A6" s="12">
        <v>45835</v>
      </c>
      <c r="B6" s="13" t="s">
        <v>9</v>
      </c>
      <c r="C6" s="14">
        <v>1407.5</v>
      </c>
      <c r="D6" s="14">
        <v>45466.47</v>
      </c>
      <c r="E6" s="12">
        <v>45863</v>
      </c>
      <c r="F6" s="14" t="s">
        <v>48</v>
      </c>
      <c r="G6" s="14"/>
      <c r="H6" s="14"/>
      <c r="I6" s="14"/>
      <c r="J6" s="14"/>
      <c r="K6" s="13"/>
    </row>
    <row r="7" s="1" customFormat="1" customHeight="1" spans="1:15">
      <c r="A7" s="12">
        <v>45839</v>
      </c>
      <c r="B7" s="13" t="s">
        <v>9</v>
      </c>
      <c r="C7" s="14">
        <v>4381.5</v>
      </c>
      <c r="D7" s="14">
        <v>52791</v>
      </c>
      <c r="E7" s="12">
        <v>45902</v>
      </c>
      <c r="F7" s="14" t="s">
        <v>48</v>
      </c>
      <c r="G7" s="14"/>
      <c r="H7" s="14"/>
      <c r="I7" s="14"/>
      <c r="J7" s="14"/>
      <c r="K7" s="13"/>
    </row>
    <row r="8" s="1" customFormat="1" customHeight="1" spans="1:15">
      <c r="A8" s="12">
        <v>45841</v>
      </c>
      <c r="B8" s="13" t="s">
        <v>9</v>
      </c>
      <c r="C8" s="14">
        <v>7680</v>
      </c>
      <c r="D8" s="14">
        <v>30000</v>
      </c>
      <c r="E8" s="12">
        <v>45932</v>
      </c>
      <c r="F8" s="14" t="s">
        <v>48</v>
      </c>
      <c r="G8" s="14"/>
      <c r="H8" s="14"/>
      <c r="I8" s="14"/>
      <c r="J8" s="14"/>
      <c r="K8" s="13"/>
    </row>
    <row r="9" s="1" customFormat="1" customHeight="1" spans="1:15">
      <c r="A9" s="12">
        <v>45847</v>
      </c>
      <c r="B9" s="13" t="s">
        <v>9</v>
      </c>
      <c r="C9" s="14">
        <v>33037.97</v>
      </c>
      <c r="D9" s="14">
        <v>46838.02</v>
      </c>
      <c r="E9" s="12">
        <v>46036</v>
      </c>
      <c r="F9" s="14" t="s">
        <v>48</v>
      </c>
      <c r="G9" s="14"/>
      <c r="H9" s="14"/>
      <c r="I9" s="14"/>
      <c r="J9" s="14"/>
      <c r="K9" s="13"/>
    </row>
    <row r="10" s="1" customFormat="1" customHeight="1" spans="1:15">
      <c r="A10" s="12">
        <v>45852</v>
      </c>
      <c r="B10" s="13" t="s">
        <v>9</v>
      </c>
      <c r="C10" s="14">
        <v>284</v>
      </c>
      <c r="D10" s="14"/>
      <c r="E10" s="12"/>
      <c r="F10" s="14"/>
      <c r="G10" s="14"/>
      <c r="H10" s="14"/>
      <c r="I10" s="14"/>
      <c r="J10" s="14"/>
      <c r="K10" s="13"/>
    </row>
    <row r="11" s="1" customFormat="1" customHeight="1" spans="1:15">
      <c r="A11" s="12">
        <v>45854</v>
      </c>
      <c r="B11" s="13" t="s">
        <v>9</v>
      </c>
      <c r="C11" s="14">
        <v>83</v>
      </c>
      <c r="D11" s="14"/>
      <c r="E11" s="12"/>
      <c r="F11" s="14"/>
      <c r="G11" s="14"/>
      <c r="H11" s="14"/>
      <c r="I11" s="14"/>
      <c r="J11" s="14"/>
      <c r="K11" s="13"/>
    </row>
    <row r="12" s="1" customFormat="1" customHeight="1" spans="1:15">
      <c r="A12" s="12">
        <v>45859</v>
      </c>
      <c r="B12" s="13" t="s">
        <v>9</v>
      </c>
      <c r="C12" s="14">
        <v>446</v>
      </c>
      <c r="D12" s="14"/>
      <c r="E12" s="12"/>
      <c r="F12" s="14"/>
      <c r="G12" s="14"/>
      <c r="H12" s="14"/>
      <c r="I12" s="14"/>
      <c r="J12" s="14"/>
      <c r="K12" s="13"/>
    </row>
    <row r="13" s="1" customFormat="1" customHeight="1" spans="1:15">
      <c r="A13" s="12">
        <v>45863</v>
      </c>
      <c r="B13" s="13" t="s">
        <v>9</v>
      </c>
      <c r="C13" s="14">
        <v>2566.84</v>
      </c>
      <c r="D13" s="14"/>
      <c r="E13" s="12"/>
      <c r="F13" s="14"/>
      <c r="G13" s="14"/>
      <c r="H13" s="14"/>
      <c r="I13" s="14"/>
      <c r="J13" s="14"/>
      <c r="K13" s="13"/>
    </row>
    <row r="14" s="1" customFormat="1" customHeight="1" spans="1:15">
      <c r="A14" s="12">
        <v>45865</v>
      </c>
      <c r="B14" s="13" t="s">
        <v>9</v>
      </c>
      <c r="C14" s="14">
        <v>143</v>
      </c>
      <c r="D14" s="14"/>
      <c r="E14" s="12"/>
      <c r="F14" s="14"/>
      <c r="G14" s="14"/>
      <c r="H14" s="14"/>
      <c r="I14" s="14"/>
      <c r="J14" s="14"/>
      <c r="K14" s="13"/>
    </row>
    <row r="15" s="1" customFormat="1" customHeight="1" spans="1:15">
      <c r="A15" s="12">
        <v>45867</v>
      </c>
      <c r="B15" s="13" t="s">
        <v>9</v>
      </c>
      <c r="C15" s="14">
        <v>260</v>
      </c>
      <c r="D15" s="14"/>
      <c r="E15" s="12"/>
      <c r="F15" s="14"/>
      <c r="G15" s="14"/>
      <c r="H15" s="14"/>
      <c r="I15" s="14"/>
      <c r="J15" s="14"/>
      <c r="K15" s="13"/>
    </row>
    <row r="16" s="1" customFormat="1" customHeight="1" spans="1:15">
      <c r="A16" s="12">
        <v>45872</v>
      </c>
      <c r="B16" s="13" t="s">
        <v>9</v>
      </c>
      <c r="C16" s="14">
        <v>6292.7</v>
      </c>
      <c r="D16" s="14"/>
      <c r="E16" s="12"/>
      <c r="F16" s="14"/>
      <c r="G16" s="14"/>
      <c r="H16" s="14"/>
      <c r="I16" s="14"/>
      <c r="J16" s="14"/>
      <c r="K16" s="13"/>
    </row>
    <row r="17" s="1" customFormat="1" customHeight="1" spans="1:11">
      <c r="A17" s="12">
        <v>45873</v>
      </c>
      <c r="B17" s="13" t="s">
        <v>9</v>
      </c>
      <c r="C17" s="14">
        <v>586.7</v>
      </c>
      <c r="D17" s="14"/>
      <c r="E17" s="12"/>
      <c r="F17" s="14"/>
      <c r="G17" s="14"/>
      <c r="H17" s="14"/>
      <c r="I17" s="14"/>
      <c r="J17" s="14"/>
      <c r="K17" s="13"/>
    </row>
    <row r="18" s="1" customFormat="1" customHeight="1" spans="1:11">
      <c r="A18" s="12">
        <v>45874</v>
      </c>
      <c r="B18" s="13" t="s">
        <v>9</v>
      </c>
      <c r="C18" s="14">
        <v>3050.5</v>
      </c>
      <c r="D18" s="14"/>
      <c r="E18" s="12"/>
      <c r="F18" s="14"/>
      <c r="G18" s="14"/>
      <c r="H18" s="14"/>
      <c r="I18" s="14"/>
      <c r="J18" s="14"/>
      <c r="K18" s="13"/>
    </row>
    <row r="19" s="1" customFormat="1" customHeight="1" spans="1:11">
      <c r="A19" s="12">
        <v>45875</v>
      </c>
      <c r="B19" s="13" t="s">
        <v>9</v>
      </c>
      <c r="C19" s="14">
        <v>4090</v>
      </c>
      <c r="D19" s="14"/>
      <c r="E19" s="12"/>
      <c r="F19" s="14"/>
      <c r="G19" s="14"/>
      <c r="H19" s="14"/>
      <c r="I19" s="14"/>
      <c r="J19" s="14"/>
      <c r="K19" s="13"/>
    </row>
    <row r="20" s="1" customFormat="1" customHeight="1" spans="1:11">
      <c r="A20" s="12">
        <v>45876</v>
      </c>
      <c r="B20" s="13" t="s">
        <v>9</v>
      </c>
      <c r="C20" s="14">
        <v>8050.5</v>
      </c>
      <c r="D20" s="14"/>
      <c r="E20" s="12"/>
      <c r="F20" s="14"/>
      <c r="G20" s="14"/>
      <c r="H20" s="14"/>
      <c r="I20" s="14"/>
      <c r="J20" s="14"/>
      <c r="K20" s="13"/>
    </row>
    <row r="21" s="1" customFormat="1" customHeight="1" spans="1:11">
      <c r="A21" s="12">
        <v>45879</v>
      </c>
      <c r="B21" s="13" t="s">
        <v>9</v>
      </c>
      <c r="C21" s="14">
        <v>1952</v>
      </c>
      <c r="D21" s="14"/>
      <c r="E21" s="12"/>
      <c r="F21" s="14"/>
      <c r="G21" s="14"/>
      <c r="H21" s="14"/>
      <c r="I21" s="14"/>
      <c r="J21" s="14"/>
      <c r="K21" s="13"/>
    </row>
    <row r="22" s="1" customFormat="1" customHeight="1" spans="1:11">
      <c r="A22" s="12">
        <v>45885</v>
      </c>
      <c r="B22" s="13" t="s">
        <v>9</v>
      </c>
      <c r="C22" s="14">
        <v>14203.3</v>
      </c>
      <c r="D22" s="14"/>
      <c r="E22" s="12"/>
      <c r="F22" s="14"/>
      <c r="G22" s="14"/>
      <c r="H22" s="14"/>
      <c r="I22" s="14"/>
      <c r="J22" s="14"/>
      <c r="K22" s="13"/>
    </row>
    <row r="23" s="1" customFormat="1" customHeight="1" spans="1:11">
      <c r="A23" s="12">
        <v>45890</v>
      </c>
      <c r="B23" s="13" t="s">
        <v>9</v>
      </c>
      <c r="C23" s="14">
        <v>3754.49</v>
      </c>
      <c r="D23" s="14"/>
      <c r="E23" s="12"/>
      <c r="F23" s="14"/>
      <c r="G23" s="14"/>
      <c r="H23" s="14"/>
      <c r="I23" s="14"/>
      <c r="J23" s="14"/>
      <c r="K23" s="13"/>
    </row>
    <row r="24" s="1" customFormat="1" customHeight="1" spans="1:11">
      <c r="A24" s="12">
        <v>45897</v>
      </c>
      <c r="B24" s="13" t="s">
        <v>9</v>
      </c>
      <c r="C24" s="14">
        <v>115</v>
      </c>
      <c r="D24" s="14"/>
      <c r="E24" s="12"/>
      <c r="F24" s="14"/>
      <c r="G24" s="14"/>
      <c r="H24" s="14"/>
      <c r="I24" s="14"/>
      <c r="J24" s="14"/>
      <c r="K24" s="13"/>
    </row>
    <row r="25" s="1" customFormat="1" customHeight="1" spans="1:11">
      <c r="A25" s="12">
        <v>45897</v>
      </c>
      <c r="B25" s="13" t="s">
        <v>9</v>
      </c>
      <c r="C25" s="14">
        <v>5229.8</v>
      </c>
      <c r="D25" s="14"/>
      <c r="E25" s="12"/>
      <c r="F25" s="14"/>
      <c r="G25" s="14"/>
      <c r="H25" s="14"/>
      <c r="I25" s="14"/>
      <c r="J25" s="14"/>
      <c r="K25" s="13"/>
    </row>
    <row r="26" s="1" customFormat="1" customHeight="1" spans="1:11">
      <c r="A26" s="12">
        <v>45899</v>
      </c>
      <c r="B26" s="13" t="s">
        <v>9</v>
      </c>
      <c r="C26" s="14">
        <v>9322.41</v>
      </c>
      <c r="D26" s="14"/>
      <c r="E26" s="12"/>
      <c r="F26" s="14"/>
      <c r="G26" s="14"/>
      <c r="H26" s="14"/>
      <c r="I26" s="14"/>
      <c r="J26" s="14"/>
      <c r="K26" s="13"/>
    </row>
    <row r="27" s="1" customFormat="1" customHeight="1" spans="1:11">
      <c r="A27" s="12">
        <v>45900</v>
      </c>
      <c r="B27" s="13" t="s">
        <v>9</v>
      </c>
      <c r="C27" s="14">
        <v>-1280</v>
      </c>
      <c r="D27" s="14"/>
      <c r="E27" s="12"/>
      <c r="F27" s="14"/>
      <c r="G27" s="14"/>
      <c r="H27" s="14"/>
      <c r="I27" s="14"/>
      <c r="J27" s="14"/>
      <c r="K27" s="13"/>
    </row>
    <row r="28" s="1" customFormat="1" customHeight="1" spans="1:11">
      <c r="A28" s="12">
        <v>45902</v>
      </c>
      <c r="B28" s="13" t="s">
        <v>9</v>
      </c>
      <c r="C28" s="14">
        <v>869.7</v>
      </c>
      <c r="D28" s="14"/>
      <c r="E28" s="12"/>
      <c r="F28" s="14"/>
      <c r="G28" s="14"/>
      <c r="H28" s="14"/>
      <c r="I28" s="14"/>
      <c r="J28" s="14"/>
      <c r="K28" s="13"/>
    </row>
    <row r="29" s="1" customFormat="1" customHeight="1" spans="1:11">
      <c r="A29" s="12">
        <v>45903</v>
      </c>
      <c r="B29" s="13" t="s">
        <v>9</v>
      </c>
      <c r="C29" s="14">
        <v>52791</v>
      </c>
      <c r="D29" s="14"/>
      <c r="E29" s="12"/>
      <c r="F29" s="14"/>
      <c r="G29" s="14"/>
      <c r="H29" s="14"/>
      <c r="I29" s="14"/>
      <c r="J29" s="14"/>
      <c r="K29" s="13"/>
    </row>
    <row r="30" s="1" customFormat="1" customHeight="1" spans="1:11">
      <c r="A30" s="2">
        <v>45903</v>
      </c>
      <c r="B30" s="1" t="s">
        <v>9</v>
      </c>
      <c r="C30" s="3">
        <v>892.5</v>
      </c>
      <c r="D30" s="3"/>
      <c r="E30" s="2"/>
      <c r="F30" s="3"/>
      <c r="G30" s="3"/>
      <c r="H30" s="3"/>
      <c r="I30" s="3"/>
      <c r="J30" s="3"/>
    </row>
    <row r="31" s="1" customFormat="1" customHeight="1" spans="1:11">
      <c r="A31" s="2">
        <v>45911</v>
      </c>
      <c r="B31" s="1" t="s">
        <v>9</v>
      </c>
      <c r="C31" s="3">
        <v>6330.28</v>
      </c>
      <c r="D31" s="3"/>
      <c r="E31" s="2"/>
      <c r="F31" s="3"/>
      <c r="G31" s="3"/>
      <c r="H31" s="3"/>
      <c r="I31" s="3"/>
      <c r="J31" s="3"/>
    </row>
    <row r="32" s="1" customFormat="1" customHeight="1" spans="1:11">
      <c r="A32" s="2">
        <v>45919</v>
      </c>
      <c r="B32" s="1" t="s">
        <v>9</v>
      </c>
      <c r="C32" s="3">
        <v>9075.5</v>
      </c>
      <c r="D32" s="3"/>
      <c r="E32" s="2"/>
      <c r="F32" s="3"/>
      <c r="G32" s="3"/>
      <c r="H32" s="3"/>
      <c r="I32" s="3"/>
      <c r="J32" s="3"/>
    </row>
    <row r="33" s="1" customFormat="1" customHeight="1" spans="1:10">
      <c r="A33" s="2">
        <v>45921</v>
      </c>
      <c r="B33" s="1" t="s">
        <v>9</v>
      </c>
      <c r="C33" s="3">
        <v>886.8</v>
      </c>
      <c r="D33" s="3"/>
      <c r="E33" s="2"/>
      <c r="F33" s="3"/>
      <c r="G33" s="3"/>
      <c r="H33" s="3"/>
      <c r="I33" s="3"/>
      <c r="J33" s="3"/>
    </row>
    <row r="34" s="1" customFormat="1" customHeight="1" spans="1:10">
      <c r="A34" s="2"/>
      <c r="B34" s="1"/>
      <c r="C34" s="3"/>
      <c r="D34" s="3"/>
      <c r="E34" s="2"/>
      <c r="F34" s="3"/>
      <c r="G34" s="3"/>
      <c r="H34" s="3"/>
      <c r="I34" s="3"/>
      <c r="J34" s="3"/>
    </row>
    <row r="35" s="1" customFormat="1" customHeight="1" spans="1:10">
      <c r="A35" s="2"/>
      <c r="B35" s="1"/>
      <c r="C35" s="3"/>
      <c r="D35" s="3"/>
      <c r="E35" s="2"/>
      <c r="F35" s="3"/>
      <c r="G35" s="3"/>
      <c r="H35" s="3"/>
      <c r="I35" s="3"/>
      <c r="J35" s="3"/>
    </row>
    <row r="36" s="1" customFormat="1" customHeight="1" spans="1:10">
      <c r="A36" s="2"/>
      <c r="B36" s="1"/>
      <c r="C36" s="3"/>
      <c r="D36" s="3"/>
      <c r="E36" s="2"/>
      <c r="F36" s="3"/>
      <c r="G36" s="3"/>
      <c r="H36" s="3"/>
      <c r="I36" s="3"/>
      <c r="J36" s="3"/>
    </row>
    <row r="37" s="1" customFormat="1" customHeight="1" spans="1:10">
      <c r="A37" s="2"/>
      <c r="B37" s="1"/>
      <c r="C37" s="3"/>
      <c r="D37" s="3"/>
      <c r="E37" s="2"/>
      <c r="F37" s="3"/>
      <c r="G37" s="3"/>
      <c r="H37" s="3"/>
      <c r="I37" s="3"/>
      <c r="J37" s="3"/>
    </row>
    <row r="38" s="1" customFormat="1" customHeight="1" spans="1:10">
      <c r="A38" s="2"/>
      <c r="B38" s="1"/>
      <c r="C38" s="3"/>
      <c r="D38" s="3"/>
      <c r="E38" s="2"/>
      <c r="F38" s="3"/>
      <c r="G38" s="3"/>
      <c r="H38" s="3"/>
      <c r="I38" s="3"/>
      <c r="J38" s="3"/>
    </row>
    <row r="39" s="1" customFormat="1" customHeight="1" spans="1:10">
      <c r="A39" s="2"/>
      <c r="B39" s="1"/>
      <c r="C39" s="3"/>
      <c r="D39" s="3"/>
      <c r="E39" s="2"/>
      <c r="F39" s="3"/>
      <c r="G39" s="3"/>
      <c r="H39" s="3"/>
      <c r="I39" s="3"/>
      <c r="J39" s="3"/>
    </row>
    <row r="40" s="1" customFormat="1" customHeight="1" spans="1:10">
      <c r="A40" s="2"/>
      <c r="B40" s="1"/>
      <c r="C40" s="3"/>
      <c r="D40" s="3"/>
      <c r="E40" s="2"/>
      <c r="F40" s="3"/>
      <c r="G40" s="3"/>
      <c r="H40" s="3"/>
      <c r="I40" s="3"/>
      <c r="J40" s="3"/>
    </row>
    <row r="41" s="1" customFormat="1" customHeight="1" spans="1:10">
      <c r="A41" s="2"/>
      <c r="B41" s="1"/>
      <c r="C41" s="3"/>
      <c r="D41" s="3"/>
      <c r="E41" s="2"/>
      <c r="F41" s="3"/>
      <c r="G41" s="3"/>
      <c r="H41" s="3"/>
      <c r="I41" s="3"/>
      <c r="J41" s="3"/>
    </row>
    <row r="42" s="1" customFormat="1" customHeight="1" spans="1:10">
      <c r="A42" s="2"/>
      <c r="B42" s="1"/>
      <c r="C42" s="3"/>
      <c r="D42" s="3"/>
      <c r="E42" s="2"/>
      <c r="F42" s="3"/>
      <c r="G42" s="3"/>
      <c r="H42" s="3"/>
      <c r="I42" s="3"/>
      <c r="J42" s="3"/>
    </row>
    <row r="43" s="1" customFormat="1" customHeight="1" spans="1:10">
      <c r="A43" s="2"/>
      <c r="B43" s="1"/>
      <c r="C43" s="3"/>
      <c r="D43" s="3"/>
      <c r="E43" s="2"/>
      <c r="F43" s="3"/>
      <c r="G43" s="3"/>
      <c r="H43" s="3"/>
      <c r="I43" s="3"/>
      <c r="J43" s="3"/>
    </row>
    <row r="44" s="1" customFormat="1" customHeight="1" spans="1:10">
      <c r="A44" s="2"/>
      <c r="B44" s="1"/>
      <c r="C44" s="3"/>
      <c r="D44" s="3"/>
      <c r="E44" s="2"/>
      <c r="F44" s="3"/>
      <c r="G44" s="3"/>
      <c r="H44" s="3"/>
      <c r="I44" s="3"/>
      <c r="J44" s="3"/>
    </row>
    <row r="45" s="1" customFormat="1" customHeight="1" spans="1:10">
      <c r="A45" s="2"/>
      <c r="B45" s="1"/>
      <c r="C45" s="3"/>
      <c r="D45" s="3"/>
      <c r="E45" s="2"/>
      <c r="F45" s="3"/>
      <c r="G45" s="3"/>
      <c r="H45" s="3"/>
      <c r="I45" s="3"/>
      <c r="J45" s="3"/>
    </row>
    <row r="46" s="1" customFormat="1" customHeight="1" spans="1:10">
      <c r="A46" s="2"/>
      <c r="B46" s="1"/>
      <c r="C46" s="3"/>
      <c r="D46" s="3"/>
      <c r="E46" s="2"/>
      <c r="F46" s="3"/>
      <c r="G46" s="3"/>
      <c r="H46" s="3"/>
      <c r="I46" s="3"/>
      <c r="J46" s="3"/>
    </row>
    <row r="47" s="1" customFormat="1" customHeight="1" spans="1:10">
      <c r="A47" s="2"/>
      <c r="B47" s="1"/>
      <c r="C47" s="3"/>
      <c r="D47" s="3"/>
      <c r="E47" s="2"/>
      <c r="F47" s="3"/>
      <c r="G47" s="3"/>
      <c r="H47" s="3"/>
      <c r="I47" s="3"/>
      <c r="J47" s="3"/>
    </row>
    <row r="48" s="1" customFormat="1" customHeight="1" spans="1:10">
      <c r="A48" s="2"/>
      <c r="B48" s="1"/>
      <c r="C48" s="3"/>
      <c r="D48" s="3"/>
      <c r="E48" s="2"/>
      <c r="F48" s="3"/>
      <c r="G48" s="3"/>
      <c r="H48" s="3"/>
      <c r="I48" s="3"/>
      <c r="J48" s="3"/>
    </row>
    <row r="49" s="1" customFormat="1" customHeight="1" spans="1:10">
      <c r="A49" s="2"/>
      <c r="B49" s="1"/>
      <c r="C49" s="3"/>
      <c r="D49" s="3"/>
      <c r="E49" s="2"/>
      <c r="F49" s="3"/>
      <c r="G49" s="3"/>
      <c r="H49" s="3"/>
      <c r="I49" s="3"/>
      <c r="J49" s="3"/>
    </row>
    <row r="50" s="1" customFormat="1" customHeight="1" spans="1:10">
      <c r="A50" s="2"/>
      <c r="B50" s="1"/>
      <c r="C50" s="3"/>
      <c r="D50" s="3"/>
      <c r="E50" s="2"/>
      <c r="F50" s="3"/>
      <c r="G50" s="3"/>
      <c r="H50" s="3"/>
      <c r="I50" s="3"/>
      <c r="J50" s="3"/>
    </row>
    <row r="51" s="1" customFormat="1" customHeight="1" spans="1:10">
      <c r="A51" s="2"/>
      <c r="B51" s="1"/>
      <c r="C51" s="3"/>
      <c r="D51" s="3"/>
      <c r="E51" s="2"/>
      <c r="F51" s="3"/>
      <c r="G51" s="3"/>
      <c r="H51" s="3"/>
      <c r="I51" s="3"/>
      <c r="J51" s="3"/>
    </row>
    <row r="52" s="1" customFormat="1" customHeight="1" spans="1:10">
      <c r="A52" s="2"/>
      <c r="B52" s="1"/>
      <c r="C52" s="3"/>
      <c r="D52" s="3"/>
      <c r="E52" s="2"/>
      <c r="F52" s="3"/>
      <c r="G52" s="3"/>
      <c r="H52" s="3"/>
      <c r="I52" s="3"/>
      <c r="J52" s="3"/>
    </row>
    <row r="53" s="1" customFormat="1" customHeight="1" spans="1:10">
      <c r="A53" s="2"/>
      <c r="B53" s="1"/>
      <c r="C53" s="3"/>
      <c r="D53" s="3"/>
      <c r="E53" s="2"/>
      <c r="F53" s="3"/>
      <c r="G53" s="3"/>
      <c r="H53" s="3"/>
      <c r="I53" s="3"/>
      <c r="J53" s="3"/>
    </row>
    <row r="54" s="1" customFormat="1" customHeight="1" spans="1:10">
      <c r="A54" s="2"/>
      <c r="B54" s="1"/>
      <c r="C54" s="3"/>
      <c r="D54" s="3"/>
      <c r="E54" s="2"/>
      <c r="F54" s="3"/>
      <c r="G54" s="3"/>
      <c r="H54" s="3"/>
      <c r="I54" s="3"/>
      <c r="J54" s="3"/>
    </row>
    <row r="55" s="1" customFormat="1" customHeight="1" spans="1:10">
      <c r="A55" s="2"/>
      <c r="B55" s="1"/>
      <c r="C55" s="3"/>
      <c r="D55" s="3"/>
      <c r="E55" s="2"/>
      <c r="F55" s="3"/>
      <c r="G55" s="3"/>
      <c r="H55" s="3"/>
      <c r="I55" s="3"/>
      <c r="J55" s="3"/>
    </row>
    <row r="56" s="1" customFormat="1" customHeight="1" spans="1:10">
      <c r="A56" s="2"/>
      <c r="B56" s="1"/>
      <c r="C56" s="3"/>
      <c r="D56" s="3"/>
      <c r="E56" s="2"/>
      <c r="F56" s="3"/>
      <c r="G56" s="3"/>
      <c r="H56" s="3"/>
      <c r="I56" s="3"/>
      <c r="J56" s="3"/>
    </row>
    <row r="57" s="1" customFormat="1" customHeight="1" spans="1:10">
      <c r="A57" s="2"/>
      <c r="B57" s="1"/>
      <c r="C57" s="3"/>
      <c r="D57" s="3"/>
      <c r="E57" s="2"/>
      <c r="F57" s="3"/>
      <c r="G57" s="3"/>
      <c r="H57" s="3"/>
      <c r="I57" s="3"/>
      <c r="J57" s="3"/>
    </row>
    <row r="58" s="1" customFormat="1" customHeight="1" spans="1:10">
      <c r="A58" s="2"/>
      <c r="B58" s="1"/>
      <c r="C58" s="3"/>
      <c r="D58" s="3"/>
      <c r="E58" s="2"/>
      <c r="F58" s="3"/>
      <c r="G58" s="3"/>
      <c r="H58" s="3"/>
      <c r="I58" s="3"/>
      <c r="J58" s="3"/>
    </row>
    <row r="59" s="1" customFormat="1" customHeight="1" spans="1:10">
      <c r="A59" s="2"/>
      <c r="B59" s="1"/>
      <c r="C59" s="3"/>
      <c r="D59" s="3"/>
      <c r="E59" s="2"/>
      <c r="F59" s="3"/>
      <c r="G59" s="3"/>
      <c r="H59" s="3"/>
      <c r="I59" s="3"/>
      <c r="J59" s="3"/>
    </row>
    <row r="60" s="1" customFormat="1" customHeight="1" spans="1:10">
      <c r="A60" s="2"/>
      <c r="B60" s="1"/>
      <c r="C60" s="3"/>
      <c r="D60" s="3"/>
      <c r="E60" s="2"/>
      <c r="F60" s="3"/>
      <c r="G60" s="3"/>
      <c r="H60" s="3"/>
      <c r="I60" s="3"/>
      <c r="J60" s="3"/>
    </row>
    <row r="61" s="1" customFormat="1" customHeight="1" spans="1:10">
      <c r="A61" s="2"/>
      <c r="B61" s="1"/>
      <c r="C61" s="3"/>
      <c r="D61" s="3"/>
      <c r="E61" s="2"/>
      <c r="F61" s="3"/>
      <c r="G61" s="3"/>
      <c r="H61" s="3"/>
      <c r="I61" s="3"/>
      <c r="J61" s="3"/>
    </row>
    <row r="62" s="1" customFormat="1" customHeight="1" spans="1:10">
      <c r="A62" s="2"/>
      <c r="B62" s="1"/>
      <c r="C62" s="3"/>
      <c r="D62" s="3"/>
      <c r="E62" s="2"/>
      <c r="F62" s="3"/>
      <c r="G62" s="3"/>
      <c r="H62" s="3"/>
      <c r="I62" s="3"/>
      <c r="J62" s="3"/>
    </row>
    <row r="63" s="1" customFormat="1" customHeight="1" spans="1:10">
      <c r="A63" s="2"/>
      <c r="B63" s="1"/>
      <c r="C63" s="3"/>
      <c r="D63" s="3"/>
      <c r="E63" s="2"/>
      <c r="F63" s="3"/>
      <c r="G63" s="3"/>
      <c r="H63" s="3"/>
      <c r="I63" s="3"/>
      <c r="J63" s="3"/>
    </row>
    <row r="64" s="1" customFormat="1" customHeight="1" spans="1:10">
      <c r="A64" s="2"/>
      <c r="B64" s="1"/>
      <c r="C64" s="3"/>
      <c r="D64" s="3"/>
      <c r="E64" s="2"/>
      <c r="F64" s="3"/>
      <c r="G64" s="3"/>
      <c r="H64" s="3"/>
      <c r="I64" s="3"/>
      <c r="J64" s="3"/>
    </row>
    <row r="65" s="1" customFormat="1" customHeight="1" spans="1:10">
      <c r="A65" s="2"/>
      <c r="B65" s="1"/>
      <c r="C65" s="3"/>
      <c r="D65" s="3"/>
      <c r="E65" s="2"/>
      <c r="F65" s="3"/>
      <c r="G65" s="3"/>
      <c r="H65" s="3"/>
      <c r="I65" s="3"/>
      <c r="J65" s="3"/>
    </row>
    <row r="66" s="1" customFormat="1" customHeight="1" spans="1:10">
      <c r="A66" s="2"/>
      <c r="B66" s="1"/>
      <c r="C66" s="3"/>
      <c r="D66" s="3"/>
      <c r="E66" s="2"/>
      <c r="F66" s="3"/>
      <c r="G66" s="3"/>
      <c r="H66" s="3"/>
      <c r="I66" s="3"/>
      <c r="J66" s="3"/>
    </row>
    <row r="67" s="1" customFormat="1" customHeight="1" spans="1:10">
      <c r="A67" s="2"/>
      <c r="B67" s="1"/>
      <c r="C67" s="3"/>
      <c r="D67" s="3"/>
      <c r="E67" s="2"/>
      <c r="F67" s="3"/>
      <c r="G67" s="3"/>
      <c r="H67" s="3"/>
      <c r="I67" s="3"/>
      <c r="J67" s="3"/>
    </row>
    <row r="68" s="1" customFormat="1" customHeight="1" spans="1:10">
      <c r="A68" s="2"/>
      <c r="B68" s="1"/>
      <c r="C68" s="3"/>
      <c r="D68" s="3"/>
      <c r="E68" s="2"/>
      <c r="F68" s="3"/>
      <c r="G68" s="3"/>
      <c r="H68" s="3"/>
      <c r="I68" s="3"/>
      <c r="J68" s="3"/>
    </row>
    <row r="69" s="1" customFormat="1" customHeight="1" spans="1:10">
      <c r="A69" s="2"/>
      <c r="B69" s="1"/>
      <c r="C69" s="3"/>
      <c r="D69" s="3"/>
      <c r="E69" s="2"/>
      <c r="F69" s="3"/>
      <c r="G69" s="3"/>
      <c r="H69" s="3"/>
      <c r="I69" s="3"/>
      <c r="J69" s="3"/>
    </row>
    <row r="70" s="1" customFormat="1" customHeight="1" spans="1:10">
      <c r="A70" s="2"/>
      <c r="B70" s="1"/>
      <c r="C70" s="3"/>
      <c r="D70" s="3"/>
      <c r="E70" s="2"/>
      <c r="F70" s="3"/>
      <c r="G70" s="3"/>
      <c r="H70" s="3"/>
      <c r="I70" s="3"/>
      <c r="J70" s="3"/>
    </row>
    <row r="71" s="1" customFormat="1" customHeight="1" spans="1:10">
      <c r="A71" s="2"/>
      <c r="B71" s="1"/>
      <c r="C71" s="3"/>
      <c r="D71" s="3"/>
      <c r="E71" s="2"/>
      <c r="F71" s="3"/>
      <c r="G71" s="3"/>
      <c r="H71" s="3"/>
      <c r="I71" s="3"/>
      <c r="J71" s="3"/>
    </row>
    <row r="72" s="1" customFormat="1" customHeight="1" spans="1:10">
      <c r="A72" s="2"/>
      <c r="B72" s="1"/>
      <c r="C72" s="3"/>
      <c r="D72" s="3"/>
      <c r="E72" s="2"/>
      <c r="F72" s="3"/>
      <c r="G72" s="3"/>
      <c r="H72" s="3"/>
      <c r="I72" s="3"/>
      <c r="J72" s="3"/>
    </row>
    <row r="73" s="1" customFormat="1" customHeight="1" spans="1:10">
      <c r="A73" s="2"/>
      <c r="B73" s="1"/>
      <c r="C73" s="3"/>
      <c r="D73" s="3"/>
      <c r="E73" s="2"/>
      <c r="F73" s="3"/>
      <c r="G73" s="3"/>
      <c r="H73" s="3"/>
      <c r="I73" s="3"/>
      <c r="J73" s="3"/>
    </row>
    <row r="74" s="1" customFormat="1" customHeight="1" spans="1:10">
      <c r="A74" s="2"/>
      <c r="B74" s="1"/>
      <c r="C74" s="3"/>
      <c r="D74" s="3"/>
      <c r="E74" s="2"/>
      <c r="F74" s="3"/>
      <c r="G74" s="3"/>
      <c r="H74" s="3"/>
      <c r="I74" s="3"/>
      <c r="J74" s="3"/>
    </row>
    <row r="75" s="1" customFormat="1" customHeight="1" spans="1:10">
      <c r="A75" s="2"/>
      <c r="B75" s="1"/>
      <c r="C75" s="3"/>
      <c r="D75" s="3"/>
      <c r="E75" s="2"/>
      <c r="F75" s="3"/>
      <c r="G75" s="3"/>
      <c r="H75" s="3"/>
      <c r="I75" s="3"/>
      <c r="J75" s="3"/>
    </row>
    <row r="76" s="1" customFormat="1" customHeight="1" spans="1:10">
      <c r="A76" s="2"/>
      <c r="B76" s="1"/>
      <c r="C76" s="3"/>
      <c r="D76" s="3"/>
      <c r="E76" s="2"/>
      <c r="F76" s="3"/>
      <c r="G76" s="3"/>
      <c r="H76" s="3"/>
      <c r="I76" s="3"/>
      <c r="J76" s="3"/>
    </row>
    <row r="77" s="1" customFormat="1" customHeight="1" spans="1:10">
      <c r="A77" s="2"/>
      <c r="B77" s="1"/>
      <c r="C77" s="3"/>
      <c r="D77" s="3"/>
      <c r="E77" s="2"/>
      <c r="F77" s="3"/>
      <c r="G77" s="3"/>
      <c r="H77" s="3"/>
      <c r="I77" s="3"/>
      <c r="J77" s="3"/>
    </row>
    <row r="78" s="1" customFormat="1" customHeight="1" spans="1:10">
      <c r="A78" s="2"/>
      <c r="B78" s="1"/>
      <c r="C78" s="3"/>
      <c r="D78" s="3"/>
      <c r="E78" s="2"/>
      <c r="F78" s="3"/>
      <c r="G78" s="3"/>
      <c r="H78" s="3"/>
      <c r="I78" s="3"/>
      <c r="J78" s="3"/>
    </row>
    <row r="79" s="1" customFormat="1" customHeight="1" spans="1:10">
      <c r="A79" s="2"/>
      <c r="B79" s="1"/>
      <c r="C79" s="3"/>
      <c r="D79" s="3"/>
      <c r="E79" s="2"/>
      <c r="F79" s="3"/>
      <c r="G79" s="3"/>
      <c r="H79" s="3"/>
      <c r="I79" s="3"/>
      <c r="J79" s="3"/>
    </row>
    <row r="80" s="1" customFormat="1" customHeight="1" spans="1:10">
      <c r="A80" s="2"/>
      <c r="B80" s="1"/>
      <c r="C80" s="3"/>
      <c r="D80" s="3"/>
      <c r="E80" s="2"/>
      <c r="F80" s="3"/>
      <c r="G80" s="3"/>
      <c r="H80" s="3"/>
      <c r="I80" s="3"/>
      <c r="J80" s="3"/>
    </row>
    <row r="81" s="1" customFormat="1" customHeight="1" spans="1:10">
      <c r="A81" s="2"/>
      <c r="B81" s="1"/>
      <c r="C81" s="3"/>
      <c r="D81" s="3"/>
      <c r="E81" s="2"/>
      <c r="F81" s="3"/>
      <c r="G81" s="3"/>
      <c r="H81" s="3"/>
      <c r="I81" s="3"/>
      <c r="J81" s="3"/>
    </row>
    <row r="82" s="1" customFormat="1" customHeight="1" spans="1:10">
      <c r="A82" s="2"/>
      <c r="B82" s="1"/>
      <c r="C82" s="3"/>
      <c r="D82" s="3"/>
      <c r="E82" s="2"/>
      <c r="F82" s="3"/>
      <c r="G82" s="3"/>
      <c r="H82" s="3"/>
      <c r="I82" s="3"/>
      <c r="J82" s="3"/>
    </row>
    <row r="83" s="1" customFormat="1" customHeight="1" spans="1:10">
      <c r="A83" s="2"/>
      <c r="B83" s="1"/>
      <c r="C83" s="3"/>
      <c r="D83" s="3"/>
      <c r="E83" s="2"/>
      <c r="F83" s="3"/>
      <c r="G83" s="3"/>
      <c r="H83" s="3"/>
      <c r="I83" s="3"/>
      <c r="J83" s="3"/>
    </row>
    <row r="84" s="1" customFormat="1" customHeight="1" spans="1:10">
      <c r="A84" s="2"/>
      <c r="B84" s="1"/>
      <c r="C84" s="3"/>
      <c r="D84" s="3"/>
      <c r="E84" s="2"/>
      <c r="F84" s="3"/>
      <c r="G84" s="3"/>
      <c r="H84" s="3"/>
      <c r="I84" s="3"/>
      <c r="J84" s="3"/>
    </row>
    <row r="85" s="1" customFormat="1" customHeight="1" spans="1:10">
      <c r="A85" s="2"/>
      <c r="B85" s="1"/>
      <c r="C85" s="3"/>
      <c r="D85" s="3"/>
      <c r="E85" s="2"/>
      <c r="F85" s="3"/>
      <c r="G85" s="3"/>
      <c r="H85" s="3"/>
      <c r="I85" s="3"/>
      <c r="J85" s="3"/>
    </row>
    <row r="86" s="1" customFormat="1" customHeight="1" spans="1:10">
      <c r="A86" s="2"/>
      <c r="B86" s="1"/>
      <c r="C86" s="3"/>
      <c r="D86" s="3"/>
      <c r="E86" s="2"/>
      <c r="F86" s="3"/>
      <c r="G86" s="3"/>
      <c r="H86" s="3"/>
      <c r="I86" s="3"/>
      <c r="J86" s="3"/>
    </row>
    <row r="87" s="1" customFormat="1" customHeight="1" spans="1:10">
      <c r="A87" s="2"/>
      <c r="B87" s="1"/>
      <c r="C87" s="3"/>
      <c r="D87" s="3"/>
      <c r="E87" s="2"/>
      <c r="F87" s="3"/>
      <c r="G87" s="3"/>
      <c r="H87" s="3"/>
      <c r="I87" s="3"/>
      <c r="J87" s="3"/>
    </row>
    <row r="88" s="1" customFormat="1" customHeight="1" spans="1:10">
      <c r="A88" s="2"/>
      <c r="B88" s="1"/>
      <c r="C88" s="3"/>
      <c r="D88" s="3"/>
      <c r="E88" s="2"/>
      <c r="F88" s="3"/>
      <c r="G88" s="3"/>
      <c r="H88" s="3"/>
      <c r="I88" s="3"/>
      <c r="J88" s="3"/>
    </row>
    <row r="89" s="1" customFormat="1" customHeight="1" spans="1:10">
      <c r="A89" s="2"/>
      <c r="B89" s="1"/>
      <c r="C89" s="3"/>
      <c r="D89" s="3"/>
      <c r="E89" s="2"/>
      <c r="F89" s="3"/>
      <c r="G89" s="3"/>
      <c r="H89" s="3"/>
      <c r="I89" s="3"/>
      <c r="J89" s="3"/>
    </row>
    <row r="90" s="1" customFormat="1" customHeight="1" spans="1:10">
      <c r="A90" s="2"/>
      <c r="B90" s="1"/>
      <c r="C90" s="3"/>
      <c r="D90" s="3"/>
      <c r="E90" s="2"/>
      <c r="F90" s="3"/>
      <c r="G90" s="3"/>
      <c r="H90" s="3"/>
      <c r="I90" s="3"/>
      <c r="J90" s="3"/>
    </row>
    <row r="91" s="1" customFormat="1" customHeight="1" spans="1:10">
      <c r="A91" s="2"/>
      <c r="B91" s="1"/>
      <c r="C91" s="3"/>
      <c r="D91" s="3"/>
      <c r="E91" s="2"/>
      <c r="F91" s="3"/>
      <c r="G91" s="3"/>
      <c r="H91" s="3"/>
      <c r="I91" s="3"/>
      <c r="J91" s="3"/>
    </row>
    <row r="92" s="1" customFormat="1" customHeight="1" spans="1:10">
      <c r="A92" s="2"/>
      <c r="B92" s="1"/>
      <c r="C92" s="3"/>
      <c r="D92" s="3"/>
      <c r="E92" s="2"/>
      <c r="F92" s="3"/>
      <c r="G92" s="3"/>
      <c r="H92" s="3"/>
      <c r="I92" s="3"/>
      <c r="J92" s="3"/>
    </row>
    <row r="93" s="1" customFormat="1" customHeight="1" spans="1:10">
      <c r="A93" s="2"/>
      <c r="B93" s="1"/>
      <c r="C93" s="3"/>
      <c r="D93" s="3"/>
      <c r="E93" s="2"/>
      <c r="F93" s="3"/>
      <c r="G93" s="3"/>
      <c r="H93" s="3"/>
      <c r="I93" s="3"/>
      <c r="J93" s="3"/>
    </row>
    <row r="94" s="1" customFormat="1" customHeight="1" spans="1:10">
      <c r="A94" s="2"/>
      <c r="B94" s="1"/>
      <c r="C94" s="3"/>
      <c r="D94" s="3"/>
      <c r="E94" s="2"/>
      <c r="F94" s="3"/>
      <c r="G94" s="3"/>
      <c r="H94" s="3"/>
      <c r="I94" s="3"/>
      <c r="J94" s="3"/>
    </row>
    <row r="95" s="1" customFormat="1" customHeight="1" spans="1:10">
      <c r="A95" s="2"/>
      <c r="B95" s="1"/>
      <c r="C95" s="3"/>
      <c r="D95" s="3"/>
      <c r="E95" s="2"/>
      <c r="F95" s="3"/>
      <c r="G95" s="3"/>
      <c r="H95" s="3"/>
      <c r="I95" s="3"/>
      <c r="J95" s="3"/>
    </row>
    <row r="96" s="1" customFormat="1" customHeight="1" spans="1:10">
      <c r="A96" s="2"/>
      <c r="B96" s="1"/>
      <c r="C96" s="3"/>
      <c r="D96" s="3"/>
      <c r="E96" s="2"/>
      <c r="F96" s="3"/>
      <c r="G96" s="3"/>
      <c r="H96" s="3"/>
      <c r="I96" s="3"/>
      <c r="J96" s="3"/>
    </row>
    <row r="97" s="1" customFormat="1" customHeight="1" spans="1:10">
      <c r="A97" s="2"/>
      <c r="B97" s="1"/>
      <c r="C97" s="3"/>
      <c r="D97" s="3"/>
      <c r="E97" s="2"/>
      <c r="F97" s="3"/>
      <c r="G97" s="3"/>
      <c r="H97" s="3"/>
      <c r="I97" s="3"/>
      <c r="J97" s="3"/>
    </row>
    <row r="98" s="1" customFormat="1" customHeight="1" spans="1:10">
      <c r="A98" s="2"/>
      <c r="B98" s="1"/>
      <c r="C98" s="3"/>
      <c r="D98" s="3"/>
      <c r="E98" s="2"/>
      <c r="F98" s="3"/>
      <c r="G98" s="3"/>
      <c r="H98" s="3"/>
      <c r="I98" s="3"/>
      <c r="J98" s="3"/>
    </row>
    <row r="99" s="1" customFormat="1" customHeight="1" spans="1:10">
      <c r="A99" s="2"/>
      <c r="B99" s="1"/>
      <c r="C99" s="3"/>
      <c r="D99" s="3"/>
      <c r="E99" s="2"/>
      <c r="F99" s="3"/>
      <c r="G99" s="3"/>
      <c r="H99" s="3"/>
      <c r="I99" s="3"/>
      <c r="J99" s="3"/>
    </row>
    <row r="100" s="1" customFormat="1" customHeight="1" spans="1:10">
      <c r="A100" s="2"/>
      <c r="B100" s="1"/>
      <c r="C100" s="3"/>
      <c r="D100" s="3"/>
      <c r="E100" s="2"/>
      <c r="F100" s="3"/>
      <c r="G100" s="3"/>
      <c r="H100" s="3"/>
      <c r="I100" s="3"/>
      <c r="J100" s="3"/>
    </row>
    <row r="101" s="1" customFormat="1" customHeight="1" spans="1:10">
      <c r="A101" s="2"/>
      <c r="B101" s="1"/>
      <c r="C101" s="3"/>
      <c r="D101" s="3"/>
      <c r="E101" s="2"/>
      <c r="F101" s="3"/>
      <c r="G101" s="3"/>
      <c r="H101" s="3"/>
      <c r="I101" s="3"/>
      <c r="J101" s="3"/>
    </row>
    <row r="102" s="1" customFormat="1" customHeight="1" spans="1:10">
      <c r="A102" s="2"/>
      <c r="B102" s="1"/>
      <c r="C102" s="3"/>
      <c r="D102" s="3"/>
      <c r="E102" s="2"/>
      <c r="F102" s="3"/>
      <c r="G102" s="3"/>
      <c r="H102" s="3"/>
      <c r="I102" s="3"/>
      <c r="J102" s="3"/>
    </row>
    <row r="103" s="1" customFormat="1" customHeight="1" spans="1:10">
      <c r="A103" s="2"/>
      <c r="B103" s="1"/>
      <c r="C103" s="3"/>
      <c r="D103" s="3"/>
      <c r="E103" s="2"/>
      <c r="F103" s="3"/>
      <c r="G103" s="3"/>
      <c r="H103" s="3"/>
      <c r="I103" s="3"/>
      <c r="J103" s="3"/>
    </row>
    <row r="104" s="1" customFormat="1" customHeight="1" spans="1:10">
      <c r="A104" s="2"/>
      <c r="B104" s="1"/>
      <c r="C104" s="3"/>
      <c r="D104" s="3"/>
      <c r="E104" s="2"/>
      <c r="F104" s="3"/>
      <c r="G104" s="3"/>
      <c r="H104" s="3"/>
      <c r="I104" s="3"/>
      <c r="J104" s="3"/>
    </row>
    <row r="105" s="1" customFormat="1" customHeight="1" spans="1:10">
      <c r="A105" s="2"/>
      <c r="B105" s="1"/>
      <c r="C105" s="3"/>
      <c r="D105" s="3"/>
      <c r="E105" s="2"/>
      <c r="F105" s="3"/>
      <c r="G105" s="3"/>
      <c r="H105" s="3"/>
      <c r="I105" s="3"/>
      <c r="J105" s="3"/>
    </row>
    <row r="106" s="1" customFormat="1" customHeight="1" spans="1:10">
      <c r="A106" s="2"/>
      <c r="B106" s="1"/>
      <c r="C106" s="3"/>
      <c r="D106" s="3"/>
      <c r="E106" s="2"/>
      <c r="F106" s="3"/>
      <c r="G106" s="3"/>
      <c r="H106" s="3"/>
      <c r="I106" s="3"/>
      <c r="J106" s="3"/>
    </row>
    <row r="107" s="1" customFormat="1" customHeight="1" spans="1:10">
      <c r="A107" s="2"/>
      <c r="B107" s="1"/>
      <c r="C107" s="3"/>
      <c r="D107" s="3"/>
      <c r="E107" s="2"/>
      <c r="F107" s="3"/>
      <c r="G107" s="3"/>
      <c r="H107" s="3"/>
      <c r="I107" s="3"/>
      <c r="J107" s="3"/>
    </row>
    <row r="108" s="1" customFormat="1" customHeight="1" spans="1:10">
      <c r="A108" s="2"/>
      <c r="B108" s="1"/>
      <c r="C108" s="3"/>
      <c r="D108" s="3"/>
      <c r="E108" s="2"/>
      <c r="F108" s="3"/>
      <c r="G108" s="3"/>
      <c r="H108" s="3"/>
      <c r="I108" s="3"/>
      <c r="J108" s="3"/>
    </row>
    <row r="109" s="1" customFormat="1" customHeight="1" spans="1:10">
      <c r="A109" s="2"/>
      <c r="B109" s="1"/>
      <c r="C109" s="3"/>
      <c r="D109" s="3"/>
      <c r="E109" s="2"/>
      <c r="F109" s="3"/>
      <c r="G109" s="3"/>
      <c r="H109" s="3"/>
      <c r="I109" s="3"/>
      <c r="J109" s="3"/>
    </row>
    <row r="110" s="1" customFormat="1" customHeight="1" spans="1:10">
      <c r="A110" s="2"/>
      <c r="B110" s="1"/>
      <c r="C110" s="3"/>
      <c r="D110" s="3"/>
      <c r="E110" s="2"/>
      <c r="F110" s="3"/>
      <c r="G110" s="3"/>
      <c r="H110" s="3"/>
      <c r="I110" s="3"/>
      <c r="J110" s="3"/>
    </row>
    <row r="111" s="1" customFormat="1" customHeight="1" spans="1:10">
      <c r="A111" s="2"/>
      <c r="B111" s="1"/>
      <c r="C111" s="3"/>
      <c r="D111" s="3"/>
      <c r="E111" s="2"/>
      <c r="F111" s="3"/>
      <c r="G111" s="3"/>
      <c r="H111" s="3"/>
      <c r="I111" s="3"/>
      <c r="J111" s="3"/>
    </row>
    <row r="112" s="1" customFormat="1" customHeight="1" spans="1:10">
      <c r="A112" s="2"/>
      <c r="B112" s="1"/>
      <c r="C112" s="3"/>
      <c r="D112" s="3"/>
      <c r="E112" s="2"/>
      <c r="F112" s="3"/>
      <c r="G112" s="3"/>
      <c r="H112" s="3"/>
      <c r="I112" s="3"/>
      <c r="J112" s="3"/>
    </row>
    <row r="113" s="1" customFormat="1" customHeight="1" spans="1:10">
      <c r="A113" s="2"/>
      <c r="B113" s="1"/>
      <c r="C113" s="3"/>
      <c r="D113" s="3"/>
      <c r="E113" s="2"/>
      <c r="F113" s="3"/>
      <c r="G113" s="3"/>
      <c r="H113" s="3"/>
      <c r="I113" s="3"/>
      <c r="J113" s="3"/>
    </row>
    <row r="114" s="1" customFormat="1" customHeight="1" spans="1:10">
      <c r="A114" s="2"/>
      <c r="B114" s="1"/>
      <c r="C114" s="3"/>
      <c r="D114" s="3"/>
      <c r="E114" s="2"/>
      <c r="F114" s="3"/>
      <c r="G114" s="3"/>
      <c r="H114" s="3"/>
      <c r="I114" s="3"/>
      <c r="J114" s="3"/>
    </row>
    <row r="115" s="1" customFormat="1" customHeight="1" spans="1:10">
      <c r="A115" s="2"/>
      <c r="B115" s="1"/>
      <c r="C115" s="3"/>
      <c r="D115" s="3"/>
      <c r="E115" s="2"/>
      <c r="F115" s="3"/>
      <c r="G115" s="3"/>
      <c r="H115" s="3"/>
      <c r="I115" s="3"/>
      <c r="J115" s="3"/>
    </row>
    <row r="116" s="1" customFormat="1" customHeight="1" spans="1:10">
      <c r="A116" s="2"/>
      <c r="B116" s="1"/>
      <c r="C116" s="3"/>
      <c r="D116" s="3"/>
      <c r="E116" s="2"/>
      <c r="F116" s="3"/>
      <c r="G116" s="3"/>
      <c r="H116" s="3"/>
      <c r="I116" s="3"/>
      <c r="J116" s="3"/>
    </row>
    <row r="117" s="1" customFormat="1" customHeight="1" spans="1:10">
      <c r="A117" s="2"/>
      <c r="B117" s="1"/>
      <c r="C117" s="3"/>
      <c r="D117" s="3"/>
      <c r="E117" s="2"/>
      <c r="F117" s="3"/>
      <c r="G117" s="3"/>
      <c r="H117" s="3"/>
      <c r="I117" s="3"/>
      <c r="J117" s="3"/>
    </row>
    <row r="118" s="1" customFormat="1" customHeight="1" spans="1:10">
      <c r="A118" s="2"/>
      <c r="B118" s="1"/>
      <c r="C118" s="3"/>
      <c r="D118" s="3"/>
      <c r="E118" s="2"/>
      <c r="F118" s="3"/>
      <c r="G118" s="3"/>
      <c r="H118" s="3"/>
      <c r="I118" s="3"/>
      <c r="J118" s="3"/>
    </row>
    <row r="119" s="1" customFormat="1" customHeight="1" spans="1:10">
      <c r="A119" s="2"/>
      <c r="B119" s="1"/>
      <c r="C119" s="3"/>
      <c r="D119" s="3"/>
      <c r="E119" s="2"/>
      <c r="F119" s="3"/>
      <c r="G119" s="3"/>
      <c r="H119" s="3"/>
      <c r="I119" s="3"/>
      <c r="J119" s="3"/>
    </row>
    <row r="120" s="1" customFormat="1" customHeight="1" spans="1:10">
      <c r="A120" s="2"/>
      <c r="B120" s="1"/>
      <c r="C120" s="3"/>
      <c r="D120" s="3"/>
      <c r="E120" s="2"/>
      <c r="F120" s="3"/>
      <c r="G120" s="3"/>
      <c r="H120" s="3"/>
      <c r="I120" s="3"/>
      <c r="J120" s="3"/>
    </row>
    <row r="121" s="1" customFormat="1" customHeight="1" spans="1:10">
      <c r="A121" s="2"/>
      <c r="B121" s="1"/>
      <c r="C121" s="3"/>
      <c r="D121" s="3"/>
      <c r="E121" s="2"/>
      <c r="F121" s="3"/>
      <c r="G121" s="3"/>
      <c r="H121" s="3"/>
      <c r="I121" s="3"/>
      <c r="J121" s="3"/>
    </row>
    <row r="122" s="1" customFormat="1" customHeight="1" spans="1:10">
      <c r="A122" s="2"/>
      <c r="B122" s="1"/>
      <c r="C122" s="3"/>
      <c r="D122" s="3"/>
      <c r="E122" s="2"/>
      <c r="F122" s="3"/>
      <c r="G122" s="3"/>
      <c r="H122" s="3"/>
      <c r="I122" s="3"/>
      <c r="J122" s="3"/>
    </row>
    <row r="123" s="1" customFormat="1" customHeight="1" spans="1:10">
      <c r="A123" s="2"/>
      <c r="B123" s="1"/>
      <c r="C123" s="3"/>
      <c r="D123" s="3"/>
      <c r="E123" s="2"/>
      <c r="F123" s="3"/>
      <c r="G123" s="3"/>
      <c r="H123" s="3"/>
      <c r="I123" s="3"/>
      <c r="J123" s="3"/>
    </row>
    <row r="124" s="1" customFormat="1" customHeight="1" spans="1:10">
      <c r="A124" s="2"/>
      <c r="B124" s="1"/>
      <c r="C124" s="3"/>
      <c r="D124" s="3"/>
      <c r="E124" s="2"/>
      <c r="F124" s="3"/>
      <c r="G124" s="3"/>
      <c r="H124" s="3"/>
      <c r="I124" s="3"/>
      <c r="J124" s="3"/>
    </row>
    <row r="125" s="1" customFormat="1" customHeight="1" spans="1:10">
      <c r="A125" s="2"/>
      <c r="B125" s="1"/>
      <c r="C125" s="3"/>
      <c r="D125" s="3"/>
      <c r="E125" s="2"/>
      <c r="F125" s="3"/>
      <c r="G125" s="3"/>
      <c r="H125" s="3"/>
      <c r="I125" s="3"/>
      <c r="J125" s="3"/>
    </row>
    <row r="126" s="1" customFormat="1" customHeight="1" spans="1:10">
      <c r="A126" s="2"/>
      <c r="B126" s="1"/>
      <c r="C126" s="3"/>
      <c r="D126" s="3"/>
      <c r="E126" s="2"/>
      <c r="F126" s="3"/>
      <c r="G126" s="3"/>
      <c r="H126" s="3"/>
      <c r="I126" s="3"/>
      <c r="J126" s="3"/>
    </row>
    <row r="127" s="1" customFormat="1" customHeight="1" spans="1:10">
      <c r="A127" s="2"/>
      <c r="B127" s="1"/>
      <c r="C127" s="3"/>
      <c r="D127" s="3"/>
      <c r="E127" s="2"/>
      <c r="F127" s="3"/>
      <c r="G127" s="3"/>
      <c r="H127" s="3"/>
      <c r="I127" s="3"/>
      <c r="J127" s="3"/>
    </row>
    <row r="128" s="1" customFormat="1" customHeight="1" spans="1:10">
      <c r="A128" s="2"/>
      <c r="B128" s="1"/>
      <c r="C128" s="3"/>
      <c r="D128" s="3"/>
      <c r="E128" s="2"/>
      <c r="F128" s="3"/>
      <c r="G128" s="3"/>
      <c r="H128" s="3"/>
      <c r="I128" s="3"/>
      <c r="J128" s="3"/>
    </row>
    <row r="129" s="1" customFormat="1" customHeight="1" spans="1:10">
      <c r="A129" s="2"/>
      <c r="B129" s="1"/>
      <c r="C129" s="3"/>
      <c r="D129" s="3"/>
      <c r="E129" s="2"/>
      <c r="F129" s="3"/>
      <c r="G129" s="3"/>
      <c r="H129" s="3"/>
      <c r="I129" s="3"/>
      <c r="J129" s="3"/>
    </row>
    <row r="130" s="1" customFormat="1" customHeight="1" spans="1:10">
      <c r="A130" s="2"/>
      <c r="B130" s="1"/>
      <c r="C130" s="3"/>
      <c r="D130" s="3"/>
      <c r="E130" s="2"/>
      <c r="F130" s="3"/>
      <c r="G130" s="3"/>
      <c r="H130" s="3"/>
      <c r="I130" s="3"/>
      <c r="J130" s="3"/>
    </row>
    <row r="131" s="1" customFormat="1" customHeight="1" spans="1:10">
      <c r="A131" s="2"/>
      <c r="B131" s="1"/>
      <c r="C131" s="3"/>
      <c r="D131" s="3"/>
      <c r="E131" s="2"/>
      <c r="F131" s="3"/>
      <c r="G131" s="3"/>
      <c r="H131" s="3"/>
      <c r="I131" s="3"/>
      <c r="J131" s="3"/>
    </row>
    <row r="132" s="1" customFormat="1" customHeight="1" spans="1:10">
      <c r="A132" s="2"/>
      <c r="B132" s="1"/>
      <c r="C132" s="3"/>
      <c r="D132" s="3"/>
      <c r="E132" s="2"/>
      <c r="F132" s="3"/>
      <c r="G132" s="3"/>
      <c r="H132" s="3"/>
      <c r="I132" s="3"/>
      <c r="J132" s="3"/>
    </row>
    <row r="133" s="1" customFormat="1" customHeight="1" spans="1:10">
      <c r="A133" s="2"/>
      <c r="B133" s="1"/>
      <c r="C133" s="3"/>
      <c r="D133" s="3"/>
      <c r="E133" s="2"/>
      <c r="F133" s="3"/>
      <c r="G133" s="3"/>
      <c r="H133" s="3"/>
      <c r="I133" s="3"/>
      <c r="J133" s="3"/>
    </row>
    <row r="134" s="1" customFormat="1" customHeight="1" spans="1:10">
      <c r="A134" s="2"/>
      <c r="B134" s="1"/>
      <c r="C134" s="3"/>
      <c r="D134" s="3"/>
      <c r="E134" s="2"/>
      <c r="F134" s="3"/>
      <c r="G134" s="3"/>
      <c r="H134" s="3"/>
      <c r="I134" s="3"/>
      <c r="J134" s="3"/>
    </row>
    <row r="135" s="1" customFormat="1" customHeight="1" spans="1:10">
      <c r="A135" s="2"/>
      <c r="B135" s="1"/>
      <c r="C135" s="3"/>
      <c r="D135" s="3"/>
      <c r="E135" s="2"/>
      <c r="F135" s="3"/>
      <c r="G135" s="3"/>
      <c r="H135" s="3"/>
      <c r="I135" s="3"/>
      <c r="J135" s="3"/>
    </row>
    <row r="136" s="1" customFormat="1" customHeight="1" spans="1:10">
      <c r="A136" s="2"/>
      <c r="B136" s="1"/>
      <c r="C136" s="3"/>
      <c r="D136" s="3"/>
      <c r="E136" s="2"/>
      <c r="F136" s="3"/>
      <c r="G136" s="3"/>
      <c r="H136" s="3"/>
      <c r="I136" s="3"/>
      <c r="J136" s="3"/>
    </row>
    <row r="137" s="1" customFormat="1" customHeight="1" spans="1:10">
      <c r="A137" s="2"/>
      <c r="B137" s="1"/>
      <c r="C137" s="3"/>
      <c r="D137" s="3"/>
      <c r="E137" s="2"/>
      <c r="F137" s="3"/>
      <c r="G137" s="3"/>
      <c r="H137" s="3"/>
      <c r="I137" s="3"/>
      <c r="J137" s="3"/>
    </row>
    <row r="138" s="1" customFormat="1" customHeight="1" spans="1:10">
      <c r="A138" s="2"/>
      <c r="B138" s="1"/>
      <c r="C138" s="3"/>
      <c r="D138" s="3"/>
      <c r="E138" s="2"/>
      <c r="F138" s="3"/>
      <c r="G138" s="3"/>
      <c r="H138" s="3"/>
      <c r="I138" s="3"/>
      <c r="J138" s="3"/>
    </row>
    <row r="139" s="1" customFormat="1" customHeight="1" spans="1:10">
      <c r="A139" s="2"/>
      <c r="B139" s="1"/>
      <c r="C139" s="3"/>
      <c r="D139" s="3"/>
      <c r="E139" s="2"/>
      <c r="F139" s="3"/>
      <c r="G139" s="3"/>
      <c r="H139" s="3"/>
      <c r="I139" s="3"/>
      <c r="J139" s="3"/>
    </row>
    <row r="140" s="1" customFormat="1" customHeight="1" spans="1:10">
      <c r="A140" s="2"/>
      <c r="B140" s="1"/>
      <c r="C140" s="3"/>
      <c r="D140" s="3"/>
      <c r="E140" s="2"/>
      <c r="F140" s="3"/>
      <c r="G140" s="3"/>
      <c r="H140" s="3"/>
      <c r="I140" s="3"/>
      <c r="J140" s="3"/>
    </row>
    <row r="141" s="1" customFormat="1" customHeight="1" spans="1:10">
      <c r="A141" s="2"/>
      <c r="B141" s="1"/>
      <c r="C141" s="3"/>
      <c r="D141" s="3"/>
      <c r="E141" s="2"/>
      <c r="F141" s="3"/>
      <c r="G141" s="3"/>
      <c r="H141" s="3"/>
      <c r="I141" s="3"/>
      <c r="J141" s="3"/>
    </row>
    <row r="142" s="1" customFormat="1" customHeight="1" spans="1:10">
      <c r="A142" s="2"/>
      <c r="B142" s="1"/>
      <c r="C142" s="3"/>
      <c r="D142" s="3"/>
      <c r="E142" s="2"/>
      <c r="F142" s="3"/>
      <c r="G142" s="3"/>
      <c r="H142" s="3"/>
      <c r="I142" s="3"/>
      <c r="J142" s="3"/>
    </row>
    <row r="143" s="1" customFormat="1" customHeight="1" spans="1:10">
      <c r="A143" s="2"/>
      <c r="B143" s="1"/>
      <c r="C143" s="3"/>
      <c r="D143" s="3"/>
      <c r="E143" s="2"/>
      <c r="F143" s="3"/>
      <c r="G143" s="3"/>
      <c r="H143" s="3"/>
      <c r="I143" s="3"/>
      <c r="J143" s="3"/>
    </row>
    <row r="144" s="1" customFormat="1" customHeight="1" spans="1:10">
      <c r="A144" s="2"/>
      <c r="B144" s="1"/>
      <c r="C144" s="3"/>
      <c r="D144" s="3"/>
      <c r="E144" s="2"/>
      <c r="F144" s="3"/>
      <c r="G144" s="3"/>
      <c r="H144" s="3"/>
      <c r="I144" s="3"/>
      <c r="J144" s="3"/>
    </row>
    <row r="145" s="1" customFormat="1" customHeight="1" spans="1:10">
      <c r="A145" s="2"/>
      <c r="B145" s="1"/>
      <c r="C145" s="3"/>
      <c r="D145" s="3"/>
      <c r="E145" s="2"/>
      <c r="F145" s="3"/>
      <c r="G145" s="3"/>
      <c r="H145" s="3"/>
      <c r="I145" s="3"/>
      <c r="J145" s="3"/>
    </row>
    <row r="146" s="1" customFormat="1" customHeight="1" spans="1:10">
      <c r="A146" s="2"/>
      <c r="B146" s="1"/>
      <c r="C146" s="3"/>
      <c r="D146" s="3"/>
      <c r="E146" s="2"/>
      <c r="F146" s="3"/>
      <c r="G146" s="3"/>
      <c r="H146" s="3"/>
      <c r="I146" s="3"/>
      <c r="J146" s="3"/>
    </row>
    <row r="147" s="1" customFormat="1" customHeight="1" spans="1:10">
      <c r="A147" s="2"/>
      <c r="B147" s="1"/>
      <c r="C147" s="3"/>
      <c r="D147" s="3"/>
      <c r="E147" s="2"/>
      <c r="F147" s="3"/>
      <c r="G147" s="3"/>
      <c r="H147" s="3"/>
      <c r="I147" s="3"/>
      <c r="J147" s="3"/>
    </row>
    <row r="148" s="1" customFormat="1" customHeight="1" spans="1:10">
      <c r="A148" s="2"/>
      <c r="B148" s="1"/>
      <c r="C148" s="3"/>
      <c r="D148" s="3"/>
      <c r="E148" s="2"/>
      <c r="F148" s="3"/>
      <c r="G148" s="3"/>
      <c r="H148" s="3"/>
      <c r="I148" s="3"/>
      <c r="J148" s="3"/>
    </row>
    <row r="149" s="1" customFormat="1" customHeight="1" spans="1:10">
      <c r="A149" s="2"/>
      <c r="B149" s="1"/>
      <c r="C149" s="3"/>
      <c r="D149" s="3"/>
      <c r="E149" s="2"/>
      <c r="F149" s="3"/>
      <c r="G149" s="3"/>
      <c r="H149" s="3"/>
      <c r="I149" s="3"/>
      <c r="J149" s="3"/>
    </row>
    <row r="150" s="1" customFormat="1" customHeight="1" spans="1:10">
      <c r="A150" s="2"/>
      <c r="B150" s="1"/>
      <c r="C150" s="3"/>
      <c r="D150" s="3"/>
      <c r="E150" s="2"/>
      <c r="F150" s="3"/>
      <c r="G150" s="3"/>
      <c r="H150" s="3"/>
      <c r="I150" s="3"/>
      <c r="J150" s="3"/>
    </row>
    <row r="151" s="1" customFormat="1" customHeight="1" spans="1:10">
      <c r="A151" s="2"/>
      <c r="B151" s="1"/>
      <c r="C151" s="3"/>
      <c r="D151" s="3"/>
      <c r="E151" s="2"/>
      <c r="F151" s="3"/>
      <c r="G151" s="3"/>
      <c r="H151" s="3"/>
      <c r="I151" s="3"/>
      <c r="J151" s="3"/>
    </row>
    <row r="152" s="1" customFormat="1" customHeight="1" spans="1:10">
      <c r="A152" s="2"/>
      <c r="B152" s="1"/>
      <c r="C152" s="3"/>
      <c r="D152" s="3"/>
      <c r="E152" s="2"/>
      <c r="F152" s="3"/>
      <c r="G152" s="3"/>
      <c r="H152" s="3"/>
      <c r="I152" s="3"/>
      <c r="J152" s="3"/>
    </row>
    <row r="153" s="1" customFormat="1" customHeight="1" spans="1:10">
      <c r="A153" s="2"/>
      <c r="B153" s="1"/>
      <c r="C153" s="3"/>
      <c r="D153" s="3"/>
      <c r="E153" s="2"/>
      <c r="F153" s="3"/>
      <c r="G153" s="3"/>
      <c r="H153" s="3"/>
      <c r="I153" s="3"/>
      <c r="J153" s="3"/>
    </row>
    <row r="154" s="1" customFormat="1" customHeight="1" spans="1:10">
      <c r="A154" s="2"/>
      <c r="B154" s="1"/>
      <c r="C154" s="3"/>
      <c r="D154" s="3"/>
      <c r="E154" s="2"/>
      <c r="F154" s="3"/>
      <c r="G154" s="3"/>
      <c r="H154" s="3"/>
      <c r="I154" s="3"/>
      <c r="J154" s="3"/>
    </row>
    <row r="155" s="1" customFormat="1" customHeight="1" spans="1:10">
      <c r="A155" s="2"/>
      <c r="B155" s="1"/>
      <c r="C155" s="3"/>
      <c r="D155" s="3"/>
      <c r="E155" s="2"/>
      <c r="F155" s="3"/>
      <c r="G155" s="3"/>
      <c r="H155" s="3"/>
      <c r="I155" s="3"/>
      <c r="J155" s="3"/>
    </row>
    <row r="156" s="1" customFormat="1" customHeight="1" spans="1:10">
      <c r="A156" s="2"/>
      <c r="B156" s="1"/>
      <c r="C156" s="3"/>
      <c r="D156" s="3"/>
      <c r="E156" s="2"/>
      <c r="F156" s="3"/>
      <c r="G156" s="3"/>
      <c r="H156" s="3"/>
      <c r="I156" s="3"/>
      <c r="J156" s="3"/>
    </row>
    <row r="157" s="1" customFormat="1" customHeight="1" spans="1:10">
      <c r="A157" s="2"/>
      <c r="B157" s="1"/>
      <c r="C157" s="3"/>
      <c r="D157" s="3"/>
      <c r="E157" s="2"/>
      <c r="F157" s="3"/>
      <c r="G157" s="3"/>
      <c r="H157" s="3"/>
      <c r="I157" s="3"/>
      <c r="J157" s="3"/>
    </row>
    <row r="158" s="1" customFormat="1" customHeight="1" spans="1:10">
      <c r="A158" s="2"/>
      <c r="B158" s="1"/>
      <c r="C158" s="3"/>
      <c r="D158" s="3"/>
      <c r="E158" s="2"/>
      <c r="F158" s="3"/>
      <c r="G158" s="3"/>
      <c r="H158" s="3"/>
      <c r="I158" s="3"/>
      <c r="J158" s="3"/>
    </row>
    <row r="159" s="1" customFormat="1" customHeight="1" spans="1:10">
      <c r="A159" s="2"/>
      <c r="B159" s="1"/>
      <c r="C159" s="3"/>
      <c r="D159" s="3"/>
      <c r="E159" s="2"/>
      <c r="F159" s="3"/>
      <c r="G159" s="3"/>
      <c r="H159" s="3"/>
      <c r="I159" s="3"/>
      <c r="J159" s="3"/>
    </row>
    <row r="160" s="1" customFormat="1" customHeight="1" spans="1:10">
      <c r="A160" s="2"/>
      <c r="B160" s="1"/>
      <c r="C160" s="3"/>
      <c r="D160" s="3"/>
      <c r="E160" s="2"/>
      <c r="F160" s="3"/>
      <c r="G160" s="3"/>
      <c r="H160" s="3"/>
      <c r="I160" s="3"/>
      <c r="J160" s="3"/>
    </row>
    <row r="161" s="1" customFormat="1" customHeight="1" spans="1:10">
      <c r="A161" s="2"/>
      <c r="B161" s="1"/>
      <c r="C161" s="3"/>
      <c r="D161" s="3"/>
      <c r="E161" s="2"/>
      <c r="F161" s="3"/>
      <c r="G161" s="3"/>
      <c r="H161" s="3"/>
      <c r="I161" s="3"/>
      <c r="J161" s="3"/>
    </row>
    <row r="162" s="1" customFormat="1" customHeight="1" spans="1:10">
      <c r="A162" s="2"/>
      <c r="B162" s="1"/>
      <c r="C162" s="3"/>
      <c r="D162" s="3"/>
      <c r="E162" s="2"/>
      <c r="F162" s="3"/>
      <c r="G162" s="3"/>
      <c r="H162" s="3"/>
      <c r="I162" s="3"/>
      <c r="J162" s="3"/>
    </row>
    <row r="163" s="1" customFormat="1" customHeight="1" spans="1:10">
      <c r="A163" s="2"/>
      <c r="B163" s="1"/>
      <c r="C163" s="3"/>
      <c r="D163" s="3"/>
      <c r="E163" s="2"/>
      <c r="F163" s="3"/>
      <c r="G163" s="3"/>
      <c r="H163" s="3"/>
      <c r="I163" s="3"/>
      <c r="J163" s="3"/>
    </row>
    <row r="164" s="1" customFormat="1" customHeight="1" spans="1:10">
      <c r="A164" s="2"/>
      <c r="B164" s="1"/>
      <c r="C164" s="3"/>
      <c r="D164" s="3"/>
      <c r="E164" s="2"/>
      <c r="F164" s="3"/>
      <c r="G164" s="3"/>
      <c r="H164" s="3"/>
      <c r="I164" s="3"/>
      <c r="J164" s="3"/>
    </row>
    <row r="165" s="1" customFormat="1" customHeight="1" spans="1:10">
      <c r="A165" s="2"/>
      <c r="B165" s="1"/>
      <c r="C165" s="3"/>
      <c r="D165" s="3"/>
      <c r="E165" s="2"/>
      <c r="F165" s="3"/>
      <c r="G165" s="3"/>
      <c r="H165" s="3"/>
      <c r="I165" s="3"/>
      <c r="J165" s="3"/>
    </row>
    <row r="166" s="1" customFormat="1" customHeight="1" spans="1:10">
      <c r="A166" s="2"/>
      <c r="B166" s="1"/>
      <c r="C166" s="3"/>
      <c r="D166" s="3"/>
      <c r="E166" s="2"/>
      <c r="F166" s="3"/>
      <c r="G166" s="3"/>
      <c r="H166" s="3"/>
      <c r="I166" s="3"/>
      <c r="J166" s="3"/>
    </row>
    <row r="167" s="1" customFormat="1" customHeight="1" spans="1:10">
      <c r="A167" s="2"/>
      <c r="B167" s="1"/>
      <c r="C167" s="3"/>
      <c r="D167" s="3"/>
      <c r="E167" s="2"/>
      <c r="F167" s="3"/>
      <c r="G167" s="3"/>
      <c r="H167" s="3"/>
      <c r="I167" s="3"/>
      <c r="J167" s="3"/>
    </row>
    <row r="168" s="1" customFormat="1" customHeight="1" spans="1:10">
      <c r="A168" s="2"/>
      <c r="B168" s="1"/>
      <c r="C168" s="3"/>
      <c r="D168" s="3"/>
      <c r="E168" s="2"/>
      <c r="F168" s="3"/>
      <c r="G168" s="3"/>
      <c r="H168" s="3"/>
      <c r="I168" s="3"/>
      <c r="J168" s="3"/>
    </row>
    <row r="169" s="1" customFormat="1" customHeight="1" spans="1:10">
      <c r="A169" s="2"/>
      <c r="B169" s="1"/>
      <c r="C169" s="3"/>
      <c r="D169" s="3"/>
      <c r="E169" s="2"/>
      <c r="F169" s="3"/>
      <c r="G169" s="3"/>
      <c r="H169" s="3"/>
      <c r="I169" s="3"/>
      <c r="J169" s="3"/>
    </row>
    <row r="170" s="1" customFormat="1" customHeight="1" spans="1:10">
      <c r="A170" s="2"/>
      <c r="B170" s="1"/>
      <c r="C170" s="3"/>
      <c r="D170" s="3"/>
      <c r="E170" s="2"/>
      <c r="F170" s="3"/>
      <c r="G170" s="3"/>
      <c r="H170" s="3"/>
      <c r="I170" s="3"/>
      <c r="J170" s="3"/>
    </row>
    <row r="171" s="1" customFormat="1" customHeight="1" spans="1:10">
      <c r="A171" s="2"/>
      <c r="B171" s="1"/>
      <c r="C171" s="3"/>
      <c r="D171" s="3"/>
      <c r="E171" s="2"/>
      <c r="F171" s="3"/>
      <c r="G171" s="3"/>
      <c r="H171" s="3"/>
      <c r="I171" s="3"/>
      <c r="J171" s="3"/>
    </row>
    <row r="172" s="1" customFormat="1" customHeight="1" spans="1:10">
      <c r="A172" s="2"/>
      <c r="B172" s="1"/>
      <c r="C172" s="3"/>
      <c r="D172" s="3"/>
      <c r="E172" s="2"/>
      <c r="F172" s="3"/>
      <c r="G172" s="3"/>
      <c r="H172" s="3"/>
      <c r="I172" s="3"/>
      <c r="J172" s="3"/>
    </row>
    <row r="173" s="1" customFormat="1" customHeight="1" spans="1:10">
      <c r="A173" s="2"/>
      <c r="B173" s="1"/>
      <c r="C173" s="3"/>
      <c r="D173" s="3"/>
      <c r="E173" s="2"/>
      <c r="F173" s="3"/>
      <c r="G173" s="3"/>
      <c r="H173" s="3"/>
      <c r="I173" s="3"/>
      <c r="J173" s="3"/>
    </row>
    <row r="174" s="1" customFormat="1" customHeight="1" spans="1:10">
      <c r="A174" s="2"/>
      <c r="B174" s="1"/>
      <c r="C174" s="3"/>
      <c r="D174" s="3"/>
      <c r="E174" s="2"/>
      <c r="F174" s="3"/>
      <c r="G174" s="3"/>
      <c r="H174" s="3"/>
      <c r="I174" s="3"/>
      <c r="J174" s="3"/>
    </row>
    <row r="175" s="1" customFormat="1" customHeight="1" spans="1:10">
      <c r="A175" s="2"/>
      <c r="B175" s="1"/>
      <c r="C175" s="3"/>
      <c r="D175" s="3"/>
      <c r="E175" s="2"/>
      <c r="F175" s="3"/>
      <c r="G175" s="3"/>
      <c r="H175" s="3"/>
      <c r="I175" s="3"/>
      <c r="J175" s="3"/>
    </row>
    <row r="176" s="1" customFormat="1" customHeight="1" spans="1:10">
      <c r="A176" s="2"/>
      <c r="B176" s="1"/>
      <c r="C176" s="3"/>
      <c r="D176" s="3"/>
      <c r="E176" s="2"/>
      <c r="F176" s="3"/>
      <c r="G176" s="3"/>
      <c r="H176" s="3"/>
      <c r="I176" s="3"/>
      <c r="J176" s="3"/>
    </row>
    <row r="177" s="1" customFormat="1" customHeight="1" spans="1:10">
      <c r="A177" s="2"/>
      <c r="B177" s="1"/>
      <c r="C177" s="3"/>
      <c r="D177" s="3"/>
      <c r="E177" s="2"/>
      <c r="F177" s="3"/>
      <c r="G177" s="3"/>
      <c r="H177" s="3"/>
      <c r="I177" s="3"/>
      <c r="J177" s="3"/>
    </row>
    <row r="178" s="1" customFormat="1" customHeight="1" spans="1:10">
      <c r="A178" s="2"/>
      <c r="B178" s="1"/>
      <c r="C178" s="3"/>
      <c r="D178" s="3"/>
      <c r="E178" s="2"/>
      <c r="F178" s="3"/>
      <c r="G178" s="3"/>
      <c r="H178" s="3"/>
      <c r="I178" s="3"/>
      <c r="J178" s="3"/>
    </row>
    <row r="179" s="1" customFormat="1" customHeight="1" spans="1:10">
      <c r="A179" s="2"/>
      <c r="B179" s="1"/>
      <c r="C179" s="3"/>
      <c r="D179" s="3"/>
      <c r="E179" s="2"/>
      <c r="F179" s="3"/>
      <c r="G179" s="3"/>
      <c r="H179" s="3"/>
      <c r="I179" s="3"/>
      <c r="J179" s="3"/>
    </row>
    <row r="180" s="1" customFormat="1" customHeight="1" spans="1:10">
      <c r="A180" s="2"/>
      <c r="B180" s="1"/>
      <c r="C180" s="3"/>
      <c r="D180" s="3"/>
      <c r="E180" s="2"/>
      <c r="F180" s="3"/>
      <c r="G180" s="3"/>
      <c r="H180" s="3"/>
      <c r="I180" s="3"/>
      <c r="J180" s="3"/>
    </row>
    <row r="181" s="1" customFormat="1" customHeight="1" spans="1:10">
      <c r="A181" s="2"/>
      <c r="B181" s="1"/>
      <c r="C181" s="3"/>
      <c r="D181" s="3"/>
      <c r="E181" s="2"/>
      <c r="F181" s="3"/>
      <c r="G181" s="3"/>
      <c r="H181" s="3"/>
      <c r="I181" s="3"/>
      <c r="J181" s="3"/>
    </row>
    <row r="182" s="1" customFormat="1" customHeight="1" spans="1:10">
      <c r="A182" s="2"/>
      <c r="B182" s="1"/>
      <c r="C182" s="3"/>
      <c r="D182" s="3"/>
      <c r="E182" s="2"/>
      <c r="F182" s="3"/>
      <c r="G182" s="3"/>
      <c r="H182" s="3"/>
      <c r="I182" s="3"/>
      <c r="J182" s="3"/>
    </row>
    <row r="183" s="1" customFormat="1" customHeight="1" spans="1:10">
      <c r="A183" s="2"/>
      <c r="B183" s="1"/>
      <c r="C183" s="3"/>
      <c r="D183" s="3"/>
      <c r="E183" s="2"/>
      <c r="F183" s="3"/>
      <c r="G183" s="3"/>
      <c r="H183" s="3"/>
      <c r="I183" s="3"/>
      <c r="J183" s="3"/>
    </row>
  </sheetData>
  <conditionalFormatting sqref="M10">
    <cfRule type="expression" dxfId="0" priority="4">
      <formula>$A3&lt;&gt;""</formula>
    </cfRule>
  </conditionalFormatting>
  <conditionalFormatting sqref="A1048576:K1048576">
    <cfRule type="expression" dxfId="0" priority="5">
      <formula>$A1048576&lt;&gt;""</formula>
    </cfRule>
    <cfRule type="expression" dxfId="0" priority="6">
      <formula>$A1&lt;&gt;""</formula>
    </cfRule>
  </conditionalFormatting>
  <conditionalFormatting sqref="A1:K1048575">
    <cfRule type="expression" dxfId="0" priority="1">
      <formula>$A1&lt;&gt;""</formula>
    </cfRule>
    <cfRule type="expression" dxfId="0" priority="3">
      <formula>$A2&lt;&gt;""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pane ySplit="2" topLeftCell="A135" activePane="bottomLeft" state="frozen"/>
      <selection/>
      <selection pane="bottomLeft" activeCell="A3" sqref="A3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5.091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 t="s">
        <v>49</v>
      </c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5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64938.4</v>
      </c>
      <c r="P2" s="1">
        <v>0</v>
      </c>
    </row>
    <row r="3" s="1" customFormat="1" customHeight="1" spans="1:16">
      <c r="A3" s="12">
        <v>45726</v>
      </c>
      <c r="B3" s="13" t="s">
        <v>11</v>
      </c>
      <c r="C3" s="14">
        <v>1966</v>
      </c>
      <c r="D3" s="14">
        <v>50000</v>
      </c>
      <c r="E3" s="12">
        <v>45842</v>
      </c>
      <c r="F3" s="14" t="s">
        <v>51</v>
      </c>
      <c r="G3" s="14" t="s">
        <v>52</v>
      </c>
      <c r="H3" s="14"/>
      <c r="I3" s="14"/>
      <c r="J3" s="14"/>
      <c r="K3" s="14"/>
      <c r="L3" s="13" t="s">
        <v>53</v>
      </c>
      <c r="N3" s="1" t="str">
        <v>九安架空层</v>
      </c>
      <c r="O3" s="1">
        <v>172061.6</v>
      </c>
      <c r="P3" s="1">
        <v>237000</v>
      </c>
    </row>
    <row r="4" s="1" customFormat="1" customHeight="1" spans="1:16">
      <c r="A4" s="12">
        <v>45726</v>
      </c>
      <c r="B4" s="13" t="s">
        <v>11</v>
      </c>
      <c r="C4" s="14">
        <v>1136</v>
      </c>
      <c r="D4" s="14">
        <v>35000</v>
      </c>
      <c r="E4" s="12">
        <v>45933</v>
      </c>
      <c r="F4" s="14" t="s">
        <v>54</v>
      </c>
      <c r="G4" s="14" t="s">
        <v>55</v>
      </c>
      <c r="H4" s="14"/>
      <c r="I4" s="14"/>
      <c r="J4" s="14"/>
      <c r="K4" s="14"/>
      <c r="L4" s="13" t="s">
        <v>56</v>
      </c>
      <c r="N4" s="1" t="str">
        <v>隆世光伏</v>
      </c>
      <c r="O4" s="1">
        <v>19240</v>
      </c>
      <c r="P4" s="1">
        <v>19240</v>
      </c>
    </row>
    <row r="5" s="1" customFormat="1" customHeight="1" spans="1:16">
      <c r="A5" s="12">
        <v>45726</v>
      </c>
      <c r="B5" s="13" t="s">
        <v>11</v>
      </c>
      <c r="C5" s="14">
        <v>4626</v>
      </c>
      <c r="D5" s="14">
        <v>42000</v>
      </c>
      <c r="E5" s="12">
        <v>45934</v>
      </c>
      <c r="F5" s="14" t="s">
        <v>54</v>
      </c>
      <c r="G5" s="14" t="s">
        <v>55</v>
      </c>
      <c r="H5" s="14"/>
      <c r="I5" s="14"/>
      <c r="J5" s="14"/>
      <c r="K5" s="14"/>
      <c r="L5" s="13" t="s">
        <v>56</v>
      </c>
      <c r="N5" s="1" t="str">
        <v>总计</v>
      </c>
      <c r="O5" s="1">
        <v>256240</v>
      </c>
      <c r="P5" s="1">
        <v>256240</v>
      </c>
    </row>
    <row r="6" s="1" customFormat="1" customHeight="1" spans="1:16">
      <c r="A6" s="12">
        <v>45739</v>
      </c>
      <c r="B6" s="13" t="s">
        <v>11</v>
      </c>
      <c r="C6" s="14">
        <v>769</v>
      </c>
      <c r="D6" s="14">
        <v>110000</v>
      </c>
      <c r="E6" s="12">
        <v>46067</v>
      </c>
      <c r="F6" s="14" t="s">
        <v>54</v>
      </c>
      <c r="G6" s="14" t="s">
        <v>55</v>
      </c>
      <c r="H6" s="14"/>
      <c r="I6" s="14"/>
      <c r="J6" s="14"/>
      <c r="K6" s="14"/>
      <c r="L6" s="13" t="s">
        <v>56</v>
      </c>
    </row>
    <row r="7" s="1" customFormat="1" customHeight="1" spans="1:16">
      <c r="A7" s="12">
        <v>45740</v>
      </c>
      <c r="B7" s="13" t="s">
        <v>11</v>
      </c>
      <c r="C7" s="14">
        <v>14052</v>
      </c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>
        <v>45740</v>
      </c>
      <c r="B8" s="13" t="s">
        <v>11</v>
      </c>
      <c r="C8" s="14">
        <v>1789.5</v>
      </c>
      <c r="D8" s="14"/>
      <c r="E8" s="12"/>
      <c r="F8" s="14"/>
      <c r="G8" s="14"/>
      <c r="H8" s="14"/>
      <c r="I8" s="14"/>
      <c r="J8" s="14"/>
      <c r="K8" s="14"/>
      <c r="L8" s="13"/>
      <c r="O8" s="1">
        <v>4637.3</v>
      </c>
    </row>
    <row r="9" s="1" customFormat="1" customHeight="1" spans="1:16">
      <c r="A9" s="12">
        <v>45740</v>
      </c>
      <c r="B9" s="13" t="s">
        <v>11</v>
      </c>
      <c r="C9" s="14">
        <v>3477</v>
      </c>
      <c r="D9" s="14"/>
      <c r="E9" s="12"/>
      <c r="F9" s="14"/>
      <c r="G9" s="14"/>
      <c r="H9" s="14"/>
      <c r="I9" s="14"/>
      <c r="J9" s="14"/>
      <c r="K9" s="14"/>
      <c r="L9" s="13"/>
      <c r="O9" s="1">
        <f>O2-O8</f>
        <v>60301.1</v>
      </c>
    </row>
    <row r="10" s="1" customFormat="1" customHeight="1" spans="1:16">
      <c r="A10" s="12">
        <v>45740</v>
      </c>
      <c r="B10" s="13" t="s">
        <v>11</v>
      </c>
      <c r="C10" s="14">
        <v>1054</v>
      </c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>
        <v>45747</v>
      </c>
      <c r="B11" s="13" t="s">
        <v>11</v>
      </c>
      <c r="C11" s="14">
        <v>1875</v>
      </c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>
        <v>45747</v>
      </c>
      <c r="B12" s="13" t="s">
        <v>11</v>
      </c>
      <c r="C12" s="14">
        <v>1056</v>
      </c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>
        <v>45748</v>
      </c>
      <c r="B13" s="13" t="s">
        <v>11</v>
      </c>
      <c r="C13" s="14">
        <v>1895</v>
      </c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>
        <v>45750</v>
      </c>
      <c r="B14" s="13" t="s">
        <v>11</v>
      </c>
      <c r="C14" s="14">
        <v>64</v>
      </c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>
        <v>45753</v>
      </c>
      <c r="B15" s="13" t="s">
        <v>11</v>
      </c>
      <c r="C15" s="14">
        <v>3812</v>
      </c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>
        <v>45754</v>
      </c>
      <c r="B16" s="13" t="s">
        <v>11</v>
      </c>
      <c r="C16" s="14">
        <v>35</v>
      </c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>
        <v>45754</v>
      </c>
      <c r="B17" s="13" t="s">
        <v>11</v>
      </c>
      <c r="C17" s="14">
        <v>-32</v>
      </c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>
        <v>45742</v>
      </c>
      <c r="B18" s="13" t="s">
        <v>11</v>
      </c>
      <c r="C18" s="14">
        <v>16760</v>
      </c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>
        <v>45742</v>
      </c>
      <c r="B19" s="13" t="s">
        <v>11</v>
      </c>
      <c r="C19" s="14">
        <v>1204</v>
      </c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>
        <v>45742</v>
      </c>
      <c r="B20" s="13" t="s">
        <v>11</v>
      </c>
      <c r="C20" s="14">
        <v>2732</v>
      </c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>
        <v>45742</v>
      </c>
      <c r="B21" s="13" t="s">
        <v>11</v>
      </c>
      <c r="C21" s="14">
        <v>4154</v>
      </c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>
        <v>45742</v>
      </c>
      <c r="B22" s="13" t="s">
        <v>11</v>
      </c>
      <c r="C22" s="14">
        <v>803</v>
      </c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>
        <v>45744</v>
      </c>
      <c r="B23" s="13" t="s">
        <v>11</v>
      </c>
      <c r="C23" s="14">
        <v>371.6</v>
      </c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>
        <v>45745</v>
      </c>
      <c r="B24" s="13" t="s">
        <v>11</v>
      </c>
      <c r="C24" s="14">
        <v>3941.5</v>
      </c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>
        <v>45747</v>
      </c>
      <c r="B25" s="13" t="s">
        <v>11</v>
      </c>
      <c r="C25" s="14">
        <v>6885</v>
      </c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>
        <v>45747</v>
      </c>
      <c r="B26" s="13" t="s">
        <v>11</v>
      </c>
      <c r="C26" s="14">
        <v>72</v>
      </c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>
        <v>45749</v>
      </c>
      <c r="B27" s="13" t="s">
        <v>11</v>
      </c>
      <c r="C27" s="14">
        <v>428</v>
      </c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>
        <v>45750</v>
      </c>
      <c r="B28" s="13" t="s">
        <v>11</v>
      </c>
      <c r="C28" s="14">
        <v>55</v>
      </c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>
        <v>45762</v>
      </c>
      <c r="B29" s="13" t="s">
        <v>11</v>
      </c>
      <c r="C29" s="14">
        <v>1182</v>
      </c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>
        <v>45766</v>
      </c>
      <c r="B30" s="1" t="s">
        <v>11</v>
      </c>
      <c r="C30" s="3">
        <v>1200</v>
      </c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>
        <v>45788</v>
      </c>
      <c r="B31" s="1" t="s">
        <v>11</v>
      </c>
      <c r="C31" s="3">
        <v>278</v>
      </c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>
        <v>45750</v>
      </c>
      <c r="B32" s="1" t="s">
        <v>11</v>
      </c>
      <c r="C32" s="3">
        <v>172</v>
      </c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>
        <v>45754</v>
      </c>
      <c r="B33" s="1" t="s">
        <v>11</v>
      </c>
      <c r="C33" s="3">
        <v>4471.5</v>
      </c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>
        <v>45754</v>
      </c>
      <c r="B34" s="1" t="s">
        <v>11</v>
      </c>
      <c r="C34" s="3">
        <v>1678</v>
      </c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>
        <v>45754</v>
      </c>
      <c r="B35" s="1" t="s">
        <v>11</v>
      </c>
      <c r="C35" s="3">
        <v>222</v>
      </c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>
        <v>45757</v>
      </c>
      <c r="B36" s="1" t="s">
        <v>11</v>
      </c>
      <c r="C36" s="3">
        <v>6627.5</v>
      </c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>
        <v>45757</v>
      </c>
      <c r="B37" s="1" t="s">
        <v>11</v>
      </c>
      <c r="C37" s="3">
        <v>1244.4</v>
      </c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>
        <v>45759</v>
      </c>
      <c r="B38" s="1" t="s">
        <v>11</v>
      </c>
      <c r="C38" s="3">
        <v>9285</v>
      </c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>
        <v>45761</v>
      </c>
      <c r="B39" s="1" t="s">
        <v>11</v>
      </c>
      <c r="C39" s="3">
        <v>637</v>
      </c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>
        <v>45762</v>
      </c>
      <c r="B40" s="1" t="s">
        <v>11</v>
      </c>
      <c r="C40" s="3">
        <v>1902</v>
      </c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>
        <v>45763</v>
      </c>
      <c r="B41" s="1" t="s">
        <v>11</v>
      </c>
      <c r="C41" s="3">
        <v>302</v>
      </c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>
        <v>45766</v>
      </c>
      <c r="B42" s="1" t="s">
        <v>11</v>
      </c>
      <c r="C42" s="3">
        <v>1215.5</v>
      </c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>
        <v>45765</v>
      </c>
      <c r="B43" s="1" t="s">
        <v>11</v>
      </c>
      <c r="C43" s="3">
        <v>4530</v>
      </c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>
        <v>45765</v>
      </c>
      <c r="B44" s="1" t="s">
        <v>11</v>
      </c>
      <c r="C44" s="3">
        <v>755</v>
      </c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>
        <v>45765</v>
      </c>
      <c r="B45" s="1" t="s">
        <v>11</v>
      </c>
      <c r="C45" s="3">
        <v>1046</v>
      </c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>
        <v>45765</v>
      </c>
      <c r="B46" s="1" t="s">
        <v>11</v>
      </c>
      <c r="C46" s="3">
        <v>576</v>
      </c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>
        <v>45766</v>
      </c>
      <c r="B47" s="1" t="s">
        <v>11</v>
      </c>
      <c r="C47" s="3">
        <v>152.4</v>
      </c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>
        <v>45768</v>
      </c>
      <c r="B48" s="1" t="s">
        <v>11</v>
      </c>
      <c r="C48" s="3">
        <v>24</v>
      </c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>
        <v>45773</v>
      </c>
      <c r="B49" s="1" t="s">
        <v>11</v>
      </c>
      <c r="C49" s="3">
        <v>738</v>
      </c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>
        <v>45794</v>
      </c>
      <c r="B50" s="1" t="s">
        <v>11</v>
      </c>
      <c r="C50" s="3">
        <v>155.5</v>
      </c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>
        <v>45796</v>
      </c>
      <c r="B51" s="1" t="s">
        <v>11</v>
      </c>
      <c r="C51" s="3">
        <v>541</v>
      </c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>
        <v>45755</v>
      </c>
      <c r="B52" s="1" t="s">
        <v>11</v>
      </c>
      <c r="C52" s="3">
        <v>2576.5</v>
      </c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>
        <v>45755</v>
      </c>
      <c r="B53" s="1" t="s">
        <v>11</v>
      </c>
      <c r="C53" s="3">
        <v>797</v>
      </c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>
        <v>45755</v>
      </c>
      <c r="B54" s="1" t="s">
        <v>11</v>
      </c>
      <c r="C54" s="3">
        <v>2272</v>
      </c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>
        <v>45757</v>
      </c>
      <c r="B55" s="1" t="s">
        <v>11</v>
      </c>
      <c r="C55" s="3">
        <v>501.7</v>
      </c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>
        <v>45762</v>
      </c>
      <c r="B56" s="1" t="s">
        <v>11</v>
      </c>
      <c r="C56" s="3">
        <v>149</v>
      </c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>
        <v>45766</v>
      </c>
      <c r="B57" s="1" t="s">
        <v>11</v>
      </c>
      <c r="C57" s="3">
        <v>800</v>
      </c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>
        <v>45807</v>
      </c>
      <c r="B58" s="1" t="s">
        <v>11</v>
      </c>
      <c r="C58" s="3">
        <v>264.5</v>
      </c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>
        <v>45757</v>
      </c>
      <c r="B59" s="1" t="s">
        <v>11</v>
      </c>
      <c r="C59" s="3">
        <v>841.5</v>
      </c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>
        <v>45764</v>
      </c>
      <c r="B60" s="1" t="s">
        <v>11</v>
      </c>
      <c r="C60" s="3">
        <v>4123</v>
      </c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>
        <v>45764</v>
      </c>
      <c r="B61" s="1" t="s">
        <v>11</v>
      </c>
      <c r="C61" s="3">
        <v>676</v>
      </c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>
        <v>45764</v>
      </c>
      <c r="B62" s="1" t="s">
        <v>11</v>
      </c>
      <c r="C62" s="3">
        <v>561.6</v>
      </c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>
        <v>45766</v>
      </c>
      <c r="B63" s="1" t="s">
        <v>11</v>
      </c>
      <c r="C63" s="3">
        <v>692</v>
      </c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>
        <v>45767</v>
      </c>
      <c r="B64" s="1" t="s">
        <v>11</v>
      </c>
      <c r="C64" s="3">
        <v>3143</v>
      </c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>
        <v>45768</v>
      </c>
      <c r="B65" s="1" t="s">
        <v>11</v>
      </c>
      <c r="C65" s="3">
        <v>661</v>
      </c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>
        <v>45769</v>
      </c>
      <c r="B66" s="1" t="s">
        <v>11</v>
      </c>
      <c r="C66" s="3">
        <v>715</v>
      </c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>
        <v>45799</v>
      </c>
      <c r="B67" s="1" t="s">
        <v>11</v>
      </c>
      <c r="C67" s="3">
        <v>2419</v>
      </c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>
        <v>45799</v>
      </c>
      <c r="B68" s="1" t="s">
        <v>11</v>
      </c>
      <c r="C68" s="3">
        <v>452</v>
      </c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>
        <v>45824</v>
      </c>
      <c r="B69" s="1" t="s">
        <v>11</v>
      </c>
      <c r="C69" s="3">
        <v>903</v>
      </c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>
        <v>45824</v>
      </c>
      <c r="B70" s="1" t="s">
        <v>11</v>
      </c>
      <c r="C70" s="3">
        <v>351</v>
      </c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>
        <v>45827</v>
      </c>
      <c r="B71" s="1" t="s">
        <v>11</v>
      </c>
      <c r="C71" s="3">
        <v>806.4</v>
      </c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>
        <v>45831</v>
      </c>
      <c r="B72" s="1" t="s">
        <v>11</v>
      </c>
      <c r="C72" s="3">
        <v>273</v>
      </c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>
        <v>45833</v>
      </c>
      <c r="B73" s="1" t="s">
        <v>11</v>
      </c>
      <c r="C73" s="3">
        <v>661.5</v>
      </c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>
        <v>45833</v>
      </c>
      <c r="B74" s="1" t="s">
        <v>11</v>
      </c>
      <c r="C74" s="3">
        <v>231</v>
      </c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>
        <v>45847</v>
      </c>
      <c r="B75" s="1" t="s">
        <v>11</v>
      </c>
      <c r="C75" s="3">
        <v>-297</v>
      </c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>
        <v>45774</v>
      </c>
      <c r="B76" s="1" t="s">
        <v>11</v>
      </c>
      <c r="C76" s="3">
        <v>7536</v>
      </c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>
        <v>45776</v>
      </c>
      <c r="B77" s="1" t="s">
        <v>11</v>
      </c>
      <c r="C77" s="3">
        <v>526</v>
      </c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>
        <v>45782</v>
      </c>
      <c r="B78" s="1" t="s">
        <v>11</v>
      </c>
      <c r="C78" s="3">
        <v>10364</v>
      </c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>
        <v>45784</v>
      </c>
      <c r="B79" s="1" t="s">
        <v>11</v>
      </c>
      <c r="C79" s="3">
        <v>2175</v>
      </c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>
        <v>45788</v>
      </c>
      <c r="B80" s="1" t="s">
        <v>11</v>
      </c>
      <c r="C80" s="3">
        <v>166.5</v>
      </c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>
        <v>45797</v>
      </c>
      <c r="B81" s="1" t="s">
        <v>11</v>
      </c>
      <c r="C81" s="3">
        <v>518</v>
      </c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>
        <v>45738</v>
      </c>
      <c r="B82" s="1" t="s">
        <v>9</v>
      </c>
      <c r="C82" s="3">
        <v>7865.5</v>
      </c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>
        <v>45739</v>
      </c>
      <c r="B83" s="1" t="s">
        <v>9</v>
      </c>
      <c r="C83" s="3">
        <v>1620</v>
      </c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>
        <v>45748</v>
      </c>
      <c r="B84" s="1" t="s">
        <v>9</v>
      </c>
      <c r="C84" s="3">
        <v>2932</v>
      </c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>
        <v>45751</v>
      </c>
      <c r="B85" s="1" t="s">
        <v>9</v>
      </c>
      <c r="C85" s="3">
        <v>949</v>
      </c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>
        <v>45757</v>
      </c>
      <c r="B86" s="1" t="s">
        <v>9</v>
      </c>
      <c r="C86" s="3">
        <v>5016</v>
      </c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>
        <v>45762</v>
      </c>
      <c r="B87" s="1" t="s">
        <v>9</v>
      </c>
      <c r="C87" s="3">
        <v>7631</v>
      </c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>
        <v>45774</v>
      </c>
      <c r="B88" s="1" t="s">
        <v>9</v>
      </c>
      <c r="C88" s="3">
        <v>8948.5</v>
      </c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>
        <v>45774</v>
      </c>
      <c r="B89" s="1" t="s">
        <v>9</v>
      </c>
      <c r="C89" s="3">
        <v>513</v>
      </c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>
        <v>45774</v>
      </c>
      <c r="B90" s="1" t="s">
        <v>9</v>
      </c>
      <c r="C90" s="3">
        <v>1515.6</v>
      </c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>
        <v>45774</v>
      </c>
      <c r="B91" s="1" t="s">
        <v>9</v>
      </c>
      <c r="C91" s="3">
        <v>348</v>
      </c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>
        <v>45776</v>
      </c>
      <c r="B92" s="1" t="s">
        <v>9</v>
      </c>
      <c r="C92" s="3">
        <v>628.5</v>
      </c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>
        <v>45776</v>
      </c>
      <c r="B93" s="1" t="s">
        <v>9</v>
      </c>
      <c r="C93" s="3">
        <v>1786</v>
      </c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>
        <v>45776</v>
      </c>
      <c r="B94" s="1" t="s">
        <v>9</v>
      </c>
      <c r="C94" s="3">
        <v>200</v>
      </c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>
        <v>45777</v>
      </c>
      <c r="B95" s="1" t="s">
        <v>9</v>
      </c>
      <c r="C95" s="3">
        <v>82</v>
      </c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>
        <v>45780</v>
      </c>
      <c r="B96" s="1" t="s">
        <v>9</v>
      </c>
      <c r="C96" s="3">
        <v>1810</v>
      </c>
      <c r="D96" s="3"/>
      <c r="E96" s="2"/>
      <c r="F96" s="3"/>
      <c r="G96" s="3"/>
      <c r="H96" s="3"/>
      <c r="I96" s="3"/>
      <c r="J96" s="3"/>
      <c r="K96" s="3"/>
    </row>
    <row r="97" s="1" customFormat="1" customHeight="1" spans="1:12">
      <c r="A97" s="2">
        <v>45780</v>
      </c>
      <c r="B97" s="1" t="s">
        <v>9</v>
      </c>
      <c r="C97" s="3">
        <v>857</v>
      </c>
      <c r="D97" s="3"/>
      <c r="E97" s="2"/>
      <c r="F97" s="3"/>
      <c r="G97" s="3"/>
      <c r="H97" s="3"/>
      <c r="I97" s="3"/>
      <c r="J97" s="3"/>
      <c r="K97" s="3"/>
    </row>
    <row r="98" s="1" customFormat="1" customHeight="1" spans="1:12">
      <c r="A98" s="2">
        <v>45780</v>
      </c>
      <c r="B98" s="1" t="s">
        <v>9</v>
      </c>
      <c r="C98" s="3">
        <v>168</v>
      </c>
      <c r="D98" s="3"/>
      <c r="E98" s="2"/>
      <c r="F98" s="3"/>
      <c r="G98" s="3"/>
      <c r="H98" s="3"/>
      <c r="I98" s="3"/>
      <c r="J98" s="3"/>
      <c r="K98" s="3"/>
    </row>
    <row r="99" s="1" customFormat="1" customHeight="1" spans="1:12">
      <c r="A99" s="2">
        <v>45784</v>
      </c>
      <c r="B99" s="1" t="s">
        <v>9</v>
      </c>
      <c r="C99" s="3">
        <v>1000</v>
      </c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2">
      <c r="A100" s="2">
        <v>45782</v>
      </c>
      <c r="B100" s="1" t="s">
        <v>9</v>
      </c>
      <c r="C100" s="3">
        <v>711</v>
      </c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2">
      <c r="A101" s="2">
        <v>45788</v>
      </c>
      <c r="B101" s="1" t="s">
        <v>9</v>
      </c>
      <c r="C101" s="3">
        <v>648</v>
      </c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2">
      <c r="A102" s="2">
        <v>45788</v>
      </c>
      <c r="B102" s="1" t="s">
        <v>9</v>
      </c>
      <c r="C102" s="3">
        <v>7028</v>
      </c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2">
      <c r="A103" s="2">
        <v>45793</v>
      </c>
      <c r="B103" s="1" t="s">
        <v>9</v>
      </c>
      <c r="C103" s="3">
        <v>1164</v>
      </c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2">
      <c r="A104" s="2">
        <v>45793</v>
      </c>
      <c r="B104" s="1" t="s">
        <v>9</v>
      </c>
      <c r="C104" s="3">
        <v>-3770</v>
      </c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2">
      <c r="A105" s="2">
        <v>45796</v>
      </c>
      <c r="B105" s="1" t="s">
        <v>9</v>
      </c>
      <c r="C105" s="3">
        <v>3107.5</v>
      </c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2">
      <c r="A106" s="2">
        <v>45797</v>
      </c>
      <c r="B106" s="1" t="s">
        <v>9</v>
      </c>
      <c r="C106" s="3">
        <v>140</v>
      </c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2">
      <c r="A107" s="2">
        <v>45803</v>
      </c>
      <c r="B107" s="1" t="s">
        <v>9</v>
      </c>
      <c r="C107" s="3">
        <v>936.5</v>
      </c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2">
      <c r="A108" s="2">
        <v>45813</v>
      </c>
      <c r="B108" s="1" t="s">
        <v>9</v>
      </c>
      <c r="C108" s="3">
        <v>3187</v>
      </c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2">
      <c r="A109" s="2">
        <v>45813</v>
      </c>
      <c r="B109" s="1" t="s">
        <v>9</v>
      </c>
      <c r="C109" s="3">
        <v>510</v>
      </c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2">
      <c r="A110" s="2">
        <v>45827</v>
      </c>
      <c r="B110" s="1" t="s">
        <v>9</v>
      </c>
      <c r="C110" s="3">
        <v>2769</v>
      </c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2">
      <c r="A111" s="2">
        <v>45828</v>
      </c>
      <c r="B111" s="1" t="s">
        <v>9</v>
      </c>
      <c r="C111" s="50">
        <v>4637.3</v>
      </c>
      <c r="D111" s="3"/>
      <c r="E111" s="2"/>
      <c r="F111" s="3"/>
      <c r="G111" s="3"/>
      <c r="H111" s="3"/>
      <c r="I111" s="3"/>
      <c r="J111" s="3"/>
      <c r="K111" s="3"/>
      <c r="L111" s="1" t="s">
        <v>57</v>
      </c>
    </row>
    <row r="112" s="1" customFormat="1" customHeight="1" spans="1:12">
      <c r="A112" s="2">
        <v>45829</v>
      </c>
      <c r="B112" s="1" t="s">
        <v>11</v>
      </c>
      <c r="C112" s="50">
        <v>12287</v>
      </c>
      <c r="D112" s="3"/>
      <c r="E112" s="2"/>
      <c r="F112" s="3"/>
      <c r="G112" s="3"/>
      <c r="H112" s="3"/>
      <c r="I112" s="3"/>
      <c r="J112" s="3"/>
      <c r="K112" s="3"/>
      <c r="L112" s="1" t="s">
        <v>57</v>
      </c>
    </row>
    <row r="113" s="1" customFormat="1" customHeight="1" spans="1:12">
      <c r="A113" s="2">
        <v>45438</v>
      </c>
      <c r="B113" s="1" t="s">
        <v>18</v>
      </c>
      <c r="C113" s="3">
        <v>452.5</v>
      </c>
      <c r="D113" s="3">
        <v>19240</v>
      </c>
      <c r="E113" s="2">
        <v>45667</v>
      </c>
      <c r="F113" s="3" t="s">
        <v>35</v>
      </c>
      <c r="G113" s="3"/>
      <c r="H113" s="3"/>
      <c r="I113" s="3"/>
      <c r="J113" s="3"/>
      <c r="K113" s="3"/>
      <c r="L113" s="1" t="s">
        <v>58</v>
      </c>
    </row>
    <row r="114" s="1" customFormat="1" customHeight="1" spans="1:12">
      <c r="A114" s="2">
        <v>45442</v>
      </c>
      <c r="B114" s="1" t="s">
        <v>18</v>
      </c>
      <c r="C114" s="3">
        <v>275</v>
      </c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2">
      <c r="A115" s="2">
        <v>45443</v>
      </c>
      <c r="B115" s="1" t="s">
        <v>18</v>
      </c>
      <c r="C115" s="3">
        <v>2080</v>
      </c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2">
      <c r="A116" s="2">
        <v>45444</v>
      </c>
      <c r="B116" s="1" t="s">
        <v>18</v>
      </c>
      <c r="C116" s="3">
        <v>134</v>
      </c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2">
      <c r="A117" s="2">
        <v>45449</v>
      </c>
      <c r="B117" s="1" t="s">
        <v>18</v>
      </c>
      <c r="C117" s="3">
        <v>320</v>
      </c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2">
      <c r="A118" s="2">
        <v>45450</v>
      </c>
      <c r="B118" s="1" t="s">
        <v>18</v>
      </c>
      <c r="C118" s="3">
        <v>260</v>
      </c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2">
      <c r="A119" s="2">
        <v>45450</v>
      </c>
      <c r="B119" s="1" t="s">
        <v>18</v>
      </c>
      <c r="C119" s="3">
        <v>64</v>
      </c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2">
      <c r="A120" s="2">
        <v>45455</v>
      </c>
      <c r="B120" s="1" t="s">
        <v>18</v>
      </c>
      <c r="C120" s="3">
        <v>360</v>
      </c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2">
      <c r="A121" s="2">
        <v>45464</v>
      </c>
      <c r="B121" s="1" t="s">
        <v>18</v>
      </c>
      <c r="C121" s="3">
        <v>304</v>
      </c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2">
      <c r="A122" s="2">
        <v>45466</v>
      </c>
      <c r="B122" s="1" t="s">
        <v>18</v>
      </c>
      <c r="C122" s="3">
        <v>225</v>
      </c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2">
      <c r="A123" s="2">
        <v>45472</v>
      </c>
      <c r="B123" s="1" t="s">
        <v>18</v>
      </c>
      <c r="C123" s="3">
        <v>53.5</v>
      </c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2">
      <c r="A124" s="2">
        <v>45490</v>
      </c>
      <c r="B124" s="1" t="s">
        <v>18</v>
      </c>
      <c r="C124" s="3">
        <v>906</v>
      </c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2">
      <c r="A125" s="2">
        <v>45490</v>
      </c>
      <c r="B125" s="1" t="s">
        <v>18</v>
      </c>
      <c r="C125" s="3">
        <v>226</v>
      </c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2">
      <c r="A126" s="2">
        <v>45493</v>
      </c>
      <c r="B126" s="1" t="s">
        <v>18</v>
      </c>
      <c r="C126" s="3">
        <v>100</v>
      </c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2">
      <c r="A127" s="2">
        <v>45494</v>
      </c>
      <c r="B127" s="1" t="s">
        <v>18</v>
      </c>
      <c r="C127" s="3">
        <v>63.6</v>
      </c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2">
      <c r="A128" s="2">
        <v>45496</v>
      </c>
      <c r="B128" s="1" t="s">
        <v>18</v>
      </c>
      <c r="C128" s="3">
        <v>1722</v>
      </c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>
        <v>45498</v>
      </c>
      <c r="B129" s="1" t="s">
        <v>18</v>
      </c>
      <c r="C129" s="3">
        <v>36</v>
      </c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>
        <v>45499</v>
      </c>
      <c r="B130" s="1" t="s">
        <v>18</v>
      </c>
      <c r="C130" s="3">
        <v>262</v>
      </c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>
        <v>45504</v>
      </c>
      <c r="B131" s="1" t="s">
        <v>18</v>
      </c>
      <c r="C131" s="3">
        <v>309</v>
      </c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>
        <v>45505</v>
      </c>
      <c r="B132" s="1" t="s">
        <v>18</v>
      </c>
      <c r="C132" s="3">
        <v>262</v>
      </c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>
        <v>45523</v>
      </c>
      <c r="B133" s="1" t="s">
        <v>18</v>
      </c>
      <c r="C133" s="3">
        <v>206.4</v>
      </c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>
        <v>45557</v>
      </c>
      <c r="B134" s="1" t="s">
        <v>18</v>
      </c>
      <c r="C134" s="3">
        <v>48</v>
      </c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>
        <v>45557</v>
      </c>
      <c r="B135" s="1" t="s">
        <v>18</v>
      </c>
      <c r="C135" s="3">
        <v>72.8</v>
      </c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>
        <v>45636</v>
      </c>
      <c r="B136" s="1" t="s">
        <v>18</v>
      </c>
      <c r="C136" s="3">
        <v>23</v>
      </c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>
        <v>45504</v>
      </c>
      <c r="B137" s="1" t="s">
        <v>18</v>
      </c>
      <c r="C137" s="3">
        <v>52</v>
      </c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>
        <v>45505</v>
      </c>
      <c r="B138" s="1" t="s">
        <v>18</v>
      </c>
      <c r="C138" s="3">
        <v>67.9</v>
      </c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>
        <v>45534</v>
      </c>
      <c r="B139" s="1" t="s">
        <v>18</v>
      </c>
      <c r="C139" s="3">
        <v>570</v>
      </c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>
        <v>45539</v>
      </c>
      <c r="B140" s="1" t="s">
        <v>18</v>
      </c>
      <c r="C140" s="3">
        <v>3032</v>
      </c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>
        <v>45540</v>
      </c>
      <c r="B141" s="1" t="s">
        <v>18</v>
      </c>
      <c r="C141" s="3">
        <v>1394</v>
      </c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>
        <v>45544</v>
      </c>
      <c r="B142" s="1" t="s">
        <v>18</v>
      </c>
      <c r="C142" s="3">
        <v>1378</v>
      </c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>
        <v>45545</v>
      </c>
      <c r="B143" s="1" t="s">
        <v>18</v>
      </c>
      <c r="C143" s="3">
        <v>-11</v>
      </c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>
        <v>45554</v>
      </c>
      <c r="B144" s="1" t="s">
        <v>18</v>
      </c>
      <c r="C144" s="3">
        <v>55.5</v>
      </c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2">
      <c r="A145" s="2">
        <v>45506</v>
      </c>
      <c r="B145" s="1" t="s">
        <v>18</v>
      </c>
      <c r="C145" s="3">
        <v>191</v>
      </c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2">
      <c r="A146" s="2">
        <v>45506</v>
      </c>
      <c r="B146" s="1" t="s">
        <v>18</v>
      </c>
      <c r="C146" s="3">
        <v>3891</v>
      </c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2">
      <c r="A147" s="2">
        <v>45517</v>
      </c>
      <c r="B147" s="1" t="s">
        <v>18</v>
      </c>
      <c r="C147" s="3">
        <v>-621</v>
      </c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2">
      <c r="A148" s="2">
        <v>45517</v>
      </c>
      <c r="B148" s="1" t="s">
        <v>18</v>
      </c>
      <c r="C148" s="3">
        <v>475.8</v>
      </c>
      <c r="D148" s="3"/>
      <c r="E148" s="2"/>
      <c r="F148" s="3"/>
      <c r="G148" s="3"/>
      <c r="H148" s="3"/>
      <c r="I148" s="3"/>
      <c r="J148" s="3"/>
      <c r="K148" s="3"/>
      <c r="L148" s="1" t="s">
        <v>58</v>
      </c>
    </row>
    <row r="149" s="1" customFormat="1" customHeight="1" spans="1:12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2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2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2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2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2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2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2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2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2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2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2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autoFilter xmlns:etc="http://www.wps.cn/officeDocument/2017/etCustomData" ref="A2:L148" etc:filterBottomFollowUsedRange="0">
    <extLst/>
  </autoFilter>
  <conditionalFormatting sqref="N10">
    <cfRule type="expression" dxfId="0" priority="4">
      <formula>$A3&lt;&gt;""</formula>
    </cfRule>
  </conditionalFormatting>
  <conditionalFormatting sqref="A1048576:L1048576">
    <cfRule type="expression" dxfId="0" priority="5">
      <formula>$A1048576&lt;&gt;""</formula>
    </cfRule>
    <cfRule type="expression" dxfId="0" priority="6">
      <formula>$A1&lt;&gt;""</formula>
    </cfRule>
  </conditionalFormatting>
  <conditionalFormatting sqref="A1:L1048575">
    <cfRule type="expression" dxfId="0" priority="1">
      <formula>$A1&lt;&gt;""</formula>
    </cfRule>
    <cfRule type="expression" dxfId="0" priority="3">
      <formula>$A2&lt;&gt;""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3"/>
  <sheetViews>
    <sheetView topLeftCell="F1" workbookViewId="0">
      <pane ySplit="2" topLeftCell="A3" activePane="bottomLeft" state="frozen"/>
      <selection/>
      <selection pane="bottomLeft" activeCell="E10" sqref="E10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14.0916666666667" style="3" customWidth="1"/>
    <col min="8" max="8" width="14.0916666666667" style="2" customWidth="1"/>
    <col min="9" max="9" width="12" style="30" customWidth="1"/>
    <col min="10" max="10" width="15.2583333333333" style="3" customWidth="1"/>
    <col min="11" max="11" width="16.625" style="1" customWidth="1"/>
    <col min="12" max="12" width="0.125" style="1" customWidth="1"/>
    <col min="13" max="13" width="18.375" style="1" customWidth="1"/>
    <col min="14" max="14" width="13" style="1" customWidth="1"/>
    <col min="15" max="15" width="11.5" style="1"/>
    <col min="16" max="16" width="11.8166666666667" style="1"/>
    <col min="17" max="17" width="13.275" style="1" customWidth="1"/>
    <col min="18" max="16384" width="9" style="1"/>
  </cols>
  <sheetData>
    <row r="1" s="1" customFormat="1" ht="31" customHeight="1" spans="1:17">
      <c r="A1" s="31" t="s">
        <v>59</v>
      </c>
      <c r="B1" s="32"/>
      <c r="C1" s="33"/>
      <c r="D1" s="33"/>
      <c r="E1" s="34"/>
      <c r="F1" s="35" t="s">
        <v>20</v>
      </c>
      <c r="G1" s="35">
        <f>SUBTOTAL(9,G3:G100)</f>
        <v>219770</v>
      </c>
      <c r="H1" s="34"/>
      <c r="I1" s="36"/>
      <c r="J1" s="37" t="str">
        <f>HYPERLINK("#总表！A3","返回总表")</f>
        <v>返回总表</v>
      </c>
      <c r="K1" s="38"/>
    </row>
    <row r="2" s="1" customFormat="1" customHeight="1" spans="1:17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30</v>
      </c>
      <c r="H2" s="9" t="s">
        <v>31</v>
      </c>
      <c r="I2" s="39" t="s">
        <v>32</v>
      </c>
      <c r="J2" s="11" t="s">
        <v>33</v>
      </c>
      <c r="K2" s="10" t="s">
        <v>34</v>
      </c>
      <c r="L2" s="30">
        <v>0.13</v>
      </c>
      <c r="N2" s="1" t="str" cm="1">
        <f t="array" ref="N2:O10">_xlfn.GROUPBY(_xlfn._TRO_TRAILING(B2:B1000),_xlfn._TRO_TRAILING(C2:C1000),_xleta.SUM,3)</f>
        <v>项目名称</v>
      </c>
      <c r="O2" s="1" t="str">
        <v>应付金额</v>
      </c>
      <c r="P2" s="1" t="s">
        <v>27</v>
      </c>
      <c r="Q2" s="1" t="s">
        <v>60</v>
      </c>
    </row>
    <row r="3" s="1" customFormat="1" customHeight="1" spans="1:17">
      <c r="A3" s="12">
        <v>45970</v>
      </c>
      <c r="B3" s="13" t="s">
        <v>9</v>
      </c>
      <c r="C3" s="14">
        <v>12576</v>
      </c>
      <c r="D3" s="40">
        <v>12576</v>
      </c>
      <c r="E3" s="12">
        <v>45970</v>
      </c>
      <c r="F3" s="14" t="s">
        <v>35</v>
      </c>
      <c r="G3" s="14">
        <v>5300</v>
      </c>
      <c r="H3" s="12">
        <v>45946</v>
      </c>
      <c r="I3" s="26">
        <v>0.13</v>
      </c>
      <c r="J3" s="14">
        <f>G3/(1+I3)*I3</f>
        <v>609.734513274336</v>
      </c>
      <c r="K3" s="13"/>
      <c r="L3" s="30">
        <v>0.09</v>
      </c>
      <c r="N3" s="1" t="str">
        <v>备用</v>
      </c>
      <c r="O3" s="3">
        <v>4230</v>
      </c>
      <c r="P3" s="3"/>
      <c r="Q3" s="3"/>
    </row>
    <row r="4" s="1" customFormat="1" customHeight="1" spans="1:17">
      <c r="A4" s="12">
        <v>45970</v>
      </c>
      <c r="B4" s="13" t="s">
        <v>14</v>
      </c>
      <c r="C4" s="14">
        <v>5808</v>
      </c>
      <c r="D4" s="41">
        <v>5834</v>
      </c>
      <c r="E4" s="12">
        <v>45971</v>
      </c>
      <c r="F4" s="14" t="s">
        <v>35</v>
      </c>
      <c r="G4" s="14">
        <v>14212</v>
      </c>
      <c r="H4" s="12">
        <v>45960</v>
      </c>
      <c r="I4" s="26">
        <v>0.13</v>
      </c>
      <c r="J4" s="14">
        <f t="shared" ref="J4:J16" si="0">G4/(1+I4)*I4</f>
        <v>1635.00884955752</v>
      </c>
      <c r="K4" s="13"/>
      <c r="L4" s="30">
        <v>0.06</v>
      </c>
      <c r="N4" s="1" t="str">
        <v>德安养老中心</v>
      </c>
      <c r="O4" s="3">
        <v>128958</v>
      </c>
      <c r="P4" s="3">
        <v>126963</v>
      </c>
      <c r="Q4" s="3">
        <f>O4-P4</f>
        <v>1995</v>
      </c>
    </row>
    <row r="5" s="1" customFormat="1" customHeight="1" spans="1:17">
      <c r="A5" s="12">
        <v>45973</v>
      </c>
      <c r="B5" s="13" t="s">
        <v>9</v>
      </c>
      <c r="C5" s="14">
        <v>810</v>
      </c>
      <c r="D5" s="40">
        <v>810</v>
      </c>
      <c r="E5" s="12">
        <v>45973</v>
      </c>
      <c r="F5" s="14" t="s">
        <v>35</v>
      </c>
      <c r="G5" s="14">
        <v>7502</v>
      </c>
      <c r="H5" s="12">
        <v>45961</v>
      </c>
      <c r="I5" s="26">
        <v>0.13</v>
      </c>
      <c r="J5" s="14">
        <f t="shared" si="0"/>
        <v>863.061946902655</v>
      </c>
      <c r="K5" s="13"/>
      <c r="L5" s="30">
        <v>0.03</v>
      </c>
      <c r="N5" s="1" t="str">
        <v>抚州1号楼</v>
      </c>
      <c r="O5" s="3">
        <v>5808</v>
      </c>
      <c r="P5" s="3">
        <v>5808</v>
      </c>
      <c r="Q5" s="3"/>
    </row>
    <row r="6" s="1" customFormat="1" customHeight="1" spans="1:17">
      <c r="A6" s="12">
        <v>45973</v>
      </c>
      <c r="B6" s="13" t="s">
        <v>10</v>
      </c>
      <c r="C6" s="14">
        <v>1048</v>
      </c>
      <c r="D6" s="14"/>
      <c r="E6" s="12"/>
      <c r="F6" s="14"/>
      <c r="G6" s="14">
        <v>5260</v>
      </c>
      <c r="H6" s="12">
        <v>45965</v>
      </c>
      <c r="I6" s="26">
        <v>0.13</v>
      </c>
      <c r="J6" s="14">
        <f t="shared" si="0"/>
        <v>605.132743362832</v>
      </c>
      <c r="K6" s="13"/>
      <c r="L6" s="30">
        <v>0.01</v>
      </c>
      <c r="N6" s="1" t="str">
        <v>抚州2号楼</v>
      </c>
      <c r="O6" s="3">
        <v>3640</v>
      </c>
      <c r="P6" s="3"/>
      <c r="Q6" s="3">
        <f>O6-P6</f>
        <v>3640</v>
      </c>
    </row>
    <row r="7" s="1" customFormat="1" customHeight="1" spans="1:17">
      <c r="A7" s="12">
        <v>45973</v>
      </c>
      <c r="B7" s="13" t="s">
        <v>10</v>
      </c>
      <c r="C7" s="14">
        <v>524</v>
      </c>
      <c r="D7" s="42">
        <v>1572</v>
      </c>
      <c r="E7" s="12">
        <v>45973</v>
      </c>
      <c r="F7" s="14" t="s">
        <v>35</v>
      </c>
      <c r="G7" s="25">
        <v>12576</v>
      </c>
      <c r="H7" s="43">
        <v>45970</v>
      </c>
      <c r="I7" s="44">
        <v>0.13</v>
      </c>
      <c r="J7" s="25">
        <f t="shared" si="0"/>
        <v>1446.79646017699</v>
      </c>
      <c r="K7" s="45"/>
      <c r="N7" s="1" t="str">
        <v>抚州8号楼</v>
      </c>
      <c r="O7" s="3">
        <v>59858</v>
      </c>
      <c r="P7" s="3">
        <v>38402</v>
      </c>
      <c r="Q7" s="3">
        <f>O7-P7</f>
        <v>21456</v>
      </c>
    </row>
    <row r="8" s="1" customFormat="1" customHeight="1" spans="1:17">
      <c r="A8" s="12">
        <v>45975</v>
      </c>
      <c r="B8" s="13" t="s">
        <v>10</v>
      </c>
      <c r="C8" s="14">
        <v>1200</v>
      </c>
      <c r="D8" s="14">
        <v>1200</v>
      </c>
      <c r="E8" s="12">
        <v>45982</v>
      </c>
      <c r="F8" s="14" t="s">
        <v>35</v>
      </c>
      <c r="G8" s="14">
        <v>5834</v>
      </c>
      <c r="H8" s="12">
        <v>45971</v>
      </c>
      <c r="I8" s="26">
        <v>0.13</v>
      </c>
      <c r="J8" s="14">
        <f t="shared" si="0"/>
        <v>671.168141592921</v>
      </c>
      <c r="K8" s="13"/>
      <c r="N8" s="1" t="str">
        <v>科创中心</v>
      </c>
      <c r="O8" s="3">
        <v>11971</v>
      </c>
      <c r="P8" s="3">
        <v>11971</v>
      </c>
      <c r="Q8" s="3"/>
    </row>
    <row r="9" s="1" customFormat="1" customHeight="1" spans="1:17">
      <c r="A9" s="12">
        <v>45977</v>
      </c>
      <c r="B9" s="13" t="s">
        <v>9</v>
      </c>
      <c r="C9" s="14">
        <v>12314</v>
      </c>
      <c r="D9" s="14">
        <v>12314</v>
      </c>
      <c r="E9" s="12">
        <v>45978</v>
      </c>
      <c r="F9" s="14" t="s">
        <v>35</v>
      </c>
      <c r="G9" s="25">
        <v>810</v>
      </c>
      <c r="H9" s="43">
        <v>45973</v>
      </c>
      <c r="I9" s="44">
        <v>0.13</v>
      </c>
      <c r="J9" s="25">
        <f t="shared" si="0"/>
        <v>93.1858407079646</v>
      </c>
      <c r="K9" s="45"/>
      <c r="N9" s="1" t="str">
        <v>邹桥派出所</v>
      </c>
      <c r="O9" s="3">
        <v>7542</v>
      </c>
      <c r="P9" s="1">
        <v>4326</v>
      </c>
      <c r="Q9" s="3">
        <f>O9-P9</f>
        <v>3216</v>
      </c>
    </row>
    <row r="10" s="1" customFormat="1" customHeight="1" spans="1:17">
      <c r="A10" s="12">
        <v>45982</v>
      </c>
      <c r="B10" s="13" t="s">
        <v>9</v>
      </c>
      <c r="C10" s="14">
        <v>1842</v>
      </c>
      <c r="D10" s="42">
        <v>1200</v>
      </c>
      <c r="E10" s="12">
        <v>45975</v>
      </c>
      <c r="F10" s="14" t="s">
        <v>35</v>
      </c>
      <c r="G10" s="14">
        <v>1572</v>
      </c>
      <c r="H10" s="12">
        <v>45973</v>
      </c>
      <c r="I10" s="26">
        <v>0.13</v>
      </c>
      <c r="J10" s="14">
        <f t="shared" si="0"/>
        <v>180.849557522124</v>
      </c>
      <c r="K10" s="13"/>
      <c r="N10" s="1" t="str">
        <v>总计</v>
      </c>
      <c r="O10" s="1">
        <v>222007</v>
      </c>
      <c r="P10" s="3">
        <f>SUM(D:D)</f>
        <v>187470</v>
      </c>
      <c r="Q10" s="3">
        <f>O10-P10</f>
        <v>34537</v>
      </c>
    </row>
    <row r="11" s="1" customFormat="1" customHeight="1" spans="1:17">
      <c r="A11" s="12">
        <v>45983</v>
      </c>
      <c r="B11" s="13" t="s">
        <v>9</v>
      </c>
      <c r="C11" s="14">
        <v>13100</v>
      </c>
      <c r="D11" s="14"/>
      <c r="E11" s="12"/>
      <c r="F11" s="14"/>
      <c r="G11" s="14">
        <v>1200</v>
      </c>
      <c r="H11" s="12">
        <v>45975</v>
      </c>
      <c r="I11" s="26">
        <v>0.13</v>
      </c>
      <c r="J11" s="14">
        <f t="shared" si="0"/>
        <v>138.053097345133</v>
      </c>
      <c r="K11" s="13"/>
      <c r="Q11" s="1">
        <v>30307</v>
      </c>
    </row>
    <row r="12" s="1" customFormat="1" customHeight="1" spans="1:17">
      <c r="A12" s="12">
        <v>45984</v>
      </c>
      <c r="B12" s="13" t="s">
        <v>9</v>
      </c>
      <c r="C12" s="14">
        <v>303</v>
      </c>
      <c r="D12" s="14"/>
      <c r="E12" s="12"/>
      <c r="F12" s="14"/>
      <c r="G12" s="14">
        <v>12314</v>
      </c>
      <c r="H12" s="12">
        <v>45978</v>
      </c>
      <c r="I12" s="26">
        <v>0.13</v>
      </c>
      <c r="J12" s="14">
        <f t="shared" si="0"/>
        <v>1416.65486725664</v>
      </c>
      <c r="K12" s="13"/>
      <c r="P12" s="3"/>
    </row>
    <row r="13" s="1" customFormat="1" customHeight="1" spans="1:17">
      <c r="A13" s="12">
        <v>45984</v>
      </c>
      <c r="B13" s="13" t="s">
        <v>9</v>
      </c>
      <c r="C13" s="14">
        <v>2400</v>
      </c>
      <c r="D13" s="40">
        <v>17645</v>
      </c>
      <c r="E13" s="12">
        <v>45985</v>
      </c>
      <c r="F13" s="14" t="s">
        <v>35</v>
      </c>
      <c r="G13" s="14">
        <v>17645</v>
      </c>
      <c r="H13" s="12">
        <v>45985</v>
      </c>
      <c r="I13" s="26">
        <v>0.13</v>
      </c>
      <c r="J13" s="14">
        <f t="shared" si="0"/>
        <v>2029.95575221239</v>
      </c>
      <c r="K13" s="13"/>
    </row>
    <row r="14" s="1" customFormat="1" customHeight="1" spans="1:17">
      <c r="A14" s="12">
        <v>45989</v>
      </c>
      <c r="B14" s="13" t="s">
        <v>10</v>
      </c>
      <c r="C14" s="14">
        <v>6026</v>
      </c>
      <c r="D14" s="14"/>
      <c r="E14" s="12"/>
      <c r="F14" s="14"/>
      <c r="G14" s="14">
        <v>23056</v>
      </c>
      <c r="H14" s="12">
        <v>45992</v>
      </c>
      <c r="I14" s="26">
        <v>0.13</v>
      </c>
      <c r="J14" s="14">
        <f t="shared" si="0"/>
        <v>2652.46017699115</v>
      </c>
      <c r="K14" s="13"/>
    </row>
    <row r="15" s="1" customFormat="1" customHeight="1" spans="1:17">
      <c r="A15" s="12">
        <v>45991</v>
      </c>
      <c r="B15" s="13" t="s">
        <v>9</v>
      </c>
      <c r="C15" s="14">
        <v>17030</v>
      </c>
      <c r="D15" s="40">
        <v>23056</v>
      </c>
      <c r="E15" s="12">
        <v>45992</v>
      </c>
      <c r="F15" s="14"/>
      <c r="G15" s="14">
        <v>7184</v>
      </c>
      <c r="H15" s="12">
        <v>46002</v>
      </c>
      <c r="I15" s="26">
        <v>0.13</v>
      </c>
      <c r="J15" s="14">
        <f t="shared" si="0"/>
        <v>826.477876106195</v>
      </c>
      <c r="K15" s="13"/>
    </row>
    <row r="16" s="1" customFormat="1" customHeight="1" spans="1:17">
      <c r="A16" s="12">
        <v>45996</v>
      </c>
      <c r="B16" s="13" t="s">
        <v>10</v>
      </c>
      <c r="C16" s="14">
        <v>2052</v>
      </c>
      <c r="D16" s="14"/>
      <c r="E16" s="12"/>
      <c r="F16" s="14"/>
      <c r="G16" s="14">
        <v>14575</v>
      </c>
      <c r="H16" s="12">
        <v>46009</v>
      </c>
      <c r="I16" s="26">
        <v>0.13</v>
      </c>
      <c r="J16" s="14">
        <f t="shared" ref="J16:J25" si="1">G16/(1+I16)*I16</f>
        <v>1676.76991150442</v>
      </c>
      <c r="K16" s="13"/>
    </row>
    <row r="17" s="1" customFormat="1" customHeight="1" spans="1:11">
      <c r="A17" s="12">
        <v>46001</v>
      </c>
      <c r="B17" s="13" t="s">
        <v>10</v>
      </c>
      <c r="C17" s="14">
        <v>430</v>
      </c>
      <c r="D17" s="42">
        <v>7184</v>
      </c>
      <c r="E17" s="12">
        <v>46022</v>
      </c>
      <c r="F17" s="14" t="s">
        <v>35</v>
      </c>
      <c r="G17" s="14"/>
      <c r="H17" s="12"/>
      <c r="I17" s="26"/>
      <c r="J17" s="14">
        <f t="shared" si="1"/>
        <v>0</v>
      </c>
      <c r="K17" s="13"/>
    </row>
    <row r="18" s="1" customFormat="1" customHeight="1" spans="1:11">
      <c r="A18" s="12">
        <v>46001</v>
      </c>
      <c r="B18" s="13" t="s">
        <v>9</v>
      </c>
      <c r="C18" s="14">
        <v>2650</v>
      </c>
      <c r="D18" s="46">
        <v>6130</v>
      </c>
      <c r="E18" s="12">
        <v>46027</v>
      </c>
      <c r="F18" s="14" t="s">
        <v>35</v>
      </c>
      <c r="G18" s="14">
        <v>6130</v>
      </c>
      <c r="H18" s="12">
        <v>46025</v>
      </c>
      <c r="I18" s="26">
        <v>0.13</v>
      </c>
      <c r="J18" s="14">
        <f t="shared" si="1"/>
        <v>705.221238938053</v>
      </c>
      <c r="K18" s="13"/>
    </row>
    <row r="19" s="1" customFormat="1" customHeight="1" spans="1:11">
      <c r="A19" s="12">
        <v>46001</v>
      </c>
      <c r="B19" s="13" t="s">
        <v>15</v>
      </c>
      <c r="C19" s="14">
        <v>2052</v>
      </c>
      <c r="D19" s="14"/>
      <c r="E19" s="12"/>
      <c r="F19" s="14"/>
      <c r="G19" s="14">
        <v>5472</v>
      </c>
      <c r="H19" s="12">
        <v>46036</v>
      </c>
      <c r="I19" s="26">
        <v>0.13</v>
      </c>
      <c r="J19" s="14">
        <f t="shared" si="1"/>
        <v>629.522123893805</v>
      </c>
      <c r="K19" s="13"/>
    </row>
    <row r="20" s="1" customFormat="1" customHeight="1" spans="1:11">
      <c r="A20" s="12">
        <v>46009</v>
      </c>
      <c r="B20" s="13" t="s">
        <v>9</v>
      </c>
      <c r="C20" s="14">
        <v>14575</v>
      </c>
      <c r="D20" s="46">
        <v>14575</v>
      </c>
      <c r="E20" s="12">
        <v>46027</v>
      </c>
      <c r="F20" s="14" t="s">
        <v>35</v>
      </c>
      <c r="G20" s="14">
        <v>2160</v>
      </c>
      <c r="H20" s="12">
        <v>46048</v>
      </c>
      <c r="I20" s="26">
        <v>0.13</v>
      </c>
      <c r="J20" s="14">
        <f t="shared" si="1"/>
        <v>248.495575221239</v>
      </c>
      <c r="K20" s="13"/>
    </row>
    <row r="21" s="1" customFormat="1" customHeight="1" spans="1:11">
      <c r="A21" s="12">
        <v>46011</v>
      </c>
      <c r="B21" s="13" t="s">
        <v>9</v>
      </c>
      <c r="C21" s="14">
        <v>570</v>
      </c>
      <c r="D21" s="46">
        <v>5472</v>
      </c>
      <c r="E21" s="12">
        <v>46036</v>
      </c>
      <c r="F21" s="14" t="s">
        <v>35</v>
      </c>
      <c r="G21" s="16">
        <v>34057</v>
      </c>
      <c r="H21" s="17">
        <v>46097</v>
      </c>
      <c r="I21" s="47">
        <v>0.13</v>
      </c>
      <c r="J21" s="16">
        <f t="shared" si="1"/>
        <v>3918.06194690266</v>
      </c>
      <c r="K21" s="48"/>
    </row>
    <row r="22" s="1" customFormat="1" customHeight="1" spans="1:11">
      <c r="A22" s="12">
        <v>46022</v>
      </c>
      <c r="B22" s="13" t="s">
        <v>9</v>
      </c>
      <c r="C22" s="40">
        <v>5560</v>
      </c>
      <c r="D22" s="42">
        <v>2160</v>
      </c>
      <c r="E22" s="12">
        <v>46052</v>
      </c>
      <c r="F22" s="14" t="s">
        <v>35</v>
      </c>
      <c r="G22" s="14">
        <v>32226</v>
      </c>
      <c r="H22" s="12">
        <v>46112</v>
      </c>
      <c r="I22" s="26">
        <v>0.13</v>
      </c>
      <c r="J22" s="14">
        <f t="shared" si="1"/>
        <v>3707.41592920354</v>
      </c>
      <c r="K22" s="49" t="s">
        <v>61</v>
      </c>
    </row>
    <row r="23" s="1" customFormat="1" customHeight="1" spans="1:11">
      <c r="A23" s="12">
        <v>46029</v>
      </c>
      <c r="B23" s="13" t="s">
        <v>9</v>
      </c>
      <c r="C23" s="14">
        <v>3168</v>
      </c>
      <c r="D23" s="14"/>
      <c r="E23" s="12"/>
      <c r="F23" s="14"/>
      <c r="G23" s="16">
        <v>10685</v>
      </c>
      <c r="H23" s="17">
        <v>46130</v>
      </c>
      <c r="I23" s="47">
        <v>0.13</v>
      </c>
      <c r="J23" s="16">
        <f t="shared" si="1"/>
        <v>1229.24778761062</v>
      </c>
      <c r="K23" s="48"/>
    </row>
    <row r="24" s="1" customFormat="1" customHeight="1" spans="1:11">
      <c r="A24" s="12">
        <v>46032</v>
      </c>
      <c r="B24" s="13" t="s">
        <v>9</v>
      </c>
      <c r="C24" s="14">
        <v>2304</v>
      </c>
      <c r="D24" s="14"/>
      <c r="E24" s="12"/>
      <c r="F24" s="14"/>
      <c r="G24" s="14"/>
      <c r="H24" s="12"/>
      <c r="I24" s="26"/>
      <c r="J24" s="14">
        <f t="shared" si="1"/>
        <v>0</v>
      </c>
      <c r="K24" s="13"/>
    </row>
    <row r="25" s="1" customFormat="1" customHeight="1" spans="1:11">
      <c r="A25" s="12">
        <v>46042</v>
      </c>
      <c r="B25" s="13" t="s">
        <v>15</v>
      </c>
      <c r="C25" s="14">
        <v>2160</v>
      </c>
      <c r="D25" s="14"/>
      <c r="E25" s="12"/>
      <c r="F25" s="14"/>
      <c r="G25" s="14"/>
      <c r="H25" s="12"/>
      <c r="I25" s="26"/>
      <c r="J25" s="14">
        <f t="shared" si="1"/>
        <v>0</v>
      </c>
      <c r="K25" s="13"/>
    </row>
    <row r="26" s="1" customFormat="1" customHeight="1" spans="1:11">
      <c r="A26" s="12">
        <v>46052</v>
      </c>
      <c r="B26" s="13" t="s">
        <v>10</v>
      </c>
      <c r="C26" s="14">
        <v>131</v>
      </c>
      <c r="D26" s="14"/>
      <c r="E26" s="12"/>
      <c r="F26" s="14"/>
      <c r="G26" s="14"/>
      <c r="H26" s="12"/>
      <c r="I26" s="26"/>
      <c r="J26" s="14">
        <f t="shared" ref="J26:J34" si="2">G26/(1+I26)*I26</f>
        <v>0</v>
      </c>
      <c r="K26" s="13"/>
    </row>
    <row r="27" s="1" customFormat="1" customHeight="1" spans="1:11">
      <c r="A27" s="12">
        <v>46093</v>
      </c>
      <c r="B27" s="13" t="s">
        <v>17</v>
      </c>
      <c r="C27" s="14">
        <v>4326</v>
      </c>
      <c r="D27" s="14"/>
      <c r="E27" s="12"/>
      <c r="F27" s="14"/>
      <c r="G27" s="14"/>
      <c r="H27" s="12"/>
      <c r="I27" s="26"/>
      <c r="J27" s="14">
        <f t="shared" si="2"/>
        <v>0</v>
      </c>
      <c r="K27" s="13"/>
    </row>
    <row r="28" s="1" customFormat="1" customHeight="1" spans="1:11">
      <c r="A28" s="12">
        <v>46094</v>
      </c>
      <c r="B28" s="13" t="s">
        <v>9</v>
      </c>
      <c r="C28" s="14">
        <v>4560</v>
      </c>
      <c r="D28" s="14"/>
      <c r="E28" s="12"/>
      <c r="F28" s="14"/>
      <c r="G28" s="14"/>
      <c r="H28" s="12"/>
      <c r="I28" s="26"/>
      <c r="J28" s="14">
        <f t="shared" si="2"/>
        <v>0</v>
      </c>
      <c r="K28" s="13"/>
    </row>
    <row r="29" s="1" customFormat="1" customHeight="1" spans="1:11">
      <c r="A29" s="12">
        <v>46094</v>
      </c>
      <c r="B29" s="13" t="s">
        <v>15</v>
      </c>
      <c r="C29" s="14">
        <v>25040</v>
      </c>
      <c r="D29" s="14"/>
      <c r="E29" s="12"/>
      <c r="F29" s="14"/>
      <c r="G29" s="14"/>
      <c r="H29" s="12"/>
      <c r="I29" s="26"/>
      <c r="J29" s="14">
        <f t="shared" si="2"/>
        <v>0</v>
      </c>
      <c r="K29" s="13"/>
    </row>
    <row r="30" s="1" customFormat="1" customHeight="1" spans="1:11">
      <c r="A30" s="12">
        <v>46097</v>
      </c>
      <c r="B30" s="1" t="s">
        <v>9</v>
      </c>
      <c r="C30" s="3">
        <v>2565</v>
      </c>
      <c r="D30" s="3"/>
      <c r="E30" s="2"/>
      <c r="F30" s="3"/>
      <c r="G30" s="3"/>
      <c r="H30" s="2"/>
      <c r="I30" s="30"/>
      <c r="J30" s="14">
        <f t="shared" si="2"/>
        <v>0</v>
      </c>
    </row>
    <row r="31" s="1" customFormat="1" customHeight="1" spans="1:11">
      <c r="A31" s="12">
        <v>46098</v>
      </c>
      <c r="B31" s="1" t="s">
        <v>9</v>
      </c>
      <c r="C31" s="3">
        <v>816</v>
      </c>
      <c r="D31" s="3"/>
      <c r="E31" s="2"/>
      <c r="F31" s="3"/>
      <c r="G31" s="3"/>
      <c r="H31" s="2"/>
      <c r="I31" s="30"/>
      <c r="J31" s="14">
        <f t="shared" si="2"/>
        <v>0</v>
      </c>
    </row>
    <row r="32" s="1" customFormat="1" customHeight="1" spans="1:11">
      <c r="A32" s="12">
        <v>46101</v>
      </c>
      <c r="B32" s="1" t="s">
        <v>10</v>
      </c>
      <c r="C32" s="3">
        <v>560</v>
      </c>
      <c r="D32" s="3"/>
      <c r="E32" s="2"/>
      <c r="F32" s="3"/>
      <c r="G32" s="3"/>
      <c r="H32" s="2"/>
      <c r="I32" s="30"/>
      <c r="J32" s="14">
        <f t="shared" si="2"/>
        <v>0</v>
      </c>
    </row>
    <row r="33" s="1" customFormat="1" customHeight="1" spans="1:10">
      <c r="A33" s="12">
        <v>46101</v>
      </c>
      <c r="B33" s="1" t="s">
        <v>9</v>
      </c>
      <c r="C33" s="3">
        <v>3920</v>
      </c>
      <c r="D33" s="3"/>
      <c r="E33" s="2"/>
      <c r="F33" s="3"/>
      <c r="G33" s="3"/>
      <c r="H33" s="2"/>
      <c r="I33" s="30"/>
      <c r="J33" s="14">
        <f t="shared" si="2"/>
        <v>0</v>
      </c>
    </row>
    <row r="34" s="1" customFormat="1" customHeight="1" spans="1:10">
      <c r="A34" s="12">
        <v>46108</v>
      </c>
      <c r="B34" s="1" t="s">
        <v>9</v>
      </c>
      <c r="C34" s="3">
        <v>3675</v>
      </c>
      <c r="D34" s="3"/>
      <c r="E34" s="2"/>
      <c r="F34" s="3"/>
      <c r="G34" s="3"/>
      <c r="H34" s="2"/>
      <c r="I34" s="30"/>
      <c r="J34" s="14">
        <f t="shared" si="2"/>
        <v>0</v>
      </c>
    </row>
    <row r="35" s="1" customFormat="1" customHeight="1" spans="1:10">
      <c r="A35" s="12">
        <v>46109</v>
      </c>
      <c r="B35" s="1" t="s">
        <v>15</v>
      </c>
      <c r="C35" s="3">
        <v>9150</v>
      </c>
      <c r="D35" s="50">
        <v>34057</v>
      </c>
      <c r="E35" s="2">
        <v>46198</v>
      </c>
      <c r="F35" s="3" t="s">
        <v>35</v>
      </c>
      <c r="G35" s="3"/>
      <c r="H35" s="2"/>
      <c r="I35" s="30"/>
      <c r="J35" s="3"/>
    </row>
    <row r="36" s="1" customFormat="1" customHeight="1" spans="1:10">
      <c r="A36" s="12">
        <v>46110</v>
      </c>
      <c r="B36" s="1" t="s">
        <v>9</v>
      </c>
      <c r="C36" s="3">
        <v>11540</v>
      </c>
      <c r="D36" s="51">
        <v>32226</v>
      </c>
      <c r="E36" s="2">
        <v>46142</v>
      </c>
      <c r="F36" s="3" t="s">
        <v>35</v>
      </c>
      <c r="G36" s="3"/>
      <c r="H36" s="2"/>
      <c r="I36" s="30"/>
      <c r="J36" s="3"/>
    </row>
    <row r="37" s="1" customFormat="1" customHeight="1" spans="1:10">
      <c r="A37" s="2">
        <v>46114</v>
      </c>
      <c r="B37" s="1" t="s">
        <v>9</v>
      </c>
      <c r="C37" s="3">
        <v>4677</v>
      </c>
      <c r="D37" s="3"/>
      <c r="E37" s="2"/>
      <c r="F37" s="3"/>
      <c r="G37" s="3"/>
      <c r="H37" s="2"/>
      <c r="I37" s="30"/>
      <c r="J37" s="3"/>
    </row>
    <row r="38" s="1" customFormat="1" customHeight="1" spans="1:10">
      <c r="A38" s="2">
        <v>46123</v>
      </c>
      <c r="B38" s="1" t="s">
        <v>9</v>
      </c>
      <c r="C38" s="3">
        <v>828</v>
      </c>
      <c r="D38" s="3"/>
      <c r="E38" s="2"/>
      <c r="F38" s="3"/>
      <c r="G38" s="3"/>
      <c r="H38" s="2"/>
      <c r="I38" s="30"/>
      <c r="J38" s="3"/>
    </row>
    <row r="39" s="1" customFormat="1" customHeight="1" spans="1:10">
      <c r="A39" s="2">
        <v>46124</v>
      </c>
      <c r="B39" s="1" t="s">
        <v>9</v>
      </c>
      <c r="C39" s="3">
        <v>5180</v>
      </c>
      <c r="D39" s="3"/>
      <c r="E39" s="2"/>
      <c r="F39" s="3"/>
      <c r="G39" s="3"/>
      <c r="H39" s="2"/>
      <c r="I39" s="30"/>
      <c r="J39" s="3"/>
    </row>
    <row r="40" s="1" customFormat="1" customHeight="1" spans="1:10">
      <c r="A40" s="2">
        <v>46130</v>
      </c>
      <c r="B40" s="1" t="s">
        <v>15</v>
      </c>
      <c r="C40" s="3">
        <v>855</v>
      </c>
      <c r="D40" s="3"/>
      <c r="E40" s="2"/>
      <c r="F40" s="3"/>
      <c r="G40" s="3"/>
      <c r="H40" s="2"/>
      <c r="I40" s="30"/>
      <c r="J40" s="3"/>
    </row>
    <row r="41" s="1" customFormat="1" customHeight="1" spans="1:10">
      <c r="A41" s="2">
        <v>46140</v>
      </c>
      <c r="B41" s="1" t="s">
        <v>9</v>
      </c>
      <c r="C41" s="3">
        <v>1995</v>
      </c>
      <c r="D41" s="3"/>
      <c r="E41" s="2"/>
      <c r="F41" s="3"/>
      <c r="G41" s="3"/>
      <c r="H41" s="2"/>
      <c r="I41" s="30"/>
      <c r="J41" s="3"/>
    </row>
    <row r="42" s="1" customFormat="1" customHeight="1" spans="1:10">
      <c r="A42" s="2">
        <v>46150</v>
      </c>
      <c r="B42" s="1" t="s">
        <v>15</v>
      </c>
      <c r="C42" s="3">
        <v>20601</v>
      </c>
      <c r="D42" s="3"/>
      <c r="E42" s="2"/>
      <c r="F42" s="3"/>
      <c r="G42" s="3"/>
      <c r="H42" s="2"/>
      <c r="I42" s="30"/>
      <c r="J42" s="3"/>
    </row>
    <row r="43" s="1" customFormat="1" customHeight="1" spans="1:10">
      <c r="A43" s="2">
        <v>46167</v>
      </c>
      <c r="B43" s="1" t="s">
        <v>16</v>
      </c>
      <c r="C43" s="3">
        <v>3640</v>
      </c>
      <c r="D43" s="3"/>
      <c r="E43" s="2"/>
      <c r="F43" s="3"/>
      <c r="G43" s="3"/>
      <c r="H43" s="2"/>
      <c r="I43" s="30"/>
      <c r="J43" s="3"/>
    </row>
    <row r="44" s="1" customFormat="1" customHeight="1" spans="1:10">
      <c r="A44" s="2">
        <v>46172</v>
      </c>
      <c r="B44" s="1" t="s">
        <v>17</v>
      </c>
      <c r="C44" s="3">
        <v>840</v>
      </c>
      <c r="D44" s="51">
        <v>9459</v>
      </c>
      <c r="E44" s="2">
        <v>46198</v>
      </c>
      <c r="F44" s="3" t="s">
        <v>35</v>
      </c>
      <c r="G44" s="3"/>
      <c r="H44" s="2"/>
      <c r="I44" s="30"/>
      <c r="J44" s="3"/>
    </row>
    <row r="45" s="1" customFormat="1" customHeight="1" spans="1:10">
      <c r="A45" s="2">
        <v>46175</v>
      </c>
      <c r="B45" s="1" t="s">
        <v>17</v>
      </c>
      <c r="C45" s="3">
        <v>2376</v>
      </c>
      <c r="D45" s="3"/>
      <c r="E45" s="2"/>
      <c r="F45" s="3"/>
      <c r="G45" s="3"/>
      <c r="H45" s="2"/>
      <c r="I45" s="30"/>
      <c r="J45" s="3"/>
    </row>
    <row r="46" s="1" customFormat="1" customHeight="1" spans="1:10">
      <c r="A46" s="2">
        <v>46200</v>
      </c>
      <c r="B46" s="1" t="s">
        <v>62</v>
      </c>
      <c r="C46" s="3">
        <v>4230</v>
      </c>
      <c r="D46" s="3"/>
      <c r="E46" s="2"/>
      <c r="F46" s="3"/>
      <c r="G46" s="3"/>
      <c r="H46" s="2"/>
      <c r="I46" s="30"/>
      <c r="J46" s="3"/>
    </row>
    <row r="47" s="1" customFormat="1" customHeight="1" spans="1:10">
      <c r="A47" s="2"/>
      <c r="C47" s="3"/>
      <c r="D47" s="3"/>
      <c r="E47" s="2"/>
      <c r="F47" s="3"/>
      <c r="G47" s="3"/>
      <c r="H47" s="2"/>
      <c r="I47" s="30"/>
      <c r="J47" s="3"/>
    </row>
    <row r="48" s="1" customFormat="1" customHeight="1" spans="1:10">
      <c r="A48" s="2"/>
      <c r="C48" s="3"/>
      <c r="D48" s="3"/>
      <c r="E48" s="2"/>
      <c r="F48" s="3"/>
      <c r="G48" s="3"/>
      <c r="H48" s="2"/>
      <c r="I48" s="30"/>
      <c r="J48" s="3"/>
    </row>
    <row r="49" s="1" customFormat="1" customHeight="1" spans="1:10">
      <c r="A49" s="2"/>
      <c r="C49" s="3"/>
      <c r="D49" s="3"/>
      <c r="E49" s="2"/>
      <c r="F49" s="3"/>
      <c r="G49" s="3"/>
      <c r="H49" s="2"/>
      <c r="I49" s="30"/>
      <c r="J49" s="3"/>
    </row>
    <row r="50" s="1" customFormat="1" customHeight="1" spans="1:10">
      <c r="A50" s="2"/>
      <c r="C50" s="3"/>
      <c r="D50" s="3"/>
      <c r="E50" s="2"/>
      <c r="F50" s="3"/>
      <c r="G50" s="3"/>
      <c r="H50" s="2"/>
      <c r="I50" s="30"/>
      <c r="J50" s="3"/>
    </row>
    <row r="51" s="1" customFormat="1" customHeight="1" spans="1:10">
      <c r="A51" s="2"/>
      <c r="C51" s="3"/>
      <c r="D51" s="3"/>
      <c r="E51" s="2"/>
      <c r="F51" s="3"/>
      <c r="G51" s="3"/>
      <c r="H51" s="2"/>
      <c r="I51" s="30"/>
      <c r="J51" s="3"/>
    </row>
    <row r="52" s="1" customFormat="1" customHeight="1" spans="1:10">
      <c r="A52" s="2"/>
      <c r="C52" s="3"/>
      <c r="D52" s="3"/>
      <c r="E52" s="2"/>
      <c r="F52" s="3"/>
      <c r="G52" s="3"/>
      <c r="H52" s="2"/>
      <c r="I52" s="30"/>
      <c r="J52" s="3"/>
    </row>
    <row r="53" s="1" customFormat="1" customHeight="1" spans="1:10">
      <c r="A53" s="2"/>
      <c r="C53" s="3"/>
      <c r="D53" s="3"/>
      <c r="E53" s="2"/>
      <c r="F53" s="3"/>
      <c r="G53" s="3"/>
      <c r="H53" s="2"/>
      <c r="I53" s="30"/>
      <c r="J53" s="3"/>
    </row>
    <row r="54" s="1" customFormat="1" customHeight="1" spans="1:10">
      <c r="A54" s="2"/>
      <c r="C54" s="3"/>
      <c r="D54" s="3"/>
      <c r="E54" s="2"/>
      <c r="F54" s="3"/>
      <c r="G54" s="3"/>
      <c r="H54" s="2"/>
      <c r="I54" s="30"/>
      <c r="J54" s="3"/>
    </row>
    <row r="55" s="1" customFormat="1" customHeight="1" spans="1:10">
      <c r="A55" s="2"/>
      <c r="C55" s="3"/>
      <c r="D55" s="3"/>
      <c r="E55" s="2"/>
      <c r="F55" s="3"/>
      <c r="G55" s="3"/>
      <c r="H55" s="2"/>
      <c r="I55" s="30"/>
      <c r="J55" s="3"/>
    </row>
    <row r="56" s="1" customFormat="1" customHeight="1" spans="1:10">
      <c r="A56" s="2"/>
      <c r="C56" s="3"/>
      <c r="D56" s="3"/>
      <c r="E56" s="2"/>
      <c r="F56" s="3"/>
      <c r="G56" s="3"/>
      <c r="H56" s="2"/>
      <c r="I56" s="30"/>
      <c r="J56" s="3"/>
    </row>
    <row r="57" s="1" customFormat="1" customHeight="1" spans="1:10">
      <c r="A57" s="2"/>
      <c r="C57" s="3"/>
      <c r="D57" s="3"/>
      <c r="E57" s="2"/>
      <c r="F57" s="3"/>
      <c r="G57" s="3"/>
      <c r="H57" s="2"/>
      <c r="I57" s="30"/>
      <c r="J57" s="3"/>
    </row>
    <row r="58" s="1" customFormat="1" customHeight="1" spans="1:10">
      <c r="A58" s="2"/>
      <c r="C58" s="3"/>
      <c r="D58" s="3"/>
      <c r="E58" s="2"/>
      <c r="F58" s="3"/>
      <c r="G58" s="3"/>
      <c r="H58" s="2"/>
      <c r="I58" s="30"/>
      <c r="J58" s="3"/>
    </row>
    <row r="59" s="1" customFormat="1" customHeight="1" spans="1:10">
      <c r="A59" s="2"/>
      <c r="C59" s="3"/>
      <c r="D59" s="3"/>
      <c r="E59" s="2"/>
      <c r="F59" s="3"/>
      <c r="G59" s="3"/>
      <c r="H59" s="2"/>
      <c r="I59" s="30"/>
      <c r="J59" s="3"/>
    </row>
    <row r="60" s="1" customFormat="1" customHeight="1" spans="1:10">
      <c r="A60" s="2"/>
      <c r="C60" s="3"/>
      <c r="D60" s="3"/>
      <c r="E60" s="2"/>
      <c r="F60" s="3"/>
      <c r="G60" s="3"/>
      <c r="H60" s="2"/>
      <c r="I60" s="30"/>
      <c r="J60" s="3"/>
    </row>
    <row r="61" s="1" customFormat="1" customHeight="1" spans="1:10">
      <c r="A61" s="2"/>
      <c r="C61" s="3"/>
      <c r="D61" s="3"/>
      <c r="E61" s="2"/>
      <c r="F61" s="3"/>
      <c r="G61" s="3"/>
      <c r="H61" s="2"/>
      <c r="I61" s="30"/>
      <c r="J61" s="3"/>
    </row>
    <row r="62" s="1" customFormat="1" customHeight="1" spans="1:10">
      <c r="A62" s="2"/>
      <c r="C62" s="3"/>
      <c r="D62" s="3"/>
      <c r="E62" s="2"/>
      <c r="F62" s="3"/>
      <c r="G62" s="3"/>
      <c r="H62" s="2"/>
      <c r="I62" s="30"/>
      <c r="J62" s="3"/>
    </row>
    <row r="63" s="1" customFormat="1" customHeight="1" spans="1:10">
      <c r="A63" s="2"/>
      <c r="C63" s="3"/>
      <c r="D63" s="3"/>
      <c r="E63" s="2"/>
      <c r="F63" s="3"/>
      <c r="G63" s="3"/>
      <c r="H63" s="2"/>
      <c r="I63" s="30"/>
      <c r="J63" s="3"/>
    </row>
    <row r="64" s="1" customFormat="1" customHeight="1" spans="1:10">
      <c r="A64" s="2"/>
      <c r="C64" s="3"/>
      <c r="D64" s="3"/>
      <c r="E64" s="2"/>
      <c r="F64" s="3"/>
      <c r="G64" s="3"/>
      <c r="H64" s="2"/>
      <c r="I64" s="30"/>
      <c r="J64" s="3"/>
    </row>
    <row r="65" s="1" customFormat="1" customHeight="1" spans="1:10">
      <c r="A65" s="2"/>
      <c r="C65" s="3"/>
      <c r="D65" s="3"/>
      <c r="E65" s="2"/>
      <c r="F65" s="3"/>
      <c r="G65" s="3"/>
      <c r="H65" s="2"/>
      <c r="I65" s="30"/>
      <c r="J65" s="3"/>
    </row>
    <row r="66" s="1" customFormat="1" customHeight="1" spans="1:10">
      <c r="A66" s="2"/>
      <c r="C66" s="3"/>
      <c r="D66" s="3"/>
      <c r="E66" s="2"/>
      <c r="F66" s="3"/>
      <c r="G66" s="3"/>
      <c r="H66" s="2"/>
      <c r="I66" s="30"/>
      <c r="J66" s="3"/>
    </row>
    <row r="67" s="1" customFormat="1" customHeight="1" spans="1:10">
      <c r="A67" s="2"/>
      <c r="C67" s="3"/>
      <c r="D67" s="3"/>
      <c r="E67" s="2"/>
      <c r="F67" s="3"/>
      <c r="G67" s="3"/>
      <c r="H67" s="2"/>
      <c r="I67" s="30"/>
      <c r="J67" s="3"/>
    </row>
    <row r="68" s="1" customFormat="1" customHeight="1" spans="1:10">
      <c r="A68" s="2"/>
      <c r="C68" s="3"/>
      <c r="D68" s="3"/>
      <c r="E68" s="2"/>
      <c r="F68" s="3"/>
      <c r="G68" s="3"/>
      <c r="H68" s="2"/>
      <c r="I68" s="30"/>
      <c r="J68" s="3"/>
    </row>
    <row r="69" s="1" customFormat="1" customHeight="1" spans="1:10">
      <c r="A69" s="2"/>
      <c r="C69" s="3"/>
      <c r="D69" s="3"/>
      <c r="E69" s="2"/>
      <c r="F69" s="3"/>
      <c r="G69" s="3"/>
      <c r="H69" s="2"/>
      <c r="I69" s="30"/>
      <c r="J69" s="3"/>
    </row>
    <row r="70" s="1" customFormat="1" customHeight="1" spans="1:10">
      <c r="A70" s="2"/>
      <c r="C70" s="3"/>
      <c r="D70" s="3"/>
      <c r="E70" s="2"/>
      <c r="F70" s="3"/>
      <c r="G70" s="3"/>
      <c r="H70" s="2"/>
      <c r="I70" s="30"/>
      <c r="J70" s="3"/>
    </row>
    <row r="71" s="1" customFormat="1" customHeight="1" spans="1:10">
      <c r="A71" s="2"/>
      <c r="C71" s="3"/>
      <c r="D71" s="3"/>
      <c r="E71" s="2"/>
      <c r="F71" s="3"/>
      <c r="G71" s="3"/>
      <c r="H71" s="2"/>
      <c r="I71" s="30"/>
      <c r="J71" s="3"/>
    </row>
    <row r="72" s="1" customFormat="1" customHeight="1" spans="1:10">
      <c r="A72" s="2"/>
      <c r="C72" s="3"/>
      <c r="D72" s="3"/>
      <c r="E72" s="2"/>
      <c r="F72" s="3"/>
      <c r="G72" s="3"/>
      <c r="H72" s="2"/>
      <c r="I72" s="30"/>
      <c r="J72" s="3"/>
    </row>
    <row r="73" s="1" customFormat="1" customHeight="1" spans="1:10">
      <c r="A73" s="2"/>
      <c r="C73" s="3"/>
      <c r="D73" s="3"/>
      <c r="E73" s="2"/>
      <c r="F73" s="3"/>
      <c r="G73" s="3"/>
      <c r="H73" s="2"/>
      <c r="I73" s="30"/>
      <c r="J73" s="3"/>
    </row>
    <row r="74" s="1" customFormat="1" customHeight="1" spans="1:10">
      <c r="A74" s="2"/>
      <c r="C74" s="3"/>
      <c r="D74" s="3"/>
      <c r="E74" s="2"/>
      <c r="F74" s="3"/>
      <c r="G74" s="3"/>
      <c r="H74" s="2"/>
      <c r="I74" s="30"/>
      <c r="J74" s="3"/>
    </row>
    <row r="75" s="1" customFormat="1" customHeight="1" spans="1:10">
      <c r="A75" s="2"/>
      <c r="C75" s="3"/>
      <c r="D75" s="3"/>
      <c r="E75" s="2"/>
      <c r="F75" s="3"/>
      <c r="G75" s="3"/>
      <c r="H75" s="2"/>
      <c r="I75" s="30"/>
      <c r="J75" s="3"/>
    </row>
    <row r="76" s="1" customFormat="1" customHeight="1" spans="1:10">
      <c r="A76" s="2"/>
      <c r="C76" s="3"/>
      <c r="D76" s="3"/>
      <c r="E76" s="2"/>
      <c r="F76" s="3"/>
      <c r="G76" s="3"/>
      <c r="H76" s="2"/>
      <c r="I76" s="30"/>
      <c r="J76" s="3"/>
    </row>
    <row r="77" s="1" customFormat="1" customHeight="1" spans="1:10">
      <c r="A77" s="2"/>
      <c r="C77" s="3"/>
      <c r="D77" s="3"/>
      <c r="E77" s="2"/>
      <c r="F77" s="3"/>
      <c r="G77" s="3"/>
      <c r="H77" s="2"/>
      <c r="I77" s="30"/>
      <c r="J77" s="3"/>
    </row>
    <row r="78" s="1" customFormat="1" customHeight="1" spans="1:10">
      <c r="A78" s="2"/>
      <c r="C78" s="3"/>
      <c r="D78" s="3"/>
      <c r="E78" s="2"/>
      <c r="F78" s="3"/>
      <c r="G78" s="3"/>
      <c r="H78" s="2"/>
      <c r="I78" s="30"/>
      <c r="J78" s="3"/>
    </row>
    <row r="79" s="1" customFormat="1" customHeight="1" spans="1:10">
      <c r="A79" s="2"/>
      <c r="C79" s="3"/>
      <c r="D79" s="3"/>
      <c r="E79" s="2"/>
      <c r="F79" s="3"/>
      <c r="G79" s="3"/>
      <c r="H79" s="2"/>
      <c r="I79" s="30"/>
      <c r="J79" s="3"/>
    </row>
    <row r="80" s="1" customFormat="1" customHeight="1" spans="1:10">
      <c r="A80" s="2"/>
      <c r="C80" s="3"/>
      <c r="D80" s="3"/>
      <c r="E80" s="2"/>
      <c r="F80" s="3"/>
      <c r="G80" s="3"/>
      <c r="H80" s="2"/>
      <c r="I80" s="30"/>
      <c r="J80" s="3"/>
    </row>
    <row r="81" s="1" customFormat="1" customHeight="1" spans="1:10">
      <c r="A81" s="2"/>
      <c r="C81" s="3"/>
      <c r="D81" s="3"/>
      <c r="E81" s="2"/>
      <c r="F81" s="3"/>
      <c r="G81" s="3"/>
      <c r="H81" s="2"/>
      <c r="I81" s="30"/>
      <c r="J81" s="3"/>
    </row>
    <row r="82" s="1" customFormat="1" customHeight="1" spans="1:10">
      <c r="A82" s="2"/>
      <c r="C82" s="3"/>
      <c r="D82" s="3"/>
      <c r="E82" s="2"/>
      <c r="F82" s="3"/>
      <c r="G82" s="3"/>
      <c r="H82" s="2"/>
      <c r="I82" s="30"/>
      <c r="J82" s="3"/>
    </row>
    <row r="83" s="1" customFormat="1" customHeight="1" spans="1:10">
      <c r="A83" s="2"/>
      <c r="C83" s="3"/>
      <c r="D83" s="3"/>
      <c r="E83" s="2"/>
      <c r="F83" s="3"/>
      <c r="G83" s="3"/>
      <c r="H83" s="2"/>
      <c r="I83" s="30"/>
      <c r="J83" s="3"/>
    </row>
    <row r="84" s="1" customFormat="1" customHeight="1" spans="1:10">
      <c r="A84" s="2"/>
      <c r="C84" s="3"/>
      <c r="D84" s="3"/>
      <c r="E84" s="2"/>
      <c r="F84" s="3"/>
      <c r="G84" s="3"/>
      <c r="H84" s="2"/>
      <c r="I84" s="30"/>
      <c r="J84" s="3"/>
    </row>
    <row r="85" s="1" customFormat="1" customHeight="1" spans="1:10">
      <c r="A85" s="2"/>
      <c r="C85" s="3"/>
      <c r="D85" s="3"/>
      <c r="E85" s="2"/>
      <c r="F85" s="3"/>
      <c r="G85" s="3"/>
      <c r="H85" s="2"/>
      <c r="I85" s="30"/>
      <c r="J85" s="3"/>
    </row>
    <row r="86" s="1" customFormat="1" customHeight="1" spans="1:10">
      <c r="A86" s="2"/>
      <c r="C86" s="3"/>
      <c r="D86" s="3"/>
      <c r="E86" s="2"/>
      <c r="F86" s="3"/>
      <c r="G86" s="3"/>
      <c r="H86" s="2"/>
      <c r="I86" s="30"/>
      <c r="J86" s="3"/>
    </row>
    <row r="87" s="1" customFormat="1" customHeight="1" spans="1:10">
      <c r="A87" s="2"/>
      <c r="C87" s="3"/>
      <c r="D87" s="3"/>
      <c r="E87" s="2"/>
      <c r="F87" s="3"/>
      <c r="G87" s="3"/>
      <c r="H87" s="2"/>
      <c r="I87" s="30"/>
      <c r="J87" s="3"/>
    </row>
    <row r="88" s="1" customFormat="1" customHeight="1" spans="1:10">
      <c r="A88" s="2"/>
      <c r="C88" s="3"/>
      <c r="D88" s="3"/>
      <c r="E88" s="2"/>
      <c r="F88" s="3"/>
      <c r="G88" s="3"/>
      <c r="H88" s="2"/>
      <c r="I88" s="30"/>
      <c r="J88" s="3"/>
    </row>
    <row r="89" s="1" customFormat="1" customHeight="1" spans="1:10">
      <c r="A89" s="2"/>
      <c r="C89" s="3"/>
      <c r="D89" s="3"/>
      <c r="E89" s="2"/>
      <c r="F89" s="3"/>
      <c r="G89" s="3"/>
      <c r="H89" s="2"/>
      <c r="I89" s="30"/>
      <c r="J89" s="3"/>
    </row>
    <row r="90" s="1" customFormat="1" customHeight="1" spans="1:10">
      <c r="A90" s="2"/>
      <c r="C90" s="3"/>
      <c r="D90" s="3"/>
      <c r="E90" s="2"/>
      <c r="F90" s="3"/>
      <c r="G90" s="3"/>
      <c r="H90" s="2"/>
      <c r="I90" s="30"/>
      <c r="J90" s="3"/>
    </row>
    <row r="91" s="1" customFormat="1" customHeight="1" spans="1:10">
      <c r="A91" s="2"/>
      <c r="C91" s="3"/>
      <c r="D91" s="3"/>
      <c r="E91" s="2"/>
      <c r="F91" s="3"/>
      <c r="G91" s="3"/>
      <c r="H91" s="2"/>
      <c r="I91" s="30"/>
      <c r="J91" s="3"/>
    </row>
    <row r="92" s="1" customFormat="1" customHeight="1" spans="1:10">
      <c r="A92" s="2"/>
      <c r="C92" s="3"/>
      <c r="D92" s="3"/>
      <c r="E92" s="2"/>
      <c r="F92" s="3"/>
      <c r="G92" s="3"/>
      <c r="H92" s="2"/>
      <c r="I92" s="30"/>
      <c r="J92" s="3"/>
    </row>
    <row r="93" s="1" customFormat="1" customHeight="1" spans="1:10">
      <c r="A93" s="2"/>
      <c r="C93" s="3"/>
      <c r="D93" s="3"/>
      <c r="E93" s="2"/>
      <c r="F93" s="3"/>
      <c r="G93" s="3"/>
      <c r="H93" s="2"/>
      <c r="I93" s="30"/>
      <c r="J93" s="3"/>
    </row>
    <row r="94" s="1" customFormat="1" customHeight="1" spans="1:10">
      <c r="A94" s="2"/>
      <c r="C94" s="3"/>
      <c r="D94" s="3"/>
      <c r="E94" s="2"/>
      <c r="F94" s="3"/>
      <c r="G94" s="3"/>
      <c r="H94" s="2"/>
      <c r="I94" s="30"/>
      <c r="J94" s="3"/>
    </row>
    <row r="95" s="1" customFormat="1" customHeight="1" spans="1:10">
      <c r="A95" s="2"/>
      <c r="C95" s="3"/>
      <c r="D95" s="3"/>
      <c r="E95" s="2"/>
      <c r="F95" s="3"/>
      <c r="G95" s="3"/>
      <c r="H95" s="2"/>
      <c r="I95" s="30"/>
      <c r="J95" s="3"/>
    </row>
    <row r="96" s="1" customFormat="1" customHeight="1" spans="1:10">
      <c r="A96" s="2"/>
      <c r="C96" s="3"/>
      <c r="D96" s="3"/>
      <c r="E96" s="2"/>
      <c r="F96" s="3"/>
      <c r="G96" s="3"/>
      <c r="H96" s="2"/>
      <c r="I96" s="30"/>
      <c r="J96" s="3"/>
    </row>
    <row r="97" s="1" customFormat="1" customHeight="1" spans="1:10">
      <c r="A97" s="2"/>
      <c r="C97" s="3"/>
      <c r="D97" s="3"/>
      <c r="E97" s="2"/>
      <c r="F97" s="3"/>
      <c r="G97" s="3"/>
      <c r="H97" s="2"/>
      <c r="I97" s="30"/>
      <c r="J97" s="3"/>
    </row>
    <row r="98" s="1" customFormat="1" customHeight="1" spans="1:10">
      <c r="A98" s="2"/>
      <c r="C98" s="3"/>
      <c r="D98" s="3"/>
      <c r="E98" s="2"/>
      <c r="F98" s="3"/>
      <c r="G98" s="3"/>
      <c r="H98" s="2"/>
      <c r="I98" s="30"/>
      <c r="J98" s="3"/>
    </row>
    <row r="99" s="1" customFormat="1" customHeight="1" spans="1:10">
      <c r="A99" s="2"/>
      <c r="C99" s="3"/>
      <c r="D99" s="3"/>
      <c r="E99" s="2"/>
      <c r="F99" s="3"/>
      <c r="G99" s="3"/>
      <c r="H99" s="2"/>
      <c r="I99" s="30"/>
      <c r="J99" s="3"/>
    </row>
    <row r="100" s="1" customFormat="1" customHeight="1" spans="1:10">
      <c r="A100" s="2"/>
      <c r="C100" s="3"/>
      <c r="D100" s="3"/>
      <c r="E100" s="2"/>
      <c r="F100" s="3"/>
      <c r="G100" s="3"/>
      <c r="H100" s="2"/>
      <c r="I100" s="30"/>
      <c r="J100" s="3"/>
    </row>
    <row r="101" s="1" customFormat="1" customHeight="1" spans="1:10">
      <c r="A101" s="2"/>
      <c r="C101" s="3"/>
      <c r="D101" s="3"/>
      <c r="E101" s="2"/>
      <c r="F101" s="3"/>
      <c r="G101" s="3"/>
      <c r="H101" s="2"/>
      <c r="I101" s="30"/>
      <c r="J101" s="3"/>
    </row>
    <row r="102" s="1" customFormat="1" customHeight="1" spans="1:10">
      <c r="A102" s="2"/>
      <c r="C102" s="3"/>
      <c r="D102" s="3"/>
      <c r="E102" s="2"/>
      <c r="F102" s="3"/>
      <c r="G102" s="3"/>
      <c r="H102" s="2"/>
      <c r="I102" s="30"/>
      <c r="J102" s="3"/>
    </row>
    <row r="103" s="1" customFormat="1" customHeight="1" spans="1:10">
      <c r="A103" s="2"/>
      <c r="C103" s="3"/>
      <c r="D103" s="3"/>
      <c r="E103" s="2"/>
      <c r="F103" s="3"/>
      <c r="G103" s="3"/>
      <c r="H103" s="2"/>
      <c r="I103" s="30"/>
      <c r="J103" s="3"/>
    </row>
    <row r="104" s="1" customFormat="1" customHeight="1" spans="1:10">
      <c r="A104" s="2"/>
      <c r="C104" s="3"/>
      <c r="D104" s="3"/>
      <c r="E104" s="2"/>
      <c r="F104" s="3"/>
      <c r="G104" s="3"/>
      <c r="H104" s="2"/>
      <c r="I104" s="30"/>
      <c r="J104" s="3"/>
    </row>
    <row r="105" s="1" customFormat="1" customHeight="1" spans="1:10">
      <c r="A105" s="2"/>
      <c r="C105" s="3"/>
      <c r="D105" s="3"/>
      <c r="E105" s="2"/>
      <c r="F105" s="3"/>
      <c r="G105" s="3"/>
      <c r="H105" s="2"/>
      <c r="I105" s="30"/>
      <c r="J105" s="3"/>
    </row>
    <row r="106" s="1" customFormat="1" customHeight="1" spans="1:10">
      <c r="A106" s="2"/>
      <c r="C106" s="3"/>
      <c r="D106" s="3"/>
      <c r="E106" s="2"/>
      <c r="F106" s="3"/>
      <c r="G106" s="3"/>
      <c r="H106" s="2"/>
      <c r="I106" s="30"/>
      <c r="J106" s="3"/>
    </row>
    <row r="107" s="1" customFormat="1" customHeight="1" spans="1:10">
      <c r="A107" s="2"/>
      <c r="C107" s="3"/>
      <c r="D107" s="3"/>
      <c r="E107" s="2"/>
      <c r="F107" s="3"/>
      <c r="G107" s="3"/>
      <c r="H107" s="2"/>
      <c r="I107" s="30"/>
      <c r="J107" s="3"/>
    </row>
    <row r="108" s="1" customFormat="1" customHeight="1" spans="1:10">
      <c r="A108" s="2"/>
      <c r="C108" s="3"/>
      <c r="D108" s="3"/>
      <c r="E108" s="2"/>
      <c r="F108" s="3"/>
      <c r="G108" s="3"/>
      <c r="H108" s="2"/>
      <c r="I108" s="30"/>
      <c r="J108" s="3"/>
    </row>
    <row r="109" s="1" customFormat="1" customHeight="1" spans="1:10">
      <c r="A109" s="2"/>
      <c r="C109" s="3"/>
      <c r="D109" s="3"/>
      <c r="E109" s="2"/>
      <c r="F109" s="3"/>
      <c r="G109" s="3"/>
      <c r="H109" s="2"/>
      <c r="I109" s="30"/>
      <c r="J109" s="3"/>
    </row>
    <row r="110" s="1" customFormat="1" customHeight="1" spans="1:10">
      <c r="A110" s="2"/>
      <c r="C110" s="3"/>
      <c r="D110" s="3"/>
      <c r="E110" s="2"/>
      <c r="F110" s="3"/>
      <c r="G110" s="3"/>
      <c r="H110" s="2"/>
      <c r="I110" s="30"/>
      <c r="J110" s="3"/>
    </row>
    <row r="111" s="1" customFormat="1" customHeight="1" spans="1:10">
      <c r="A111" s="2"/>
      <c r="C111" s="3"/>
      <c r="D111" s="3"/>
      <c r="E111" s="2"/>
      <c r="F111" s="3"/>
      <c r="G111" s="3"/>
      <c r="H111" s="2"/>
      <c r="I111" s="30"/>
      <c r="J111" s="3"/>
    </row>
    <row r="112" s="1" customFormat="1" customHeight="1" spans="1:10">
      <c r="A112" s="2"/>
      <c r="C112" s="3"/>
      <c r="D112" s="3"/>
      <c r="E112" s="2"/>
      <c r="F112" s="3"/>
      <c r="G112" s="3"/>
      <c r="H112" s="2"/>
      <c r="I112" s="30"/>
      <c r="J112" s="3"/>
    </row>
    <row r="113" s="1" customFormat="1" customHeight="1" spans="1:10">
      <c r="A113" s="2"/>
      <c r="C113" s="3"/>
      <c r="D113" s="3"/>
      <c r="E113" s="2"/>
      <c r="F113" s="3"/>
      <c r="G113" s="3"/>
      <c r="H113" s="2"/>
      <c r="I113" s="30"/>
      <c r="J113" s="3"/>
    </row>
    <row r="114" s="1" customFormat="1" customHeight="1" spans="1:10">
      <c r="A114" s="2"/>
      <c r="C114" s="3"/>
      <c r="D114" s="3"/>
      <c r="E114" s="2"/>
      <c r="F114" s="3"/>
      <c r="G114" s="3"/>
      <c r="H114" s="2"/>
      <c r="I114" s="30"/>
      <c r="J114" s="3"/>
    </row>
    <row r="115" s="1" customFormat="1" customHeight="1" spans="1:10">
      <c r="A115" s="2"/>
      <c r="C115" s="3"/>
      <c r="D115" s="3"/>
      <c r="E115" s="2"/>
      <c r="F115" s="3"/>
      <c r="G115" s="3"/>
      <c r="H115" s="2"/>
      <c r="I115" s="30"/>
      <c r="J115" s="3"/>
    </row>
    <row r="116" s="1" customFormat="1" customHeight="1" spans="1:10">
      <c r="A116" s="2"/>
      <c r="C116" s="3"/>
      <c r="D116" s="3"/>
      <c r="E116" s="2"/>
      <c r="F116" s="3"/>
      <c r="G116" s="3"/>
      <c r="H116" s="2"/>
      <c r="I116" s="30"/>
      <c r="J116" s="3"/>
    </row>
    <row r="117" s="1" customFormat="1" customHeight="1" spans="1:10">
      <c r="A117" s="2"/>
      <c r="C117" s="3"/>
      <c r="D117" s="3"/>
      <c r="E117" s="2"/>
      <c r="F117" s="3"/>
      <c r="G117" s="3"/>
      <c r="H117" s="2"/>
      <c r="I117" s="30"/>
      <c r="J117" s="3"/>
    </row>
    <row r="118" s="1" customFormat="1" customHeight="1" spans="1:10">
      <c r="A118" s="2"/>
      <c r="C118" s="3"/>
      <c r="D118" s="3"/>
      <c r="E118" s="2"/>
      <c r="F118" s="3"/>
      <c r="G118" s="3"/>
      <c r="H118" s="2"/>
      <c r="I118" s="30"/>
      <c r="J118" s="3"/>
    </row>
    <row r="119" s="1" customFormat="1" customHeight="1" spans="1:10">
      <c r="A119" s="2"/>
      <c r="C119" s="3"/>
      <c r="D119" s="3"/>
      <c r="E119" s="2"/>
      <c r="F119" s="3"/>
      <c r="G119" s="3"/>
      <c r="H119" s="2"/>
      <c r="I119" s="30"/>
      <c r="J119" s="3"/>
    </row>
    <row r="120" s="1" customFormat="1" customHeight="1" spans="1:10">
      <c r="A120" s="2"/>
      <c r="C120" s="3"/>
      <c r="D120" s="3"/>
      <c r="E120" s="2"/>
      <c r="F120" s="3"/>
      <c r="G120" s="3"/>
      <c r="H120" s="2"/>
      <c r="I120" s="30"/>
      <c r="J120" s="3"/>
    </row>
    <row r="121" s="1" customFormat="1" customHeight="1" spans="1:10">
      <c r="A121" s="2"/>
      <c r="C121" s="3"/>
      <c r="D121" s="3"/>
      <c r="E121" s="2"/>
      <c r="F121" s="3"/>
      <c r="G121" s="3"/>
      <c r="H121" s="2"/>
      <c r="I121" s="30"/>
      <c r="J121" s="3"/>
    </row>
    <row r="122" s="1" customFormat="1" customHeight="1" spans="1:10">
      <c r="A122" s="2"/>
      <c r="C122" s="3"/>
      <c r="D122" s="3"/>
      <c r="E122" s="2"/>
      <c r="F122" s="3"/>
      <c r="G122" s="3"/>
      <c r="H122" s="2"/>
      <c r="I122" s="30"/>
      <c r="J122" s="3"/>
    </row>
    <row r="123" s="1" customFormat="1" customHeight="1" spans="1:10">
      <c r="A123" s="2"/>
      <c r="C123" s="3"/>
      <c r="D123" s="3"/>
      <c r="E123" s="2"/>
      <c r="F123" s="3"/>
      <c r="G123" s="3"/>
      <c r="H123" s="2"/>
      <c r="I123" s="30"/>
      <c r="J123" s="3"/>
    </row>
    <row r="124" s="1" customFormat="1" customHeight="1" spans="1:10">
      <c r="A124" s="2"/>
      <c r="C124" s="3"/>
      <c r="D124" s="3"/>
      <c r="E124" s="2"/>
      <c r="F124" s="3"/>
      <c r="G124" s="3"/>
      <c r="H124" s="2"/>
      <c r="I124" s="30"/>
      <c r="J124" s="3"/>
    </row>
    <row r="125" s="1" customFormat="1" customHeight="1" spans="1:10">
      <c r="A125" s="2"/>
      <c r="C125" s="3"/>
      <c r="D125" s="3"/>
      <c r="E125" s="2"/>
      <c r="F125" s="3"/>
      <c r="G125" s="3"/>
      <c r="H125" s="2"/>
      <c r="I125" s="30"/>
      <c r="J125" s="3"/>
    </row>
    <row r="126" s="1" customFormat="1" customHeight="1" spans="1:10">
      <c r="A126" s="2"/>
      <c r="C126" s="3"/>
      <c r="D126" s="3"/>
      <c r="E126" s="2"/>
      <c r="F126" s="3"/>
      <c r="G126" s="3"/>
      <c r="H126" s="2"/>
      <c r="I126" s="30"/>
      <c r="J126" s="3"/>
    </row>
    <row r="127" s="1" customFormat="1" customHeight="1" spans="1:10">
      <c r="A127" s="2"/>
      <c r="C127" s="3"/>
      <c r="D127" s="3"/>
      <c r="E127" s="2"/>
      <c r="F127" s="3"/>
      <c r="G127" s="3"/>
      <c r="H127" s="2"/>
      <c r="I127" s="30"/>
      <c r="J127" s="3"/>
    </row>
    <row r="128" s="1" customFormat="1" customHeight="1" spans="1:10">
      <c r="A128" s="2"/>
      <c r="C128" s="3"/>
      <c r="D128" s="3"/>
      <c r="E128" s="2"/>
      <c r="F128" s="3"/>
      <c r="G128" s="3"/>
      <c r="H128" s="2"/>
      <c r="I128" s="30"/>
      <c r="J128" s="3"/>
    </row>
    <row r="129" s="1" customFormat="1" customHeight="1" spans="1:10">
      <c r="A129" s="2"/>
      <c r="C129" s="3"/>
      <c r="D129" s="3"/>
      <c r="E129" s="2"/>
      <c r="F129" s="3"/>
      <c r="G129" s="3"/>
      <c r="H129" s="2"/>
      <c r="I129" s="30"/>
      <c r="J129" s="3"/>
    </row>
    <row r="130" s="1" customFormat="1" customHeight="1" spans="1:10">
      <c r="A130" s="2"/>
      <c r="C130" s="3"/>
      <c r="D130" s="3"/>
      <c r="E130" s="2"/>
      <c r="F130" s="3"/>
      <c r="G130" s="3"/>
      <c r="H130" s="2"/>
      <c r="I130" s="30"/>
      <c r="J130" s="3"/>
    </row>
    <row r="131" s="1" customFormat="1" customHeight="1" spans="1:10">
      <c r="A131" s="2"/>
      <c r="C131" s="3"/>
      <c r="D131" s="3"/>
      <c r="E131" s="2"/>
      <c r="F131" s="3"/>
      <c r="G131" s="3"/>
      <c r="H131" s="2"/>
      <c r="I131" s="30"/>
      <c r="J131" s="3"/>
    </row>
    <row r="132" s="1" customFormat="1" customHeight="1" spans="1:10">
      <c r="A132" s="2"/>
      <c r="C132" s="3"/>
      <c r="D132" s="3"/>
      <c r="E132" s="2"/>
      <c r="F132" s="3"/>
      <c r="G132" s="3"/>
      <c r="H132" s="2"/>
      <c r="I132" s="30"/>
      <c r="J132" s="3"/>
    </row>
    <row r="133" s="1" customFormat="1" customHeight="1" spans="1:10">
      <c r="A133" s="2"/>
      <c r="C133" s="3"/>
      <c r="D133" s="3"/>
      <c r="E133" s="2"/>
      <c r="F133" s="3"/>
      <c r="G133" s="3"/>
      <c r="H133" s="2"/>
      <c r="I133" s="30"/>
      <c r="J133" s="3"/>
    </row>
    <row r="134" s="1" customFormat="1" customHeight="1" spans="1:10">
      <c r="A134" s="2"/>
      <c r="C134" s="3"/>
      <c r="D134" s="3"/>
      <c r="E134" s="2"/>
      <c r="F134" s="3"/>
      <c r="G134" s="3"/>
      <c r="H134" s="2"/>
      <c r="I134" s="30"/>
      <c r="J134" s="3"/>
    </row>
    <row r="135" s="1" customFormat="1" customHeight="1" spans="1:10">
      <c r="A135" s="2"/>
      <c r="C135" s="3"/>
      <c r="D135" s="3"/>
      <c r="E135" s="2"/>
      <c r="F135" s="3"/>
      <c r="G135" s="3"/>
      <c r="H135" s="2"/>
      <c r="I135" s="30"/>
      <c r="J135" s="3"/>
    </row>
    <row r="136" s="1" customFormat="1" customHeight="1" spans="1:10">
      <c r="A136" s="2"/>
      <c r="C136" s="3"/>
      <c r="D136" s="3"/>
      <c r="E136" s="2"/>
      <c r="F136" s="3"/>
      <c r="G136" s="3"/>
      <c r="H136" s="2"/>
      <c r="I136" s="30"/>
      <c r="J136" s="3"/>
    </row>
    <row r="137" s="1" customFormat="1" customHeight="1" spans="1:10">
      <c r="A137" s="2"/>
      <c r="C137" s="3"/>
      <c r="D137" s="3"/>
      <c r="E137" s="2"/>
      <c r="F137" s="3"/>
      <c r="G137" s="3"/>
      <c r="H137" s="2"/>
      <c r="I137" s="30"/>
      <c r="J137" s="3"/>
    </row>
    <row r="138" s="1" customFormat="1" customHeight="1" spans="1:10">
      <c r="A138" s="2"/>
      <c r="C138" s="3"/>
      <c r="D138" s="3"/>
      <c r="E138" s="2"/>
      <c r="F138" s="3"/>
      <c r="G138" s="3"/>
      <c r="H138" s="2"/>
      <c r="I138" s="30"/>
      <c r="J138" s="3"/>
    </row>
    <row r="139" s="1" customFormat="1" customHeight="1" spans="1:10">
      <c r="A139" s="2"/>
      <c r="C139" s="3"/>
      <c r="D139" s="3"/>
      <c r="E139" s="2"/>
      <c r="F139" s="3"/>
      <c r="G139" s="3"/>
      <c r="H139" s="2"/>
      <c r="I139" s="30"/>
      <c r="J139" s="3"/>
    </row>
    <row r="140" s="1" customFormat="1" customHeight="1" spans="1:10">
      <c r="A140" s="2"/>
      <c r="C140" s="3"/>
      <c r="D140" s="3"/>
      <c r="E140" s="2"/>
      <c r="F140" s="3"/>
      <c r="G140" s="3"/>
      <c r="H140" s="2"/>
      <c r="I140" s="30"/>
      <c r="J140" s="3"/>
    </row>
    <row r="141" s="1" customFormat="1" customHeight="1" spans="1:10">
      <c r="A141" s="2"/>
      <c r="C141" s="3"/>
      <c r="D141" s="3"/>
      <c r="E141" s="2"/>
      <c r="F141" s="3"/>
      <c r="G141" s="3"/>
      <c r="H141" s="2"/>
      <c r="I141" s="30"/>
      <c r="J141" s="3"/>
    </row>
    <row r="142" s="1" customFormat="1" customHeight="1" spans="1:10">
      <c r="A142" s="2"/>
      <c r="C142" s="3"/>
      <c r="D142" s="3"/>
      <c r="E142" s="2"/>
      <c r="F142" s="3"/>
      <c r="G142" s="3"/>
      <c r="H142" s="2"/>
      <c r="I142" s="30"/>
      <c r="J142" s="3"/>
    </row>
    <row r="143" s="1" customFormat="1" customHeight="1" spans="1:10">
      <c r="A143" s="2"/>
      <c r="C143" s="3"/>
      <c r="D143" s="3"/>
      <c r="E143" s="2"/>
      <c r="F143" s="3"/>
      <c r="G143" s="3"/>
      <c r="H143" s="2"/>
      <c r="I143" s="30"/>
      <c r="J143" s="3"/>
    </row>
    <row r="144" s="1" customFormat="1" customHeight="1" spans="1:10">
      <c r="A144" s="2"/>
      <c r="C144" s="3"/>
      <c r="D144" s="3"/>
      <c r="E144" s="2"/>
      <c r="F144" s="3"/>
      <c r="G144" s="3"/>
      <c r="H144" s="2"/>
      <c r="I144" s="30"/>
      <c r="J144" s="3"/>
    </row>
    <row r="145" s="1" customFormat="1" customHeight="1" spans="1:10">
      <c r="A145" s="2"/>
      <c r="C145" s="3"/>
      <c r="D145" s="3"/>
      <c r="E145" s="2"/>
      <c r="F145" s="3"/>
      <c r="G145" s="3"/>
      <c r="H145" s="2"/>
      <c r="I145" s="30"/>
      <c r="J145" s="3"/>
    </row>
    <row r="146" s="1" customFormat="1" customHeight="1" spans="1:10">
      <c r="A146" s="2"/>
      <c r="C146" s="3"/>
      <c r="D146" s="3"/>
      <c r="E146" s="2"/>
      <c r="F146" s="3"/>
      <c r="G146" s="3"/>
      <c r="H146" s="2"/>
      <c r="I146" s="30"/>
      <c r="J146" s="3"/>
    </row>
    <row r="147" s="1" customFormat="1" customHeight="1" spans="1:10">
      <c r="A147" s="2"/>
      <c r="C147" s="3"/>
      <c r="D147" s="3"/>
      <c r="E147" s="2"/>
      <c r="F147" s="3"/>
      <c r="G147" s="3"/>
      <c r="H147" s="2"/>
      <c r="I147" s="30"/>
      <c r="J147" s="3"/>
    </row>
    <row r="148" s="1" customFormat="1" customHeight="1" spans="1:10">
      <c r="A148" s="2"/>
      <c r="C148" s="3"/>
      <c r="D148" s="3"/>
      <c r="E148" s="2"/>
      <c r="F148" s="3"/>
      <c r="G148" s="3"/>
      <c r="H148" s="2"/>
      <c r="I148" s="30"/>
      <c r="J148" s="3"/>
    </row>
    <row r="149" s="1" customFormat="1" customHeight="1" spans="1:10">
      <c r="A149" s="2"/>
      <c r="C149" s="3"/>
      <c r="D149" s="3"/>
      <c r="E149" s="2"/>
      <c r="F149" s="3"/>
      <c r="G149" s="3"/>
      <c r="H149" s="2"/>
      <c r="I149" s="30"/>
      <c r="J149" s="3"/>
    </row>
    <row r="150" s="1" customFormat="1" customHeight="1" spans="1:10">
      <c r="A150" s="2"/>
      <c r="C150" s="3"/>
      <c r="D150" s="3"/>
      <c r="E150" s="2"/>
      <c r="F150" s="3"/>
      <c r="G150" s="3"/>
      <c r="H150" s="2"/>
      <c r="I150" s="30"/>
      <c r="J150" s="3"/>
    </row>
    <row r="151" s="1" customFormat="1" customHeight="1" spans="1:10">
      <c r="A151" s="2"/>
      <c r="C151" s="3"/>
      <c r="D151" s="3"/>
      <c r="E151" s="2"/>
      <c r="F151" s="3"/>
      <c r="G151" s="3"/>
      <c r="H151" s="2"/>
      <c r="I151" s="30"/>
      <c r="J151" s="3"/>
    </row>
    <row r="152" s="1" customFormat="1" customHeight="1" spans="1:10">
      <c r="A152" s="2"/>
      <c r="C152" s="3"/>
      <c r="D152" s="3"/>
      <c r="E152" s="2"/>
      <c r="F152" s="3"/>
      <c r="G152" s="3"/>
      <c r="H152" s="2"/>
      <c r="I152" s="30"/>
      <c r="J152" s="3"/>
    </row>
    <row r="153" s="1" customFormat="1" customHeight="1" spans="1:10">
      <c r="A153" s="2"/>
      <c r="C153" s="3"/>
      <c r="D153" s="3"/>
      <c r="E153" s="2"/>
      <c r="F153" s="3"/>
      <c r="G153" s="3"/>
      <c r="H153" s="2"/>
      <c r="I153" s="30"/>
      <c r="J153" s="3"/>
    </row>
    <row r="154" s="1" customFormat="1" customHeight="1" spans="1:10">
      <c r="A154" s="2"/>
      <c r="C154" s="3"/>
      <c r="D154" s="3"/>
      <c r="E154" s="2"/>
      <c r="F154" s="3"/>
      <c r="G154" s="3"/>
      <c r="H154" s="2"/>
      <c r="I154" s="30"/>
      <c r="J154" s="3"/>
    </row>
    <row r="155" s="1" customFormat="1" customHeight="1" spans="1:10">
      <c r="A155" s="2"/>
      <c r="C155" s="3"/>
      <c r="D155" s="3"/>
      <c r="E155" s="2"/>
      <c r="F155" s="3"/>
      <c r="G155" s="3"/>
      <c r="H155" s="2"/>
      <c r="I155" s="30"/>
      <c r="J155" s="3"/>
    </row>
    <row r="156" s="1" customFormat="1" customHeight="1" spans="1:10">
      <c r="A156" s="2"/>
      <c r="C156" s="3"/>
      <c r="D156" s="3"/>
      <c r="E156" s="2"/>
      <c r="F156" s="3"/>
      <c r="G156" s="3"/>
      <c r="H156" s="2"/>
      <c r="I156" s="30"/>
      <c r="J156" s="3"/>
    </row>
    <row r="157" s="1" customFormat="1" customHeight="1" spans="1:10">
      <c r="A157" s="2"/>
      <c r="C157" s="3"/>
      <c r="D157" s="3"/>
      <c r="E157" s="2"/>
      <c r="F157" s="3"/>
      <c r="G157" s="3"/>
      <c r="H157" s="2"/>
      <c r="I157" s="30"/>
      <c r="J157" s="3"/>
    </row>
    <row r="158" s="1" customFormat="1" customHeight="1" spans="1:10">
      <c r="A158" s="2"/>
      <c r="C158" s="3"/>
      <c r="D158" s="3"/>
      <c r="E158" s="2"/>
      <c r="F158" s="3"/>
      <c r="G158" s="3"/>
      <c r="H158" s="2"/>
      <c r="I158" s="30"/>
      <c r="J158" s="3"/>
    </row>
    <row r="159" s="1" customFormat="1" customHeight="1" spans="1:10">
      <c r="A159" s="2"/>
      <c r="C159" s="3"/>
      <c r="D159" s="3"/>
      <c r="E159" s="2"/>
      <c r="F159" s="3"/>
      <c r="G159" s="3"/>
      <c r="H159" s="2"/>
      <c r="I159" s="30"/>
      <c r="J159" s="3"/>
    </row>
    <row r="160" s="1" customFormat="1" customHeight="1" spans="1:10">
      <c r="A160" s="2"/>
      <c r="C160" s="3"/>
      <c r="D160" s="3"/>
      <c r="E160" s="2"/>
      <c r="F160" s="3"/>
      <c r="G160" s="3"/>
      <c r="H160" s="2"/>
      <c r="I160" s="30"/>
      <c r="J160" s="3"/>
    </row>
    <row r="161" s="1" customFormat="1" customHeight="1" spans="1:10">
      <c r="A161" s="2"/>
      <c r="C161" s="3"/>
      <c r="D161" s="3"/>
      <c r="E161" s="2"/>
      <c r="F161" s="3"/>
      <c r="G161" s="3"/>
      <c r="H161" s="2"/>
      <c r="I161" s="30"/>
      <c r="J161" s="3"/>
    </row>
    <row r="162" s="1" customFormat="1" customHeight="1" spans="1:10">
      <c r="A162" s="2"/>
      <c r="C162" s="3"/>
      <c r="D162" s="3"/>
      <c r="E162" s="2"/>
      <c r="F162" s="3"/>
      <c r="G162" s="3"/>
      <c r="H162" s="2"/>
      <c r="I162" s="30"/>
      <c r="J162" s="3"/>
    </row>
    <row r="163" s="1" customFormat="1" customHeight="1" spans="1:10">
      <c r="A163" s="2"/>
      <c r="C163" s="3"/>
      <c r="D163" s="3"/>
      <c r="E163" s="2"/>
      <c r="F163" s="3"/>
      <c r="G163" s="3"/>
      <c r="H163" s="2"/>
      <c r="I163" s="30"/>
      <c r="J163" s="3"/>
    </row>
    <row r="164" s="1" customFormat="1" customHeight="1" spans="1:10">
      <c r="A164" s="2"/>
      <c r="C164" s="3"/>
      <c r="D164" s="3"/>
      <c r="E164" s="2"/>
      <c r="F164" s="3"/>
      <c r="G164" s="3"/>
      <c r="H164" s="2"/>
      <c r="I164" s="30"/>
      <c r="J164" s="3"/>
    </row>
    <row r="165" s="1" customFormat="1" customHeight="1" spans="1:10">
      <c r="A165" s="2"/>
      <c r="C165" s="3"/>
      <c r="D165" s="3"/>
      <c r="E165" s="2"/>
      <c r="F165" s="3"/>
      <c r="G165" s="3"/>
      <c r="H165" s="2"/>
      <c r="I165" s="30"/>
      <c r="J165" s="3"/>
    </row>
    <row r="166" s="1" customFormat="1" customHeight="1" spans="1:10">
      <c r="A166" s="2"/>
      <c r="C166" s="3"/>
      <c r="D166" s="3"/>
      <c r="E166" s="2"/>
      <c r="F166" s="3"/>
      <c r="G166" s="3"/>
      <c r="H166" s="2"/>
      <c r="I166" s="30"/>
      <c r="J166" s="3"/>
    </row>
    <row r="167" s="1" customFormat="1" customHeight="1" spans="1:10">
      <c r="A167" s="2"/>
      <c r="C167" s="3"/>
      <c r="D167" s="3"/>
      <c r="E167" s="2"/>
      <c r="F167" s="3"/>
      <c r="G167" s="3"/>
      <c r="H167" s="2"/>
      <c r="I167" s="30"/>
      <c r="J167" s="3"/>
    </row>
    <row r="168" s="1" customFormat="1" customHeight="1" spans="1:10">
      <c r="A168" s="2"/>
      <c r="C168" s="3"/>
      <c r="D168" s="3"/>
      <c r="E168" s="2"/>
      <c r="F168" s="3"/>
      <c r="G168" s="3"/>
      <c r="H168" s="2"/>
      <c r="I168" s="30"/>
      <c r="J168" s="3"/>
    </row>
    <row r="169" s="1" customFormat="1" customHeight="1" spans="1:10">
      <c r="A169" s="2"/>
      <c r="C169" s="3"/>
      <c r="D169" s="3"/>
      <c r="E169" s="2"/>
      <c r="F169" s="3"/>
      <c r="G169" s="3"/>
      <c r="H169" s="2"/>
      <c r="I169" s="30"/>
      <c r="J169" s="3"/>
    </row>
    <row r="170" s="1" customFormat="1" customHeight="1" spans="1:10">
      <c r="A170" s="2"/>
      <c r="C170" s="3"/>
      <c r="D170" s="3"/>
      <c r="E170" s="2"/>
      <c r="F170" s="3"/>
      <c r="G170" s="3"/>
      <c r="H170" s="2"/>
      <c r="I170" s="30"/>
      <c r="J170" s="3"/>
    </row>
    <row r="171" s="1" customFormat="1" customHeight="1" spans="1:10">
      <c r="A171" s="2"/>
      <c r="C171" s="3"/>
      <c r="D171" s="3"/>
      <c r="E171" s="2"/>
      <c r="F171" s="3"/>
      <c r="G171" s="3"/>
      <c r="H171" s="2"/>
      <c r="I171" s="30"/>
      <c r="J171" s="3"/>
    </row>
    <row r="172" s="1" customFormat="1" customHeight="1" spans="1:10">
      <c r="A172" s="2"/>
      <c r="C172" s="3"/>
      <c r="D172" s="3"/>
      <c r="E172" s="2"/>
      <c r="F172" s="3"/>
      <c r="G172" s="3"/>
      <c r="H172" s="2"/>
      <c r="I172" s="30"/>
      <c r="J172" s="3"/>
    </row>
    <row r="173" s="1" customFormat="1" customHeight="1" spans="1:10">
      <c r="A173" s="2"/>
      <c r="C173" s="3"/>
      <c r="D173" s="3"/>
      <c r="E173" s="2"/>
      <c r="F173" s="3"/>
      <c r="G173" s="3"/>
      <c r="H173" s="2"/>
      <c r="I173" s="30"/>
      <c r="J173" s="3"/>
    </row>
    <row r="174" s="1" customFormat="1" customHeight="1" spans="1:10">
      <c r="A174" s="2"/>
      <c r="C174" s="3"/>
      <c r="D174" s="3"/>
      <c r="E174" s="2"/>
      <c r="F174" s="3"/>
      <c r="G174" s="3"/>
      <c r="H174" s="2"/>
      <c r="I174" s="30"/>
      <c r="J174" s="3"/>
    </row>
    <row r="175" s="1" customFormat="1" customHeight="1" spans="1:10">
      <c r="A175" s="2"/>
      <c r="C175" s="3"/>
      <c r="D175" s="3"/>
      <c r="E175" s="2"/>
      <c r="F175" s="3"/>
      <c r="G175" s="3"/>
      <c r="H175" s="2"/>
      <c r="I175" s="30"/>
      <c r="J175" s="3"/>
    </row>
    <row r="176" s="1" customFormat="1" customHeight="1" spans="1:10">
      <c r="A176" s="2"/>
      <c r="C176" s="3"/>
      <c r="D176" s="3"/>
      <c r="E176" s="2"/>
      <c r="F176" s="3"/>
      <c r="G176" s="3"/>
      <c r="H176" s="2"/>
      <c r="I176" s="30"/>
      <c r="J176" s="3"/>
    </row>
    <row r="177" s="1" customFormat="1" customHeight="1" spans="1:10">
      <c r="A177" s="2"/>
      <c r="C177" s="3"/>
      <c r="D177" s="3"/>
      <c r="E177" s="2"/>
      <c r="F177" s="3"/>
      <c r="G177" s="3"/>
      <c r="H177" s="2"/>
      <c r="I177" s="30"/>
      <c r="J177" s="3"/>
    </row>
    <row r="178" s="1" customFormat="1" customHeight="1" spans="1:10">
      <c r="A178" s="2"/>
      <c r="C178" s="3"/>
      <c r="D178" s="3"/>
      <c r="E178" s="2"/>
      <c r="F178" s="3"/>
      <c r="G178" s="3"/>
      <c r="H178" s="2"/>
      <c r="I178" s="30"/>
      <c r="J178" s="3"/>
    </row>
    <row r="179" s="1" customFormat="1" customHeight="1" spans="1:10">
      <c r="A179" s="2"/>
      <c r="C179" s="3"/>
      <c r="D179" s="3"/>
      <c r="E179" s="2"/>
      <c r="F179" s="3"/>
      <c r="G179" s="3"/>
      <c r="H179" s="2"/>
      <c r="I179" s="30"/>
      <c r="J179" s="3"/>
    </row>
    <row r="180" s="1" customFormat="1" customHeight="1" spans="1:10">
      <c r="A180" s="2"/>
      <c r="C180" s="3"/>
      <c r="D180" s="3"/>
      <c r="E180" s="2"/>
      <c r="F180" s="3"/>
      <c r="G180" s="3"/>
      <c r="H180" s="2"/>
      <c r="I180" s="30"/>
      <c r="J180" s="3"/>
    </row>
    <row r="181" s="1" customFormat="1" customHeight="1" spans="1:10">
      <c r="A181" s="2"/>
      <c r="C181" s="3"/>
      <c r="D181" s="3"/>
      <c r="E181" s="2"/>
      <c r="F181" s="3"/>
      <c r="G181" s="3"/>
      <c r="H181" s="2"/>
      <c r="I181" s="30"/>
      <c r="J181" s="3"/>
    </row>
    <row r="182" s="1" customFormat="1" customHeight="1" spans="1:10">
      <c r="A182" s="2"/>
      <c r="C182" s="3"/>
      <c r="D182" s="3"/>
      <c r="E182" s="2"/>
      <c r="F182" s="3"/>
      <c r="G182" s="3"/>
      <c r="H182" s="2"/>
      <c r="I182" s="30"/>
      <c r="J182" s="3"/>
    </row>
    <row r="183" s="1" customFormat="1" customHeight="1" spans="1:10">
      <c r="A183" s="2"/>
      <c r="C183" s="3"/>
      <c r="D183" s="3"/>
      <c r="E183" s="2"/>
      <c r="F183" s="3"/>
      <c r="G183" s="3"/>
      <c r="H183" s="2"/>
      <c r="I183" s="30"/>
      <c r="J183" s="3"/>
    </row>
  </sheetData>
  <autoFilter xmlns:etc="http://www.wps.cn/officeDocument/2017/etCustomData" ref="A1:L46" etc:filterBottomFollowUsedRange="0">
    <extLst/>
  </autoFilter>
  <conditionalFormatting sqref="M10">
    <cfRule type="expression" dxfId="0" priority="5">
      <formula>$A3&lt;&gt;""</formula>
    </cfRule>
  </conditionalFormatting>
  <conditionalFormatting sqref="A1048576:K1048576">
    <cfRule type="expression" dxfId="0" priority="6">
      <formula>$A1048576&lt;&gt;""</formula>
    </cfRule>
    <cfRule type="expression" dxfId="0" priority="7">
      <formula>$A1&lt;&gt;""</formula>
    </cfRule>
  </conditionalFormatting>
  <conditionalFormatting sqref="A1:K1048575">
    <cfRule type="expression" dxfId="0" priority="2">
      <formula>$A1&lt;&gt;""</formula>
    </cfRule>
    <cfRule type="expression" dxfId="0" priority="4">
      <formula>$A2&lt;&gt;""</formula>
    </cfRule>
  </conditionalFormatting>
  <conditionalFormatting sqref="A$1:K$1048576">
    <cfRule type="expression" dxfId="0" priority="1">
      <formula>$A1&lt;&gt;""</formula>
    </cfRule>
  </conditionalFormatting>
  <dataValidations count="1">
    <dataValidation type="list" allowBlank="1" showInputMessage="1" showErrorMessage="1" sqref="I$1:I$1048576">
      <formula1>$L$2:$L$6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topLeftCell="A86" workbookViewId="0">
      <selection activeCell="C93" sqref="C93:C94"/>
    </sheetView>
  </sheetViews>
  <sheetFormatPr defaultColWidth="9" defaultRowHeight="22" customHeight="1"/>
  <cols>
    <col min="1" max="1" width="11.8166666666667" style="2" customWidth="1"/>
    <col min="2" max="2" width="14" style="1" customWidth="1"/>
    <col min="3" max="3" width="9.90833333333333" style="3" customWidth="1"/>
    <col min="4" max="4" width="13.8166666666667" style="3" customWidth="1"/>
    <col min="5" max="5" width="10.6333333333333" style="2" customWidth="1"/>
    <col min="6" max="6" width="9.90833333333333" style="3" customWidth="1"/>
    <col min="7" max="7" width="25.2583333333333" style="3" customWidth="1"/>
    <col min="8" max="8" width="12.275" style="3" customWidth="1"/>
    <col min="9" max="9" width="9.90833333333333" style="2" customWidth="1"/>
    <col min="10" max="10" width="5.725" style="3" customWidth="1"/>
    <col min="11" max="11" width="9.54166666666667" style="3" customWidth="1"/>
    <col min="12" max="12" width="11.8166666666667" style="1" customWidth="1"/>
    <col min="13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 t="s">
        <v>63</v>
      </c>
      <c r="B1" s="5"/>
      <c r="C1" s="6"/>
      <c r="D1" s="6"/>
      <c r="E1" s="7"/>
      <c r="F1" s="6"/>
      <c r="G1" s="6"/>
      <c r="H1" s="6"/>
      <c r="I1" s="7"/>
      <c r="J1" s="6"/>
      <c r="K1" s="8" t="str">
        <f>HYPERLINK("#总表！A3","返回总表")</f>
        <v>返回总表</v>
      </c>
      <c r="L1" s="5"/>
      <c r="N1" s="1" t="str" cm="1">
        <f t="array" ref="N1:P7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9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19835</v>
      </c>
      <c r="P2" s="1">
        <v>22490</v>
      </c>
    </row>
    <row r="3" s="1" customFormat="1" customHeight="1" spans="1:16">
      <c r="A3" s="12">
        <v>45839</v>
      </c>
      <c r="B3" s="13" t="s">
        <v>9</v>
      </c>
      <c r="C3" s="25">
        <v>8</v>
      </c>
      <c r="D3" s="14">
        <v>834</v>
      </c>
      <c r="E3" s="12">
        <v>46068</v>
      </c>
      <c r="F3" s="14" t="s">
        <v>35</v>
      </c>
      <c r="G3" s="14" t="s">
        <v>63</v>
      </c>
      <c r="H3" s="14" t="s">
        <v>64</v>
      </c>
      <c r="I3" s="12"/>
      <c r="J3" s="14"/>
      <c r="K3" s="14"/>
      <c r="L3" s="13" t="s">
        <v>65</v>
      </c>
      <c r="N3" s="1" t="str">
        <v>九安架空层</v>
      </c>
      <c r="O3" s="1">
        <v>327</v>
      </c>
      <c r="P3" s="1">
        <v>0</v>
      </c>
    </row>
    <row r="4" s="1" customFormat="1" customHeight="1" spans="1:16">
      <c r="A4" s="12">
        <v>45841</v>
      </c>
      <c r="B4" s="13" t="s">
        <v>9</v>
      </c>
      <c r="C4" s="25">
        <v>10</v>
      </c>
      <c r="D4" s="14">
        <v>11298</v>
      </c>
      <c r="E4" s="12">
        <v>46037</v>
      </c>
      <c r="F4" s="14" t="s">
        <v>35</v>
      </c>
      <c r="G4" s="14" t="s">
        <v>63</v>
      </c>
      <c r="H4" s="14">
        <v>11298</v>
      </c>
      <c r="I4" s="12"/>
      <c r="J4" s="14"/>
      <c r="K4" s="14"/>
      <c r="L4" s="13"/>
      <c r="N4" s="1" t="str">
        <v>科创中心</v>
      </c>
      <c r="O4" s="1">
        <v>8112</v>
      </c>
      <c r="P4" s="1">
        <v>0</v>
      </c>
    </row>
    <row r="5" s="1" customFormat="1" customHeight="1" spans="1:16">
      <c r="A5" s="12">
        <v>45842</v>
      </c>
      <c r="B5" s="13" t="s">
        <v>9</v>
      </c>
      <c r="C5" s="25">
        <v>4</v>
      </c>
      <c r="D5" s="14">
        <v>10358</v>
      </c>
      <c r="E5" s="12">
        <v>46198</v>
      </c>
      <c r="F5" s="14" t="s">
        <v>35</v>
      </c>
      <c r="G5" s="14" t="s">
        <v>63</v>
      </c>
      <c r="H5" s="14">
        <v>10358</v>
      </c>
      <c r="I5" s="12">
        <v>46066</v>
      </c>
      <c r="J5" s="26">
        <v>0.01</v>
      </c>
      <c r="K5" s="14"/>
      <c r="L5" s="13"/>
      <c r="N5" s="1" t="str">
        <v>数字产业园</v>
      </c>
      <c r="O5" s="1">
        <v>978</v>
      </c>
      <c r="P5" s="1">
        <v>0</v>
      </c>
    </row>
    <row r="6" s="1" customFormat="1" customHeight="1" spans="1:16">
      <c r="A6" s="12">
        <v>45844</v>
      </c>
      <c r="B6" s="13" t="s">
        <v>9</v>
      </c>
      <c r="C6" s="25">
        <v>24</v>
      </c>
      <c r="D6" s="14"/>
      <c r="E6" s="12"/>
      <c r="F6" s="14"/>
      <c r="G6" s="14"/>
      <c r="H6" s="14"/>
      <c r="I6" s="12"/>
      <c r="J6" s="14"/>
      <c r="K6" s="14"/>
      <c r="L6" s="13"/>
      <c r="N6" s="1" t="str">
        <v>邹桥派出所</v>
      </c>
      <c r="O6" s="1">
        <v>1697</v>
      </c>
      <c r="P6" s="1">
        <v>0</v>
      </c>
    </row>
    <row r="7" s="1" customFormat="1" customHeight="1" spans="1:16">
      <c r="A7" s="12">
        <v>45844</v>
      </c>
      <c r="B7" s="13" t="s">
        <v>9</v>
      </c>
      <c r="C7" s="25">
        <v>25</v>
      </c>
      <c r="D7" s="14"/>
      <c r="E7" s="12"/>
      <c r="F7" s="14"/>
      <c r="G7" s="14"/>
      <c r="H7" s="14"/>
      <c r="I7" s="12"/>
      <c r="J7" s="14"/>
      <c r="K7" s="14"/>
      <c r="L7" s="13"/>
      <c r="N7" s="1" t="str">
        <v>总计</v>
      </c>
      <c r="O7" s="1">
        <v>30949</v>
      </c>
      <c r="P7" s="1">
        <v>22490</v>
      </c>
    </row>
    <row r="8" s="1" customFormat="1" customHeight="1" spans="1:16">
      <c r="A8" s="12">
        <v>45847</v>
      </c>
      <c r="B8" s="13" t="s">
        <v>9</v>
      </c>
      <c r="C8" s="25">
        <v>13</v>
      </c>
      <c r="D8" s="14"/>
      <c r="E8" s="12"/>
      <c r="F8" s="14"/>
      <c r="G8" s="14"/>
      <c r="H8" s="14"/>
      <c r="I8" s="12"/>
      <c r="J8" s="14"/>
      <c r="K8" s="14"/>
      <c r="L8" s="13"/>
    </row>
    <row r="9" s="1" customFormat="1" customHeight="1" spans="1:16">
      <c r="A9" s="12">
        <v>45851</v>
      </c>
      <c r="B9" s="13" t="s">
        <v>9</v>
      </c>
      <c r="C9" s="25">
        <v>275</v>
      </c>
      <c r="D9" s="14"/>
      <c r="E9" s="12"/>
      <c r="F9" s="14"/>
      <c r="G9" s="14"/>
      <c r="H9" s="14"/>
      <c r="I9" s="12"/>
      <c r="J9" s="14"/>
      <c r="K9" s="14"/>
      <c r="L9" s="13"/>
    </row>
    <row r="10" s="1" customFormat="1" customHeight="1" spans="1:16">
      <c r="A10" s="12">
        <v>45852</v>
      </c>
      <c r="B10" s="13" t="s">
        <v>9</v>
      </c>
      <c r="C10" s="25">
        <v>5</v>
      </c>
      <c r="D10" s="14"/>
      <c r="E10" s="12"/>
      <c r="F10" s="14"/>
      <c r="G10" s="14"/>
      <c r="H10" s="14"/>
      <c r="I10" s="12"/>
      <c r="J10" s="14"/>
      <c r="K10" s="14"/>
      <c r="L10" s="13"/>
    </row>
    <row r="11" s="1" customFormat="1" customHeight="1" spans="1:16">
      <c r="A11" s="12">
        <v>45853</v>
      </c>
      <c r="B11" s="13" t="s">
        <v>9</v>
      </c>
      <c r="C11" s="25">
        <v>80</v>
      </c>
      <c r="D11" s="14"/>
      <c r="E11" s="12"/>
      <c r="F11" s="14"/>
      <c r="G11" s="14"/>
      <c r="H11" s="14"/>
      <c r="I11" s="12"/>
      <c r="J11" s="14"/>
      <c r="K11" s="14"/>
      <c r="L11" s="13"/>
    </row>
    <row r="12" s="1" customFormat="1" customHeight="1" spans="1:16">
      <c r="A12" s="12">
        <v>45853</v>
      </c>
      <c r="B12" s="13" t="s">
        <v>9</v>
      </c>
      <c r="C12" s="25">
        <v>158</v>
      </c>
      <c r="D12" s="14"/>
      <c r="E12" s="12"/>
      <c r="F12" s="14"/>
      <c r="G12" s="14"/>
      <c r="H12" s="14"/>
      <c r="I12" s="12"/>
      <c r="J12" s="14"/>
      <c r="K12" s="14"/>
      <c r="L12" s="13"/>
      <c r="P12" s="1">
        <f>O7-P7</f>
        <v>8459</v>
      </c>
    </row>
    <row r="13" s="1" customFormat="1" customHeight="1" spans="1:16">
      <c r="A13" s="12">
        <v>45871</v>
      </c>
      <c r="B13" s="13" t="s">
        <v>9</v>
      </c>
      <c r="C13" s="25">
        <v>10</v>
      </c>
      <c r="D13" s="14"/>
      <c r="E13" s="12"/>
      <c r="F13" s="14"/>
      <c r="G13" s="14"/>
      <c r="H13" s="14"/>
      <c r="I13" s="12"/>
      <c r="J13" s="14"/>
      <c r="K13" s="14"/>
      <c r="L13" s="13"/>
    </row>
    <row r="14" s="1" customFormat="1" customHeight="1" spans="1:16">
      <c r="A14" s="12">
        <v>45925</v>
      </c>
      <c r="B14" s="13" t="s">
        <v>9</v>
      </c>
      <c r="C14" s="25">
        <v>10</v>
      </c>
      <c r="D14" s="14"/>
      <c r="E14" s="12"/>
      <c r="F14" s="14"/>
      <c r="G14" s="14"/>
      <c r="H14" s="14"/>
      <c r="I14" s="12"/>
      <c r="J14" s="14"/>
      <c r="K14" s="14"/>
      <c r="L14" s="13"/>
    </row>
    <row r="15" s="1" customFormat="1" customHeight="1" spans="1:16">
      <c r="A15" s="12">
        <v>45928</v>
      </c>
      <c r="B15" s="13" t="s">
        <v>9</v>
      </c>
      <c r="C15" s="25">
        <v>50</v>
      </c>
      <c r="D15" s="14"/>
      <c r="E15" s="12"/>
      <c r="F15" s="14"/>
      <c r="G15" s="14"/>
      <c r="H15" s="14"/>
      <c r="I15" s="12"/>
      <c r="J15" s="14"/>
      <c r="K15" s="14"/>
      <c r="L15" s="13"/>
    </row>
    <row r="16" s="1" customFormat="1" customHeight="1" spans="1:16">
      <c r="A16" s="12">
        <v>45929</v>
      </c>
      <c r="B16" s="13" t="s">
        <v>9</v>
      </c>
      <c r="C16" s="25">
        <v>150</v>
      </c>
      <c r="D16" s="14"/>
      <c r="E16" s="12"/>
      <c r="F16" s="14"/>
      <c r="G16" s="14"/>
      <c r="H16" s="14"/>
      <c r="I16" s="12"/>
      <c r="J16" s="14"/>
      <c r="K16" s="14"/>
      <c r="L16" s="13"/>
    </row>
    <row r="17" s="1" customFormat="1" customHeight="1" spans="1:12">
      <c r="A17" s="12">
        <v>45929</v>
      </c>
      <c r="B17" s="13" t="s">
        <v>9</v>
      </c>
      <c r="C17" s="25">
        <v>4</v>
      </c>
      <c r="D17" s="14"/>
      <c r="E17" s="12"/>
      <c r="F17" s="14"/>
      <c r="G17" s="14"/>
      <c r="H17" s="14"/>
      <c r="I17" s="12"/>
      <c r="J17" s="14"/>
      <c r="K17" s="14"/>
      <c r="L17" s="13"/>
    </row>
    <row r="18" s="1" customFormat="1" customHeight="1" spans="1:12">
      <c r="A18" s="12">
        <v>45931</v>
      </c>
      <c r="B18" s="13" t="s">
        <v>9</v>
      </c>
      <c r="C18" s="25">
        <v>8</v>
      </c>
      <c r="D18" s="14"/>
      <c r="E18" s="12"/>
      <c r="F18" s="14"/>
      <c r="G18" s="14"/>
      <c r="H18" s="14"/>
      <c r="I18" s="12"/>
      <c r="J18" s="14"/>
      <c r="K18" s="14"/>
      <c r="L18" s="13"/>
    </row>
    <row r="19" s="1" customFormat="1" customHeight="1" spans="1:12">
      <c r="A19" s="12">
        <v>45949</v>
      </c>
      <c r="B19" s="13" t="s">
        <v>10</v>
      </c>
      <c r="C19" s="14">
        <v>65</v>
      </c>
      <c r="D19" s="14"/>
      <c r="E19" s="12"/>
      <c r="F19" s="14"/>
      <c r="G19" s="14"/>
      <c r="H19" s="14"/>
      <c r="I19" s="12"/>
      <c r="J19" s="14"/>
      <c r="K19" s="14"/>
      <c r="L19" s="13"/>
    </row>
    <row r="20" s="1" customFormat="1" customHeight="1" spans="1:12">
      <c r="A20" s="12">
        <v>45954</v>
      </c>
      <c r="B20" s="13" t="s">
        <v>10</v>
      </c>
      <c r="C20" s="14">
        <v>805</v>
      </c>
      <c r="D20" s="14"/>
      <c r="E20" s="12"/>
      <c r="F20" s="14"/>
      <c r="G20" s="14"/>
      <c r="H20" s="14"/>
      <c r="I20" s="12"/>
      <c r="J20" s="14"/>
      <c r="K20" s="14"/>
      <c r="L20" s="13"/>
    </row>
    <row r="21" s="1" customFormat="1" customHeight="1" spans="1:12">
      <c r="A21" s="12">
        <v>45959</v>
      </c>
      <c r="B21" s="13" t="s">
        <v>10</v>
      </c>
      <c r="C21" s="14">
        <v>400</v>
      </c>
      <c r="D21" s="14"/>
      <c r="E21" s="12"/>
      <c r="F21" s="14"/>
      <c r="G21" s="14"/>
      <c r="H21" s="14"/>
      <c r="I21" s="12"/>
      <c r="J21" s="14"/>
      <c r="K21" s="14"/>
      <c r="L21" s="13"/>
    </row>
    <row r="22" s="1" customFormat="1" customHeight="1" spans="1:12">
      <c r="A22" s="12">
        <v>45960</v>
      </c>
      <c r="B22" s="13" t="s">
        <v>10</v>
      </c>
      <c r="C22" s="14">
        <v>255</v>
      </c>
      <c r="D22" s="14"/>
      <c r="E22" s="12"/>
      <c r="F22" s="14"/>
      <c r="G22" s="14"/>
      <c r="H22" s="14"/>
      <c r="I22" s="12"/>
      <c r="J22" s="14"/>
      <c r="K22" s="14"/>
      <c r="L22" s="13"/>
    </row>
    <row r="23" s="1" customFormat="1" customHeight="1" spans="1:12">
      <c r="A23" s="12">
        <v>45961</v>
      </c>
      <c r="B23" s="13" t="s">
        <v>10</v>
      </c>
      <c r="C23" s="14">
        <v>60</v>
      </c>
      <c r="D23" s="14"/>
      <c r="E23" s="12"/>
      <c r="F23" s="14"/>
      <c r="G23" s="14"/>
      <c r="H23" s="14"/>
      <c r="I23" s="12"/>
      <c r="J23" s="14"/>
      <c r="K23" s="14"/>
      <c r="L23" s="13"/>
    </row>
    <row r="24" s="1" customFormat="1" customHeight="1" spans="1:12">
      <c r="A24" s="12">
        <v>45963</v>
      </c>
      <c r="B24" s="13" t="s">
        <v>10</v>
      </c>
      <c r="C24" s="14">
        <v>15</v>
      </c>
      <c r="D24" s="14"/>
      <c r="E24" s="12"/>
      <c r="F24" s="14"/>
      <c r="G24" s="14"/>
      <c r="H24" s="14"/>
      <c r="I24" s="12"/>
      <c r="J24" s="14"/>
      <c r="K24" s="14"/>
      <c r="L24" s="13"/>
    </row>
    <row r="25" s="1" customFormat="1" customHeight="1" spans="1:12">
      <c r="A25" s="12">
        <v>45964</v>
      </c>
      <c r="B25" s="13" t="s">
        <v>10</v>
      </c>
      <c r="C25" s="14">
        <v>105</v>
      </c>
      <c r="D25" s="14"/>
      <c r="E25" s="12"/>
      <c r="F25" s="14"/>
      <c r="G25" s="14"/>
      <c r="H25" s="14"/>
      <c r="I25" s="12"/>
      <c r="J25" s="14"/>
      <c r="K25" s="14"/>
      <c r="L25" s="13"/>
    </row>
    <row r="26" s="1" customFormat="1" customHeight="1" spans="1:12">
      <c r="A26" s="12">
        <v>45965</v>
      </c>
      <c r="B26" s="13" t="s">
        <v>10</v>
      </c>
      <c r="C26" s="14">
        <v>330</v>
      </c>
      <c r="D26" s="14"/>
      <c r="E26" s="12"/>
      <c r="F26" s="14"/>
      <c r="G26" s="14"/>
      <c r="H26" s="14"/>
      <c r="I26" s="12"/>
      <c r="J26" s="14"/>
      <c r="K26" s="14"/>
      <c r="L26" s="13"/>
    </row>
    <row r="27" s="1" customFormat="1" customHeight="1" spans="1:12">
      <c r="A27" s="12">
        <v>45969</v>
      </c>
      <c r="B27" s="13" t="s">
        <v>10</v>
      </c>
      <c r="C27" s="14">
        <v>440</v>
      </c>
      <c r="D27" s="14"/>
      <c r="E27" s="12"/>
      <c r="F27" s="14"/>
      <c r="G27" s="14"/>
      <c r="H27" s="14"/>
      <c r="I27" s="12"/>
      <c r="J27" s="14"/>
      <c r="K27" s="14"/>
      <c r="L27" s="13"/>
    </row>
    <row r="28" s="1" customFormat="1" customHeight="1" spans="1:12">
      <c r="A28" s="12">
        <v>45975</v>
      </c>
      <c r="B28" s="13" t="s">
        <v>10</v>
      </c>
      <c r="C28" s="14">
        <v>341</v>
      </c>
      <c r="D28" s="14"/>
      <c r="E28" s="12"/>
      <c r="F28" s="14"/>
      <c r="G28" s="14"/>
      <c r="H28" s="14"/>
      <c r="I28" s="12"/>
      <c r="J28" s="14"/>
      <c r="K28" s="14"/>
      <c r="L28" s="13"/>
    </row>
    <row r="29" s="1" customFormat="1" customHeight="1" spans="1:12">
      <c r="A29" s="12">
        <v>45977</v>
      </c>
      <c r="B29" s="13" t="s">
        <v>10</v>
      </c>
      <c r="C29" s="14">
        <v>50</v>
      </c>
      <c r="D29" s="14"/>
      <c r="E29" s="12"/>
      <c r="F29" s="14"/>
      <c r="G29" s="14"/>
      <c r="H29" s="14"/>
      <c r="I29" s="12"/>
      <c r="J29" s="14"/>
      <c r="K29" s="14"/>
      <c r="L29" s="13"/>
    </row>
    <row r="30" s="1" customFormat="1" customHeight="1" spans="1:12">
      <c r="A30" s="2">
        <v>45947</v>
      </c>
      <c r="B30" s="1" t="s">
        <v>9</v>
      </c>
      <c r="C30" s="3">
        <v>240</v>
      </c>
      <c r="D30" s="3"/>
      <c r="E30" s="2"/>
      <c r="F30" s="3"/>
      <c r="G30" s="3"/>
      <c r="H30" s="3"/>
      <c r="I30" s="2"/>
      <c r="J30" s="3"/>
      <c r="K30" s="3"/>
    </row>
    <row r="31" s="1" customFormat="1" customHeight="1" spans="1:12">
      <c r="A31" s="2">
        <v>45948</v>
      </c>
      <c r="B31" s="1" t="s">
        <v>9</v>
      </c>
      <c r="C31" s="3">
        <v>405</v>
      </c>
      <c r="D31" s="3"/>
      <c r="E31" s="2"/>
      <c r="F31" s="3"/>
      <c r="G31" s="3"/>
      <c r="H31" s="3"/>
      <c r="I31" s="2"/>
      <c r="J31" s="3"/>
      <c r="K31" s="3"/>
    </row>
    <row r="32" s="1" customFormat="1" customHeight="1" spans="1:12">
      <c r="A32" s="2">
        <v>45952</v>
      </c>
      <c r="B32" s="1" t="s">
        <v>9</v>
      </c>
      <c r="C32" s="3">
        <v>55</v>
      </c>
      <c r="D32" s="3"/>
      <c r="E32" s="2"/>
      <c r="F32" s="3"/>
      <c r="G32" s="3"/>
      <c r="H32" s="3"/>
      <c r="I32" s="2"/>
      <c r="J32" s="3"/>
      <c r="K32" s="3"/>
    </row>
    <row r="33" s="1" customFormat="1" customHeight="1" spans="1:11">
      <c r="A33" s="2">
        <v>45954</v>
      </c>
      <c r="B33" s="1" t="s">
        <v>9</v>
      </c>
      <c r="C33" s="3">
        <v>145</v>
      </c>
      <c r="D33" s="3"/>
      <c r="E33" s="2"/>
      <c r="F33" s="3"/>
      <c r="G33" s="3"/>
      <c r="H33" s="3"/>
      <c r="I33" s="2"/>
      <c r="J33" s="3"/>
      <c r="K33" s="3"/>
    </row>
    <row r="34" s="1" customFormat="1" customHeight="1" spans="1:11">
      <c r="A34" s="2">
        <v>45954</v>
      </c>
      <c r="B34" s="1" t="s">
        <v>9</v>
      </c>
      <c r="C34" s="3">
        <v>840</v>
      </c>
      <c r="D34" s="3"/>
      <c r="E34" s="2"/>
      <c r="F34" s="3"/>
      <c r="G34" s="3"/>
      <c r="H34" s="3"/>
      <c r="I34" s="2"/>
      <c r="J34" s="3"/>
      <c r="K34" s="3"/>
    </row>
    <row r="35" s="1" customFormat="1" customHeight="1" spans="1:11">
      <c r="A35" s="2">
        <v>45955</v>
      </c>
      <c r="B35" s="1" t="s">
        <v>9</v>
      </c>
      <c r="C35" s="3">
        <v>425</v>
      </c>
      <c r="D35" s="3"/>
      <c r="E35" s="2"/>
      <c r="F35" s="3"/>
      <c r="G35" s="3"/>
      <c r="H35" s="3"/>
      <c r="I35" s="2"/>
      <c r="J35" s="3"/>
      <c r="K35" s="3"/>
    </row>
    <row r="36" s="1" customFormat="1" customHeight="1" spans="1:11">
      <c r="A36" s="2">
        <v>45956</v>
      </c>
      <c r="B36" s="1" t="s">
        <v>9</v>
      </c>
      <c r="C36" s="3">
        <v>24</v>
      </c>
      <c r="D36" s="3"/>
      <c r="E36" s="2"/>
      <c r="F36" s="3"/>
      <c r="G36" s="3"/>
      <c r="H36" s="3"/>
      <c r="I36" s="2"/>
      <c r="J36" s="3"/>
      <c r="K36" s="3"/>
    </row>
    <row r="37" s="1" customFormat="1" customHeight="1" spans="1:11">
      <c r="A37" s="2">
        <v>45957</v>
      </c>
      <c r="B37" s="1" t="s">
        <v>9</v>
      </c>
      <c r="C37" s="3">
        <v>274</v>
      </c>
      <c r="D37" s="3"/>
      <c r="E37" s="2"/>
      <c r="F37" s="3"/>
      <c r="G37" s="3"/>
      <c r="H37" s="3"/>
      <c r="I37" s="2"/>
      <c r="J37" s="3"/>
      <c r="K37" s="3"/>
    </row>
    <row r="38" s="1" customFormat="1" customHeight="1" spans="1:11">
      <c r="A38" s="2">
        <v>45958</v>
      </c>
      <c r="B38" s="1" t="s">
        <v>9</v>
      </c>
      <c r="C38" s="3">
        <v>1780</v>
      </c>
      <c r="D38" s="3"/>
      <c r="E38" s="2"/>
      <c r="F38" s="3"/>
      <c r="G38" s="3"/>
      <c r="H38" s="3"/>
      <c r="I38" s="2"/>
      <c r="J38" s="3"/>
      <c r="K38" s="3"/>
    </row>
    <row r="39" s="1" customFormat="1" customHeight="1" spans="1:11">
      <c r="A39" s="2">
        <v>45958</v>
      </c>
      <c r="B39" s="1" t="s">
        <v>9</v>
      </c>
      <c r="C39" s="3">
        <v>55</v>
      </c>
      <c r="D39" s="3"/>
      <c r="E39" s="2"/>
      <c r="F39" s="3"/>
      <c r="G39" s="3"/>
      <c r="H39" s="3"/>
      <c r="I39" s="2"/>
      <c r="J39" s="3"/>
      <c r="K39" s="3"/>
    </row>
    <row r="40" s="1" customFormat="1" customHeight="1" spans="1:11">
      <c r="A40" s="2">
        <v>45959</v>
      </c>
      <c r="B40" s="1" t="s">
        <v>9</v>
      </c>
      <c r="C40" s="3">
        <v>340</v>
      </c>
      <c r="D40" s="3"/>
      <c r="E40" s="2"/>
      <c r="F40" s="3"/>
      <c r="G40" s="3"/>
      <c r="H40" s="3"/>
      <c r="I40" s="2"/>
      <c r="J40" s="3"/>
      <c r="K40" s="3"/>
    </row>
    <row r="41" s="1" customFormat="1" customHeight="1" spans="1:11">
      <c r="A41" s="2">
        <v>45960</v>
      </c>
      <c r="B41" s="1" t="s">
        <v>9</v>
      </c>
      <c r="C41" s="3">
        <v>122</v>
      </c>
      <c r="D41" s="3"/>
      <c r="E41" s="2"/>
      <c r="F41" s="3"/>
      <c r="G41" s="3"/>
      <c r="H41" s="3"/>
      <c r="I41" s="2"/>
      <c r="J41" s="3"/>
      <c r="K41" s="3"/>
    </row>
    <row r="42" s="1" customFormat="1" customHeight="1" spans="1:11">
      <c r="A42" s="2">
        <v>45961</v>
      </c>
      <c r="B42" s="1" t="s">
        <v>9</v>
      </c>
      <c r="C42" s="3">
        <v>840</v>
      </c>
      <c r="D42" s="3"/>
      <c r="E42" s="2"/>
      <c r="F42" s="3"/>
      <c r="G42" s="3"/>
      <c r="H42" s="3"/>
      <c r="I42" s="2"/>
      <c r="J42" s="3"/>
      <c r="K42" s="3"/>
    </row>
    <row r="43" s="1" customFormat="1" customHeight="1" spans="1:11">
      <c r="A43" s="2">
        <v>45962</v>
      </c>
      <c r="B43" s="1" t="s">
        <v>9</v>
      </c>
      <c r="C43" s="3">
        <v>380</v>
      </c>
      <c r="D43" s="3"/>
      <c r="E43" s="2"/>
      <c r="F43" s="3"/>
      <c r="G43" s="3"/>
      <c r="H43" s="3"/>
      <c r="I43" s="2"/>
      <c r="J43" s="3"/>
      <c r="K43" s="3"/>
    </row>
    <row r="44" s="1" customFormat="1" customHeight="1" spans="1:11">
      <c r="A44" s="2">
        <v>45963</v>
      </c>
      <c r="B44" s="1" t="s">
        <v>9</v>
      </c>
      <c r="C44" s="3">
        <v>20</v>
      </c>
      <c r="D44" s="3"/>
      <c r="E44" s="2"/>
      <c r="F44" s="3"/>
      <c r="G44" s="3"/>
      <c r="H44" s="3"/>
      <c r="I44" s="2"/>
      <c r="J44" s="3"/>
      <c r="K44" s="3"/>
    </row>
    <row r="45" s="1" customFormat="1" customHeight="1" spans="1:11">
      <c r="A45" s="2">
        <v>45965</v>
      </c>
      <c r="B45" s="1" t="s">
        <v>9</v>
      </c>
      <c r="C45" s="3">
        <v>128</v>
      </c>
      <c r="D45" s="3"/>
      <c r="E45" s="2"/>
      <c r="F45" s="3"/>
      <c r="G45" s="3"/>
      <c r="H45" s="3"/>
      <c r="I45" s="2"/>
      <c r="J45" s="3"/>
      <c r="K45" s="3"/>
    </row>
    <row r="46" s="1" customFormat="1" customHeight="1" spans="1:11">
      <c r="A46" s="2">
        <v>45968</v>
      </c>
      <c r="B46" s="1" t="s">
        <v>9</v>
      </c>
      <c r="C46" s="3">
        <v>115</v>
      </c>
      <c r="D46" s="3"/>
      <c r="E46" s="2"/>
      <c r="F46" s="3"/>
      <c r="G46" s="3"/>
      <c r="H46" s="3"/>
      <c r="I46" s="2"/>
      <c r="J46" s="3"/>
      <c r="K46" s="3"/>
    </row>
    <row r="47" s="1" customFormat="1" customHeight="1" spans="1:11">
      <c r="A47" s="2">
        <v>45968</v>
      </c>
      <c r="B47" s="1" t="s">
        <v>9</v>
      </c>
      <c r="C47" s="3">
        <v>500</v>
      </c>
      <c r="D47" s="3"/>
      <c r="E47" s="2"/>
      <c r="F47" s="3"/>
      <c r="G47" s="3"/>
      <c r="H47" s="3"/>
      <c r="I47" s="2"/>
      <c r="J47" s="3"/>
      <c r="K47" s="3"/>
    </row>
    <row r="48" s="1" customFormat="1" customHeight="1" spans="1:11">
      <c r="A48" s="2">
        <v>45972</v>
      </c>
      <c r="B48" s="1" t="s">
        <v>9</v>
      </c>
      <c r="C48" s="3">
        <v>447</v>
      </c>
      <c r="D48" s="3"/>
      <c r="E48" s="2"/>
      <c r="F48" s="3"/>
      <c r="G48" s="3"/>
      <c r="H48" s="3"/>
      <c r="I48" s="2"/>
      <c r="J48" s="3"/>
      <c r="K48" s="3"/>
    </row>
    <row r="49" s="1" customFormat="1" customHeight="1" spans="1:11">
      <c r="A49" s="2">
        <v>45975</v>
      </c>
      <c r="B49" s="1" t="s">
        <v>9</v>
      </c>
      <c r="C49" s="3">
        <v>33</v>
      </c>
      <c r="D49" s="3"/>
      <c r="E49" s="2"/>
      <c r="F49" s="3"/>
      <c r="G49" s="3"/>
      <c r="H49" s="3"/>
      <c r="I49" s="2"/>
      <c r="J49" s="3"/>
      <c r="K49" s="3"/>
    </row>
    <row r="50" s="1" customFormat="1" customHeight="1" spans="1:11">
      <c r="A50" s="2">
        <v>45976</v>
      </c>
      <c r="B50" s="1" t="s">
        <v>9</v>
      </c>
      <c r="C50" s="3">
        <v>52</v>
      </c>
      <c r="D50" s="3"/>
      <c r="E50" s="2"/>
      <c r="F50" s="3"/>
      <c r="G50" s="3"/>
      <c r="H50" s="3"/>
      <c r="I50" s="2"/>
      <c r="J50" s="3"/>
      <c r="K50" s="3"/>
    </row>
    <row r="51" s="1" customFormat="1" customHeight="1" spans="1:11">
      <c r="A51" s="2">
        <v>45976</v>
      </c>
      <c r="B51" s="1" t="s">
        <v>9</v>
      </c>
      <c r="C51" s="3">
        <v>340</v>
      </c>
      <c r="D51" s="3"/>
      <c r="E51" s="2"/>
      <c r="F51" s="3"/>
      <c r="G51" s="3"/>
      <c r="H51" s="3"/>
      <c r="I51" s="2"/>
      <c r="J51" s="3"/>
      <c r="K51" s="3"/>
    </row>
    <row r="52" s="1" customFormat="1" customHeight="1" spans="1:11">
      <c r="A52" s="2">
        <v>45979</v>
      </c>
      <c r="B52" s="1" t="s">
        <v>9</v>
      </c>
      <c r="C52" s="3">
        <v>75</v>
      </c>
      <c r="D52" s="3"/>
      <c r="E52" s="2"/>
      <c r="F52" s="3"/>
      <c r="G52" s="3"/>
      <c r="H52" s="3"/>
      <c r="I52" s="2"/>
      <c r="J52" s="3"/>
      <c r="K52" s="3"/>
    </row>
    <row r="53" s="1" customFormat="1" customHeight="1" spans="1:11">
      <c r="A53" s="2">
        <v>45979</v>
      </c>
      <c r="B53" s="1" t="s">
        <v>9</v>
      </c>
      <c r="C53" s="3">
        <v>512</v>
      </c>
      <c r="D53" s="3"/>
      <c r="E53" s="2"/>
      <c r="F53" s="3"/>
      <c r="G53" s="3"/>
      <c r="H53" s="3"/>
      <c r="I53" s="2"/>
      <c r="J53" s="3"/>
      <c r="K53" s="3"/>
    </row>
    <row r="54" s="1" customFormat="1" customHeight="1" spans="1:11">
      <c r="A54" s="2">
        <v>45981</v>
      </c>
      <c r="B54" s="1" t="s">
        <v>9</v>
      </c>
      <c r="C54" s="3">
        <v>285</v>
      </c>
      <c r="D54" s="3"/>
      <c r="E54" s="2"/>
      <c r="F54" s="3"/>
      <c r="G54" s="3"/>
      <c r="H54" s="3"/>
      <c r="I54" s="2"/>
      <c r="J54" s="3"/>
      <c r="K54" s="3"/>
    </row>
    <row r="55" s="1" customFormat="1" customHeight="1" spans="1:11">
      <c r="A55" s="2">
        <v>45983</v>
      </c>
      <c r="B55" s="1" t="s">
        <v>9</v>
      </c>
      <c r="C55" s="3">
        <v>180</v>
      </c>
      <c r="D55" s="3"/>
      <c r="E55" s="2"/>
      <c r="F55" s="3"/>
      <c r="G55" s="3"/>
      <c r="H55" s="3"/>
      <c r="I55" s="2"/>
      <c r="J55" s="3"/>
      <c r="K55" s="3"/>
    </row>
    <row r="56" s="1" customFormat="1" customHeight="1" spans="1:11">
      <c r="A56" s="2">
        <v>45986</v>
      </c>
      <c r="B56" s="1" t="s">
        <v>9</v>
      </c>
      <c r="C56" s="3">
        <v>25</v>
      </c>
      <c r="D56" s="3"/>
      <c r="E56" s="2"/>
      <c r="F56" s="3"/>
      <c r="G56" s="3"/>
      <c r="H56" s="3"/>
      <c r="I56" s="2"/>
      <c r="J56" s="3"/>
      <c r="K56" s="3"/>
    </row>
    <row r="57" s="1" customFormat="1" customHeight="1" spans="1:11">
      <c r="A57" s="2">
        <v>45991</v>
      </c>
      <c r="B57" s="1" t="s">
        <v>9</v>
      </c>
      <c r="C57" s="3">
        <v>285</v>
      </c>
      <c r="D57" s="3"/>
      <c r="E57" s="2"/>
      <c r="F57" s="3"/>
      <c r="G57" s="3"/>
      <c r="H57" s="3"/>
      <c r="I57" s="2"/>
      <c r="J57" s="3"/>
      <c r="K57" s="3"/>
    </row>
    <row r="58" s="1" customFormat="1" customHeight="1" spans="1:11">
      <c r="A58" s="2">
        <v>45992</v>
      </c>
      <c r="B58" s="1" t="s">
        <v>9</v>
      </c>
      <c r="C58" s="3">
        <v>90</v>
      </c>
      <c r="D58" s="3"/>
      <c r="E58" s="2"/>
      <c r="F58" s="3"/>
      <c r="G58" s="3"/>
      <c r="H58" s="3"/>
      <c r="I58" s="2"/>
      <c r="J58" s="3"/>
      <c r="K58" s="3"/>
    </row>
    <row r="59" s="1" customFormat="1" customHeight="1" spans="1:11">
      <c r="A59" s="2">
        <v>45994</v>
      </c>
      <c r="B59" s="1" t="s">
        <v>9</v>
      </c>
      <c r="C59" s="3">
        <v>372</v>
      </c>
      <c r="D59" s="3"/>
      <c r="E59" s="2"/>
      <c r="F59" s="3"/>
      <c r="G59" s="3"/>
      <c r="H59" s="3"/>
      <c r="I59" s="2"/>
      <c r="J59" s="3"/>
      <c r="K59" s="3"/>
    </row>
    <row r="60" s="1" customFormat="1" customHeight="1" spans="1:11">
      <c r="A60" s="2">
        <v>45998</v>
      </c>
      <c r="B60" s="1" t="s">
        <v>9</v>
      </c>
      <c r="C60" s="3">
        <v>620</v>
      </c>
      <c r="D60" s="3"/>
      <c r="E60" s="2"/>
      <c r="F60" s="3"/>
      <c r="G60" s="3"/>
      <c r="H60" s="3"/>
      <c r="I60" s="2"/>
      <c r="J60" s="3"/>
      <c r="K60" s="3"/>
    </row>
    <row r="61" s="1" customFormat="1" customHeight="1" spans="1:11">
      <c r="A61" s="2">
        <v>46005</v>
      </c>
      <c r="B61" s="1" t="s">
        <v>9</v>
      </c>
      <c r="C61" s="3">
        <v>170</v>
      </c>
      <c r="D61" s="3"/>
      <c r="E61" s="2"/>
      <c r="F61" s="3"/>
      <c r="G61" s="3"/>
      <c r="H61" s="3"/>
      <c r="I61" s="2"/>
      <c r="J61" s="3"/>
      <c r="K61" s="3"/>
    </row>
    <row r="62" s="1" customFormat="1" customHeight="1" spans="1:11">
      <c r="A62" s="2">
        <v>46006</v>
      </c>
      <c r="B62" s="1" t="s">
        <v>9</v>
      </c>
      <c r="C62" s="3">
        <v>95</v>
      </c>
      <c r="D62" s="3"/>
      <c r="E62" s="2"/>
      <c r="F62" s="3"/>
      <c r="G62" s="3"/>
      <c r="H62" s="3"/>
      <c r="I62" s="2"/>
      <c r="J62" s="3"/>
      <c r="K62" s="3"/>
    </row>
    <row r="63" s="1" customFormat="1" customHeight="1" spans="1:11">
      <c r="A63" s="2">
        <v>46008</v>
      </c>
      <c r="B63" s="1" t="s">
        <v>9</v>
      </c>
      <c r="C63" s="3">
        <v>380</v>
      </c>
      <c r="D63" s="3"/>
      <c r="E63" s="2"/>
      <c r="F63" s="3"/>
      <c r="G63" s="3"/>
      <c r="H63" s="3"/>
      <c r="I63" s="2"/>
      <c r="J63" s="3"/>
      <c r="K63" s="3"/>
    </row>
    <row r="64" s="1" customFormat="1" customHeight="1" spans="1:11">
      <c r="A64" s="2">
        <v>46009</v>
      </c>
      <c r="B64" s="1" t="s">
        <v>9</v>
      </c>
      <c r="C64" s="3">
        <v>360</v>
      </c>
      <c r="D64" s="3"/>
      <c r="E64" s="2"/>
      <c r="F64" s="3"/>
      <c r="G64" s="3"/>
      <c r="H64" s="3"/>
      <c r="I64" s="2"/>
      <c r="J64" s="3"/>
      <c r="K64" s="3"/>
    </row>
    <row r="65" s="1" customFormat="1" customHeight="1" spans="1:11">
      <c r="A65" s="2">
        <v>46010</v>
      </c>
      <c r="B65" s="1" t="s">
        <v>9</v>
      </c>
      <c r="C65" s="3">
        <v>50</v>
      </c>
      <c r="D65" s="3"/>
      <c r="E65" s="2"/>
      <c r="F65" s="3"/>
      <c r="G65" s="3"/>
      <c r="H65" s="3"/>
      <c r="I65" s="2"/>
      <c r="J65" s="3"/>
      <c r="K65" s="3"/>
    </row>
    <row r="66" s="1" customFormat="1" customHeight="1" spans="1:11">
      <c r="A66" s="2">
        <v>46016</v>
      </c>
      <c r="B66" s="1" t="s">
        <v>9</v>
      </c>
      <c r="C66" s="3">
        <v>295</v>
      </c>
      <c r="D66" s="3"/>
      <c r="E66" s="2"/>
      <c r="F66" s="3"/>
      <c r="G66" s="3"/>
      <c r="H66" s="3"/>
      <c r="I66" s="2"/>
      <c r="J66" s="3"/>
      <c r="K66" s="3"/>
    </row>
    <row r="67" s="1" customFormat="1" customHeight="1" spans="1:11">
      <c r="A67" s="2">
        <v>46017</v>
      </c>
      <c r="B67" s="1" t="s">
        <v>9</v>
      </c>
      <c r="C67" s="3">
        <v>80</v>
      </c>
      <c r="D67" s="3"/>
      <c r="E67" s="2"/>
      <c r="F67" s="3"/>
      <c r="G67" s="3"/>
      <c r="H67" s="3"/>
      <c r="I67" s="2"/>
      <c r="J67" s="3"/>
      <c r="K67" s="3"/>
    </row>
    <row r="68" s="1" customFormat="1" customHeight="1" spans="1:11">
      <c r="A68" s="2">
        <v>46022</v>
      </c>
      <c r="B68" s="1" t="s">
        <v>9</v>
      </c>
      <c r="C68" s="3">
        <v>475</v>
      </c>
      <c r="D68" s="3"/>
      <c r="E68" s="2"/>
      <c r="F68" s="3"/>
      <c r="G68" s="3"/>
      <c r="H68" s="3"/>
      <c r="I68" s="2"/>
      <c r="J68" s="3"/>
      <c r="K68" s="3"/>
    </row>
    <row r="69" s="1" customFormat="1" customHeight="1" spans="1:11">
      <c r="A69" s="2">
        <v>46024</v>
      </c>
      <c r="B69" s="1" t="s">
        <v>9</v>
      </c>
      <c r="C69" s="3">
        <v>95</v>
      </c>
      <c r="D69" s="3"/>
      <c r="E69" s="2"/>
      <c r="F69" s="3"/>
      <c r="G69" s="3"/>
      <c r="H69" s="3"/>
      <c r="I69" s="2"/>
      <c r="J69" s="3"/>
      <c r="K69" s="3"/>
    </row>
    <row r="70" s="1" customFormat="1" customHeight="1" spans="1:11">
      <c r="A70" s="2">
        <v>46027</v>
      </c>
      <c r="B70" s="1" t="s">
        <v>9</v>
      </c>
      <c r="C70" s="3">
        <v>15</v>
      </c>
      <c r="D70" s="3"/>
      <c r="E70" s="2"/>
      <c r="F70" s="3"/>
      <c r="G70" s="3"/>
      <c r="H70" s="3"/>
      <c r="I70" s="2"/>
      <c r="J70" s="3"/>
      <c r="K70" s="3"/>
    </row>
    <row r="71" s="1" customFormat="1" customHeight="1" spans="1:11">
      <c r="A71" s="2">
        <v>46031</v>
      </c>
      <c r="B71" s="1" t="s">
        <v>9</v>
      </c>
      <c r="C71" s="3">
        <v>60</v>
      </c>
      <c r="D71" s="3"/>
      <c r="E71" s="2"/>
      <c r="F71" s="3"/>
      <c r="G71" s="3"/>
      <c r="H71" s="3"/>
      <c r="I71" s="2"/>
      <c r="J71" s="3"/>
      <c r="K71" s="3"/>
    </row>
    <row r="72" s="1" customFormat="1" customHeight="1" spans="1:11">
      <c r="A72" s="2">
        <v>46033</v>
      </c>
      <c r="B72" s="1" t="s">
        <v>9</v>
      </c>
      <c r="C72" s="3">
        <v>480</v>
      </c>
      <c r="D72" s="3"/>
      <c r="E72" s="2"/>
      <c r="F72" s="3"/>
      <c r="G72" s="3"/>
      <c r="H72" s="3"/>
      <c r="I72" s="2"/>
      <c r="J72" s="3"/>
      <c r="K72" s="3"/>
    </row>
    <row r="73" s="1" customFormat="1" customHeight="1" spans="1:11">
      <c r="A73" s="2">
        <v>46033</v>
      </c>
      <c r="B73" s="1" t="s">
        <v>9</v>
      </c>
      <c r="C73" s="3">
        <v>380</v>
      </c>
      <c r="D73" s="3"/>
      <c r="E73" s="2"/>
      <c r="F73" s="3"/>
      <c r="G73" s="3"/>
      <c r="H73" s="3"/>
      <c r="I73" s="2"/>
      <c r="J73" s="3"/>
      <c r="K73" s="3"/>
    </row>
    <row r="74" s="1" customFormat="1" customHeight="1" spans="1:11">
      <c r="A74" s="2">
        <v>46035</v>
      </c>
      <c r="B74" s="1" t="s">
        <v>9</v>
      </c>
      <c r="C74" s="3">
        <v>5</v>
      </c>
      <c r="D74" s="3"/>
      <c r="E74" s="2"/>
      <c r="F74" s="3"/>
      <c r="G74" s="3"/>
      <c r="H74" s="3"/>
      <c r="I74" s="2"/>
      <c r="J74" s="3"/>
      <c r="K74" s="3"/>
    </row>
    <row r="75" s="1" customFormat="1" customHeight="1" spans="1:11">
      <c r="A75" s="2">
        <v>46036</v>
      </c>
      <c r="B75" s="1" t="s">
        <v>9</v>
      </c>
      <c r="C75" s="3">
        <v>325</v>
      </c>
      <c r="D75" s="3"/>
      <c r="E75" s="2"/>
      <c r="F75" s="3"/>
      <c r="G75" s="3"/>
      <c r="H75" s="3"/>
      <c r="I75" s="2"/>
      <c r="J75" s="3"/>
      <c r="K75" s="3"/>
    </row>
    <row r="76" s="1" customFormat="1" customHeight="1" spans="1:11">
      <c r="A76" s="2">
        <v>46039</v>
      </c>
      <c r="B76" s="1" t="s">
        <v>9</v>
      </c>
      <c r="C76" s="3">
        <v>15</v>
      </c>
      <c r="D76" s="3"/>
      <c r="E76" s="2"/>
      <c r="F76" s="3"/>
      <c r="G76" s="3"/>
      <c r="H76" s="3"/>
      <c r="I76" s="2"/>
      <c r="J76" s="3"/>
      <c r="K76" s="3"/>
    </row>
    <row r="77" s="1" customFormat="1" customHeight="1" spans="1:11">
      <c r="A77" s="2">
        <v>46063</v>
      </c>
      <c r="B77" s="1" t="s">
        <v>9</v>
      </c>
      <c r="C77" s="3">
        <v>85</v>
      </c>
      <c r="D77" s="3"/>
      <c r="E77" s="2"/>
      <c r="F77" s="3"/>
      <c r="G77" s="3"/>
      <c r="H77" s="3"/>
      <c r="I77" s="2"/>
      <c r="J77" s="3"/>
      <c r="K77" s="3"/>
    </row>
    <row r="78" s="1" customFormat="1" customHeight="1" spans="1:11">
      <c r="A78" s="2">
        <v>46005</v>
      </c>
      <c r="B78" s="1" t="s">
        <v>12</v>
      </c>
      <c r="C78" s="3">
        <v>600</v>
      </c>
      <c r="D78" s="3"/>
      <c r="E78" s="2"/>
      <c r="F78" s="3"/>
      <c r="G78" s="3"/>
      <c r="H78" s="3"/>
      <c r="I78" s="2"/>
      <c r="J78" s="3"/>
      <c r="K78" s="3"/>
    </row>
    <row r="79" s="1" customFormat="1" customHeight="1" spans="1:11">
      <c r="A79" s="2">
        <v>46005</v>
      </c>
      <c r="B79" s="1" t="s">
        <v>12</v>
      </c>
      <c r="C79" s="3">
        <v>145</v>
      </c>
      <c r="D79" s="3"/>
      <c r="E79" s="2"/>
      <c r="F79" s="3"/>
      <c r="G79" s="3"/>
      <c r="H79" s="3"/>
      <c r="I79" s="2"/>
      <c r="J79" s="3"/>
      <c r="K79" s="3"/>
    </row>
    <row r="80" s="1" customFormat="1" customHeight="1" spans="1:11">
      <c r="A80" s="2">
        <v>46007</v>
      </c>
      <c r="B80" s="1" t="s">
        <v>12</v>
      </c>
      <c r="C80" s="3">
        <v>138</v>
      </c>
      <c r="D80" s="3"/>
      <c r="E80" s="2"/>
      <c r="F80" s="3"/>
      <c r="G80" s="3"/>
      <c r="H80" s="3"/>
      <c r="I80" s="2"/>
      <c r="J80" s="3"/>
      <c r="K80" s="3"/>
    </row>
    <row r="81" s="1" customFormat="1" customHeight="1" spans="1:12">
      <c r="A81" s="2">
        <v>46017</v>
      </c>
      <c r="B81" s="1" t="s">
        <v>12</v>
      </c>
      <c r="C81" s="3">
        <v>95</v>
      </c>
      <c r="D81" s="3"/>
      <c r="E81" s="2"/>
      <c r="F81" s="3"/>
      <c r="G81" s="3"/>
      <c r="H81" s="3"/>
      <c r="I81" s="2"/>
      <c r="J81" s="3"/>
      <c r="K81" s="3"/>
    </row>
    <row r="82" s="1" customFormat="1" customHeight="1" spans="1:12">
      <c r="A82" s="2">
        <v>45985</v>
      </c>
      <c r="B82" s="1" t="s">
        <v>10</v>
      </c>
      <c r="C82" s="3">
        <v>90</v>
      </c>
      <c r="D82" s="3"/>
      <c r="E82" s="2"/>
      <c r="F82" s="3"/>
      <c r="G82" s="3"/>
      <c r="H82" s="3"/>
      <c r="I82" s="2"/>
      <c r="J82" s="3"/>
      <c r="K82" s="3"/>
    </row>
    <row r="83" s="1" customFormat="1" customHeight="1" spans="1:12">
      <c r="A83" s="2">
        <v>45991</v>
      </c>
      <c r="B83" s="1" t="s">
        <v>10</v>
      </c>
      <c r="C83" s="3">
        <v>540</v>
      </c>
      <c r="D83" s="3"/>
      <c r="E83" s="2"/>
      <c r="F83" s="3"/>
      <c r="G83" s="3"/>
      <c r="H83" s="3"/>
      <c r="I83" s="2"/>
      <c r="J83" s="3"/>
      <c r="K83" s="3"/>
    </row>
    <row r="84" s="1" customFormat="1" customHeight="1" spans="1:12">
      <c r="A84" s="2">
        <v>46006</v>
      </c>
      <c r="B84" s="1" t="s">
        <v>10</v>
      </c>
      <c r="C84" s="3">
        <v>75</v>
      </c>
      <c r="D84" s="3"/>
      <c r="E84" s="2"/>
      <c r="F84" s="3"/>
      <c r="G84" s="3"/>
      <c r="H84" s="3"/>
      <c r="I84" s="2"/>
      <c r="J84" s="3"/>
      <c r="K84" s="3"/>
    </row>
    <row r="85" s="1" customFormat="1" customHeight="1" spans="1:12">
      <c r="A85" s="2">
        <v>46014</v>
      </c>
      <c r="B85" s="1" t="s">
        <v>10</v>
      </c>
      <c r="C85" s="3">
        <v>53</v>
      </c>
      <c r="D85" s="3"/>
      <c r="E85" s="2"/>
      <c r="F85" s="3"/>
      <c r="G85" s="3"/>
      <c r="H85" s="3"/>
      <c r="I85" s="2"/>
      <c r="J85" s="3"/>
      <c r="K85" s="3"/>
    </row>
    <row r="86" s="1" customFormat="1" customHeight="1" spans="1:12">
      <c r="A86" s="2">
        <v>46019</v>
      </c>
      <c r="B86" s="1" t="s">
        <v>10</v>
      </c>
      <c r="C86" s="3">
        <v>60</v>
      </c>
      <c r="D86" s="3"/>
      <c r="E86" s="2"/>
      <c r="F86" s="3"/>
      <c r="G86" s="3"/>
      <c r="H86" s="3"/>
      <c r="I86" s="2"/>
      <c r="J86" s="3"/>
      <c r="K86" s="3"/>
    </row>
    <row r="87" s="1" customFormat="1" customHeight="1" spans="1:12">
      <c r="A87" s="2">
        <v>46027</v>
      </c>
      <c r="B87" s="1" t="s">
        <v>10</v>
      </c>
      <c r="C87" s="3">
        <v>225</v>
      </c>
      <c r="D87" s="3"/>
      <c r="E87" s="2"/>
      <c r="F87" s="3"/>
      <c r="G87" s="3"/>
      <c r="H87" s="3"/>
      <c r="I87" s="2"/>
      <c r="J87" s="3"/>
      <c r="K87" s="3"/>
    </row>
    <row r="88" s="1" customFormat="1" customHeight="1" spans="1:12">
      <c r="A88" s="2">
        <v>46031</v>
      </c>
      <c r="B88" s="1" t="s">
        <v>10</v>
      </c>
      <c r="C88" s="3">
        <v>100</v>
      </c>
      <c r="D88" s="3"/>
      <c r="E88" s="2"/>
      <c r="F88" s="3"/>
      <c r="G88" s="3"/>
      <c r="H88" s="3"/>
      <c r="I88" s="2"/>
      <c r="J88" s="3"/>
      <c r="K88" s="3"/>
    </row>
    <row r="89" s="1" customFormat="1" customHeight="1" spans="1:12">
      <c r="A89" s="2">
        <v>46041</v>
      </c>
      <c r="B89" s="1" t="s">
        <v>10</v>
      </c>
      <c r="C89" s="3">
        <v>1560</v>
      </c>
      <c r="D89" s="3"/>
      <c r="E89" s="2"/>
      <c r="F89" s="3"/>
      <c r="G89" s="3"/>
      <c r="H89" s="3"/>
      <c r="I89" s="2"/>
      <c r="J89" s="3"/>
      <c r="K89" s="3"/>
    </row>
    <row r="90" s="1" customFormat="1" customHeight="1" spans="1:12">
      <c r="A90" s="2">
        <v>46045</v>
      </c>
      <c r="B90" s="1" t="s">
        <v>10</v>
      </c>
      <c r="C90" s="3">
        <v>490</v>
      </c>
      <c r="D90" s="3"/>
      <c r="E90" s="2"/>
      <c r="F90" s="3"/>
      <c r="G90" s="3"/>
      <c r="H90" s="3"/>
      <c r="I90" s="2"/>
      <c r="J90" s="3"/>
      <c r="K90" s="3"/>
    </row>
    <row r="91" s="1" customFormat="1" customHeight="1" spans="1:12">
      <c r="A91" s="2">
        <v>46052</v>
      </c>
      <c r="B91" s="1" t="s">
        <v>10</v>
      </c>
      <c r="C91" s="3">
        <v>300</v>
      </c>
      <c r="D91" s="3"/>
      <c r="E91" s="2"/>
      <c r="F91" s="3"/>
      <c r="G91" s="3"/>
      <c r="H91" s="3"/>
      <c r="I91" s="2"/>
      <c r="J91" s="3"/>
      <c r="K91" s="3"/>
    </row>
    <row r="92" s="1" customFormat="1" customHeight="1" spans="1:12">
      <c r="A92" s="27">
        <v>46056</v>
      </c>
      <c r="B92" s="28" t="s">
        <v>10</v>
      </c>
      <c r="C92" s="29">
        <v>950</v>
      </c>
      <c r="D92" s="29" t="s">
        <v>66</v>
      </c>
      <c r="E92" s="27"/>
      <c r="F92" s="29"/>
      <c r="G92" s="29"/>
      <c r="H92" s="29"/>
      <c r="I92" s="27"/>
      <c r="J92" s="29"/>
      <c r="K92" s="29"/>
      <c r="L92" s="28"/>
    </row>
    <row r="93" s="1" customFormat="1" customHeight="1" spans="1:12">
      <c r="A93" s="2">
        <v>46092</v>
      </c>
      <c r="B93" s="1" t="s">
        <v>10</v>
      </c>
      <c r="C93" s="3">
        <v>750</v>
      </c>
      <c r="D93" s="3"/>
      <c r="E93" s="2"/>
      <c r="F93" s="3"/>
      <c r="G93" s="3"/>
      <c r="H93" s="3"/>
      <c r="I93" s="2"/>
      <c r="J93" s="3"/>
      <c r="K93" s="3"/>
    </row>
    <row r="94" s="1" customFormat="1" customHeight="1" spans="1:12">
      <c r="A94" s="2">
        <v>46113</v>
      </c>
      <c r="B94" s="1" t="s">
        <v>10</v>
      </c>
      <c r="C94" s="3">
        <v>53</v>
      </c>
      <c r="D94" s="3"/>
      <c r="E94" s="2"/>
      <c r="F94" s="3"/>
      <c r="G94" s="3"/>
      <c r="H94" s="3"/>
      <c r="I94" s="2"/>
      <c r="J94" s="3"/>
      <c r="K94" s="3"/>
    </row>
    <row r="95" s="1" customFormat="1" customHeight="1" spans="1:12">
      <c r="A95" s="2">
        <v>46124</v>
      </c>
      <c r="B95" s="1" t="s">
        <v>11</v>
      </c>
      <c r="C95" s="3">
        <v>25</v>
      </c>
      <c r="D95" s="3"/>
      <c r="E95" s="2"/>
      <c r="F95" s="3"/>
      <c r="G95" s="3"/>
      <c r="H95" s="3"/>
      <c r="I95" s="2"/>
      <c r="J95" s="3"/>
      <c r="K95" s="3"/>
    </row>
    <row r="96" s="1" customFormat="1" customHeight="1" spans="1:12">
      <c r="A96" s="2">
        <v>46127</v>
      </c>
      <c r="B96" s="1" t="s">
        <v>11</v>
      </c>
      <c r="C96" s="3">
        <v>215</v>
      </c>
      <c r="D96" s="3"/>
      <c r="E96" s="2"/>
      <c r="F96" s="3"/>
      <c r="G96" s="3"/>
      <c r="H96" s="3"/>
      <c r="I96" s="2"/>
      <c r="J96" s="3"/>
      <c r="K96" s="3"/>
    </row>
    <row r="97" s="1" customFormat="1" customHeight="1" spans="1:11">
      <c r="A97" s="2">
        <v>46177</v>
      </c>
      <c r="B97" s="1" t="s">
        <v>11</v>
      </c>
      <c r="C97" s="3">
        <v>87</v>
      </c>
      <c r="D97" s="3"/>
      <c r="E97" s="2"/>
      <c r="F97" s="3"/>
      <c r="G97" s="3"/>
      <c r="H97" s="3"/>
      <c r="I97" s="2"/>
      <c r="J97" s="3"/>
      <c r="K97" s="3"/>
    </row>
    <row r="98" s="1" customFormat="1" customHeight="1" spans="1:11">
      <c r="A98" s="2">
        <v>46091</v>
      </c>
      <c r="B98" s="1" t="s">
        <v>17</v>
      </c>
      <c r="C98" s="3">
        <v>200</v>
      </c>
      <c r="D98" s="3"/>
      <c r="E98" s="2"/>
      <c r="F98" s="3"/>
      <c r="G98" s="3"/>
      <c r="H98" s="3"/>
      <c r="I98" s="2"/>
      <c r="J98" s="3"/>
      <c r="K98" s="3"/>
    </row>
    <row r="99" s="1" customFormat="1" customHeight="1" spans="1:11">
      <c r="A99" s="2">
        <v>46124</v>
      </c>
      <c r="B99" s="1" t="s">
        <v>17</v>
      </c>
      <c r="C99" s="3">
        <v>770</v>
      </c>
      <c r="D99" s="3"/>
      <c r="E99" s="2"/>
      <c r="F99" s="3"/>
      <c r="G99" s="3"/>
      <c r="H99" s="3"/>
      <c r="I99" s="2"/>
      <c r="J99" s="3"/>
      <c r="K99" s="3"/>
    </row>
    <row r="100" s="1" customFormat="1" customHeight="1" spans="1:11">
      <c r="A100" s="2">
        <v>46124</v>
      </c>
      <c r="B100" s="1" t="s">
        <v>17</v>
      </c>
      <c r="C100" s="3">
        <v>369</v>
      </c>
      <c r="D100" s="3"/>
      <c r="E100" s="2"/>
      <c r="F100" s="3"/>
      <c r="G100" s="3"/>
      <c r="H100" s="3"/>
      <c r="I100" s="2"/>
      <c r="J100" s="3"/>
      <c r="K100" s="3"/>
    </row>
    <row r="101" s="1" customFormat="1" customHeight="1" spans="1:11">
      <c r="A101" s="2">
        <v>46125</v>
      </c>
      <c r="B101" s="1" t="s">
        <v>17</v>
      </c>
      <c r="C101" s="3">
        <v>30</v>
      </c>
      <c r="D101" s="3"/>
      <c r="E101" s="2"/>
      <c r="F101" s="3"/>
      <c r="G101" s="3"/>
      <c r="H101" s="3"/>
      <c r="I101" s="2"/>
      <c r="J101" s="3"/>
      <c r="K101" s="3"/>
    </row>
    <row r="102" s="1" customFormat="1" customHeight="1" spans="1:11">
      <c r="A102" s="2">
        <v>46128</v>
      </c>
      <c r="B102" s="1" t="s">
        <v>17</v>
      </c>
      <c r="C102" s="3">
        <v>8</v>
      </c>
      <c r="D102" s="3"/>
      <c r="E102" s="2"/>
      <c r="F102" s="3"/>
      <c r="G102" s="3"/>
      <c r="H102" s="3"/>
      <c r="I102" s="2"/>
      <c r="J102" s="3"/>
      <c r="K102" s="3"/>
    </row>
    <row r="103" s="1" customFormat="1" customHeight="1" spans="1:11">
      <c r="A103" s="2">
        <v>46168</v>
      </c>
      <c r="B103" s="1" t="s">
        <v>17</v>
      </c>
      <c r="C103" s="3">
        <v>151</v>
      </c>
      <c r="D103" s="3"/>
      <c r="E103" s="2"/>
      <c r="F103" s="3"/>
      <c r="G103" s="3"/>
      <c r="H103" s="3"/>
      <c r="I103" s="2"/>
      <c r="J103" s="3"/>
      <c r="K103" s="3"/>
    </row>
    <row r="104" s="1" customFormat="1" customHeight="1" spans="1:11">
      <c r="A104" s="2">
        <v>46177</v>
      </c>
      <c r="B104" s="1" t="s">
        <v>17</v>
      </c>
      <c r="C104" s="3">
        <v>107</v>
      </c>
      <c r="D104" s="3"/>
      <c r="E104" s="2"/>
      <c r="F104" s="3"/>
      <c r="G104" s="3"/>
      <c r="H104" s="3"/>
      <c r="I104" s="2"/>
      <c r="J104" s="3"/>
      <c r="K104" s="3"/>
    </row>
    <row r="105" s="1" customFormat="1" customHeight="1" spans="1:11">
      <c r="A105" s="2">
        <v>46178</v>
      </c>
      <c r="B105" s="1" t="s">
        <v>17</v>
      </c>
      <c r="C105" s="3">
        <v>18</v>
      </c>
      <c r="D105" s="3"/>
      <c r="E105" s="2"/>
      <c r="F105" s="3"/>
      <c r="G105" s="3"/>
      <c r="H105" s="3"/>
      <c r="I105" s="2"/>
      <c r="J105" s="3"/>
      <c r="K105" s="3"/>
    </row>
    <row r="106" s="1" customFormat="1" customHeight="1" spans="1:11">
      <c r="A106" s="2">
        <v>46224</v>
      </c>
      <c r="B106" s="1" t="s">
        <v>17</v>
      </c>
      <c r="C106" s="3">
        <v>44</v>
      </c>
      <c r="D106" s="3"/>
      <c r="E106" s="2"/>
      <c r="F106" s="3"/>
      <c r="G106" s="3"/>
      <c r="H106" s="3"/>
      <c r="I106" s="2"/>
      <c r="J106" s="3"/>
      <c r="K106" s="3"/>
    </row>
    <row r="107" s="1" customFormat="1" customHeight="1" spans="1:11">
      <c r="A107" s="2">
        <v>46077</v>
      </c>
      <c r="B107" s="1" t="s">
        <v>9</v>
      </c>
      <c r="C107" s="3">
        <v>140</v>
      </c>
      <c r="D107" s="3"/>
      <c r="E107" s="2"/>
      <c r="F107" s="3"/>
      <c r="G107" s="3"/>
      <c r="H107" s="3"/>
      <c r="I107" s="2"/>
      <c r="J107" s="3"/>
      <c r="K107" s="3"/>
    </row>
    <row r="108" s="1" customFormat="1" customHeight="1" spans="1:11">
      <c r="A108" s="2">
        <v>46080</v>
      </c>
      <c r="B108" s="1" t="s">
        <v>9</v>
      </c>
      <c r="C108" s="3">
        <v>30</v>
      </c>
      <c r="D108" s="3"/>
      <c r="E108" s="2"/>
      <c r="F108" s="3"/>
      <c r="G108" s="3"/>
      <c r="H108" s="3"/>
      <c r="I108" s="2"/>
      <c r="J108" s="3"/>
      <c r="K108" s="3"/>
    </row>
    <row r="109" s="1" customFormat="1" customHeight="1" spans="1:11">
      <c r="A109" s="2">
        <v>46080</v>
      </c>
      <c r="B109" s="1" t="s">
        <v>9</v>
      </c>
      <c r="C109" s="3">
        <v>400</v>
      </c>
      <c r="D109" s="3"/>
      <c r="E109" s="2"/>
      <c r="F109" s="3"/>
      <c r="G109" s="3"/>
      <c r="H109" s="3"/>
      <c r="I109" s="2"/>
      <c r="J109" s="3"/>
      <c r="K109" s="3"/>
    </row>
    <row r="110" s="1" customFormat="1" customHeight="1" spans="1:11">
      <c r="A110" s="2">
        <v>46081</v>
      </c>
      <c r="B110" s="1" t="s">
        <v>9</v>
      </c>
      <c r="C110" s="3">
        <v>119</v>
      </c>
      <c r="D110" s="3"/>
      <c r="E110" s="2"/>
      <c r="F110" s="3"/>
      <c r="G110" s="3"/>
      <c r="H110" s="3"/>
      <c r="I110" s="2"/>
      <c r="J110" s="3"/>
      <c r="K110" s="3"/>
    </row>
    <row r="111" s="1" customFormat="1" customHeight="1" spans="1:11">
      <c r="A111" s="2">
        <v>46082</v>
      </c>
      <c r="B111" s="1" t="s">
        <v>9</v>
      </c>
      <c r="C111" s="3">
        <v>10</v>
      </c>
      <c r="D111" s="3"/>
      <c r="E111" s="2"/>
      <c r="F111" s="3"/>
      <c r="G111" s="3"/>
      <c r="H111" s="3"/>
      <c r="I111" s="2"/>
      <c r="J111" s="3"/>
      <c r="K111" s="3"/>
    </row>
    <row r="112" s="1" customFormat="1" customHeight="1" spans="1:11">
      <c r="A112" s="2">
        <v>46083</v>
      </c>
      <c r="B112" s="1" t="s">
        <v>9</v>
      </c>
      <c r="C112" s="3">
        <v>225</v>
      </c>
      <c r="D112" s="3"/>
      <c r="E112" s="2"/>
      <c r="F112" s="3"/>
      <c r="G112" s="3"/>
      <c r="H112" s="3"/>
      <c r="I112" s="2"/>
      <c r="J112" s="3"/>
      <c r="K112" s="3"/>
    </row>
    <row r="113" s="1" customFormat="1" customHeight="1" spans="1:11">
      <c r="A113" s="2">
        <v>46083</v>
      </c>
      <c r="B113" s="1" t="s">
        <v>9</v>
      </c>
      <c r="C113" s="3">
        <v>210</v>
      </c>
      <c r="D113" s="3"/>
      <c r="E113" s="2"/>
      <c r="F113" s="3"/>
      <c r="G113" s="3"/>
      <c r="H113" s="3"/>
      <c r="I113" s="2"/>
      <c r="J113" s="3"/>
      <c r="K113" s="3"/>
    </row>
    <row r="114" s="1" customFormat="1" customHeight="1" spans="1:11">
      <c r="A114" s="2">
        <v>46083</v>
      </c>
      <c r="B114" s="1" t="s">
        <v>9</v>
      </c>
      <c r="C114" s="3">
        <v>20</v>
      </c>
      <c r="D114" s="3"/>
      <c r="E114" s="2"/>
      <c r="F114" s="3"/>
      <c r="G114" s="3"/>
      <c r="H114" s="3"/>
      <c r="I114" s="2"/>
      <c r="J114" s="3"/>
      <c r="K114" s="3"/>
    </row>
    <row r="115" s="1" customFormat="1" customHeight="1" spans="1:11">
      <c r="A115" s="2">
        <v>46088</v>
      </c>
      <c r="B115" s="1" t="s">
        <v>9</v>
      </c>
      <c r="C115" s="3">
        <v>47</v>
      </c>
      <c r="D115" s="3"/>
      <c r="E115" s="2"/>
      <c r="F115" s="3"/>
      <c r="G115" s="3"/>
      <c r="H115" s="3"/>
      <c r="I115" s="2"/>
      <c r="J115" s="3"/>
      <c r="K115" s="3"/>
    </row>
    <row r="116" s="1" customFormat="1" customHeight="1" spans="1:11">
      <c r="A116" s="2">
        <v>46088</v>
      </c>
      <c r="B116" s="1" t="s">
        <v>9</v>
      </c>
      <c r="C116" s="3">
        <v>165</v>
      </c>
      <c r="D116" s="3"/>
      <c r="E116" s="2"/>
      <c r="F116" s="3"/>
      <c r="G116" s="3"/>
      <c r="H116" s="3"/>
      <c r="I116" s="2"/>
      <c r="J116" s="3"/>
      <c r="K116" s="3"/>
    </row>
    <row r="117" s="1" customFormat="1" customHeight="1" spans="1:11">
      <c r="A117" s="2">
        <v>46090</v>
      </c>
      <c r="B117" s="1" t="s">
        <v>9</v>
      </c>
      <c r="C117" s="3">
        <v>813</v>
      </c>
      <c r="D117" s="3"/>
      <c r="E117" s="2"/>
      <c r="F117" s="3"/>
      <c r="G117" s="3"/>
      <c r="H117" s="3"/>
      <c r="I117" s="2"/>
      <c r="J117" s="3"/>
      <c r="K117" s="3"/>
    </row>
    <row r="118" s="1" customFormat="1" customHeight="1" spans="1:11">
      <c r="A118" s="2">
        <v>46092</v>
      </c>
      <c r="B118" s="1" t="s">
        <v>9</v>
      </c>
      <c r="C118" s="3">
        <v>100</v>
      </c>
      <c r="D118" s="3"/>
      <c r="E118" s="2"/>
      <c r="F118" s="3"/>
      <c r="G118" s="3"/>
      <c r="H118" s="3"/>
      <c r="I118" s="2"/>
      <c r="J118" s="3"/>
      <c r="K118" s="3"/>
    </row>
    <row r="119" s="1" customFormat="1" customHeight="1" spans="1:11">
      <c r="A119" s="2">
        <v>46092</v>
      </c>
      <c r="B119" s="1" t="s">
        <v>9</v>
      </c>
      <c r="C119" s="3">
        <v>39</v>
      </c>
      <c r="D119" s="3"/>
      <c r="E119" s="2"/>
      <c r="F119" s="3"/>
      <c r="G119" s="3"/>
      <c r="H119" s="3"/>
      <c r="I119" s="2"/>
      <c r="J119" s="3"/>
      <c r="K119" s="3"/>
    </row>
    <row r="120" s="1" customFormat="1" customHeight="1" spans="1:11">
      <c r="A120" s="2">
        <v>46093</v>
      </c>
      <c r="B120" s="1" t="s">
        <v>9</v>
      </c>
      <c r="C120" s="3">
        <v>62</v>
      </c>
      <c r="D120" s="3"/>
      <c r="E120" s="2"/>
      <c r="F120" s="3"/>
      <c r="G120" s="3"/>
      <c r="H120" s="3"/>
      <c r="I120" s="2"/>
      <c r="J120" s="3"/>
      <c r="K120" s="3"/>
    </row>
    <row r="121" s="1" customFormat="1" customHeight="1" spans="1:11">
      <c r="A121" s="2">
        <v>46097</v>
      </c>
      <c r="B121" s="1" t="s">
        <v>9</v>
      </c>
      <c r="C121" s="3">
        <v>30</v>
      </c>
      <c r="D121" s="3"/>
      <c r="E121" s="2"/>
      <c r="F121" s="3"/>
      <c r="G121" s="3"/>
      <c r="H121" s="3"/>
      <c r="I121" s="2"/>
      <c r="J121" s="3"/>
      <c r="K121" s="3"/>
    </row>
    <row r="122" s="1" customFormat="1" customHeight="1" spans="1:11">
      <c r="A122" s="2">
        <v>46098</v>
      </c>
      <c r="B122" s="1" t="s">
        <v>9</v>
      </c>
      <c r="C122" s="3">
        <v>52</v>
      </c>
      <c r="D122" s="3"/>
      <c r="E122" s="2"/>
      <c r="F122" s="3"/>
      <c r="G122" s="3"/>
      <c r="H122" s="3"/>
      <c r="I122" s="2"/>
      <c r="J122" s="3"/>
      <c r="K122" s="3"/>
    </row>
    <row r="123" s="1" customFormat="1" customHeight="1" spans="1:11">
      <c r="A123" s="2">
        <v>46098</v>
      </c>
      <c r="B123" s="1" t="s">
        <v>9</v>
      </c>
      <c r="C123" s="3">
        <v>44</v>
      </c>
      <c r="D123" s="3"/>
      <c r="E123" s="2"/>
      <c r="F123" s="3"/>
      <c r="G123" s="3"/>
      <c r="H123" s="3"/>
      <c r="I123" s="2"/>
      <c r="J123" s="3"/>
      <c r="K123" s="3"/>
    </row>
    <row r="124" s="1" customFormat="1" customHeight="1" spans="1:11">
      <c r="A124" s="2">
        <v>46099</v>
      </c>
      <c r="B124" s="1" t="s">
        <v>9</v>
      </c>
      <c r="C124" s="3">
        <v>95</v>
      </c>
      <c r="D124" s="3"/>
      <c r="E124" s="2"/>
      <c r="F124" s="3"/>
      <c r="G124" s="3"/>
      <c r="H124" s="3"/>
      <c r="I124" s="2"/>
      <c r="J124" s="3"/>
      <c r="K124" s="3"/>
    </row>
    <row r="125" s="1" customFormat="1" customHeight="1" spans="1:11">
      <c r="A125" s="2">
        <v>46099</v>
      </c>
      <c r="B125" s="1" t="s">
        <v>9</v>
      </c>
      <c r="C125" s="3">
        <v>160</v>
      </c>
      <c r="D125" s="3"/>
      <c r="E125" s="2"/>
      <c r="F125" s="3"/>
      <c r="G125" s="3"/>
      <c r="H125" s="3"/>
      <c r="I125" s="2"/>
      <c r="J125" s="3"/>
      <c r="K125" s="3"/>
    </row>
    <row r="126" s="1" customFormat="1" customHeight="1" spans="1:11">
      <c r="A126" s="2">
        <v>46100</v>
      </c>
      <c r="B126" s="1" t="s">
        <v>9</v>
      </c>
      <c r="C126" s="3">
        <v>27</v>
      </c>
      <c r="D126" s="3"/>
      <c r="E126" s="2"/>
      <c r="F126" s="3"/>
      <c r="G126" s="3"/>
      <c r="H126" s="3"/>
      <c r="I126" s="2"/>
      <c r="J126" s="3"/>
      <c r="K126" s="3"/>
    </row>
    <row r="127" s="1" customFormat="1" customHeight="1" spans="1:11">
      <c r="A127" s="2">
        <v>46101</v>
      </c>
      <c r="B127" s="1" t="s">
        <v>9</v>
      </c>
      <c r="C127" s="3">
        <v>25</v>
      </c>
      <c r="D127" s="3"/>
      <c r="E127" s="2"/>
      <c r="F127" s="3"/>
      <c r="G127" s="3"/>
      <c r="H127" s="3"/>
      <c r="I127" s="2"/>
      <c r="J127" s="3"/>
      <c r="K127" s="3"/>
    </row>
    <row r="128" s="1" customFormat="1" customHeight="1" spans="1:11">
      <c r="A128" s="2">
        <v>46102</v>
      </c>
      <c r="B128" s="1" t="s">
        <v>9</v>
      </c>
      <c r="C128" s="3">
        <v>115</v>
      </c>
      <c r="D128" s="3"/>
      <c r="E128" s="2"/>
      <c r="F128" s="3"/>
      <c r="G128" s="3"/>
      <c r="H128" s="3"/>
      <c r="I128" s="2"/>
      <c r="J128" s="3"/>
      <c r="K128" s="3"/>
    </row>
    <row r="129" s="1" customFormat="1" customHeight="1" spans="1:11">
      <c r="A129" s="2">
        <v>46104</v>
      </c>
      <c r="B129" s="1" t="s">
        <v>9</v>
      </c>
      <c r="C129" s="3">
        <v>345</v>
      </c>
      <c r="D129" s="3"/>
      <c r="E129" s="2"/>
      <c r="F129" s="3"/>
      <c r="G129" s="3"/>
      <c r="H129" s="3"/>
      <c r="I129" s="2"/>
      <c r="J129" s="3"/>
      <c r="K129" s="3"/>
    </row>
    <row r="130" s="1" customFormat="1" customHeight="1" spans="1:11">
      <c r="A130" s="2">
        <v>46105</v>
      </c>
      <c r="B130" s="1" t="s">
        <v>9</v>
      </c>
      <c r="C130" s="3">
        <v>208</v>
      </c>
      <c r="D130" s="3"/>
      <c r="E130" s="2"/>
      <c r="F130" s="3"/>
      <c r="G130" s="3"/>
      <c r="H130" s="3"/>
      <c r="I130" s="2"/>
      <c r="J130" s="3"/>
      <c r="K130" s="3"/>
    </row>
    <row r="131" s="1" customFormat="1" customHeight="1" spans="1:11">
      <c r="A131" s="2">
        <v>46108</v>
      </c>
      <c r="B131" s="1" t="s">
        <v>9</v>
      </c>
      <c r="C131" s="3">
        <v>30</v>
      </c>
      <c r="D131" s="3"/>
      <c r="E131" s="2"/>
      <c r="F131" s="3"/>
      <c r="G131" s="3"/>
      <c r="H131" s="3"/>
      <c r="I131" s="2"/>
      <c r="J131" s="3"/>
      <c r="K131" s="3"/>
    </row>
    <row r="132" s="1" customFormat="1" customHeight="1" spans="1:11">
      <c r="A132" s="2">
        <v>46108</v>
      </c>
      <c r="B132" s="1" t="s">
        <v>9</v>
      </c>
      <c r="C132" s="3">
        <v>75</v>
      </c>
      <c r="D132" s="3"/>
      <c r="E132" s="2"/>
      <c r="F132" s="3"/>
      <c r="G132" s="3"/>
      <c r="H132" s="3"/>
      <c r="I132" s="2"/>
      <c r="J132" s="3"/>
      <c r="K132" s="3"/>
    </row>
    <row r="133" s="1" customFormat="1" customHeight="1" spans="1:11">
      <c r="A133" s="2">
        <v>46109</v>
      </c>
      <c r="B133" s="1" t="s">
        <v>9</v>
      </c>
      <c r="C133" s="3">
        <v>166</v>
      </c>
      <c r="D133" s="3"/>
      <c r="E133" s="2"/>
      <c r="F133" s="3"/>
      <c r="G133" s="3"/>
      <c r="H133" s="3"/>
      <c r="I133" s="2"/>
      <c r="J133" s="3"/>
      <c r="K133" s="3"/>
    </row>
    <row r="134" s="1" customFormat="1" customHeight="1" spans="1:11">
      <c r="A134" s="2">
        <v>46109</v>
      </c>
      <c r="B134" s="1" t="s">
        <v>9</v>
      </c>
      <c r="C134" s="3">
        <v>12</v>
      </c>
      <c r="D134" s="3"/>
      <c r="E134" s="2"/>
      <c r="F134" s="3"/>
      <c r="G134" s="3"/>
      <c r="H134" s="3"/>
      <c r="I134" s="2"/>
      <c r="J134" s="3"/>
      <c r="K134" s="3"/>
    </row>
    <row r="135" s="1" customFormat="1" customHeight="1" spans="1:11">
      <c r="A135" s="2">
        <v>46110</v>
      </c>
      <c r="B135" s="1" t="s">
        <v>9</v>
      </c>
      <c r="C135" s="3">
        <v>15</v>
      </c>
      <c r="D135" s="3"/>
      <c r="E135" s="2"/>
      <c r="F135" s="3"/>
      <c r="G135" s="3"/>
      <c r="H135" s="3"/>
      <c r="I135" s="2"/>
      <c r="J135" s="3"/>
      <c r="K135" s="3"/>
    </row>
    <row r="136" s="1" customFormat="1" customHeight="1" spans="1:11">
      <c r="A136" s="2">
        <v>46111</v>
      </c>
      <c r="B136" s="1" t="s">
        <v>9</v>
      </c>
      <c r="C136" s="3">
        <v>15</v>
      </c>
      <c r="D136" s="3"/>
      <c r="E136" s="2"/>
      <c r="F136" s="3"/>
      <c r="G136" s="3"/>
      <c r="H136" s="3"/>
      <c r="I136" s="2"/>
      <c r="J136" s="3"/>
      <c r="K136" s="3"/>
    </row>
    <row r="137" s="1" customFormat="1" customHeight="1" spans="1:11">
      <c r="A137" s="2">
        <v>46111</v>
      </c>
      <c r="B137" s="1" t="s">
        <v>9</v>
      </c>
      <c r="C137" s="3">
        <v>40</v>
      </c>
      <c r="D137" s="3"/>
      <c r="E137" s="2"/>
      <c r="F137" s="3"/>
      <c r="G137" s="3"/>
      <c r="H137" s="3"/>
      <c r="I137" s="2"/>
      <c r="J137" s="3"/>
      <c r="K137" s="3"/>
    </row>
    <row r="138" s="1" customFormat="1" customHeight="1" spans="1:11">
      <c r="A138" s="2">
        <v>46112</v>
      </c>
      <c r="B138" s="1" t="s">
        <v>9</v>
      </c>
      <c r="C138" s="3">
        <v>6</v>
      </c>
      <c r="D138" s="3"/>
      <c r="E138" s="2"/>
      <c r="F138" s="3"/>
      <c r="G138" s="3"/>
      <c r="H138" s="3"/>
      <c r="I138" s="2"/>
      <c r="J138" s="3"/>
      <c r="K138" s="3"/>
    </row>
    <row r="139" s="1" customFormat="1" customHeight="1" spans="1:11">
      <c r="A139" s="2">
        <v>46113</v>
      </c>
      <c r="B139" s="1" t="s">
        <v>9</v>
      </c>
      <c r="C139" s="3">
        <v>15</v>
      </c>
      <c r="D139" s="3"/>
      <c r="E139" s="2"/>
      <c r="F139" s="3"/>
      <c r="G139" s="3"/>
      <c r="H139" s="3"/>
      <c r="I139" s="2"/>
      <c r="J139" s="3"/>
      <c r="K139" s="3"/>
    </row>
    <row r="140" s="1" customFormat="1" customHeight="1" spans="1:11">
      <c r="A140" s="2">
        <v>46114</v>
      </c>
      <c r="B140" s="1" t="s">
        <v>9</v>
      </c>
      <c r="C140" s="3">
        <v>47</v>
      </c>
      <c r="D140" s="3"/>
      <c r="E140" s="2"/>
      <c r="F140" s="3"/>
      <c r="G140" s="3"/>
      <c r="H140" s="3"/>
      <c r="I140" s="2"/>
      <c r="J140" s="3"/>
      <c r="K140" s="3"/>
    </row>
    <row r="141" s="1" customFormat="1" customHeight="1" spans="1:11">
      <c r="A141" s="2">
        <v>46114</v>
      </c>
      <c r="B141" s="1" t="s">
        <v>9</v>
      </c>
      <c r="C141" s="3">
        <v>28</v>
      </c>
      <c r="D141" s="3"/>
      <c r="E141" s="2"/>
      <c r="F141" s="3"/>
      <c r="G141" s="3"/>
      <c r="H141" s="3"/>
      <c r="I141" s="2"/>
      <c r="J141" s="3"/>
      <c r="K141" s="3"/>
    </row>
    <row r="142" s="1" customFormat="1" customHeight="1" spans="1:11">
      <c r="A142" s="2">
        <v>46114</v>
      </c>
      <c r="B142" s="1" t="s">
        <v>9</v>
      </c>
      <c r="C142" s="3">
        <v>94</v>
      </c>
      <c r="D142" s="3"/>
      <c r="E142" s="2"/>
      <c r="F142" s="3"/>
      <c r="G142" s="3"/>
      <c r="H142" s="3"/>
      <c r="I142" s="2"/>
      <c r="J142" s="3"/>
      <c r="K142" s="3"/>
    </row>
    <row r="143" s="1" customFormat="1" customHeight="1" spans="1:11">
      <c r="A143" s="2">
        <v>46122</v>
      </c>
      <c r="B143" s="1" t="s">
        <v>9</v>
      </c>
      <c r="C143" s="3">
        <v>100</v>
      </c>
      <c r="D143" s="3"/>
      <c r="E143" s="2"/>
      <c r="F143" s="3"/>
      <c r="G143" s="3"/>
      <c r="H143" s="3"/>
      <c r="I143" s="2"/>
      <c r="J143" s="3"/>
      <c r="K143" s="3"/>
    </row>
    <row r="144" s="1" customFormat="1" customHeight="1" spans="1:11">
      <c r="A144" s="2">
        <v>46124</v>
      </c>
      <c r="B144" s="1" t="s">
        <v>9</v>
      </c>
      <c r="C144" s="3">
        <v>60</v>
      </c>
      <c r="D144" s="3"/>
      <c r="E144" s="2"/>
      <c r="F144" s="3"/>
      <c r="G144" s="3"/>
      <c r="H144" s="3"/>
      <c r="I144" s="2"/>
      <c r="J144" s="3"/>
      <c r="K144" s="3"/>
    </row>
    <row r="145" s="1" customFormat="1" customHeight="1" spans="1:11">
      <c r="A145" s="2">
        <v>46125</v>
      </c>
      <c r="B145" s="1" t="s">
        <v>9</v>
      </c>
      <c r="C145" s="3">
        <v>90</v>
      </c>
      <c r="D145" s="3"/>
      <c r="E145" s="2"/>
      <c r="F145" s="3"/>
      <c r="G145" s="3"/>
      <c r="H145" s="3"/>
      <c r="I145" s="2"/>
      <c r="J145" s="3"/>
      <c r="K145" s="3"/>
    </row>
    <row r="146" s="1" customFormat="1" customHeight="1" spans="1:11">
      <c r="A146" s="2">
        <v>46127</v>
      </c>
      <c r="B146" s="1" t="s">
        <v>9</v>
      </c>
      <c r="C146" s="3">
        <v>75</v>
      </c>
      <c r="D146" s="3"/>
      <c r="E146" s="2"/>
      <c r="F146" s="3"/>
      <c r="G146" s="3"/>
      <c r="H146" s="3"/>
      <c r="I146" s="2"/>
      <c r="J146" s="3"/>
      <c r="K146" s="3"/>
    </row>
    <row r="147" s="1" customFormat="1" customHeight="1" spans="1:11">
      <c r="A147" s="2">
        <v>46128</v>
      </c>
      <c r="B147" s="1" t="s">
        <v>9</v>
      </c>
      <c r="C147" s="3">
        <v>5</v>
      </c>
      <c r="D147" s="3"/>
      <c r="E147" s="2"/>
      <c r="F147" s="3"/>
      <c r="G147" s="3"/>
      <c r="H147" s="3"/>
      <c r="I147" s="2"/>
      <c r="J147" s="3"/>
      <c r="K147" s="3"/>
    </row>
    <row r="148" s="1" customFormat="1" customHeight="1" spans="1:11">
      <c r="A148" s="2">
        <v>46128</v>
      </c>
      <c r="B148" s="1" t="s">
        <v>9</v>
      </c>
      <c r="C148" s="3">
        <v>40</v>
      </c>
      <c r="D148" s="3"/>
      <c r="E148" s="2"/>
      <c r="F148" s="3"/>
      <c r="G148" s="3"/>
      <c r="H148" s="3"/>
      <c r="I148" s="2"/>
      <c r="J148" s="3"/>
      <c r="K148" s="3"/>
    </row>
    <row r="149" s="1" customFormat="1" customHeight="1" spans="1:11">
      <c r="A149" s="2">
        <v>46129</v>
      </c>
      <c r="B149" s="1" t="s">
        <v>9</v>
      </c>
      <c r="C149" s="3">
        <v>295</v>
      </c>
      <c r="D149" s="3"/>
      <c r="E149" s="2"/>
      <c r="F149" s="3"/>
      <c r="G149" s="3"/>
      <c r="H149" s="3"/>
      <c r="I149" s="2"/>
      <c r="J149" s="3"/>
      <c r="K149" s="3"/>
    </row>
    <row r="150" s="1" customFormat="1" customHeight="1" spans="1:11">
      <c r="A150" s="2">
        <v>46129</v>
      </c>
      <c r="B150" s="1" t="s">
        <v>9</v>
      </c>
      <c r="C150" s="3">
        <v>30</v>
      </c>
      <c r="D150" s="3"/>
      <c r="E150" s="2"/>
      <c r="F150" s="3"/>
      <c r="G150" s="3"/>
      <c r="H150" s="3"/>
      <c r="I150" s="2"/>
      <c r="J150" s="3"/>
      <c r="K150" s="3"/>
    </row>
    <row r="151" s="1" customFormat="1" customHeight="1" spans="1:11">
      <c r="A151" s="2">
        <v>46133</v>
      </c>
      <c r="B151" s="1" t="s">
        <v>9</v>
      </c>
      <c r="C151" s="3">
        <v>26</v>
      </c>
      <c r="D151" s="3"/>
      <c r="E151" s="2"/>
      <c r="F151" s="3"/>
      <c r="G151" s="3"/>
      <c r="H151" s="3"/>
      <c r="I151" s="2"/>
      <c r="J151" s="3"/>
      <c r="K151" s="3"/>
    </row>
    <row r="152" s="1" customFormat="1" customHeight="1" spans="1:11">
      <c r="A152" s="2">
        <v>46149</v>
      </c>
      <c r="B152" s="1" t="s">
        <v>9</v>
      </c>
      <c r="C152" s="3">
        <v>10</v>
      </c>
      <c r="D152" s="3"/>
      <c r="E152" s="2"/>
      <c r="F152" s="3"/>
      <c r="G152" s="3"/>
      <c r="H152" s="3"/>
      <c r="I152" s="2"/>
      <c r="J152" s="3"/>
      <c r="K152" s="3"/>
    </row>
    <row r="153" s="1" customFormat="1" customHeight="1" spans="1:11">
      <c r="A153" s="2">
        <v>46150</v>
      </c>
      <c r="B153" s="1" t="s">
        <v>9</v>
      </c>
      <c r="C153" s="3">
        <v>8</v>
      </c>
      <c r="D153" s="3"/>
      <c r="E153" s="2"/>
      <c r="F153" s="3"/>
      <c r="G153" s="3"/>
      <c r="H153" s="3"/>
      <c r="I153" s="2"/>
      <c r="J153" s="3"/>
      <c r="K153" s="3"/>
    </row>
    <row r="154" s="1" customFormat="1" customHeight="1" spans="1:11">
      <c r="A154" s="2">
        <v>46152</v>
      </c>
      <c r="B154" s="1" t="s">
        <v>9</v>
      </c>
      <c r="C154" s="3">
        <v>21</v>
      </c>
      <c r="D154" s="3"/>
      <c r="E154" s="2"/>
      <c r="F154" s="3"/>
      <c r="G154" s="3"/>
      <c r="H154" s="3"/>
      <c r="I154" s="2"/>
      <c r="J154" s="3"/>
      <c r="K154" s="3"/>
    </row>
    <row r="155" s="1" customFormat="1" customHeight="1" spans="1:11">
      <c r="A155" s="2">
        <v>46153</v>
      </c>
      <c r="B155" s="1" t="s">
        <v>9</v>
      </c>
      <c r="C155" s="3">
        <v>15</v>
      </c>
      <c r="D155" s="3"/>
      <c r="E155" s="2"/>
      <c r="F155" s="3"/>
      <c r="G155" s="3"/>
      <c r="H155" s="3"/>
      <c r="I155" s="2"/>
      <c r="J155" s="3"/>
      <c r="K155" s="3"/>
    </row>
    <row r="156" s="1" customFormat="1" customHeight="1" spans="1:11">
      <c r="A156" s="2">
        <v>46158</v>
      </c>
      <c r="B156" s="1" t="s">
        <v>9</v>
      </c>
      <c r="C156" s="3">
        <v>50</v>
      </c>
      <c r="D156" s="3"/>
      <c r="E156" s="2"/>
      <c r="F156" s="3"/>
      <c r="G156" s="3"/>
      <c r="H156" s="3"/>
      <c r="I156" s="2"/>
      <c r="J156" s="3"/>
      <c r="K156" s="3"/>
    </row>
    <row r="157" s="1" customFormat="1" customHeight="1" spans="1:11">
      <c r="A157" s="2">
        <v>46162</v>
      </c>
      <c r="B157" s="1" t="s">
        <v>9</v>
      </c>
      <c r="C157" s="3">
        <v>95</v>
      </c>
      <c r="D157" s="3"/>
      <c r="E157" s="2"/>
      <c r="F157" s="3"/>
      <c r="G157" s="3"/>
      <c r="H157" s="3"/>
      <c r="I157" s="2"/>
      <c r="J157" s="3"/>
      <c r="K157" s="3"/>
    </row>
    <row r="158" s="1" customFormat="1" customHeight="1" spans="1:11">
      <c r="A158" s="2">
        <v>46165</v>
      </c>
      <c r="B158" s="1" t="s">
        <v>9</v>
      </c>
      <c r="C158" s="3">
        <v>45</v>
      </c>
      <c r="D158" s="3"/>
      <c r="E158" s="2"/>
      <c r="F158" s="3"/>
      <c r="G158" s="3"/>
      <c r="H158" s="3"/>
      <c r="I158" s="2"/>
      <c r="J158" s="3"/>
      <c r="K158" s="3"/>
    </row>
    <row r="159" s="1" customFormat="1" customHeight="1" spans="1:11">
      <c r="A159" s="2">
        <v>46171</v>
      </c>
      <c r="B159" s="1" t="s">
        <v>9</v>
      </c>
      <c r="C159" s="3">
        <v>5</v>
      </c>
      <c r="D159" s="3"/>
      <c r="E159" s="2"/>
      <c r="F159" s="3"/>
      <c r="G159" s="3"/>
      <c r="H159" s="3"/>
      <c r="I159" s="2"/>
      <c r="J159" s="3"/>
      <c r="K159" s="3"/>
    </row>
    <row r="160" s="1" customFormat="1" customHeight="1" spans="1:11">
      <c r="A160" s="2">
        <v>46171</v>
      </c>
      <c r="B160" s="1" t="s">
        <v>9</v>
      </c>
      <c r="C160" s="3">
        <v>45</v>
      </c>
      <c r="D160" s="3"/>
      <c r="E160" s="2"/>
      <c r="F160" s="3"/>
      <c r="G160" s="3"/>
      <c r="H160" s="3"/>
      <c r="I160" s="2"/>
      <c r="J160" s="3"/>
      <c r="K160" s="3"/>
    </row>
    <row r="161" s="1" customFormat="1" customHeight="1" spans="1:11">
      <c r="A161" s="2">
        <v>46185</v>
      </c>
      <c r="B161" s="1" t="s">
        <v>9</v>
      </c>
      <c r="C161" s="3">
        <v>60</v>
      </c>
      <c r="D161" s="3"/>
      <c r="E161" s="2"/>
      <c r="F161" s="3"/>
      <c r="G161" s="3"/>
      <c r="H161" s="3"/>
      <c r="I161" s="2"/>
      <c r="J161" s="3"/>
      <c r="K161" s="3"/>
    </row>
    <row r="162" s="1" customFormat="1" customHeight="1" spans="1:11">
      <c r="A162" s="2">
        <v>46189</v>
      </c>
      <c r="B162" s="1" t="s">
        <v>9</v>
      </c>
      <c r="C162" s="3">
        <v>23</v>
      </c>
      <c r="D162" s="3"/>
      <c r="E162" s="2"/>
      <c r="F162" s="3"/>
      <c r="G162" s="3"/>
      <c r="H162" s="3"/>
      <c r="I162" s="2"/>
      <c r="J162" s="3"/>
      <c r="K162" s="3"/>
    </row>
    <row r="163" s="1" customFormat="1" customHeight="1" spans="1:11">
      <c r="A163" s="2">
        <v>46191</v>
      </c>
      <c r="B163" s="1" t="s">
        <v>9</v>
      </c>
      <c r="C163" s="3">
        <v>130</v>
      </c>
      <c r="D163" s="3"/>
      <c r="E163" s="2"/>
      <c r="F163" s="3"/>
      <c r="G163" s="3"/>
      <c r="H163" s="3"/>
      <c r="I163" s="2"/>
      <c r="J163" s="3"/>
      <c r="K163" s="3"/>
    </row>
    <row r="164" s="1" customFormat="1" customHeight="1" spans="1:11">
      <c r="A164" s="2">
        <v>46195</v>
      </c>
      <c r="B164" s="1" t="s">
        <v>9</v>
      </c>
      <c r="C164" s="3">
        <v>140</v>
      </c>
      <c r="D164" s="3"/>
      <c r="E164" s="2"/>
      <c r="F164" s="3"/>
      <c r="G164" s="3"/>
      <c r="H164" s="3"/>
      <c r="I164" s="2"/>
      <c r="J164" s="3"/>
      <c r="K164" s="3"/>
    </row>
    <row r="165" s="1" customFormat="1" customHeight="1" spans="1:11">
      <c r="A165" s="2">
        <v>46196</v>
      </c>
      <c r="B165" s="1" t="s">
        <v>9</v>
      </c>
      <c r="C165" s="3">
        <v>10</v>
      </c>
      <c r="D165" s="3"/>
      <c r="E165" s="2"/>
      <c r="F165" s="3"/>
      <c r="G165" s="3"/>
      <c r="H165" s="3"/>
      <c r="I165" s="2"/>
      <c r="J165" s="3"/>
      <c r="K165" s="3"/>
    </row>
    <row r="166" s="1" customFormat="1" customHeight="1" spans="1:11">
      <c r="A166" s="2">
        <v>46199</v>
      </c>
      <c r="B166" s="1" t="s">
        <v>9</v>
      </c>
      <c r="C166" s="3">
        <v>15</v>
      </c>
      <c r="D166" s="3"/>
      <c r="E166" s="2"/>
      <c r="F166" s="3"/>
      <c r="G166" s="3"/>
      <c r="H166" s="3"/>
      <c r="I166" s="2"/>
      <c r="J166" s="3"/>
      <c r="K166" s="3"/>
    </row>
    <row r="167" s="1" customFormat="1" customHeight="1" spans="1:11">
      <c r="A167" s="2">
        <v>46202</v>
      </c>
      <c r="B167" s="1" t="s">
        <v>9</v>
      </c>
      <c r="C167" s="3">
        <v>10</v>
      </c>
      <c r="D167" s="3"/>
      <c r="E167" s="2"/>
      <c r="F167" s="3"/>
      <c r="G167" s="3"/>
      <c r="H167" s="3"/>
      <c r="I167" s="2"/>
      <c r="J167" s="3"/>
      <c r="K167" s="3"/>
    </row>
    <row r="168" s="1" customFormat="1" customHeight="1" spans="1:11">
      <c r="A168" s="2">
        <v>46204</v>
      </c>
      <c r="B168" s="1" t="s">
        <v>9</v>
      </c>
      <c r="C168" s="3">
        <v>61</v>
      </c>
      <c r="D168" s="3"/>
      <c r="E168" s="2"/>
      <c r="F168" s="3"/>
      <c r="G168" s="3"/>
      <c r="H168" s="3"/>
      <c r="I168" s="2"/>
      <c r="J168" s="3"/>
      <c r="K168" s="3"/>
    </row>
    <row r="169" s="1" customFormat="1" customHeight="1" spans="1:11">
      <c r="A169" s="2">
        <v>46206</v>
      </c>
      <c r="B169" s="1" t="s">
        <v>9</v>
      </c>
      <c r="C169" s="3">
        <v>10</v>
      </c>
      <c r="D169" s="3"/>
      <c r="E169" s="2"/>
      <c r="F169" s="3"/>
      <c r="G169" s="3"/>
      <c r="H169" s="3"/>
      <c r="I169" s="2"/>
      <c r="J169" s="3"/>
      <c r="K169" s="3"/>
    </row>
    <row r="170" s="1" customFormat="1" customHeight="1" spans="1:11">
      <c r="A170" s="2">
        <v>46206</v>
      </c>
      <c r="B170" s="1" t="s">
        <v>9</v>
      </c>
      <c r="C170" s="3">
        <v>65</v>
      </c>
      <c r="D170" s="3"/>
      <c r="E170" s="2"/>
      <c r="F170" s="3"/>
      <c r="G170" s="3"/>
      <c r="H170" s="3"/>
      <c r="I170" s="2"/>
      <c r="J170" s="3"/>
      <c r="K170" s="3"/>
    </row>
    <row r="171" s="1" customFormat="1" customHeight="1" spans="1:11">
      <c r="A171" s="2">
        <v>46219</v>
      </c>
      <c r="B171" s="1" t="s">
        <v>9</v>
      </c>
      <c r="C171" s="3">
        <v>45</v>
      </c>
      <c r="D171" s="3"/>
      <c r="E171" s="2"/>
      <c r="F171" s="3"/>
      <c r="G171" s="3"/>
      <c r="H171" s="3"/>
      <c r="I171" s="2"/>
      <c r="J171" s="3"/>
      <c r="K171" s="3"/>
    </row>
    <row r="172" s="1" customFormat="1" customHeight="1" spans="1:11">
      <c r="A172" s="2">
        <v>46227</v>
      </c>
      <c r="B172" s="1" t="s">
        <v>9</v>
      </c>
      <c r="C172" s="3">
        <v>24</v>
      </c>
      <c r="D172" s="3"/>
      <c r="E172" s="2"/>
      <c r="F172" s="3"/>
      <c r="G172" s="3"/>
      <c r="H172" s="3"/>
      <c r="I172" s="2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2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2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2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2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2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2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2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2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2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2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2"/>
      <c r="J183" s="3"/>
      <c r="K183" s="3"/>
    </row>
  </sheetData>
  <autoFilter xmlns:etc="http://www.wps.cn/officeDocument/2017/etCustomData" ref="A1:L172" etc:filterBottomFollowUsedRange="0">
    <extLst/>
  </autoFilter>
  <conditionalFormatting sqref="N10">
    <cfRule type="expression" dxfId="0" priority="4">
      <formula>$A3&lt;&gt;""</formula>
    </cfRule>
  </conditionalFormatting>
  <conditionalFormatting sqref="A1048576:L1048576">
    <cfRule type="expression" dxfId="0" priority="5">
      <formula>$A1048576&lt;&gt;""</formula>
    </cfRule>
    <cfRule type="expression" dxfId="0" priority="6">
      <formula>$A1&lt;&gt;""</formula>
    </cfRule>
  </conditionalFormatting>
  <conditionalFormatting sqref="A1:L1048575">
    <cfRule type="expression" dxfId="0" priority="1">
      <formula>$A1&lt;&gt;""</formula>
    </cfRule>
    <cfRule type="expression" dxfId="0" priority="3">
      <formula>$A2&lt;&gt;""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D3" sqref="D3:D10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5.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 t="s">
        <v>67</v>
      </c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6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10338</v>
      </c>
      <c r="P2" s="1">
        <v>10338</v>
      </c>
    </row>
    <row r="3" s="1" customFormat="1" customHeight="1" spans="1:16">
      <c r="A3" s="12">
        <v>45954</v>
      </c>
      <c r="B3" s="13" t="s">
        <v>9</v>
      </c>
      <c r="C3" s="14">
        <v>2722</v>
      </c>
      <c r="D3" s="14">
        <v>2722</v>
      </c>
      <c r="E3" s="12">
        <v>45954</v>
      </c>
      <c r="F3" s="14" t="s">
        <v>35</v>
      </c>
      <c r="G3" s="14" t="s">
        <v>67</v>
      </c>
      <c r="H3" s="14"/>
      <c r="I3" s="14"/>
      <c r="J3" s="14"/>
      <c r="K3" s="14"/>
      <c r="L3" s="13"/>
      <c r="N3" s="1" t="str">
        <v>抚州1号楼</v>
      </c>
      <c r="O3" s="1">
        <v>10068</v>
      </c>
      <c r="P3" s="1">
        <v>10068</v>
      </c>
    </row>
    <row r="4" s="1" customFormat="1" customHeight="1" spans="1:16">
      <c r="A4" s="12">
        <v>45955</v>
      </c>
      <c r="B4" s="13" t="s">
        <v>9</v>
      </c>
      <c r="C4" s="14">
        <v>2720</v>
      </c>
      <c r="D4" s="14">
        <v>2720</v>
      </c>
      <c r="E4" s="12">
        <v>45955</v>
      </c>
      <c r="F4" s="14" t="s">
        <v>35</v>
      </c>
      <c r="G4" s="14" t="s">
        <v>67</v>
      </c>
      <c r="H4" s="14"/>
      <c r="I4" s="14"/>
      <c r="J4" s="14"/>
      <c r="K4" s="14"/>
      <c r="L4" s="13"/>
      <c r="N4" s="1" t="str">
        <v>抚州8号楼</v>
      </c>
      <c r="O4" s="1">
        <v>5984</v>
      </c>
      <c r="P4" s="1">
        <v>5984</v>
      </c>
    </row>
    <row r="5" s="1" customFormat="1" customHeight="1" spans="1:16">
      <c r="A5" s="12">
        <v>45978</v>
      </c>
      <c r="B5" s="13" t="s">
        <v>14</v>
      </c>
      <c r="C5" s="14">
        <v>10068</v>
      </c>
      <c r="D5" s="14">
        <v>10068</v>
      </c>
      <c r="E5" s="12">
        <v>45978</v>
      </c>
      <c r="F5" s="14" t="s">
        <v>35</v>
      </c>
      <c r="G5" s="14" t="s">
        <v>67</v>
      </c>
      <c r="H5" s="14"/>
      <c r="I5" s="14"/>
      <c r="J5" s="14"/>
      <c r="K5" s="14"/>
      <c r="L5" s="13"/>
      <c r="N5" s="1" t="str">
        <v>科创中心</v>
      </c>
      <c r="O5" s="1">
        <v>10121</v>
      </c>
      <c r="P5" s="1">
        <v>10121</v>
      </c>
    </row>
    <row r="6" s="1" customFormat="1" customHeight="1" spans="1:16">
      <c r="A6" s="12">
        <v>45978</v>
      </c>
      <c r="B6" s="13" t="s">
        <v>9</v>
      </c>
      <c r="C6" s="14">
        <v>4896</v>
      </c>
      <c r="D6" s="14">
        <v>4896</v>
      </c>
      <c r="E6" s="12">
        <v>45978</v>
      </c>
      <c r="F6" s="14" t="s">
        <v>35</v>
      </c>
      <c r="G6" s="14" t="s">
        <v>67</v>
      </c>
      <c r="H6" s="14"/>
      <c r="I6" s="14"/>
      <c r="J6" s="14"/>
      <c r="K6" s="14"/>
      <c r="L6" s="13"/>
      <c r="N6" s="1" t="str">
        <v>总计</v>
      </c>
      <c r="O6" s="1">
        <v>36511</v>
      </c>
      <c r="P6" s="1">
        <v>36511</v>
      </c>
    </row>
    <row r="7" s="1" customFormat="1" customHeight="1" spans="1:16">
      <c r="A7" s="12">
        <v>46029</v>
      </c>
      <c r="B7" s="13" t="s">
        <v>10</v>
      </c>
      <c r="C7" s="14">
        <v>10121</v>
      </c>
      <c r="D7" s="14">
        <v>10121</v>
      </c>
      <c r="E7" s="12">
        <v>46029</v>
      </c>
      <c r="F7" s="14" t="s">
        <v>35</v>
      </c>
      <c r="G7" s="14" t="s">
        <v>67</v>
      </c>
      <c r="H7" s="14"/>
      <c r="I7" s="14"/>
      <c r="J7" s="14"/>
      <c r="K7" s="14"/>
      <c r="L7" s="13"/>
    </row>
    <row r="8" s="1" customFormat="1" customHeight="1" spans="1:16">
      <c r="A8" s="12">
        <v>46042</v>
      </c>
      <c r="B8" s="13" t="s">
        <v>15</v>
      </c>
      <c r="C8" s="14">
        <v>2992</v>
      </c>
      <c r="D8" s="14">
        <v>2992</v>
      </c>
      <c r="E8" s="12">
        <v>46042</v>
      </c>
      <c r="F8" s="14" t="s">
        <v>35</v>
      </c>
      <c r="G8" s="14" t="s">
        <v>67</v>
      </c>
      <c r="H8" s="14"/>
      <c r="I8" s="14"/>
      <c r="J8" s="14"/>
      <c r="K8" s="14"/>
      <c r="L8" s="13"/>
    </row>
    <row r="9" s="1" customFormat="1" customHeight="1" spans="1:16">
      <c r="A9" s="12">
        <v>46093</v>
      </c>
      <c r="B9" s="13" t="s">
        <v>15</v>
      </c>
      <c r="C9" s="14">
        <v>2992</v>
      </c>
      <c r="D9" s="14">
        <v>2992</v>
      </c>
      <c r="E9" s="12">
        <v>46093</v>
      </c>
      <c r="F9" s="14" t="s">
        <v>35</v>
      </c>
      <c r="G9" s="14" t="s">
        <v>67</v>
      </c>
      <c r="H9" s="14"/>
      <c r="I9" s="14"/>
      <c r="J9" s="14"/>
      <c r="K9" s="14"/>
      <c r="L9" s="13"/>
    </row>
    <row r="10" s="1" customFormat="1" customHeight="1" spans="1:16">
      <c r="A10" s="12">
        <v>46091</v>
      </c>
      <c r="B10" s="13" t="s">
        <v>15</v>
      </c>
      <c r="C10" s="14">
        <v>2992</v>
      </c>
      <c r="D10" s="14">
        <v>2992</v>
      </c>
      <c r="E10" s="12">
        <v>46091</v>
      </c>
      <c r="F10" s="14" t="s">
        <v>68</v>
      </c>
      <c r="G10" s="14" t="s">
        <v>67</v>
      </c>
      <c r="H10" s="14"/>
      <c r="I10" s="14"/>
      <c r="J10" s="14"/>
      <c r="K10" s="14"/>
      <c r="L10" s="13"/>
    </row>
    <row r="11" s="1" customFormat="1" customHeight="1" spans="1:16">
      <c r="A11" s="12">
        <v>46092</v>
      </c>
      <c r="B11" s="13" t="s">
        <v>15</v>
      </c>
      <c r="C11" s="14">
        <v>-2992</v>
      </c>
      <c r="D11" s="14">
        <v>-2992</v>
      </c>
      <c r="E11" s="12">
        <v>46092</v>
      </c>
      <c r="F11" s="14" t="s">
        <v>68</v>
      </c>
      <c r="G11" s="14" t="s">
        <v>67</v>
      </c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4">
      <formula>$A3&lt;&gt;""</formula>
    </cfRule>
  </conditionalFormatting>
  <conditionalFormatting sqref="A1048576:L1048576">
    <cfRule type="expression" dxfId="0" priority="5">
      <formula>$A1048576&lt;&gt;""</formula>
    </cfRule>
    <cfRule type="expression" dxfId="0" priority="6">
      <formula>$A1&lt;&gt;""</formula>
    </cfRule>
  </conditionalFormatting>
  <conditionalFormatting sqref="A1:L1048575">
    <cfRule type="expression" dxfId="0" priority="1">
      <formula>$A1&lt;&gt;""</formula>
    </cfRule>
    <cfRule type="expression" dxfId="0" priority="3">
      <formula>$A2&lt;&gt;""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topLeftCell="B1"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2.725" style="3" customWidth="1"/>
    <col min="7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 t="s">
        <v>69</v>
      </c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4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24954</v>
      </c>
      <c r="P2" s="1">
        <v>24954</v>
      </c>
    </row>
    <row r="3" s="1" customFormat="1" customHeight="1" spans="1:16">
      <c r="A3" s="12">
        <v>45960</v>
      </c>
      <c r="B3" s="13" t="s">
        <v>9</v>
      </c>
      <c r="C3" s="14">
        <v>12954</v>
      </c>
      <c r="D3" s="14">
        <v>12954</v>
      </c>
      <c r="E3" s="12">
        <v>45960</v>
      </c>
      <c r="F3" s="14" t="s">
        <v>35</v>
      </c>
      <c r="G3" s="24" t="s">
        <v>69</v>
      </c>
      <c r="H3" s="14"/>
      <c r="I3" s="14"/>
      <c r="J3" s="14"/>
      <c r="K3" s="14"/>
      <c r="L3" s="13"/>
      <c r="N3" s="1" t="str">
        <v>抚州1号楼</v>
      </c>
      <c r="O3" s="1">
        <v>9720</v>
      </c>
      <c r="P3" s="1">
        <v>9720</v>
      </c>
    </row>
    <row r="4" s="1" customFormat="1" customHeight="1" spans="1:16">
      <c r="A4" s="12">
        <v>45980</v>
      </c>
      <c r="B4" s="13" t="s">
        <v>9</v>
      </c>
      <c r="C4" s="14">
        <v>12000</v>
      </c>
      <c r="D4" s="14">
        <v>12000</v>
      </c>
      <c r="E4" s="12">
        <v>45980</v>
      </c>
      <c r="F4" s="14" t="s">
        <v>35</v>
      </c>
      <c r="G4" s="24" t="s">
        <v>69</v>
      </c>
      <c r="H4" s="14"/>
      <c r="I4" s="14"/>
      <c r="J4" s="14"/>
      <c r="K4" s="14"/>
      <c r="L4" s="13"/>
      <c r="N4" s="1" t="str">
        <v>总计</v>
      </c>
      <c r="O4" s="1">
        <v>34674</v>
      </c>
      <c r="P4" s="1">
        <v>34674</v>
      </c>
    </row>
    <row r="5" s="1" customFormat="1" customHeight="1" spans="1:16">
      <c r="A5" s="12">
        <v>45990</v>
      </c>
      <c r="B5" s="13" t="s">
        <v>14</v>
      </c>
      <c r="C5" s="14">
        <v>4860</v>
      </c>
      <c r="D5" s="14">
        <v>4860</v>
      </c>
      <c r="E5" s="12">
        <v>45990</v>
      </c>
      <c r="F5" s="14" t="s">
        <v>35</v>
      </c>
      <c r="G5" s="24" t="s">
        <v>69</v>
      </c>
      <c r="H5" s="14"/>
      <c r="I5" s="14"/>
      <c r="J5" s="14"/>
      <c r="K5" s="14"/>
      <c r="L5" s="13"/>
    </row>
    <row r="6" s="1" customFormat="1" customHeight="1" spans="1:16">
      <c r="A6" s="12">
        <v>46042</v>
      </c>
      <c r="B6" s="13" t="s">
        <v>14</v>
      </c>
      <c r="C6" s="14">
        <v>4860</v>
      </c>
      <c r="D6" s="14">
        <v>4860</v>
      </c>
      <c r="E6" s="12">
        <v>46042</v>
      </c>
      <c r="F6" s="14" t="s">
        <v>35</v>
      </c>
      <c r="G6" s="24" t="s">
        <v>69</v>
      </c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4">
      <formula>$A3&lt;&gt;""</formula>
    </cfRule>
  </conditionalFormatting>
  <conditionalFormatting sqref="A1048576:L1048576">
    <cfRule type="expression" dxfId="0" priority="5">
      <formula>$A1048576&lt;&gt;""</formula>
    </cfRule>
    <cfRule type="expression" dxfId="0" priority="6">
      <formula>$A1&lt;&gt;""</formula>
    </cfRule>
  </conditionalFormatting>
  <conditionalFormatting sqref="A1:L1048575">
    <cfRule type="expression" dxfId="0" priority="1">
      <formula>$A1&lt;&gt;""</formula>
    </cfRule>
    <cfRule type="expression" dxfId="0" priority="3">
      <formula>$A2&lt;&gt;""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topLeftCell="B1"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6.375" style="3" customWidth="1"/>
    <col min="8" max="9" width="14.0916666666667" style="3" customWidth="1"/>
    <col min="10" max="10" width="9.09166666666667" style="3" customWidth="1"/>
    <col min="11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4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38175.4</v>
      </c>
      <c r="P2" s="1">
        <v>38175.4</v>
      </c>
    </row>
    <row r="3" s="1" customFormat="1" customHeight="1" spans="1:16">
      <c r="A3" s="12">
        <v>45975</v>
      </c>
      <c r="B3" s="13" t="s">
        <v>9</v>
      </c>
      <c r="C3" s="14">
        <v>5000</v>
      </c>
      <c r="D3" s="14">
        <v>5000</v>
      </c>
      <c r="E3" s="12">
        <v>45975</v>
      </c>
      <c r="F3" s="14" t="s">
        <v>35</v>
      </c>
      <c r="G3" s="14" t="s">
        <v>70</v>
      </c>
      <c r="H3" s="14"/>
      <c r="I3" s="14"/>
      <c r="J3" s="14"/>
      <c r="K3" s="14"/>
      <c r="L3" s="13"/>
      <c r="N3" s="1" t="str">
        <v>抚州1号楼</v>
      </c>
      <c r="O3" s="1">
        <v>36632</v>
      </c>
      <c r="P3" s="1">
        <v>36632</v>
      </c>
    </row>
    <row r="4" s="1" customFormat="1" customHeight="1" spans="1:16">
      <c r="A4" s="12">
        <v>45975</v>
      </c>
      <c r="B4" s="13" t="s">
        <v>9</v>
      </c>
      <c r="C4" s="14">
        <v>-5000</v>
      </c>
      <c r="D4" s="14">
        <v>-5000</v>
      </c>
      <c r="E4" s="12">
        <v>45975</v>
      </c>
      <c r="F4" s="14" t="s">
        <v>35</v>
      </c>
      <c r="G4" s="14" t="s">
        <v>70</v>
      </c>
      <c r="H4" s="14"/>
      <c r="I4" s="14"/>
      <c r="J4" s="14"/>
      <c r="K4" s="14"/>
      <c r="L4" s="13"/>
      <c r="N4" s="1" t="str">
        <v>总计</v>
      </c>
      <c r="O4" s="1">
        <v>74807.4</v>
      </c>
      <c r="P4" s="1">
        <v>74807.4</v>
      </c>
    </row>
    <row r="5" s="1" customFormat="1" customHeight="1" spans="1:16">
      <c r="A5" s="12">
        <v>45975</v>
      </c>
      <c r="B5" s="13" t="s">
        <v>9</v>
      </c>
      <c r="C5" s="14">
        <v>5000</v>
      </c>
      <c r="D5" s="14">
        <v>5000</v>
      </c>
      <c r="E5" s="12">
        <v>45975</v>
      </c>
      <c r="F5" s="14" t="s">
        <v>35</v>
      </c>
      <c r="G5" s="14" t="s">
        <v>70</v>
      </c>
      <c r="H5" s="14"/>
      <c r="I5" s="14"/>
      <c r="J5" s="14"/>
      <c r="K5" s="14"/>
      <c r="L5" s="13"/>
    </row>
    <row r="6" s="1" customFormat="1" customHeight="1" spans="1:16">
      <c r="A6" s="12">
        <v>45980</v>
      </c>
      <c r="B6" s="13" t="s">
        <v>9</v>
      </c>
      <c r="C6" s="14">
        <v>27502.4</v>
      </c>
      <c r="D6" s="14">
        <v>27502.4</v>
      </c>
      <c r="E6" s="12">
        <v>45980</v>
      </c>
      <c r="F6" s="14" t="s">
        <v>35</v>
      </c>
      <c r="G6" s="14" t="s">
        <v>70</v>
      </c>
      <c r="H6" s="14"/>
      <c r="I6" s="14"/>
      <c r="J6" s="14"/>
      <c r="K6" s="14"/>
      <c r="L6" s="13"/>
    </row>
    <row r="7" s="1" customFormat="1" customHeight="1" spans="1:16">
      <c r="A7" s="12">
        <v>46027</v>
      </c>
      <c r="B7" s="13" t="s">
        <v>14</v>
      </c>
      <c r="C7" s="14">
        <v>36632</v>
      </c>
      <c r="D7" s="14">
        <v>36632</v>
      </c>
      <c r="E7" s="12">
        <v>46027</v>
      </c>
      <c r="F7" s="14" t="s">
        <v>35</v>
      </c>
      <c r="G7" s="14" t="s">
        <v>70</v>
      </c>
      <c r="H7" s="14"/>
      <c r="I7" s="14"/>
      <c r="J7" s="14"/>
      <c r="K7" s="14"/>
      <c r="L7" s="13"/>
    </row>
    <row r="8" s="1" customFormat="1" customHeight="1" spans="1:16">
      <c r="A8" s="12">
        <v>46069</v>
      </c>
      <c r="B8" s="13" t="s">
        <v>9</v>
      </c>
      <c r="C8" s="14">
        <v>5673</v>
      </c>
      <c r="D8" s="14">
        <v>5673</v>
      </c>
      <c r="E8" s="12">
        <v>46069</v>
      </c>
      <c r="F8" s="14" t="s">
        <v>35</v>
      </c>
      <c r="G8" s="14" t="s">
        <v>70</v>
      </c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4">
      <formula>$A3&lt;&gt;""</formula>
    </cfRule>
  </conditionalFormatting>
  <conditionalFormatting sqref="A1048576:L1048576">
    <cfRule type="expression" dxfId="0" priority="5">
      <formula>$A1048576&lt;&gt;""</formula>
    </cfRule>
    <cfRule type="expression" dxfId="0" priority="6">
      <formula>$A1&lt;&gt;""</formula>
    </cfRule>
  </conditionalFormatting>
  <conditionalFormatting sqref="A1:L1048575">
    <cfRule type="expression" dxfId="0" priority="1">
      <formula>$A1&lt;&gt;""</formula>
    </cfRule>
    <cfRule type="expression" dxfId="0" priority="3">
      <formula>$A2&lt;&gt;""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E11" sqref="E1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5.2583333333333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45881</v>
      </c>
      <c r="P2" s="1">
        <v>45881</v>
      </c>
    </row>
    <row r="3" s="1" customFormat="1" customHeight="1" spans="1:16">
      <c r="A3" s="12">
        <v>45962</v>
      </c>
      <c r="B3" s="13" t="s">
        <v>9</v>
      </c>
      <c r="C3" s="14">
        <v>11558</v>
      </c>
      <c r="D3" s="14">
        <v>5900</v>
      </c>
      <c r="E3" s="12">
        <v>45968</v>
      </c>
      <c r="F3" s="14" t="s">
        <v>35</v>
      </c>
      <c r="G3" s="14" t="s">
        <v>71</v>
      </c>
      <c r="H3" s="14"/>
      <c r="I3" s="14"/>
      <c r="J3" s="14"/>
      <c r="K3" s="14"/>
      <c r="L3" s="13"/>
      <c r="N3" s="1" t="str">
        <v>总计</v>
      </c>
      <c r="O3" s="1">
        <v>45881</v>
      </c>
      <c r="P3" s="1">
        <v>45881</v>
      </c>
    </row>
    <row r="4" s="1" customFormat="1" customHeight="1" spans="1:16">
      <c r="A4" s="12">
        <v>45965</v>
      </c>
      <c r="B4" s="13" t="s">
        <v>9</v>
      </c>
      <c r="C4" s="14">
        <v>6330</v>
      </c>
      <c r="D4" s="14">
        <v>13748</v>
      </c>
      <c r="E4" s="12">
        <v>45973</v>
      </c>
      <c r="F4" s="14" t="s">
        <v>35</v>
      </c>
      <c r="G4" s="14" t="s">
        <v>71</v>
      </c>
      <c r="H4" s="14"/>
      <c r="I4" s="14"/>
      <c r="J4" s="14"/>
      <c r="K4" s="14"/>
      <c r="L4" s="13"/>
    </row>
    <row r="5" s="1" customFormat="1" customHeight="1" spans="1:16">
      <c r="A5" s="12">
        <v>45965</v>
      </c>
      <c r="B5" s="13" t="s">
        <v>9</v>
      </c>
      <c r="C5" s="14">
        <v>1760</v>
      </c>
      <c r="D5" s="14">
        <v>26233</v>
      </c>
      <c r="E5" s="12">
        <v>45978</v>
      </c>
      <c r="F5" s="14" t="s">
        <v>35</v>
      </c>
      <c r="G5" s="14" t="s">
        <v>71</v>
      </c>
      <c r="H5" s="14"/>
      <c r="I5" s="14"/>
      <c r="J5" s="14"/>
      <c r="K5" s="14"/>
      <c r="L5" s="13"/>
    </row>
    <row r="6" s="1" customFormat="1" customHeight="1" spans="1:16">
      <c r="A6" s="12">
        <v>45971</v>
      </c>
      <c r="B6" s="13" t="s">
        <v>9</v>
      </c>
      <c r="C6" s="14">
        <v>26233</v>
      </c>
      <c r="D6" s="14"/>
      <c r="E6" s="12"/>
      <c r="F6" s="14"/>
      <c r="G6" s="14"/>
      <c r="H6" s="14"/>
      <c r="I6" s="14"/>
      <c r="J6" s="14"/>
      <c r="K6" s="14"/>
      <c r="L6" s="13" t="s">
        <v>72</v>
      </c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4">
      <formula>$A3&lt;&gt;""</formula>
    </cfRule>
  </conditionalFormatting>
  <conditionalFormatting sqref="A1048576:L1048576">
    <cfRule type="expression" dxfId="0" priority="5">
      <formula>$A1048576&lt;&gt;""</formula>
    </cfRule>
    <cfRule type="expression" dxfId="0" priority="6">
      <formula>$A1&lt;&gt;""</formula>
    </cfRule>
  </conditionalFormatting>
  <conditionalFormatting sqref="A1:L1048575">
    <cfRule type="expression" dxfId="0" priority="1">
      <formula>$A1&lt;&gt;""</formula>
    </cfRule>
    <cfRule type="expression" dxfId="0" priority="3">
      <formula>$A2&lt;&gt;""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topLeftCell="B1" workbookViewId="0">
      <selection activeCell="K1" sqref="K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4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科创中心</v>
      </c>
      <c r="O2" s="1">
        <v>31500</v>
      </c>
      <c r="P2" s="1">
        <v>30000</v>
      </c>
    </row>
    <row r="3" s="1" customFormat="1" customHeight="1" spans="1:16">
      <c r="A3" s="12">
        <v>46049</v>
      </c>
      <c r="B3" s="13" t="s">
        <v>10</v>
      </c>
      <c r="C3" s="14">
        <v>31500</v>
      </c>
      <c r="D3" s="14">
        <v>30000</v>
      </c>
      <c r="E3" s="12">
        <v>46049</v>
      </c>
      <c r="F3" s="14"/>
      <c r="G3" s="14"/>
      <c r="H3" s="14"/>
      <c r="I3" s="14"/>
      <c r="J3" s="14"/>
      <c r="K3" s="14"/>
      <c r="L3" s="13"/>
      <c r="N3" s="1" t="str">
        <v>邹桥派出所</v>
      </c>
      <c r="O3" s="1">
        <v>23500</v>
      </c>
      <c r="P3" s="1">
        <v>23500</v>
      </c>
    </row>
    <row r="4" s="1" customFormat="1" customHeight="1" spans="1:16">
      <c r="A4" s="12">
        <v>46157</v>
      </c>
      <c r="B4" s="13" t="s">
        <v>17</v>
      </c>
      <c r="C4" s="14">
        <v>23500</v>
      </c>
      <c r="D4" s="14">
        <v>1500</v>
      </c>
      <c r="E4" s="12">
        <v>46067</v>
      </c>
      <c r="F4" s="14"/>
      <c r="G4" s="14"/>
      <c r="H4" s="14"/>
      <c r="I4" s="14"/>
      <c r="J4" s="14"/>
      <c r="K4" s="14"/>
      <c r="L4" s="13"/>
      <c r="N4" s="1" t="str">
        <v>总计</v>
      </c>
      <c r="O4" s="1">
        <v>55000</v>
      </c>
      <c r="P4" s="1">
        <v>53500</v>
      </c>
    </row>
    <row r="5" s="1" customFormat="1" customHeight="1" spans="1:16">
      <c r="A5" s="12">
        <v>46158</v>
      </c>
      <c r="B5" s="13" t="s">
        <v>17</v>
      </c>
      <c r="C5" s="14"/>
      <c r="D5" s="14">
        <v>22000</v>
      </c>
      <c r="E5" s="12">
        <v>46158</v>
      </c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4">
      <formula>$A3&lt;&gt;""</formula>
    </cfRule>
  </conditionalFormatting>
  <conditionalFormatting sqref="A1048576:L1048576">
    <cfRule type="expression" dxfId="0" priority="5">
      <formula>$A1048576&lt;&gt;""</formula>
    </cfRule>
    <cfRule type="expression" dxfId="0" priority="6">
      <formula>$A1&lt;&gt;""</formula>
    </cfRule>
  </conditionalFormatting>
  <conditionalFormatting sqref="A1:L1048575">
    <cfRule type="expression" dxfId="0" priority="1">
      <formula>$A1&lt;&gt;""</formula>
    </cfRule>
    <cfRule type="expression" dxfId="0" priority="3">
      <formula>$A2&lt;&gt;""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topLeftCell="B1" workbookViewId="0">
      <selection activeCell="K1" sqref="K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5.87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5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63800</v>
      </c>
      <c r="P2" s="1">
        <v>63800</v>
      </c>
    </row>
    <row r="3" s="1" customFormat="1" customHeight="1" spans="1:16">
      <c r="A3" s="12">
        <v>45976</v>
      </c>
      <c r="B3" s="13" t="s">
        <v>9</v>
      </c>
      <c r="C3" s="14">
        <v>63800</v>
      </c>
      <c r="D3" s="14">
        <v>63800</v>
      </c>
      <c r="E3" s="12">
        <v>45976</v>
      </c>
      <c r="F3" s="14" t="s">
        <v>35</v>
      </c>
      <c r="G3" s="14" t="s">
        <v>73</v>
      </c>
      <c r="H3" s="14"/>
      <c r="I3" s="14"/>
      <c r="J3" s="14"/>
      <c r="K3" s="14"/>
      <c r="L3" s="13"/>
      <c r="N3" s="1" t="str">
        <v>科创中心</v>
      </c>
      <c r="O3" s="1">
        <v>15144</v>
      </c>
      <c r="P3" s="1">
        <v>15144</v>
      </c>
    </row>
    <row r="4" s="1" customFormat="1" customHeight="1" spans="1:16">
      <c r="A4" s="12">
        <v>46032</v>
      </c>
      <c r="B4" s="13" t="s">
        <v>10</v>
      </c>
      <c r="C4" s="14">
        <v>15144</v>
      </c>
      <c r="D4" s="14">
        <v>15144</v>
      </c>
      <c r="E4" s="12">
        <v>46032</v>
      </c>
      <c r="F4" s="14" t="s">
        <v>35</v>
      </c>
      <c r="G4" s="14" t="s">
        <v>73</v>
      </c>
      <c r="H4" s="14"/>
      <c r="I4" s="14"/>
      <c r="J4" s="14"/>
      <c r="K4" s="14"/>
      <c r="L4" s="13"/>
      <c r="N4" s="1" t="str">
        <v>邹桥派出所</v>
      </c>
      <c r="O4" s="1">
        <v>11800</v>
      </c>
      <c r="P4" s="1">
        <v>11800</v>
      </c>
    </row>
    <row r="5" s="1" customFormat="1" customHeight="1" spans="1:16">
      <c r="A5" s="12">
        <v>46091</v>
      </c>
      <c r="B5" s="13" t="s">
        <v>17</v>
      </c>
      <c r="C5" s="14">
        <v>11800</v>
      </c>
      <c r="D5" s="14">
        <v>11800</v>
      </c>
      <c r="E5" s="12">
        <v>46091</v>
      </c>
      <c r="F5" s="14" t="s">
        <v>68</v>
      </c>
      <c r="G5" s="14" t="s">
        <v>73</v>
      </c>
      <c r="H5" s="14"/>
      <c r="I5" s="14"/>
      <c r="J5" s="14"/>
      <c r="K5" s="14"/>
      <c r="L5" s="13"/>
      <c r="N5" s="1" t="str">
        <v>总计</v>
      </c>
      <c r="O5" s="1">
        <v>90744</v>
      </c>
      <c r="P5" s="1">
        <v>90744</v>
      </c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4">
      <formula>$A3&lt;&gt;""</formula>
    </cfRule>
  </conditionalFormatting>
  <conditionalFormatting sqref="A1048576:L1048576">
    <cfRule type="expression" dxfId="0" priority="5">
      <formula>$A1048576&lt;&gt;""</formula>
    </cfRule>
    <cfRule type="expression" dxfId="0" priority="6">
      <formula>$A1&lt;&gt;""</formula>
    </cfRule>
  </conditionalFormatting>
  <conditionalFormatting sqref="A1:L1048575">
    <cfRule type="expression" dxfId="0" priority="1">
      <formula>$A1&lt;&gt;""</formula>
    </cfRule>
    <cfRule type="expression" dxfId="0" priority="3">
      <formula>$A2&lt;&gt;""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topLeftCell="B1" workbookViewId="0">
      <selection activeCell="K1" sqref="K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112695</v>
      </c>
      <c r="P2" s="1">
        <v>114368</v>
      </c>
    </row>
    <row r="3" s="1" customFormat="1" customHeight="1" spans="1:16">
      <c r="A3" s="12">
        <v>45996</v>
      </c>
      <c r="B3" s="13" t="s">
        <v>9</v>
      </c>
      <c r="C3" s="14">
        <v>22000</v>
      </c>
      <c r="D3" s="14">
        <v>22500</v>
      </c>
      <c r="E3" s="12">
        <v>46013</v>
      </c>
      <c r="F3" s="14" t="s">
        <v>35</v>
      </c>
      <c r="G3" s="14" t="s">
        <v>74</v>
      </c>
      <c r="H3" s="14"/>
      <c r="I3" s="14"/>
      <c r="J3" s="14"/>
      <c r="K3" s="14"/>
      <c r="L3" s="13"/>
      <c r="N3" s="1" t="str">
        <v>总计</v>
      </c>
      <c r="O3" s="1">
        <v>112695</v>
      </c>
      <c r="P3" s="1">
        <v>114368</v>
      </c>
    </row>
    <row r="4" s="1" customFormat="1" customHeight="1" spans="1:16">
      <c r="A4" s="12">
        <v>46013</v>
      </c>
      <c r="B4" s="13" t="s">
        <v>9</v>
      </c>
      <c r="C4" s="14">
        <v>1500</v>
      </c>
      <c r="D4" s="14">
        <v>1000</v>
      </c>
      <c r="E4" s="12">
        <v>46013</v>
      </c>
      <c r="F4" s="14" t="s">
        <v>35</v>
      </c>
      <c r="G4" s="14" t="s">
        <v>74</v>
      </c>
      <c r="H4" s="14"/>
      <c r="I4" s="14"/>
      <c r="J4" s="14"/>
      <c r="K4" s="14"/>
      <c r="L4" s="13"/>
    </row>
    <row r="5" s="1" customFormat="1" customHeight="1" spans="1:16">
      <c r="A5" s="12">
        <v>46015</v>
      </c>
      <c r="B5" s="13" t="s">
        <v>9</v>
      </c>
      <c r="C5" s="14">
        <v>23233</v>
      </c>
      <c r="D5" s="14">
        <v>23233</v>
      </c>
      <c r="E5" s="12">
        <v>46022</v>
      </c>
      <c r="F5" s="14" t="s">
        <v>35</v>
      </c>
      <c r="G5" s="14" t="s">
        <v>74</v>
      </c>
      <c r="H5" s="14"/>
      <c r="I5" s="14"/>
      <c r="J5" s="14"/>
      <c r="K5" s="14"/>
      <c r="L5" s="13"/>
    </row>
    <row r="6" s="1" customFormat="1" customHeight="1" spans="1:16">
      <c r="A6" s="12">
        <v>46041</v>
      </c>
      <c r="B6" s="13" t="s">
        <v>9</v>
      </c>
      <c r="C6" s="14">
        <v>7000</v>
      </c>
      <c r="D6" s="23">
        <v>19356</v>
      </c>
      <c r="E6" s="12">
        <v>46035</v>
      </c>
      <c r="F6" s="14" t="s">
        <v>35</v>
      </c>
      <c r="G6" s="14" t="s">
        <v>74</v>
      </c>
      <c r="H6" s="14"/>
      <c r="I6" s="14"/>
      <c r="J6" s="14"/>
      <c r="K6" s="14"/>
      <c r="L6" s="13"/>
    </row>
    <row r="7" s="1" customFormat="1" customHeight="1" spans="1:16">
      <c r="A7" s="12">
        <v>46094</v>
      </c>
      <c r="B7" s="13" t="s">
        <v>9</v>
      </c>
      <c r="C7" s="14">
        <v>17000</v>
      </c>
      <c r="D7" s="14">
        <v>7000</v>
      </c>
      <c r="E7" s="12">
        <v>46085</v>
      </c>
      <c r="F7" s="14" t="s">
        <v>35</v>
      </c>
      <c r="G7" s="14" t="s">
        <v>74</v>
      </c>
      <c r="H7" s="14"/>
      <c r="I7" s="14"/>
      <c r="J7" s="14"/>
      <c r="K7" s="14"/>
      <c r="L7" s="13"/>
    </row>
    <row r="8" s="1" customFormat="1" customHeight="1" spans="1:16">
      <c r="A8" s="12">
        <v>46098</v>
      </c>
      <c r="B8" s="13" t="s">
        <v>9</v>
      </c>
      <c r="C8" s="14">
        <v>8981</v>
      </c>
      <c r="D8" s="14">
        <v>17000</v>
      </c>
      <c r="E8" s="12">
        <v>46094</v>
      </c>
      <c r="F8" s="14" t="s">
        <v>35</v>
      </c>
      <c r="G8" s="14" t="s">
        <v>74</v>
      </c>
      <c r="H8" s="14"/>
      <c r="I8" s="14"/>
      <c r="J8" s="14"/>
      <c r="K8" s="14"/>
      <c r="L8" s="13"/>
    </row>
    <row r="9" s="1" customFormat="1" customHeight="1" spans="1:16">
      <c r="A9" s="12">
        <v>46120</v>
      </c>
      <c r="B9" s="13" t="s">
        <v>9</v>
      </c>
      <c r="C9" s="14">
        <v>4666</v>
      </c>
      <c r="D9" s="14">
        <v>9731</v>
      </c>
      <c r="E9" s="12">
        <v>46100</v>
      </c>
      <c r="F9" s="14" t="s">
        <v>35</v>
      </c>
      <c r="G9" s="14" t="s">
        <v>74</v>
      </c>
      <c r="H9" s="14"/>
      <c r="I9" s="14"/>
      <c r="J9" s="14"/>
      <c r="K9" s="14"/>
      <c r="L9" s="13"/>
    </row>
    <row r="10" s="1" customFormat="1" customHeight="1" spans="1:16">
      <c r="A10" s="12">
        <v>46148</v>
      </c>
      <c r="B10" s="13" t="s">
        <v>9</v>
      </c>
      <c r="C10" s="14">
        <v>7397</v>
      </c>
      <c r="D10" s="23">
        <v>812</v>
      </c>
      <c r="E10" s="12">
        <v>46107</v>
      </c>
      <c r="F10" s="14" t="s">
        <v>35</v>
      </c>
      <c r="G10" s="14" t="s">
        <v>74</v>
      </c>
      <c r="H10" s="14"/>
      <c r="I10" s="14"/>
      <c r="J10" s="14"/>
      <c r="K10" s="14"/>
      <c r="L10" s="13"/>
    </row>
    <row r="11" s="1" customFormat="1" customHeight="1" spans="1:16">
      <c r="A11" s="12">
        <v>46104</v>
      </c>
      <c r="B11" s="13" t="s">
        <v>9</v>
      </c>
      <c r="C11" s="14">
        <v>1562</v>
      </c>
      <c r="D11" s="14">
        <v>4666</v>
      </c>
      <c r="E11" s="12">
        <v>46123</v>
      </c>
      <c r="F11" s="14" t="s">
        <v>35</v>
      </c>
      <c r="G11" s="14" t="s">
        <v>74</v>
      </c>
      <c r="H11" s="14"/>
      <c r="I11" s="14"/>
      <c r="J11" s="14"/>
      <c r="K11" s="14"/>
      <c r="L11" s="13"/>
    </row>
    <row r="12" s="1" customFormat="1" customHeight="1" spans="1:16">
      <c r="A12" s="12">
        <v>46034</v>
      </c>
      <c r="B12" s="13" t="s">
        <v>9</v>
      </c>
      <c r="C12" s="14">
        <v>19356</v>
      </c>
      <c r="D12" s="14">
        <v>7397</v>
      </c>
      <c r="E12" s="12">
        <v>46156</v>
      </c>
      <c r="F12" s="14" t="s">
        <v>35</v>
      </c>
      <c r="G12" s="14" t="s">
        <v>74</v>
      </c>
      <c r="H12" s="14"/>
      <c r="I12" s="14"/>
      <c r="J12" s="14"/>
      <c r="K12" s="14"/>
      <c r="L12" s="13"/>
    </row>
    <row r="13" s="1" customFormat="1" customHeight="1" spans="1:16">
      <c r="A13" s="12">
        <v>46217</v>
      </c>
      <c r="B13" s="13" t="s">
        <v>9</v>
      </c>
      <c r="C13" s="14"/>
      <c r="D13" s="14">
        <v>1673</v>
      </c>
      <c r="E13" s="12">
        <v>46217</v>
      </c>
      <c r="F13" s="14" t="s">
        <v>35</v>
      </c>
      <c r="G13" s="14" t="s">
        <v>74</v>
      </c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4">
      <formula>$A3&lt;&gt;""</formula>
    </cfRule>
  </conditionalFormatting>
  <conditionalFormatting sqref="A1048576:L1048576">
    <cfRule type="expression" dxfId="0" priority="5">
      <formula>$A1048576&lt;&gt;""</formula>
    </cfRule>
    <cfRule type="expression" dxfId="0" priority="6">
      <formula>$A1&lt;&gt;""</formula>
    </cfRule>
  </conditionalFormatting>
  <conditionalFormatting sqref="A1:L1048575">
    <cfRule type="expression" dxfId="0" priority="1">
      <formula>$A1&lt;&gt;""</formula>
    </cfRule>
    <cfRule type="expression" dxfId="0" priority="3">
      <formula>$A2&lt;&gt;""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5.12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42600</v>
      </c>
      <c r="P2" s="1">
        <v>42600</v>
      </c>
    </row>
    <row r="3" s="1" customFormat="1" customHeight="1" spans="1:16">
      <c r="A3" s="12">
        <v>46067</v>
      </c>
      <c r="B3" s="13" t="s">
        <v>9</v>
      </c>
      <c r="C3" s="14">
        <v>42600</v>
      </c>
      <c r="D3" s="14">
        <v>42600</v>
      </c>
      <c r="E3" s="12">
        <v>46067</v>
      </c>
      <c r="F3" s="14" t="s">
        <v>35</v>
      </c>
      <c r="G3" s="14" t="s">
        <v>75</v>
      </c>
      <c r="H3" s="14"/>
      <c r="I3" s="14"/>
      <c r="J3" s="14"/>
      <c r="K3" s="14"/>
      <c r="L3" s="13"/>
      <c r="N3" s="1" t="str">
        <v>总计</v>
      </c>
      <c r="O3" s="1">
        <v>42600</v>
      </c>
      <c r="P3" s="1">
        <v>42600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5"/>
  <sheetViews>
    <sheetView topLeftCell="F1" workbookViewId="0">
      <selection activeCell="A3" sqref="A3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5.375" style="3" customWidth="1"/>
    <col min="8" max="9" width="14.0916666666667" style="3" customWidth="1"/>
    <col min="10" max="10" width="11.875" style="3" customWidth="1"/>
    <col min="11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7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3" t="str" cm="1">
        <f t="array" ref="N1:P5">_xlfn.PIVOTBY(_xlfn._TRO_TRAILING(B2:B1001),,_xlfn._TRO_TRAILING(C2:D1001),_xleta.SUM,3)</f>
        <v>项目名称</v>
      </c>
      <c r="O1" s="13" t="str">
        <v>应付金额</v>
      </c>
      <c r="P1" s="13" t="str">
        <v>已付金额</v>
      </c>
      <c r="Q1" s="13" t="s">
        <v>60</v>
      </c>
    </row>
    <row r="2" s="1" customFormat="1" customHeight="1" spans="1:17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3" t="str">
        <v>博河科创中心</v>
      </c>
      <c r="O2" s="13">
        <v>360</v>
      </c>
      <c r="P2" s="13">
        <v>0</v>
      </c>
      <c r="Q2" s="13">
        <f>O2-P2</f>
        <v>360</v>
      </c>
    </row>
    <row r="3" s="1" customFormat="1" customHeight="1" spans="1:17">
      <c r="A3" s="12">
        <v>45973</v>
      </c>
      <c r="B3" s="13" t="s">
        <v>10</v>
      </c>
      <c r="C3" s="14">
        <v>2363.6</v>
      </c>
      <c r="D3" s="14">
        <v>4000</v>
      </c>
      <c r="E3" s="12">
        <v>45973</v>
      </c>
      <c r="F3" s="14"/>
      <c r="G3" s="14"/>
      <c r="H3" s="14"/>
      <c r="I3" s="14"/>
      <c r="J3" s="14"/>
      <c r="K3" s="14"/>
      <c r="L3" s="13" t="s">
        <v>76</v>
      </c>
      <c r="N3" s="13" t="str">
        <v>科创中心</v>
      </c>
      <c r="O3" s="13">
        <v>62032.3</v>
      </c>
      <c r="P3" s="13">
        <v>56731.47</v>
      </c>
      <c r="Q3" s="13">
        <f>O3-P3</f>
        <v>5300.83</v>
      </c>
    </row>
    <row r="4" s="1" customFormat="1" customHeight="1" spans="1:17">
      <c r="A4" s="12">
        <v>45982</v>
      </c>
      <c r="B4" s="13" t="s">
        <v>10</v>
      </c>
      <c r="C4" s="14">
        <v>6648</v>
      </c>
      <c r="D4" s="14">
        <v>4970</v>
      </c>
      <c r="E4" s="12">
        <v>45982</v>
      </c>
      <c r="F4" s="14"/>
      <c r="G4" s="14"/>
      <c r="H4" s="14"/>
      <c r="I4" s="14"/>
      <c r="J4" s="14"/>
      <c r="K4" s="14"/>
      <c r="L4" s="13" t="s">
        <v>76</v>
      </c>
      <c r="N4" s="13" t="str">
        <v>数字产业园</v>
      </c>
      <c r="O4" s="13">
        <v>4601.5</v>
      </c>
      <c r="P4" s="13">
        <v>4447.35</v>
      </c>
      <c r="Q4" s="13">
        <f>O4-P4</f>
        <v>154.15</v>
      </c>
    </row>
    <row r="5" s="1" customFormat="1" customHeight="1" spans="1:17">
      <c r="A5" s="12">
        <v>45982</v>
      </c>
      <c r="B5" s="13" t="s">
        <v>10</v>
      </c>
      <c r="C5" s="16">
        <v>-41.6</v>
      </c>
      <c r="D5" s="16"/>
      <c r="E5" s="17" t="s">
        <v>77</v>
      </c>
      <c r="F5" s="14"/>
      <c r="G5" s="14"/>
      <c r="H5" s="14"/>
      <c r="I5" s="14"/>
      <c r="J5" s="14"/>
      <c r="K5" s="14"/>
      <c r="L5" s="13"/>
      <c r="N5" s="1" t="str">
        <v>总计</v>
      </c>
      <c r="O5" s="1">
        <v>66993.8</v>
      </c>
      <c r="P5" s="1">
        <v>61178.82</v>
      </c>
    </row>
    <row r="6" s="1" customFormat="1" customHeight="1" spans="1:17">
      <c r="A6" s="12">
        <v>46013</v>
      </c>
      <c r="B6" s="13" t="s">
        <v>12</v>
      </c>
      <c r="C6" s="14">
        <v>1251</v>
      </c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7">
      <c r="A7" s="12">
        <v>46013</v>
      </c>
      <c r="B7" s="13" t="s">
        <v>12</v>
      </c>
      <c r="C7" s="14">
        <v>90</v>
      </c>
      <c r="D7" s="14"/>
      <c r="E7" s="12"/>
      <c r="F7" s="14"/>
      <c r="G7" s="14"/>
      <c r="H7" s="18"/>
      <c r="I7" s="18"/>
      <c r="J7" s="18"/>
      <c r="K7" s="18"/>
      <c r="L7" s="19"/>
    </row>
    <row r="8" s="1" customFormat="1" customHeight="1" spans="1:17">
      <c r="A8" s="12">
        <v>46013</v>
      </c>
      <c r="B8" s="13" t="s">
        <v>12</v>
      </c>
      <c r="C8" s="14">
        <v>216</v>
      </c>
      <c r="D8" s="14">
        <v>4447.35</v>
      </c>
      <c r="E8" s="12">
        <v>46043</v>
      </c>
      <c r="F8" s="14"/>
      <c r="G8" s="14"/>
      <c r="H8" s="14"/>
      <c r="I8" s="14"/>
      <c r="J8" s="14"/>
      <c r="K8" s="14"/>
      <c r="L8" s="13"/>
    </row>
    <row r="9" s="1" customFormat="1" customHeight="1" spans="1:17">
      <c r="A9" s="12">
        <v>46013</v>
      </c>
      <c r="B9" s="13" t="s">
        <v>12</v>
      </c>
      <c r="C9" s="14">
        <v>18</v>
      </c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7">
      <c r="A10" s="12">
        <v>46013</v>
      </c>
      <c r="B10" s="13" t="s">
        <v>12</v>
      </c>
      <c r="C10" s="14">
        <v>304</v>
      </c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7">
      <c r="A11" s="12">
        <v>46013</v>
      </c>
      <c r="B11" s="13" t="s">
        <v>12</v>
      </c>
      <c r="C11" s="14">
        <v>144</v>
      </c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7">
      <c r="A12" s="12">
        <v>46013</v>
      </c>
      <c r="B12" s="13" t="s">
        <v>12</v>
      </c>
      <c r="C12" s="14">
        <v>56</v>
      </c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7">
      <c r="A13" s="12">
        <v>46013</v>
      </c>
      <c r="B13" s="13" t="s">
        <v>12</v>
      </c>
      <c r="C13" s="14">
        <v>150</v>
      </c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7">
      <c r="A14" s="12">
        <v>46013</v>
      </c>
      <c r="B14" s="13" t="s">
        <v>12</v>
      </c>
      <c r="C14" s="14">
        <v>210</v>
      </c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7">
      <c r="A15" s="12">
        <v>46013</v>
      </c>
      <c r="B15" s="13" t="s">
        <v>12</v>
      </c>
      <c r="C15" s="14">
        <v>65</v>
      </c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7">
      <c r="A16" s="12">
        <v>46013</v>
      </c>
      <c r="B16" s="13" t="s">
        <v>12</v>
      </c>
      <c r="C16" s="14">
        <v>17.5</v>
      </c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>
        <v>46013</v>
      </c>
      <c r="B17" s="13" t="s">
        <v>12</v>
      </c>
      <c r="C17" s="14">
        <v>350</v>
      </c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>
        <v>46013</v>
      </c>
      <c r="B18" s="13" t="s">
        <v>12</v>
      </c>
      <c r="C18" s="14">
        <v>76</v>
      </c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>
        <v>46013</v>
      </c>
      <c r="B19" s="13" t="s">
        <v>12</v>
      </c>
      <c r="C19" s="14">
        <v>340</v>
      </c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>
        <v>46013</v>
      </c>
      <c r="B20" s="13" t="s">
        <v>12</v>
      </c>
      <c r="C20" s="14">
        <v>-340</v>
      </c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>
        <v>46013</v>
      </c>
      <c r="B21" s="13" t="s">
        <v>12</v>
      </c>
      <c r="C21" s="14">
        <v>154</v>
      </c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>
        <v>46013</v>
      </c>
      <c r="B22" s="13" t="s">
        <v>12</v>
      </c>
      <c r="C22" s="14">
        <v>1500</v>
      </c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>
        <v>46006</v>
      </c>
      <c r="B23" s="13" t="s">
        <v>10</v>
      </c>
      <c r="C23" s="14">
        <v>1600</v>
      </c>
      <c r="D23" s="14">
        <v>14285.22</v>
      </c>
      <c r="E23" s="12">
        <v>45987</v>
      </c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>
        <v>45995</v>
      </c>
      <c r="B24" s="13" t="s">
        <v>10</v>
      </c>
      <c r="C24" s="14">
        <v>43050</v>
      </c>
      <c r="D24" s="14">
        <v>33476.25</v>
      </c>
      <c r="E24" s="12">
        <v>46043</v>
      </c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>
        <v>45993</v>
      </c>
      <c r="B25" s="13" t="s">
        <v>10</v>
      </c>
      <c r="C25" s="14">
        <v>3472.4</v>
      </c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>
        <v>45987</v>
      </c>
      <c r="B26" s="13" t="s">
        <v>10</v>
      </c>
      <c r="C26" s="14">
        <v>4567.4</v>
      </c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20">
        <v>45982</v>
      </c>
      <c r="B27" s="21" t="s">
        <v>10</v>
      </c>
      <c r="C27" s="22">
        <v>372.5</v>
      </c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>
        <v>46280</v>
      </c>
      <c r="B28" s="13" t="s">
        <v>19</v>
      </c>
      <c r="C28" s="14">
        <v>360</v>
      </c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12"/>
      <c r="B30" s="13"/>
      <c r="C30" s="14"/>
      <c r="D30" s="14"/>
      <c r="E30" s="12"/>
      <c r="F30" s="14"/>
      <c r="G30" s="14"/>
      <c r="H30" s="14"/>
      <c r="I30" s="14"/>
      <c r="J30" s="14"/>
      <c r="K30" s="14"/>
      <c r="L30" s="13"/>
    </row>
    <row r="31" s="1" customFormat="1" customHeight="1" spans="1:12">
      <c r="A31" s="12"/>
      <c r="B31" s="13"/>
      <c r="C31" s="14"/>
      <c r="D31" s="14"/>
      <c r="E31" s="12"/>
      <c r="F31" s="14"/>
      <c r="G31" s="14"/>
      <c r="H31" s="14"/>
      <c r="I31" s="14"/>
      <c r="J31" s="14"/>
      <c r="K31" s="14"/>
      <c r="L31" s="1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  <row r="184" s="1" customFormat="1" customHeight="1" spans="1:11">
      <c r="A184" s="2"/>
      <c r="C184" s="3"/>
      <c r="D184" s="3"/>
      <c r="E184" s="2"/>
      <c r="F184" s="3"/>
      <c r="G184" s="3"/>
      <c r="H184" s="3"/>
      <c r="I184" s="3"/>
      <c r="J184" s="3"/>
      <c r="K184" s="3"/>
    </row>
    <row r="185" s="1" customFormat="1" customHeight="1" spans="1:11">
      <c r="A185" s="2"/>
      <c r="C185" s="3"/>
      <c r="D185" s="3"/>
      <c r="E185" s="2"/>
      <c r="F185" s="3"/>
      <c r="G185" s="3"/>
      <c r="H185" s="3"/>
      <c r="I185" s="3"/>
      <c r="J185" s="3"/>
      <c r="K185" s="3"/>
    </row>
  </sheetData>
  <autoFilter xmlns:etc="http://www.wps.cn/officeDocument/2017/etCustomData" ref="A1:L28" etc:filterBottomFollowUsedRange="0">
    <extLst/>
  </autoFilter>
  <conditionalFormatting sqref="N11">
    <cfRule type="expression" dxfId="0" priority="3">
      <formula>$A3&lt;&gt;""</formula>
    </cfRule>
  </conditionalFormatting>
  <conditionalFormatting sqref="A1048576:L1048576">
    <cfRule type="expression" dxfId="0" priority="12">
      <formula>$A1048576&lt;&gt;""</formula>
    </cfRule>
    <cfRule type="expression" dxfId="0" priority="13">
      <formula>#REF!&lt;&gt;""</formula>
    </cfRule>
  </conditionalFormatting>
  <conditionalFormatting sqref="A1:L3 A6:L18 A21:L1048575">
    <cfRule type="expression" dxfId="0" priority="1">
      <formula>$A1&lt;&gt;""</formula>
    </cfRule>
    <cfRule type="expression" dxfId="0" priority="2">
      <formula>$A2&lt;&gt;""</formula>
    </cfRule>
  </conditionalFormatting>
  <conditionalFormatting sqref="A4:L5">
    <cfRule type="expression" dxfId="0" priority="6">
      <formula>$A4&lt;&gt;""</formula>
    </cfRule>
    <cfRule type="expression" dxfId="0" priority="7">
      <formula>$A6&lt;&gt;""</formula>
    </cfRule>
  </conditionalFormatting>
  <conditionalFormatting sqref="A19:L20">
    <cfRule type="expression" dxfId="0" priority="10">
      <formula>$A19&lt;&gt;""</formula>
    </cfRule>
    <cfRule type="expression" dxfId="0" priority="11">
      <formula>$A21&lt;&gt;""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K1" sqref="K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4.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44600</v>
      </c>
      <c r="P2" s="1">
        <v>40000</v>
      </c>
    </row>
    <row r="3" s="1" customFormat="1" customHeight="1" spans="1:16">
      <c r="A3" s="12">
        <v>46113</v>
      </c>
      <c r="B3" s="13" t="s">
        <v>9</v>
      </c>
      <c r="C3" s="14">
        <v>44600</v>
      </c>
      <c r="D3" s="14">
        <v>40000</v>
      </c>
      <c r="E3" s="12">
        <v>46113</v>
      </c>
      <c r="F3" s="14" t="s">
        <v>35</v>
      </c>
      <c r="G3" s="14" t="s">
        <v>78</v>
      </c>
      <c r="H3" s="14"/>
      <c r="I3" s="14"/>
      <c r="J3" s="14"/>
      <c r="K3" s="14"/>
      <c r="L3" s="13"/>
      <c r="N3" s="1" t="str">
        <v>总计</v>
      </c>
      <c r="O3" s="1">
        <v>44600</v>
      </c>
      <c r="P3" s="1">
        <v>40000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3.87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8271.5</v>
      </c>
      <c r="P2" s="1">
        <v>8271.5</v>
      </c>
    </row>
    <row r="3" s="1" customFormat="1" customHeight="1" spans="1:16">
      <c r="A3" s="12">
        <v>45980</v>
      </c>
      <c r="B3" s="13" t="s">
        <v>9</v>
      </c>
      <c r="C3" s="14">
        <v>5055.5</v>
      </c>
      <c r="D3" s="14">
        <v>5055.5</v>
      </c>
      <c r="E3" s="12">
        <v>45980</v>
      </c>
      <c r="F3" s="14" t="s">
        <v>35</v>
      </c>
      <c r="G3" s="14" t="s">
        <v>79</v>
      </c>
      <c r="H3" s="14"/>
      <c r="I3" s="14"/>
      <c r="J3" s="14"/>
      <c r="K3" s="14"/>
      <c r="L3" s="13"/>
      <c r="N3" s="1" t="str">
        <v>总计</v>
      </c>
      <c r="O3" s="1">
        <v>8271.5</v>
      </c>
      <c r="P3" s="1">
        <v>8271.5</v>
      </c>
    </row>
    <row r="4" s="1" customFormat="1" customHeight="1" spans="1:16">
      <c r="A4" s="12">
        <v>46095</v>
      </c>
      <c r="B4" s="13" t="s">
        <v>9</v>
      </c>
      <c r="C4" s="14">
        <v>3216</v>
      </c>
      <c r="D4" s="14">
        <v>3216</v>
      </c>
      <c r="E4" s="12">
        <v>46095</v>
      </c>
      <c r="F4" s="14" t="s">
        <v>68</v>
      </c>
      <c r="G4" s="14" t="s">
        <v>79</v>
      </c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2.2583333333333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15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150880</v>
      </c>
      <c r="P2" s="1">
        <v>150880</v>
      </c>
    </row>
    <row r="3" s="1" customFormat="1" customHeight="1" spans="1:16">
      <c r="A3" s="12">
        <v>45807</v>
      </c>
      <c r="B3" s="13" t="s">
        <v>9</v>
      </c>
      <c r="C3" s="14">
        <v>150880</v>
      </c>
      <c r="D3" s="14">
        <v>150880</v>
      </c>
      <c r="E3" s="12">
        <v>45807</v>
      </c>
      <c r="F3" s="14" t="s">
        <v>35</v>
      </c>
      <c r="G3" s="14" t="s">
        <v>80</v>
      </c>
      <c r="H3" s="14"/>
      <c r="I3" s="14"/>
      <c r="J3" s="14"/>
      <c r="K3" s="14"/>
      <c r="L3" s="13" t="s">
        <v>81</v>
      </c>
      <c r="N3" s="1" t="str">
        <v>总计</v>
      </c>
      <c r="O3" s="1">
        <v>150880</v>
      </c>
      <c r="P3" s="1">
        <v>150880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2.7583333333333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15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150008</v>
      </c>
      <c r="P2" s="1">
        <v>150008</v>
      </c>
    </row>
    <row r="3" s="1" customFormat="1" customHeight="1" spans="1:16">
      <c r="A3" s="12">
        <v>45807</v>
      </c>
      <c r="B3" s="13" t="s">
        <v>9</v>
      </c>
      <c r="C3" s="14">
        <v>150008</v>
      </c>
      <c r="D3" s="14">
        <v>150008</v>
      </c>
      <c r="E3" s="12">
        <v>45807</v>
      </c>
      <c r="F3" s="14" t="s">
        <v>35</v>
      </c>
      <c r="G3" s="14" t="s">
        <v>82</v>
      </c>
      <c r="H3" s="14"/>
      <c r="I3" s="14"/>
      <c r="J3" s="14"/>
      <c r="K3" s="14"/>
      <c r="L3" s="13" t="s">
        <v>83</v>
      </c>
      <c r="N3" s="1" t="str">
        <v>总计</v>
      </c>
      <c r="O3" s="1">
        <v>150008</v>
      </c>
      <c r="P3" s="1">
        <v>150008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5.12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15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25678.29</v>
      </c>
      <c r="P2" s="1">
        <v>25678.29</v>
      </c>
    </row>
    <row r="3" s="1" customFormat="1" customHeight="1" spans="1:16">
      <c r="A3" s="12">
        <v>45814</v>
      </c>
      <c r="B3" s="13" t="s">
        <v>9</v>
      </c>
      <c r="C3" s="14">
        <v>25678.29</v>
      </c>
      <c r="D3" s="14">
        <v>25678.29</v>
      </c>
      <c r="E3" s="12">
        <v>45814</v>
      </c>
      <c r="F3" s="14" t="s">
        <v>35</v>
      </c>
      <c r="G3" s="14" t="s">
        <v>84</v>
      </c>
      <c r="H3" s="14"/>
      <c r="I3" s="14"/>
      <c r="J3" s="14"/>
      <c r="K3" s="14"/>
      <c r="L3" s="13" t="s">
        <v>85</v>
      </c>
      <c r="N3" s="1" t="str">
        <v>总计</v>
      </c>
      <c r="O3" s="1">
        <v>25678.29</v>
      </c>
      <c r="P3" s="1">
        <v>25678.29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0.37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15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47656</v>
      </c>
      <c r="P2" s="1">
        <v>47656</v>
      </c>
    </row>
    <row r="3" s="1" customFormat="1" customHeight="1" spans="1:16">
      <c r="A3" s="12">
        <v>45930</v>
      </c>
      <c r="B3" s="13" t="s">
        <v>9</v>
      </c>
      <c r="C3" s="14">
        <v>47656</v>
      </c>
      <c r="D3" s="14">
        <v>47656</v>
      </c>
      <c r="E3" s="12">
        <v>45930</v>
      </c>
      <c r="F3" s="14" t="s">
        <v>35</v>
      </c>
      <c r="G3" s="14" t="s">
        <v>86</v>
      </c>
      <c r="H3" s="14"/>
      <c r="I3" s="14"/>
      <c r="J3" s="14"/>
      <c r="K3" s="14"/>
      <c r="L3" s="13"/>
      <c r="N3" s="1" t="str">
        <v>总计</v>
      </c>
      <c r="O3" s="1">
        <v>47656</v>
      </c>
      <c r="P3" s="1">
        <v>47656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1.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15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49997.52</v>
      </c>
      <c r="P2" s="1">
        <v>49997.52</v>
      </c>
    </row>
    <row r="3" s="1" customFormat="1" customHeight="1" spans="1:16">
      <c r="A3" s="12">
        <v>45862</v>
      </c>
      <c r="B3" s="13" t="s">
        <v>9</v>
      </c>
      <c r="C3" s="14">
        <v>49997.52</v>
      </c>
      <c r="D3" s="14">
        <v>49997.52</v>
      </c>
      <c r="E3" s="12">
        <v>45862</v>
      </c>
      <c r="F3" s="14" t="s">
        <v>35</v>
      </c>
      <c r="G3" s="14" t="s">
        <v>87</v>
      </c>
      <c r="H3" s="14"/>
      <c r="I3" s="14"/>
      <c r="J3" s="14"/>
      <c r="K3" s="14"/>
      <c r="L3" s="13"/>
      <c r="N3" s="1" t="str">
        <v>总计</v>
      </c>
      <c r="O3" s="1">
        <v>49997.52</v>
      </c>
      <c r="P3" s="1">
        <v>49997.52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4.7583333333333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22384</v>
      </c>
      <c r="P2" s="1">
        <v>22384</v>
      </c>
    </row>
    <row r="3" s="1" customFormat="1" customHeight="1" spans="1:16">
      <c r="A3" s="12">
        <v>45867</v>
      </c>
      <c r="B3" s="13" t="s">
        <v>9</v>
      </c>
      <c r="C3" s="14">
        <v>11776</v>
      </c>
      <c r="D3" s="14">
        <v>11776</v>
      </c>
      <c r="E3" s="12">
        <v>45867</v>
      </c>
      <c r="F3" s="14" t="s">
        <v>35</v>
      </c>
      <c r="G3" s="14" t="s">
        <v>88</v>
      </c>
      <c r="H3" s="14"/>
      <c r="I3" s="14"/>
      <c r="J3" s="14"/>
      <c r="K3" s="14"/>
      <c r="L3" s="13" t="s">
        <v>89</v>
      </c>
      <c r="N3" s="1" t="str">
        <v>总计</v>
      </c>
      <c r="O3" s="1">
        <v>22384</v>
      </c>
      <c r="P3" s="1">
        <v>22384</v>
      </c>
    </row>
    <row r="4" s="1" customFormat="1" customHeight="1" spans="1:16">
      <c r="A4" s="12">
        <v>45928</v>
      </c>
      <c r="B4" s="13" t="s">
        <v>9</v>
      </c>
      <c r="C4" s="14">
        <v>4096</v>
      </c>
      <c r="D4" s="14">
        <v>4096</v>
      </c>
      <c r="E4" s="12">
        <v>45928</v>
      </c>
      <c r="F4" s="14" t="s">
        <v>35</v>
      </c>
      <c r="G4" s="14" t="s">
        <v>88</v>
      </c>
      <c r="H4" s="14"/>
      <c r="I4" s="14"/>
      <c r="J4" s="14"/>
      <c r="K4" s="14"/>
      <c r="L4" s="13" t="s">
        <v>89</v>
      </c>
    </row>
    <row r="5" s="1" customFormat="1" customHeight="1" spans="1:16">
      <c r="A5" s="12">
        <v>45978</v>
      </c>
      <c r="B5" s="13" t="s">
        <v>9</v>
      </c>
      <c r="C5" s="14">
        <v>6512</v>
      </c>
      <c r="D5" s="14">
        <v>6512</v>
      </c>
      <c r="E5" s="12">
        <v>45978</v>
      </c>
      <c r="F5" s="14" t="s">
        <v>35</v>
      </c>
      <c r="G5" s="14" t="s">
        <v>88</v>
      </c>
      <c r="H5" s="14"/>
      <c r="I5" s="14"/>
      <c r="J5" s="14"/>
      <c r="K5" s="14"/>
      <c r="L5" s="13" t="s">
        <v>89</v>
      </c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7.125" style="3" customWidth="1"/>
    <col min="8" max="8" width="15.875" style="3" customWidth="1"/>
    <col min="9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15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30000</v>
      </c>
      <c r="P2" s="1">
        <v>30000</v>
      </c>
    </row>
    <row r="3" s="1" customFormat="1" customHeight="1" spans="1:16">
      <c r="A3" s="12">
        <v>45976</v>
      </c>
      <c r="B3" s="13" t="s">
        <v>9</v>
      </c>
      <c r="C3" s="14">
        <v>30000</v>
      </c>
      <c r="D3" s="14">
        <v>30000</v>
      </c>
      <c r="E3" s="12">
        <v>45976</v>
      </c>
      <c r="F3" s="14" t="s">
        <v>35</v>
      </c>
      <c r="G3" s="14" t="s">
        <v>90</v>
      </c>
      <c r="H3" s="14"/>
      <c r="I3" s="14"/>
      <c r="J3" s="14"/>
      <c r="K3" s="14"/>
      <c r="L3" s="13"/>
      <c r="N3" s="1" t="str">
        <v>总计</v>
      </c>
      <c r="O3" s="1">
        <v>30000</v>
      </c>
      <c r="P3" s="1">
        <v>30000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1.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6129.65</v>
      </c>
      <c r="P2" s="1">
        <v>6129.65</v>
      </c>
    </row>
    <row r="3" s="1" customFormat="1" customHeight="1" spans="1:16">
      <c r="A3" s="12">
        <v>45979</v>
      </c>
      <c r="B3" s="13" t="s">
        <v>9</v>
      </c>
      <c r="C3" s="14">
        <v>1804.12</v>
      </c>
      <c r="D3" s="14">
        <v>1804.12</v>
      </c>
      <c r="E3" s="12">
        <v>45979</v>
      </c>
      <c r="F3" s="14" t="s">
        <v>35</v>
      </c>
      <c r="G3" s="14" t="s">
        <v>91</v>
      </c>
      <c r="H3" s="14"/>
      <c r="I3" s="14"/>
      <c r="J3" s="14"/>
      <c r="K3" s="14"/>
      <c r="L3" s="13"/>
      <c r="N3" s="1" t="str">
        <v>总计</v>
      </c>
      <c r="O3" s="1">
        <v>6129.65</v>
      </c>
      <c r="P3" s="1">
        <v>6129.65</v>
      </c>
    </row>
    <row r="4" s="1" customFormat="1" customHeight="1" spans="1:16">
      <c r="A4" s="12">
        <v>45979</v>
      </c>
      <c r="B4" s="13" t="s">
        <v>9</v>
      </c>
      <c r="C4" s="14">
        <v>4325.53</v>
      </c>
      <c r="D4" s="14">
        <v>4325.53</v>
      </c>
      <c r="E4" s="12">
        <v>45979</v>
      </c>
      <c r="F4" s="14" t="s">
        <v>35</v>
      </c>
      <c r="G4" s="14" t="s">
        <v>91</v>
      </c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3.5" style="3" customWidth="1"/>
    <col min="8" max="9" width="14.0916666666667" style="3" customWidth="1"/>
    <col min="10" max="11" width="15.2583333333333" style="3" customWidth="1"/>
    <col min="12" max="12" width="15" style="1" customWidth="1"/>
    <col min="13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15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4500</v>
      </c>
      <c r="P2" s="1">
        <v>4500</v>
      </c>
    </row>
    <row r="3" s="1" customFormat="1" customHeight="1" spans="1:16">
      <c r="A3" s="12">
        <v>46094</v>
      </c>
      <c r="B3" s="13" t="s">
        <v>9</v>
      </c>
      <c r="C3" s="14">
        <v>4500</v>
      </c>
      <c r="D3" s="14">
        <v>4500</v>
      </c>
      <c r="E3" s="12">
        <v>46094</v>
      </c>
      <c r="F3" s="14" t="s">
        <v>35</v>
      </c>
      <c r="G3" s="14" t="s">
        <v>92</v>
      </c>
      <c r="H3" s="14"/>
      <c r="I3" s="14"/>
      <c r="J3" s="14"/>
      <c r="K3" s="14"/>
      <c r="L3" s="13" t="s">
        <v>93</v>
      </c>
      <c r="N3" s="1" t="str">
        <v>总计</v>
      </c>
      <c r="O3" s="1">
        <v>4500</v>
      </c>
      <c r="P3" s="1">
        <v>4500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G4" sqref="G4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4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科创中心</v>
      </c>
      <c r="O2" s="1">
        <v>5700</v>
      </c>
      <c r="P2" s="1">
        <v>5700</v>
      </c>
    </row>
    <row r="3" s="1" customFormat="1" customHeight="1" spans="1:16">
      <c r="A3" s="12">
        <v>46050</v>
      </c>
      <c r="B3" s="13" t="s">
        <v>10</v>
      </c>
      <c r="C3" s="14">
        <v>5700</v>
      </c>
      <c r="D3" s="14">
        <v>5700</v>
      </c>
      <c r="E3" s="12">
        <v>46050</v>
      </c>
      <c r="F3" s="14" t="s">
        <v>35</v>
      </c>
      <c r="G3" s="14" t="s">
        <v>94</v>
      </c>
      <c r="H3" s="14"/>
      <c r="I3" s="14"/>
      <c r="J3" s="14"/>
      <c r="K3" s="14"/>
      <c r="L3" s="13"/>
      <c r="N3" s="1" t="str">
        <v>邹桥派出所</v>
      </c>
      <c r="O3" s="1">
        <v>1140</v>
      </c>
      <c r="P3" s="1">
        <v>1140</v>
      </c>
    </row>
    <row r="4" s="1" customFormat="1" customHeight="1" spans="1:16">
      <c r="A4" s="12">
        <v>46184</v>
      </c>
      <c r="B4" s="13" t="s">
        <v>17</v>
      </c>
      <c r="C4" s="14">
        <v>1140</v>
      </c>
      <c r="D4" s="14">
        <v>1140</v>
      </c>
      <c r="E4" s="12">
        <v>46184</v>
      </c>
      <c r="F4" s="14" t="s">
        <v>35</v>
      </c>
      <c r="G4" s="14" t="s">
        <v>94</v>
      </c>
      <c r="H4" s="14"/>
      <c r="I4" s="14"/>
      <c r="J4" s="14"/>
      <c r="K4" s="14"/>
      <c r="L4" s="13"/>
      <c r="N4" s="1" t="str">
        <v>总计</v>
      </c>
      <c r="O4" s="1">
        <v>6840</v>
      </c>
      <c r="P4" s="1">
        <v>6840</v>
      </c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3"/>
  <sheetViews>
    <sheetView topLeftCell="E1" workbookViewId="0">
      <selection activeCell="N7" sqref="N7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6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7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  <c r="Q1" s="1" t="s">
        <v>60</v>
      </c>
    </row>
    <row r="2" s="1" customFormat="1" customHeight="1" spans="1:17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科创中心</v>
      </c>
      <c r="O2" s="1">
        <v>56101.75</v>
      </c>
      <c r="P2" s="1">
        <v>56101.7</v>
      </c>
    </row>
    <row r="3" s="1" customFormat="1" customHeight="1" spans="1:17">
      <c r="A3" s="12">
        <v>45981</v>
      </c>
      <c r="B3" s="13" t="s">
        <v>10</v>
      </c>
      <c r="C3" s="14">
        <v>45656</v>
      </c>
      <c r="D3" s="14">
        <v>20000</v>
      </c>
      <c r="E3" s="12">
        <v>45987</v>
      </c>
      <c r="F3" s="14" t="s">
        <v>35</v>
      </c>
      <c r="G3" s="14" t="s">
        <v>95</v>
      </c>
      <c r="H3" s="14"/>
      <c r="I3" s="14"/>
      <c r="J3" s="14"/>
      <c r="K3" s="14"/>
      <c r="L3" s="13"/>
      <c r="N3" s="1" t="str">
        <v>总计</v>
      </c>
      <c r="O3" s="1">
        <v>56101.75</v>
      </c>
      <c r="P3" s="1">
        <v>56101.7</v>
      </c>
      <c r="Q3" s="1">
        <f>O3-P3</f>
        <v>0.0500000000029104</v>
      </c>
    </row>
    <row r="4" s="1" customFormat="1" customHeight="1" spans="1:17">
      <c r="A4" s="12">
        <v>46002</v>
      </c>
      <c r="B4" s="13" t="s">
        <v>10</v>
      </c>
      <c r="C4" s="14">
        <v>17119.8</v>
      </c>
      <c r="D4" s="14">
        <v>35303.7</v>
      </c>
      <c r="E4" s="12">
        <v>46026</v>
      </c>
      <c r="F4" s="14" t="s">
        <v>35</v>
      </c>
      <c r="G4" s="14" t="s">
        <v>95</v>
      </c>
      <c r="H4" s="14"/>
      <c r="I4" s="14"/>
      <c r="J4" s="14"/>
      <c r="K4" s="14"/>
      <c r="L4" s="13"/>
    </row>
    <row r="5" s="1" customFormat="1" customHeight="1" spans="1:17">
      <c r="A5" s="12">
        <v>46002</v>
      </c>
      <c r="B5" s="13" t="s">
        <v>10</v>
      </c>
      <c r="C5" s="14">
        <v>-8400</v>
      </c>
      <c r="D5" s="14"/>
      <c r="E5" s="12"/>
      <c r="F5" s="14"/>
      <c r="G5" s="14"/>
      <c r="H5" s="14"/>
      <c r="I5" s="14"/>
      <c r="J5" s="14"/>
      <c r="K5" s="14"/>
      <c r="L5" s="13" t="s">
        <v>96</v>
      </c>
    </row>
    <row r="6" s="1" customFormat="1" customHeight="1" spans="1:17">
      <c r="A6" s="12">
        <v>46020</v>
      </c>
      <c r="B6" s="13" t="s">
        <v>10</v>
      </c>
      <c r="C6" s="14">
        <v>927.95</v>
      </c>
      <c r="D6" s="14">
        <v>462</v>
      </c>
      <c r="E6" s="12">
        <v>46234</v>
      </c>
      <c r="F6" s="14" t="s">
        <v>35</v>
      </c>
      <c r="G6" s="14" t="s">
        <v>95</v>
      </c>
      <c r="H6" s="14"/>
      <c r="I6" s="14"/>
      <c r="J6" s="14"/>
      <c r="K6" s="14"/>
      <c r="L6" s="13"/>
    </row>
    <row r="7" s="1" customFormat="1" customHeight="1" spans="1:17">
      <c r="A7" s="12">
        <v>46062</v>
      </c>
      <c r="B7" s="13" t="s">
        <v>10</v>
      </c>
      <c r="C7" s="14">
        <v>336</v>
      </c>
      <c r="D7" s="14">
        <v>336</v>
      </c>
      <c r="E7" s="12">
        <v>46062</v>
      </c>
      <c r="F7" s="14" t="s">
        <v>35</v>
      </c>
      <c r="G7" s="14" t="s">
        <v>95</v>
      </c>
      <c r="H7" s="14"/>
      <c r="I7" s="14"/>
      <c r="J7" s="14"/>
      <c r="K7" s="14"/>
      <c r="L7" s="13" t="s">
        <v>97</v>
      </c>
    </row>
    <row r="8" s="1" customFormat="1" customHeight="1" spans="1:17">
      <c r="A8" s="12">
        <v>46185</v>
      </c>
      <c r="B8" s="13" t="s">
        <v>10</v>
      </c>
      <c r="C8" s="14">
        <v>462</v>
      </c>
      <c r="D8" s="14"/>
      <c r="E8" s="12"/>
      <c r="F8" s="14" t="s">
        <v>35</v>
      </c>
      <c r="G8" s="14" t="s">
        <v>95</v>
      </c>
      <c r="H8" s="14"/>
      <c r="I8" s="14"/>
      <c r="J8" s="14"/>
      <c r="K8" s="14"/>
      <c r="L8" s="13" t="s">
        <v>98</v>
      </c>
    </row>
    <row r="9" s="1" customFormat="1" customHeight="1" spans="1:17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7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7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7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7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7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7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7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topLeftCell="B1" workbookViewId="0">
      <selection activeCell="K1" sqref="K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5.87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4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e" cm="1">
        <f t="array" ref="N1">_xlfn.PIVOTBY(_xlfn._TRO_TRAILING(B2:B999),,_xlfn._TRO_TRAILING(C2:D999),_xleta.SUM,3)</f>
        <v>#VALUE!</v>
      </c>
    </row>
    <row r="2" s="1" customFormat="1" customHeight="1" spans="1:14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</row>
    <row r="3" s="1" customFormat="1" customHeight="1" spans="1:14">
      <c r="A3" s="12">
        <v>46022</v>
      </c>
      <c r="B3" s="13" t="s">
        <v>9</v>
      </c>
      <c r="C3" s="14">
        <v>139762.71</v>
      </c>
      <c r="D3" s="14">
        <v>30000</v>
      </c>
      <c r="E3" s="12">
        <v>46022</v>
      </c>
      <c r="F3" s="14" t="s">
        <v>35</v>
      </c>
      <c r="G3" s="14" t="s">
        <v>99</v>
      </c>
      <c r="H3" s="14"/>
      <c r="I3" s="14"/>
      <c r="J3" s="14"/>
      <c r="K3" s="14"/>
      <c r="L3" s="13"/>
    </row>
    <row r="4" s="1" customFormat="1" customHeight="1" spans="1:14">
      <c r="A4" s="12">
        <v>46067</v>
      </c>
      <c r="B4" s="13" t="s">
        <v>17</v>
      </c>
      <c r="C4" s="14">
        <v>3124.36</v>
      </c>
      <c r="D4" s="14">
        <v>20000</v>
      </c>
      <c r="E4" s="12">
        <v>46067</v>
      </c>
      <c r="F4" s="14" t="s">
        <v>35</v>
      </c>
      <c r="G4" s="14" t="s">
        <v>99</v>
      </c>
      <c r="H4" s="14"/>
      <c r="I4" s="14"/>
      <c r="J4" s="14"/>
      <c r="K4" s="14"/>
      <c r="L4" s="13"/>
    </row>
    <row r="5" s="1" customFormat="1" customHeight="1" spans="1:14">
      <c r="A5" s="12">
        <v>46198</v>
      </c>
      <c r="B5" s="1" t="s">
        <v>11</v>
      </c>
      <c r="C5" s="14">
        <v>2935.04</v>
      </c>
      <c r="D5" s="14">
        <v>30551.22</v>
      </c>
      <c r="E5" s="12">
        <v>46198</v>
      </c>
      <c r="F5" s="14" t="s">
        <v>35</v>
      </c>
      <c r="G5" s="14" t="s">
        <v>99</v>
      </c>
      <c r="H5" s="14"/>
      <c r="I5" s="14"/>
      <c r="J5" s="14"/>
      <c r="K5" s="14"/>
      <c r="L5" s="13"/>
    </row>
    <row r="6" s="1" customFormat="1" customHeight="1" spans="1:14">
      <c r="A6" s="12">
        <v>46203</v>
      </c>
      <c r="B6" s="13"/>
      <c r="C6" s="14"/>
      <c r="D6" s="14">
        <v>30000</v>
      </c>
      <c r="E6" s="12">
        <v>46203</v>
      </c>
      <c r="F6" s="14" t="s">
        <v>35</v>
      </c>
      <c r="G6" s="14" t="s">
        <v>99</v>
      </c>
      <c r="H6" s="14"/>
      <c r="I6" s="14"/>
      <c r="J6" s="14"/>
      <c r="K6" s="14"/>
      <c r="L6" s="13"/>
    </row>
    <row r="7" s="1" customFormat="1" customHeight="1" spans="1:14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4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4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4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4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4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4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4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4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4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B4">
    <cfRule type="expression" dxfId="0" priority="6">
      <formula>$A5&lt;&gt;""</formula>
    </cfRule>
    <cfRule type="expression" dxfId="0" priority="7">
      <formula>$A6&lt;&gt;""</formula>
    </cfRule>
  </conditionalFormatting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3 A4 C4:L4 A5 C5:L5 A6:L1048575">
    <cfRule type="expression" dxfId="0" priority="1">
      <formula>$A1&lt;&gt;""</formula>
    </cfRule>
    <cfRule type="expression" dxfId="0" priority="2">
      <formula>$A2&lt;&gt;""</formula>
    </cfRule>
  </conditionalFormatting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topLeftCell="B1" workbookViewId="0">
      <selection activeCell="K1" sqref="K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博河科创中心</v>
      </c>
      <c r="O2" s="1">
        <v>11100</v>
      </c>
      <c r="P2" s="1">
        <v>0</v>
      </c>
    </row>
    <row r="3" s="1" customFormat="1" customHeight="1" spans="1:16">
      <c r="A3" s="12">
        <v>46279</v>
      </c>
      <c r="B3" s="13" t="s">
        <v>19</v>
      </c>
      <c r="C3" s="14">
        <v>11100</v>
      </c>
      <c r="D3" s="14"/>
      <c r="E3" s="12"/>
      <c r="F3" s="14"/>
      <c r="G3" s="14"/>
      <c r="H3" s="14"/>
      <c r="I3" s="14"/>
      <c r="J3" s="14"/>
      <c r="K3" s="14"/>
      <c r="L3" s="13"/>
      <c r="N3" s="1" t="str">
        <v>总计</v>
      </c>
      <c r="O3" s="1">
        <v>11100</v>
      </c>
      <c r="P3" s="1">
        <v>0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topLeftCell="C1" workbookViewId="0">
      <selection activeCell="K1" sqref="K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36.125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6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  <c r="N2" s="1" t="str">
        <v>德安养老中心</v>
      </c>
      <c r="O2" s="1">
        <v>2304.5</v>
      </c>
      <c r="P2" s="1">
        <v>2304.5</v>
      </c>
    </row>
    <row r="3" s="1" customFormat="1" customHeight="1" spans="1:16">
      <c r="A3" s="12">
        <v>45916</v>
      </c>
      <c r="B3" s="13" t="s">
        <v>9</v>
      </c>
      <c r="C3" s="14">
        <v>1110</v>
      </c>
      <c r="D3" s="14">
        <v>1110</v>
      </c>
      <c r="E3" s="12">
        <v>45916</v>
      </c>
      <c r="F3" s="14" t="s">
        <v>35</v>
      </c>
      <c r="G3" s="14" t="s">
        <v>100</v>
      </c>
      <c r="H3" s="14"/>
      <c r="I3" s="14"/>
      <c r="J3" s="14"/>
      <c r="K3" s="14"/>
      <c r="L3" s="13" t="s">
        <v>101</v>
      </c>
      <c r="N3" s="1" t="str">
        <v>科创中心</v>
      </c>
      <c r="O3" s="1">
        <v>6682</v>
      </c>
      <c r="P3" s="1">
        <v>6682</v>
      </c>
    </row>
    <row r="4" s="1" customFormat="1" customHeight="1" spans="1:16">
      <c r="A4" s="12">
        <v>45916</v>
      </c>
      <c r="B4" s="13" t="s">
        <v>9</v>
      </c>
      <c r="C4" s="14">
        <v>90</v>
      </c>
      <c r="D4" s="14">
        <v>90</v>
      </c>
      <c r="E4" s="12">
        <v>45916</v>
      </c>
      <c r="F4" s="14" t="s">
        <v>35</v>
      </c>
      <c r="G4" s="14" t="s">
        <v>100</v>
      </c>
      <c r="H4" s="14"/>
      <c r="I4" s="14"/>
      <c r="J4" s="14"/>
      <c r="K4" s="14"/>
      <c r="L4" s="13" t="s">
        <v>101</v>
      </c>
      <c r="N4" s="1" t="str">
        <v>数字产业园</v>
      </c>
      <c r="O4" s="1">
        <v>2627</v>
      </c>
      <c r="P4" s="1">
        <v>2627</v>
      </c>
    </row>
    <row r="5" s="1" customFormat="1" customHeight="1" spans="1:16">
      <c r="A5" s="12">
        <v>46068</v>
      </c>
      <c r="B5" s="13" t="s">
        <v>10</v>
      </c>
      <c r="C5" s="14">
        <v>800</v>
      </c>
      <c r="D5" s="14">
        <v>800</v>
      </c>
      <c r="E5" s="12">
        <v>46068</v>
      </c>
      <c r="F5" s="14" t="s">
        <v>35</v>
      </c>
      <c r="G5" s="14" t="s">
        <v>102</v>
      </c>
      <c r="H5" s="14"/>
      <c r="I5" s="14"/>
      <c r="J5" s="14"/>
      <c r="K5" s="14"/>
      <c r="L5" s="13" t="s">
        <v>103</v>
      </c>
      <c r="N5" s="1" t="str">
        <v>邹桥派出所</v>
      </c>
      <c r="O5" s="1">
        <v>303.2</v>
      </c>
      <c r="P5" s="1">
        <v>303.2</v>
      </c>
    </row>
    <row r="6" s="1" customFormat="1" customHeight="1" spans="1:16">
      <c r="A6" s="12">
        <v>45873</v>
      </c>
      <c r="B6" s="13" t="s">
        <v>9</v>
      </c>
      <c r="C6" s="14">
        <v>88</v>
      </c>
      <c r="D6" s="14">
        <v>88</v>
      </c>
      <c r="E6" s="12">
        <v>45873</v>
      </c>
      <c r="F6" s="14" t="s">
        <v>104</v>
      </c>
      <c r="G6" s="14" t="s">
        <v>105</v>
      </c>
      <c r="H6" s="14"/>
      <c r="I6" s="14"/>
      <c r="J6" s="14"/>
      <c r="K6" s="14"/>
      <c r="L6" s="13" t="s">
        <v>106</v>
      </c>
      <c r="N6" s="1" t="str">
        <v>总计</v>
      </c>
      <c r="O6" s="1">
        <v>11916.7</v>
      </c>
      <c r="P6" s="1">
        <v>11916.7</v>
      </c>
    </row>
    <row r="7" s="1" customFormat="1" customHeight="1" spans="1:16">
      <c r="A7" s="12">
        <v>45886</v>
      </c>
      <c r="B7" s="13" t="s">
        <v>9</v>
      </c>
      <c r="C7" s="14">
        <v>5.5</v>
      </c>
      <c r="D7" s="14">
        <v>5.5</v>
      </c>
      <c r="E7" s="12">
        <v>45886</v>
      </c>
      <c r="F7" s="14" t="s">
        <v>104</v>
      </c>
      <c r="G7" s="14" t="s">
        <v>107</v>
      </c>
      <c r="H7" s="14"/>
      <c r="I7" s="14"/>
      <c r="J7" s="14"/>
      <c r="K7" s="14"/>
      <c r="L7" s="13" t="s">
        <v>106</v>
      </c>
    </row>
    <row r="8" s="1" customFormat="1" customHeight="1" spans="1:16">
      <c r="A8" s="12">
        <v>46068</v>
      </c>
      <c r="B8" s="13" t="s">
        <v>9</v>
      </c>
      <c r="C8" s="14">
        <v>437</v>
      </c>
      <c r="D8" s="14">
        <v>437</v>
      </c>
      <c r="E8" s="12">
        <v>46068</v>
      </c>
      <c r="F8" s="14" t="s">
        <v>104</v>
      </c>
      <c r="G8" s="14" t="s">
        <v>108</v>
      </c>
      <c r="H8" s="14"/>
      <c r="I8" s="14"/>
      <c r="J8" s="14"/>
      <c r="K8" s="14"/>
      <c r="L8" s="13" t="s">
        <v>106</v>
      </c>
    </row>
    <row r="9" s="1" customFormat="1" customHeight="1" spans="1:16">
      <c r="A9" s="12">
        <v>46181</v>
      </c>
      <c r="B9" s="13" t="s">
        <v>17</v>
      </c>
      <c r="C9" s="14">
        <v>303.2</v>
      </c>
      <c r="D9" s="14">
        <v>303.2</v>
      </c>
      <c r="E9" s="12">
        <v>46181</v>
      </c>
      <c r="F9" s="14" t="s">
        <v>35</v>
      </c>
      <c r="G9" s="14" t="s">
        <v>109</v>
      </c>
      <c r="H9" s="14"/>
      <c r="I9" s="14"/>
      <c r="J9" s="14"/>
      <c r="K9" s="14"/>
      <c r="L9" s="13" t="s">
        <v>110</v>
      </c>
    </row>
    <row r="10" s="1" customFormat="1" customHeight="1" spans="1:16">
      <c r="A10" s="12">
        <v>46194</v>
      </c>
      <c r="B10" s="13" t="s">
        <v>12</v>
      </c>
      <c r="C10" s="14">
        <v>2627</v>
      </c>
      <c r="D10" s="14">
        <v>2627</v>
      </c>
      <c r="E10" s="12">
        <v>46043</v>
      </c>
      <c r="F10" s="14" t="s">
        <v>35</v>
      </c>
      <c r="G10" s="14" t="s">
        <v>111</v>
      </c>
      <c r="H10" s="14"/>
      <c r="I10" s="14"/>
      <c r="J10" s="14"/>
      <c r="K10" s="14"/>
      <c r="L10" s="13"/>
    </row>
    <row r="11" s="1" customFormat="1" customHeight="1" spans="1:16">
      <c r="A11" s="12">
        <v>46013</v>
      </c>
      <c r="B11" s="13" t="s">
        <v>10</v>
      </c>
      <c r="C11" s="14">
        <v>5882</v>
      </c>
      <c r="D11" s="14">
        <v>5882</v>
      </c>
      <c r="E11" s="12">
        <v>46013</v>
      </c>
      <c r="F11" s="14" t="s">
        <v>35</v>
      </c>
      <c r="G11" s="14" t="s">
        <v>111</v>
      </c>
      <c r="H11" s="14"/>
      <c r="I11" s="14"/>
      <c r="J11" s="14"/>
      <c r="K11" s="14"/>
      <c r="L11" s="13"/>
    </row>
    <row r="12" s="1" customFormat="1" customHeight="1" spans="1:16">
      <c r="A12" s="12">
        <v>46205</v>
      </c>
      <c r="B12" s="13" t="s">
        <v>9</v>
      </c>
      <c r="C12" s="14">
        <v>574</v>
      </c>
      <c r="D12" s="14">
        <v>574</v>
      </c>
      <c r="E12" s="12">
        <v>46205</v>
      </c>
      <c r="F12" s="14" t="s">
        <v>35</v>
      </c>
      <c r="G12" s="14" t="s">
        <v>112</v>
      </c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4">
      <c r="A1" s="4"/>
      <c r="B1" s="5"/>
      <c r="C1" s="6"/>
      <c r="D1" s="6"/>
      <c r="E1" s="7"/>
      <c r="F1" s="6"/>
      <c r="G1" s="6"/>
      <c r="H1" s="6"/>
      <c r="I1" s="6"/>
      <c r="J1" s="6"/>
      <c r="K1" s="15" t="str">
        <f>HYPERLINK("#总表！A3","返回总表")</f>
        <v>返回总表</v>
      </c>
      <c r="L1" s="5"/>
      <c r="N1" s="1" t="e" cm="1">
        <f t="array" ref="N1">_xlfn.PIVOTBY(_xlfn._TRO_TRAILING(B2:B999),,_xlfn._TRO_TRAILING(C2:D999),_xleta.SUM,3)</f>
        <v>#VALUE!</v>
      </c>
    </row>
    <row r="2" s="1" customFormat="1" customHeight="1" spans="1:14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</row>
    <row r="3" s="1" customFormat="1" customHeight="1" spans="1:14">
      <c r="A3" s="12"/>
      <c r="B3" s="13"/>
      <c r="C3" s="14"/>
      <c r="D3" s="14"/>
      <c r="E3" s="12"/>
      <c r="F3" s="14"/>
      <c r="G3" s="14"/>
      <c r="H3" s="14"/>
      <c r="I3" s="14"/>
      <c r="J3" s="14"/>
      <c r="K3" s="14"/>
      <c r="L3" s="13"/>
    </row>
    <row r="4" s="1" customFormat="1" customHeight="1" spans="1:14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4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4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4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4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4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4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4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4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4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4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4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4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4">
      <c r="A1" s="4"/>
      <c r="B1" s="5"/>
      <c r="C1" s="6"/>
      <c r="D1" s="6"/>
      <c r="E1" s="7"/>
      <c r="F1" s="6"/>
      <c r="G1" s="6"/>
      <c r="H1" s="6"/>
      <c r="I1" s="6"/>
      <c r="J1" s="6"/>
      <c r="K1" s="15" t="str">
        <f>HYPERLINK("#总表！A3","返回总表")</f>
        <v>返回总表</v>
      </c>
      <c r="L1" s="5"/>
      <c r="N1" s="1" t="e" cm="1">
        <f t="array" ref="N1">_xlfn.PIVOTBY(_xlfn._TRO_TRAILING(B2:B999),,_xlfn._TRO_TRAILING(C2:D999),_xleta.SUM,3)</f>
        <v>#VALUE!</v>
      </c>
    </row>
    <row r="2" s="1" customFormat="1" customHeight="1" spans="1:14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</row>
    <row r="3" s="1" customFormat="1" customHeight="1" spans="1:14">
      <c r="A3" s="12"/>
      <c r="B3" s="13"/>
      <c r="C3" s="14"/>
      <c r="D3" s="14"/>
      <c r="E3" s="12"/>
      <c r="F3" s="14"/>
      <c r="G3" s="14"/>
      <c r="H3" s="14"/>
      <c r="I3" s="14"/>
      <c r="J3" s="14"/>
      <c r="K3" s="14"/>
      <c r="L3" s="13"/>
    </row>
    <row r="4" s="1" customFormat="1" customHeight="1" spans="1:14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4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4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4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4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4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4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4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4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4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4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4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4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4">
      <c r="A1" s="4"/>
      <c r="B1" s="5"/>
      <c r="C1" s="6"/>
      <c r="D1" s="6"/>
      <c r="E1" s="7"/>
      <c r="F1" s="6"/>
      <c r="G1" s="6"/>
      <c r="H1" s="6"/>
      <c r="I1" s="6"/>
      <c r="J1" s="6"/>
      <c r="K1" s="15" t="str">
        <f>HYPERLINK("#总表！A3","返回总表")</f>
        <v>返回总表</v>
      </c>
      <c r="L1" s="5"/>
      <c r="N1" s="1" t="e" cm="1">
        <f t="array" ref="N1">_xlfn.PIVOTBY(_xlfn._TRO_TRAILING(B2:B999),,_xlfn._TRO_TRAILING(C2:D999),_xleta.SUM,3)</f>
        <v>#VALUE!</v>
      </c>
    </row>
    <row r="2" s="1" customFormat="1" customHeight="1" spans="1:14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</row>
    <row r="3" s="1" customFormat="1" customHeight="1" spans="1:14">
      <c r="A3" s="12"/>
      <c r="B3" s="13"/>
      <c r="C3" s="14"/>
      <c r="D3" s="14"/>
      <c r="E3" s="12"/>
      <c r="F3" s="14"/>
      <c r="G3" s="14"/>
      <c r="H3" s="14"/>
      <c r="I3" s="14"/>
      <c r="J3" s="14"/>
      <c r="K3" s="14"/>
      <c r="L3" s="13"/>
    </row>
    <row r="4" s="1" customFormat="1" customHeight="1" spans="1:14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4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4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4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4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4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4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4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4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4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4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4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4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workbookViewId="0">
      <selection activeCell="K1" sqref="K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4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e" cm="1">
        <f t="array" ref="N1">_xlfn.PIVOTBY(_xlfn._TRO_TRAILING(B2:B999),,_xlfn._TRO_TRAILING(C2:D999),_xleta.SUM,3)</f>
        <v>#VALUE!</v>
      </c>
    </row>
    <row r="2" s="1" customFormat="1" customHeight="1" spans="1:14">
      <c r="A2" s="9" t="s">
        <v>24</v>
      </c>
      <c r="B2" s="10" t="s">
        <v>25</v>
      </c>
      <c r="C2" s="11" t="s">
        <v>26</v>
      </c>
      <c r="D2" s="11" t="s">
        <v>27</v>
      </c>
      <c r="E2" s="9" t="s">
        <v>28</v>
      </c>
      <c r="F2" s="11" t="s">
        <v>29</v>
      </c>
      <c r="G2" s="11" t="s">
        <v>50</v>
      </c>
      <c r="H2" s="11" t="s">
        <v>30</v>
      </c>
      <c r="I2" s="11" t="s">
        <v>31</v>
      </c>
      <c r="J2" s="11" t="s">
        <v>32</v>
      </c>
      <c r="K2" s="11" t="s">
        <v>33</v>
      </c>
      <c r="L2" s="10" t="s">
        <v>34</v>
      </c>
    </row>
    <row r="3" s="1" customFormat="1" customHeight="1" spans="1:14">
      <c r="A3" s="12"/>
      <c r="B3" s="13"/>
      <c r="C3" s="14"/>
      <c r="D3" s="14"/>
      <c r="E3" s="12"/>
      <c r="F3" s="14"/>
      <c r="G3" s="14"/>
      <c r="H3" s="14"/>
      <c r="I3" s="14"/>
      <c r="J3" s="14"/>
      <c r="K3" s="14"/>
      <c r="L3" s="13"/>
    </row>
    <row r="4" s="1" customFormat="1" customHeight="1" spans="1:14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4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4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4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4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4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4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4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4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4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4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4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4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总表</vt:lpstr>
      <vt:lpstr>筑强</vt:lpstr>
      <vt:lpstr>九江安洋钢材熊总</vt:lpstr>
      <vt:lpstr>鑫城五金庄总</vt:lpstr>
      <vt:lpstr>浔阳楼电缆</vt:lpstr>
      <vt:lpstr>启航五金</vt:lpstr>
      <vt:lpstr>杭州行消物资贸易</vt:lpstr>
      <vt:lpstr>南昌盈厚建材</vt:lpstr>
      <vt:lpstr>浙缆元通电缆</vt:lpstr>
      <vt:lpstr>江西允诺消防</vt:lpstr>
      <vt:lpstr>江西沐丰水箱</vt:lpstr>
      <vt:lpstr>上海诚果泵阀</vt:lpstr>
      <vt:lpstr>佩力通风</vt:lpstr>
      <vt:lpstr>浙江寅盾智能</vt:lpstr>
      <vt:lpstr>九江中和安</vt:lpstr>
      <vt:lpstr>江西弘文消防</vt:lpstr>
      <vt:lpstr>华翔电缆桥架</vt:lpstr>
      <vt:lpstr>温州冠林物资</vt:lpstr>
      <vt:lpstr>温州创泰电气</vt:lpstr>
      <vt:lpstr>浙江杭风通风</vt:lpstr>
      <vt:lpstr>浙江尚杰建材</vt:lpstr>
      <vt:lpstr>江西跃池建材</vt:lpstr>
      <vt:lpstr>天闽消防</vt:lpstr>
      <vt:lpstr>瑞安中拓拱水</vt:lpstr>
      <vt:lpstr>辰南贸易</vt:lpstr>
      <vt:lpstr>南昌航卓建材</vt:lpstr>
      <vt:lpstr>德安远达建材</vt:lpstr>
      <vt:lpstr>九江恒讯消防</vt:lpstr>
      <vt:lpstr>四川久远</vt:lpstr>
      <vt:lpstr>温州爱思强贸易</vt:lpstr>
      <vt:lpstr>零星供应商</vt:lpstr>
      <vt:lpstr>Sheet19</vt:lpstr>
      <vt:lpstr>Sheet20</vt:lpstr>
      <vt:lpstr>Sheet21</vt:lpstr>
      <vt:lpstr>Sheet22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2023-05-12T11:15:00Z</dcterms:created>
  <dcterms:modified xsi:type="dcterms:W3CDTF">2026-10-08T14:04:10Z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4F34B00CD7E64C6DAFDE36F62741EC13_13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