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9200" windowHeight="6690"/>
  </bookViews>
  <sheets>
    <sheet name="项目汇总情况" sheetId="6" r:id="rId1"/>
    <sheet name="应付汇总" sheetId="4" r:id="rId2"/>
    <sheet name="利润表" sheetId="11" r:id="rId3"/>
    <sheet name="待摊费用" sheetId="10" r:id="rId4"/>
    <sheet name="销售发票的明细" sheetId="8" r:id="rId5"/>
    <sheet name="项目的税负表" sheetId="9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供应商名称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实际付款</t>
        </r>
      </text>
    </comment>
  </commentList>
</comments>
</file>

<file path=xl/sharedStrings.xml><?xml version="1.0" encoding="utf-8"?>
<sst xmlns="http://schemas.openxmlformats.org/spreadsheetml/2006/main" count="140" uniqueCount="111">
  <si>
    <t>项目名称</t>
  </si>
  <si>
    <t>甲方</t>
  </si>
  <si>
    <t>乙方</t>
  </si>
  <si>
    <t>合同金额</t>
  </si>
  <si>
    <t>质保金</t>
  </si>
  <si>
    <t>回款金额</t>
  </si>
  <si>
    <t>未收款</t>
  </si>
  <si>
    <t>收款比例</t>
  </si>
  <si>
    <t>已开票金额</t>
  </si>
  <si>
    <t>税率</t>
  </si>
  <si>
    <t>未开票金额</t>
  </si>
  <si>
    <t>农村商业银行股份有限公司德安县总部室外消防栓改造</t>
  </si>
  <si>
    <t>银行</t>
  </si>
  <si>
    <t>竣辉</t>
  </si>
  <si>
    <t>名称（材料）</t>
  </si>
  <si>
    <t>摘要</t>
  </si>
  <si>
    <t>应付金额/合同金额</t>
  </si>
  <si>
    <t>已支付</t>
  </si>
  <si>
    <t>已付合计</t>
  </si>
  <si>
    <t>未付金额</t>
  </si>
  <si>
    <t>已开发票金额</t>
  </si>
  <si>
    <t>税额</t>
  </si>
  <si>
    <t>欠发票金额</t>
  </si>
  <si>
    <t>江西筑强建材有限公司</t>
  </si>
  <si>
    <t>消防器材</t>
  </si>
  <si>
    <t>德安草坪基地</t>
  </si>
  <si>
    <t>草皮</t>
  </si>
  <si>
    <t>%</t>
  </si>
  <si>
    <t>稻花香(树苗供应商）</t>
  </si>
  <si>
    <t>树苗</t>
  </si>
  <si>
    <t>名称（人工）</t>
  </si>
  <si>
    <t>应付金额</t>
  </si>
  <si>
    <t>项目-劳务费</t>
  </si>
  <si>
    <t>农民工工资</t>
  </si>
  <si>
    <t>临时工工资</t>
  </si>
  <si>
    <t>王伟现金付</t>
  </si>
  <si>
    <t>名称（间接）</t>
  </si>
  <si>
    <t>项目-期间费-机械费</t>
  </si>
  <si>
    <t>挖机费用</t>
  </si>
  <si>
    <t>德安农商行总部利润表</t>
  </si>
  <si>
    <t>项目</t>
  </si>
  <si>
    <t>金额</t>
  </si>
  <si>
    <t>百分比</t>
  </si>
  <si>
    <t>收入项目</t>
  </si>
  <si>
    <t>工程款</t>
  </si>
  <si>
    <t>总收入</t>
  </si>
  <si>
    <t>支出项目</t>
  </si>
  <si>
    <t>项目-材料费</t>
  </si>
  <si>
    <t>项目-期间费</t>
  </si>
  <si>
    <t>分摊费用</t>
  </si>
  <si>
    <t>总支出</t>
  </si>
  <si>
    <t>利  润</t>
  </si>
  <si>
    <t>工程款合计</t>
  </si>
  <si>
    <t>25-26合计</t>
  </si>
  <si>
    <t>比例</t>
  </si>
  <si>
    <t>待摊费用</t>
  </si>
  <si>
    <t>25年</t>
  </si>
  <si>
    <t>2025年待摊费用</t>
  </si>
  <si>
    <t>26年</t>
  </si>
  <si>
    <t>2026年待摊费用</t>
  </si>
  <si>
    <t>九安架空层</t>
  </si>
  <si>
    <t>办公费</t>
  </si>
  <si>
    <t>德安养老中心</t>
  </si>
  <si>
    <t>张滨、王伟报销</t>
  </si>
  <si>
    <t>贷款利息</t>
  </si>
  <si>
    <t>科创中心</t>
  </si>
  <si>
    <t>本地税费</t>
  </si>
  <si>
    <t>朱博文社保</t>
  </si>
  <si>
    <t>数字产业园</t>
  </si>
  <si>
    <t>办公室工资</t>
  </si>
  <si>
    <t>本地税款</t>
  </si>
  <si>
    <t>邹桥派出所</t>
  </si>
  <si>
    <t>聂辉工资</t>
  </si>
  <si>
    <t>抚州1号楼</t>
  </si>
  <si>
    <t>王伟工资</t>
  </si>
  <si>
    <t>抚州2号楼</t>
  </si>
  <si>
    <t>张滨工资</t>
  </si>
  <si>
    <t>抚州8号楼</t>
  </si>
  <si>
    <t>聂辉报销款</t>
  </si>
  <si>
    <t>共青农商行</t>
  </si>
  <si>
    <t>王伟报销款</t>
  </si>
  <si>
    <t>张滨报销款</t>
  </si>
  <si>
    <t>25年合计：</t>
  </si>
  <si>
    <t>26年合计：</t>
  </si>
  <si>
    <t>销售发票及回款</t>
  </si>
  <si>
    <t>收款日期</t>
  </si>
  <si>
    <t>收款金额</t>
  </si>
  <si>
    <t>开票日期</t>
  </si>
  <si>
    <t>开票金额</t>
  </si>
  <si>
    <t>备注</t>
  </si>
  <si>
    <t xml:space="preserve"> </t>
  </si>
  <si>
    <t>xxxxxxx项目税负表</t>
  </si>
  <si>
    <t>扣款明细</t>
  </si>
  <si>
    <t>名称</t>
  </si>
  <si>
    <t>含税金额</t>
  </si>
  <si>
    <t>不含税金额</t>
  </si>
  <si>
    <t>已回票</t>
  </si>
  <si>
    <t>差票</t>
  </si>
  <si>
    <t>费用</t>
  </si>
  <si>
    <t>费率</t>
  </si>
  <si>
    <t>工程款9%</t>
  </si>
  <si>
    <t>增值税</t>
  </si>
  <si>
    <t>材料专票</t>
  </si>
  <si>
    <t>附加税</t>
  </si>
  <si>
    <t>劳务及其他</t>
  </si>
  <si>
    <t>印花税</t>
  </si>
  <si>
    <t>普通</t>
  </si>
  <si>
    <t>企业所得税</t>
  </si>
  <si>
    <t>扣款</t>
  </si>
  <si>
    <t>合计</t>
  </si>
  <si>
    <t>税负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</si>
</sst>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theme="0"/>
      <name val="宋体"/>
      <charset val="134"/>
      <scheme val="minor"/>
    </font>
    <font>
      <sz val="16"/>
      <color theme="0"/>
      <name val="微软雅黑"/>
      <charset val="134"/>
    </font>
    <font>
      <sz val="12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6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890133365886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9" borderId="1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5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8" fillId="0" borderId="0">
      <alignment vertical="center"/>
    </xf>
    <xf numFmtId="0" fontId="19" fillId="10" borderId="17">
      <alignment vertical="center"/>
    </xf>
    <xf numFmtId="0" fontId="20" fillId="11" borderId="18">
      <alignment vertical="center"/>
    </xf>
    <xf numFmtId="0" fontId="21" fillId="11" borderId="17">
      <alignment vertical="center"/>
    </xf>
    <xf numFmtId="0" fontId="22" fillId="12" borderId="19">
      <alignment vertical="center"/>
    </xf>
    <xf numFmtId="0" fontId="23" fillId="0" borderId="20">
      <alignment vertical="center"/>
    </xf>
    <xf numFmtId="0" fontId="24" fillId="0" borderId="21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4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28" fillId="38" borderId="0">
      <alignment vertical="center"/>
    </xf>
    <xf numFmtId="0" fontId="30" fillId="0" borderId="0">
      <alignment vertical="center"/>
    </xf>
  </cellStyleXfs>
  <cellXfs count="6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0" fontId="2" fillId="3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 wrapText="1"/>
    </xf>
    <xf numFmtId="10" fontId="2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4" fontId="4" fillId="5" borderId="5" xfId="0" applyNumberFormat="1" applyFont="1" applyFill="1" applyBorder="1" applyAlignment="1" applyProtection="1">
      <alignment horizontal="center" vertical="center"/>
      <protection hidden="1"/>
    </xf>
    <xf numFmtId="14" fontId="4" fillId="5" borderId="6" xfId="0" applyNumberFormat="1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>
      <alignment horizontal="center" vertical="center"/>
    </xf>
    <xf numFmtId="0" fontId="5" fillId="5" borderId="5" xfId="1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 applyProtection="1">
      <alignment horizontal="center" vertical="center" textRotation="255"/>
      <protection locked="0"/>
    </xf>
    <xf numFmtId="0" fontId="6" fillId="6" borderId="8" xfId="0" applyFont="1" applyFill="1" applyBorder="1" applyAlignment="1">
      <alignment horizontal="center" vertical="center"/>
    </xf>
    <xf numFmtId="43" fontId="6" fillId="6" borderId="9" xfId="1" applyNumberFormat="1" applyFont="1" applyFill="1" applyBorder="1" applyAlignment="1">
      <alignment horizontal="center" vertical="center" wrapText="1"/>
    </xf>
    <xf numFmtId="10" fontId="6" fillId="7" borderId="9" xfId="3" applyNumberFormat="1" applyFont="1" applyFill="1" applyBorder="1" applyAlignment="1">
      <alignment horizontal="center" vertical="center" wrapText="1"/>
    </xf>
    <xf numFmtId="0" fontId="0" fillId="6" borderId="10" xfId="0" applyFont="1" applyFill="1" applyBorder="1" applyAlignment="1" applyProtection="1">
      <alignment horizontal="center" vertical="center"/>
      <protection locked="0"/>
    </xf>
    <xf numFmtId="0" fontId="0" fillId="6" borderId="11" xfId="0" applyFont="1" applyFill="1" applyBorder="1" applyAlignment="1" applyProtection="1">
      <alignment horizontal="center" vertical="center"/>
      <protection locked="0"/>
    </xf>
    <xf numFmtId="43" fontId="7" fillId="7" borderId="12" xfId="1" applyNumberFormat="1" applyFont="1" applyFill="1" applyBorder="1" applyAlignment="1">
      <alignment horizontal="center" vertical="center" wrapText="1"/>
    </xf>
    <xf numFmtId="10" fontId="6" fillId="7" borderId="12" xfId="3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 applyProtection="1">
      <alignment horizontal="center" vertical="center"/>
    </xf>
    <xf numFmtId="43" fontId="6" fillId="7" borderId="12" xfId="1" applyNumberFormat="1" applyFont="1" applyFill="1" applyBorder="1" applyAlignment="1">
      <alignment horizontal="center" vertical="center" wrapText="1"/>
    </xf>
    <xf numFmtId="10" fontId="6" fillId="6" borderId="12" xfId="3" applyNumberFormat="1" applyFont="1" applyFill="1" applyBorder="1" applyAlignment="1">
      <alignment horizontal="center" vertical="center" wrapText="1"/>
    </xf>
    <xf numFmtId="0" fontId="6" fillId="6" borderId="13" xfId="0" applyFont="1" applyFill="1" applyBorder="1" applyAlignment="1" applyProtection="1">
      <alignment horizontal="center" vertical="center"/>
    </xf>
    <xf numFmtId="43" fontId="7" fillId="6" borderId="12" xfId="1" applyNumberFormat="1" applyFont="1" applyFill="1" applyBorder="1" applyAlignment="1">
      <alignment horizontal="center" vertical="center" wrapText="1"/>
    </xf>
    <xf numFmtId="43" fontId="6" fillId="6" borderId="12" xfId="3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176" fontId="9" fillId="8" borderId="4" xfId="0" applyNumberFormat="1" applyFont="1" applyFill="1" applyBorder="1" applyAlignment="1">
      <alignment horizontal="center" vertical="center" wrapText="1"/>
    </xf>
    <xf numFmtId="176" fontId="9" fillId="8" borderId="4" xfId="0" applyNumberFormat="1" applyFont="1" applyFill="1" applyBorder="1" applyAlignment="1">
      <alignment horizontal="center" vertical="center"/>
    </xf>
    <xf numFmtId="9" fontId="9" fillId="8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176" fontId="10" fillId="4" borderId="4" xfId="0" applyNumberFormat="1" applyFont="1" applyFill="1" applyBorder="1" applyAlignment="1">
      <alignment horizontal="center" vertical="center" wrapText="1"/>
    </xf>
    <xf numFmtId="9" fontId="0" fillId="0" borderId="4" xfId="0" applyNumberFormat="1" applyBorder="1" applyAlignment="1">
      <alignment horizontal="right" vertical="center"/>
    </xf>
    <xf numFmtId="176" fontId="0" fillId="0" borderId="4" xfId="0" applyNumberForma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1459;&#36745;&#20844;&#21496;&#21488;&#36134;\25-26&#21512;&#24182;&#29256;&#24037;&#31243;&#31995;&#3247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基础信息"/>
      <sheetName val="收支登记表"/>
      <sheetName val="内部转账"/>
      <sheetName val="账户统计"/>
      <sheetName val="应收登记"/>
      <sheetName val="应付登记"/>
      <sheetName val="销售合同"/>
      <sheetName val="采购合同"/>
      <sheetName val="销项发票登记"/>
      <sheetName val="进项发票登记"/>
      <sheetName val="成本核算明细"/>
      <sheetName val="收入核算明细"/>
      <sheetName val="利润表"/>
      <sheetName val="往来报表"/>
      <sheetName val="员工借款"/>
      <sheetName val="工程项目明细"/>
      <sheetName val="任意时段报表"/>
      <sheetName val="员工统计"/>
      <sheetName val="项目收支统计"/>
      <sheetName val="项目汇总"/>
      <sheetName val="考勤表"/>
      <sheetName val="收入汇总"/>
      <sheetName val="支出汇总"/>
      <sheetName val="年度汇总"/>
      <sheetName val="工资表"/>
    </sheetNames>
    <sheetDataSet>
      <sheetData sheetId="0" refreshError="1"/>
      <sheetData sheetId="1" refreshError="1"/>
      <sheetData sheetId="2" refreshError="1">
        <row r="5">
          <cell r="D5" t="str">
            <v>收支登记</v>
          </cell>
        </row>
        <row r="5">
          <cell r="J5" t="str">
            <v>收入总金额</v>
          </cell>
          <cell r="K5" t="str">
            <v>支出总金额</v>
          </cell>
        </row>
        <row r="6">
          <cell r="J6">
            <v>0</v>
          </cell>
          <cell r="K6">
            <v>334000</v>
          </cell>
        </row>
        <row r="7">
          <cell r="D7" t="str">
            <v>日期</v>
          </cell>
        </row>
        <row r="7">
          <cell r="H7" t="str">
            <v>收支项目</v>
          </cell>
        </row>
        <row r="7">
          <cell r="J7" t="str">
            <v>收入金额</v>
          </cell>
          <cell r="K7" t="str">
            <v>支出金额</v>
          </cell>
        </row>
        <row r="7">
          <cell r="M7" t="str">
            <v>项目名称</v>
          </cell>
        </row>
        <row r="10">
          <cell r="D10">
            <v>45721</v>
          </cell>
        </row>
        <row r="10">
          <cell r="H10" t="str">
            <v>个人借款-聂辉</v>
          </cell>
        </row>
        <row r="10">
          <cell r="K10">
            <v>-5000</v>
          </cell>
        </row>
        <row r="10">
          <cell r="M10" t="str">
            <v>个人借款</v>
          </cell>
        </row>
        <row r="11">
          <cell r="D11">
            <v>45721</v>
          </cell>
        </row>
        <row r="11">
          <cell r="H11" t="str">
            <v>税款</v>
          </cell>
        </row>
        <row r="11">
          <cell r="K11">
            <v>16</v>
          </cell>
        </row>
        <row r="11">
          <cell r="M11" t="str">
            <v>办公室</v>
          </cell>
        </row>
        <row r="12">
          <cell r="D12">
            <v>45721</v>
          </cell>
        </row>
        <row r="12">
          <cell r="H12" t="str">
            <v>税款</v>
          </cell>
        </row>
        <row r="12">
          <cell r="K12">
            <v>3998.76</v>
          </cell>
        </row>
        <row r="12">
          <cell r="M12" t="str">
            <v>办公室</v>
          </cell>
        </row>
        <row r="13">
          <cell r="D13">
            <v>45724</v>
          </cell>
        </row>
        <row r="13">
          <cell r="H13" t="str">
            <v>个人借款-聂辉</v>
          </cell>
        </row>
        <row r="13">
          <cell r="K13">
            <v>-3000</v>
          </cell>
        </row>
        <row r="13">
          <cell r="M13" t="str">
            <v>个人借款</v>
          </cell>
        </row>
        <row r="14">
          <cell r="D14">
            <v>45724</v>
          </cell>
        </row>
        <row r="14">
          <cell r="H14" t="str">
            <v>项目-材料费</v>
          </cell>
        </row>
        <row r="14">
          <cell r="K14">
            <v>2000</v>
          </cell>
        </row>
        <row r="14">
          <cell r="M14" t="str">
            <v>九安架空层</v>
          </cell>
        </row>
        <row r="15">
          <cell r="D15">
            <v>45724</v>
          </cell>
        </row>
        <row r="15">
          <cell r="H15" t="str">
            <v>个人借款-聂辉</v>
          </cell>
        </row>
        <row r="15">
          <cell r="K15">
            <v>-17000</v>
          </cell>
        </row>
        <row r="15">
          <cell r="M15" t="str">
            <v>个人借款</v>
          </cell>
        </row>
        <row r="16">
          <cell r="D16">
            <v>45724</v>
          </cell>
        </row>
        <row r="16">
          <cell r="H16" t="str">
            <v>项目-材料费</v>
          </cell>
        </row>
        <row r="16">
          <cell r="K16">
            <v>9600</v>
          </cell>
        </row>
        <row r="16">
          <cell r="M16" t="str">
            <v>九安架空层</v>
          </cell>
        </row>
        <row r="17">
          <cell r="D17">
            <v>45724</v>
          </cell>
        </row>
        <row r="17">
          <cell r="H17" t="str">
            <v>项目-材料费</v>
          </cell>
        </row>
        <row r="17">
          <cell r="K17">
            <v>6900</v>
          </cell>
        </row>
        <row r="17">
          <cell r="M17" t="str">
            <v>九安架空层</v>
          </cell>
        </row>
        <row r="18">
          <cell r="D18">
            <v>45727</v>
          </cell>
        </row>
        <row r="18">
          <cell r="H18" t="str">
            <v>项目-材料费</v>
          </cell>
        </row>
        <row r="18">
          <cell r="K18">
            <v>3800</v>
          </cell>
        </row>
        <row r="18">
          <cell r="M18" t="str">
            <v>九安架空层</v>
          </cell>
        </row>
        <row r="19">
          <cell r="D19">
            <v>45728</v>
          </cell>
        </row>
        <row r="19">
          <cell r="H19" t="str">
            <v>个人借款-聂辉</v>
          </cell>
        </row>
        <row r="19">
          <cell r="K19">
            <v>-15000</v>
          </cell>
        </row>
        <row r="19">
          <cell r="M19" t="str">
            <v>个人借款</v>
          </cell>
        </row>
        <row r="20">
          <cell r="D20">
            <v>45729</v>
          </cell>
        </row>
        <row r="20">
          <cell r="H20" t="str">
            <v>税款</v>
          </cell>
        </row>
        <row r="20">
          <cell r="K20">
            <v>56</v>
          </cell>
        </row>
        <row r="20">
          <cell r="M20" t="str">
            <v>办公室</v>
          </cell>
        </row>
        <row r="21">
          <cell r="D21">
            <v>45729</v>
          </cell>
        </row>
        <row r="21">
          <cell r="H21" t="str">
            <v>税款</v>
          </cell>
        </row>
        <row r="21">
          <cell r="K21">
            <v>13995.66</v>
          </cell>
        </row>
        <row r="21">
          <cell r="M21" t="str">
            <v>办公室</v>
          </cell>
        </row>
        <row r="22">
          <cell r="D22">
            <v>45730</v>
          </cell>
        </row>
        <row r="22">
          <cell r="H22" t="str">
            <v>项目-材料费</v>
          </cell>
        </row>
        <row r="22">
          <cell r="K22">
            <v>-1189.27</v>
          </cell>
        </row>
        <row r="22">
          <cell r="M22" t="str">
            <v>九安架空层</v>
          </cell>
        </row>
        <row r="23">
          <cell r="D23">
            <v>45737</v>
          </cell>
        </row>
        <row r="23">
          <cell r="H23" t="str">
            <v>办公室-办公费</v>
          </cell>
        </row>
        <row r="23">
          <cell r="K23">
            <v>-20.43</v>
          </cell>
        </row>
        <row r="23">
          <cell r="M23" t="str">
            <v>办公室</v>
          </cell>
        </row>
        <row r="24">
          <cell r="D24">
            <v>45747</v>
          </cell>
        </row>
        <row r="24">
          <cell r="H24" t="str">
            <v>个人借款-聂辉</v>
          </cell>
        </row>
        <row r="24">
          <cell r="K24">
            <v>-26800</v>
          </cell>
        </row>
        <row r="24">
          <cell r="M24" t="str">
            <v>个人借款</v>
          </cell>
        </row>
        <row r="25">
          <cell r="D25">
            <v>45747</v>
          </cell>
        </row>
        <row r="25">
          <cell r="H25" t="str">
            <v>办公室-工资</v>
          </cell>
        </row>
        <row r="25">
          <cell r="K25">
            <v>10000</v>
          </cell>
        </row>
        <row r="25">
          <cell r="M25" t="str">
            <v>办公室</v>
          </cell>
        </row>
        <row r="26">
          <cell r="D26">
            <v>45749</v>
          </cell>
        </row>
        <row r="26">
          <cell r="H26" t="str">
            <v>办公室-工资</v>
          </cell>
        </row>
        <row r="26">
          <cell r="K26">
            <v>10000</v>
          </cell>
        </row>
        <row r="26">
          <cell r="M26" t="str">
            <v>办公室</v>
          </cell>
        </row>
        <row r="27">
          <cell r="D27">
            <v>45759</v>
          </cell>
        </row>
        <row r="27">
          <cell r="H27" t="str">
            <v>办公室-办公费</v>
          </cell>
        </row>
        <row r="27">
          <cell r="K27">
            <v>6200</v>
          </cell>
        </row>
        <row r="27">
          <cell r="M27" t="str">
            <v>办公室</v>
          </cell>
        </row>
        <row r="28">
          <cell r="D28">
            <v>45777</v>
          </cell>
        </row>
        <row r="28">
          <cell r="H28" t="str">
            <v>个人借款-聂辉</v>
          </cell>
        </row>
        <row r="28">
          <cell r="K28">
            <v>-50000</v>
          </cell>
        </row>
        <row r="28">
          <cell r="M28" t="str">
            <v>个人借款</v>
          </cell>
        </row>
        <row r="29">
          <cell r="D29">
            <v>45777</v>
          </cell>
        </row>
        <row r="29">
          <cell r="H29" t="str">
            <v>项目-劳务费</v>
          </cell>
        </row>
        <row r="29">
          <cell r="K29">
            <v>3000</v>
          </cell>
        </row>
        <row r="29">
          <cell r="M29" t="str">
            <v>九安架空层</v>
          </cell>
        </row>
        <row r="30">
          <cell r="D30">
            <v>45777</v>
          </cell>
        </row>
        <row r="30">
          <cell r="H30" t="str">
            <v>项目-劳务费</v>
          </cell>
        </row>
        <row r="30">
          <cell r="K30">
            <v>2000</v>
          </cell>
        </row>
        <row r="30">
          <cell r="M30" t="str">
            <v>九安架空层</v>
          </cell>
        </row>
        <row r="31">
          <cell r="D31">
            <v>45777</v>
          </cell>
        </row>
        <row r="31">
          <cell r="H31" t="str">
            <v>项目-劳务费</v>
          </cell>
        </row>
        <row r="31">
          <cell r="K31">
            <v>2000</v>
          </cell>
        </row>
        <row r="31">
          <cell r="M31" t="str">
            <v>九安架空层</v>
          </cell>
        </row>
        <row r="32">
          <cell r="D32">
            <v>45777</v>
          </cell>
        </row>
        <row r="32">
          <cell r="H32" t="str">
            <v>项目-劳务费</v>
          </cell>
        </row>
        <row r="32">
          <cell r="K32">
            <v>3000</v>
          </cell>
        </row>
        <row r="32">
          <cell r="M32" t="str">
            <v>九安架空层</v>
          </cell>
        </row>
        <row r="33">
          <cell r="D33">
            <v>45777</v>
          </cell>
        </row>
        <row r="33">
          <cell r="H33" t="str">
            <v>项目-劳务费</v>
          </cell>
        </row>
        <row r="33">
          <cell r="K33">
            <v>1000</v>
          </cell>
        </row>
        <row r="33">
          <cell r="M33" t="str">
            <v>九安架空层</v>
          </cell>
        </row>
        <row r="34">
          <cell r="D34">
            <v>45780</v>
          </cell>
        </row>
        <row r="34">
          <cell r="H34" t="str">
            <v>项目-劳务费</v>
          </cell>
        </row>
        <row r="34">
          <cell r="K34">
            <v>3000</v>
          </cell>
        </row>
        <row r="34">
          <cell r="M34" t="str">
            <v>九安架空层</v>
          </cell>
        </row>
        <row r="35">
          <cell r="D35">
            <v>45780</v>
          </cell>
        </row>
        <row r="35">
          <cell r="H35" t="str">
            <v>项目-劳务费</v>
          </cell>
        </row>
        <row r="35">
          <cell r="K35">
            <v>1000</v>
          </cell>
        </row>
        <row r="35">
          <cell r="M35" t="str">
            <v>九安架空层</v>
          </cell>
        </row>
        <row r="36">
          <cell r="D36">
            <v>45780</v>
          </cell>
        </row>
        <row r="36">
          <cell r="H36" t="str">
            <v>项目-劳务费</v>
          </cell>
        </row>
        <row r="36">
          <cell r="K36">
            <v>800</v>
          </cell>
        </row>
        <row r="36">
          <cell r="M36" t="str">
            <v>九安架空层</v>
          </cell>
        </row>
        <row r="37">
          <cell r="D37">
            <v>45780</v>
          </cell>
        </row>
        <row r="37">
          <cell r="H37" t="str">
            <v>项目-劳务费</v>
          </cell>
        </row>
        <row r="37">
          <cell r="K37">
            <v>500</v>
          </cell>
        </row>
        <row r="37">
          <cell r="M37" t="str">
            <v>九安架空层</v>
          </cell>
        </row>
        <row r="38">
          <cell r="D38">
            <v>45780</v>
          </cell>
        </row>
        <row r="38">
          <cell r="H38" t="str">
            <v>项目-劳务费</v>
          </cell>
        </row>
        <row r="38">
          <cell r="K38">
            <v>500</v>
          </cell>
        </row>
        <row r="38">
          <cell r="M38" t="str">
            <v>九安架空层</v>
          </cell>
        </row>
        <row r="39">
          <cell r="D39">
            <v>45780</v>
          </cell>
        </row>
        <row r="39">
          <cell r="H39" t="str">
            <v>项目-劳务费</v>
          </cell>
        </row>
        <row r="39">
          <cell r="K39">
            <v>-500</v>
          </cell>
        </row>
        <row r="39">
          <cell r="M39" t="str">
            <v>九安架空层</v>
          </cell>
        </row>
        <row r="40">
          <cell r="D40">
            <v>45780</v>
          </cell>
        </row>
        <row r="40">
          <cell r="H40" t="str">
            <v>项目-劳务费</v>
          </cell>
        </row>
        <row r="40">
          <cell r="K40">
            <v>500</v>
          </cell>
        </row>
        <row r="40">
          <cell r="M40" t="str">
            <v>九安架空层</v>
          </cell>
        </row>
        <row r="41">
          <cell r="D41">
            <v>45780</v>
          </cell>
        </row>
        <row r="41">
          <cell r="H41" t="str">
            <v>项目-劳务费</v>
          </cell>
        </row>
        <row r="41">
          <cell r="K41">
            <v>500</v>
          </cell>
        </row>
        <row r="41">
          <cell r="M41" t="str">
            <v>九安架空层</v>
          </cell>
        </row>
        <row r="42">
          <cell r="D42">
            <v>45780</v>
          </cell>
        </row>
        <row r="42">
          <cell r="H42" t="str">
            <v>项目-劳务费</v>
          </cell>
        </row>
        <row r="42">
          <cell r="K42">
            <v>1000</v>
          </cell>
        </row>
        <row r="42">
          <cell r="M42" t="str">
            <v>九安架空层</v>
          </cell>
        </row>
        <row r="43">
          <cell r="D43">
            <v>45780</v>
          </cell>
        </row>
        <row r="43">
          <cell r="H43" t="str">
            <v>项目-分包</v>
          </cell>
        </row>
        <row r="43">
          <cell r="K43">
            <v>2000</v>
          </cell>
        </row>
        <row r="43">
          <cell r="M43" t="str">
            <v>九安架空层</v>
          </cell>
        </row>
        <row r="44">
          <cell r="D44">
            <v>45780</v>
          </cell>
        </row>
        <row r="44">
          <cell r="H44" t="str">
            <v>项目-分包</v>
          </cell>
        </row>
        <row r="44">
          <cell r="K44">
            <v>2000</v>
          </cell>
        </row>
        <row r="44">
          <cell r="M44" t="str">
            <v>九安架空层</v>
          </cell>
        </row>
        <row r="45">
          <cell r="D45">
            <v>45780</v>
          </cell>
        </row>
        <row r="45">
          <cell r="H45" t="str">
            <v>项目-分包</v>
          </cell>
        </row>
        <row r="45">
          <cell r="K45">
            <v>2000</v>
          </cell>
        </row>
        <row r="45">
          <cell r="M45" t="str">
            <v>九安架空层</v>
          </cell>
        </row>
        <row r="46">
          <cell r="D46">
            <v>45780</v>
          </cell>
        </row>
        <row r="46">
          <cell r="H46" t="str">
            <v>项目-分包</v>
          </cell>
        </row>
        <row r="46">
          <cell r="K46">
            <v>2000</v>
          </cell>
        </row>
        <row r="46">
          <cell r="M46" t="str">
            <v>九安架空层</v>
          </cell>
        </row>
        <row r="47">
          <cell r="D47">
            <v>45780</v>
          </cell>
        </row>
        <row r="47">
          <cell r="H47" t="str">
            <v>项目-分包</v>
          </cell>
        </row>
        <row r="47">
          <cell r="K47">
            <v>2000</v>
          </cell>
        </row>
        <row r="47">
          <cell r="M47" t="str">
            <v>九安架空层</v>
          </cell>
        </row>
        <row r="48">
          <cell r="D48">
            <v>45803</v>
          </cell>
        </row>
        <row r="48">
          <cell r="H48" t="str">
            <v>办公室-工资</v>
          </cell>
        </row>
        <row r="48">
          <cell r="K48">
            <v>10000</v>
          </cell>
        </row>
        <row r="48">
          <cell r="M48" t="str">
            <v>办公室</v>
          </cell>
        </row>
        <row r="49">
          <cell r="D49">
            <v>45803</v>
          </cell>
        </row>
        <row r="49">
          <cell r="H49" t="str">
            <v>办公室-工资</v>
          </cell>
        </row>
        <row r="49">
          <cell r="K49">
            <v>10000</v>
          </cell>
        </row>
        <row r="49">
          <cell r="M49" t="str">
            <v>办公室</v>
          </cell>
        </row>
        <row r="50">
          <cell r="D50">
            <v>45806</v>
          </cell>
        </row>
        <row r="50">
          <cell r="H50" t="str">
            <v>工程款</v>
          </cell>
        </row>
        <row r="50">
          <cell r="J50">
            <v>760000</v>
          </cell>
        </row>
        <row r="50">
          <cell r="M50" t="str">
            <v>德安县养老中心</v>
          </cell>
        </row>
        <row r="51">
          <cell r="D51">
            <v>45807</v>
          </cell>
        </row>
        <row r="51">
          <cell r="H51" t="str">
            <v>项目-材料费</v>
          </cell>
        </row>
        <row r="51">
          <cell r="K51">
            <v>150880</v>
          </cell>
        </row>
        <row r="51">
          <cell r="M51" t="str">
            <v>德安县养老中心</v>
          </cell>
        </row>
        <row r="52">
          <cell r="D52">
            <v>45807</v>
          </cell>
        </row>
        <row r="52">
          <cell r="H52" t="str">
            <v>项目-材料费</v>
          </cell>
        </row>
        <row r="52">
          <cell r="K52">
            <v>150008</v>
          </cell>
        </row>
        <row r="52">
          <cell r="M52" t="str">
            <v>德安县养老中心</v>
          </cell>
        </row>
        <row r="53">
          <cell r="D53">
            <v>45808</v>
          </cell>
        </row>
        <row r="53">
          <cell r="H53" t="str">
            <v>项目-劳务费</v>
          </cell>
        </row>
        <row r="53">
          <cell r="K53">
            <v>5000</v>
          </cell>
        </row>
        <row r="53">
          <cell r="M53" t="str">
            <v>德安县养老中心</v>
          </cell>
        </row>
        <row r="54">
          <cell r="D54">
            <v>45808</v>
          </cell>
        </row>
        <row r="54">
          <cell r="H54" t="str">
            <v>项目-劳务费</v>
          </cell>
        </row>
        <row r="54">
          <cell r="K54">
            <v>3000</v>
          </cell>
        </row>
        <row r="54">
          <cell r="M54" t="str">
            <v>德安县养老中心</v>
          </cell>
        </row>
        <row r="55">
          <cell r="D55">
            <v>45808</v>
          </cell>
        </row>
        <row r="55">
          <cell r="H55" t="str">
            <v>项目-劳务费</v>
          </cell>
        </row>
        <row r="55">
          <cell r="K55">
            <v>2000</v>
          </cell>
        </row>
        <row r="55">
          <cell r="M55" t="str">
            <v>德安县养老中心</v>
          </cell>
        </row>
        <row r="56">
          <cell r="D56">
            <v>45808</v>
          </cell>
        </row>
        <row r="56">
          <cell r="H56" t="str">
            <v>项目-劳务费</v>
          </cell>
        </row>
        <row r="56">
          <cell r="K56">
            <v>3000</v>
          </cell>
        </row>
        <row r="56">
          <cell r="M56" t="str">
            <v>德安县养老中心</v>
          </cell>
        </row>
        <row r="57">
          <cell r="D57">
            <v>45808</v>
          </cell>
        </row>
        <row r="57">
          <cell r="H57" t="str">
            <v>项目-劳务费</v>
          </cell>
        </row>
        <row r="57">
          <cell r="K57">
            <v>5000</v>
          </cell>
        </row>
        <row r="57">
          <cell r="M57" t="str">
            <v>德安县养老中心</v>
          </cell>
        </row>
        <row r="58">
          <cell r="D58">
            <v>45808</v>
          </cell>
        </row>
        <row r="58">
          <cell r="H58" t="str">
            <v>项目-劳务费</v>
          </cell>
        </row>
        <row r="58">
          <cell r="K58">
            <v>2000</v>
          </cell>
        </row>
        <row r="58">
          <cell r="M58" t="str">
            <v>德安县养老中心</v>
          </cell>
        </row>
        <row r="59">
          <cell r="D59">
            <v>45808</v>
          </cell>
        </row>
        <row r="59">
          <cell r="H59" t="str">
            <v>项目-劳务费</v>
          </cell>
        </row>
        <row r="59">
          <cell r="K59">
            <v>2000</v>
          </cell>
        </row>
        <row r="59">
          <cell r="M59" t="str">
            <v>德安县养老中心</v>
          </cell>
        </row>
        <row r="60">
          <cell r="D60">
            <v>45808</v>
          </cell>
        </row>
        <row r="60">
          <cell r="H60" t="str">
            <v>项目-劳务费</v>
          </cell>
        </row>
        <row r="60">
          <cell r="K60">
            <v>2000</v>
          </cell>
        </row>
        <row r="60">
          <cell r="M60" t="str">
            <v>德安县养老中心</v>
          </cell>
        </row>
        <row r="61">
          <cell r="D61">
            <v>45808</v>
          </cell>
        </row>
        <row r="61">
          <cell r="H61" t="str">
            <v>项目-劳务费</v>
          </cell>
        </row>
        <row r="61">
          <cell r="K61">
            <v>2000</v>
          </cell>
        </row>
        <row r="61">
          <cell r="M61" t="str">
            <v>德安县养老中心</v>
          </cell>
        </row>
        <row r="62">
          <cell r="D62">
            <v>45808</v>
          </cell>
        </row>
        <row r="62">
          <cell r="H62" t="str">
            <v>项目-劳务费</v>
          </cell>
        </row>
        <row r="62">
          <cell r="K62">
            <v>2000</v>
          </cell>
        </row>
        <row r="62">
          <cell r="M62" t="str">
            <v>德安县养老中心</v>
          </cell>
        </row>
        <row r="63">
          <cell r="D63">
            <v>45808</v>
          </cell>
        </row>
        <row r="63">
          <cell r="H63" t="str">
            <v>项目-劳务费</v>
          </cell>
        </row>
        <row r="63">
          <cell r="K63">
            <v>1000</v>
          </cell>
        </row>
        <row r="63">
          <cell r="M63" t="str">
            <v>德安县养老中心</v>
          </cell>
        </row>
        <row r="64">
          <cell r="D64">
            <v>45808</v>
          </cell>
        </row>
        <row r="64">
          <cell r="H64" t="str">
            <v>办公室-工资</v>
          </cell>
        </row>
        <row r="64">
          <cell r="K64">
            <v>5000</v>
          </cell>
        </row>
        <row r="64">
          <cell r="M64" t="str">
            <v>办公室</v>
          </cell>
        </row>
        <row r="65">
          <cell r="D65">
            <v>45808</v>
          </cell>
        </row>
        <row r="65">
          <cell r="H65" t="str">
            <v>办公室-工资</v>
          </cell>
        </row>
        <row r="65">
          <cell r="K65">
            <v>10000</v>
          </cell>
        </row>
        <row r="65">
          <cell r="M65" t="str">
            <v>办公室</v>
          </cell>
        </row>
        <row r="66">
          <cell r="D66">
            <v>45808</v>
          </cell>
        </row>
        <row r="66">
          <cell r="H66" t="str">
            <v>项目-劳务费</v>
          </cell>
        </row>
        <row r="66">
          <cell r="K66">
            <v>2000</v>
          </cell>
        </row>
        <row r="66">
          <cell r="M66" t="str">
            <v>德安县养老中心</v>
          </cell>
        </row>
        <row r="67">
          <cell r="D67">
            <v>45813</v>
          </cell>
        </row>
        <row r="67">
          <cell r="H67" t="str">
            <v>税款</v>
          </cell>
        </row>
        <row r="67">
          <cell r="K67">
            <v>221.02</v>
          </cell>
        </row>
        <row r="67">
          <cell r="M67" t="str">
            <v>办公室</v>
          </cell>
        </row>
        <row r="68">
          <cell r="D68">
            <v>45814</v>
          </cell>
        </row>
        <row r="68">
          <cell r="H68" t="str">
            <v>项目-材料费</v>
          </cell>
        </row>
        <row r="68">
          <cell r="K68">
            <v>10881</v>
          </cell>
        </row>
        <row r="68">
          <cell r="M68" t="str">
            <v>九安架空层</v>
          </cell>
        </row>
        <row r="69">
          <cell r="D69">
            <v>45814</v>
          </cell>
        </row>
        <row r="69">
          <cell r="H69" t="str">
            <v>项目-材料费</v>
          </cell>
        </row>
        <row r="69">
          <cell r="K69">
            <v>25678.29</v>
          </cell>
        </row>
        <row r="69">
          <cell r="M69" t="str">
            <v>德安县养老中心</v>
          </cell>
        </row>
        <row r="70">
          <cell r="D70">
            <v>45814</v>
          </cell>
        </row>
        <row r="70">
          <cell r="H70" t="str">
            <v>项目-期间费</v>
          </cell>
        </row>
        <row r="70">
          <cell r="K70">
            <v>9</v>
          </cell>
        </row>
        <row r="70">
          <cell r="M70" t="str">
            <v>办公室</v>
          </cell>
        </row>
        <row r="71">
          <cell r="D71">
            <v>45814</v>
          </cell>
        </row>
        <row r="71">
          <cell r="H71" t="str">
            <v>往来款</v>
          </cell>
        </row>
        <row r="71">
          <cell r="K71">
            <v>127890</v>
          </cell>
        </row>
        <row r="72">
          <cell r="D72">
            <v>45814</v>
          </cell>
        </row>
        <row r="72">
          <cell r="H72" t="str">
            <v>项目-期间费</v>
          </cell>
        </row>
        <row r="72">
          <cell r="K72">
            <v>15</v>
          </cell>
        </row>
        <row r="72">
          <cell r="M72" t="str">
            <v>办公室</v>
          </cell>
        </row>
        <row r="73">
          <cell r="D73">
            <v>45814</v>
          </cell>
        </row>
        <row r="73">
          <cell r="H73" t="str">
            <v>往来款</v>
          </cell>
        </row>
        <row r="73">
          <cell r="K73">
            <v>-127890</v>
          </cell>
        </row>
        <row r="74">
          <cell r="D74">
            <v>45820</v>
          </cell>
        </row>
        <row r="74">
          <cell r="H74" t="str">
            <v>项目-分包</v>
          </cell>
        </row>
        <row r="74">
          <cell r="K74">
            <v>2000</v>
          </cell>
        </row>
        <row r="75">
          <cell r="D75">
            <v>45820</v>
          </cell>
        </row>
        <row r="75">
          <cell r="H75" t="str">
            <v>项目-分包</v>
          </cell>
        </row>
        <row r="75">
          <cell r="K75">
            <v>2000</v>
          </cell>
        </row>
        <row r="76">
          <cell r="D76">
            <v>45820</v>
          </cell>
        </row>
        <row r="76">
          <cell r="H76" t="str">
            <v>项目-分包</v>
          </cell>
        </row>
        <row r="76">
          <cell r="K76">
            <v>2000</v>
          </cell>
        </row>
        <row r="77">
          <cell r="D77">
            <v>45820</v>
          </cell>
        </row>
        <row r="77">
          <cell r="H77" t="str">
            <v>项目-分包</v>
          </cell>
        </row>
        <row r="77">
          <cell r="K77">
            <v>3000</v>
          </cell>
        </row>
        <row r="78">
          <cell r="D78">
            <v>45820</v>
          </cell>
        </row>
        <row r="78">
          <cell r="H78" t="str">
            <v>项目-分包</v>
          </cell>
        </row>
        <row r="78">
          <cell r="K78">
            <v>2000</v>
          </cell>
        </row>
        <row r="79">
          <cell r="D79">
            <v>45820</v>
          </cell>
        </row>
        <row r="79">
          <cell r="H79" t="str">
            <v>项目-分包</v>
          </cell>
        </row>
        <row r="79">
          <cell r="K79">
            <v>4960</v>
          </cell>
        </row>
        <row r="80">
          <cell r="D80">
            <v>45827</v>
          </cell>
        </row>
        <row r="80">
          <cell r="H80" t="str">
            <v>项目-材料费</v>
          </cell>
        </row>
        <row r="80">
          <cell r="K80">
            <v>96296.9</v>
          </cell>
        </row>
        <row r="80">
          <cell r="M80" t="str">
            <v>德安县养老中心</v>
          </cell>
        </row>
        <row r="81">
          <cell r="D81">
            <v>45829</v>
          </cell>
        </row>
        <row r="81">
          <cell r="H81" t="str">
            <v>办公室-办公费</v>
          </cell>
        </row>
        <row r="81">
          <cell r="K81">
            <v>-16.31</v>
          </cell>
        </row>
        <row r="81">
          <cell r="M81" t="str">
            <v>办公室</v>
          </cell>
        </row>
        <row r="82">
          <cell r="D82">
            <v>45829</v>
          </cell>
        </row>
        <row r="82">
          <cell r="H82" t="str">
            <v>个人借款-聂辉</v>
          </cell>
        </row>
        <row r="82">
          <cell r="K82">
            <v>50000</v>
          </cell>
        </row>
        <row r="82">
          <cell r="M82" t="str">
            <v>个人借款</v>
          </cell>
        </row>
        <row r="83">
          <cell r="D83">
            <v>45832</v>
          </cell>
        </row>
        <row r="83">
          <cell r="H83" t="str">
            <v>项目-材料费</v>
          </cell>
        </row>
        <row r="83">
          <cell r="K83">
            <v>17044.19</v>
          </cell>
        </row>
        <row r="83">
          <cell r="M83" t="str">
            <v>德安县养老中心</v>
          </cell>
        </row>
        <row r="84">
          <cell r="D84">
            <v>45838</v>
          </cell>
        </row>
        <row r="84">
          <cell r="H84" t="str">
            <v>项目-期间费</v>
          </cell>
        </row>
        <row r="84">
          <cell r="K84">
            <v>2500</v>
          </cell>
        </row>
        <row r="85">
          <cell r="D85">
            <v>45838</v>
          </cell>
        </row>
        <row r="85">
          <cell r="H85" t="str">
            <v>项目-材料费</v>
          </cell>
        </row>
        <row r="85">
          <cell r="K85">
            <v>43009.8</v>
          </cell>
        </row>
        <row r="85">
          <cell r="M85" t="str">
            <v>德安县养老中心</v>
          </cell>
        </row>
        <row r="86">
          <cell r="D86">
            <v>45838</v>
          </cell>
        </row>
        <row r="86">
          <cell r="H86" t="str">
            <v>办公室-工资</v>
          </cell>
        </row>
        <row r="86">
          <cell r="K86">
            <v>10000</v>
          </cell>
        </row>
        <row r="86">
          <cell r="M86" t="str">
            <v>办公室</v>
          </cell>
        </row>
        <row r="87">
          <cell r="D87">
            <v>45838</v>
          </cell>
        </row>
        <row r="87">
          <cell r="H87" t="str">
            <v>办公室-工资</v>
          </cell>
        </row>
        <row r="87">
          <cell r="K87">
            <v>10000</v>
          </cell>
        </row>
        <row r="87">
          <cell r="M87" t="str">
            <v>办公室</v>
          </cell>
        </row>
        <row r="88">
          <cell r="D88">
            <v>45839</v>
          </cell>
        </row>
        <row r="88">
          <cell r="K88">
            <v>60000</v>
          </cell>
        </row>
        <row r="89">
          <cell r="D89">
            <v>45842</v>
          </cell>
        </row>
        <row r="89">
          <cell r="H89" t="str">
            <v>项目-材料费</v>
          </cell>
        </row>
        <row r="89">
          <cell r="K89">
            <v>50000</v>
          </cell>
        </row>
        <row r="89">
          <cell r="M89" t="str">
            <v>九安架空层</v>
          </cell>
        </row>
        <row r="90">
          <cell r="D90">
            <v>45852</v>
          </cell>
        </row>
        <row r="90">
          <cell r="H90" t="str">
            <v>税款</v>
          </cell>
        </row>
        <row r="90">
          <cell r="K90">
            <v>3685.18</v>
          </cell>
        </row>
        <row r="91">
          <cell r="D91">
            <v>45854</v>
          </cell>
        </row>
        <row r="91">
          <cell r="H91" t="str">
            <v>项目-劳务费</v>
          </cell>
        </row>
        <row r="91">
          <cell r="K91">
            <v>4000</v>
          </cell>
        </row>
        <row r="91">
          <cell r="M91" t="str">
            <v>德安县养老中心</v>
          </cell>
        </row>
        <row r="92">
          <cell r="D92">
            <v>45854</v>
          </cell>
        </row>
        <row r="92">
          <cell r="H92" t="str">
            <v>项目-劳务费</v>
          </cell>
        </row>
        <row r="92">
          <cell r="K92">
            <v>1500</v>
          </cell>
        </row>
        <row r="92">
          <cell r="M92" t="str">
            <v>德安县养老中心</v>
          </cell>
        </row>
        <row r="93">
          <cell r="D93">
            <v>45854</v>
          </cell>
        </row>
        <row r="93">
          <cell r="H93" t="str">
            <v>项目-劳务费</v>
          </cell>
        </row>
        <row r="93">
          <cell r="K93">
            <v>3500</v>
          </cell>
        </row>
        <row r="93">
          <cell r="M93" t="str">
            <v>德安县养老中心</v>
          </cell>
        </row>
        <row r="94">
          <cell r="D94">
            <v>45854</v>
          </cell>
        </row>
        <row r="94">
          <cell r="H94" t="str">
            <v>项目-劳务费</v>
          </cell>
        </row>
        <row r="94">
          <cell r="K94">
            <v>3500</v>
          </cell>
        </row>
        <row r="94">
          <cell r="M94" t="str">
            <v>德安县养老中心</v>
          </cell>
        </row>
        <row r="95">
          <cell r="D95">
            <v>45854</v>
          </cell>
        </row>
        <row r="95">
          <cell r="H95" t="str">
            <v>项目-劳务费</v>
          </cell>
        </row>
        <row r="95">
          <cell r="K95">
            <v>4000</v>
          </cell>
        </row>
        <row r="95">
          <cell r="M95" t="str">
            <v>德安县养老中心</v>
          </cell>
        </row>
        <row r="96">
          <cell r="D96">
            <v>45854</v>
          </cell>
        </row>
        <row r="96">
          <cell r="H96" t="str">
            <v>项目-劳务费</v>
          </cell>
        </row>
        <row r="96">
          <cell r="K96">
            <v>3500</v>
          </cell>
        </row>
        <row r="96">
          <cell r="M96" t="str">
            <v>德安县养老中心</v>
          </cell>
        </row>
        <row r="97">
          <cell r="D97">
            <v>45854</v>
          </cell>
        </row>
        <row r="97">
          <cell r="H97" t="str">
            <v>项目-劳务费</v>
          </cell>
        </row>
        <row r="97">
          <cell r="K97">
            <v>3500</v>
          </cell>
        </row>
        <row r="97">
          <cell r="M97" t="str">
            <v>德安县养老中心</v>
          </cell>
        </row>
        <row r="98">
          <cell r="D98">
            <v>45854</v>
          </cell>
        </row>
        <row r="98">
          <cell r="H98" t="str">
            <v>项目-劳务费</v>
          </cell>
        </row>
        <row r="98">
          <cell r="K98">
            <v>800</v>
          </cell>
        </row>
        <row r="98">
          <cell r="M98" t="str">
            <v>德安县养老中心</v>
          </cell>
        </row>
        <row r="99">
          <cell r="D99">
            <v>45854</v>
          </cell>
        </row>
        <row r="99">
          <cell r="H99" t="str">
            <v>办公室-工资</v>
          </cell>
        </row>
        <row r="99">
          <cell r="K99">
            <v>5000</v>
          </cell>
        </row>
        <row r="99">
          <cell r="M99" t="str">
            <v>办公室</v>
          </cell>
        </row>
        <row r="100">
          <cell r="D100">
            <v>45854</v>
          </cell>
        </row>
        <row r="100">
          <cell r="H100" t="str">
            <v>项目-劳务费</v>
          </cell>
        </row>
        <row r="100">
          <cell r="K100">
            <v>1500</v>
          </cell>
        </row>
        <row r="100">
          <cell r="M100" t="str">
            <v>德安县养老中心</v>
          </cell>
        </row>
        <row r="101">
          <cell r="D101">
            <v>45854</v>
          </cell>
        </row>
        <row r="101">
          <cell r="H101" t="str">
            <v>项目-劳务费</v>
          </cell>
        </row>
        <row r="101">
          <cell r="K101">
            <v>-1500</v>
          </cell>
        </row>
        <row r="101">
          <cell r="M101" t="str">
            <v>德安县养老中心</v>
          </cell>
        </row>
        <row r="102">
          <cell r="D102">
            <v>45854</v>
          </cell>
        </row>
        <row r="102">
          <cell r="H102" t="str">
            <v>项目-劳务费</v>
          </cell>
        </row>
        <row r="102">
          <cell r="K102">
            <v>1500</v>
          </cell>
        </row>
        <row r="102">
          <cell r="M102" t="str">
            <v>德安县养老中心</v>
          </cell>
        </row>
        <row r="103">
          <cell r="D103">
            <v>45855</v>
          </cell>
        </row>
        <row r="103">
          <cell r="H103" t="str">
            <v>项目-期间费</v>
          </cell>
        </row>
        <row r="103">
          <cell r="K103">
            <v>22854</v>
          </cell>
        </row>
        <row r="104">
          <cell r="D104">
            <v>45855</v>
          </cell>
        </row>
        <row r="104">
          <cell r="H104" t="str">
            <v>项目-劳务费</v>
          </cell>
        </row>
        <row r="104">
          <cell r="K104">
            <v>1500</v>
          </cell>
        </row>
        <row r="104">
          <cell r="M104" t="str">
            <v>德安县养老中心</v>
          </cell>
        </row>
        <row r="105">
          <cell r="D105">
            <v>45855</v>
          </cell>
        </row>
        <row r="105">
          <cell r="H105" t="str">
            <v>项目-劳务费</v>
          </cell>
        </row>
        <row r="105">
          <cell r="K105">
            <v>6300</v>
          </cell>
        </row>
        <row r="105">
          <cell r="M105" t="str">
            <v>德安县养老中心</v>
          </cell>
        </row>
        <row r="106">
          <cell r="D106">
            <v>45862</v>
          </cell>
        </row>
        <row r="106">
          <cell r="H106" t="str">
            <v>个人借款-聂辉</v>
          </cell>
        </row>
        <row r="106">
          <cell r="K106">
            <v>-100000</v>
          </cell>
        </row>
        <row r="106">
          <cell r="M106" t="str">
            <v>个人借款</v>
          </cell>
        </row>
        <row r="107">
          <cell r="D107">
            <v>45862</v>
          </cell>
        </row>
        <row r="107">
          <cell r="H107" t="str">
            <v>项目-材料费</v>
          </cell>
        </row>
        <row r="107">
          <cell r="K107">
            <v>49997.52</v>
          </cell>
        </row>
        <row r="107">
          <cell r="M107" t="str">
            <v>德安县养老中心</v>
          </cell>
        </row>
        <row r="108">
          <cell r="D108">
            <v>45862</v>
          </cell>
        </row>
        <row r="108">
          <cell r="H108" t="str">
            <v>项目-材料费</v>
          </cell>
        </row>
        <row r="108">
          <cell r="K108">
            <v>-49997.52</v>
          </cell>
        </row>
        <row r="108">
          <cell r="M108" t="str">
            <v>德安县养老中心</v>
          </cell>
        </row>
        <row r="109">
          <cell r="D109">
            <v>45862</v>
          </cell>
        </row>
        <row r="109">
          <cell r="H109" t="str">
            <v>项目-材料费</v>
          </cell>
        </row>
        <row r="109">
          <cell r="K109">
            <v>49997.52</v>
          </cell>
        </row>
        <row r="109">
          <cell r="M109" t="str">
            <v>德安县养老中心</v>
          </cell>
        </row>
        <row r="110">
          <cell r="D110">
            <v>45862</v>
          </cell>
        </row>
        <row r="110">
          <cell r="H110" t="str">
            <v>项目-材料费</v>
          </cell>
        </row>
        <row r="110">
          <cell r="K110">
            <v>-49997.52</v>
          </cell>
        </row>
        <row r="110">
          <cell r="M110" t="str">
            <v>德安县养老中心</v>
          </cell>
        </row>
        <row r="111">
          <cell r="D111">
            <v>45862</v>
          </cell>
        </row>
        <row r="111">
          <cell r="H111" t="str">
            <v>项目-材料费</v>
          </cell>
        </row>
        <row r="111">
          <cell r="K111">
            <v>49997.52</v>
          </cell>
        </row>
        <row r="111">
          <cell r="M111" t="str">
            <v>德安县养老中心</v>
          </cell>
        </row>
        <row r="112">
          <cell r="D112">
            <v>45863</v>
          </cell>
        </row>
        <row r="112">
          <cell r="H112" t="str">
            <v>项目-材料费</v>
          </cell>
        </row>
        <row r="112">
          <cell r="K112">
            <v>45466.47</v>
          </cell>
        </row>
        <row r="112">
          <cell r="M112" t="str">
            <v>德安县养老中心</v>
          </cell>
        </row>
        <row r="113">
          <cell r="D113">
            <v>45866</v>
          </cell>
        </row>
        <row r="113">
          <cell r="H113" t="str">
            <v>项目-期间费</v>
          </cell>
        </row>
        <row r="113">
          <cell r="K113">
            <v>5115.06</v>
          </cell>
        </row>
        <row r="114">
          <cell r="D114">
            <v>45867</v>
          </cell>
        </row>
        <row r="114">
          <cell r="H114" t="str">
            <v>个人借款-聂辉</v>
          </cell>
        </row>
        <row r="114">
          <cell r="K114">
            <v>-30000</v>
          </cell>
        </row>
        <row r="114">
          <cell r="M114" t="str">
            <v>个人借款</v>
          </cell>
        </row>
        <row r="115">
          <cell r="D115">
            <v>45867</v>
          </cell>
        </row>
        <row r="115">
          <cell r="H115" t="str">
            <v>项目-材料费</v>
          </cell>
        </row>
        <row r="115">
          <cell r="K115">
            <v>11776</v>
          </cell>
        </row>
        <row r="115">
          <cell r="M115" t="str">
            <v>德安县养老中心</v>
          </cell>
        </row>
        <row r="116">
          <cell r="D116">
            <v>45885</v>
          </cell>
        </row>
        <row r="116">
          <cell r="H116" t="str">
            <v>项目-劳务费</v>
          </cell>
        </row>
        <row r="116">
          <cell r="K116">
            <v>5000</v>
          </cell>
        </row>
        <row r="116">
          <cell r="M116" t="str">
            <v>德安县养老中心</v>
          </cell>
        </row>
        <row r="117">
          <cell r="D117">
            <v>45888</v>
          </cell>
        </row>
        <row r="117">
          <cell r="H117" t="str">
            <v>项目-劳务费</v>
          </cell>
        </row>
        <row r="117">
          <cell r="K117">
            <v>3500</v>
          </cell>
        </row>
        <row r="117">
          <cell r="M117" t="str">
            <v>德安县养老中心</v>
          </cell>
        </row>
        <row r="118">
          <cell r="D118">
            <v>45888</v>
          </cell>
        </row>
        <row r="118">
          <cell r="H118" t="str">
            <v>项目-劳务费</v>
          </cell>
        </row>
        <row r="118">
          <cell r="K118">
            <v>4000</v>
          </cell>
        </row>
        <row r="118">
          <cell r="M118" t="str">
            <v>德安县养老中心</v>
          </cell>
        </row>
        <row r="119">
          <cell r="D119">
            <v>45888</v>
          </cell>
        </row>
        <row r="119">
          <cell r="H119" t="str">
            <v>项目-劳务费</v>
          </cell>
        </row>
        <row r="119">
          <cell r="K119">
            <v>3500</v>
          </cell>
        </row>
        <row r="119">
          <cell r="M119" t="str">
            <v>德安县养老中心</v>
          </cell>
        </row>
        <row r="120">
          <cell r="D120">
            <v>45888</v>
          </cell>
        </row>
        <row r="120">
          <cell r="H120" t="str">
            <v>项目-劳务费</v>
          </cell>
        </row>
        <row r="120">
          <cell r="K120">
            <v>4000</v>
          </cell>
        </row>
        <row r="120">
          <cell r="M120" t="str">
            <v>德安县养老中心</v>
          </cell>
        </row>
        <row r="121">
          <cell r="D121">
            <v>45888</v>
          </cell>
        </row>
        <row r="121">
          <cell r="H121" t="str">
            <v>项目-劳务费</v>
          </cell>
        </row>
        <row r="121">
          <cell r="K121">
            <v>3500</v>
          </cell>
        </row>
        <row r="121">
          <cell r="M121" t="str">
            <v>德安县养老中心</v>
          </cell>
        </row>
        <row r="122">
          <cell r="D122">
            <v>45888</v>
          </cell>
        </row>
        <row r="122">
          <cell r="H122" t="str">
            <v>项目-劳务费</v>
          </cell>
        </row>
        <row r="122">
          <cell r="K122">
            <v>3500</v>
          </cell>
        </row>
        <row r="122">
          <cell r="M122" t="str">
            <v>德安县养老中心</v>
          </cell>
        </row>
        <row r="123">
          <cell r="D123">
            <v>45888</v>
          </cell>
        </row>
        <row r="123">
          <cell r="H123" t="str">
            <v>个人借款-聂辉</v>
          </cell>
        </row>
        <row r="123">
          <cell r="K123">
            <v>-30000</v>
          </cell>
        </row>
        <row r="123">
          <cell r="M123" t="str">
            <v>个人借款</v>
          </cell>
        </row>
        <row r="124">
          <cell r="D124">
            <v>45888</v>
          </cell>
        </row>
        <row r="124">
          <cell r="H124" t="str">
            <v>项目-劳务费</v>
          </cell>
        </row>
        <row r="124">
          <cell r="K124">
            <v>4000</v>
          </cell>
        </row>
        <row r="124">
          <cell r="M124" t="str">
            <v>德安县养老中心</v>
          </cell>
        </row>
        <row r="125">
          <cell r="D125">
            <v>45888</v>
          </cell>
        </row>
        <row r="125">
          <cell r="H125" t="str">
            <v>项目-劳务费</v>
          </cell>
        </row>
        <row r="125">
          <cell r="K125">
            <v>4000</v>
          </cell>
        </row>
        <row r="125">
          <cell r="M125" t="str">
            <v>德安县养老中心</v>
          </cell>
        </row>
        <row r="126">
          <cell r="D126">
            <v>45888</v>
          </cell>
        </row>
        <row r="126">
          <cell r="H126" t="str">
            <v>办公室-工资</v>
          </cell>
        </row>
        <row r="126">
          <cell r="K126">
            <v>5000</v>
          </cell>
        </row>
        <row r="126">
          <cell r="M126" t="str">
            <v>办公室</v>
          </cell>
        </row>
        <row r="127">
          <cell r="D127">
            <v>45888</v>
          </cell>
        </row>
        <row r="127">
          <cell r="H127" t="str">
            <v>办公室-工资</v>
          </cell>
        </row>
        <row r="127">
          <cell r="K127">
            <v>5000</v>
          </cell>
        </row>
        <row r="127">
          <cell r="M127" t="str">
            <v>办公室</v>
          </cell>
        </row>
        <row r="128">
          <cell r="D128">
            <v>45892</v>
          </cell>
        </row>
        <row r="128">
          <cell r="H128" t="str">
            <v>项目-期间费</v>
          </cell>
        </row>
        <row r="128">
          <cell r="K128">
            <v>4753.82</v>
          </cell>
        </row>
        <row r="129">
          <cell r="D129">
            <v>45900</v>
          </cell>
        </row>
        <row r="129">
          <cell r="H129" t="str">
            <v>个人借款-聂辉</v>
          </cell>
        </row>
        <row r="129">
          <cell r="K129">
            <v>-5000</v>
          </cell>
        </row>
        <row r="129">
          <cell r="M129" t="str">
            <v>个人借款</v>
          </cell>
        </row>
        <row r="130">
          <cell r="D130">
            <v>45900</v>
          </cell>
        </row>
        <row r="130">
          <cell r="H130" t="str">
            <v>办公室-办公费</v>
          </cell>
        </row>
        <row r="130">
          <cell r="K130">
            <v>10000</v>
          </cell>
        </row>
        <row r="130">
          <cell r="M130" t="str">
            <v>办公室</v>
          </cell>
        </row>
        <row r="131">
          <cell r="D131">
            <v>45902</v>
          </cell>
        </row>
        <row r="131">
          <cell r="H131" t="str">
            <v>个人借款-聂辉</v>
          </cell>
        </row>
        <row r="131">
          <cell r="K131">
            <v>-55000</v>
          </cell>
        </row>
        <row r="131">
          <cell r="M131" t="str">
            <v>个人借款</v>
          </cell>
        </row>
        <row r="132">
          <cell r="D132">
            <v>45902</v>
          </cell>
        </row>
        <row r="132">
          <cell r="H132" t="str">
            <v>项目-材料费</v>
          </cell>
        </row>
        <row r="132">
          <cell r="K132">
            <v>52791</v>
          </cell>
        </row>
        <row r="132">
          <cell r="M132" t="str">
            <v>德安县养老中心</v>
          </cell>
        </row>
        <row r="133">
          <cell r="D133">
            <v>45909</v>
          </cell>
        </row>
        <row r="133">
          <cell r="H133" t="str">
            <v>税款</v>
          </cell>
        </row>
        <row r="133">
          <cell r="K133">
            <v>515.87</v>
          </cell>
        </row>
        <row r="133">
          <cell r="M133" t="str">
            <v>办公室</v>
          </cell>
        </row>
        <row r="134">
          <cell r="D134">
            <v>45909</v>
          </cell>
        </row>
        <row r="134">
          <cell r="H134" t="str">
            <v>税款</v>
          </cell>
        </row>
        <row r="134">
          <cell r="K134">
            <v>5416.6</v>
          </cell>
        </row>
        <row r="134">
          <cell r="M134" t="str">
            <v>办公室</v>
          </cell>
        </row>
        <row r="135">
          <cell r="D135">
            <v>45910</v>
          </cell>
        </row>
        <row r="135">
          <cell r="H135" t="str">
            <v>工程款</v>
          </cell>
        </row>
        <row r="135">
          <cell r="J135">
            <v>281148</v>
          </cell>
        </row>
        <row r="135">
          <cell r="M135" t="str">
            <v>抚州资溪养老基地1号楼</v>
          </cell>
        </row>
        <row r="136">
          <cell r="D136">
            <v>45911</v>
          </cell>
        </row>
        <row r="136">
          <cell r="H136" t="str">
            <v>办公室-办公费</v>
          </cell>
        </row>
        <row r="136">
          <cell r="K136">
            <v>9850</v>
          </cell>
        </row>
        <row r="136">
          <cell r="M136" t="str">
            <v>办公室</v>
          </cell>
        </row>
        <row r="137">
          <cell r="D137">
            <v>45911</v>
          </cell>
        </row>
        <row r="137">
          <cell r="H137" t="str">
            <v>办公室-工资</v>
          </cell>
        </row>
        <row r="137">
          <cell r="K137">
            <v>10000</v>
          </cell>
        </row>
        <row r="137">
          <cell r="M137" t="str">
            <v>办公室</v>
          </cell>
        </row>
        <row r="138">
          <cell r="D138">
            <v>45912</v>
          </cell>
        </row>
        <row r="138">
          <cell r="H138" t="str">
            <v>项目-期间费</v>
          </cell>
        </row>
        <row r="138">
          <cell r="K138">
            <v>4508.19</v>
          </cell>
        </row>
        <row r="139">
          <cell r="D139">
            <v>45912</v>
          </cell>
        </row>
        <row r="139">
          <cell r="H139" t="str">
            <v>项目-劳务费</v>
          </cell>
        </row>
        <row r="139">
          <cell r="K139">
            <v>5000</v>
          </cell>
        </row>
        <row r="139">
          <cell r="M139" t="str">
            <v>德安县养老中心</v>
          </cell>
        </row>
        <row r="140">
          <cell r="D140">
            <v>45912</v>
          </cell>
        </row>
        <row r="140">
          <cell r="H140" t="str">
            <v>项目-劳务费</v>
          </cell>
        </row>
        <row r="140">
          <cell r="K140">
            <v>3000</v>
          </cell>
        </row>
        <row r="140">
          <cell r="M140" t="str">
            <v>德安县养老中心</v>
          </cell>
        </row>
        <row r="141">
          <cell r="D141">
            <v>45912</v>
          </cell>
        </row>
        <row r="141">
          <cell r="H141" t="str">
            <v>税款</v>
          </cell>
        </row>
        <row r="141">
          <cell r="K141">
            <v>150</v>
          </cell>
        </row>
        <row r="141">
          <cell r="M141" t="str">
            <v>办公室</v>
          </cell>
        </row>
        <row r="142">
          <cell r="D142">
            <v>45915</v>
          </cell>
        </row>
        <row r="142">
          <cell r="H142" t="str">
            <v>项目-劳务费</v>
          </cell>
        </row>
        <row r="142">
          <cell r="K142">
            <v>4000</v>
          </cell>
        </row>
        <row r="142">
          <cell r="M142" t="str">
            <v>德安县养老中心</v>
          </cell>
        </row>
        <row r="143">
          <cell r="D143">
            <v>45915</v>
          </cell>
        </row>
        <row r="143">
          <cell r="H143" t="str">
            <v>项目-劳务费</v>
          </cell>
        </row>
        <row r="143">
          <cell r="K143">
            <v>2500</v>
          </cell>
        </row>
        <row r="143">
          <cell r="M143" t="str">
            <v>德安县养老中心</v>
          </cell>
        </row>
        <row r="144">
          <cell r="D144">
            <v>45915</v>
          </cell>
        </row>
        <row r="144">
          <cell r="H144" t="str">
            <v>项目-劳务费</v>
          </cell>
        </row>
        <row r="144">
          <cell r="K144">
            <v>3500</v>
          </cell>
        </row>
        <row r="144">
          <cell r="M144" t="str">
            <v>德安县养老中心</v>
          </cell>
        </row>
        <row r="145">
          <cell r="D145">
            <v>45915</v>
          </cell>
        </row>
        <row r="145">
          <cell r="H145" t="str">
            <v>项目-劳务费</v>
          </cell>
        </row>
        <row r="145">
          <cell r="K145">
            <v>4000</v>
          </cell>
        </row>
        <row r="145">
          <cell r="M145" t="str">
            <v>德安县养老中心</v>
          </cell>
        </row>
        <row r="146">
          <cell r="D146">
            <v>45915</v>
          </cell>
        </row>
        <row r="146">
          <cell r="H146" t="str">
            <v>项目-劳务费</v>
          </cell>
        </row>
        <row r="146">
          <cell r="K146">
            <v>3500</v>
          </cell>
        </row>
        <row r="146">
          <cell r="M146" t="str">
            <v>德安县养老中心</v>
          </cell>
        </row>
        <row r="147">
          <cell r="D147">
            <v>45915</v>
          </cell>
        </row>
        <row r="147">
          <cell r="H147" t="str">
            <v>项目-劳务费</v>
          </cell>
        </row>
        <row r="147">
          <cell r="K147">
            <v>3500</v>
          </cell>
        </row>
        <row r="147">
          <cell r="M147" t="str">
            <v>德安县养老中心</v>
          </cell>
        </row>
        <row r="148">
          <cell r="D148">
            <v>45915</v>
          </cell>
        </row>
        <row r="148">
          <cell r="H148" t="str">
            <v>项目-劳务费</v>
          </cell>
        </row>
        <row r="148">
          <cell r="K148">
            <v>4000</v>
          </cell>
        </row>
        <row r="148">
          <cell r="M148" t="str">
            <v>德安县养老中心</v>
          </cell>
        </row>
        <row r="149">
          <cell r="D149">
            <v>45915</v>
          </cell>
        </row>
        <row r="149">
          <cell r="H149" t="str">
            <v>办公室-工资</v>
          </cell>
        </row>
        <row r="149">
          <cell r="K149">
            <v>5000</v>
          </cell>
        </row>
        <row r="149">
          <cell r="M149" t="str">
            <v>办公室</v>
          </cell>
        </row>
        <row r="150">
          <cell r="D150">
            <v>45916</v>
          </cell>
        </row>
        <row r="150">
          <cell r="H150" t="str">
            <v>项目-材料费</v>
          </cell>
        </row>
        <row r="150">
          <cell r="K150">
            <v>1110</v>
          </cell>
        </row>
        <row r="150">
          <cell r="M150" t="str">
            <v>德安县养老中心</v>
          </cell>
        </row>
        <row r="151">
          <cell r="D151">
            <v>45916</v>
          </cell>
        </row>
        <row r="151">
          <cell r="H151" t="str">
            <v>项目-材料费</v>
          </cell>
        </row>
        <row r="151">
          <cell r="K151">
            <v>90</v>
          </cell>
        </row>
        <row r="151">
          <cell r="M151" t="str">
            <v>德安县养老中心</v>
          </cell>
        </row>
        <row r="152">
          <cell r="D152">
            <v>45916</v>
          </cell>
        </row>
        <row r="152">
          <cell r="H152" t="str">
            <v>项目-劳务费</v>
          </cell>
        </row>
        <row r="152">
          <cell r="K152">
            <v>4000</v>
          </cell>
        </row>
        <row r="152">
          <cell r="M152" t="str">
            <v>德安县养老中心</v>
          </cell>
        </row>
        <row r="153">
          <cell r="D153">
            <v>45916</v>
          </cell>
        </row>
        <row r="153">
          <cell r="H153" t="str">
            <v>项目-分包</v>
          </cell>
        </row>
        <row r="153">
          <cell r="K153">
            <v>10000</v>
          </cell>
        </row>
        <row r="153">
          <cell r="M153" t="str">
            <v>德安县养老中心</v>
          </cell>
        </row>
        <row r="154">
          <cell r="D154">
            <v>45916</v>
          </cell>
        </row>
        <row r="154">
          <cell r="H154" t="str">
            <v>项目-分包</v>
          </cell>
        </row>
        <row r="154">
          <cell r="K154">
            <v>-10000</v>
          </cell>
        </row>
        <row r="154">
          <cell r="M154" t="str">
            <v>德安县养老中心</v>
          </cell>
        </row>
        <row r="155">
          <cell r="D155">
            <v>45916</v>
          </cell>
        </row>
        <row r="155">
          <cell r="H155" t="str">
            <v>项目-分包</v>
          </cell>
        </row>
        <row r="155">
          <cell r="K155">
            <v>10000</v>
          </cell>
        </row>
        <row r="155">
          <cell r="M155" t="str">
            <v>德安县养老中心</v>
          </cell>
        </row>
        <row r="156">
          <cell r="D156">
            <v>45918</v>
          </cell>
        </row>
        <row r="156">
          <cell r="H156" t="str">
            <v>项目-劳务费</v>
          </cell>
        </row>
        <row r="156">
          <cell r="K156">
            <v>5000</v>
          </cell>
        </row>
        <row r="156">
          <cell r="M156" t="str">
            <v>德安县养老中心</v>
          </cell>
        </row>
        <row r="157">
          <cell r="D157">
            <v>45918</v>
          </cell>
        </row>
        <row r="157">
          <cell r="H157" t="str">
            <v>个人借款-聂辉</v>
          </cell>
        </row>
        <row r="157">
          <cell r="K157">
            <v>50000</v>
          </cell>
        </row>
        <row r="157">
          <cell r="M157" t="str">
            <v>个人借款</v>
          </cell>
        </row>
        <row r="158">
          <cell r="D158">
            <v>45921</v>
          </cell>
        </row>
        <row r="158">
          <cell r="H158" t="str">
            <v>办公室-办公费</v>
          </cell>
        </row>
        <row r="158">
          <cell r="K158">
            <v>-9.06</v>
          </cell>
        </row>
        <row r="158">
          <cell r="M158" t="str">
            <v>办公室</v>
          </cell>
        </row>
        <row r="159">
          <cell r="D159">
            <v>45922</v>
          </cell>
        </row>
        <row r="159">
          <cell r="H159" t="str">
            <v>项目-材料费</v>
          </cell>
        </row>
        <row r="159">
          <cell r="K159">
            <v>71575.38</v>
          </cell>
        </row>
        <row r="159">
          <cell r="M159" t="str">
            <v>德安县养老中心</v>
          </cell>
        </row>
        <row r="160">
          <cell r="D160">
            <v>45923</v>
          </cell>
        </row>
        <row r="160">
          <cell r="H160" t="str">
            <v>办公室-办公费</v>
          </cell>
        </row>
        <row r="160">
          <cell r="K160">
            <v>9000</v>
          </cell>
        </row>
        <row r="160">
          <cell r="M160" t="str">
            <v>办公室</v>
          </cell>
        </row>
        <row r="161">
          <cell r="D161">
            <v>45924</v>
          </cell>
        </row>
        <row r="161">
          <cell r="H161" t="str">
            <v>工程款</v>
          </cell>
        </row>
        <row r="161">
          <cell r="J161">
            <v>412092.76</v>
          </cell>
        </row>
        <row r="161">
          <cell r="M161" t="str">
            <v>江西赣粤高速公路工程有限责任公司</v>
          </cell>
        </row>
        <row r="162">
          <cell r="D162">
            <v>45926</v>
          </cell>
        </row>
        <row r="162">
          <cell r="H162" t="str">
            <v>项目-材料费</v>
          </cell>
        </row>
        <row r="162">
          <cell r="K162">
            <v>3937.66</v>
          </cell>
        </row>
        <row r="162">
          <cell r="M162" t="str">
            <v>德安县养老中心</v>
          </cell>
        </row>
        <row r="163">
          <cell r="D163">
            <v>45926</v>
          </cell>
        </row>
        <row r="163">
          <cell r="H163" t="str">
            <v>项目-劳务费</v>
          </cell>
        </row>
        <row r="163">
          <cell r="K163">
            <v>108000</v>
          </cell>
        </row>
        <row r="163">
          <cell r="M163" t="str">
            <v>江西赣粤高速公路工程有限责任公司</v>
          </cell>
        </row>
        <row r="164">
          <cell r="D164">
            <v>45926</v>
          </cell>
        </row>
        <row r="164">
          <cell r="H164" t="str">
            <v>项目-劳务费</v>
          </cell>
        </row>
        <row r="164">
          <cell r="K164">
            <v>-108000</v>
          </cell>
        </row>
        <row r="164">
          <cell r="M164" t="str">
            <v>江西赣粤高速公路工程有限责任公司</v>
          </cell>
        </row>
        <row r="165">
          <cell r="D165">
            <v>45926</v>
          </cell>
        </row>
        <row r="165">
          <cell r="H165" t="str">
            <v>项目-劳务费</v>
          </cell>
        </row>
        <row r="165">
          <cell r="K165">
            <v>108000</v>
          </cell>
        </row>
        <row r="165">
          <cell r="M165" t="str">
            <v>江西赣粤高速公路工程有限责任公司</v>
          </cell>
        </row>
        <row r="166">
          <cell r="D166">
            <v>45928</v>
          </cell>
        </row>
        <row r="166">
          <cell r="H166" t="str">
            <v>项目-材料费</v>
          </cell>
        </row>
        <row r="166">
          <cell r="K166">
            <v>4096</v>
          </cell>
        </row>
        <row r="166">
          <cell r="M166" t="str">
            <v>德安县养老中心</v>
          </cell>
        </row>
        <row r="167">
          <cell r="D167">
            <v>45928</v>
          </cell>
        </row>
        <row r="167">
          <cell r="H167" t="str">
            <v>个人借款-聂辉</v>
          </cell>
        </row>
        <row r="167">
          <cell r="K167">
            <v>30000</v>
          </cell>
        </row>
        <row r="167">
          <cell r="M167" t="str">
            <v>个人借款</v>
          </cell>
        </row>
        <row r="168">
          <cell r="D168">
            <v>45929</v>
          </cell>
        </row>
        <row r="168">
          <cell r="H168" t="str">
            <v>办公室-办公费</v>
          </cell>
        </row>
        <row r="168">
          <cell r="K168">
            <v>10000</v>
          </cell>
        </row>
        <row r="168">
          <cell r="M168" t="str">
            <v>办公室</v>
          </cell>
        </row>
        <row r="169">
          <cell r="D169">
            <v>45929</v>
          </cell>
        </row>
        <row r="169">
          <cell r="H169" t="str">
            <v>项目-材料费</v>
          </cell>
        </row>
        <row r="169">
          <cell r="K169">
            <v>58556.29</v>
          </cell>
        </row>
        <row r="169">
          <cell r="M169" t="str">
            <v>抚州资溪养老基地1号楼</v>
          </cell>
        </row>
        <row r="170">
          <cell r="D170">
            <v>45929</v>
          </cell>
        </row>
        <row r="170">
          <cell r="H170" t="str">
            <v>项目-材料费</v>
          </cell>
        </row>
        <row r="170">
          <cell r="K170">
            <v>4432.4</v>
          </cell>
        </row>
        <row r="170">
          <cell r="M170" t="str">
            <v>德安县养老中心</v>
          </cell>
        </row>
        <row r="171">
          <cell r="D171">
            <v>45930</v>
          </cell>
        </row>
        <row r="171">
          <cell r="H171" t="str">
            <v>工程款</v>
          </cell>
        </row>
        <row r="171">
          <cell r="J171">
            <v>386650.18</v>
          </cell>
        </row>
        <row r="171">
          <cell r="M171" t="str">
            <v>德安县养老中心</v>
          </cell>
        </row>
        <row r="172">
          <cell r="D172">
            <v>45930</v>
          </cell>
        </row>
        <row r="172">
          <cell r="H172" t="str">
            <v>项目-材料费</v>
          </cell>
        </row>
        <row r="172">
          <cell r="K172">
            <v>47656</v>
          </cell>
        </row>
        <row r="172">
          <cell r="M172" t="str">
            <v>德安县养老中心</v>
          </cell>
        </row>
        <row r="173">
          <cell r="D173">
            <v>45930</v>
          </cell>
        </row>
        <row r="173">
          <cell r="H173" t="str">
            <v>项目-材料费</v>
          </cell>
        </row>
        <row r="173">
          <cell r="K173">
            <v>-47656</v>
          </cell>
        </row>
        <row r="173">
          <cell r="M173" t="str">
            <v>德安县养老中心</v>
          </cell>
        </row>
        <row r="174">
          <cell r="D174">
            <v>45930</v>
          </cell>
        </row>
        <row r="174">
          <cell r="H174" t="str">
            <v>项目-材料费</v>
          </cell>
        </row>
        <row r="174">
          <cell r="K174">
            <v>47656</v>
          </cell>
        </row>
        <row r="174">
          <cell r="M174" t="str">
            <v>德安县养老中心</v>
          </cell>
        </row>
        <row r="175">
          <cell r="D175">
            <v>45932</v>
          </cell>
        </row>
        <row r="175">
          <cell r="H175" t="str">
            <v>项目-材料费</v>
          </cell>
        </row>
        <row r="175">
          <cell r="K175">
            <v>30000</v>
          </cell>
        </row>
        <row r="175">
          <cell r="M175" t="str">
            <v>德安县养老中心</v>
          </cell>
        </row>
        <row r="176">
          <cell r="D176">
            <v>45933</v>
          </cell>
        </row>
        <row r="176">
          <cell r="H176" t="str">
            <v>项目-劳务费</v>
          </cell>
        </row>
        <row r="176">
          <cell r="K176">
            <v>163552.78</v>
          </cell>
        </row>
        <row r="176">
          <cell r="M176" t="str">
            <v>江西赣粤高速公路工程有限责任公司</v>
          </cell>
        </row>
        <row r="177">
          <cell r="D177">
            <v>45933</v>
          </cell>
        </row>
        <row r="177">
          <cell r="H177" t="str">
            <v>项目-材料费</v>
          </cell>
        </row>
        <row r="177">
          <cell r="K177">
            <v>35000</v>
          </cell>
        </row>
        <row r="177">
          <cell r="M177" t="str">
            <v>九安架空层</v>
          </cell>
        </row>
        <row r="178">
          <cell r="D178">
            <v>45934</v>
          </cell>
        </row>
        <row r="178">
          <cell r="H178" t="str">
            <v>项目-劳务费</v>
          </cell>
        </row>
        <row r="178">
          <cell r="K178">
            <v>130760</v>
          </cell>
        </row>
        <row r="178">
          <cell r="M178" t="str">
            <v>江西赣粤高速公路工程有限责任公司</v>
          </cell>
        </row>
        <row r="179">
          <cell r="D179">
            <v>45934</v>
          </cell>
        </row>
        <row r="179">
          <cell r="H179" t="str">
            <v>项目-材料费</v>
          </cell>
        </row>
        <row r="179">
          <cell r="K179">
            <v>42000</v>
          </cell>
        </row>
        <row r="179">
          <cell r="M179" t="str">
            <v>九安架空层</v>
          </cell>
        </row>
        <row r="180">
          <cell r="D180">
            <v>45935</v>
          </cell>
        </row>
        <row r="180">
          <cell r="H180" t="str">
            <v>项目-劳务费</v>
          </cell>
        </row>
        <row r="180">
          <cell r="K180">
            <v>6000</v>
          </cell>
        </row>
        <row r="180">
          <cell r="M180" t="str">
            <v>德安县养老中心</v>
          </cell>
        </row>
        <row r="181">
          <cell r="D181">
            <v>45935</v>
          </cell>
        </row>
        <row r="181">
          <cell r="H181" t="str">
            <v>项目-劳务费</v>
          </cell>
        </row>
        <row r="181">
          <cell r="K181">
            <v>6500</v>
          </cell>
        </row>
        <row r="181">
          <cell r="M181" t="str">
            <v>德安县养老中心</v>
          </cell>
        </row>
        <row r="182">
          <cell r="D182">
            <v>45935</v>
          </cell>
        </row>
        <row r="182">
          <cell r="H182" t="str">
            <v>办公室-工资</v>
          </cell>
        </row>
        <row r="182">
          <cell r="K182">
            <v>9850</v>
          </cell>
        </row>
        <row r="182">
          <cell r="M182" t="str">
            <v>办公室</v>
          </cell>
        </row>
        <row r="183">
          <cell r="D183">
            <v>45935</v>
          </cell>
        </row>
        <row r="183">
          <cell r="H183" t="str">
            <v>项目-劳务费</v>
          </cell>
        </row>
        <row r="183">
          <cell r="K183">
            <v>4000</v>
          </cell>
        </row>
        <row r="183">
          <cell r="M183" t="str">
            <v>德安县养老中心</v>
          </cell>
        </row>
        <row r="184">
          <cell r="D184">
            <v>45935</v>
          </cell>
        </row>
        <row r="184">
          <cell r="H184" t="str">
            <v>项目-劳务费</v>
          </cell>
        </row>
        <row r="184">
          <cell r="K184">
            <v>4000</v>
          </cell>
        </row>
        <row r="184">
          <cell r="M184" t="str">
            <v>德安县养老中心</v>
          </cell>
        </row>
        <row r="185">
          <cell r="D185">
            <v>45935</v>
          </cell>
        </row>
        <row r="185">
          <cell r="H185" t="str">
            <v>项目-劳务费</v>
          </cell>
        </row>
        <row r="185">
          <cell r="K185">
            <v>4000</v>
          </cell>
        </row>
        <row r="185">
          <cell r="M185" t="str">
            <v>德安县养老中心</v>
          </cell>
        </row>
        <row r="186">
          <cell r="D186">
            <v>45935</v>
          </cell>
        </row>
        <row r="186">
          <cell r="H186" t="str">
            <v>项目-劳务费</v>
          </cell>
        </row>
        <row r="186">
          <cell r="K186">
            <v>5000</v>
          </cell>
        </row>
        <row r="186">
          <cell r="M186" t="str">
            <v>德安县养老中心</v>
          </cell>
        </row>
        <row r="187">
          <cell r="D187">
            <v>45935</v>
          </cell>
        </row>
        <row r="187">
          <cell r="H187" t="str">
            <v>项目-劳务费</v>
          </cell>
        </row>
        <row r="187">
          <cell r="K187">
            <v>4000</v>
          </cell>
        </row>
        <row r="187">
          <cell r="M187" t="str">
            <v>德安县养老中心</v>
          </cell>
        </row>
        <row r="188">
          <cell r="D188">
            <v>45935</v>
          </cell>
        </row>
        <row r="188">
          <cell r="H188" t="str">
            <v>项目-劳务费</v>
          </cell>
        </row>
        <row r="188">
          <cell r="K188">
            <v>4000</v>
          </cell>
        </row>
        <row r="188">
          <cell r="M188" t="str">
            <v>德安县养老中心</v>
          </cell>
        </row>
        <row r="189">
          <cell r="D189">
            <v>45935</v>
          </cell>
        </row>
        <row r="189">
          <cell r="H189" t="str">
            <v>项目-劳务费</v>
          </cell>
        </row>
        <row r="189">
          <cell r="K189">
            <v>4000</v>
          </cell>
        </row>
        <row r="189">
          <cell r="M189" t="str">
            <v>德安县养老中心</v>
          </cell>
        </row>
        <row r="190">
          <cell r="D190">
            <v>45936</v>
          </cell>
        </row>
        <row r="190">
          <cell r="H190" t="str">
            <v>项目-劳务费</v>
          </cell>
        </row>
        <row r="190">
          <cell r="K190">
            <v>3500</v>
          </cell>
        </row>
        <row r="190">
          <cell r="M190" t="str">
            <v>德安县养老中心</v>
          </cell>
        </row>
        <row r="191">
          <cell r="D191">
            <v>45936</v>
          </cell>
        </row>
        <row r="191">
          <cell r="H191" t="str">
            <v>个人借款-聂辉</v>
          </cell>
        </row>
        <row r="191">
          <cell r="K191">
            <v>30000</v>
          </cell>
        </row>
        <row r="191">
          <cell r="M191" t="str">
            <v>个人借款</v>
          </cell>
        </row>
        <row r="192">
          <cell r="D192">
            <v>45936</v>
          </cell>
        </row>
        <row r="192">
          <cell r="H192" t="str">
            <v>项目-劳务费</v>
          </cell>
        </row>
        <row r="192">
          <cell r="K192">
            <v>4000</v>
          </cell>
        </row>
        <row r="192">
          <cell r="M192" t="str">
            <v>德安县养老中心</v>
          </cell>
        </row>
        <row r="193">
          <cell r="D193">
            <v>45936</v>
          </cell>
        </row>
        <row r="193">
          <cell r="H193" t="str">
            <v>项目-劳务费</v>
          </cell>
        </row>
        <row r="193">
          <cell r="K193">
            <v>3000</v>
          </cell>
        </row>
        <row r="193">
          <cell r="M193" t="str">
            <v>德安县养老中心</v>
          </cell>
        </row>
        <row r="194">
          <cell r="D194">
            <v>45936</v>
          </cell>
        </row>
        <row r="194">
          <cell r="H194" t="str">
            <v>项目-劳务费</v>
          </cell>
        </row>
        <row r="194">
          <cell r="K194">
            <v>4000</v>
          </cell>
        </row>
        <row r="194">
          <cell r="M194" t="str">
            <v>德安县养老中心</v>
          </cell>
        </row>
        <row r="195">
          <cell r="D195">
            <v>45936</v>
          </cell>
        </row>
        <row r="195">
          <cell r="H195" t="str">
            <v>项目-劳务费</v>
          </cell>
        </row>
        <row r="195">
          <cell r="K195">
            <v>4000</v>
          </cell>
        </row>
        <row r="195">
          <cell r="M195" t="str">
            <v>德安县养老中心</v>
          </cell>
        </row>
        <row r="196">
          <cell r="D196">
            <v>45936</v>
          </cell>
        </row>
        <row r="196">
          <cell r="H196" t="str">
            <v>办公室-工资</v>
          </cell>
        </row>
        <row r="196">
          <cell r="K196">
            <v>5000</v>
          </cell>
        </row>
        <row r="196">
          <cell r="M196" t="str">
            <v>办公室</v>
          </cell>
        </row>
        <row r="197">
          <cell r="D197">
            <v>45937</v>
          </cell>
        </row>
        <row r="197">
          <cell r="H197" t="str">
            <v>办公室-办公费</v>
          </cell>
        </row>
        <row r="197">
          <cell r="K197">
            <v>12800</v>
          </cell>
        </row>
        <row r="197">
          <cell r="M197" t="str">
            <v>办公室</v>
          </cell>
        </row>
        <row r="198">
          <cell r="D198">
            <v>45937</v>
          </cell>
        </row>
        <row r="198">
          <cell r="H198" t="str">
            <v>办公室-办公费</v>
          </cell>
        </row>
        <row r="198">
          <cell r="K198">
            <v>6800</v>
          </cell>
        </row>
        <row r="198">
          <cell r="M198" t="str">
            <v>办公室</v>
          </cell>
        </row>
        <row r="199">
          <cell r="D199">
            <v>45938</v>
          </cell>
        </row>
        <row r="199">
          <cell r="H199" t="str">
            <v>项目-材料费</v>
          </cell>
        </row>
        <row r="199">
          <cell r="K199">
            <v>69485.2</v>
          </cell>
        </row>
        <row r="199">
          <cell r="M199" t="str">
            <v>抚州资溪养老基地1号楼</v>
          </cell>
        </row>
        <row r="200">
          <cell r="D200">
            <v>45938</v>
          </cell>
        </row>
        <row r="200">
          <cell r="H200" t="str">
            <v>个人借款-聂辉</v>
          </cell>
        </row>
        <row r="200">
          <cell r="K200">
            <v>-15000</v>
          </cell>
        </row>
        <row r="200">
          <cell r="M200" t="str">
            <v>个人借款</v>
          </cell>
        </row>
        <row r="201">
          <cell r="D201">
            <v>45938</v>
          </cell>
        </row>
        <row r="201">
          <cell r="H201" t="str">
            <v>项目-材料费</v>
          </cell>
        </row>
        <row r="201">
          <cell r="K201">
            <v>10731.29</v>
          </cell>
        </row>
        <row r="201">
          <cell r="M201" t="str">
            <v>德安县养老中心</v>
          </cell>
        </row>
        <row r="202">
          <cell r="D202">
            <v>45940</v>
          </cell>
        </row>
        <row r="202">
          <cell r="H202" t="str">
            <v>项目-劳务费</v>
          </cell>
        </row>
        <row r="202">
          <cell r="K202">
            <v>3000</v>
          </cell>
        </row>
        <row r="202">
          <cell r="M202" t="str">
            <v>德安县养老中心</v>
          </cell>
        </row>
        <row r="203">
          <cell r="D203">
            <v>45940</v>
          </cell>
        </row>
        <row r="203">
          <cell r="H203" t="str">
            <v>项目-劳务费</v>
          </cell>
        </row>
        <row r="203">
          <cell r="K203">
            <v>2000</v>
          </cell>
        </row>
        <row r="203">
          <cell r="M203" t="str">
            <v>德安县养老中心</v>
          </cell>
        </row>
        <row r="204">
          <cell r="D204">
            <v>45940</v>
          </cell>
        </row>
        <row r="204">
          <cell r="H204" t="str">
            <v>项目-劳务费</v>
          </cell>
        </row>
        <row r="204">
          <cell r="K204">
            <v>-2000</v>
          </cell>
        </row>
        <row r="204">
          <cell r="M204" t="str">
            <v>德安县养老中心</v>
          </cell>
        </row>
        <row r="205">
          <cell r="D205">
            <v>45940</v>
          </cell>
        </row>
        <row r="205">
          <cell r="H205" t="str">
            <v>项目-劳务费</v>
          </cell>
        </row>
        <row r="205">
          <cell r="K205">
            <v>2000</v>
          </cell>
        </row>
        <row r="205">
          <cell r="M205" t="str">
            <v>德安县养老中心</v>
          </cell>
        </row>
        <row r="206">
          <cell r="D206">
            <v>45944</v>
          </cell>
        </row>
        <row r="206">
          <cell r="H206" t="str">
            <v>项目-材料费</v>
          </cell>
        </row>
        <row r="206">
          <cell r="K206">
            <v>1723.51</v>
          </cell>
        </row>
        <row r="206">
          <cell r="M206" t="str">
            <v>抚州资溪养老基地1号楼</v>
          </cell>
        </row>
        <row r="207">
          <cell r="D207">
            <v>45944</v>
          </cell>
        </row>
        <row r="207">
          <cell r="H207" t="str">
            <v>项目-材料费</v>
          </cell>
        </row>
        <row r="207">
          <cell r="K207">
            <v>1269</v>
          </cell>
        </row>
        <row r="207">
          <cell r="M207" t="str">
            <v>抚州资溪养老基地1号楼</v>
          </cell>
        </row>
        <row r="208">
          <cell r="D208">
            <v>45944</v>
          </cell>
        </row>
        <row r="208">
          <cell r="H208" t="str">
            <v>个人借款-聂辉</v>
          </cell>
        </row>
        <row r="208">
          <cell r="K208">
            <v>-5000</v>
          </cell>
        </row>
        <row r="208">
          <cell r="M208" t="str">
            <v>个人借款</v>
          </cell>
        </row>
        <row r="209">
          <cell r="D209">
            <v>45944</v>
          </cell>
        </row>
        <row r="209">
          <cell r="H209" t="str">
            <v>项目-材料费</v>
          </cell>
        </row>
        <row r="209">
          <cell r="K209">
            <v>5583.6</v>
          </cell>
        </row>
        <row r="209">
          <cell r="M209" t="str">
            <v>德安县养老中心</v>
          </cell>
        </row>
        <row r="210">
          <cell r="D210">
            <v>45946</v>
          </cell>
        </row>
        <row r="210">
          <cell r="H210" t="str">
            <v>个人借款-聂辉</v>
          </cell>
        </row>
        <row r="210">
          <cell r="K210">
            <v>-20000</v>
          </cell>
        </row>
        <row r="210">
          <cell r="M210" t="str">
            <v>个人借款</v>
          </cell>
        </row>
        <row r="211">
          <cell r="D211">
            <v>45946</v>
          </cell>
        </row>
        <row r="211">
          <cell r="H211" t="str">
            <v>项目-材料费</v>
          </cell>
        </row>
        <row r="211">
          <cell r="K211">
            <v>5300</v>
          </cell>
        </row>
        <row r="211">
          <cell r="M211" t="str">
            <v>德安县养老中心</v>
          </cell>
        </row>
        <row r="212">
          <cell r="D212">
            <v>45946</v>
          </cell>
        </row>
        <row r="212">
          <cell r="H212" t="str">
            <v>工程款</v>
          </cell>
        </row>
        <row r="212">
          <cell r="J212">
            <v>76286.6</v>
          </cell>
        </row>
        <row r="212">
          <cell r="M212" t="str">
            <v>江西赣粤高速公路工程有限责任公司</v>
          </cell>
        </row>
        <row r="213">
          <cell r="D213">
            <v>45947</v>
          </cell>
        </row>
        <row r="213">
          <cell r="H213" t="str">
            <v>个人借款-张淑平</v>
          </cell>
        </row>
        <row r="213">
          <cell r="K213">
            <v>-50000</v>
          </cell>
        </row>
        <row r="213">
          <cell r="M213" t="str">
            <v>个人借款</v>
          </cell>
        </row>
        <row r="214">
          <cell r="D214">
            <v>45947</v>
          </cell>
        </row>
        <row r="214">
          <cell r="H214" t="str">
            <v>项目-材料费</v>
          </cell>
        </row>
        <row r="214">
          <cell r="K214">
            <v>16442.13</v>
          </cell>
        </row>
        <row r="214">
          <cell r="M214" t="str">
            <v>德安县科创中心</v>
          </cell>
        </row>
        <row r="215">
          <cell r="D215">
            <v>45947</v>
          </cell>
        </row>
        <row r="215">
          <cell r="H215" t="str">
            <v>项目-分包</v>
          </cell>
        </row>
        <row r="215">
          <cell r="K215">
            <v>24000</v>
          </cell>
        </row>
        <row r="215">
          <cell r="M215" t="str">
            <v>抚州资溪养老基地1号楼</v>
          </cell>
        </row>
        <row r="216">
          <cell r="D216">
            <v>45947</v>
          </cell>
        </row>
        <row r="216">
          <cell r="H216" t="str">
            <v>项目-分包</v>
          </cell>
        </row>
        <row r="216">
          <cell r="K216">
            <v>-24000</v>
          </cell>
        </row>
        <row r="216">
          <cell r="M216" t="str">
            <v>抚州资溪养老基地1号楼</v>
          </cell>
        </row>
        <row r="217">
          <cell r="D217">
            <v>45947</v>
          </cell>
        </row>
        <row r="217">
          <cell r="H217" t="str">
            <v>项目-分包</v>
          </cell>
        </row>
        <row r="217">
          <cell r="K217">
            <v>24000</v>
          </cell>
        </row>
        <row r="217">
          <cell r="M217" t="str">
            <v>抚州资溪养老基地1号楼</v>
          </cell>
        </row>
        <row r="218">
          <cell r="D218">
            <v>45949</v>
          </cell>
        </row>
        <row r="218">
          <cell r="H218" t="str">
            <v>办公室-工资</v>
          </cell>
        </row>
        <row r="218">
          <cell r="K218">
            <v>5000</v>
          </cell>
        </row>
        <row r="218">
          <cell r="M218" t="str">
            <v>办公室</v>
          </cell>
        </row>
        <row r="219">
          <cell r="D219">
            <v>45951</v>
          </cell>
        </row>
        <row r="219">
          <cell r="H219" t="str">
            <v>项目-材料费</v>
          </cell>
        </row>
        <row r="219">
          <cell r="K219">
            <v>26138.16</v>
          </cell>
        </row>
        <row r="219">
          <cell r="M219" t="str">
            <v>德安县养老中心</v>
          </cell>
        </row>
        <row r="220">
          <cell r="D220">
            <v>45951</v>
          </cell>
        </row>
        <row r="220">
          <cell r="H220" t="str">
            <v>项目-材料费</v>
          </cell>
        </row>
        <row r="220">
          <cell r="K220">
            <v>1500</v>
          </cell>
        </row>
        <row r="220">
          <cell r="M220" t="str">
            <v>德安县科创中心</v>
          </cell>
        </row>
        <row r="221">
          <cell r="D221">
            <v>45952</v>
          </cell>
        </row>
        <row r="221">
          <cell r="H221" t="str">
            <v>税款</v>
          </cell>
        </row>
        <row r="221">
          <cell r="K221">
            <v>3010.12</v>
          </cell>
        </row>
        <row r="221">
          <cell r="M221" t="str">
            <v>办公室</v>
          </cell>
        </row>
        <row r="222">
          <cell r="D222">
            <v>45952</v>
          </cell>
        </row>
        <row r="222">
          <cell r="H222" t="str">
            <v>项目-材料费</v>
          </cell>
        </row>
        <row r="222">
          <cell r="K222">
            <v>1100</v>
          </cell>
        </row>
        <row r="222">
          <cell r="M222" t="str">
            <v>德安县养老中心</v>
          </cell>
        </row>
        <row r="223">
          <cell r="D223">
            <v>45954</v>
          </cell>
        </row>
        <row r="223">
          <cell r="H223" t="str">
            <v>税款</v>
          </cell>
        </row>
        <row r="223">
          <cell r="K223">
            <v>150</v>
          </cell>
        </row>
        <row r="223">
          <cell r="M223" t="str">
            <v>办公室</v>
          </cell>
        </row>
        <row r="224">
          <cell r="D224">
            <v>45954</v>
          </cell>
        </row>
        <row r="224">
          <cell r="H224" t="str">
            <v>项目-材料费</v>
          </cell>
        </row>
        <row r="224">
          <cell r="K224">
            <v>2722</v>
          </cell>
        </row>
        <row r="224">
          <cell r="M224" t="str">
            <v>德安县养老中心</v>
          </cell>
        </row>
        <row r="225">
          <cell r="D225">
            <v>45955</v>
          </cell>
        </row>
        <row r="225">
          <cell r="H225" t="str">
            <v>项目-材料费</v>
          </cell>
        </row>
        <row r="225">
          <cell r="K225">
            <v>2720</v>
          </cell>
        </row>
        <row r="225">
          <cell r="M225" t="str">
            <v>德安县养老中心</v>
          </cell>
        </row>
        <row r="226">
          <cell r="D226">
            <v>45955</v>
          </cell>
        </row>
        <row r="226">
          <cell r="H226" t="str">
            <v>项目-分包</v>
          </cell>
        </row>
        <row r="226">
          <cell r="K226">
            <v>50000</v>
          </cell>
        </row>
        <row r="226">
          <cell r="M226" t="str">
            <v>德安县养老中心</v>
          </cell>
        </row>
        <row r="227">
          <cell r="D227">
            <v>45957</v>
          </cell>
        </row>
        <row r="227">
          <cell r="H227" t="str">
            <v>个人借款-王伟</v>
          </cell>
        </row>
        <row r="227">
          <cell r="K227">
            <v>-20000</v>
          </cell>
        </row>
        <row r="227">
          <cell r="M227" t="str">
            <v>个人借款</v>
          </cell>
        </row>
        <row r="228">
          <cell r="D228">
            <v>45959</v>
          </cell>
        </row>
        <row r="228">
          <cell r="H228" t="str">
            <v>项目-分包</v>
          </cell>
        </row>
        <row r="228">
          <cell r="K228">
            <v>20000</v>
          </cell>
        </row>
        <row r="228">
          <cell r="M228" t="str">
            <v>德安县养老中心</v>
          </cell>
        </row>
        <row r="229">
          <cell r="D229">
            <v>45960</v>
          </cell>
        </row>
        <row r="229">
          <cell r="H229" t="str">
            <v>个人借款-聂辉</v>
          </cell>
        </row>
        <row r="229">
          <cell r="K229">
            <v>-22000</v>
          </cell>
        </row>
        <row r="229">
          <cell r="M229" t="str">
            <v>个人借款</v>
          </cell>
        </row>
        <row r="230">
          <cell r="D230">
            <v>45960</v>
          </cell>
        </row>
        <row r="230">
          <cell r="H230" t="str">
            <v>项目-材料费</v>
          </cell>
        </row>
        <row r="230">
          <cell r="K230">
            <v>12954</v>
          </cell>
        </row>
        <row r="230">
          <cell r="M230" t="str">
            <v>德安县养老中心</v>
          </cell>
        </row>
        <row r="231">
          <cell r="D231">
            <v>45960</v>
          </cell>
        </row>
        <row r="231">
          <cell r="H231" t="str">
            <v>项目-材料费</v>
          </cell>
        </row>
        <row r="231">
          <cell r="K231">
            <v>14212</v>
          </cell>
        </row>
        <row r="231">
          <cell r="M231" t="str">
            <v>德安县养老中心</v>
          </cell>
        </row>
        <row r="232">
          <cell r="D232">
            <v>45961</v>
          </cell>
        </row>
        <row r="232">
          <cell r="H232" t="str">
            <v>个人借款-聂辉</v>
          </cell>
        </row>
        <row r="232">
          <cell r="K232">
            <v>-40000</v>
          </cell>
        </row>
        <row r="232">
          <cell r="M232" t="str">
            <v>个人借款</v>
          </cell>
        </row>
        <row r="233">
          <cell r="D233">
            <v>45961</v>
          </cell>
        </row>
        <row r="233">
          <cell r="H233" t="str">
            <v>项目-材料费</v>
          </cell>
        </row>
        <row r="233">
          <cell r="K233">
            <v>7502</v>
          </cell>
        </row>
        <row r="233">
          <cell r="M233" t="str">
            <v>德安县养老中心</v>
          </cell>
        </row>
        <row r="234">
          <cell r="D234">
            <v>45961</v>
          </cell>
        </row>
        <row r="234">
          <cell r="H234" t="str">
            <v>项目-分包</v>
          </cell>
        </row>
        <row r="234">
          <cell r="K234">
            <v>20057</v>
          </cell>
        </row>
        <row r="234">
          <cell r="M234" t="str">
            <v>德安县养老中心</v>
          </cell>
        </row>
        <row r="235">
          <cell r="D235">
            <v>45963</v>
          </cell>
        </row>
        <row r="235">
          <cell r="H235" t="str">
            <v>个人借款-聂辉</v>
          </cell>
        </row>
        <row r="235">
          <cell r="K235">
            <v>-10000</v>
          </cell>
        </row>
        <row r="235">
          <cell r="M235" t="str">
            <v>个人借款</v>
          </cell>
        </row>
        <row r="236">
          <cell r="D236">
            <v>45963</v>
          </cell>
        </row>
        <row r="236">
          <cell r="H236" t="str">
            <v>项目-材料费</v>
          </cell>
        </row>
        <row r="236">
          <cell r="K236">
            <v>17198.43</v>
          </cell>
        </row>
        <row r="236">
          <cell r="M236" t="str">
            <v>抚州资溪养老基地1号楼</v>
          </cell>
        </row>
        <row r="237">
          <cell r="D237">
            <v>45963</v>
          </cell>
        </row>
        <row r="237">
          <cell r="H237" t="str">
            <v>项目-材料费</v>
          </cell>
        </row>
        <row r="237">
          <cell r="K237">
            <v>7716.04</v>
          </cell>
        </row>
        <row r="237">
          <cell r="M237" t="str">
            <v>德安县养老中心</v>
          </cell>
        </row>
        <row r="238">
          <cell r="D238">
            <v>45965</v>
          </cell>
        </row>
        <row r="238">
          <cell r="H238" t="str">
            <v>个人借款-聂辉</v>
          </cell>
        </row>
        <row r="238">
          <cell r="K238">
            <v>-5000</v>
          </cell>
        </row>
        <row r="238">
          <cell r="M238" t="str">
            <v>个人借款</v>
          </cell>
        </row>
        <row r="239">
          <cell r="D239">
            <v>45965</v>
          </cell>
        </row>
        <row r="239">
          <cell r="H239" t="str">
            <v>项目-材料费</v>
          </cell>
        </row>
        <row r="239">
          <cell r="K239">
            <v>5260</v>
          </cell>
        </row>
        <row r="239">
          <cell r="M239" t="str">
            <v>德安县养老中心</v>
          </cell>
        </row>
        <row r="240">
          <cell r="D240">
            <v>45968</v>
          </cell>
        </row>
        <row r="240">
          <cell r="H240" t="str">
            <v>工程款</v>
          </cell>
        </row>
        <row r="240">
          <cell r="J240">
            <v>328361.8</v>
          </cell>
        </row>
        <row r="240">
          <cell r="M240" t="str">
            <v>德安县科创中心</v>
          </cell>
        </row>
        <row r="241">
          <cell r="D241">
            <v>45968</v>
          </cell>
        </row>
        <row r="241">
          <cell r="H241" t="str">
            <v>项目-分包</v>
          </cell>
        </row>
        <row r="241">
          <cell r="K241">
            <v>10540</v>
          </cell>
        </row>
        <row r="241">
          <cell r="M241" t="str">
            <v>抚州资溪养老基地1号楼</v>
          </cell>
        </row>
        <row r="242">
          <cell r="D242">
            <v>45968</v>
          </cell>
        </row>
        <row r="242">
          <cell r="H242" t="str">
            <v>项目-材料费</v>
          </cell>
        </row>
        <row r="242">
          <cell r="K242">
            <v>5900</v>
          </cell>
        </row>
        <row r="242">
          <cell r="M242" t="str">
            <v>德安县养老中心</v>
          </cell>
        </row>
        <row r="243">
          <cell r="D243">
            <v>45968</v>
          </cell>
        </row>
        <row r="243">
          <cell r="H243" t="str">
            <v>项目-劳务费</v>
          </cell>
        </row>
        <row r="243">
          <cell r="K243">
            <v>5000</v>
          </cell>
        </row>
        <row r="243">
          <cell r="M243" t="str">
            <v>德安县养老中心</v>
          </cell>
        </row>
        <row r="244">
          <cell r="D244">
            <v>45968</v>
          </cell>
        </row>
        <row r="244">
          <cell r="H244" t="str">
            <v>个人借款-张淑平</v>
          </cell>
        </row>
        <row r="244">
          <cell r="K244">
            <v>50000</v>
          </cell>
        </row>
        <row r="244">
          <cell r="M244" t="str">
            <v>个人借款</v>
          </cell>
        </row>
        <row r="245">
          <cell r="D245">
            <v>45968</v>
          </cell>
        </row>
        <row r="245">
          <cell r="H245" t="str">
            <v>项目-分包</v>
          </cell>
        </row>
        <row r="245">
          <cell r="K245">
            <v>5093</v>
          </cell>
        </row>
        <row r="245">
          <cell r="M245" t="str">
            <v>抚州资溪养老基地1号楼</v>
          </cell>
        </row>
        <row r="246">
          <cell r="D246">
            <v>45968</v>
          </cell>
        </row>
        <row r="246">
          <cell r="H246" t="str">
            <v>项目-分包</v>
          </cell>
        </row>
        <row r="246">
          <cell r="K246">
            <v>16000</v>
          </cell>
        </row>
        <row r="246">
          <cell r="M246" t="str">
            <v>抚州资溪养老基地1号楼</v>
          </cell>
        </row>
        <row r="247">
          <cell r="D247">
            <v>45968</v>
          </cell>
        </row>
        <row r="247">
          <cell r="H247" t="str">
            <v>办公室-工资</v>
          </cell>
        </row>
        <row r="247">
          <cell r="K247">
            <v>10000</v>
          </cell>
        </row>
        <row r="247">
          <cell r="M247" t="str">
            <v>办公室</v>
          </cell>
        </row>
        <row r="248">
          <cell r="D248">
            <v>45969</v>
          </cell>
        </row>
        <row r="248">
          <cell r="H248" t="str">
            <v>项目-分包</v>
          </cell>
        </row>
        <row r="248">
          <cell r="K248">
            <v>37500</v>
          </cell>
        </row>
        <row r="248">
          <cell r="M248" t="str">
            <v>抚州资溪养老基地1号楼</v>
          </cell>
        </row>
        <row r="249">
          <cell r="D249">
            <v>45969</v>
          </cell>
        </row>
        <row r="249">
          <cell r="H249" t="str">
            <v>办公室-工资</v>
          </cell>
        </row>
        <row r="249">
          <cell r="K249">
            <v>10000</v>
          </cell>
        </row>
        <row r="249">
          <cell r="M249" t="str">
            <v>办公室</v>
          </cell>
        </row>
        <row r="250">
          <cell r="D250">
            <v>45969</v>
          </cell>
        </row>
        <row r="250">
          <cell r="H250" t="str">
            <v>个人借款-聂辉</v>
          </cell>
        </row>
        <row r="250">
          <cell r="K250">
            <v>52000</v>
          </cell>
        </row>
        <row r="250">
          <cell r="M250" t="str">
            <v>个人借款</v>
          </cell>
        </row>
        <row r="251">
          <cell r="D251">
            <v>45970</v>
          </cell>
        </row>
        <row r="251">
          <cell r="H251" t="str">
            <v>项目-材料费</v>
          </cell>
        </row>
        <row r="251">
          <cell r="K251">
            <v>12576</v>
          </cell>
        </row>
        <row r="251">
          <cell r="M251" t="str">
            <v>德安县养老中心</v>
          </cell>
        </row>
        <row r="252">
          <cell r="D252">
            <v>45970</v>
          </cell>
        </row>
        <row r="252">
          <cell r="H252" t="str">
            <v>项目-材料费</v>
          </cell>
        </row>
        <row r="252">
          <cell r="K252">
            <v>-12576</v>
          </cell>
        </row>
        <row r="252">
          <cell r="M252" t="str">
            <v>德安县养老中心</v>
          </cell>
        </row>
        <row r="253">
          <cell r="D253">
            <v>45970</v>
          </cell>
        </row>
        <row r="253">
          <cell r="H253" t="str">
            <v>项目-材料费</v>
          </cell>
        </row>
        <row r="253">
          <cell r="K253">
            <v>12576</v>
          </cell>
        </row>
        <row r="253">
          <cell r="M253" t="str">
            <v>德安县养老中心</v>
          </cell>
        </row>
        <row r="254">
          <cell r="D254">
            <v>45970</v>
          </cell>
        </row>
        <row r="254">
          <cell r="H254" t="str">
            <v>项目-期间费</v>
          </cell>
        </row>
        <row r="254">
          <cell r="K254">
            <v>1800</v>
          </cell>
        </row>
        <row r="254">
          <cell r="M254" t="str">
            <v>抚州资溪养老基地1号楼</v>
          </cell>
        </row>
        <row r="255">
          <cell r="D255">
            <v>45971</v>
          </cell>
        </row>
        <row r="255">
          <cell r="H255" t="str">
            <v>项目-材料费</v>
          </cell>
        </row>
        <row r="255">
          <cell r="K255">
            <v>5834</v>
          </cell>
        </row>
        <row r="255">
          <cell r="M255" t="str">
            <v>抚州资溪养老基地1号楼</v>
          </cell>
        </row>
        <row r="256">
          <cell r="D256">
            <v>45971</v>
          </cell>
        </row>
        <row r="256">
          <cell r="H256" t="str">
            <v>项目-材料费</v>
          </cell>
        </row>
        <row r="256">
          <cell r="K256">
            <v>-5834</v>
          </cell>
        </row>
        <row r="256">
          <cell r="M256" t="str">
            <v>抚州资溪养老基地1号楼</v>
          </cell>
        </row>
        <row r="257">
          <cell r="D257">
            <v>45971</v>
          </cell>
        </row>
        <row r="257">
          <cell r="H257" t="str">
            <v>项目-材料费</v>
          </cell>
        </row>
        <row r="257">
          <cell r="K257">
            <v>5834</v>
          </cell>
        </row>
        <row r="257">
          <cell r="M257" t="str">
            <v>抚州资溪养老基地1号楼</v>
          </cell>
        </row>
        <row r="258">
          <cell r="D258">
            <v>45971</v>
          </cell>
        </row>
        <row r="258">
          <cell r="H258" t="str">
            <v>项目-劳务费</v>
          </cell>
        </row>
        <row r="258">
          <cell r="K258">
            <v>3000</v>
          </cell>
        </row>
        <row r="258">
          <cell r="M258" t="str">
            <v>德安县科创中心</v>
          </cell>
        </row>
        <row r="259">
          <cell r="D259">
            <v>45971</v>
          </cell>
        </row>
        <row r="259">
          <cell r="H259" t="str">
            <v>项目-保证金</v>
          </cell>
        </row>
        <row r="259">
          <cell r="K259">
            <v>4554</v>
          </cell>
        </row>
        <row r="259">
          <cell r="M259" t="str">
            <v>德安县邹桥派出所</v>
          </cell>
        </row>
        <row r="260">
          <cell r="D260">
            <v>45971</v>
          </cell>
        </row>
        <row r="260">
          <cell r="H260" t="str">
            <v>项目-期间费</v>
          </cell>
        </row>
        <row r="260">
          <cell r="K260">
            <v>4.5</v>
          </cell>
        </row>
        <row r="260">
          <cell r="M260" t="str">
            <v>抚州资溪养老基地1号楼</v>
          </cell>
        </row>
        <row r="261">
          <cell r="D261">
            <v>45971</v>
          </cell>
        </row>
        <row r="261">
          <cell r="H261" t="str">
            <v>项目-劳务费</v>
          </cell>
        </row>
        <row r="261">
          <cell r="K261">
            <v>4000</v>
          </cell>
        </row>
        <row r="261">
          <cell r="M261" t="str">
            <v>德安县养老中心</v>
          </cell>
        </row>
        <row r="262">
          <cell r="D262">
            <v>45971</v>
          </cell>
        </row>
        <row r="262">
          <cell r="H262" t="str">
            <v>项目-劳务费</v>
          </cell>
        </row>
        <row r="262">
          <cell r="K262">
            <v>5000</v>
          </cell>
        </row>
        <row r="262">
          <cell r="M262" t="str">
            <v>德安县科创中心</v>
          </cell>
        </row>
        <row r="263">
          <cell r="D263">
            <v>45971</v>
          </cell>
        </row>
        <row r="263">
          <cell r="H263" t="str">
            <v>项目-劳务费</v>
          </cell>
        </row>
        <row r="263">
          <cell r="K263">
            <v>-5000</v>
          </cell>
        </row>
        <row r="263">
          <cell r="M263" t="str">
            <v>德安县科创中心</v>
          </cell>
        </row>
        <row r="264">
          <cell r="D264">
            <v>45971</v>
          </cell>
        </row>
        <row r="264">
          <cell r="H264" t="str">
            <v>项目-劳务费</v>
          </cell>
        </row>
        <row r="264">
          <cell r="K264">
            <v>5000</v>
          </cell>
        </row>
        <row r="264">
          <cell r="M264" t="str">
            <v>德安县科创中心</v>
          </cell>
        </row>
        <row r="265">
          <cell r="D265">
            <v>45972</v>
          </cell>
        </row>
        <row r="265">
          <cell r="H265" t="str">
            <v>项目-劳务费</v>
          </cell>
        </row>
        <row r="265">
          <cell r="K265">
            <v>4000</v>
          </cell>
        </row>
        <row r="265">
          <cell r="M265" t="str">
            <v>德安县养老中心</v>
          </cell>
        </row>
        <row r="266">
          <cell r="D266">
            <v>45972</v>
          </cell>
        </row>
        <row r="266">
          <cell r="H266" t="str">
            <v>项目-劳务费</v>
          </cell>
        </row>
        <row r="266">
          <cell r="K266">
            <v>4000</v>
          </cell>
        </row>
        <row r="266">
          <cell r="M266" t="str">
            <v>德安县养老中心</v>
          </cell>
        </row>
        <row r="267">
          <cell r="D267">
            <v>45972</v>
          </cell>
        </row>
        <row r="267">
          <cell r="H267" t="str">
            <v>项目-劳务费</v>
          </cell>
        </row>
        <row r="267">
          <cell r="K267">
            <v>4000</v>
          </cell>
        </row>
        <row r="267">
          <cell r="M267" t="str">
            <v>德安县养老中心</v>
          </cell>
        </row>
        <row r="268">
          <cell r="D268">
            <v>45972</v>
          </cell>
        </row>
        <row r="268">
          <cell r="H268" t="str">
            <v>项目-劳务费</v>
          </cell>
        </row>
        <row r="268">
          <cell r="K268">
            <v>4000</v>
          </cell>
        </row>
        <row r="268">
          <cell r="M268" t="str">
            <v>德安县养老中心</v>
          </cell>
        </row>
        <row r="269">
          <cell r="D269">
            <v>45972</v>
          </cell>
        </row>
        <row r="269">
          <cell r="H269" t="str">
            <v>项目-劳务费</v>
          </cell>
        </row>
        <row r="269">
          <cell r="K269">
            <v>4000</v>
          </cell>
        </row>
        <row r="269">
          <cell r="M269" t="str">
            <v>德安县养老中心</v>
          </cell>
        </row>
        <row r="270">
          <cell r="D270">
            <v>45972</v>
          </cell>
        </row>
        <row r="270">
          <cell r="H270" t="str">
            <v>项目-劳务费</v>
          </cell>
        </row>
        <row r="270">
          <cell r="K270">
            <v>4000</v>
          </cell>
        </row>
        <row r="270">
          <cell r="M270" t="str">
            <v>德安县养老中心</v>
          </cell>
        </row>
        <row r="271">
          <cell r="D271">
            <v>45972</v>
          </cell>
        </row>
        <row r="271">
          <cell r="H271" t="str">
            <v>项目-劳务费</v>
          </cell>
        </row>
        <row r="271">
          <cell r="K271">
            <v>4000</v>
          </cell>
        </row>
        <row r="271">
          <cell r="M271" t="str">
            <v>德安县养老中心</v>
          </cell>
        </row>
        <row r="272">
          <cell r="D272">
            <v>45972</v>
          </cell>
        </row>
        <row r="272">
          <cell r="H272" t="str">
            <v>个人借款-聂辉</v>
          </cell>
        </row>
        <row r="272">
          <cell r="K272">
            <v>40000</v>
          </cell>
        </row>
        <row r="272">
          <cell r="M272" t="str">
            <v>个人借款</v>
          </cell>
        </row>
        <row r="273">
          <cell r="D273">
            <v>45972</v>
          </cell>
        </row>
        <row r="273">
          <cell r="H273" t="str">
            <v>项目-分包</v>
          </cell>
        </row>
        <row r="273">
          <cell r="K273">
            <v>20000</v>
          </cell>
        </row>
        <row r="273">
          <cell r="M273" t="str">
            <v>德安县养老中心</v>
          </cell>
        </row>
        <row r="274">
          <cell r="D274">
            <v>45972</v>
          </cell>
        </row>
        <row r="274">
          <cell r="H274" t="str">
            <v>个人借款-王伟</v>
          </cell>
        </row>
        <row r="274">
          <cell r="K274">
            <v>-30000</v>
          </cell>
        </row>
        <row r="274">
          <cell r="M274" t="str">
            <v>个人借款</v>
          </cell>
        </row>
        <row r="275">
          <cell r="D275">
            <v>45973</v>
          </cell>
        </row>
        <row r="275">
          <cell r="H275" t="str">
            <v>项目-材料费</v>
          </cell>
        </row>
        <row r="275">
          <cell r="K275">
            <v>810</v>
          </cell>
        </row>
        <row r="275">
          <cell r="M275" t="str">
            <v>德安县养老中心</v>
          </cell>
        </row>
        <row r="276">
          <cell r="D276">
            <v>45973</v>
          </cell>
        </row>
        <row r="276">
          <cell r="H276" t="str">
            <v>项目-劳务费</v>
          </cell>
        </row>
        <row r="276">
          <cell r="K276">
            <v>4000</v>
          </cell>
        </row>
        <row r="276">
          <cell r="M276" t="str">
            <v>德安县养老中心</v>
          </cell>
        </row>
        <row r="277">
          <cell r="D277">
            <v>45973</v>
          </cell>
        </row>
        <row r="277">
          <cell r="H277" t="str">
            <v>项目-劳务费</v>
          </cell>
        </row>
        <row r="277">
          <cell r="K277">
            <v>4000</v>
          </cell>
        </row>
        <row r="277">
          <cell r="M277" t="str">
            <v>德安县养老中心</v>
          </cell>
        </row>
        <row r="278">
          <cell r="D278">
            <v>45973</v>
          </cell>
        </row>
        <row r="278">
          <cell r="H278" t="str">
            <v>项目-劳务费</v>
          </cell>
        </row>
        <row r="278">
          <cell r="K278">
            <v>4000</v>
          </cell>
        </row>
        <row r="278">
          <cell r="M278" t="str">
            <v>德安县养老中心</v>
          </cell>
        </row>
        <row r="279">
          <cell r="D279">
            <v>45973</v>
          </cell>
        </row>
        <row r="279">
          <cell r="H279" t="str">
            <v>项目-劳务费</v>
          </cell>
        </row>
        <row r="279">
          <cell r="K279">
            <v>4000</v>
          </cell>
        </row>
        <row r="279">
          <cell r="M279" t="str">
            <v>德安县养老中心</v>
          </cell>
        </row>
        <row r="280">
          <cell r="D280">
            <v>45973</v>
          </cell>
        </row>
        <row r="280">
          <cell r="H280" t="str">
            <v>项目-劳务费</v>
          </cell>
        </row>
        <row r="280">
          <cell r="K280">
            <v>-4000</v>
          </cell>
        </row>
        <row r="280">
          <cell r="M280" t="str">
            <v>德安县养老中心</v>
          </cell>
        </row>
        <row r="281">
          <cell r="D281">
            <v>45973</v>
          </cell>
        </row>
        <row r="281">
          <cell r="H281" t="str">
            <v>项目-劳务费</v>
          </cell>
        </row>
        <row r="281">
          <cell r="K281">
            <v>3000</v>
          </cell>
        </row>
        <row r="281">
          <cell r="M281" t="str">
            <v>德安县养老中心</v>
          </cell>
        </row>
        <row r="282">
          <cell r="D282">
            <v>45973</v>
          </cell>
        </row>
        <row r="282">
          <cell r="H282" t="str">
            <v>个人借款-张淑平</v>
          </cell>
        </row>
        <row r="282">
          <cell r="K282">
            <v>-40000</v>
          </cell>
        </row>
        <row r="282">
          <cell r="M282" t="str">
            <v>个人借款</v>
          </cell>
        </row>
        <row r="283">
          <cell r="D283">
            <v>45973</v>
          </cell>
        </row>
        <row r="283">
          <cell r="H283" t="str">
            <v>项目-材料费</v>
          </cell>
        </row>
        <row r="283">
          <cell r="K283">
            <v>4000</v>
          </cell>
        </row>
        <row r="283">
          <cell r="M283" t="str">
            <v>德安县科创中心</v>
          </cell>
        </row>
        <row r="284">
          <cell r="D284">
            <v>45973</v>
          </cell>
        </row>
        <row r="284">
          <cell r="H284" t="str">
            <v>项目-材料费</v>
          </cell>
        </row>
        <row r="284">
          <cell r="K284">
            <v>13748</v>
          </cell>
        </row>
        <row r="284">
          <cell r="M284" t="str">
            <v>德安县养老中心</v>
          </cell>
        </row>
        <row r="285">
          <cell r="D285">
            <v>45973</v>
          </cell>
        </row>
        <row r="285">
          <cell r="H285" t="str">
            <v>项目-材料费</v>
          </cell>
        </row>
        <row r="285">
          <cell r="K285">
            <v>1572</v>
          </cell>
        </row>
        <row r="285">
          <cell r="M285" t="str">
            <v>抚州资溪养老基地1号楼</v>
          </cell>
        </row>
        <row r="286">
          <cell r="D286">
            <v>45974</v>
          </cell>
        </row>
        <row r="286">
          <cell r="H286" t="str">
            <v>个人借款-王伟</v>
          </cell>
        </row>
        <row r="286">
          <cell r="K286">
            <v>-30000</v>
          </cell>
        </row>
        <row r="286">
          <cell r="M286" t="str">
            <v>个人借款</v>
          </cell>
        </row>
        <row r="287">
          <cell r="D287">
            <v>45974</v>
          </cell>
        </row>
        <row r="287">
          <cell r="H287" t="str">
            <v>项目-分包</v>
          </cell>
        </row>
        <row r="287">
          <cell r="K287">
            <v>40093</v>
          </cell>
        </row>
        <row r="287">
          <cell r="M287" t="str">
            <v>德安县养老中心</v>
          </cell>
        </row>
        <row r="288">
          <cell r="D288">
            <v>45974</v>
          </cell>
        </row>
        <row r="288">
          <cell r="H288" t="str">
            <v>项目-劳务费</v>
          </cell>
        </row>
        <row r="288">
          <cell r="K288">
            <v>4000</v>
          </cell>
        </row>
        <row r="288">
          <cell r="M288" t="str">
            <v>德安县养老中心</v>
          </cell>
        </row>
        <row r="289">
          <cell r="D289">
            <v>45974</v>
          </cell>
        </row>
        <row r="289">
          <cell r="H289" t="str">
            <v>项目-劳务费</v>
          </cell>
        </row>
        <row r="289">
          <cell r="K289">
            <v>4000</v>
          </cell>
        </row>
        <row r="289">
          <cell r="M289" t="str">
            <v>德安县养老中心</v>
          </cell>
        </row>
        <row r="290">
          <cell r="D290">
            <v>45974</v>
          </cell>
        </row>
        <row r="290">
          <cell r="H290" t="str">
            <v>项目-劳务费</v>
          </cell>
        </row>
        <row r="290">
          <cell r="K290">
            <v>4000</v>
          </cell>
        </row>
        <row r="290">
          <cell r="M290" t="str">
            <v>德安县养老中心</v>
          </cell>
        </row>
        <row r="291">
          <cell r="D291">
            <v>45975</v>
          </cell>
        </row>
        <row r="291">
          <cell r="H291" t="str">
            <v>项目-材料费</v>
          </cell>
        </row>
        <row r="291">
          <cell r="K291">
            <v>5000</v>
          </cell>
        </row>
        <row r="291">
          <cell r="M291" t="str">
            <v>德安县养老中心</v>
          </cell>
        </row>
        <row r="292">
          <cell r="D292">
            <v>45975</v>
          </cell>
        </row>
        <row r="292">
          <cell r="H292" t="str">
            <v>项目-材料费</v>
          </cell>
        </row>
        <row r="292">
          <cell r="K292">
            <v>-5000</v>
          </cell>
        </row>
        <row r="292">
          <cell r="M292" t="str">
            <v>德安县养老中心</v>
          </cell>
        </row>
        <row r="293">
          <cell r="D293">
            <v>45975</v>
          </cell>
        </row>
        <row r="293">
          <cell r="H293" t="str">
            <v>项目-材料费</v>
          </cell>
        </row>
        <row r="293">
          <cell r="K293">
            <v>5000</v>
          </cell>
        </row>
        <row r="293">
          <cell r="M293" t="str">
            <v>德安县养老中心</v>
          </cell>
        </row>
        <row r="294">
          <cell r="D294">
            <v>45975</v>
          </cell>
        </row>
        <row r="294">
          <cell r="H294" t="str">
            <v>项目-材料费</v>
          </cell>
        </row>
        <row r="294">
          <cell r="K294">
            <v>1200</v>
          </cell>
        </row>
        <row r="294">
          <cell r="M294" t="str">
            <v>德安县养老中心</v>
          </cell>
        </row>
        <row r="295">
          <cell r="D295">
            <v>45975</v>
          </cell>
        </row>
        <row r="295">
          <cell r="H295" t="str">
            <v>个人借款-王伟</v>
          </cell>
        </row>
        <row r="295">
          <cell r="K295">
            <v>-40000</v>
          </cell>
        </row>
        <row r="295">
          <cell r="M295" t="str">
            <v>个人借款</v>
          </cell>
        </row>
        <row r="296">
          <cell r="D296">
            <v>45975</v>
          </cell>
        </row>
        <row r="296">
          <cell r="H296" t="str">
            <v>项目-分包</v>
          </cell>
        </row>
        <row r="296">
          <cell r="K296">
            <v>30000</v>
          </cell>
        </row>
        <row r="296">
          <cell r="M296" t="str">
            <v>德安县养老中心</v>
          </cell>
        </row>
        <row r="297">
          <cell r="D297">
            <v>45976</v>
          </cell>
        </row>
        <row r="297">
          <cell r="H297" t="str">
            <v>个人借款-聂辉</v>
          </cell>
        </row>
        <row r="297">
          <cell r="K297">
            <v>-80000</v>
          </cell>
        </row>
        <row r="297">
          <cell r="M297" t="str">
            <v>个人借款</v>
          </cell>
        </row>
        <row r="298">
          <cell r="D298">
            <v>45976</v>
          </cell>
        </row>
        <row r="298">
          <cell r="H298" t="str">
            <v>项目-材料费</v>
          </cell>
        </row>
        <row r="298">
          <cell r="K298">
            <v>63800</v>
          </cell>
        </row>
        <row r="298">
          <cell r="M298" t="str">
            <v>德安县养老中心</v>
          </cell>
        </row>
        <row r="299">
          <cell r="D299">
            <v>45976</v>
          </cell>
        </row>
        <row r="299">
          <cell r="H299" t="str">
            <v>项目-材料费</v>
          </cell>
        </row>
        <row r="299">
          <cell r="K299">
            <v>30000</v>
          </cell>
        </row>
        <row r="299">
          <cell r="M299" t="str">
            <v>德安县养老中心</v>
          </cell>
        </row>
        <row r="300">
          <cell r="D300">
            <v>45976</v>
          </cell>
        </row>
        <row r="300">
          <cell r="H300" t="str">
            <v>项目-期间费</v>
          </cell>
        </row>
        <row r="300">
          <cell r="K300">
            <v>9</v>
          </cell>
        </row>
        <row r="300">
          <cell r="M300" t="str">
            <v>德安县养老中心</v>
          </cell>
        </row>
        <row r="301">
          <cell r="D301">
            <v>45978</v>
          </cell>
        </row>
        <row r="301">
          <cell r="H301" t="str">
            <v>个人借款-聂辉</v>
          </cell>
        </row>
        <row r="301">
          <cell r="K301">
            <v>-80000</v>
          </cell>
        </row>
        <row r="301">
          <cell r="M301" t="str">
            <v>个人借款</v>
          </cell>
        </row>
        <row r="302">
          <cell r="D302">
            <v>45978</v>
          </cell>
        </row>
        <row r="302">
          <cell r="H302" t="str">
            <v>项目-材料费</v>
          </cell>
        </row>
        <row r="302">
          <cell r="K302">
            <v>12314</v>
          </cell>
        </row>
        <row r="302">
          <cell r="M302" t="str">
            <v>德安县养老中心</v>
          </cell>
        </row>
        <row r="303">
          <cell r="D303">
            <v>45978</v>
          </cell>
        </row>
        <row r="303">
          <cell r="H303" t="str">
            <v>项目-材料费</v>
          </cell>
        </row>
        <row r="303">
          <cell r="K303">
            <v>6512</v>
          </cell>
        </row>
        <row r="303">
          <cell r="M303" t="str">
            <v>德安县养老中心</v>
          </cell>
        </row>
        <row r="304">
          <cell r="D304">
            <v>45978</v>
          </cell>
        </row>
        <row r="304">
          <cell r="H304" t="str">
            <v>项目-材料费</v>
          </cell>
        </row>
        <row r="304">
          <cell r="K304">
            <v>10068</v>
          </cell>
        </row>
        <row r="304">
          <cell r="M304" t="str">
            <v>抚州资溪养老基地1号楼</v>
          </cell>
        </row>
        <row r="305">
          <cell r="D305">
            <v>45978</v>
          </cell>
        </row>
        <row r="305">
          <cell r="H305" t="str">
            <v>项目-材料费</v>
          </cell>
        </row>
        <row r="305">
          <cell r="K305">
            <v>4896</v>
          </cell>
        </row>
        <row r="305">
          <cell r="M305" t="str">
            <v>德安县养老中心</v>
          </cell>
        </row>
        <row r="306">
          <cell r="D306">
            <v>45978</v>
          </cell>
        </row>
        <row r="306">
          <cell r="H306" t="str">
            <v>项目-劳务费</v>
          </cell>
        </row>
        <row r="306">
          <cell r="K306">
            <v>3000</v>
          </cell>
        </row>
        <row r="306">
          <cell r="M306" t="str">
            <v>德安县养老中心</v>
          </cell>
        </row>
        <row r="307">
          <cell r="D307">
            <v>45978</v>
          </cell>
        </row>
        <row r="307">
          <cell r="H307" t="str">
            <v>项目-材料费</v>
          </cell>
        </row>
        <row r="307">
          <cell r="K307">
            <v>26233</v>
          </cell>
        </row>
        <row r="307">
          <cell r="M307" t="str">
            <v>德安县养老中心</v>
          </cell>
        </row>
        <row r="308">
          <cell r="D308">
            <v>45978</v>
          </cell>
        </row>
        <row r="308">
          <cell r="H308" t="str">
            <v>项目-劳务费</v>
          </cell>
        </row>
        <row r="308">
          <cell r="K308">
            <v>9000</v>
          </cell>
        </row>
        <row r="308">
          <cell r="M308" t="str">
            <v>德安县科创中心</v>
          </cell>
        </row>
        <row r="309">
          <cell r="D309">
            <v>45979</v>
          </cell>
        </row>
        <row r="309">
          <cell r="H309" t="str">
            <v>项目-材料费</v>
          </cell>
        </row>
        <row r="309">
          <cell r="K309">
            <v>1804.12</v>
          </cell>
        </row>
        <row r="309">
          <cell r="M309" t="str">
            <v>德安县养老中心</v>
          </cell>
        </row>
        <row r="310">
          <cell r="D310">
            <v>45979</v>
          </cell>
        </row>
        <row r="310">
          <cell r="H310" t="str">
            <v>项目-材料费</v>
          </cell>
        </row>
        <row r="310">
          <cell r="K310">
            <v>4325.53</v>
          </cell>
        </row>
        <row r="310">
          <cell r="M310" t="str">
            <v>德安县养老中心</v>
          </cell>
        </row>
        <row r="311">
          <cell r="D311">
            <v>45980</v>
          </cell>
        </row>
        <row r="311">
          <cell r="H311" t="str">
            <v>个人借款-王伟</v>
          </cell>
        </row>
        <row r="311">
          <cell r="K311">
            <v>-30000</v>
          </cell>
        </row>
        <row r="311">
          <cell r="M311" t="str">
            <v>个人借款</v>
          </cell>
        </row>
        <row r="312">
          <cell r="D312">
            <v>45980</v>
          </cell>
        </row>
        <row r="312">
          <cell r="H312" t="str">
            <v>项目-材料费</v>
          </cell>
        </row>
        <row r="312">
          <cell r="K312">
            <v>5055.5</v>
          </cell>
        </row>
        <row r="312">
          <cell r="M312" t="str">
            <v>德安县养老中心</v>
          </cell>
        </row>
        <row r="313">
          <cell r="D313">
            <v>45980</v>
          </cell>
        </row>
        <row r="313">
          <cell r="H313" t="str">
            <v>项目-材料费</v>
          </cell>
        </row>
        <row r="313">
          <cell r="K313">
            <v>27502.4</v>
          </cell>
        </row>
        <row r="313">
          <cell r="M313" t="str">
            <v>德安县养老中心</v>
          </cell>
        </row>
        <row r="314">
          <cell r="D314">
            <v>45980</v>
          </cell>
        </row>
        <row r="314">
          <cell r="H314" t="str">
            <v>个人借款-聂辉</v>
          </cell>
        </row>
        <row r="314">
          <cell r="K314">
            <v>-40000</v>
          </cell>
        </row>
        <row r="314">
          <cell r="M314" t="str">
            <v>个人借款</v>
          </cell>
        </row>
        <row r="315">
          <cell r="D315">
            <v>45980</v>
          </cell>
        </row>
        <row r="315">
          <cell r="H315" t="str">
            <v>项目-材料费</v>
          </cell>
        </row>
        <row r="315">
          <cell r="K315">
            <v>12000</v>
          </cell>
        </row>
        <row r="315">
          <cell r="M315" t="str">
            <v>德安县养老中心</v>
          </cell>
        </row>
        <row r="316">
          <cell r="D316">
            <v>45981</v>
          </cell>
        </row>
        <row r="316">
          <cell r="H316" t="str">
            <v>项目-材料费</v>
          </cell>
        </row>
        <row r="316">
          <cell r="K316">
            <v>200</v>
          </cell>
        </row>
        <row r="316">
          <cell r="M316" t="str">
            <v>德安县养老中心</v>
          </cell>
        </row>
        <row r="317">
          <cell r="D317">
            <v>45982</v>
          </cell>
        </row>
        <row r="317">
          <cell r="H317" t="str">
            <v>项目-材料费</v>
          </cell>
        </row>
        <row r="317">
          <cell r="K317">
            <v>4970</v>
          </cell>
        </row>
        <row r="317">
          <cell r="M317" t="str">
            <v>德安县科创中心</v>
          </cell>
        </row>
        <row r="318">
          <cell r="D318">
            <v>45982</v>
          </cell>
        </row>
        <row r="318">
          <cell r="H318" t="str">
            <v>个人借款-聂辉</v>
          </cell>
        </row>
        <row r="318">
          <cell r="K318">
            <v>-35000</v>
          </cell>
        </row>
        <row r="318">
          <cell r="M318" t="str">
            <v>个人借款</v>
          </cell>
        </row>
        <row r="319">
          <cell r="D319">
            <v>45982</v>
          </cell>
        </row>
        <row r="319">
          <cell r="H319" t="str">
            <v>个人借款-聂辉</v>
          </cell>
        </row>
        <row r="319">
          <cell r="K319">
            <v>-15000</v>
          </cell>
        </row>
        <row r="319">
          <cell r="M319" t="str">
            <v>个人借款</v>
          </cell>
        </row>
        <row r="320">
          <cell r="D320">
            <v>45982</v>
          </cell>
        </row>
        <row r="320">
          <cell r="H320" t="str">
            <v>项目-材料费</v>
          </cell>
        </row>
        <row r="320">
          <cell r="K320">
            <v>69648.6</v>
          </cell>
        </row>
        <row r="320">
          <cell r="M320" t="str">
            <v>德安县科创中心</v>
          </cell>
        </row>
        <row r="321">
          <cell r="D321">
            <v>45982</v>
          </cell>
        </row>
        <row r="321">
          <cell r="H321" t="str">
            <v>项目-材料费</v>
          </cell>
        </row>
        <row r="321">
          <cell r="K321">
            <v>1200</v>
          </cell>
        </row>
        <row r="321">
          <cell r="M321" t="str">
            <v>德安县养老中心</v>
          </cell>
        </row>
        <row r="322">
          <cell r="D322">
            <v>45984</v>
          </cell>
        </row>
        <row r="322">
          <cell r="H322" t="str">
            <v>个人借款-王伟</v>
          </cell>
        </row>
        <row r="322">
          <cell r="K322">
            <v>-40000</v>
          </cell>
        </row>
        <row r="322">
          <cell r="M322" t="str">
            <v>个人借款</v>
          </cell>
        </row>
        <row r="323">
          <cell r="D323">
            <v>45985</v>
          </cell>
        </row>
        <row r="323">
          <cell r="H323" t="str">
            <v>项目-材料费</v>
          </cell>
        </row>
        <row r="323">
          <cell r="K323">
            <v>17645</v>
          </cell>
        </row>
        <row r="323">
          <cell r="M323" t="str">
            <v>德安县养老中心</v>
          </cell>
        </row>
        <row r="324">
          <cell r="D324">
            <v>45987</v>
          </cell>
        </row>
        <row r="324">
          <cell r="H324" t="str">
            <v>项目-材料费</v>
          </cell>
        </row>
        <row r="324">
          <cell r="K324">
            <v>20000</v>
          </cell>
        </row>
        <row r="324">
          <cell r="M324" t="str">
            <v>德安县科创中心</v>
          </cell>
        </row>
        <row r="325">
          <cell r="D325">
            <v>45987</v>
          </cell>
        </row>
        <row r="325">
          <cell r="H325" t="str">
            <v>个人借款-王伟</v>
          </cell>
        </row>
        <row r="325">
          <cell r="K325">
            <v>-10000</v>
          </cell>
        </row>
        <row r="325">
          <cell r="M325" t="str">
            <v>个人借款</v>
          </cell>
        </row>
        <row r="326">
          <cell r="D326">
            <v>45987</v>
          </cell>
        </row>
        <row r="326">
          <cell r="H326" t="str">
            <v>项目-材料费</v>
          </cell>
        </row>
        <row r="326">
          <cell r="K326">
            <v>14285.22</v>
          </cell>
        </row>
        <row r="326">
          <cell r="M326" t="str">
            <v>德安县科创中心</v>
          </cell>
        </row>
        <row r="327">
          <cell r="D327">
            <v>45990</v>
          </cell>
        </row>
        <row r="327">
          <cell r="H327" t="str">
            <v>项目-材料费</v>
          </cell>
        </row>
        <row r="327">
          <cell r="K327">
            <v>4860</v>
          </cell>
        </row>
        <row r="327">
          <cell r="M327" t="str">
            <v>抚州资溪养老基地1号楼</v>
          </cell>
        </row>
        <row r="328">
          <cell r="D328">
            <v>45991</v>
          </cell>
        </row>
        <row r="328">
          <cell r="H328" t="str">
            <v>个人借款-聂辉</v>
          </cell>
        </row>
        <row r="328">
          <cell r="K328">
            <v>-35000</v>
          </cell>
        </row>
        <row r="328">
          <cell r="M328" t="str">
            <v>个人借款</v>
          </cell>
        </row>
        <row r="329">
          <cell r="D329">
            <v>45991</v>
          </cell>
        </row>
        <row r="329">
          <cell r="H329" t="str">
            <v>办公室-办公费</v>
          </cell>
        </row>
        <row r="329">
          <cell r="K329">
            <v>6000</v>
          </cell>
        </row>
        <row r="329">
          <cell r="M329" t="str">
            <v>办公室</v>
          </cell>
        </row>
        <row r="330">
          <cell r="D330">
            <v>45992</v>
          </cell>
        </row>
        <row r="330">
          <cell r="H330" t="str">
            <v>项目-材料费</v>
          </cell>
        </row>
        <row r="330">
          <cell r="K330">
            <v>23056</v>
          </cell>
        </row>
        <row r="330">
          <cell r="M330" t="str">
            <v>德安县养老中心</v>
          </cell>
        </row>
        <row r="331">
          <cell r="D331">
            <v>45996</v>
          </cell>
        </row>
        <row r="331">
          <cell r="H331" t="str">
            <v>个人借款-聂辉</v>
          </cell>
        </row>
        <row r="331">
          <cell r="K331">
            <v>-25000</v>
          </cell>
        </row>
        <row r="331">
          <cell r="M331" t="str">
            <v>个人借款</v>
          </cell>
        </row>
        <row r="332">
          <cell r="D332">
            <v>45996</v>
          </cell>
        </row>
        <row r="332">
          <cell r="H332" t="str">
            <v>项目-分包</v>
          </cell>
        </row>
        <row r="332">
          <cell r="K332">
            <v>30000</v>
          </cell>
        </row>
        <row r="332">
          <cell r="M332" t="str">
            <v>德安县养老中心</v>
          </cell>
        </row>
        <row r="333">
          <cell r="D333">
            <v>45999</v>
          </cell>
        </row>
        <row r="333">
          <cell r="H333" t="str">
            <v>个人借款-聂辉</v>
          </cell>
        </row>
        <row r="333">
          <cell r="K333">
            <v>-80000</v>
          </cell>
        </row>
        <row r="333">
          <cell r="M333" t="str">
            <v>个人借款</v>
          </cell>
        </row>
        <row r="334">
          <cell r="D334">
            <v>45999</v>
          </cell>
        </row>
        <row r="334">
          <cell r="H334" t="str">
            <v>项目-材料费</v>
          </cell>
        </row>
        <row r="334">
          <cell r="K334">
            <v>60808.85</v>
          </cell>
        </row>
        <row r="334">
          <cell r="M334" t="str">
            <v>德安县科创中心</v>
          </cell>
        </row>
        <row r="335">
          <cell r="D335">
            <v>46002</v>
          </cell>
        </row>
        <row r="335">
          <cell r="H335" t="str">
            <v>办公室-办公费</v>
          </cell>
        </row>
        <row r="335">
          <cell r="K335">
            <v>80</v>
          </cell>
        </row>
        <row r="335">
          <cell r="M335" t="str">
            <v>办公室</v>
          </cell>
        </row>
        <row r="336">
          <cell r="D336">
            <v>46002</v>
          </cell>
        </row>
        <row r="336">
          <cell r="H336" t="str">
            <v>项目-材料费</v>
          </cell>
        </row>
        <row r="336">
          <cell r="K336">
            <v>15000</v>
          </cell>
        </row>
        <row r="336">
          <cell r="M336" t="str">
            <v>德安县科创中心</v>
          </cell>
        </row>
        <row r="337">
          <cell r="D337">
            <v>46003</v>
          </cell>
        </row>
        <row r="337">
          <cell r="H337" t="str">
            <v>项目-材料费</v>
          </cell>
        </row>
        <row r="337">
          <cell r="K337">
            <v>4000</v>
          </cell>
        </row>
        <row r="337">
          <cell r="M337" t="str">
            <v>德安县养老中心</v>
          </cell>
        </row>
        <row r="338">
          <cell r="D338">
            <v>46006</v>
          </cell>
        </row>
        <row r="338">
          <cell r="H338" t="str">
            <v>税款</v>
          </cell>
        </row>
        <row r="338">
          <cell r="K338">
            <v>150</v>
          </cell>
        </row>
        <row r="338">
          <cell r="M338" t="str">
            <v>办公室</v>
          </cell>
        </row>
        <row r="339">
          <cell r="D339">
            <v>46012</v>
          </cell>
        </row>
        <row r="339">
          <cell r="H339" t="str">
            <v>办公室-办公费</v>
          </cell>
        </row>
        <row r="339">
          <cell r="K339">
            <v>-10.03</v>
          </cell>
        </row>
        <row r="339">
          <cell r="M339" t="str">
            <v>办公室</v>
          </cell>
        </row>
        <row r="340">
          <cell r="D340">
            <v>46013</v>
          </cell>
        </row>
        <row r="340">
          <cell r="H340" t="str">
            <v>个人借款-聂辉</v>
          </cell>
        </row>
        <row r="340">
          <cell r="K340">
            <v>-80000</v>
          </cell>
        </row>
        <row r="340">
          <cell r="M340" t="str">
            <v>个人借款</v>
          </cell>
        </row>
        <row r="341">
          <cell r="D341">
            <v>46013</v>
          </cell>
        </row>
        <row r="341">
          <cell r="H341" t="str">
            <v>项目-材料费</v>
          </cell>
        </row>
        <row r="341">
          <cell r="K341">
            <v>22500</v>
          </cell>
        </row>
        <row r="341">
          <cell r="M341" t="str">
            <v>德安县养老中心</v>
          </cell>
        </row>
        <row r="342">
          <cell r="D342">
            <v>46013</v>
          </cell>
        </row>
        <row r="342">
          <cell r="H342" t="str">
            <v>项目-材料费</v>
          </cell>
        </row>
        <row r="342">
          <cell r="K342">
            <v>5882</v>
          </cell>
        </row>
        <row r="342">
          <cell r="M342" t="str">
            <v>德安县科创中心</v>
          </cell>
        </row>
        <row r="343">
          <cell r="D343">
            <v>46013</v>
          </cell>
        </row>
        <row r="343">
          <cell r="H343" t="str">
            <v>项目-材料费</v>
          </cell>
        </row>
        <row r="343">
          <cell r="K343">
            <v>1000</v>
          </cell>
        </row>
        <row r="343">
          <cell r="M343" t="str">
            <v>德安县数字产业园</v>
          </cell>
        </row>
        <row r="344">
          <cell r="D344">
            <v>46014</v>
          </cell>
        </row>
        <row r="344">
          <cell r="H344" t="str">
            <v>项目-分包</v>
          </cell>
        </row>
        <row r="344">
          <cell r="K344">
            <v>20000</v>
          </cell>
        </row>
        <row r="344">
          <cell r="M344" t="str">
            <v>德安县养老中心</v>
          </cell>
        </row>
        <row r="345">
          <cell r="D345">
            <v>46015</v>
          </cell>
        </row>
        <row r="345">
          <cell r="H345" t="str">
            <v>项目-分包</v>
          </cell>
        </row>
        <row r="345">
          <cell r="K345">
            <v>20000</v>
          </cell>
        </row>
        <row r="345">
          <cell r="M345" t="str">
            <v>德安县数字产业园</v>
          </cell>
        </row>
        <row r="346">
          <cell r="D346">
            <v>46015</v>
          </cell>
        </row>
        <row r="346">
          <cell r="H346" t="str">
            <v>办公室-办公费</v>
          </cell>
        </row>
        <row r="346">
          <cell r="K346">
            <v>15000</v>
          </cell>
        </row>
        <row r="346">
          <cell r="M346" t="str">
            <v>办公室</v>
          </cell>
        </row>
        <row r="347">
          <cell r="D347">
            <v>46021</v>
          </cell>
        </row>
        <row r="347">
          <cell r="H347" t="str">
            <v>项目-材料费</v>
          </cell>
        </row>
        <row r="347">
          <cell r="K347">
            <v>280000</v>
          </cell>
        </row>
        <row r="347">
          <cell r="M347" t="str">
            <v>德安县养老中心</v>
          </cell>
        </row>
        <row r="348">
          <cell r="D348">
            <v>46021</v>
          </cell>
        </row>
        <row r="348">
          <cell r="H348" t="str">
            <v>项目-材料费</v>
          </cell>
        </row>
        <row r="348">
          <cell r="K348">
            <v>-80000</v>
          </cell>
        </row>
        <row r="348">
          <cell r="M348" t="str">
            <v>德安县养老中心</v>
          </cell>
        </row>
        <row r="349">
          <cell r="D349">
            <v>46022</v>
          </cell>
        </row>
        <row r="349">
          <cell r="H349" t="str">
            <v>个人借款-聂辉</v>
          </cell>
        </row>
        <row r="349">
          <cell r="K349">
            <v>-100000</v>
          </cell>
        </row>
        <row r="349">
          <cell r="M349" t="str">
            <v>个人借款</v>
          </cell>
        </row>
        <row r="350">
          <cell r="D350">
            <v>46022</v>
          </cell>
        </row>
        <row r="350">
          <cell r="H350" t="str">
            <v>项目-材料费</v>
          </cell>
        </row>
        <row r="350">
          <cell r="K350">
            <v>30000</v>
          </cell>
        </row>
        <row r="350">
          <cell r="M350" t="str">
            <v>抚州资溪养老基地1号楼</v>
          </cell>
        </row>
        <row r="351">
          <cell r="D351">
            <v>46022</v>
          </cell>
        </row>
        <row r="351">
          <cell r="H351" t="str">
            <v>项目-材料费</v>
          </cell>
        </row>
        <row r="351">
          <cell r="K351">
            <v>23233</v>
          </cell>
        </row>
        <row r="351">
          <cell r="M351" t="str">
            <v>德安县养老中心</v>
          </cell>
        </row>
        <row r="352">
          <cell r="D352">
            <v>46022</v>
          </cell>
        </row>
        <row r="352">
          <cell r="H352" t="str">
            <v>项目-分包</v>
          </cell>
        </row>
        <row r="352">
          <cell r="K352">
            <v>40000</v>
          </cell>
        </row>
        <row r="352">
          <cell r="M352" t="str">
            <v>德安县养老中心</v>
          </cell>
        </row>
        <row r="353">
          <cell r="D353">
            <v>46022</v>
          </cell>
        </row>
        <row r="353">
          <cell r="H353" t="str">
            <v>项目-材料费</v>
          </cell>
        </row>
        <row r="353">
          <cell r="K353">
            <v>7184</v>
          </cell>
        </row>
        <row r="353">
          <cell r="M353" t="str">
            <v>德安县养老中心</v>
          </cell>
        </row>
        <row r="354">
          <cell r="D354">
            <v>46026</v>
          </cell>
        </row>
        <row r="354">
          <cell r="H354" t="str">
            <v>个人借款-聂辉</v>
          </cell>
        </row>
        <row r="354">
          <cell r="K354">
            <v>-100000</v>
          </cell>
        </row>
        <row r="354">
          <cell r="M354" t="str">
            <v>个人借款</v>
          </cell>
        </row>
        <row r="355">
          <cell r="D355">
            <v>46026</v>
          </cell>
        </row>
        <row r="355">
          <cell r="H355" t="str">
            <v>办公室-办公费</v>
          </cell>
        </row>
        <row r="355">
          <cell r="K355">
            <v>5000</v>
          </cell>
        </row>
        <row r="355">
          <cell r="M355" t="str">
            <v>办公室</v>
          </cell>
        </row>
        <row r="356">
          <cell r="D356">
            <v>46026</v>
          </cell>
        </row>
        <row r="356">
          <cell r="H356" t="str">
            <v>项目-材料费</v>
          </cell>
        </row>
        <row r="356">
          <cell r="K356">
            <v>35303.7</v>
          </cell>
        </row>
        <row r="356">
          <cell r="M356" t="str">
            <v>德安县科创中心</v>
          </cell>
        </row>
        <row r="357">
          <cell r="D357">
            <v>46027</v>
          </cell>
        </row>
        <row r="357">
          <cell r="H357" t="str">
            <v>项目-材料费</v>
          </cell>
        </row>
        <row r="357">
          <cell r="K357">
            <v>6130</v>
          </cell>
        </row>
        <row r="357">
          <cell r="M357" t="str">
            <v>德安县养老中心</v>
          </cell>
        </row>
        <row r="358">
          <cell r="D358">
            <v>46027</v>
          </cell>
        </row>
        <row r="358">
          <cell r="H358" t="str">
            <v>项目-材料费</v>
          </cell>
        </row>
        <row r="358">
          <cell r="K358">
            <v>14575</v>
          </cell>
        </row>
        <row r="358">
          <cell r="M358" t="str">
            <v>德安县养老中心</v>
          </cell>
        </row>
        <row r="359">
          <cell r="D359">
            <v>46027</v>
          </cell>
        </row>
        <row r="359">
          <cell r="H359" t="str">
            <v>项目-材料费</v>
          </cell>
        </row>
        <row r="359">
          <cell r="K359">
            <v>36632</v>
          </cell>
        </row>
        <row r="359">
          <cell r="M359" t="str">
            <v>抚州资溪养老基地1号楼</v>
          </cell>
        </row>
        <row r="360">
          <cell r="D360">
            <v>46029</v>
          </cell>
        </row>
        <row r="360">
          <cell r="H360" t="str">
            <v>个人借款-聂辉</v>
          </cell>
        </row>
        <row r="360">
          <cell r="K360">
            <v>-50000</v>
          </cell>
        </row>
        <row r="360">
          <cell r="M360" t="str">
            <v>个人借款</v>
          </cell>
        </row>
        <row r="361">
          <cell r="D361">
            <v>46029</v>
          </cell>
        </row>
        <row r="361">
          <cell r="H361" t="str">
            <v>项目-材料费</v>
          </cell>
        </row>
        <row r="361">
          <cell r="K361">
            <v>10121</v>
          </cell>
        </row>
        <row r="361">
          <cell r="M361" t="str">
            <v>德安县科创中心</v>
          </cell>
        </row>
        <row r="362">
          <cell r="D362">
            <v>46029</v>
          </cell>
        </row>
        <row r="362">
          <cell r="H362" t="str">
            <v>项目-劳务费</v>
          </cell>
        </row>
        <row r="362">
          <cell r="K362">
            <v>4000</v>
          </cell>
        </row>
        <row r="362">
          <cell r="M362" t="str">
            <v>德安县养老中心</v>
          </cell>
        </row>
        <row r="363">
          <cell r="D363">
            <v>46029</v>
          </cell>
        </row>
        <row r="363">
          <cell r="H363" t="str">
            <v>项目-劳务费</v>
          </cell>
        </row>
        <row r="363">
          <cell r="K363">
            <v>5000</v>
          </cell>
        </row>
        <row r="363">
          <cell r="M363" t="str">
            <v>德安县养老中心</v>
          </cell>
        </row>
        <row r="364">
          <cell r="D364">
            <v>46030</v>
          </cell>
        </row>
        <row r="364">
          <cell r="H364" t="str">
            <v>项目-劳务费</v>
          </cell>
        </row>
        <row r="364">
          <cell r="K364">
            <v>4000</v>
          </cell>
        </row>
        <row r="364">
          <cell r="M364" t="str">
            <v>德安县养老中心</v>
          </cell>
        </row>
        <row r="365">
          <cell r="D365">
            <v>46030</v>
          </cell>
        </row>
        <row r="365">
          <cell r="H365" t="str">
            <v>税款</v>
          </cell>
        </row>
        <row r="365">
          <cell r="K365">
            <v>5416.6</v>
          </cell>
        </row>
        <row r="365">
          <cell r="M365" t="str">
            <v>办公室</v>
          </cell>
        </row>
        <row r="366">
          <cell r="D366">
            <v>46030</v>
          </cell>
        </row>
        <row r="366">
          <cell r="H366" t="str">
            <v>税款</v>
          </cell>
        </row>
        <row r="366">
          <cell r="K366">
            <v>515.87</v>
          </cell>
        </row>
        <row r="366">
          <cell r="M366" t="str">
            <v>办公室</v>
          </cell>
        </row>
        <row r="367">
          <cell r="D367">
            <v>46031</v>
          </cell>
        </row>
        <row r="367">
          <cell r="H367" t="str">
            <v>工程款</v>
          </cell>
        </row>
        <row r="367">
          <cell r="J367">
            <v>186760</v>
          </cell>
        </row>
        <row r="367">
          <cell r="M367" t="str">
            <v>德安县养老中心</v>
          </cell>
        </row>
        <row r="368">
          <cell r="D368">
            <v>46031</v>
          </cell>
        </row>
        <row r="368">
          <cell r="H368" t="str">
            <v>项目-劳务费</v>
          </cell>
        </row>
        <row r="368">
          <cell r="K368">
            <v>11600</v>
          </cell>
        </row>
        <row r="368">
          <cell r="M368" t="str">
            <v>德安县养老中心</v>
          </cell>
        </row>
        <row r="369">
          <cell r="D369">
            <v>46031</v>
          </cell>
        </row>
        <row r="369">
          <cell r="H369" t="str">
            <v>项目-劳务费</v>
          </cell>
        </row>
        <row r="369">
          <cell r="K369">
            <v>8700</v>
          </cell>
        </row>
        <row r="369">
          <cell r="M369" t="str">
            <v>德安县养老中心</v>
          </cell>
        </row>
        <row r="370">
          <cell r="D370">
            <v>46031</v>
          </cell>
        </row>
        <row r="370">
          <cell r="H370" t="str">
            <v>项目-劳务费</v>
          </cell>
        </row>
        <row r="370">
          <cell r="K370">
            <v>9200</v>
          </cell>
        </row>
        <row r="370">
          <cell r="M370" t="str">
            <v>德安县养老中心</v>
          </cell>
        </row>
        <row r="371">
          <cell r="D371">
            <v>46031</v>
          </cell>
        </row>
        <row r="371">
          <cell r="H371" t="str">
            <v>项目-劳务费</v>
          </cell>
        </row>
        <row r="371">
          <cell r="K371">
            <v>11600</v>
          </cell>
        </row>
        <row r="371">
          <cell r="M371" t="str">
            <v>德安县养老中心</v>
          </cell>
        </row>
        <row r="372">
          <cell r="D372">
            <v>46031</v>
          </cell>
        </row>
        <row r="372">
          <cell r="H372" t="str">
            <v>项目-劳务费</v>
          </cell>
        </row>
        <row r="372">
          <cell r="K372">
            <v>10150</v>
          </cell>
        </row>
        <row r="372">
          <cell r="M372" t="str">
            <v>德安县养老中心</v>
          </cell>
        </row>
        <row r="373">
          <cell r="D373">
            <v>46031</v>
          </cell>
        </row>
        <row r="373">
          <cell r="H373" t="str">
            <v>项目-劳务费</v>
          </cell>
        </row>
        <row r="373">
          <cell r="K373">
            <v>6600</v>
          </cell>
        </row>
        <row r="373">
          <cell r="M373" t="str">
            <v>德安县养老中心</v>
          </cell>
        </row>
        <row r="374">
          <cell r="D374">
            <v>46031</v>
          </cell>
        </row>
        <row r="374">
          <cell r="H374" t="str">
            <v>项目-劳务费</v>
          </cell>
        </row>
        <row r="374">
          <cell r="K374">
            <v>7800</v>
          </cell>
        </row>
        <row r="374">
          <cell r="M374" t="str">
            <v>德安县养老中心</v>
          </cell>
        </row>
        <row r="375">
          <cell r="D375">
            <v>46031</v>
          </cell>
        </row>
        <row r="375">
          <cell r="H375" t="str">
            <v>项目-劳务费</v>
          </cell>
        </row>
        <row r="375">
          <cell r="K375">
            <v>12000</v>
          </cell>
        </row>
        <row r="375">
          <cell r="M375" t="str">
            <v>德安县养老中心</v>
          </cell>
        </row>
        <row r="376">
          <cell r="D376">
            <v>46031</v>
          </cell>
        </row>
        <row r="376">
          <cell r="H376" t="str">
            <v>项目-劳务费</v>
          </cell>
        </row>
        <row r="376">
          <cell r="K376">
            <v>10150</v>
          </cell>
        </row>
        <row r="376">
          <cell r="M376" t="str">
            <v>德安县养老中心</v>
          </cell>
        </row>
        <row r="377">
          <cell r="D377">
            <v>46031</v>
          </cell>
        </row>
        <row r="377">
          <cell r="H377" t="str">
            <v>项目-劳务费</v>
          </cell>
        </row>
        <row r="377">
          <cell r="K377">
            <v>8750</v>
          </cell>
        </row>
        <row r="377">
          <cell r="M377" t="str">
            <v>德安县养老中心</v>
          </cell>
        </row>
        <row r="378">
          <cell r="D378">
            <v>46031</v>
          </cell>
        </row>
        <row r="378">
          <cell r="H378" t="str">
            <v>项目-劳务费</v>
          </cell>
        </row>
        <row r="378">
          <cell r="K378">
            <v>15000</v>
          </cell>
        </row>
        <row r="378">
          <cell r="M378" t="str">
            <v>德安县养老中心</v>
          </cell>
        </row>
        <row r="379">
          <cell r="D379">
            <v>46031</v>
          </cell>
        </row>
        <row r="379">
          <cell r="H379" t="str">
            <v>项目-劳务费</v>
          </cell>
        </row>
        <row r="379">
          <cell r="K379">
            <v>12000</v>
          </cell>
        </row>
        <row r="379">
          <cell r="M379" t="str">
            <v>德安县养老中心</v>
          </cell>
        </row>
        <row r="380">
          <cell r="D380">
            <v>46031</v>
          </cell>
        </row>
        <row r="380">
          <cell r="H380" t="str">
            <v>项目-劳务费</v>
          </cell>
        </row>
        <row r="380">
          <cell r="K380">
            <v>9800</v>
          </cell>
        </row>
        <row r="380">
          <cell r="M380" t="str">
            <v>德安县养老中心</v>
          </cell>
        </row>
        <row r="381">
          <cell r="D381">
            <v>46031</v>
          </cell>
        </row>
        <row r="381">
          <cell r="H381" t="str">
            <v>项目-劳务费</v>
          </cell>
        </row>
        <row r="381">
          <cell r="K381">
            <v>9450</v>
          </cell>
        </row>
        <row r="381">
          <cell r="M381" t="str">
            <v>德安县养老中心</v>
          </cell>
        </row>
        <row r="382">
          <cell r="D382">
            <v>46031</v>
          </cell>
        </row>
        <row r="382">
          <cell r="H382" t="str">
            <v>项目-劳务费</v>
          </cell>
        </row>
        <row r="382">
          <cell r="K382">
            <v>9000</v>
          </cell>
        </row>
        <row r="382">
          <cell r="M382" t="str">
            <v>德安县养老中心</v>
          </cell>
        </row>
        <row r="383">
          <cell r="D383">
            <v>46031</v>
          </cell>
        </row>
        <row r="383">
          <cell r="H383" t="str">
            <v>项目-劳务费</v>
          </cell>
        </row>
        <row r="383">
          <cell r="K383">
            <v>10640</v>
          </cell>
        </row>
        <row r="383">
          <cell r="M383" t="str">
            <v>德安县养老中心</v>
          </cell>
        </row>
        <row r="384">
          <cell r="D384">
            <v>46031</v>
          </cell>
        </row>
        <row r="384">
          <cell r="H384" t="str">
            <v>项目-劳务费</v>
          </cell>
        </row>
        <row r="384">
          <cell r="K384">
            <v>5700</v>
          </cell>
        </row>
        <row r="384">
          <cell r="M384" t="str">
            <v>德安县养老中心</v>
          </cell>
        </row>
        <row r="385">
          <cell r="D385">
            <v>46031</v>
          </cell>
        </row>
        <row r="385">
          <cell r="H385" t="str">
            <v>项目-劳务费</v>
          </cell>
        </row>
        <row r="385">
          <cell r="K385">
            <v>7000</v>
          </cell>
        </row>
        <row r="385">
          <cell r="M385" t="str">
            <v>德安县养老中心</v>
          </cell>
        </row>
        <row r="386">
          <cell r="D386">
            <v>46031</v>
          </cell>
        </row>
        <row r="386">
          <cell r="H386" t="str">
            <v>项目-劳务费</v>
          </cell>
        </row>
        <row r="386">
          <cell r="K386">
            <v>3500</v>
          </cell>
        </row>
        <row r="386">
          <cell r="M386" t="str">
            <v>德安县养老中心</v>
          </cell>
        </row>
        <row r="387">
          <cell r="D387">
            <v>46031</v>
          </cell>
        </row>
        <row r="387">
          <cell r="H387" t="str">
            <v>项目-劳务费</v>
          </cell>
        </row>
        <row r="387">
          <cell r="K387">
            <v>4200</v>
          </cell>
        </row>
        <row r="387">
          <cell r="M387" t="str">
            <v>德安县养老中心</v>
          </cell>
        </row>
        <row r="388">
          <cell r="D388">
            <v>46031</v>
          </cell>
        </row>
        <row r="388">
          <cell r="H388" t="str">
            <v>项目-劳务费</v>
          </cell>
        </row>
        <row r="388">
          <cell r="K388">
            <v>3920</v>
          </cell>
        </row>
        <row r="388">
          <cell r="M388" t="str">
            <v>德安县养老中心</v>
          </cell>
        </row>
        <row r="389">
          <cell r="D389">
            <v>46032</v>
          </cell>
        </row>
        <row r="389">
          <cell r="H389" t="str">
            <v>项目-材料费</v>
          </cell>
        </row>
        <row r="389">
          <cell r="K389">
            <v>15144</v>
          </cell>
        </row>
        <row r="389">
          <cell r="M389" t="str">
            <v>德安县科创中心</v>
          </cell>
        </row>
        <row r="390">
          <cell r="D390">
            <v>46033</v>
          </cell>
        </row>
        <row r="390">
          <cell r="H390" t="str">
            <v>项目-劳务费</v>
          </cell>
        </row>
        <row r="390">
          <cell r="K390">
            <v>4000</v>
          </cell>
        </row>
        <row r="390">
          <cell r="M390" t="str">
            <v>德安县养老中心</v>
          </cell>
        </row>
        <row r="391">
          <cell r="D391">
            <v>46035</v>
          </cell>
        </row>
        <row r="391">
          <cell r="H391" t="str">
            <v>工程款</v>
          </cell>
        </row>
        <row r="391">
          <cell r="J391">
            <v>948923.39</v>
          </cell>
        </row>
        <row r="391">
          <cell r="M391" t="str">
            <v>德安县养老中心</v>
          </cell>
        </row>
        <row r="392">
          <cell r="D392">
            <v>46035</v>
          </cell>
        </row>
        <row r="392">
          <cell r="H392" t="str">
            <v>项目-材料费</v>
          </cell>
        </row>
        <row r="392">
          <cell r="K392">
            <v>19356</v>
          </cell>
        </row>
        <row r="392">
          <cell r="M392" t="str">
            <v>德安县养老中心</v>
          </cell>
        </row>
        <row r="393">
          <cell r="D393">
            <v>46036</v>
          </cell>
        </row>
        <row r="393">
          <cell r="H393" t="str">
            <v>项目-材料费</v>
          </cell>
        </row>
        <row r="393">
          <cell r="K393">
            <v>46838.02</v>
          </cell>
        </row>
        <row r="393">
          <cell r="M393" t="str">
            <v>德安县养老中心</v>
          </cell>
        </row>
        <row r="394">
          <cell r="D394">
            <v>46036</v>
          </cell>
        </row>
        <row r="394">
          <cell r="H394" t="str">
            <v>项目-材料费</v>
          </cell>
        </row>
        <row r="394">
          <cell r="K394">
            <v>5472</v>
          </cell>
        </row>
        <row r="394">
          <cell r="M394" t="str">
            <v>德安县养老中心</v>
          </cell>
        </row>
        <row r="395">
          <cell r="D395">
            <v>46036</v>
          </cell>
        </row>
        <row r="395">
          <cell r="H395" t="str">
            <v>项目-分包</v>
          </cell>
        </row>
        <row r="395">
          <cell r="K395">
            <v>100000</v>
          </cell>
        </row>
        <row r="395">
          <cell r="M395" t="str">
            <v>德安县养老中心</v>
          </cell>
        </row>
        <row r="396">
          <cell r="D396">
            <v>46036</v>
          </cell>
        </row>
        <row r="396">
          <cell r="H396" t="str">
            <v>项目-分包</v>
          </cell>
        </row>
        <row r="396">
          <cell r="K396">
            <v>4900</v>
          </cell>
        </row>
        <row r="396">
          <cell r="M396" t="str">
            <v>德安县养老中心</v>
          </cell>
        </row>
        <row r="397">
          <cell r="D397">
            <v>46036</v>
          </cell>
        </row>
        <row r="397">
          <cell r="H397" t="str">
            <v>项目-分包</v>
          </cell>
        </row>
        <row r="397">
          <cell r="K397">
            <v>4100</v>
          </cell>
        </row>
        <row r="397">
          <cell r="M397" t="str">
            <v>德安县养老中心</v>
          </cell>
        </row>
        <row r="398">
          <cell r="D398">
            <v>46036</v>
          </cell>
        </row>
        <row r="398">
          <cell r="H398" t="str">
            <v>项目-分包</v>
          </cell>
        </row>
        <row r="398">
          <cell r="K398">
            <v>4100</v>
          </cell>
        </row>
        <row r="398">
          <cell r="M398" t="str">
            <v>德安县养老中心</v>
          </cell>
        </row>
        <row r="399">
          <cell r="D399">
            <v>46036</v>
          </cell>
        </row>
        <row r="399">
          <cell r="H399" t="str">
            <v>项目-分包</v>
          </cell>
        </row>
        <row r="399">
          <cell r="K399">
            <v>4900</v>
          </cell>
        </row>
        <row r="399">
          <cell r="M399" t="str">
            <v>德安县养老中心</v>
          </cell>
        </row>
        <row r="400">
          <cell r="D400">
            <v>46036</v>
          </cell>
        </row>
        <row r="400">
          <cell r="H400" t="str">
            <v>项目-分包</v>
          </cell>
        </row>
        <row r="400">
          <cell r="K400">
            <v>4000</v>
          </cell>
        </row>
        <row r="400">
          <cell r="M400" t="str">
            <v>德安县养老中心</v>
          </cell>
        </row>
        <row r="401">
          <cell r="D401">
            <v>46036</v>
          </cell>
        </row>
        <row r="401">
          <cell r="H401" t="str">
            <v>项目-分包</v>
          </cell>
        </row>
        <row r="401">
          <cell r="K401">
            <v>4000</v>
          </cell>
        </row>
        <row r="401">
          <cell r="M401" t="str">
            <v>德安县养老中心</v>
          </cell>
        </row>
        <row r="402">
          <cell r="D402">
            <v>46036</v>
          </cell>
        </row>
        <row r="402">
          <cell r="H402" t="str">
            <v>项目-分包</v>
          </cell>
        </row>
        <row r="402">
          <cell r="K402">
            <v>4000</v>
          </cell>
        </row>
        <row r="402">
          <cell r="M402" t="str">
            <v>德安县养老中心</v>
          </cell>
        </row>
        <row r="403">
          <cell r="D403">
            <v>46036</v>
          </cell>
        </row>
        <row r="403">
          <cell r="H403" t="str">
            <v>个人借款-聂辉</v>
          </cell>
        </row>
        <row r="403">
          <cell r="K403">
            <v>50000</v>
          </cell>
        </row>
        <row r="403">
          <cell r="M403" t="str">
            <v>个人借款</v>
          </cell>
        </row>
        <row r="404">
          <cell r="D404">
            <v>46036</v>
          </cell>
        </row>
        <row r="404">
          <cell r="H404" t="str">
            <v>个人借款-聂辉</v>
          </cell>
        </row>
        <row r="404">
          <cell r="K404">
            <v>100000</v>
          </cell>
        </row>
        <row r="404">
          <cell r="M404" t="str">
            <v>个人借款</v>
          </cell>
        </row>
        <row r="405">
          <cell r="D405">
            <v>46037</v>
          </cell>
        </row>
        <row r="405">
          <cell r="H405" t="str">
            <v>项目-劳务费</v>
          </cell>
        </row>
        <row r="405">
          <cell r="K405">
            <v>4000</v>
          </cell>
        </row>
        <row r="405">
          <cell r="M405" t="str">
            <v>德安县科创中心</v>
          </cell>
        </row>
        <row r="406">
          <cell r="D406">
            <v>46037</v>
          </cell>
        </row>
        <row r="406">
          <cell r="H406" t="str">
            <v>项目-劳务费</v>
          </cell>
        </row>
        <row r="406">
          <cell r="K406">
            <v>4000</v>
          </cell>
        </row>
        <row r="406">
          <cell r="M406" t="str">
            <v>德安县科创中心</v>
          </cell>
        </row>
        <row r="407">
          <cell r="D407">
            <v>46037</v>
          </cell>
        </row>
        <row r="407">
          <cell r="H407" t="str">
            <v>项目-劳务费</v>
          </cell>
        </row>
        <row r="407">
          <cell r="K407">
            <v>4000</v>
          </cell>
        </row>
        <row r="407">
          <cell r="M407" t="str">
            <v>德安县科创中心</v>
          </cell>
        </row>
        <row r="408">
          <cell r="D408">
            <v>46037</v>
          </cell>
        </row>
        <row r="408">
          <cell r="H408" t="str">
            <v>项目-劳务费</v>
          </cell>
        </row>
        <row r="408">
          <cell r="K408">
            <v>4000</v>
          </cell>
        </row>
        <row r="408">
          <cell r="M408" t="str">
            <v>德安县科创中心</v>
          </cell>
        </row>
        <row r="409">
          <cell r="D409">
            <v>46037</v>
          </cell>
        </row>
        <row r="409">
          <cell r="H409" t="str">
            <v>项目-劳务费</v>
          </cell>
        </row>
        <row r="409">
          <cell r="K409">
            <v>10000</v>
          </cell>
        </row>
        <row r="409">
          <cell r="M409" t="str">
            <v>德安县科创中心</v>
          </cell>
        </row>
        <row r="410">
          <cell r="D410">
            <v>46037</v>
          </cell>
        </row>
        <row r="410">
          <cell r="H410" t="str">
            <v>项目-劳务费</v>
          </cell>
        </row>
        <row r="410">
          <cell r="K410">
            <v>2000</v>
          </cell>
        </row>
        <row r="410">
          <cell r="M410" t="str">
            <v>德安县科创中心</v>
          </cell>
        </row>
        <row r="411">
          <cell r="D411">
            <v>46037</v>
          </cell>
        </row>
        <row r="411">
          <cell r="H411" t="str">
            <v>项目-劳务费</v>
          </cell>
        </row>
        <row r="411">
          <cell r="K411">
            <v>2000</v>
          </cell>
        </row>
        <row r="411">
          <cell r="M411" t="str">
            <v>德安县科创中心</v>
          </cell>
        </row>
        <row r="412">
          <cell r="D412">
            <v>46037</v>
          </cell>
        </row>
        <row r="412">
          <cell r="H412" t="str">
            <v>项目-劳务费</v>
          </cell>
        </row>
        <row r="412">
          <cell r="K412">
            <v>2500</v>
          </cell>
        </row>
        <row r="412">
          <cell r="M412" t="str">
            <v>德安县科创中心</v>
          </cell>
        </row>
        <row r="413">
          <cell r="D413">
            <v>46037</v>
          </cell>
        </row>
        <row r="413">
          <cell r="H413" t="str">
            <v>项目-劳务费</v>
          </cell>
        </row>
        <row r="413">
          <cell r="K413">
            <v>1675</v>
          </cell>
        </row>
        <row r="413">
          <cell r="M413" t="str">
            <v>德安县科创中心</v>
          </cell>
        </row>
        <row r="414">
          <cell r="D414">
            <v>46037</v>
          </cell>
        </row>
        <row r="414">
          <cell r="H414" t="str">
            <v>项目-劳务费</v>
          </cell>
        </row>
        <row r="414">
          <cell r="K414">
            <v>1000</v>
          </cell>
        </row>
        <row r="414">
          <cell r="M414" t="str">
            <v>德安县科创中心</v>
          </cell>
        </row>
        <row r="415">
          <cell r="D415">
            <v>46037</v>
          </cell>
        </row>
        <row r="415">
          <cell r="H415" t="str">
            <v>项目-分包</v>
          </cell>
        </row>
        <row r="415">
          <cell r="K415">
            <v>20000</v>
          </cell>
        </row>
        <row r="415">
          <cell r="M415" t="str">
            <v>抚州资溪养老基地1号楼</v>
          </cell>
        </row>
        <row r="416">
          <cell r="D416">
            <v>46037</v>
          </cell>
        </row>
        <row r="416">
          <cell r="H416" t="str">
            <v>项目-分包</v>
          </cell>
        </row>
        <row r="416">
          <cell r="K416">
            <v>15000</v>
          </cell>
        </row>
        <row r="416">
          <cell r="M416" t="str">
            <v>抚州资溪养老基地1号楼</v>
          </cell>
        </row>
        <row r="417">
          <cell r="D417">
            <v>46037</v>
          </cell>
        </row>
        <row r="417">
          <cell r="H417" t="str">
            <v>项目-分包</v>
          </cell>
        </row>
        <row r="417">
          <cell r="K417">
            <v>15000</v>
          </cell>
        </row>
        <row r="417">
          <cell r="M417" t="str">
            <v>抚州资溪养老基地1号楼</v>
          </cell>
        </row>
        <row r="418">
          <cell r="D418">
            <v>46037</v>
          </cell>
        </row>
        <row r="418">
          <cell r="H418" t="str">
            <v>项目-劳务费</v>
          </cell>
        </row>
        <row r="418">
          <cell r="K418">
            <v>4000</v>
          </cell>
        </row>
        <row r="418">
          <cell r="M418" t="str">
            <v>德安县养老中心</v>
          </cell>
        </row>
        <row r="419">
          <cell r="D419">
            <v>46037</v>
          </cell>
        </row>
        <row r="419">
          <cell r="H419" t="str">
            <v>项目-劳务费</v>
          </cell>
        </row>
        <row r="419">
          <cell r="K419">
            <v>4000</v>
          </cell>
        </row>
        <row r="419">
          <cell r="M419" t="str">
            <v>德安县养老中心</v>
          </cell>
        </row>
        <row r="420">
          <cell r="D420">
            <v>46037</v>
          </cell>
        </row>
        <row r="420">
          <cell r="H420" t="str">
            <v>项目-劳务费</v>
          </cell>
        </row>
        <row r="420">
          <cell r="K420">
            <v>2000</v>
          </cell>
        </row>
        <row r="420">
          <cell r="M420" t="str">
            <v>德安县养老中心</v>
          </cell>
        </row>
        <row r="421">
          <cell r="D421">
            <v>46037</v>
          </cell>
        </row>
        <row r="421">
          <cell r="H421" t="str">
            <v>项目-劳务费</v>
          </cell>
        </row>
        <row r="421">
          <cell r="K421">
            <v>10000</v>
          </cell>
        </row>
        <row r="421">
          <cell r="M421" t="str">
            <v>德安县养老中心</v>
          </cell>
        </row>
        <row r="422">
          <cell r="D422">
            <v>46037</v>
          </cell>
        </row>
        <row r="422">
          <cell r="H422" t="str">
            <v>项目-劳务费</v>
          </cell>
        </row>
        <row r="422">
          <cell r="K422">
            <v>4000</v>
          </cell>
        </row>
        <row r="422">
          <cell r="M422" t="str">
            <v>德安县养老中心</v>
          </cell>
        </row>
        <row r="423">
          <cell r="D423">
            <v>46037</v>
          </cell>
        </row>
        <row r="423">
          <cell r="H423" t="str">
            <v>项目-材料费</v>
          </cell>
        </row>
        <row r="423">
          <cell r="K423">
            <v>11298</v>
          </cell>
        </row>
        <row r="423">
          <cell r="M423" t="str">
            <v>德安县养老中心</v>
          </cell>
        </row>
        <row r="424">
          <cell r="D424">
            <v>46037</v>
          </cell>
        </row>
        <row r="424">
          <cell r="H424" t="str">
            <v>项目-材料费</v>
          </cell>
        </row>
        <row r="424">
          <cell r="K424">
            <v>-11298</v>
          </cell>
        </row>
        <row r="424">
          <cell r="M424" t="str">
            <v>德安县养老中心</v>
          </cell>
        </row>
        <row r="425">
          <cell r="D425">
            <v>46037</v>
          </cell>
        </row>
        <row r="425">
          <cell r="H425" t="str">
            <v>项目-材料费</v>
          </cell>
        </row>
        <row r="425">
          <cell r="K425">
            <v>2866</v>
          </cell>
        </row>
        <row r="425">
          <cell r="M425" t="str">
            <v>德安县科创中心</v>
          </cell>
        </row>
        <row r="426">
          <cell r="D426">
            <v>46037</v>
          </cell>
        </row>
        <row r="426">
          <cell r="H426" t="str">
            <v>项目-材料费</v>
          </cell>
        </row>
        <row r="426">
          <cell r="K426">
            <v>8432</v>
          </cell>
        </row>
        <row r="426">
          <cell r="M426" t="str">
            <v>德安县养老中心</v>
          </cell>
        </row>
        <row r="427">
          <cell r="D427">
            <v>46038</v>
          </cell>
        </row>
        <row r="427">
          <cell r="H427" t="str">
            <v>项目-材料费</v>
          </cell>
        </row>
        <row r="427">
          <cell r="K427">
            <v>60000</v>
          </cell>
        </row>
        <row r="427">
          <cell r="M427" t="str">
            <v>德安县养老中心</v>
          </cell>
        </row>
        <row r="428">
          <cell r="D428">
            <v>46038</v>
          </cell>
        </row>
        <row r="428">
          <cell r="H428" t="str">
            <v>项目-材料费</v>
          </cell>
        </row>
        <row r="428">
          <cell r="K428">
            <v>7772</v>
          </cell>
        </row>
        <row r="428">
          <cell r="M428" t="str">
            <v>抚州资溪养老基地1号楼</v>
          </cell>
        </row>
        <row r="429">
          <cell r="D429">
            <v>46038</v>
          </cell>
        </row>
        <row r="429">
          <cell r="H429" t="str">
            <v>项目-材料费</v>
          </cell>
        </row>
        <row r="429">
          <cell r="K429">
            <v>2230</v>
          </cell>
        </row>
        <row r="429">
          <cell r="M429" t="str">
            <v>抚州资溪养老基地1号楼</v>
          </cell>
        </row>
        <row r="430">
          <cell r="D430">
            <v>46038</v>
          </cell>
        </row>
        <row r="430">
          <cell r="H430" t="str">
            <v>个人借款-聂辉</v>
          </cell>
        </row>
        <row r="430">
          <cell r="K430">
            <v>40000</v>
          </cell>
        </row>
        <row r="430">
          <cell r="M430" t="str">
            <v>个人借款</v>
          </cell>
        </row>
        <row r="431">
          <cell r="D431">
            <v>46042</v>
          </cell>
        </row>
        <row r="431">
          <cell r="H431" t="str">
            <v>税款</v>
          </cell>
        </row>
        <row r="431">
          <cell r="K431">
            <v>6719.61</v>
          </cell>
        </row>
        <row r="431">
          <cell r="M431" t="str">
            <v>办公室</v>
          </cell>
        </row>
        <row r="432">
          <cell r="D432">
            <v>46042</v>
          </cell>
        </row>
        <row r="432">
          <cell r="H432" t="str">
            <v>项目-材料费</v>
          </cell>
        </row>
        <row r="432">
          <cell r="K432">
            <v>2992</v>
          </cell>
        </row>
        <row r="432">
          <cell r="M432" t="str">
            <v>抚州资溪养老基地8号楼</v>
          </cell>
        </row>
        <row r="433">
          <cell r="D433">
            <v>46042</v>
          </cell>
        </row>
        <row r="433">
          <cell r="H433" t="str">
            <v>项目-材料费</v>
          </cell>
        </row>
        <row r="433">
          <cell r="K433">
            <v>4860</v>
          </cell>
        </row>
        <row r="433">
          <cell r="M433" t="str">
            <v>抚州资溪养老基地1号楼</v>
          </cell>
        </row>
        <row r="434">
          <cell r="D434">
            <v>46042</v>
          </cell>
        </row>
        <row r="434">
          <cell r="H434" t="str">
            <v>个人借款-聂辉</v>
          </cell>
        </row>
        <row r="434">
          <cell r="K434">
            <v>20000</v>
          </cell>
        </row>
        <row r="434">
          <cell r="M434" t="str">
            <v>个人借款</v>
          </cell>
        </row>
        <row r="435">
          <cell r="D435">
            <v>46042</v>
          </cell>
        </row>
        <row r="435">
          <cell r="H435" t="str">
            <v>税款</v>
          </cell>
        </row>
        <row r="435">
          <cell r="K435">
            <v>90</v>
          </cell>
        </row>
        <row r="435">
          <cell r="M435" t="str">
            <v>办公室</v>
          </cell>
        </row>
        <row r="436">
          <cell r="D436">
            <v>46042</v>
          </cell>
        </row>
        <row r="436">
          <cell r="H436" t="str">
            <v>个人借款-聂辉</v>
          </cell>
        </row>
        <row r="436">
          <cell r="K436">
            <v>100000</v>
          </cell>
        </row>
        <row r="436">
          <cell r="M436" t="str">
            <v>个人借款</v>
          </cell>
        </row>
        <row r="437">
          <cell r="D437">
            <v>46043</v>
          </cell>
        </row>
        <row r="437">
          <cell r="H437" t="str">
            <v>项目-材料费</v>
          </cell>
        </row>
        <row r="437">
          <cell r="K437">
            <v>2627</v>
          </cell>
        </row>
        <row r="437">
          <cell r="M437" t="str">
            <v>德安县科创中心</v>
          </cell>
        </row>
        <row r="438">
          <cell r="D438">
            <v>46043</v>
          </cell>
        </row>
        <row r="438">
          <cell r="H438" t="str">
            <v>项目-材料费</v>
          </cell>
        </row>
        <row r="438">
          <cell r="K438">
            <v>33476.25</v>
          </cell>
        </row>
        <row r="438">
          <cell r="M438" t="str">
            <v>德安县科创中心</v>
          </cell>
        </row>
        <row r="439">
          <cell r="D439">
            <v>46043</v>
          </cell>
        </row>
        <row r="439">
          <cell r="H439" t="str">
            <v>项目-材料费</v>
          </cell>
        </row>
        <row r="439">
          <cell r="K439">
            <v>4447.35</v>
          </cell>
        </row>
        <row r="439">
          <cell r="M439" t="str">
            <v>德安县数字产业园</v>
          </cell>
        </row>
        <row r="440">
          <cell r="D440">
            <v>46043</v>
          </cell>
        </row>
        <row r="440">
          <cell r="H440" t="str">
            <v>项目-分包</v>
          </cell>
        </row>
        <row r="440">
          <cell r="K440">
            <v>20000</v>
          </cell>
        </row>
        <row r="440">
          <cell r="M440" t="str">
            <v>德安县养老中心</v>
          </cell>
        </row>
        <row r="441">
          <cell r="D441">
            <v>46043</v>
          </cell>
        </row>
        <row r="441">
          <cell r="H441" t="str">
            <v>项目-分包</v>
          </cell>
        </row>
        <row r="441">
          <cell r="K441">
            <v>10000</v>
          </cell>
        </row>
        <row r="441">
          <cell r="M441" t="str">
            <v>德安县养老中心</v>
          </cell>
        </row>
        <row r="442">
          <cell r="D442">
            <v>46044</v>
          </cell>
        </row>
        <row r="442">
          <cell r="H442" t="str">
            <v>项目-劳务费</v>
          </cell>
        </row>
        <row r="442">
          <cell r="K442">
            <v>7500</v>
          </cell>
        </row>
        <row r="442">
          <cell r="M442" t="str">
            <v>德安县科创中心</v>
          </cell>
        </row>
        <row r="443">
          <cell r="D443">
            <v>46044</v>
          </cell>
        </row>
        <row r="443">
          <cell r="H443" t="str">
            <v>项目-劳务费</v>
          </cell>
        </row>
        <row r="443">
          <cell r="K443">
            <v>7500</v>
          </cell>
        </row>
        <row r="443">
          <cell r="M443" t="str">
            <v>德安县科创中心</v>
          </cell>
        </row>
        <row r="444">
          <cell r="D444">
            <v>46044</v>
          </cell>
        </row>
        <row r="444">
          <cell r="H444" t="str">
            <v>项目-劳务费</v>
          </cell>
        </row>
        <row r="444">
          <cell r="K444">
            <v>-7500</v>
          </cell>
        </row>
        <row r="444">
          <cell r="M444" t="str">
            <v>德安县科创中心</v>
          </cell>
        </row>
        <row r="445">
          <cell r="D445">
            <v>46044</v>
          </cell>
        </row>
        <row r="445">
          <cell r="H445" t="str">
            <v>项目-劳务费</v>
          </cell>
        </row>
        <row r="445">
          <cell r="K445">
            <v>7500</v>
          </cell>
        </row>
        <row r="445">
          <cell r="M445" t="str">
            <v>德安县科创中心</v>
          </cell>
        </row>
        <row r="446">
          <cell r="D446">
            <v>46044</v>
          </cell>
        </row>
        <row r="446">
          <cell r="H446" t="str">
            <v>项目-劳务费</v>
          </cell>
        </row>
        <row r="446">
          <cell r="K446">
            <v>-7500</v>
          </cell>
        </row>
        <row r="446">
          <cell r="M446" t="str">
            <v>德安县科创中心</v>
          </cell>
        </row>
        <row r="447">
          <cell r="D447">
            <v>46044</v>
          </cell>
        </row>
        <row r="447">
          <cell r="H447" t="str">
            <v>项目-劳务费</v>
          </cell>
        </row>
        <row r="447">
          <cell r="K447">
            <v>7500</v>
          </cell>
        </row>
        <row r="447">
          <cell r="M447" t="str">
            <v>德安县科创中心</v>
          </cell>
        </row>
        <row r="448">
          <cell r="D448">
            <v>46044</v>
          </cell>
        </row>
        <row r="448">
          <cell r="H448" t="str">
            <v>项目-劳务费</v>
          </cell>
        </row>
        <row r="448">
          <cell r="K448">
            <v>7500</v>
          </cell>
        </row>
        <row r="448">
          <cell r="M448" t="str">
            <v>德安县科创中心</v>
          </cell>
        </row>
        <row r="449">
          <cell r="D449">
            <v>46044</v>
          </cell>
        </row>
        <row r="449">
          <cell r="H449" t="str">
            <v>项目-劳务费</v>
          </cell>
        </row>
        <row r="449">
          <cell r="K449">
            <v>7500</v>
          </cell>
        </row>
        <row r="449">
          <cell r="M449" t="str">
            <v>德安县科创中心</v>
          </cell>
        </row>
        <row r="450">
          <cell r="D450">
            <v>46047</v>
          </cell>
        </row>
        <row r="450">
          <cell r="H450" t="str">
            <v>项目-分包</v>
          </cell>
        </row>
        <row r="450">
          <cell r="K450">
            <v>22000</v>
          </cell>
        </row>
        <row r="450">
          <cell r="M450" t="str">
            <v>德安县数字产业园</v>
          </cell>
        </row>
        <row r="451">
          <cell r="D451">
            <v>46047</v>
          </cell>
        </row>
        <row r="451">
          <cell r="H451" t="str">
            <v>项目-分包</v>
          </cell>
        </row>
        <row r="451">
          <cell r="K451">
            <v>20000</v>
          </cell>
        </row>
        <row r="451">
          <cell r="M451" t="str">
            <v>德安县数字产业园</v>
          </cell>
        </row>
        <row r="452">
          <cell r="D452">
            <v>46049</v>
          </cell>
        </row>
        <row r="452">
          <cell r="H452" t="str">
            <v>项目-材料费</v>
          </cell>
        </row>
        <row r="452">
          <cell r="K452">
            <v>30000</v>
          </cell>
        </row>
        <row r="452">
          <cell r="M452" t="str">
            <v>德安县科创中心</v>
          </cell>
        </row>
        <row r="453">
          <cell r="D453">
            <v>46050</v>
          </cell>
        </row>
        <row r="453">
          <cell r="H453" t="str">
            <v>办公室-办公费</v>
          </cell>
        </row>
        <row r="453">
          <cell r="K453">
            <v>5000</v>
          </cell>
        </row>
        <row r="453">
          <cell r="M453" t="str">
            <v>办公室</v>
          </cell>
        </row>
        <row r="454">
          <cell r="D454">
            <v>46050</v>
          </cell>
        </row>
        <row r="454">
          <cell r="H454" t="str">
            <v>项目-劳务费</v>
          </cell>
        </row>
        <row r="454">
          <cell r="K454">
            <v>5425</v>
          </cell>
        </row>
        <row r="454">
          <cell r="M454" t="str">
            <v>德安县科创中心</v>
          </cell>
        </row>
        <row r="455">
          <cell r="D455">
            <v>46050</v>
          </cell>
        </row>
        <row r="455">
          <cell r="H455" t="str">
            <v>项目-劳务费</v>
          </cell>
        </row>
        <row r="455">
          <cell r="K455">
            <v>7425</v>
          </cell>
        </row>
        <row r="455">
          <cell r="M455" t="str">
            <v>德安县科创中心</v>
          </cell>
        </row>
        <row r="456">
          <cell r="D456">
            <v>46050</v>
          </cell>
        </row>
        <row r="456">
          <cell r="H456" t="str">
            <v>项目-劳务费</v>
          </cell>
        </row>
        <row r="456">
          <cell r="K456">
            <v>7425</v>
          </cell>
        </row>
        <row r="456">
          <cell r="M456" t="str">
            <v>德安县科创中心</v>
          </cell>
        </row>
        <row r="457">
          <cell r="D457">
            <v>46050</v>
          </cell>
        </row>
        <row r="457">
          <cell r="H457" t="str">
            <v>项目-劳务费</v>
          </cell>
        </row>
        <row r="457">
          <cell r="K457">
            <v>7425</v>
          </cell>
        </row>
        <row r="457">
          <cell r="M457" t="str">
            <v>德安县科创中心</v>
          </cell>
        </row>
        <row r="458">
          <cell r="D458">
            <v>46050</v>
          </cell>
        </row>
        <row r="458">
          <cell r="H458" t="str">
            <v>项目-材料费</v>
          </cell>
        </row>
        <row r="458">
          <cell r="K458">
            <v>5700</v>
          </cell>
        </row>
        <row r="458">
          <cell r="M458" t="str">
            <v>德安县科创中心</v>
          </cell>
        </row>
        <row r="459">
          <cell r="D459">
            <v>46050</v>
          </cell>
        </row>
        <row r="459">
          <cell r="H459" t="str">
            <v>个人借款-聂辉</v>
          </cell>
        </row>
        <row r="459">
          <cell r="K459">
            <v>10000</v>
          </cell>
        </row>
        <row r="459">
          <cell r="M459" t="str">
            <v>个人借款</v>
          </cell>
        </row>
        <row r="460">
          <cell r="D460">
            <v>46052</v>
          </cell>
        </row>
        <row r="460">
          <cell r="H460" t="str">
            <v>办公室-办公费</v>
          </cell>
        </row>
        <row r="460">
          <cell r="K460">
            <v>6918</v>
          </cell>
        </row>
        <row r="460">
          <cell r="M460" t="str">
            <v>办公室</v>
          </cell>
        </row>
        <row r="461">
          <cell r="D461">
            <v>46052</v>
          </cell>
        </row>
        <row r="461">
          <cell r="H461" t="str">
            <v>项目-材料费</v>
          </cell>
        </row>
        <row r="461">
          <cell r="K461">
            <v>2160</v>
          </cell>
        </row>
        <row r="461">
          <cell r="M461" t="str">
            <v>抚州资溪养老基地8号楼</v>
          </cell>
        </row>
        <row r="462">
          <cell r="D462">
            <v>46052</v>
          </cell>
        </row>
        <row r="462">
          <cell r="H462" t="str">
            <v>办公室-办公费</v>
          </cell>
        </row>
        <row r="462">
          <cell r="K462">
            <v>0.8</v>
          </cell>
        </row>
        <row r="462">
          <cell r="M462" t="str">
            <v>办公室</v>
          </cell>
        </row>
        <row r="463">
          <cell r="D463">
            <v>46054</v>
          </cell>
        </row>
        <row r="463">
          <cell r="H463" t="str">
            <v>项目-分包</v>
          </cell>
        </row>
        <row r="463">
          <cell r="K463">
            <v>6000</v>
          </cell>
        </row>
        <row r="463">
          <cell r="M463" t="str">
            <v>抚州资溪养老基地1号楼</v>
          </cell>
        </row>
        <row r="464">
          <cell r="D464">
            <v>46057</v>
          </cell>
        </row>
        <row r="464">
          <cell r="H464" t="str">
            <v>个人借款-聂辉</v>
          </cell>
        </row>
        <row r="464">
          <cell r="K464">
            <v>-10000</v>
          </cell>
        </row>
        <row r="464">
          <cell r="M464" t="str">
            <v>个人借款</v>
          </cell>
        </row>
        <row r="465">
          <cell r="D465">
            <v>46057</v>
          </cell>
        </row>
        <row r="465">
          <cell r="H465" t="str">
            <v>项目-材料费</v>
          </cell>
        </row>
        <row r="465">
          <cell r="K465">
            <v>2000</v>
          </cell>
        </row>
        <row r="465">
          <cell r="M465" t="str">
            <v>德安县科创中心</v>
          </cell>
        </row>
        <row r="466">
          <cell r="D466">
            <v>46058</v>
          </cell>
        </row>
        <row r="466">
          <cell r="H466" t="str">
            <v>工程款</v>
          </cell>
        </row>
        <row r="466">
          <cell r="J466">
            <v>20359</v>
          </cell>
        </row>
        <row r="466">
          <cell r="M466" t="str">
            <v>江西赣粤高速公路工程有限责任公司</v>
          </cell>
        </row>
        <row r="467">
          <cell r="D467">
            <v>46058</v>
          </cell>
        </row>
        <row r="467">
          <cell r="H467" t="str">
            <v>项目-分包</v>
          </cell>
        </row>
        <row r="467">
          <cell r="K467">
            <v>8000</v>
          </cell>
        </row>
        <row r="467">
          <cell r="M467" t="str">
            <v>抚州资溪养老基地1号楼</v>
          </cell>
        </row>
        <row r="468">
          <cell r="D468">
            <v>46058</v>
          </cell>
        </row>
        <row r="468">
          <cell r="H468" t="str">
            <v>税款</v>
          </cell>
        </row>
        <row r="468">
          <cell r="K468">
            <v>11552.55</v>
          </cell>
        </row>
        <row r="468">
          <cell r="M468" t="str">
            <v>办公室</v>
          </cell>
        </row>
        <row r="469">
          <cell r="D469">
            <v>46058</v>
          </cell>
        </row>
        <row r="469">
          <cell r="H469" t="str">
            <v>税款</v>
          </cell>
        </row>
        <row r="469">
          <cell r="K469">
            <v>733.5</v>
          </cell>
        </row>
        <row r="469">
          <cell r="M469" t="str">
            <v>办公室</v>
          </cell>
        </row>
        <row r="470">
          <cell r="D470">
            <v>46059</v>
          </cell>
        </row>
        <row r="470">
          <cell r="H470" t="str">
            <v>工程款</v>
          </cell>
        </row>
        <row r="470">
          <cell r="J470">
            <v>294771</v>
          </cell>
        </row>
        <row r="470">
          <cell r="M470" t="str">
            <v>江西赣粤高速公路工程有限责任公司</v>
          </cell>
        </row>
        <row r="471">
          <cell r="D471">
            <v>46059</v>
          </cell>
        </row>
        <row r="471">
          <cell r="H471" t="str">
            <v>项目-劳务费</v>
          </cell>
        </row>
        <row r="471">
          <cell r="K471">
            <v>150000</v>
          </cell>
        </row>
        <row r="471">
          <cell r="M471" t="str">
            <v>江西赣粤高速公路工程有限责任公司</v>
          </cell>
        </row>
        <row r="472">
          <cell r="D472">
            <v>46062</v>
          </cell>
        </row>
        <row r="472">
          <cell r="H472" t="str">
            <v>项目-材料费</v>
          </cell>
        </row>
        <row r="472">
          <cell r="K472">
            <v>336</v>
          </cell>
        </row>
        <row r="472">
          <cell r="M472" t="str">
            <v>德安县科创中心</v>
          </cell>
        </row>
        <row r="473">
          <cell r="D473">
            <v>46062</v>
          </cell>
        </row>
        <row r="473">
          <cell r="H473" t="str">
            <v>项目-劳务费</v>
          </cell>
        </row>
        <row r="473">
          <cell r="K473">
            <v>146793</v>
          </cell>
        </row>
        <row r="473">
          <cell r="M473" t="str">
            <v>江西赣粤高速公路工程有限责任公司</v>
          </cell>
        </row>
        <row r="474">
          <cell r="D474">
            <v>46062</v>
          </cell>
        </row>
        <row r="474">
          <cell r="H474" t="str">
            <v>税款</v>
          </cell>
        </row>
        <row r="474">
          <cell r="K474">
            <v>-9</v>
          </cell>
        </row>
        <row r="474">
          <cell r="M474" t="str">
            <v>办公室</v>
          </cell>
        </row>
        <row r="475">
          <cell r="D475">
            <v>46066</v>
          </cell>
        </row>
        <row r="475">
          <cell r="H475" t="str">
            <v>工程款</v>
          </cell>
        </row>
        <row r="475">
          <cell r="J475">
            <v>248591.7</v>
          </cell>
        </row>
        <row r="475">
          <cell r="M475" t="str">
            <v>抚州资溪养老基地8号楼</v>
          </cell>
        </row>
        <row r="476">
          <cell r="D476">
            <v>46066</v>
          </cell>
        </row>
        <row r="476">
          <cell r="H476" t="str">
            <v>工程款</v>
          </cell>
        </row>
        <row r="476">
          <cell r="J476">
            <v>820000</v>
          </cell>
        </row>
        <row r="476">
          <cell r="M476" t="str">
            <v>德安县科创中心</v>
          </cell>
        </row>
        <row r="477">
          <cell r="D477">
            <v>46066</v>
          </cell>
        </row>
        <row r="477">
          <cell r="H477" t="str">
            <v>项目-劳务费</v>
          </cell>
        </row>
        <row r="477">
          <cell r="K477">
            <v>15775</v>
          </cell>
        </row>
        <row r="477">
          <cell r="M477" t="str">
            <v>德安县养老中心</v>
          </cell>
        </row>
        <row r="478">
          <cell r="D478">
            <v>46066</v>
          </cell>
        </row>
        <row r="478">
          <cell r="H478" t="str">
            <v>项目-劳务费</v>
          </cell>
        </row>
        <row r="478">
          <cell r="K478">
            <v>20464</v>
          </cell>
        </row>
        <row r="478">
          <cell r="M478" t="str">
            <v>德安县养老中心</v>
          </cell>
        </row>
        <row r="479">
          <cell r="D479">
            <v>46066</v>
          </cell>
        </row>
        <row r="479">
          <cell r="H479" t="str">
            <v>项目-劳务费</v>
          </cell>
        </row>
        <row r="479">
          <cell r="K479">
            <v>3440</v>
          </cell>
        </row>
        <row r="479">
          <cell r="M479" t="str">
            <v>德安县养老中心</v>
          </cell>
        </row>
        <row r="480">
          <cell r="D480">
            <v>46066</v>
          </cell>
        </row>
        <row r="480">
          <cell r="H480" t="str">
            <v>项目-劳务费</v>
          </cell>
        </row>
        <row r="480">
          <cell r="K480">
            <v>10030</v>
          </cell>
        </row>
        <row r="480">
          <cell r="M480" t="str">
            <v>德安县养老中心</v>
          </cell>
        </row>
        <row r="481">
          <cell r="D481">
            <v>46066</v>
          </cell>
        </row>
        <row r="481">
          <cell r="H481" t="str">
            <v>项目-劳务费</v>
          </cell>
        </row>
        <row r="481">
          <cell r="K481">
            <v>13710</v>
          </cell>
        </row>
        <row r="481">
          <cell r="M481" t="str">
            <v>德安县养老中心</v>
          </cell>
        </row>
        <row r="482">
          <cell r="D482">
            <v>46066</v>
          </cell>
        </row>
        <row r="482">
          <cell r="H482" t="str">
            <v>项目-劳务费</v>
          </cell>
        </row>
        <row r="482">
          <cell r="K482">
            <v>18400</v>
          </cell>
        </row>
        <row r="482">
          <cell r="M482" t="str">
            <v>德安县养老中心</v>
          </cell>
        </row>
        <row r="483">
          <cell r="D483">
            <v>46066</v>
          </cell>
        </row>
        <row r="483">
          <cell r="H483" t="str">
            <v>项目-劳务费</v>
          </cell>
        </row>
        <row r="483">
          <cell r="K483">
            <v>16210</v>
          </cell>
        </row>
        <row r="483">
          <cell r="M483" t="str">
            <v>德安县养老中心</v>
          </cell>
        </row>
        <row r="484">
          <cell r="D484">
            <v>46066</v>
          </cell>
        </row>
        <row r="484">
          <cell r="H484" t="str">
            <v>项目-劳务费</v>
          </cell>
        </row>
        <row r="484">
          <cell r="K484">
            <v>15595</v>
          </cell>
        </row>
        <row r="484">
          <cell r="M484" t="str">
            <v>德安县科创中心</v>
          </cell>
        </row>
        <row r="485">
          <cell r="D485">
            <v>46066</v>
          </cell>
        </row>
        <row r="485">
          <cell r="H485" t="str">
            <v>项目-劳务费</v>
          </cell>
        </row>
        <row r="485">
          <cell r="K485">
            <v>34800</v>
          </cell>
        </row>
        <row r="485">
          <cell r="M485" t="str">
            <v>德安县科创中心</v>
          </cell>
        </row>
        <row r="486">
          <cell r="D486">
            <v>46066</v>
          </cell>
        </row>
        <row r="486">
          <cell r="H486" t="str">
            <v>项目-劳务费</v>
          </cell>
        </row>
        <row r="486">
          <cell r="K486">
            <v>34075</v>
          </cell>
        </row>
        <row r="486">
          <cell r="M486" t="str">
            <v>德安县养老中心</v>
          </cell>
        </row>
        <row r="487">
          <cell r="D487">
            <v>46066</v>
          </cell>
        </row>
        <row r="487">
          <cell r="H487" t="str">
            <v>项目-劳务费</v>
          </cell>
        </row>
        <row r="487">
          <cell r="K487">
            <v>4226</v>
          </cell>
        </row>
        <row r="487">
          <cell r="M487" t="str">
            <v>德安县养老中心</v>
          </cell>
        </row>
        <row r="488">
          <cell r="D488">
            <v>46066</v>
          </cell>
        </row>
        <row r="488">
          <cell r="H488" t="str">
            <v>项目-劳务费</v>
          </cell>
        </row>
        <row r="488">
          <cell r="K488">
            <v>2830</v>
          </cell>
        </row>
        <row r="488">
          <cell r="M488" t="str">
            <v>德安县科创中心</v>
          </cell>
        </row>
        <row r="489">
          <cell r="D489">
            <v>46066</v>
          </cell>
        </row>
        <row r="489">
          <cell r="H489" t="str">
            <v>项目-劳务费</v>
          </cell>
        </row>
        <row r="489">
          <cell r="K489">
            <v>16935</v>
          </cell>
        </row>
        <row r="489">
          <cell r="M489" t="str">
            <v>德安县科创中心</v>
          </cell>
        </row>
        <row r="490">
          <cell r="D490">
            <v>46066</v>
          </cell>
        </row>
        <row r="490">
          <cell r="H490" t="str">
            <v>项目-劳务费</v>
          </cell>
        </row>
        <row r="490">
          <cell r="K490">
            <v>16144</v>
          </cell>
        </row>
        <row r="490">
          <cell r="M490" t="str">
            <v>德安县科创中心</v>
          </cell>
        </row>
        <row r="491">
          <cell r="D491">
            <v>46066</v>
          </cell>
        </row>
        <row r="491">
          <cell r="H491" t="str">
            <v>项目-劳务费</v>
          </cell>
        </row>
        <row r="491">
          <cell r="K491">
            <v>12225</v>
          </cell>
        </row>
        <row r="491">
          <cell r="M491" t="str">
            <v>德安县科创中心</v>
          </cell>
        </row>
        <row r="492">
          <cell r="D492">
            <v>46066</v>
          </cell>
        </row>
        <row r="492">
          <cell r="H492" t="str">
            <v>项目-劳务费</v>
          </cell>
        </row>
        <row r="492">
          <cell r="K492">
            <v>48500</v>
          </cell>
        </row>
        <row r="492">
          <cell r="M492" t="str">
            <v>德安县科创中心</v>
          </cell>
        </row>
        <row r="493">
          <cell r="D493">
            <v>46066</v>
          </cell>
        </row>
        <row r="493">
          <cell r="H493" t="str">
            <v>项目-劳务费</v>
          </cell>
        </row>
        <row r="493">
          <cell r="K493">
            <v>7250</v>
          </cell>
        </row>
        <row r="493">
          <cell r="M493" t="str">
            <v>德安县养老中心</v>
          </cell>
        </row>
        <row r="494">
          <cell r="D494">
            <v>46066</v>
          </cell>
        </row>
        <row r="494">
          <cell r="H494" t="str">
            <v>项目-劳务费</v>
          </cell>
        </row>
        <row r="494">
          <cell r="K494">
            <v>9460</v>
          </cell>
        </row>
        <row r="494">
          <cell r="M494" t="str">
            <v>德安县科创中心</v>
          </cell>
        </row>
        <row r="495">
          <cell r="D495">
            <v>46066</v>
          </cell>
        </row>
        <row r="495">
          <cell r="H495" t="str">
            <v>项目-劳务费</v>
          </cell>
        </row>
        <row r="495">
          <cell r="K495">
            <v>16995</v>
          </cell>
        </row>
        <row r="495">
          <cell r="M495" t="str">
            <v>德安县养老中心</v>
          </cell>
        </row>
        <row r="496">
          <cell r="D496">
            <v>46066</v>
          </cell>
        </row>
        <row r="496">
          <cell r="H496" t="str">
            <v>项目-劳务费</v>
          </cell>
        </row>
        <row r="496">
          <cell r="K496">
            <v>-16995</v>
          </cell>
        </row>
        <row r="496">
          <cell r="M496" t="str">
            <v>德安县养老中心</v>
          </cell>
        </row>
        <row r="497">
          <cell r="D497">
            <v>46066</v>
          </cell>
        </row>
        <row r="497">
          <cell r="H497" t="str">
            <v>项目-劳务费</v>
          </cell>
        </row>
        <row r="497">
          <cell r="K497">
            <v>16995</v>
          </cell>
        </row>
        <row r="497">
          <cell r="M497" t="str">
            <v>德安县养老中心</v>
          </cell>
        </row>
        <row r="498">
          <cell r="D498">
            <v>46066</v>
          </cell>
        </row>
        <row r="498">
          <cell r="H498" t="str">
            <v>项目-劳务费</v>
          </cell>
        </row>
        <row r="498">
          <cell r="K498">
            <v>-16995</v>
          </cell>
        </row>
        <row r="498">
          <cell r="M498" t="str">
            <v>德安县养老中心</v>
          </cell>
        </row>
        <row r="499">
          <cell r="D499">
            <v>46067</v>
          </cell>
        </row>
        <row r="499">
          <cell r="H499" t="str">
            <v>工程款</v>
          </cell>
        </row>
        <row r="499">
          <cell r="J499">
            <v>227000</v>
          </cell>
        </row>
        <row r="499">
          <cell r="M499" t="str">
            <v>德安县数字产业园</v>
          </cell>
        </row>
        <row r="500">
          <cell r="D500">
            <v>46067</v>
          </cell>
        </row>
        <row r="500">
          <cell r="H500" t="str">
            <v>项目-分包</v>
          </cell>
        </row>
        <row r="500">
          <cell r="K500">
            <v>10000</v>
          </cell>
        </row>
        <row r="500">
          <cell r="M500" t="str">
            <v>德安县养老中心</v>
          </cell>
        </row>
        <row r="501">
          <cell r="D501">
            <v>46067</v>
          </cell>
        </row>
        <row r="501">
          <cell r="H501" t="str">
            <v>项目-分包</v>
          </cell>
        </row>
        <row r="501">
          <cell r="K501">
            <v>10000</v>
          </cell>
        </row>
        <row r="501">
          <cell r="M501" t="str">
            <v>德安县养老中心</v>
          </cell>
        </row>
        <row r="502">
          <cell r="D502">
            <v>46067</v>
          </cell>
        </row>
        <row r="502">
          <cell r="H502" t="str">
            <v>项目-分包</v>
          </cell>
        </row>
        <row r="502">
          <cell r="K502">
            <v>10000</v>
          </cell>
        </row>
        <row r="502">
          <cell r="M502" t="str">
            <v>德安县养老中心</v>
          </cell>
        </row>
        <row r="503">
          <cell r="D503">
            <v>46067</v>
          </cell>
        </row>
        <row r="503">
          <cell r="H503" t="str">
            <v>项目-材料费</v>
          </cell>
        </row>
        <row r="503">
          <cell r="K503">
            <v>64938.4</v>
          </cell>
        </row>
        <row r="503">
          <cell r="M503" t="str">
            <v>德安县养老中心</v>
          </cell>
        </row>
        <row r="504">
          <cell r="D504">
            <v>46067</v>
          </cell>
        </row>
        <row r="504">
          <cell r="H504" t="str">
            <v>项目-材料费</v>
          </cell>
        </row>
        <row r="504">
          <cell r="K504">
            <v>45061.6</v>
          </cell>
        </row>
        <row r="504">
          <cell r="M504" t="str">
            <v>九安架空层</v>
          </cell>
        </row>
        <row r="505">
          <cell r="D505">
            <v>46067</v>
          </cell>
        </row>
        <row r="505">
          <cell r="H505" t="str">
            <v>项目-材料费</v>
          </cell>
        </row>
        <row r="505">
          <cell r="K505">
            <v>42600</v>
          </cell>
        </row>
        <row r="505">
          <cell r="M505" t="str">
            <v>德安县养老中心</v>
          </cell>
        </row>
        <row r="506">
          <cell r="D506">
            <v>46067</v>
          </cell>
        </row>
        <row r="506">
          <cell r="H506" t="str">
            <v>项目-材料费</v>
          </cell>
        </row>
        <row r="506">
          <cell r="K506">
            <v>20000</v>
          </cell>
        </row>
        <row r="506">
          <cell r="M506" t="str">
            <v>德安县养老中心</v>
          </cell>
        </row>
        <row r="507">
          <cell r="D507">
            <v>46067</v>
          </cell>
        </row>
        <row r="507">
          <cell r="H507" t="str">
            <v>项目-材料费</v>
          </cell>
        </row>
        <row r="507">
          <cell r="K507">
            <v>200000</v>
          </cell>
        </row>
        <row r="507">
          <cell r="M507" t="str">
            <v>德安县科创中心</v>
          </cell>
        </row>
        <row r="508">
          <cell r="D508">
            <v>46067</v>
          </cell>
        </row>
        <row r="508">
          <cell r="H508" t="str">
            <v>项目-材料费</v>
          </cell>
        </row>
        <row r="508">
          <cell r="K508">
            <v>1500</v>
          </cell>
        </row>
        <row r="508">
          <cell r="M508" t="str">
            <v>德安县科创中心</v>
          </cell>
        </row>
        <row r="509">
          <cell r="D509">
            <v>46067</v>
          </cell>
        </row>
        <row r="509">
          <cell r="H509" t="str">
            <v>项目-分包</v>
          </cell>
        </row>
        <row r="509">
          <cell r="K509">
            <v>25000</v>
          </cell>
        </row>
        <row r="509">
          <cell r="M509" t="str">
            <v>德安县数字产业园</v>
          </cell>
        </row>
        <row r="510">
          <cell r="D510">
            <v>46067</v>
          </cell>
        </row>
        <row r="510">
          <cell r="H510" t="str">
            <v>项目-分包</v>
          </cell>
        </row>
        <row r="510">
          <cell r="K510">
            <v>6300</v>
          </cell>
        </row>
        <row r="510">
          <cell r="M510" t="str">
            <v>抚州资溪养老基地1号楼</v>
          </cell>
        </row>
        <row r="511">
          <cell r="D511">
            <v>46067</v>
          </cell>
        </row>
        <row r="511">
          <cell r="H511" t="str">
            <v>项目-分包</v>
          </cell>
        </row>
        <row r="511">
          <cell r="K511">
            <v>6300</v>
          </cell>
        </row>
        <row r="511">
          <cell r="M511" t="str">
            <v>抚州资溪养老基地1号楼</v>
          </cell>
        </row>
        <row r="512">
          <cell r="D512">
            <v>46067</v>
          </cell>
        </row>
        <row r="512">
          <cell r="H512" t="str">
            <v>项目-分包</v>
          </cell>
        </row>
        <row r="512">
          <cell r="K512">
            <v>5520</v>
          </cell>
        </row>
        <row r="512">
          <cell r="M512" t="str">
            <v>抚州资溪养老基地1号楼</v>
          </cell>
        </row>
        <row r="513">
          <cell r="D513">
            <v>46067</v>
          </cell>
        </row>
        <row r="513">
          <cell r="H513" t="str">
            <v>项目-分包</v>
          </cell>
        </row>
        <row r="513">
          <cell r="K513">
            <v>8050</v>
          </cell>
        </row>
        <row r="513">
          <cell r="M513" t="str">
            <v>抚州资溪养老基地1号楼</v>
          </cell>
        </row>
        <row r="514">
          <cell r="D514">
            <v>46067</v>
          </cell>
        </row>
        <row r="514">
          <cell r="H514" t="str">
            <v>项目-分包</v>
          </cell>
        </row>
        <row r="514">
          <cell r="K514">
            <v>3200</v>
          </cell>
        </row>
        <row r="514">
          <cell r="M514" t="str">
            <v>抚州资溪养老基地1号楼</v>
          </cell>
        </row>
        <row r="515">
          <cell r="D515">
            <v>46067</v>
          </cell>
        </row>
        <row r="515">
          <cell r="H515" t="str">
            <v>项目-分包</v>
          </cell>
        </row>
        <row r="515">
          <cell r="K515">
            <v>9975</v>
          </cell>
        </row>
        <row r="515">
          <cell r="M515" t="str">
            <v>抚州资溪养老基地1号楼</v>
          </cell>
        </row>
        <row r="516">
          <cell r="D516">
            <v>46067</v>
          </cell>
        </row>
        <row r="516">
          <cell r="H516" t="str">
            <v>项目-分包</v>
          </cell>
        </row>
        <row r="516">
          <cell r="K516">
            <v>-9975</v>
          </cell>
        </row>
        <row r="516">
          <cell r="M516" t="str">
            <v>抚州资溪养老基地1号楼</v>
          </cell>
        </row>
        <row r="517">
          <cell r="D517">
            <v>46067</v>
          </cell>
        </row>
        <row r="517">
          <cell r="H517" t="str">
            <v>项目-分包</v>
          </cell>
        </row>
        <row r="517">
          <cell r="K517">
            <v>12750</v>
          </cell>
        </row>
        <row r="517">
          <cell r="M517" t="str">
            <v>抚州资溪养老基地1号楼</v>
          </cell>
        </row>
        <row r="518">
          <cell r="D518">
            <v>46067</v>
          </cell>
        </row>
        <row r="518">
          <cell r="H518" t="str">
            <v>项目-分包</v>
          </cell>
        </row>
        <row r="518">
          <cell r="K518">
            <v>28650</v>
          </cell>
        </row>
        <row r="518">
          <cell r="M518" t="str">
            <v>抚州资溪养老基地1号楼</v>
          </cell>
        </row>
        <row r="519">
          <cell r="D519">
            <v>46067</v>
          </cell>
        </row>
        <row r="519">
          <cell r="H519" t="str">
            <v>项目-分包</v>
          </cell>
        </row>
        <row r="519">
          <cell r="K519">
            <v>17025</v>
          </cell>
        </row>
        <row r="519">
          <cell r="M519" t="str">
            <v>抚州资溪养老基地1号楼</v>
          </cell>
        </row>
        <row r="520">
          <cell r="D520">
            <v>46067</v>
          </cell>
        </row>
        <row r="520">
          <cell r="H520" t="str">
            <v>项目-分包</v>
          </cell>
        </row>
        <row r="520">
          <cell r="K520">
            <v>3025</v>
          </cell>
        </row>
        <row r="520">
          <cell r="M520" t="str">
            <v>抚州资溪养老基地1号楼</v>
          </cell>
        </row>
        <row r="521">
          <cell r="D521">
            <v>46067</v>
          </cell>
        </row>
        <row r="521">
          <cell r="H521" t="str">
            <v>项目-分包</v>
          </cell>
        </row>
        <row r="521">
          <cell r="K521">
            <v>8960</v>
          </cell>
        </row>
        <row r="521">
          <cell r="M521" t="str">
            <v>抚州资溪养老基地1号楼</v>
          </cell>
        </row>
        <row r="522">
          <cell r="D522">
            <v>46067</v>
          </cell>
        </row>
        <row r="522">
          <cell r="H522" t="str">
            <v>项目-分包</v>
          </cell>
        </row>
        <row r="522">
          <cell r="K522">
            <v>11250</v>
          </cell>
        </row>
        <row r="522">
          <cell r="M522" t="str">
            <v>抚州资溪养老基地1号楼</v>
          </cell>
        </row>
        <row r="523">
          <cell r="D523">
            <v>46067</v>
          </cell>
        </row>
        <row r="523">
          <cell r="H523" t="str">
            <v>项目-分包</v>
          </cell>
        </row>
        <row r="523">
          <cell r="K523">
            <v>10550</v>
          </cell>
        </row>
        <row r="523">
          <cell r="M523" t="str">
            <v>抚州资溪养老基地1号楼</v>
          </cell>
        </row>
        <row r="524">
          <cell r="D524">
            <v>46067</v>
          </cell>
        </row>
        <row r="524">
          <cell r="H524" t="str">
            <v>项目-分包</v>
          </cell>
        </row>
        <row r="524">
          <cell r="K524">
            <v>-10550</v>
          </cell>
        </row>
        <row r="524">
          <cell r="M524" t="str">
            <v>抚州资溪养老基地1号楼</v>
          </cell>
        </row>
        <row r="525">
          <cell r="D525">
            <v>46067</v>
          </cell>
        </row>
        <row r="525">
          <cell r="H525" t="str">
            <v>项目-分包</v>
          </cell>
        </row>
        <row r="525">
          <cell r="K525">
            <v>10550</v>
          </cell>
        </row>
        <row r="525">
          <cell r="M525" t="str">
            <v>抚州资溪养老基地1号楼</v>
          </cell>
        </row>
        <row r="526">
          <cell r="D526">
            <v>46067</v>
          </cell>
        </row>
        <row r="526">
          <cell r="H526" t="str">
            <v>项目-分包</v>
          </cell>
        </row>
        <row r="526">
          <cell r="K526">
            <v>3800</v>
          </cell>
        </row>
        <row r="526">
          <cell r="M526" t="str">
            <v>抚州资溪养老基地1号楼</v>
          </cell>
        </row>
        <row r="527">
          <cell r="D527">
            <v>46067</v>
          </cell>
        </row>
        <row r="527">
          <cell r="H527" t="str">
            <v>项目-分包</v>
          </cell>
        </row>
        <row r="527">
          <cell r="K527">
            <v>21520</v>
          </cell>
        </row>
        <row r="527">
          <cell r="M527" t="str">
            <v>抚州资溪养老基地1号楼</v>
          </cell>
        </row>
        <row r="528">
          <cell r="D528">
            <v>46067</v>
          </cell>
        </row>
        <row r="528">
          <cell r="H528" t="str">
            <v>项目-分包</v>
          </cell>
        </row>
        <row r="528">
          <cell r="K528">
            <v>10885</v>
          </cell>
        </row>
        <row r="528">
          <cell r="M528" t="str">
            <v>抚州资溪养老基地1号楼</v>
          </cell>
        </row>
        <row r="529">
          <cell r="D529">
            <v>46067</v>
          </cell>
        </row>
        <row r="529">
          <cell r="H529" t="str">
            <v>项目-劳务费</v>
          </cell>
        </row>
        <row r="529">
          <cell r="K529">
            <v>7250</v>
          </cell>
        </row>
        <row r="529">
          <cell r="M529" t="str">
            <v>德安县养老中心</v>
          </cell>
        </row>
        <row r="530">
          <cell r="D530">
            <v>46067</v>
          </cell>
        </row>
        <row r="530">
          <cell r="H530" t="str">
            <v>项目-劳务费</v>
          </cell>
        </row>
        <row r="530">
          <cell r="K530">
            <v>28090</v>
          </cell>
        </row>
        <row r="530">
          <cell r="M530" t="str">
            <v>德安县养老中心</v>
          </cell>
        </row>
        <row r="531">
          <cell r="D531">
            <v>46067</v>
          </cell>
        </row>
        <row r="531">
          <cell r="H531" t="str">
            <v>项目-劳务费</v>
          </cell>
        </row>
        <row r="531">
          <cell r="K531">
            <v>19602</v>
          </cell>
        </row>
        <row r="531">
          <cell r="M531" t="str">
            <v>德安县养老中心</v>
          </cell>
        </row>
        <row r="532">
          <cell r="D532">
            <v>46067</v>
          </cell>
        </row>
        <row r="532">
          <cell r="H532" t="str">
            <v>项目-劳务费</v>
          </cell>
        </row>
        <row r="532">
          <cell r="K532">
            <v>38240</v>
          </cell>
        </row>
        <row r="532">
          <cell r="M532" t="str">
            <v>德安县养老中心</v>
          </cell>
        </row>
        <row r="533">
          <cell r="D533">
            <v>46067</v>
          </cell>
        </row>
        <row r="533">
          <cell r="H533" t="str">
            <v>项目-劳务费</v>
          </cell>
        </row>
        <row r="533">
          <cell r="K533">
            <v>30755</v>
          </cell>
        </row>
        <row r="533">
          <cell r="M533" t="str">
            <v>德安县养老中心</v>
          </cell>
        </row>
        <row r="534">
          <cell r="D534">
            <v>46067</v>
          </cell>
        </row>
        <row r="534">
          <cell r="H534" t="str">
            <v>项目-劳务费</v>
          </cell>
        </row>
        <row r="534">
          <cell r="K534">
            <v>3510</v>
          </cell>
        </row>
        <row r="534">
          <cell r="M534" t="str">
            <v>德安县养老中心</v>
          </cell>
        </row>
        <row r="535">
          <cell r="D535">
            <v>46067</v>
          </cell>
        </row>
        <row r="535">
          <cell r="H535" t="str">
            <v>项目-劳务费</v>
          </cell>
        </row>
        <row r="535">
          <cell r="K535">
            <v>24150</v>
          </cell>
        </row>
        <row r="535">
          <cell r="M535" t="str">
            <v>抚州资溪养老基地1号楼</v>
          </cell>
        </row>
        <row r="536">
          <cell r="D536">
            <v>46067</v>
          </cell>
        </row>
        <row r="536">
          <cell r="H536" t="str">
            <v>项目-材料费</v>
          </cell>
        </row>
        <row r="536">
          <cell r="K536">
            <v>200000</v>
          </cell>
        </row>
        <row r="537">
          <cell r="D537">
            <v>46067</v>
          </cell>
        </row>
        <row r="537">
          <cell r="H537" t="str">
            <v>项目-材料费</v>
          </cell>
        </row>
        <row r="537">
          <cell r="K537">
            <v>100000</v>
          </cell>
        </row>
        <row r="538">
          <cell r="D538">
            <v>46067</v>
          </cell>
        </row>
        <row r="538">
          <cell r="H538" t="str">
            <v>项目-材料费</v>
          </cell>
        </row>
        <row r="538">
          <cell r="K538">
            <v>120000</v>
          </cell>
        </row>
        <row r="539">
          <cell r="D539">
            <v>46067</v>
          </cell>
        </row>
        <row r="539">
          <cell r="H539" t="str">
            <v>项目-材料费</v>
          </cell>
        </row>
        <row r="539">
          <cell r="K539">
            <v>-280000</v>
          </cell>
        </row>
        <row r="540">
          <cell r="D540">
            <v>46068</v>
          </cell>
        </row>
        <row r="540">
          <cell r="H540" t="str">
            <v>项目-材料费</v>
          </cell>
        </row>
        <row r="540">
          <cell r="K540">
            <v>-40000</v>
          </cell>
        </row>
        <row r="543">
          <cell r="D543">
            <v>46067</v>
          </cell>
        </row>
        <row r="543">
          <cell r="H543" t="str">
            <v>工程款</v>
          </cell>
        </row>
        <row r="543">
          <cell r="J543">
            <v>250000</v>
          </cell>
        </row>
        <row r="544">
          <cell r="D544">
            <v>46067</v>
          </cell>
        </row>
        <row r="544">
          <cell r="H544" t="str">
            <v>项目-劳务费</v>
          </cell>
        </row>
        <row r="544">
          <cell r="K544">
            <v>42533.7</v>
          </cell>
        </row>
        <row r="544">
          <cell r="M544" t="str">
            <v>德安县养老中心</v>
          </cell>
        </row>
        <row r="545">
          <cell r="D545">
            <v>46067</v>
          </cell>
        </row>
        <row r="545">
          <cell r="H545" t="str">
            <v>项目-劳务费</v>
          </cell>
        </row>
        <row r="545">
          <cell r="K545">
            <v>44950</v>
          </cell>
        </row>
        <row r="545">
          <cell r="M545" t="str">
            <v>德安县养老中心</v>
          </cell>
        </row>
        <row r="546">
          <cell r="D546">
            <v>46067</v>
          </cell>
        </row>
        <row r="546">
          <cell r="H546" t="str">
            <v>项目-劳务费</v>
          </cell>
        </row>
        <row r="546">
          <cell r="K546">
            <v>65925</v>
          </cell>
        </row>
        <row r="546">
          <cell r="M546" t="str">
            <v>德安县养老中心</v>
          </cell>
        </row>
        <row r="547">
          <cell r="D547">
            <v>46067</v>
          </cell>
        </row>
        <row r="547">
          <cell r="H547" t="str">
            <v>项目-劳务费</v>
          </cell>
        </row>
        <row r="547">
          <cell r="K547">
            <v>47551.3</v>
          </cell>
        </row>
        <row r="547">
          <cell r="M547" t="str">
            <v>德安县养老中心</v>
          </cell>
        </row>
        <row r="548">
          <cell r="D548">
            <v>46067</v>
          </cell>
        </row>
        <row r="548">
          <cell r="H548" t="str">
            <v>项目-劳务费</v>
          </cell>
        </row>
        <row r="548">
          <cell r="K548">
            <v>41320</v>
          </cell>
        </row>
        <row r="548">
          <cell r="M548" t="str">
            <v>德安县养老中心</v>
          </cell>
        </row>
        <row r="549">
          <cell r="D549">
            <v>46067</v>
          </cell>
        </row>
        <row r="549">
          <cell r="H549" t="str">
            <v>项目-劳务费</v>
          </cell>
        </row>
        <row r="549">
          <cell r="K549">
            <v>2520</v>
          </cell>
        </row>
        <row r="549">
          <cell r="M549" t="str">
            <v>德安县养老中心</v>
          </cell>
        </row>
        <row r="550">
          <cell r="D550">
            <v>46067</v>
          </cell>
        </row>
        <row r="550">
          <cell r="H550" t="str">
            <v>项目-劳务费</v>
          </cell>
        </row>
        <row r="550">
          <cell r="K550">
            <v>980</v>
          </cell>
        </row>
        <row r="550">
          <cell r="M550" t="str">
            <v>德安县养老中心</v>
          </cell>
        </row>
        <row r="551">
          <cell r="D551">
            <v>46067</v>
          </cell>
        </row>
        <row r="551">
          <cell r="H551" t="str">
            <v>项目-劳务费</v>
          </cell>
        </row>
        <row r="551">
          <cell r="K551">
            <v>220</v>
          </cell>
        </row>
        <row r="551">
          <cell r="M551" t="str">
            <v>德安县养老中心</v>
          </cell>
        </row>
        <row r="552">
          <cell r="D552">
            <v>46067</v>
          </cell>
        </row>
        <row r="552">
          <cell r="H552" t="str">
            <v>项目-劳务费</v>
          </cell>
        </row>
        <row r="552">
          <cell r="K552">
            <v>2280</v>
          </cell>
        </row>
        <row r="552">
          <cell r="M552" t="str">
            <v>德安县养老中心</v>
          </cell>
        </row>
        <row r="553">
          <cell r="D553">
            <v>46067</v>
          </cell>
        </row>
        <row r="553">
          <cell r="H553" t="str">
            <v>项目-劳务费</v>
          </cell>
        </row>
        <row r="553">
          <cell r="K553">
            <v>320</v>
          </cell>
        </row>
        <row r="553">
          <cell r="M553" t="str">
            <v>德安县养老中心</v>
          </cell>
        </row>
        <row r="554">
          <cell r="D554">
            <v>46067</v>
          </cell>
        </row>
        <row r="554">
          <cell r="H554" t="str">
            <v>项目-劳务费</v>
          </cell>
        </row>
        <row r="554">
          <cell r="K554">
            <v>1400</v>
          </cell>
        </row>
        <row r="554">
          <cell r="M554" t="str">
            <v>德安县养老中心</v>
          </cell>
        </row>
        <row r="559">
          <cell r="D559">
            <v>46068</v>
          </cell>
        </row>
        <row r="559">
          <cell r="H559" t="str">
            <v>项目-劳务费</v>
          </cell>
        </row>
        <row r="559">
          <cell r="K559">
            <v>12075</v>
          </cell>
        </row>
        <row r="559">
          <cell r="M559" t="str">
            <v>德安县养老中心</v>
          </cell>
        </row>
        <row r="560">
          <cell r="D560">
            <v>46068</v>
          </cell>
        </row>
        <row r="560">
          <cell r="H560" t="str">
            <v>项目-劳务费</v>
          </cell>
        </row>
        <row r="560">
          <cell r="K560">
            <v>40400</v>
          </cell>
        </row>
        <row r="560">
          <cell r="M560" t="str">
            <v>德安县科创中心</v>
          </cell>
        </row>
        <row r="561">
          <cell r="D561">
            <v>46068</v>
          </cell>
        </row>
        <row r="561">
          <cell r="H561" t="str">
            <v>项目-劳务费</v>
          </cell>
        </row>
        <row r="561">
          <cell r="K561">
            <v>33920</v>
          </cell>
        </row>
        <row r="561">
          <cell r="M561" t="str">
            <v>德安县养老中心</v>
          </cell>
        </row>
        <row r="562">
          <cell r="D562">
            <v>46068</v>
          </cell>
        </row>
        <row r="562">
          <cell r="H562" t="str">
            <v>项目-劳务费</v>
          </cell>
        </row>
        <row r="562">
          <cell r="K562">
            <v>31346</v>
          </cell>
        </row>
        <row r="562">
          <cell r="M562" t="str">
            <v>德安县科创中心</v>
          </cell>
        </row>
        <row r="563">
          <cell r="D563">
            <v>46068</v>
          </cell>
        </row>
        <row r="563">
          <cell r="H563" t="str">
            <v>项目-劳务费</v>
          </cell>
        </row>
        <row r="563">
          <cell r="K563">
            <v>6250</v>
          </cell>
        </row>
        <row r="563">
          <cell r="M563" t="str">
            <v>德安县科创中心</v>
          </cell>
        </row>
        <row r="564">
          <cell r="D564">
            <v>46068</v>
          </cell>
        </row>
        <row r="564">
          <cell r="H564" t="str">
            <v>项目-劳务费</v>
          </cell>
        </row>
        <row r="564">
          <cell r="K564">
            <v>-6250</v>
          </cell>
        </row>
        <row r="564">
          <cell r="M564" t="str">
            <v>德安县科创中心</v>
          </cell>
        </row>
        <row r="565">
          <cell r="D565">
            <v>46068</v>
          </cell>
        </row>
        <row r="565">
          <cell r="H565" t="str">
            <v>项目-期间费</v>
          </cell>
        </row>
        <row r="565">
          <cell r="K565">
            <v>4740</v>
          </cell>
        </row>
        <row r="565">
          <cell r="M565" t="str">
            <v>抚州资溪养老基地1号楼</v>
          </cell>
        </row>
        <row r="566">
          <cell r="D566">
            <v>46068</v>
          </cell>
        </row>
        <row r="566">
          <cell r="H566" t="str">
            <v>项目-分包</v>
          </cell>
        </row>
        <row r="566">
          <cell r="K566">
            <v>9975</v>
          </cell>
        </row>
        <row r="566">
          <cell r="M566" t="str">
            <v>抚州资溪养老基地1号楼</v>
          </cell>
        </row>
        <row r="567">
          <cell r="D567">
            <v>46068</v>
          </cell>
        </row>
        <row r="567">
          <cell r="H567" t="str">
            <v>项目-分包</v>
          </cell>
        </row>
        <row r="567">
          <cell r="K567">
            <v>10550</v>
          </cell>
        </row>
        <row r="567">
          <cell r="M567" t="str">
            <v>抚州资溪养老基地1号楼</v>
          </cell>
        </row>
        <row r="568">
          <cell r="D568">
            <v>46068</v>
          </cell>
        </row>
        <row r="568">
          <cell r="H568" t="str">
            <v>项目-分包</v>
          </cell>
        </row>
        <row r="568">
          <cell r="K568">
            <v>5250</v>
          </cell>
        </row>
        <row r="568">
          <cell r="M568" t="str">
            <v>抚州资溪养老基地1号楼</v>
          </cell>
        </row>
        <row r="569">
          <cell r="D569">
            <v>46068</v>
          </cell>
        </row>
        <row r="569">
          <cell r="H569" t="str">
            <v>项目-劳务费</v>
          </cell>
        </row>
        <row r="569">
          <cell r="K569">
            <v>6250</v>
          </cell>
        </row>
        <row r="569">
          <cell r="M569" t="str">
            <v>德安县科创中心</v>
          </cell>
        </row>
        <row r="570">
          <cell r="D570">
            <v>46068</v>
          </cell>
        </row>
        <row r="570">
          <cell r="H570" t="str">
            <v>项目-分包</v>
          </cell>
        </row>
        <row r="570">
          <cell r="K570">
            <v>4000</v>
          </cell>
        </row>
        <row r="570">
          <cell r="M570" t="str">
            <v>德安县养老中心</v>
          </cell>
        </row>
        <row r="571">
          <cell r="D571">
            <v>46068</v>
          </cell>
        </row>
        <row r="571">
          <cell r="H571" t="str">
            <v>项目-分包</v>
          </cell>
        </row>
        <row r="571">
          <cell r="K571">
            <v>4500</v>
          </cell>
        </row>
        <row r="571">
          <cell r="M571" t="str">
            <v>德安县养老中心</v>
          </cell>
        </row>
        <row r="572">
          <cell r="D572">
            <v>46068</v>
          </cell>
        </row>
        <row r="572">
          <cell r="H572" t="str">
            <v>项目-分包</v>
          </cell>
        </row>
        <row r="572">
          <cell r="K572">
            <v>4500</v>
          </cell>
        </row>
        <row r="572">
          <cell r="M572" t="str">
            <v>德安县养老中心</v>
          </cell>
        </row>
        <row r="573">
          <cell r="D573">
            <v>46068</v>
          </cell>
        </row>
        <row r="573">
          <cell r="H573" t="str">
            <v>项目-分包</v>
          </cell>
        </row>
        <row r="573">
          <cell r="K573">
            <v>3000</v>
          </cell>
        </row>
        <row r="573">
          <cell r="M573" t="str">
            <v>德安县养老中心</v>
          </cell>
        </row>
        <row r="574">
          <cell r="D574">
            <v>46068</v>
          </cell>
        </row>
        <row r="574">
          <cell r="H574" t="str">
            <v>项目-分包</v>
          </cell>
        </row>
        <row r="574">
          <cell r="K574">
            <v>4500</v>
          </cell>
        </row>
        <row r="574">
          <cell r="M574" t="str">
            <v>德安县养老中心</v>
          </cell>
        </row>
        <row r="575">
          <cell r="D575">
            <v>46068</v>
          </cell>
        </row>
        <row r="575">
          <cell r="H575" t="str">
            <v>项目-分包</v>
          </cell>
        </row>
        <row r="575">
          <cell r="K575">
            <v>4500</v>
          </cell>
        </row>
        <row r="575">
          <cell r="M575" t="str">
            <v>德安县养老中心</v>
          </cell>
        </row>
        <row r="576">
          <cell r="D576">
            <v>46068</v>
          </cell>
        </row>
        <row r="576">
          <cell r="H576" t="str">
            <v>项目-劳务费</v>
          </cell>
        </row>
        <row r="576">
          <cell r="K576">
            <v>4550</v>
          </cell>
        </row>
        <row r="576">
          <cell r="M576" t="str">
            <v>德安县科创中心</v>
          </cell>
        </row>
        <row r="577">
          <cell r="D577">
            <v>46068</v>
          </cell>
        </row>
        <row r="577">
          <cell r="H577" t="str">
            <v>项目-劳务费</v>
          </cell>
        </row>
        <row r="577">
          <cell r="K577">
            <v>4550</v>
          </cell>
        </row>
        <row r="577">
          <cell r="M577" t="str">
            <v>德安县科创中心</v>
          </cell>
        </row>
        <row r="578">
          <cell r="D578">
            <v>46068</v>
          </cell>
        </row>
        <row r="578">
          <cell r="H578" t="str">
            <v>项目-劳务费</v>
          </cell>
        </row>
        <row r="578">
          <cell r="K578">
            <v>4550</v>
          </cell>
        </row>
        <row r="578">
          <cell r="M578" t="str">
            <v>德安县科创中心</v>
          </cell>
        </row>
        <row r="579">
          <cell r="D579">
            <v>46068</v>
          </cell>
        </row>
        <row r="579">
          <cell r="H579" t="str">
            <v>项目-劳务费</v>
          </cell>
        </row>
        <row r="579">
          <cell r="K579">
            <v>4200</v>
          </cell>
        </row>
        <row r="579">
          <cell r="M579" t="str">
            <v>德安县科创中心</v>
          </cell>
        </row>
        <row r="580">
          <cell r="D580">
            <v>46068</v>
          </cell>
        </row>
        <row r="580">
          <cell r="H580" t="str">
            <v>项目-劳务费</v>
          </cell>
        </row>
        <row r="580">
          <cell r="K580">
            <v>12000</v>
          </cell>
        </row>
        <row r="580">
          <cell r="M580" t="str">
            <v>德安县数字产业园</v>
          </cell>
        </row>
        <row r="581">
          <cell r="D581">
            <v>46068</v>
          </cell>
        </row>
        <row r="581">
          <cell r="H581" t="str">
            <v>项目-劳务费</v>
          </cell>
        </row>
        <row r="581">
          <cell r="K581">
            <v>4950</v>
          </cell>
        </row>
        <row r="581">
          <cell r="M581" t="str">
            <v>德安县养老中心</v>
          </cell>
        </row>
        <row r="582">
          <cell r="D582">
            <v>46068</v>
          </cell>
        </row>
        <row r="582">
          <cell r="H582" t="str">
            <v>项目-劳务费</v>
          </cell>
        </row>
        <row r="582">
          <cell r="K582">
            <v>5000</v>
          </cell>
        </row>
        <row r="582">
          <cell r="M582" t="str">
            <v>德安县养老中心</v>
          </cell>
        </row>
        <row r="583">
          <cell r="D583">
            <v>46068</v>
          </cell>
        </row>
        <row r="583">
          <cell r="H583" t="str">
            <v>项目-劳务费</v>
          </cell>
        </row>
        <row r="583">
          <cell r="K583">
            <v>26500</v>
          </cell>
        </row>
        <row r="583">
          <cell r="M583" t="str">
            <v>德安县养老中心</v>
          </cell>
        </row>
        <row r="584">
          <cell r="D584">
            <v>46068</v>
          </cell>
        </row>
        <row r="584">
          <cell r="H584" t="str">
            <v>项目-材料费</v>
          </cell>
        </row>
        <row r="584">
          <cell r="K584">
            <v>1364.5</v>
          </cell>
        </row>
        <row r="584">
          <cell r="M584" t="str">
            <v>德安县养老中心</v>
          </cell>
        </row>
        <row r="585">
          <cell r="D585">
            <v>46068</v>
          </cell>
        </row>
        <row r="585">
          <cell r="H585" t="str">
            <v>项目-劳务费</v>
          </cell>
        </row>
        <row r="585">
          <cell r="K585">
            <v>4440</v>
          </cell>
        </row>
        <row r="585">
          <cell r="M585" t="str">
            <v>德安县科创中心</v>
          </cell>
        </row>
        <row r="586">
          <cell r="D586">
            <v>46068</v>
          </cell>
        </row>
        <row r="586">
          <cell r="H586" t="str">
            <v>项目-劳务费</v>
          </cell>
        </row>
        <row r="586">
          <cell r="K586">
            <v>2580</v>
          </cell>
        </row>
        <row r="586">
          <cell r="M586" t="str">
            <v>德安县科创中心</v>
          </cell>
        </row>
        <row r="587">
          <cell r="D587">
            <v>46068</v>
          </cell>
        </row>
        <row r="587">
          <cell r="H587" t="str">
            <v>个人借款-聂辉</v>
          </cell>
        </row>
        <row r="587">
          <cell r="K587">
            <v>-100000</v>
          </cell>
        </row>
        <row r="587">
          <cell r="M587" t="str">
            <v>个人借款</v>
          </cell>
        </row>
        <row r="588">
          <cell r="D588">
            <v>46068</v>
          </cell>
        </row>
        <row r="588">
          <cell r="H588" t="str">
            <v>项目-劳务费</v>
          </cell>
        </row>
        <row r="588">
          <cell r="K588">
            <v>6000</v>
          </cell>
        </row>
        <row r="588">
          <cell r="M588" t="str">
            <v>德安县数字产业园</v>
          </cell>
        </row>
        <row r="589">
          <cell r="D589">
            <v>46068</v>
          </cell>
        </row>
        <row r="589">
          <cell r="H589" t="str">
            <v>项目-劳务费</v>
          </cell>
        </row>
        <row r="589">
          <cell r="K589">
            <v>10650</v>
          </cell>
        </row>
        <row r="589">
          <cell r="M589" t="str">
            <v>德安县科创中心</v>
          </cell>
        </row>
        <row r="590">
          <cell r="D590">
            <v>46068</v>
          </cell>
        </row>
        <row r="590">
          <cell r="H590" t="str">
            <v>项目-劳务费</v>
          </cell>
        </row>
        <row r="590">
          <cell r="K590">
            <v>9600</v>
          </cell>
        </row>
        <row r="590">
          <cell r="M590" t="str">
            <v>德安县科创中心</v>
          </cell>
        </row>
        <row r="591">
          <cell r="D591">
            <v>46068</v>
          </cell>
        </row>
        <row r="591">
          <cell r="H591" t="str">
            <v>项目-劳务费</v>
          </cell>
        </row>
        <row r="591">
          <cell r="K591">
            <v>13650</v>
          </cell>
        </row>
        <row r="591">
          <cell r="M591" t="str">
            <v>德安县科创中心</v>
          </cell>
        </row>
        <row r="592">
          <cell r="D592">
            <v>46068</v>
          </cell>
        </row>
        <row r="592">
          <cell r="H592" t="str">
            <v>项目-劳务费</v>
          </cell>
        </row>
        <row r="592">
          <cell r="K592">
            <v>13650</v>
          </cell>
        </row>
        <row r="592">
          <cell r="M592" t="str">
            <v>德安县科创中心</v>
          </cell>
        </row>
        <row r="593">
          <cell r="D593">
            <v>46068</v>
          </cell>
        </row>
        <row r="593">
          <cell r="H593" t="str">
            <v>项目-分包</v>
          </cell>
        </row>
        <row r="593">
          <cell r="K593">
            <v>10000</v>
          </cell>
        </row>
        <row r="593">
          <cell r="M593" t="str">
            <v>德安县数字产业园</v>
          </cell>
        </row>
        <row r="594">
          <cell r="D594">
            <v>46068</v>
          </cell>
        </row>
        <row r="594">
          <cell r="H594" t="str">
            <v>项目-劳务费</v>
          </cell>
        </row>
        <row r="594">
          <cell r="K594">
            <v>800</v>
          </cell>
        </row>
        <row r="594">
          <cell r="M594" t="str">
            <v>德安县养老中心</v>
          </cell>
        </row>
        <row r="595">
          <cell r="D595">
            <v>46068</v>
          </cell>
        </row>
        <row r="595">
          <cell r="H595" t="str">
            <v>项目-劳务费</v>
          </cell>
        </row>
        <row r="595">
          <cell r="K595">
            <v>3300</v>
          </cell>
        </row>
        <row r="595">
          <cell r="M595" t="str">
            <v>德安县科创中心</v>
          </cell>
        </row>
        <row r="596">
          <cell r="D596">
            <v>46068</v>
          </cell>
        </row>
        <row r="596">
          <cell r="H596" t="str">
            <v>项目-劳务费</v>
          </cell>
        </row>
        <row r="596">
          <cell r="K596">
            <v>16995</v>
          </cell>
        </row>
        <row r="596">
          <cell r="M596" t="str">
            <v>德安县养老中心</v>
          </cell>
        </row>
        <row r="597">
          <cell r="D597">
            <v>46068</v>
          </cell>
        </row>
        <row r="597">
          <cell r="H597" t="str">
            <v>项目-劳务费</v>
          </cell>
        </row>
        <row r="597">
          <cell r="K597">
            <v>16654</v>
          </cell>
        </row>
        <row r="597">
          <cell r="M597" t="str">
            <v>德安县养老中心</v>
          </cell>
        </row>
        <row r="598">
          <cell r="D598">
            <v>46068</v>
          </cell>
        </row>
        <row r="598">
          <cell r="H598" t="str">
            <v>办公室-办公费</v>
          </cell>
        </row>
        <row r="598">
          <cell r="K598">
            <v>800</v>
          </cell>
        </row>
        <row r="599">
          <cell r="D599">
            <v>46068</v>
          </cell>
        </row>
        <row r="599">
          <cell r="H599" t="str">
            <v>项目-机械费</v>
          </cell>
        </row>
        <row r="599">
          <cell r="K599">
            <v>3100</v>
          </cell>
        </row>
        <row r="599">
          <cell r="M599" t="str">
            <v>抚州资溪养老基地1号楼</v>
          </cell>
        </row>
        <row r="600">
          <cell r="D600">
            <v>46069</v>
          </cell>
        </row>
        <row r="600">
          <cell r="H600" t="str">
            <v>个人借款-聂辉</v>
          </cell>
        </row>
        <row r="600">
          <cell r="K600">
            <v>-30000</v>
          </cell>
        </row>
        <row r="600">
          <cell r="M600" t="str">
            <v>个人借款</v>
          </cell>
        </row>
        <row r="601">
          <cell r="D601">
            <v>46069</v>
          </cell>
        </row>
        <row r="601">
          <cell r="H601" t="str">
            <v>项目-劳务费</v>
          </cell>
        </row>
        <row r="601">
          <cell r="K601">
            <v>24340</v>
          </cell>
        </row>
        <row r="601">
          <cell r="M601" t="str">
            <v>德安县养老中心</v>
          </cell>
        </row>
        <row r="602">
          <cell r="D602">
            <v>46069</v>
          </cell>
        </row>
        <row r="602">
          <cell r="H602" t="str">
            <v>项目-材料费</v>
          </cell>
        </row>
        <row r="602">
          <cell r="K602">
            <v>5673</v>
          </cell>
        </row>
        <row r="602">
          <cell r="M602" t="str">
            <v>德安县养老中心</v>
          </cell>
        </row>
        <row r="603">
          <cell r="D603">
            <v>46085</v>
          </cell>
        </row>
        <row r="603">
          <cell r="H603" t="str">
            <v>个人借款-聂辉</v>
          </cell>
        </row>
        <row r="603">
          <cell r="K603">
            <v>-5000</v>
          </cell>
        </row>
        <row r="603">
          <cell r="M603" t="str">
            <v>个人借款</v>
          </cell>
        </row>
        <row r="604">
          <cell r="D604">
            <v>46085</v>
          </cell>
        </row>
        <row r="604">
          <cell r="H604" t="str">
            <v>项目-材料费</v>
          </cell>
        </row>
        <row r="604">
          <cell r="K604">
            <v>7000</v>
          </cell>
        </row>
        <row r="604">
          <cell r="M604" t="str">
            <v>德安县养老中心</v>
          </cell>
        </row>
        <row r="605">
          <cell r="D605">
            <v>46092</v>
          </cell>
        </row>
        <row r="605">
          <cell r="H605" t="str">
            <v>个人借款-聂辉</v>
          </cell>
        </row>
        <row r="605">
          <cell r="K605">
            <v>50000</v>
          </cell>
        </row>
        <row r="605">
          <cell r="M605" t="str">
            <v>个人借款</v>
          </cell>
        </row>
        <row r="606">
          <cell r="D606">
            <v>46093</v>
          </cell>
        </row>
        <row r="606">
          <cell r="H606" t="str">
            <v>项目-材料费</v>
          </cell>
        </row>
        <row r="606">
          <cell r="K606">
            <v>2992</v>
          </cell>
        </row>
        <row r="606">
          <cell r="M606" t="str">
            <v>抚州资溪养老基地8号楼</v>
          </cell>
        </row>
        <row r="607">
          <cell r="D607">
            <v>46093</v>
          </cell>
        </row>
        <row r="607">
          <cell r="H607" t="str">
            <v>项目-分包</v>
          </cell>
        </row>
        <row r="607">
          <cell r="K607">
            <v>70000</v>
          </cell>
        </row>
        <row r="607">
          <cell r="M607" t="str">
            <v>抚州资溪养老基地8号楼</v>
          </cell>
        </row>
        <row r="608">
          <cell r="D608">
            <v>46094</v>
          </cell>
        </row>
        <row r="608">
          <cell r="H608" t="str">
            <v>税款</v>
          </cell>
        </row>
        <row r="608">
          <cell r="K608">
            <v>1739.45</v>
          </cell>
        </row>
        <row r="608">
          <cell r="M608" t="str">
            <v>办公室</v>
          </cell>
        </row>
        <row r="609">
          <cell r="D609">
            <v>46094</v>
          </cell>
        </row>
        <row r="609">
          <cell r="H609" t="str">
            <v>项目-材料费</v>
          </cell>
        </row>
        <row r="609">
          <cell r="K609">
            <v>4500</v>
          </cell>
        </row>
        <row r="609">
          <cell r="M609" t="str">
            <v>德安县养老中心</v>
          </cell>
        </row>
        <row r="610">
          <cell r="D610">
            <v>46094</v>
          </cell>
        </row>
        <row r="610">
          <cell r="H610" t="str">
            <v>项目-材料费</v>
          </cell>
        </row>
        <row r="610">
          <cell r="K610">
            <v>-4500</v>
          </cell>
        </row>
        <row r="610">
          <cell r="M610" t="str">
            <v>德安县养老中心</v>
          </cell>
        </row>
        <row r="611">
          <cell r="D611">
            <v>46094</v>
          </cell>
        </row>
        <row r="611">
          <cell r="H611" t="str">
            <v>项目-材料费</v>
          </cell>
        </row>
        <row r="611">
          <cell r="K611">
            <v>4500</v>
          </cell>
        </row>
        <row r="611">
          <cell r="M611" t="str">
            <v>德安县养老中心</v>
          </cell>
        </row>
        <row r="612">
          <cell r="D612">
            <v>46094</v>
          </cell>
        </row>
        <row r="612">
          <cell r="H612" t="str">
            <v>项目-材料费</v>
          </cell>
        </row>
        <row r="612">
          <cell r="K612">
            <v>17000</v>
          </cell>
        </row>
        <row r="612">
          <cell r="M612" t="str">
            <v>德安县养老中心</v>
          </cell>
        </row>
        <row r="613">
          <cell r="D613">
            <v>46094</v>
          </cell>
        </row>
        <row r="613">
          <cell r="H613" t="str">
            <v>个人借款-王伟</v>
          </cell>
        </row>
        <row r="613">
          <cell r="K613">
            <v>25000</v>
          </cell>
        </row>
        <row r="613">
          <cell r="M613" t="str">
            <v>个人借款</v>
          </cell>
        </row>
        <row r="614">
          <cell r="D614">
            <v>46097</v>
          </cell>
        </row>
        <row r="614">
          <cell r="H614" t="str">
            <v>项目-分包</v>
          </cell>
        </row>
        <row r="614">
          <cell r="K614">
            <v>7600</v>
          </cell>
        </row>
        <row r="614">
          <cell r="M614" t="str">
            <v>抚州资溪养老基地8号楼</v>
          </cell>
        </row>
        <row r="615">
          <cell r="D615">
            <v>46100</v>
          </cell>
        </row>
        <row r="615">
          <cell r="H615" t="str">
            <v>个人借款-聂辉</v>
          </cell>
        </row>
        <row r="615">
          <cell r="K615">
            <v>35000</v>
          </cell>
        </row>
        <row r="615">
          <cell r="M615" t="str">
            <v>个人借款</v>
          </cell>
        </row>
        <row r="616">
          <cell r="D616">
            <v>46100</v>
          </cell>
        </row>
        <row r="616">
          <cell r="H616" t="str">
            <v>个人借款-聂辉</v>
          </cell>
        </row>
        <row r="616">
          <cell r="K616">
            <v>25000</v>
          </cell>
        </row>
        <row r="616">
          <cell r="M616" t="str">
            <v>个人借款</v>
          </cell>
        </row>
        <row r="617">
          <cell r="D617">
            <v>46100</v>
          </cell>
        </row>
        <row r="617">
          <cell r="H617" t="str">
            <v>项目-材料费</v>
          </cell>
        </row>
        <row r="617">
          <cell r="K617">
            <v>9731</v>
          </cell>
        </row>
        <row r="617">
          <cell r="M617" t="str">
            <v>德安县养老中心</v>
          </cell>
        </row>
        <row r="618">
          <cell r="D618">
            <v>46102</v>
          </cell>
        </row>
        <row r="618">
          <cell r="H618" t="str">
            <v>手续费</v>
          </cell>
        </row>
        <row r="618">
          <cell r="K618">
            <v>-9.6</v>
          </cell>
        </row>
        <row r="618">
          <cell r="M618" t="str">
            <v>办公室</v>
          </cell>
        </row>
        <row r="619">
          <cell r="D619">
            <v>46107</v>
          </cell>
        </row>
        <row r="619">
          <cell r="H619" t="str">
            <v>税款</v>
          </cell>
        </row>
        <row r="619">
          <cell r="K619">
            <v>15.27</v>
          </cell>
        </row>
        <row r="619">
          <cell r="M619" t="str">
            <v>办公室</v>
          </cell>
        </row>
        <row r="620">
          <cell r="D620">
            <v>46107</v>
          </cell>
        </row>
        <row r="620">
          <cell r="H620" t="str">
            <v>税款</v>
          </cell>
        </row>
        <row r="620">
          <cell r="K620">
            <v>1019.48</v>
          </cell>
        </row>
        <row r="620">
          <cell r="M620" t="str">
            <v>办公室</v>
          </cell>
        </row>
        <row r="621">
          <cell r="D621">
            <v>46107</v>
          </cell>
        </row>
        <row r="621">
          <cell r="H621" t="str">
            <v>项目-材料费</v>
          </cell>
        </row>
        <row r="621">
          <cell r="K621">
            <v>812</v>
          </cell>
        </row>
        <row r="621">
          <cell r="M621" t="str">
            <v>德安县养老中心</v>
          </cell>
        </row>
        <row r="622">
          <cell r="D622">
            <v>46107</v>
          </cell>
        </row>
        <row r="622">
          <cell r="H622" t="str">
            <v>办公室-办公费</v>
          </cell>
        </row>
        <row r="622">
          <cell r="K622">
            <v>5000</v>
          </cell>
        </row>
        <row r="622">
          <cell r="M622" t="str">
            <v>办公室</v>
          </cell>
        </row>
        <row r="623">
          <cell r="D623">
            <v>46112</v>
          </cell>
        </row>
        <row r="623">
          <cell r="H623" t="str">
            <v>工程款</v>
          </cell>
        </row>
        <row r="623">
          <cell r="J623">
            <v>113800</v>
          </cell>
        </row>
        <row r="623">
          <cell r="M623" t="str">
            <v>吴山政府项目</v>
          </cell>
        </row>
        <row r="624">
          <cell r="D624">
            <v>46112</v>
          </cell>
        </row>
        <row r="624">
          <cell r="H624" t="str">
            <v>项目-材料费</v>
          </cell>
        </row>
        <row r="624">
          <cell r="K624">
            <v>40000</v>
          </cell>
        </row>
        <row r="624">
          <cell r="M624" t="str">
            <v>德安县养老中心</v>
          </cell>
        </row>
        <row r="625">
          <cell r="D625">
            <v>46112</v>
          </cell>
        </row>
        <row r="625">
          <cell r="H625" t="str">
            <v>项目-材料费</v>
          </cell>
        </row>
        <row r="625">
          <cell r="K625">
            <v>-40000</v>
          </cell>
        </row>
        <row r="625">
          <cell r="M625" t="str">
            <v>德安县养老中心</v>
          </cell>
        </row>
        <row r="626">
          <cell r="D626">
            <v>46113</v>
          </cell>
        </row>
        <row r="626">
          <cell r="H626" t="str">
            <v>项目-材料费</v>
          </cell>
        </row>
        <row r="626">
          <cell r="K626">
            <v>40000</v>
          </cell>
        </row>
        <row r="626">
          <cell r="M626" t="str">
            <v>德安县养老中心</v>
          </cell>
        </row>
        <row r="627">
          <cell r="D627">
            <v>46118</v>
          </cell>
        </row>
        <row r="627">
          <cell r="H627" t="str">
            <v>个人借款-聂辉</v>
          </cell>
        </row>
        <row r="627">
          <cell r="K627">
            <v>50000</v>
          </cell>
        </row>
        <row r="627">
          <cell r="M627" t="str">
            <v>个人借款</v>
          </cell>
        </row>
        <row r="628">
          <cell r="D628">
            <v>46123</v>
          </cell>
        </row>
        <row r="628">
          <cell r="H628" t="str">
            <v>项目-分包</v>
          </cell>
        </row>
        <row r="628">
          <cell r="K628">
            <v>21658</v>
          </cell>
        </row>
        <row r="628">
          <cell r="M628" t="str">
            <v>德安县养老中心</v>
          </cell>
        </row>
        <row r="629">
          <cell r="D629">
            <v>46123</v>
          </cell>
        </row>
        <row r="629">
          <cell r="H629" t="str">
            <v>项目-材料费</v>
          </cell>
        </row>
        <row r="629">
          <cell r="K629">
            <v>4666</v>
          </cell>
        </row>
        <row r="629">
          <cell r="M629" t="str">
            <v>德安县养老中心</v>
          </cell>
        </row>
        <row r="630">
          <cell r="D630">
            <v>46126</v>
          </cell>
        </row>
        <row r="630">
          <cell r="H630" t="str">
            <v>办公室-办公费</v>
          </cell>
        </row>
        <row r="630">
          <cell r="K630">
            <v>5300</v>
          </cell>
        </row>
        <row r="630">
          <cell r="M630" t="str">
            <v>办公室</v>
          </cell>
        </row>
        <row r="631">
          <cell r="D631">
            <v>46127</v>
          </cell>
        </row>
        <row r="631">
          <cell r="H631" t="str">
            <v>项目-分包</v>
          </cell>
        </row>
        <row r="631">
          <cell r="K631">
            <v>11000</v>
          </cell>
        </row>
        <row r="631">
          <cell r="M631" t="str">
            <v>德安县养老中心</v>
          </cell>
        </row>
        <row r="632">
          <cell r="D632">
            <v>46129</v>
          </cell>
        </row>
        <row r="632">
          <cell r="H632" t="str">
            <v>项目-材料费</v>
          </cell>
        </row>
        <row r="632">
          <cell r="K632">
            <v>6000</v>
          </cell>
        </row>
        <row r="632">
          <cell r="M632" t="str">
            <v>德安县养老中心</v>
          </cell>
        </row>
        <row r="633">
          <cell r="D633">
            <v>46132</v>
          </cell>
        </row>
        <row r="633">
          <cell r="H633" t="str">
            <v>税款</v>
          </cell>
        </row>
        <row r="633">
          <cell r="K633">
            <v>248.26</v>
          </cell>
        </row>
        <row r="633">
          <cell r="M633" t="str">
            <v>办公室</v>
          </cell>
        </row>
        <row r="634">
          <cell r="D634">
            <v>46139</v>
          </cell>
        </row>
        <row r="634">
          <cell r="H634" t="str">
            <v>个人借款-聂辉</v>
          </cell>
        </row>
        <row r="634">
          <cell r="K634">
            <v>-2000</v>
          </cell>
        </row>
        <row r="634">
          <cell r="M634" t="str">
            <v>个人借款</v>
          </cell>
        </row>
        <row r="635">
          <cell r="D635">
            <v>46091</v>
          </cell>
        </row>
        <row r="635">
          <cell r="H635" t="str">
            <v>农行-本金</v>
          </cell>
        </row>
        <row r="635">
          <cell r="J635">
            <v>361000</v>
          </cell>
        </row>
        <row r="635">
          <cell r="M635" t="str">
            <v>贷款</v>
          </cell>
        </row>
        <row r="636">
          <cell r="D636">
            <v>46091</v>
          </cell>
        </row>
        <row r="636">
          <cell r="H636" t="str">
            <v>项目-分包</v>
          </cell>
        </row>
        <row r="636">
          <cell r="K636">
            <v>7600</v>
          </cell>
        </row>
        <row r="636">
          <cell r="M636" t="str">
            <v>德安县养老中心</v>
          </cell>
        </row>
        <row r="637">
          <cell r="D637">
            <v>46091</v>
          </cell>
        </row>
        <row r="637">
          <cell r="H637" t="str">
            <v>项目-材料费</v>
          </cell>
        </row>
        <row r="637">
          <cell r="K637">
            <v>11800</v>
          </cell>
        </row>
        <row r="637">
          <cell r="M637" t="str">
            <v>德安县邹桥派出所</v>
          </cell>
        </row>
        <row r="638">
          <cell r="D638">
            <v>46091</v>
          </cell>
        </row>
        <row r="638">
          <cell r="H638" t="str">
            <v>项目-期间费</v>
          </cell>
        </row>
        <row r="638">
          <cell r="K638">
            <v>9</v>
          </cell>
        </row>
        <row r="638">
          <cell r="M638" t="str">
            <v>德安县邹桥派出所</v>
          </cell>
        </row>
        <row r="639">
          <cell r="D639">
            <v>46091</v>
          </cell>
        </row>
        <row r="639">
          <cell r="H639" t="str">
            <v>项目-材料费</v>
          </cell>
        </row>
        <row r="639">
          <cell r="K639">
            <v>2992</v>
          </cell>
        </row>
        <row r="639">
          <cell r="M639" t="str">
            <v>抚州资溪养老基地8号楼</v>
          </cell>
        </row>
        <row r="640">
          <cell r="D640">
            <v>46091</v>
          </cell>
        </row>
        <row r="640">
          <cell r="H640" t="str">
            <v>项目-期间费</v>
          </cell>
        </row>
        <row r="640">
          <cell r="K640">
            <v>4.5</v>
          </cell>
        </row>
        <row r="640">
          <cell r="M640" t="str">
            <v>抚州资溪养老基地8号楼</v>
          </cell>
        </row>
        <row r="641">
          <cell r="D641">
            <v>46092</v>
          </cell>
        </row>
        <row r="641">
          <cell r="H641" t="str">
            <v>项目-材料费</v>
          </cell>
        </row>
        <row r="641">
          <cell r="K641">
            <v>-2992</v>
          </cell>
        </row>
        <row r="641">
          <cell r="M641" t="str">
            <v>抚州资溪养老基地8号楼</v>
          </cell>
        </row>
        <row r="642">
          <cell r="D642">
            <v>46092</v>
          </cell>
        </row>
        <row r="642">
          <cell r="H642" t="str">
            <v>项目-分包</v>
          </cell>
        </row>
        <row r="642">
          <cell r="K642">
            <v>50000</v>
          </cell>
        </row>
        <row r="642">
          <cell r="M642" t="str">
            <v>德安县养老中心</v>
          </cell>
        </row>
        <row r="643">
          <cell r="D643">
            <v>46092</v>
          </cell>
        </row>
        <row r="643">
          <cell r="H643" t="str">
            <v>项目-期间费</v>
          </cell>
        </row>
        <row r="643">
          <cell r="K643">
            <v>9</v>
          </cell>
        </row>
        <row r="643">
          <cell r="M643" t="str">
            <v>德安县养老中心</v>
          </cell>
        </row>
        <row r="644">
          <cell r="D644">
            <v>46095</v>
          </cell>
        </row>
        <row r="644">
          <cell r="H644" t="str">
            <v>项目-材料费</v>
          </cell>
        </row>
        <row r="644">
          <cell r="K644">
            <v>3216</v>
          </cell>
        </row>
        <row r="644">
          <cell r="M644" t="str">
            <v>德安县养老中心</v>
          </cell>
        </row>
        <row r="645">
          <cell r="D645">
            <v>46100</v>
          </cell>
        </row>
        <row r="645">
          <cell r="H645" t="str">
            <v>办公室-办公费</v>
          </cell>
        </row>
        <row r="645">
          <cell r="K645">
            <v>5000</v>
          </cell>
        </row>
        <row r="645">
          <cell r="M645" t="str">
            <v>办公室</v>
          </cell>
        </row>
        <row r="646">
          <cell r="D646">
            <v>46100</v>
          </cell>
        </row>
        <row r="646">
          <cell r="H646" t="str">
            <v>手续费</v>
          </cell>
        </row>
        <row r="646">
          <cell r="K646">
            <v>4.5</v>
          </cell>
        </row>
        <row r="646">
          <cell r="M646" t="str">
            <v>办公室</v>
          </cell>
        </row>
        <row r="647">
          <cell r="D647">
            <v>46102</v>
          </cell>
        </row>
        <row r="647">
          <cell r="H647" t="str">
            <v>办公室-办公费</v>
          </cell>
        </row>
        <row r="647">
          <cell r="K647">
            <v>-1.53</v>
          </cell>
        </row>
        <row r="647">
          <cell r="M647" t="str">
            <v>办公室</v>
          </cell>
        </row>
        <row r="648">
          <cell r="D648">
            <v>46105</v>
          </cell>
        </row>
        <row r="648">
          <cell r="H648" t="str">
            <v>办公室-办公费</v>
          </cell>
        </row>
        <row r="648">
          <cell r="K648">
            <v>22.8</v>
          </cell>
        </row>
        <row r="648">
          <cell r="M648" t="str">
            <v>办公室</v>
          </cell>
        </row>
        <row r="649">
          <cell r="D649">
            <v>46133</v>
          </cell>
        </row>
        <row r="649">
          <cell r="H649" t="str">
            <v>农行-利息</v>
          </cell>
        </row>
        <row r="649">
          <cell r="K649">
            <v>1474.08</v>
          </cell>
        </row>
        <row r="649">
          <cell r="M649" t="str">
            <v>贷款</v>
          </cell>
        </row>
        <row r="650">
          <cell r="D650">
            <v>46136</v>
          </cell>
        </row>
        <row r="650">
          <cell r="H650" t="str">
            <v>办公室-办公费</v>
          </cell>
        </row>
        <row r="650">
          <cell r="K650">
            <v>150</v>
          </cell>
        </row>
        <row r="650">
          <cell r="M650" t="str">
            <v>办公室</v>
          </cell>
        </row>
        <row r="651">
          <cell r="D651">
            <v>46136</v>
          </cell>
        </row>
        <row r="651">
          <cell r="H651" t="str">
            <v>办公室-办公费</v>
          </cell>
        </row>
        <row r="651">
          <cell r="K651">
            <v>50</v>
          </cell>
        </row>
        <row r="651">
          <cell r="M651" t="str">
            <v>办公室</v>
          </cell>
        </row>
        <row r="652">
          <cell r="D652">
            <v>46163</v>
          </cell>
        </row>
        <row r="652">
          <cell r="H652" t="str">
            <v>农行-利息</v>
          </cell>
        </row>
        <row r="652">
          <cell r="K652">
            <v>1052.92</v>
          </cell>
        </row>
        <row r="652">
          <cell r="M652" t="str">
            <v>贷款</v>
          </cell>
        </row>
        <row r="653">
          <cell r="D653">
            <v>46034</v>
          </cell>
        </row>
        <row r="653">
          <cell r="H653" t="str">
            <v>工商行-本金</v>
          </cell>
        </row>
        <row r="653">
          <cell r="J653">
            <v>281148</v>
          </cell>
        </row>
        <row r="653">
          <cell r="M653" t="str">
            <v>贷款</v>
          </cell>
        </row>
        <row r="654">
          <cell r="D654">
            <v>46036</v>
          </cell>
        </row>
        <row r="654">
          <cell r="H654" t="str">
            <v>项目-材料费</v>
          </cell>
        </row>
        <row r="654">
          <cell r="K654">
            <v>281000</v>
          </cell>
        </row>
        <row r="654">
          <cell r="M654" t="str">
            <v>德安县养老中心</v>
          </cell>
        </row>
        <row r="655">
          <cell r="D655">
            <v>46036</v>
          </cell>
        </row>
        <row r="655">
          <cell r="H655" t="str">
            <v>项目-期间费</v>
          </cell>
        </row>
        <row r="655">
          <cell r="K655">
            <v>0.01</v>
          </cell>
        </row>
        <row r="655">
          <cell r="M655" t="str">
            <v>德安县养老中心</v>
          </cell>
        </row>
        <row r="656">
          <cell r="D656">
            <v>46102</v>
          </cell>
        </row>
        <row r="656">
          <cell r="H656" t="str">
            <v>办公室-办公费</v>
          </cell>
        </row>
        <row r="656">
          <cell r="K656">
            <v>-0.79</v>
          </cell>
        </row>
        <row r="656">
          <cell r="M656" t="str">
            <v>办公室</v>
          </cell>
        </row>
        <row r="657">
          <cell r="D657">
            <v>46102</v>
          </cell>
        </row>
        <row r="657">
          <cell r="H657" t="str">
            <v>项目-期间费</v>
          </cell>
        </row>
        <row r="657">
          <cell r="K657">
            <v>0.79</v>
          </cell>
        </row>
        <row r="657">
          <cell r="M657" t="str">
            <v>德安县养老中心</v>
          </cell>
        </row>
        <row r="658">
          <cell r="D658">
            <v>46139</v>
          </cell>
        </row>
        <row r="658">
          <cell r="H658" t="str">
            <v>税款</v>
          </cell>
        </row>
        <row r="658">
          <cell r="K658">
            <v>30.54</v>
          </cell>
        </row>
        <row r="658">
          <cell r="M658" t="str">
            <v>办公室</v>
          </cell>
        </row>
        <row r="659">
          <cell r="D659">
            <v>46139</v>
          </cell>
        </row>
        <row r="659">
          <cell r="H659" t="str">
            <v>税款</v>
          </cell>
        </row>
        <row r="659">
          <cell r="K659">
            <v>2008.42</v>
          </cell>
        </row>
        <row r="659">
          <cell r="M659" t="str">
            <v>办公室</v>
          </cell>
        </row>
        <row r="660">
          <cell r="D660">
            <v>46141</v>
          </cell>
        </row>
        <row r="660">
          <cell r="H660" t="str">
            <v>工程款</v>
          </cell>
        </row>
        <row r="660">
          <cell r="J660">
            <v>98825.9</v>
          </cell>
        </row>
        <row r="660">
          <cell r="M660" t="str">
            <v>抚州资溪养老基地8号楼</v>
          </cell>
        </row>
        <row r="661">
          <cell r="D661">
            <v>46142</v>
          </cell>
        </row>
        <row r="661">
          <cell r="H661" t="str">
            <v>工程款</v>
          </cell>
        </row>
        <row r="661">
          <cell r="J661">
            <v>211477</v>
          </cell>
        </row>
        <row r="661">
          <cell r="M661" t="str">
            <v>抚州资溪养老基地8号楼</v>
          </cell>
        </row>
        <row r="662">
          <cell r="D662">
            <v>46142</v>
          </cell>
        </row>
        <row r="662">
          <cell r="H662" t="str">
            <v>项目-分包</v>
          </cell>
        </row>
        <row r="662">
          <cell r="K662">
            <v>22750</v>
          </cell>
        </row>
        <row r="662">
          <cell r="M662" t="str">
            <v>抚州资溪养老基地8号楼</v>
          </cell>
        </row>
        <row r="663">
          <cell r="D663">
            <v>46142</v>
          </cell>
        </row>
        <row r="663">
          <cell r="H663" t="str">
            <v>项目-分包</v>
          </cell>
        </row>
        <row r="663">
          <cell r="K663">
            <v>980</v>
          </cell>
        </row>
        <row r="663">
          <cell r="M663" t="str">
            <v>抚州资溪养老基地8号楼</v>
          </cell>
        </row>
        <row r="664">
          <cell r="D664">
            <v>46142</v>
          </cell>
        </row>
        <row r="664">
          <cell r="H664" t="str">
            <v>项目-分包</v>
          </cell>
        </row>
        <row r="664">
          <cell r="K664">
            <v>16492</v>
          </cell>
        </row>
        <row r="664">
          <cell r="M664" t="str">
            <v>抚州资溪养老基地8号楼</v>
          </cell>
        </row>
        <row r="665">
          <cell r="D665">
            <v>46142</v>
          </cell>
        </row>
        <row r="665">
          <cell r="H665" t="str">
            <v>项目-分包</v>
          </cell>
        </row>
        <row r="665">
          <cell r="K665">
            <v>14700</v>
          </cell>
        </row>
        <row r="665">
          <cell r="M665" t="str">
            <v>抚州资溪养老基地8号楼</v>
          </cell>
        </row>
        <row r="666">
          <cell r="D666">
            <v>46142</v>
          </cell>
        </row>
        <row r="666">
          <cell r="H666" t="str">
            <v>项目-分包</v>
          </cell>
        </row>
        <row r="666">
          <cell r="K666">
            <v>15190</v>
          </cell>
        </row>
        <row r="666">
          <cell r="M666" t="str">
            <v>抚州资溪养老基地8号楼</v>
          </cell>
        </row>
        <row r="667">
          <cell r="D667">
            <v>46142</v>
          </cell>
        </row>
        <row r="667">
          <cell r="H667" t="str">
            <v>项目-分包</v>
          </cell>
        </row>
        <row r="667">
          <cell r="K667">
            <v>10290</v>
          </cell>
        </row>
        <row r="667">
          <cell r="M667" t="str">
            <v>抚州资溪养老基地8号楼</v>
          </cell>
        </row>
        <row r="668">
          <cell r="D668">
            <v>46142</v>
          </cell>
        </row>
        <row r="668">
          <cell r="H668" t="str">
            <v>项目-分包</v>
          </cell>
        </row>
        <row r="668">
          <cell r="K668">
            <v>13720</v>
          </cell>
        </row>
        <row r="668">
          <cell r="M668" t="str">
            <v>抚州资溪养老基地8号楼</v>
          </cell>
        </row>
        <row r="669">
          <cell r="D669">
            <v>46142</v>
          </cell>
        </row>
        <row r="669">
          <cell r="H669" t="str">
            <v>项目-分包</v>
          </cell>
        </row>
        <row r="669">
          <cell r="K669">
            <v>5040</v>
          </cell>
        </row>
        <row r="669">
          <cell r="M669" t="str">
            <v>抚州资溪养老基地8号楼</v>
          </cell>
        </row>
        <row r="670">
          <cell r="D670">
            <v>46142</v>
          </cell>
        </row>
        <row r="670">
          <cell r="H670" t="str">
            <v>项目-分包</v>
          </cell>
        </row>
        <row r="670">
          <cell r="K670">
            <v>5040</v>
          </cell>
        </row>
        <row r="670">
          <cell r="M670" t="str">
            <v>抚州资溪养老基地8号楼</v>
          </cell>
        </row>
        <row r="671">
          <cell r="D671">
            <v>46142</v>
          </cell>
        </row>
        <row r="671">
          <cell r="H671" t="str">
            <v>项目-分包</v>
          </cell>
        </row>
        <row r="671">
          <cell r="K671">
            <v>13965</v>
          </cell>
        </row>
        <row r="671">
          <cell r="M671" t="str">
            <v>抚州资溪养老基地8号楼</v>
          </cell>
        </row>
        <row r="672">
          <cell r="D672">
            <v>46142</v>
          </cell>
        </row>
        <row r="672">
          <cell r="H672" t="str">
            <v>项目-分包</v>
          </cell>
        </row>
        <row r="672">
          <cell r="K672">
            <v>15190</v>
          </cell>
        </row>
        <row r="672">
          <cell r="M672" t="str">
            <v>抚州资溪养老基地8号楼</v>
          </cell>
        </row>
        <row r="673">
          <cell r="D673">
            <v>46142</v>
          </cell>
        </row>
        <row r="673">
          <cell r="H673" t="str">
            <v>项目-分包</v>
          </cell>
        </row>
        <row r="673">
          <cell r="K673">
            <v>17360</v>
          </cell>
        </row>
        <row r="673">
          <cell r="M673" t="str">
            <v>抚州资溪养老基地8号楼</v>
          </cell>
        </row>
        <row r="674">
          <cell r="D674">
            <v>46142</v>
          </cell>
        </row>
        <row r="674">
          <cell r="H674" t="str">
            <v>项目-分包</v>
          </cell>
        </row>
        <row r="674">
          <cell r="K674">
            <v>9870</v>
          </cell>
        </row>
        <row r="674">
          <cell r="M674" t="str">
            <v>抚州资溪养老基地8号楼</v>
          </cell>
        </row>
        <row r="675">
          <cell r="D675">
            <v>46142</v>
          </cell>
        </row>
        <row r="675">
          <cell r="H675" t="str">
            <v>项目-分包</v>
          </cell>
        </row>
        <row r="675">
          <cell r="K675">
            <v>16492</v>
          </cell>
        </row>
        <row r="675">
          <cell r="M675" t="str">
            <v>抚州资溪养老基地8号楼</v>
          </cell>
        </row>
        <row r="676">
          <cell r="D676">
            <v>46142</v>
          </cell>
        </row>
        <row r="676">
          <cell r="H676" t="str">
            <v>项目-分包</v>
          </cell>
        </row>
        <row r="676">
          <cell r="K676">
            <v>17640</v>
          </cell>
        </row>
        <row r="676">
          <cell r="M676" t="str">
            <v>抚州资溪养老基地8号楼</v>
          </cell>
        </row>
        <row r="677">
          <cell r="D677">
            <v>46142</v>
          </cell>
        </row>
        <row r="677">
          <cell r="H677" t="str">
            <v>项目-分包</v>
          </cell>
        </row>
        <row r="677">
          <cell r="K677">
            <v>16758</v>
          </cell>
        </row>
        <row r="677">
          <cell r="M677" t="str">
            <v>抚州资溪养老基地8号楼</v>
          </cell>
        </row>
        <row r="678">
          <cell r="D678">
            <v>46142</v>
          </cell>
        </row>
        <row r="678">
          <cell r="H678" t="str">
            <v>项目-分包</v>
          </cell>
        </row>
        <row r="678">
          <cell r="K678">
            <v>-50000</v>
          </cell>
        </row>
        <row r="678">
          <cell r="M678" t="str">
            <v>抚州资溪养老基地8号楼</v>
          </cell>
        </row>
        <row r="679">
          <cell r="D679">
            <v>46142</v>
          </cell>
        </row>
        <row r="679">
          <cell r="H679" t="str">
            <v>项目-分包</v>
          </cell>
        </row>
        <row r="679">
          <cell r="K679">
            <v>-17640</v>
          </cell>
        </row>
        <row r="679">
          <cell r="M679" t="str">
            <v>抚州资溪养老基地8号楼</v>
          </cell>
        </row>
        <row r="680">
          <cell r="D680">
            <v>46142</v>
          </cell>
        </row>
        <row r="680">
          <cell r="H680" t="str">
            <v>项目-分包</v>
          </cell>
        </row>
        <row r="680">
          <cell r="K680">
            <v>-9870</v>
          </cell>
        </row>
        <row r="680">
          <cell r="M680" t="str">
            <v>抚州资溪养老基地8号楼</v>
          </cell>
        </row>
        <row r="694">
          <cell r="D694">
            <v>46142</v>
          </cell>
        </row>
        <row r="694">
          <cell r="H694" t="str">
            <v>项目-分包</v>
          </cell>
        </row>
        <row r="694">
          <cell r="K694">
            <v>26584</v>
          </cell>
        </row>
        <row r="694">
          <cell r="M694" t="str">
            <v>抚州资溪养老基地8号楼</v>
          </cell>
        </row>
        <row r="695">
          <cell r="D695">
            <v>46142</v>
          </cell>
        </row>
        <row r="695">
          <cell r="H695" t="str">
            <v>项目-材料费</v>
          </cell>
        </row>
        <row r="695">
          <cell r="K695">
            <v>32226</v>
          </cell>
        </row>
        <row r="695">
          <cell r="M695" t="str">
            <v>德安县养老中心</v>
          </cell>
        </row>
        <row r="696">
          <cell r="D696">
            <v>46143</v>
          </cell>
        </row>
        <row r="696">
          <cell r="H696" t="str">
            <v>项目-分包</v>
          </cell>
        </row>
        <row r="696">
          <cell r="K696">
            <v>15000</v>
          </cell>
        </row>
        <row r="696">
          <cell r="M696" t="str">
            <v>德安县养老中心</v>
          </cell>
        </row>
        <row r="697">
          <cell r="D697">
            <v>46144</v>
          </cell>
        </row>
        <row r="697">
          <cell r="H697" t="str">
            <v>项目-劳务费</v>
          </cell>
        </row>
        <row r="697">
          <cell r="K697">
            <v>3000</v>
          </cell>
        </row>
        <row r="697">
          <cell r="M697" t="str">
            <v>德安县养老中心</v>
          </cell>
        </row>
        <row r="698">
          <cell r="D698">
            <v>46144</v>
          </cell>
        </row>
        <row r="698">
          <cell r="H698" t="str">
            <v>项目-劳务费</v>
          </cell>
        </row>
        <row r="698">
          <cell r="K698">
            <v>3000</v>
          </cell>
        </row>
        <row r="698">
          <cell r="M698" t="str">
            <v>德安县养老中心</v>
          </cell>
        </row>
        <row r="699">
          <cell r="D699">
            <v>46144</v>
          </cell>
        </row>
        <row r="699">
          <cell r="H699" t="str">
            <v>项目-劳务费</v>
          </cell>
        </row>
        <row r="699">
          <cell r="K699">
            <v>3000</v>
          </cell>
        </row>
        <row r="699">
          <cell r="M699" t="str">
            <v>德安县养老中心</v>
          </cell>
        </row>
        <row r="700">
          <cell r="D700">
            <v>46145</v>
          </cell>
        </row>
        <row r="700">
          <cell r="H700" t="str">
            <v>项目-劳务费</v>
          </cell>
        </row>
        <row r="700">
          <cell r="K700">
            <v>4000</v>
          </cell>
        </row>
        <row r="700">
          <cell r="M700" t="str">
            <v>德安县养老中心</v>
          </cell>
        </row>
        <row r="701">
          <cell r="D701">
            <v>46148</v>
          </cell>
        </row>
        <row r="701">
          <cell r="H701" t="str">
            <v>项目-分包</v>
          </cell>
        </row>
        <row r="701">
          <cell r="K701">
            <v>4940</v>
          </cell>
        </row>
        <row r="701">
          <cell r="M701" t="str">
            <v>德安县养老中心</v>
          </cell>
        </row>
        <row r="702">
          <cell r="D702">
            <v>46150</v>
          </cell>
        </row>
        <row r="702">
          <cell r="H702" t="str">
            <v>个人借款-聂辉</v>
          </cell>
        </row>
        <row r="702">
          <cell r="K702">
            <v>-10000</v>
          </cell>
        </row>
        <row r="702">
          <cell r="M702" t="str">
            <v>个人借款</v>
          </cell>
        </row>
        <row r="703">
          <cell r="D703">
            <v>46150</v>
          </cell>
        </row>
        <row r="703">
          <cell r="H703" t="str">
            <v>个人借款-聂辉</v>
          </cell>
        </row>
        <row r="703">
          <cell r="K703">
            <v>-2000</v>
          </cell>
        </row>
        <row r="703">
          <cell r="M703" t="str">
            <v>个人借款</v>
          </cell>
        </row>
        <row r="704">
          <cell r="D704">
            <v>46150</v>
          </cell>
        </row>
        <row r="704">
          <cell r="H704" t="str">
            <v>个人借款-聂辉</v>
          </cell>
        </row>
        <row r="704">
          <cell r="K704">
            <v>20000</v>
          </cell>
        </row>
        <row r="704">
          <cell r="M704" t="str">
            <v>个人借款</v>
          </cell>
        </row>
        <row r="705">
          <cell r="D705">
            <v>46150</v>
          </cell>
        </row>
        <row r="705">
          <cell r="H705" t="str">
            <v>个人借款-聂辉</v>
          </cell>
        </row>
        <row r="705">
          <cell r="K705">
            <v>-20000</v>
          </cell>
        </row>
        <row r="705">
          <cell r="M705" t="str">
            <v>个人借款</v>
          </cell>
        </row>
        <row r="706">
          <cell r="D706">
            <v>46150</v>
          </cell>
        </row>
        <row r="706">
          <cell r="H706" t="str">
            <v>个人借款-聂辉</v>
          </cell>
        </row>
        <row r="706">
          <cell r="K706">
            <v>20000</v>
          </cell>
        </row>
        <row r="706">
          <cell r="M706" t="str">
            <v>个人借款</v>
          </cell>
        </row>
        <row r="707">
          <cell r="D707">
            <v>46150</v>
          </cell>
        </row>
        <row r="707">
          <cell r="H707" t="str">
            <v>个人借款-聂辉</v>
          </cell>
        </row>
        <row r="707">
          <cell r="K707">
            <v>-20000</v>
          </cell>
        </row>
        <row r="707">
          <cell r="M707" t="str">
            <v>个人借款</v>
          </cell>
        </row>
        <row r="708">
          <cell r="D708">
            <v>46150</v>
          </cell>
        </row>
        <row r="708">
          <cell r="H708" t="str">
            <v>个人借款-聂辉</v>
          </cell>
        </row>
        <row r="708">
          <cell r="K708">
            <v>20000</v>
          </cell>
        </row>
        <row r="708">
          <cell r="M708" t="str">
            <v>个人借款</v>
          </cell>
        </row>
        <row r="709">
          <cell r="D709">
            <v>46155</v>
          </cell>
        </row>
        <row r="709">
          <cell r="H709" t="str">
            <v>个人借款-聂辉</v>
          </cell>
        </row>
        <row r="709">
          <cell r="K709">
            <v>-10000</v>
          </cell>
        </row>
        <row r="709">
          <cell r="M709" t="str">
            <v>个人借款</v>
          </cell>
        </row>
        <row r="710">
          <cell r="D710">
            <v>46155</v>
          </cell>
        </row>
        <row r="710">
          <cell r="H710" t="str">
            <v>税款</v>
          </cell>
        </row>
        <row r="710">
          <cell r="K710">
            <v>6467.49</v>
          </cell>
        </row>
        <row r="710">
          <cell r="M710" t="str">
            <v>抚州资溪养老基地8号楼</v>
          </cell>
        </row>
        <row r="711">
          <cell r="D711">
            <v>46155</v>
          </cell>
        </row>
        <row r="711">
          <cell r="H711" t="str">
            <v>税款</v>
          </cell>
        </row>
        <row r="711">
          <cell r="K711">
            <v>410.63</v>
          </cell>
        </row>
        <row r="711">
          <cell r="M711" t="str">
            <v>抚州资溪养老基地8号楼</v>
          </cell>
        </row>
        <row r="712">
          <cell r="D712">
            <v>46155</v>
          </cell>
        </row>
        <row r="712">
          <cell r="H712" t="str">
            <v>税款</v>
          </cell>
        </row>
        <row r="712">
          <cell r="K712">
            <v>1245.06</v>
          </cell>
        </row>
        <row r="712">
          <cell r="M712" t="str">
            <v>办公室</v>
          </cell>
        </row>
        <row r="713">
          <cell r="D713">
            <v>46155</v>
          </cell>
        </row>
        <row r="713">
          <cell r="H713" t="str">
            <v>工程款</v>
          </cell>
        </row>
        <row r="713">
          <cell r="J713">
            <v>95300</v>
          </cell>
        </row>
        <row r="713">
          <cell r="M713" t="str">
            <v>德安县养老中心</v>
          </cell>
        </row>
        <row r="714">
          <cell r="D714">
            <v>46155</v>
          </cell>
        </row>
        <row r="714">
          <cell r="H714" t="str">
            <v>项目-劳务费</v>
          </cell>
        </row>
        <row r="714">
          <cell r="K714">
            <v>15800</v>
          </cell>
        </row>
        <row r="714">
          <cell r="M714" t="str">
            <v>德安县养老中心</v>
          </cell>
        </row>
        <row r="715">
          <cell r="D715">
            <v>46155</v>
          </cell>
        </row>
        <row r="715">
          <cell r="H715" t="str">
            <v>项目-劳务费</v>
          </cell>
        </row>
        <row r="715">
          <cell r="K715">
            <v>15800</v>
          </cell>
        </row>
        <row r="715">
          <cell r="M715" t="str">
            <v>德安县养老中心</v>
          </cell>
        </row>
        <row r="716">
          <cell r="D716">
            <v>46155</v>
          </cell>
        </row>
        <row r="716">
          <cell r="H716" t="str">
            <v>项目-劳务费</v>
          </cell>
        </row>
        <row r="716">
          <cell r="K716">
            <v>15800</v>
          </cell>
        </row>
        <row r="716">
          <cell r="M716" t="str">
            <v>德安县养老中心</v>
          </cell>
        </row>
        <row r="717">
          <cell r="D717">
            <v>46155</v>
          </cell>
        </row>
        <row r="717">
          <cell r="H717" t="str">
            <v>项目-劳务费</v>
          </cell>
        </row>
        <row r="717">
          <cell r="K717">
            <v>16300</v>
          </cell>
        </row>
        <row r="717">
          <cell r="M717" t="str">
            <v>德安县养老中心</v>
          </cell>
        </row>
        <row r="718">
          <cell r="D718">
            <v>46155</v>
          </cell>
        </row>
        <row r="718">
          <cell r="H718" t="str">
            <v>项目-劳务费</v>
          </cell>
        </row>
        <row r="718">
          <cell r="K718">
            <v>15800</v>
          </cell>
        </row>
        <row r="718">
          <cell r="M718" t="str">
            <v>德安县养老中心</v>
          </cell>
        </row>
        <row r="719">
          <cell r="D719">
            <v>46155</v>
          </cell>
        </row>
        <row r="719">
          <cell r="H719" t="str">
            <v>项目-劳务费</v>
          </cell>
        </row>
        <row r="719">
          <cell r="K719">
            <v>15800</v>
          </cell>
        </row>
        <row r="719">
          <cell r="M719" t="str">
            <v>德安县养老中心</v>
          </cell>
        </row>
        <row r="720">
          <cell r="D720">
            <v>46156</v>
          </cell>
        </row>
        <row r="720">
          <cell r="H720" t="str">
            <v>项目-劳务费</v>
          </cell>
        </row>
        <row r="720">
          <cell r="K720">
            <v>-13300</v>
          </cell>
        </row>
        <row r="720">
          <cell r="M720" t="str">
            <v>德安县养老中心</v>
          </cell>
        </row>
        <row r="721">
          <cell r="D721">
            <v>46156</v>
          </cell>
        </row>
        <row r="721">
          <cell r="H721" t="str">
            <v>项目-劳务费</v>
          </cell>
        </row>
        <row r="721">
          <cell r="K721">
            <v>-15800</v>
          </cell>
        </row>
        <row r="721">
          <cell r="M721" t="str">
            <v>德安县养老中心</v>
          </cell>
        </row>
        <row r="722">
          <cell r="D722">
            <v>46156</v>
          </cell>
        </row>
        <row r="722">
          <cell r="H722" t="str">
            <v>项目-劳务费</v>
          </cell>
        </row>
        <row r="722">
          <cell r="K722">
            <v>-15800</v>
          </cell>
        </row>
        <row r="722">
          <cell r="M722" t="str">
            <v>德安县养老中心</v>
          </cell>
        </row>
        <row r="723">
          <cell r="D723">
            <v>46156</v>
          </cell>
        </row>
        <row r="723">
          <cell r="H723" t="str">
            <v>项目-劳务费</v>
          </cell>
        </row>
        <row r="723">
          <cell r="K723">
            <v>-12800</v>
          </cell>
        </row>
        <row r="723">
          <cell r="M723" t="str">
            <v>德安县养老中心</v>
          </cell>
        </row>
        <row r="724">
          <cell r="D724">
            <v>46156</v>
          </cell>
        </row>
        <row r="724">
          <cell r="H724" t="str">
            <v>项目-劳务费</v>
          </cell>
        </row>
        <row r="724">
          <cell r="K724">
            <v>-10000</v>
          </cell>
        </row>
        <row r="724">
          <cell r="M724" t="str">
            <v>德安县养老中心</v>
          </cell>
        </row>
        <row r="725">
          <cell r="D725">
            <v>46156</v>
          </cell>
        </row>
        <row r="725">
          <cell r="H725" t="str">
            <v>项目-劳务费</v>
          </cell>
        </row>
        <row r="725">
          <cell r="K725">
            <v>-12800</v>
          </cell>
        </row>
        <row r="725">
          <cell r="M725" t="str">
            <v>德安县养老中心</v>
          </cell>
        </row>
        <row r="726">
          <cell r="D726">
            <v>46156</v>
          </cell>
        </row>
        <row r="727">
          <cell r="D727">
            <v>46157</v>
          </cell>
        </row>
        <row r="735">
          <cell r="D735">
            <v>46156</v>
          </cell>
        </row>
        <row r="735">
          <cell r="H735" t="str">
            <v>个人借款-聂辉</v>
          </cell>
        </row>
        <row r="735">
          <cell r="K735">
            <v>-40000</v>
          </cell>
        </row>
        <row r="735">
          <cell r="M735" t="str">
            <v>个人借款</v>
          </cell>
        </row>
        <row r="736">
          <cell r="D736">
            <v>46156</v>
          </cell>
        </row>
        <row r="736">
          <cell r="H736" t="str">
            <v>项目-材料费</v>
          </cell>
        </row>
        <row r="736">
          <cell r="K736">
            <v>7397</v>
          </cell>
        </row>
        <row r="736">
          <cell r="M736" t="str">
            <v>德安县养老中心</v>
          </cell>
        </row>
        <row r="737">
          <cell r="D737">
            <v>46157</v>
          </cell>
        </row>
        <row r="737">
          <cell r="H737" t="str">
            <v>项目-分包</v>
          </cell>
        </row>
        <row r="737">
          <cell r="K737">
            <v>10000</v>
          </cell>
        </row>
        <row r="737">
          <cell r="M737" t="str">
            <v>德安县养老中心</v>
          </cell>
        </row>
        <row r="738">
          <cell r="D738">
            <v>46158</v>
          </cell>
        </row>
        <row r="738">
          <cell r="H738" t="str">
            <v>项目-材料费</v>
          </cell>
        </row>
        <row r="738">
          <cell r="K738">
            <v>22000</v>
          </cell>
        </row>
        <row r="738">
          <cell r="M738" t="str">
            <v>德安县邹桥派出所</v>
          </cell>
        </row>
        <row r="739">
          <cell r="D739">
            <v>46161</v>
          </cell>
        </row>
        <row r="739">
          <cell r="H739" t="str">
            <v>个人借款-聂辉</v>
          </cell>
        </row>
        <row r="739">
          <cell r="K739">
            <v>-90000</v>
          </cell>
        </row>
        <row r="739">
          <cell r="M739" t="str">
            <v>个人借款</v>
          </cell>
        </row>
        <row r="740">
          <cell r="D740">
            <v>46161</v>
          </cell>
        </row>
        <row r="740">
          <cell r="H740" t="str">
            <v>往来款</v>
          </cell>
        </row>
        <row r="740">
          <cell r="K740">
            <v>90000</v>
          </cell>
        </row>
        <row r="740">
          <cell r="M740" t="str">
            <v>办公室</v>
          </cell>
        </row>
        <row r="741">
          <cell r="D741">
            <v>46161</v>
          </cell>
        </row>
        <row r="741">
          <cell r="H741" t="str">
            <v>往来款</v>
          </cell>
        </row>
        <row r="741">
          <cell r="K741">
            <v>-90000</v>
          </cell>
        </row>
        <row r="741">
          <cell r="M741" t="str">
            <v>办公室</v>
          </cell>
        </row>
        <row r="742">
          <cell r="D742">
            <v>46161</v>
          </cell>
        </row>
        <row r="742">
          <cell r="H742" t="str">
            <v>往来款</v>
          </cell>
        </row>
        <row r="742">
          <cell r="K742">
            <v>90000</v>
          </cell>
        </row>
        <row r="742">
          <cell r="M742" t="str">
            <v>办公室</v>
          </cell>
        </row>
        <row r="743">
          <cell r="D743">
            <v>46163</v>
          </cell>
        </row>
        <row r="743">
          <cell r="H743" t="str">
            <v>工程款</v>
          </cell>
        </row>
        <row r="743">
          <cell r="J743">
            <v>14502.87</v>
          </cell>
        </row>
        <row r="743">
          <cell r="M743" t="str">
            <v>江西赣粤高速公路工程有限责任公司</v>
          </cell>
        </row>
        <row r="744">
          <cell r="D744">
            <v>46164</v>
          </cell>
        </row>
        <row r="744">
          <cell r="H744" t="str">
            <v>往来款</v>
          </cell>
        </row>
        <row r="744">
          <cell r="K744">
            <v>-90000</v>
          </cell>
        </row>
        <row r="744">
          <cell r="M744" t="str">
            <v>办公室</v>
          </cell>
        </row>
        <row r="745">
          <cell r="D745">
            <v>46165</v>
          </cell>
        </row>
        <row r="745">
          <cell r="H745" t="str">
            <v>个人借款-聂辉</v>
          </cell>
        </row>
        <row r="745">
          <cell r="K745">
            <v>10000</v>
          </cell>
        </row>
        <row r="745">
          <cell r="M745" t="str">
            <v>个人借款</v>
          </cell>
        </row>
        <row r="746">
          <cell r="D746">
            <v>46165</v>
          </cell>
        </row>
        <row r="746">
          <cell r="H746" t="str">
            <v>个人借款-聂辉</v>
          </cell>
        </row>
        <row r="746">
          <cell r="K746">
            <v>80000</v>
          </cell>
        </row>
        <row r="746">
          <cell r="M746" t="str">
            <v>个人借款</v>
          </cell>
        </row>
        <row r="747">
          <cell r="D747">
            <v>46167</v>
          </cell>
        </row>
        <row r="747">
          <cell r="H747" t="str">
            <v>税款</v>
          </cell>
        </row>
        <row r="747">
          <cell r="K747">
            <v>30.54</v>
          </cell>
        </row>
        <row r="747">
          <cell r="M747" t="str">
            <v>办公室</v>
          </cell>
        </row>
        <row r="748">
          <cell r="D748">
            <v>46167</v>
          </cell>
        </row>
        <row r="748">
          <cell r="H748" t="str">
            <v>税款</v>
          </cell>
        </row>
        <row r="748">
          <cell r="K748">
            <v>2008.42</v>
          </cell>
        </row>
        <row r="748">
          <cell r="M748" t="str">
            <v>办公室</v>
          </cell>
        </row>
        <row r="749">
          <cell r="D749">
            <v>46168</v>
          </cell>
        </row>
        <row r="749">
          <cell r="H749" t="str">
            <v>办公室-办公费</v>
          </cell>
        </row>
        <row r="749">
          <cell r="K749">
            <v>1000</v>
          </cell>
        </row>
        <row r="749">
          <cell r="M749" t="str">
            <v>办公室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L3" t="str">
            <v>德安县养老中心</v>
          </cell>
        </row>
        <row r="29">
          <cell r="G29" t="str">
            <v/>
          </cell>
        </row>
        <row r="103">
          <cell r="G103" t="str">
            <v/>
          </cell>
        </row>
        <row r="104">
          <cell r="G104" t="str">
            <v/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C4" sqref="C4"/>
    </sheetView>
  </sheetViews>
  <sheetFormatPr defaultColWidth="9.02727272727273" defaultRowHeight="14" outlineLevelRow="1"/>
  <cols>
    <col min="1" max="1" width="17.1818181818182" customWidth="1"/>
    <col min="2" max="2" width="14.1818181818182" customWidth="1"/>
    <col min="3" max="3" width="13.2727272727273" customWidth="1"/>
    <col min="4" max="4" width="14.4545454545455" style="64" customWidth="1"/>
    <col min="5" max="5" width="15.0909090909091" style="64" customWidth="1"/>
    <col min="6" max="6" width="13.5454545454545" style="64" customWidth="1"/>
    <col min="7" max="7" width="12.8181818181818" style="64" customWidth="1"/>
    <col min="8" max="8" width="14.6363636363636" style="64" customWidth="1"/>
    <col min="9" max="9" width="16.2727272727273" style="64" customWidth="1"/>
    <col min="10" max="10" width="13.6363636363636" customWidth="1"/>
    <col min="11" max="11" width="16.2727272727273" customWidth="1"/>
  </cols>
  <sheetData>
    <row r="1" s="63" customFormat="1" ht="33" customHeight="1" spans="1:11">
      <c r="A1" s="65" t="s">
        <v>0</v>
      </c>
      <c r="B1" s="65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5" t="s">
        <v>7</v>
      </c>
      <c r="I1" s="66" t="s">
        <v>8</v>
      </c>
      <c r="J1" s="66" t="s">
        <v>9</v>
      </c>
      <c r="K1" s="66" t="s">
        <v>10</v>
      </c>
    </row>
    <row r="2" customFormat="1" ht="54" customHeight="1" spans="1:11">
      <c r="A2" s="18" t="s">
        <v>11</v>
      </c>
      <c r="B2" s="18" t="s">
        <v>12</v>
      </c>
      <c r="C2" s="18" t="s">
        <v>13</v>
      </c>
      <c r="D2" s="60">
        <v>8992</v>
      </c>
      <c r="E2" s="60">
        <v>0</v>
      </c>
      <c r="F2" s="60">
        <v>0</v>
      </c>
      <c r="G2" s="60">
        <f>D2+E2-F2</f>
        <v>8992</v>
      </c>
      <c r="H2" s="67">
        <f>F2/D2</f>
        <v>0</v>
      </c>
      <c r="I2" s="60">
        <v>8992</v>
      </c>
      <c r="J2" s="61">
        <v>0.09</v>
      </c>
      <c r="K2" s="68">
        <f>D2-I2</f>
        <v>0</v>
      </c>
    </row>
  </sheetData>
  <conditionalFormatting sqref="H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{b14acbab-5b7b-49c2-b9ce-f650b0ff3bda}</x14:id>
        </ext>
      </extLst>
    </cfRule>
  </conditionalFormatting>
  <conditionalFormatting sqref="L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{4e39778f-640a-4573-9f39-bdfd74cf650c}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acbab-5b7b-49c2-b9ce-f650b0ff3b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</xm:sqref>
        </x14:conditionalFormatting>
        <x14:conditionalFormatting xmlns:xm="http://schemas.microsoft.com/office/excel/2006/main">
          <x14:cfRule type="dataBar" id="{4e39778f-640a-4573-9f39-bdfd74cf6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70" zoomScaleNormal="70" topLeftCell="B1" workbookViewId="0">
      <selection activeCell="N15" sqref="N15:N16"/>
    </sheetView>
  </sheetViews>
  <sheetFormatPr defaultColWidth="9.02727272727273" defaultRowHeight="28" customHeight="1"/>
  <cols>
    <col min="1" max="1" width="9.02727272727273" style="1"/>
    <col min="2" max="2" width="31.4636363636364" style="1" customWidth="1"/>
    <col min="3" max="3" width="20.3818181818182" style="1" customWidth="1"/>
    <col min="4" max="4" width="12.7454545454545" style="48" customWidth="1"/>
    <col min="5" max="5" width="14.4272727272727" style="20" customWidth="1"/>
    <col min="6" max="7" width="8.96363636363636" style="20" customWidth="1"/>
    <col min="8" max="8" width="13.0090909090909" style="1" customWidth="1"/>
    <col min="9" max="9" width="5.24545454545455" style="1" customWidth="1"/>
    <col min="10" max="10" width="8.96363636363636" style="20" customWidth="1"/>
    <col min="11" max="11" width="10.8818181818182" style="1" customWidth="1"/>
    <col min="12" max="16384" width="9.02727272727273" style="1"/>
  </cols>
  <sheetData>
    <row r="1" s="25" customFormat="1" customHeight="1" spans="1:14">
      <c r="A1" s="49"/>
      <c r="B1" s="50" t="s">
        <v>14</v>
      </c>
      <c r="C1" s="51" t="s">
        <v>15</v>
      </c>
      <c r="D1" s="52" t="s">
        <v>16</v>
      </c>
      <c r="E1" s="53" t="s">
        <v>17</v>
      </c>
      <c r="F1" s="53" t="s">
        <v>18</v>
      </c>
      <c r="G1" s="53" t="s">
        <v>19</v>
      </c>
      <c r="H1" s="53" t="s">
        <v>20</v>
      </c>
      <c r="I1" s="54" t="s">
        <v>9</v>
      </c>
      <c r="J1" s="53" t="s">
        <v>21</v>
      </c>
      <c r="K1" s="53" t="s">
        <v>22</v>
      </c>
      <c r="L1" s="49"/>
    </row>
    <row r="2" s="46" customFormat="1" customHeight="1" spans="1:14">
      <c r="B2" s="55" t="s">
        <v>23</v>
      </c>
      <c r="C2" s="55" t="s">
        <v>24</v>
      </c>
      <c r="D2" s="56">
        <v>546.94</v>
      </c>
      <c r="E2" s="57">
        <v>546.94</v>
      </c>
      <c r="F2" s="57">
        <f>SUM(E2:E2)</f>
        <v>546.94</v>
      </c>
      <c r="G2" s="57">
        <f>D2-F2</f>
        <v>0</v>
      </c>
      <c r="H2" s="55">
        <v>546.94</v>
      </c>
      <c r="I2" s="58">
        <v>0.13</v>
      </c>
      <c r="J2" s="57">
        <f>H2/(1+I2)*I2</f>
        <v>62.9223008849558</v>
      </c>
      <c r="K2" s="55">
        <f t="shared" ref="K2:K11" si="0">D2-H2</f>
        <v>0</v>
      </c>
    </row>
    <row r="3" s="46" customFormat="1" customHeight="1" spans="1:14">
      <c r="B3" s="59" t="s">
        <v>25</v>
      </c>
      <c r="C3" s="55" t="s">
        <v>26</v>
      </c>
      <c r="D3" s="56">
        <v>50</v>
      </c>
      <c r="E3" s="57">
        <v>50</v>
      </c>
      <c r="F3" s="57">
        <f t="shared" ref="F3:F11" si="1">SUM(E3:E3)</f>
        <v>50</v>
      </c>
      <c r="G3" s="57">
        <f t="shared" ref="G3:G11" si="2">D3-F3</f>
        <v>0</v>
      </c>
      <c r="H3" s="55"/>
      <c r="I3" s="58" t="s">
        <v>27</v>
      </c>
      <c r="J3" s="57">
        <f>G3/1.01*0.01</f>
        <v>0</v>
      </c>
      <c r="K3" s="55">
        <f t="shared" si="0"/>
        <v>50</v>
      </c>
    </row>
    <row r="4" s="46" customFormat="1" customHeight="1" spans="1:14">
      <c r="B4" s="55" t="s">
        <v>28</v>
      </c>
      <c r="C4" s="55" t="s">
        <v>29</v>
      </c>
      <c r="D4" s="56">
        <v>70</v>
      </c>
      <c r="E4" s="57">
        <v>70</v>
      </c>
      <c r="F4" s="57">
        <f t="shared" si="1"/>
        <v>70</v>
      </c>
      <c r="G4" s="57">
        <f t="shared" si="2"/>
        <v>0</v>
      </c>
      <c r="H4" s="55"/>
      <c r="I4" s="58" t="s">
        <v>27</v>
      </c>
      <c r="J4" s="57"/>
      <c r="K4" s="55">
        <f t="shared" si="0"/>
        <v>70</v>
      </c>
    </row>
    <row r="5" s="46" customFormat="1" customHeight="1" spans="1:14">
      <c r="B5" s="55"/>
      <c r="C5" s="17"/>
      <c r="D5" s="18"/>
      <c r="E5" s="57"/>
      <c r="F5" s="57">
        <f t="shared" si="1"/>
        <v>0</v>
      </c>
      <c r="G5" s="57">
        <f t="shared" si="2"/>
        <v>0</v>
      </c>
      <c r="H5" s="55"/>
      <c r="I5" s="58" t="s">
        <v>27</v>
      </c>
      <c r="J5" s="57"/>
      <c r="K5" s="55">
        <f t="shared" si="0"/>
        <v>0</v>
      </c>
    </row>
    <row r="6" s="46" customFormat="1" hidden="1" customHeight="1" spans="1:14">
      <c r="B6" s="55"/>
      <c r="C6" s="55"/>
      <c r="D6" s="56"/>
      <c r="E6" s="57"/>
      <c r="F6" s="57">
        <f t="shared" si="1"/>
        <v>0</v>
      </c>
      <c r="G6" s="57">
        <f t="shared" si="2"/>
        <v>0</v>
      </c>
      <c r="H6" s="55"/>
      <c r="I6" s="58"/>
      <c r="J6" s="57"/>
      <c r="K6" s="55">
        <f t="shared" si="0"/>
        <v>0</v>
      </c>
    </row>
    <row r="7" s="46" customFormat="1" hidden="1" customHeight="1" spans="1:14">
      <c r="B7" s="55"/>
      <c r="C7" s="55"/>
      <c r="D7" s="56"/>
      <c r="E7" s="57"/>
      <c r="F7" s="57">
        <f t="shared" si="1"/>
        <v>0</v>
      </c>
      <c r="G7" s="57">
        <f t="shared" si="2"/>
        <v>0</v>
      </c>
      <c r="H7" s="55"/>
      <c r="I7" s="58"/>
      <c r="J7" s="57"/>
      <c r="K7" s="55">
        <f t="shared" si="0"/>
        <v>0</v>
      </c>
    </row>
    <row r="8" s="46" customFormat="1" hidden="1" customHeight="1" spans="1:14">
      <c r="B8" s="55"/>
      <c r="C8" s="55"/>
      <c r="D8" s="56"/>
      <c r="E8" s="57"/>
      <c r="F8" s="57">
        <f t="shared" si="1"/>
        <v>0</v>
      </c>
      <c r="G8" s="57">
        <f t="shared" si="2"/>
        <v>0</v>
      </c>
      <c r="H8" s="55"/>
      <c r="I8" s="58"/>
      <c r="J8" s="57"/>
      <c r="K8" s="55">
        <f t="shared" si="0"/>
        <v>0</v>
      </c>
    </row>
    <row r="9" s="46" customFormat="1" hidden="1" customHeight="1" spans="1:14">
      <c r="B9" s="55"/>
      <c r="C9" s="55"/>
      <c r="D9" s="56"/>
      <c r="E9" s="57"/>
      <c r="F9" s="57">
        <f t="shared" si="1"/>
        <v>0</v>
      </c>
      <c r="G9" s="57">
        <f t="shared" si="2"/>
        <v>0</v>
      </c>
      <c r="H9" s="55"/>
      <c r="I9" s="58"/>
      <c r="J9" s="57"/>
      <c r="K9" s="55">
        <f t="shared" si="0"/>
        <v>0</v>
      </c>
    </row>
    <row r="10" s="46" customFormat="1" hidden="1" customHeight="1" spans="1:14">
      <c r="B10" s="55"/>
      <c r="C10" s="55"/>
      <c r="D10" s="56"/>
      <c r="E10" s="57"/>
      <c r="F10" s="57">
        <f t="shared" si="1"/>
        <v>0</v>
      </c>
      <c r="G10" s="57">
        <f t="shared" si="2"/>
        <v>0</v>
      </c>
      <c r="H10" s="55"/>
      <c r="I10" s="58"/>
      <c r="J10" s="57"/>
      <c r="K10" s="55">
        <f t="shared" si="0"/>
        <v>0</v>
      </c>
    </row>
    <row r="11" s="46" customFormat="1" hidden="1" customHeight="1" spans="1:14">
      <c r="B11" s="55"/>
      <c r="C11" s="55"/>
      <c r="D11" s="56"/>
      <c r="E11" s="57"/>
      <c r="F11" s="57">
        <f t="shared" si="1"/>
        <v>0</v>
      </c>
      <c r="G11" s="57">
        <f t="shared" si="2"/>
        <v>0</v>
      </c>
      <c r="H11" s="55"/>
      <c r="I11" s="58"/>
      <c r="J11" s="57"/>
      <c r="K11" s="55">
        <f t="shared" si="0"/>
        <v>0</v>
      </c>
    </row>
    <row r="12" s="25" customFormat="1" customHeight="1" spans="1:14">
      <c r="A12" s="49"/>
      <c r="B12" s="50" t="s">
        <v>30</v>
      </c>
      <c r="C12" s="51" t="s">
        <v>15</v>
      </c>
      <c r="D12" s="52" t="s">
        <v>31</v>
      </c>
      <c r="E12" s="53" t="s">
        <v>17</v>
      </c>
      <c r="F12" s="53" t="s">
        <v>18</v>
      </c>
      <c r="G12" s="53" t="s">
        <v>19</v>
      </c>
      <c r="H12" s="53" t="s">
        <v>20</v>
      </c>
      <c r="I12" s="54" t="s">
        <v>9</v>
      </c>
      <c r="J12" s="53" t="s">
        <v>21</v>
      </c>
      <c r="K12" s="53" t="s">
        <v>22</v>
      </c>
      <c r="L12" s="49"/>
    </row>
    <row r="13" s="1" customFormat="1" customHeight="1" spans="1:14">
      <c r="B13" s="17" t="s">
        <v>32</v>
      </c>
      <c r="C13" s="17" t="s">
        <v>33</v>
      </c>
      <c r="D13" s="18">
        <v>1820</v>
      </c>
      <c r="E13" s="60">
        <v>1820</v>
      </c>
      <c r="F13" s="60">
        <f>SUM(E13:E13)</f>
        <v>1820</v>
      </c>
      <c r="G13" s="60">
        <f>D13-F13</f>
        <v>0</v>
      </c>
      <c r="H13" s="17"/>
      <c r="I13" s="17"/>
      <c r="J13" s="60"/>
      <c r="K13" s="17">
        <f>D13-H13</f>
        <v>1820</v>
      </c>
    </row>
    <row r="14" s="1" customFormat="1" customHeight="1" spans="1:14">
      <c r="B14" s="17" t="s">
        <v>34</v>
      </c>
      <c r="C14" s="17" t="s">
        <v>35</v>
      </c>
      <c r="D14" s="18">
        <v>360</v>
      </c>
      <c r="E14" s="60">
        <v>360</v>
      </c>
      <c r="F14" s="60">
        <f>SUM(E14:E14)</f>
        <v>360</v>
      </c>
      <c r="G14" s="60">
        <f>D14-F14</f>
        <v>0</v>
      </c>
      <c r="H14" s="17"/>
      <c r="I14" s="17"/>
      <c r="J14" s="60"/>
      <c r="K14" s="17">
        <f>D14-H14</f>
        <v>360</v>
      </c>
    </row>
    <row r="15" s="1" customFormat="1" customHeight="1" spans="1:14">
      <c r="B15" s="17"/>
      <c r="C15" s="17"/>
      <c r="D15" s="18"/>
      <c r="E15" s="60"/>
      <c r="F15" s="60">
        <f>SUM(E15:E15)</f>
        <v>0</v>
      </c>
      <c r="G15" s="60">
        <f>D15-F15</f>
        <v>0</v>
      </c>
      <c r="H15" s="17"/>
      <c r="I15" s="17"/>
      <c r="J15" s="60"/>
      <c r="K15" s="17">
        <f>D15-H15</f>
        <v>0</v>
      </c>
      <c r="N15" s="1">
        <v>1820</v>
      </c>
    </row>
    <row r="16" s="1" customFormat="1" customHeight="1" spans="1:14">
      <c r="B16" s="17"/>
      <c r="C16" s="17"/>
      <c r="D16" s="18"/>
      <c r="E16" s="60"/>
      <c r="F16" s="60">
        <f>SUM(E16:E16)</f>
        <v>0</v>
      </c>
      <c r="G16" s="60">
        <f>D16-F16</f>
        <v>0</v>
      </c>
      <c r="H16" s="17"/>
      <c r="I16" s="17"/>
      <c r="J16" s="60"/>
      <c r="K16" s="17">
        <f>D16-H16</f>
        <v>0</v>
      </c>
      <c r="N16" s="1">
        <v>800</v>
      </c>
    </row>
    <row r="17" s="25" customFormat="1" customHeight="1" spans="1:12">
      <c r="A17" s="49"/>
      <c r="B17" s="50" t="s">
        <v>36</v>
      </c>
      <c r="C17" s="51" t="s">
        <v>15</v>
      </c>
      <c r="D17" s="52" t="s">
        <v>31</v>
      </c>
      <c r="E17" s="53" t="s">
        <v>17</v>
      </c>
      <c r="F17" s="53" t="s">
        <v>18</v>
      </c>
      <c r="G17" s="53" t="s">
        <v>19</v>
      </c>
      <c r="H17" s="53" t="s">
        <v>20</v>
      </c>
      <c r="I17" s="54" t="s">
        <v>9</v>
      </c>
      <c r="J17" s="53" t="s">
        <v>21</v>
      </c>
      <c r="K17" s="53" t="s">
        <v>22</v>
      </c>
      <c r="L17" s="49"/>
    </row>
    <row r="18" s="1" customFormat="1" customHeight="1" spans="1:12">
      <c r="B18" s="17" t="s">
        <v>37</v>
      </c>
      <c r="C18" s="17" t="s">
        <v>38</v>
      </c>
      <c r="D18" s="18">
        <v>800</v>
      </c>
      <c r="E18" s="60">
        <v>800</v>
      </c>
      <c r="F18" s="60">
        <f>SUM(E18:E18)</f>
        <v>800</v>
      </c>
      <c r="G18" s="60">
        <f>D18-F18</f>
        <v>0</v>
      </c>
      <c r="H18" s="17">
        <v>800</v>
      </c>
      <c r="I18" s="61">
        <v>0.01</v>
      </c>
      <c r="J18" s="60">
        <f>H18/(1+I18)*I18</f>
        <v>7.92079207920792</v>
      </c>
      <c r="K18" s="17"/>
    </row>
    <row r="19" s="1" customFormat="1" customHeight="1" spans="1:12">
      <c r="B19" s="17"/>
      <c r="C19" s="17"/>
      <c r="D19" s="18"/>
      <c r="E19" s="60"/>
      <c r="F19" s="60">
        <f>SUM(E19:E19)</f>
        <v>0</v>
      </c>
      <c r="G19" s="60">
        <f>D19-F19</f>
        <v>0</v>
      </c>
      <c r="H19" s="17"/>
      <c r="I19" s="61"/>
      <c r="J19" s="60"/>
      <c r="K19" s="17"/>
    </row>
    <row r="20" s="1" customFormat="1" hidden="1" customHeight="1" spans="1:12">
      <c r="B20" s="17"/>
      <c r="C20" s="17"/>
      <c r="D20" s="18"/>
      <c r="E20" s="60"/>
      <c r="F20" s="60">
        <f>SUM(E20:E20)</f>
        <v>0</v>
      </c>
      <c r="G20" s="60">
        <f>D20-F20</f>
        <v>0</v>
      </c>
      <c r="H20" s="17"/>
      <c r="I20" s="17"/>
      <c r="J20" s="60"/>
      <c r="K20" s="17"/>
    </row>
    <row r="21" s="1" customFormat="1" hidden="1" customHeight="1" spans="1:12">
      <c r="B21" s="17"/>
      <c r="C21" s="17"/>
      <c r="D21" s="18"/>
      <c r="E21" s="60"/>
      <c r="F21" s="60">
        <f t="shared" ref="F18:F29" si="3">SUM(E21:E21)</f>
        <v>0</v>
      </c>
      <c r="G21" s="60">
        <f t="shared" ref="G18:G29" si="4">D21-F21</f>
        <v>0</v>
      </c>
      <c r="H21" s="17"/>
      <c r="I21" s="17"/>
      <c r="J21" s="60"/>
      <c r="K21" s="17">
        <f t="shared" ref="K18:K29" si="5">E21-H21</f>
        <v>0</v>
      </c>
    </row>
    <row r="22" s="1" customFormat="1" hidden="1" customHeight="1" spans="1:12">
      <c r="B22" s="17"/>
      <c r="C22" s="17"/>
      <c r="D22" s="18"/>
      <c r="E22" s="60"/>
      <c r="F22" s="60">
        <f t="shared" si="3"/>
        <v>0</v>
      </c>
      <c r="G22" s="60">
        <f t="shared" si="4"/>
        <v>0</v>
      </c>
      <c r="H22" s="17"/>
      <c r="I22" s="17"/>
      <c r="J22" s="60"/>
      <c r="K22" s="17">
        <f t="shared" si="5"/>
        <v>0</v>
      </c>
    </row>
    <row r="23" s="1" customFormat="1" hidden="1" customHeight="1" spans="1:12">
      <c r="B23" s="17"/>
      <c r="C23" s="17"/>
      <c r="D23" s="18"/>
      <c r="E23" s="60"/>
      <c r="F23" s="60">
        <f t="shared" si="3"/>
        <v>0</v>
      </c>
      <c r="G23" s="60">
        <f t="shared" si="4"/>
        <v>0</v>
      </c>
      <c r="H23" s="17"/>
      <c r="I23" s="17"/>
      <c r="J23" s="60"/>
      <c r="K23" s="17">
        <f t="shared" si="5"/>
        <v>0</v>
      </c>
    </row>
    <row r="24" s="1" customFormat="1" hidden="1" customHeight="1" spans="1:12">
      <c r="B24" s="17"/>
      <c r="C24" s="17"/>
      <c r="D24" s="18"/>
      <c r="E24" s="60"/>
      <c r="F24" s="60">
        <f t="shared" si="3"/>
        <v>0</v>
      </c>
      <c r="G24" s="60">
        <f t="shared" si="4"/>
        <v>0</v>
      </c>
      <c r="H24" s="17"/>
      <c r="I24" s="17"/>
      <c r="J24" s="60"/>
      <c r="K24" s="17">
        <f t="shared" si="5"/>
        <v>0</v>
      </c>
    </row>
    <row r="25" s="1" customFormat="1" hidden="1" customHeight="1" spans="1:12">
      <c r="B25" s="17"/>
      <c r="C25" s="17"/>
      <c r="D25" s="18"/>
      <c r="E25" s="60"/>
      <c r="F25" s="60">
        <f t="shared" si="3"/>
        <v>0</v>
      </c>
      <c r="G25" s="60">
        <f t="shared" si="4"/>
        <v>0</v>
      </c>
      <c r="H25" s="17"/>
      <c r="I25" s="17"/>
      <c r="J25" s="60"/>
      <c r="K25" s="17">
        <f t="shared" si="5"/>
        <v>0</v>
      </c>
    </row>
    <row r="26" s="1" customFormat="1" hidden="1" customHeight="1" spans="1:12">
      <c r="B26" s="17"/>
      <c r="C26" s="17"/>
      <c r="D26" s="18"/>
      <c r="E26" s="60"/>
      <c r="F26" s="60">
        <f t="shared" si="3"/>
        <v>0</v>
      </c>
      <c r="G26" s="60">
        <f t="shared" si="4"/>
        <v>0</v>
      </c>
      <c r="H26" s="17"/>
      <c r="I26" s="17"/>
      <c r="J26" s="60"/>
      <c r="K26" s="17">
        <f t="shared" si="5"/>
        <v>0</v>
      </c>
    </row>
    <row r="27" s="1" customFormat="1" hidden="1" customHeight="1" spans="1:12">
      <c r="B27" s="17"/>
      <c r="C27" s="17"/>
      <c r="D27" s="18"/>
      <c r="E27" s="60"/>
      <c r="F27" s="60">
        <f t="shared" si="3"/>
        <v>0</v>
      </c>
      <c r="G27" s="60">
        <f t="shared" si="4"/>
        <v>0</v>
      </c>
      <c r="H27" s="17"/>
      <c r="I27" s="17"/>
      <c r="J27" s="60"/>
      <c r="K27" s="17">
        <f t="shared" si="5"/>
        <v>0</v>
      </c>
    </row>
    <row r="28" s="1" customFormat="1" hidden="1" customHeight="1" spans="1:12">
      <c r="B28" s="17"/>
      <c r="C28" s="17"/>
      <c r="D28" s="18"/>
      <c r="E28" s="60"/>
      <c r="F28" s="60">
        <f t="shared" si="3"/>
        <v>0</v>
      </c>
      <c r="G28" s="60">
        <f t="shared" si="4"/>
        <v>0</v>
      </c>
      <c r="H28" s="17"/>
      <c r="I28" s="17"/>
      <c r="J28" s="60"/>
      <c r="K28" s="17">
        <f t="shared" si="5"/>
        <v>0</v>
      </c>
    </row>
    <row r="29" s="1" customFormat="1" hidden="1" customHeight="1" spans="1:12">
      <c r="B29" s="17"/>
      <c r="C29" s="17"/>
      <c r="D29" s="18"/>
      <c r="E29" s="60"/>
      <c r="F29" s="60">
        <f t="shared" si="3"/>
        <v>0</v>
      </c>
      <c r="G29" s="60">
        <f t="shared" si="4"/>
        <v>0</v>
      </c>
      <c r="H29" s="17"/>
      <c r="I29" s="17"/>
      <c r="J29" s="60"/>
      <c r="K29" s="17">
        <f t="shared" si="5"/>
        <v>0</v>
      </c>
    </row>
    <row r="30" customHeight="1" spans="1:12">
      <c r="B30" s="17"/>
      <c r="C30" s="17"/>
      <c r="D30" s="18"/>
      <c r="E30" s="60"/>
      <c r="F30" s="60"/>
      <c r="G30" s="60"/>
      <c r="H30" s="17"/>
      <c r="I30" s="17"/>
      <c r="J30" s="60"/>
      <c r="K30" s="17"/>
    </row>
    <row r="31" s="47" customFormat="1" customHeight="1" spans="1:12">
      <c r="B31" s="11"/>
      <c r="C31" s="11"/>
      <c r="D31" s="62"/>
      <c r="E31" s="14"/>
      <c r="F31" s="14"/>
      <c r="G31" s="14"/>
      <c r="H31" s="11"/>
      <c r="I31" s="11"/>
      <c r="J31" s="14"/>
      <c r="K31" s="11"/>
    </row>
  </sheetData>
  <conditionalFormatting sqref="K1">
    <cfRule type="cellIs" dxfId="0" priority="5" operator="greaterThan">
      <formula>0</formula>
    </cfRule>
    <cfRule type="cellIs" dxfId="0" priority="6" operator="greaterThan">
      <formula>0</formula>
    </cfRule>
  </conditionalFormatting>
  <conditionalFormatting sqref="K12">
    <cfRule type="cellIs" dxfId="0" priority="3" operator="greaterThan">
      <formula>0</formula>
    </cfRule>
    <cfRule type="cellIs" dxfId="0" priority="4" operator="greaterThan">
      <formula>0</formula>
    </cfRule>
  </conditionalFormatting>
  <conditionalFormatting sqref="K17">
    <cfRule type="cellIs" dxfId="0" priority="1" operator="greaterThan">
      <formula>0</formula>
    </cfRule>
    <cfRule type="cellIs" dxfId="0" priority="2" operator="greaterThan">
      <formula>0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I13" sqref="I13"/>
    </sheetView>
  </sheetViews>
  <sheetFormatPr defaultColWidth="9" defaultRowHeight="28" customHeight="1" outlineLevelCol="3"/>
  <cols>
    <col min="1" max="1" width="8.75454545454545" style="1" customWidth="1"/>
    <col min="2" max="2" width="24.1272727272727" style="1" customWidth="1"/>
    <col min="3" max="3" width="20.6363636363636" style="1" customWidth="1"/>
    <col min="4" max="4" width="17.5" style="1" customWidth="1"/>
    <col min="5" max="16384" width="9" style="1"/>
  </cols>
  <sheetData>
    <row r="1" s="1" customFormat="1" customHeight="1" spans="1:4">
      <c r="A1" s="27" t="s">
        <v>39</v>
      </c>
      <c r="B1" s="27"/>
      <c r="C1" s="27"/>
      <c r="D1" s="28"/>
    </row>
    <row r="2" s="1" customFormat="1" customHeight="1" spans="1:4">
      <c r="A2" s="29"/>
      <c r="B2" s="29" t="s">
        <v>40</v>
      </c>
      <c r="C2" s="30" t="s">
        <v>41</v>
      </c>
      <c r="D2" s="31" t="s">
        <v>42</v>
      </c>
    </row>
    <row r="3" s="1" customFormat="1" customHeight="1" spans="1:4">
      <c r="A3" s="32" t="s">
        <v>43</v>
      </c>
      <c r="B3" s="33" t="s">
        <v>44</v>
      </c>
      <c r="C3" s="34">
        <f>项目汇总情况!D2</f>
        <v>8992</v>
      </c>
      <c r="D3" s="35">
        <v>1</v>
      </c>
    </row>
    <row r="4" s="1" customFormat="1" customHeight="1" spans="1:4">
      <c r="A4" s="32"/>
      <c r="B4" s="33"/>
      <c r="C4" s="34"/>
      <c r="D4" s="35"/>
    </row>
    <row r="5" s="1" customFormat="1" customHeight="1" spans="1:4">
      <c r="A5" s="32"/>
      <c r="B5" s="33" t="str">
        <f ca="1" t="array" ref="B5">IFERROR(OFFSET($X$1,SMALL(IF(($X$1:$X$111)&lt;&gt;"",ROW($X$1:$X$111),""),ROW(#REF!))-ROW($X$1),0),"")</f>
        <v/>
      </c>
      <c r="C5" s="34" t="str">
        <f ca="1">IF(B5="","",IF(#REF!="",SUMIFS([1]收支登记表!$J:$J,[1]收支登记表!$D:$D,"&gt;="&amp;$L$2,[1]收支登记表!$D:$D,"&lt;="&amp;$N$2,[1]收支登记表!$H:$H,[1]利润表!$G29),SUMIFS([1]收支登记表!$J:$J,[1]收支登记表!$D:$D,"&gt;="&amp;$L$2,[1]收支登记表!$D:$D,"&lt;="&amp;$N$2,[1]收支登记表!$H:$H,[1]利润表!$G29,[1]收支登记表!$M:$M,[1]利润表!$L$3)))</f>
        <v/>
      </c>
      <c r="D5" s="35" t="str">
        <f ca="1">IFERROR(C5/#REF!,"")</f>
        <v/>
      </c>
    </row>
    <row r="6" s="1" customFormat="1" customHeight="1" spans="1:4">
      <c r="A6" s="36" t="s">
        <v>45</v>
      </c>
      <c r="B6" s="37"/>
      <c r="C6" s="38">
        <f>C3</f>
        <v>8992</v>
      </c>
      <c r="D6" s="39" t="str">
        <f>IFERROR(C6/#REF!,"")</f>
        <v/>
      </c>
    </row>
    <row r="7" s="1" customFormat="1" customHeight="1" spans="1:4">
      <c r="A7" s="32" t="s">
        <v>46</v>
      </c>
      <c r="B7" s="40" t="s">
        <v>47</v>
      </c>
      <c r="C7" s="41">
        <f>SUM(应付汇总!D2:D11)</f>
        <v>666.94</v>
      </c>
      <c r="D7" s="42">
        <f>C7/C6</f>
        <v>0.0741703736654804</v>
      </c>
    </row>
    <row r="8" s="1" customFormat="1" customHeight="1" spans="1:4">
      <c r="A8" s="32"/>
      <c r="B8" s="40" t="s">
        <v>32</v>
      </c>
      <c r="C8" s="41">
        <f>SUM(应付汇总!D13:D16)</f>
        <v>2180</v>
      </c>
      <c r="D8" s="42">
        <f>C8/C6</f>
        <v>0.242437722419929</v>
      </c>
    </row>
    <row r="9" s="1" customFormat="1" hidden="1" customHeight="1" spans="1:4">
      <c r="A9" s="32"/>
      <c r="B9" s="40"/>
      <c r="C9" s="41"/>
      <c r="D9" s="42">
        <f>C9/C6</f>
        <v>0</v>
      </c>
    </row>
    <row r="10" s="1" customFormat="1" customHeight="1" spans="1:4">
      <c r="A10" s="32"/>
      <c r="B10" s="40" t="s">
        <v>48</v>
      </c>
      <c r="C10" s="41">
        <f>SUM(应付汇总!D18:D30)</f>
        <v>800</v>
      </c>
      <c r="D10" s="42">
        <f>C10/C6</f>
        <v>0.0889679715302491</v>
      </c>
    </row>
    <row r="11" s="1" customFormat="1" customHeight="1" spans="1:4">
      <c r="A11" s="32"/>
      <c r="B11" s="43" t="s">
        <v>49</v>
      </c>
      <c r="C11" s="41">
        <f ca="1">待摊费用!D11</f>
        <v>636.704952076685</v>
      </c>
      <c r="D11" s="42">
        <f ca="1">C11/C6</f>
        <v>0.0708079350619089</v>
      </c>
    </row>
    <row r="12" s="1" customFormat="1" customHeight="1" spans="1:4">
      <c r="A12" s="32"/>
      <c r="B12" s="43"/>
      <c r="C12" s="41"/>
      <c r="D12" s="42">
        <f>C12/C6</f>
        <v>0</v>
      </c>
    </row>
    <row r="13" s="1" customFormat="1" customHeight="1" spans="1:4">
      <c r="A13" s="32"/>
      <c r="B13" s="40"/>
      <c r="C13" s="41"/>
      <c r="D13" s="42">
        <f>C13/C6</f>
        <v>0</v>
      </c>
    </row>
    <row r="14" s="1" customFormat="1" customHeight="1" spans="1:4">
      <c r="A14" s="32"/>
      <c r="B14" s="40" t="str">
        <f ca="1" t="array" ref="B14">IFERROR(OFFSET($Y$1,SMALL(IF(($Y$1:$Y$111)&lt;&gt;"",ROW($Y$1:$Y$111),""),ROW(#REF!))-ROW($Y$1),0),"")</f>
        <v/>
      </c>
      <c r="C14" s="41" t="str">
        <f ca="1">IF(B14="","",IF(#REF!="",SUMIFS([1]收支登记表!$K:$K,[1]收支登记表!$D:$D,"&gt;="&amp;$L$2,[1]收支登记表!$D:$D,"&lt;="&amp;$N$2,[1]收支登记表!$H:$H,[1]利润表!$G103),SUMIFS([1]收支登记表!$K:$K,[1]收支登记表!$D:$D,"&gt;="&amp;$L$2,[1]收支登记表!$D:$D,"&lt;="&amp;$N$2,[1]收支登记表!$H:$H,[1]利润表!$G103,[1]收支登记表!$M:$M,[1]利润表!$L$3)))</f>
        <v/>
      </c>
      <c r="D14" s="42" t="str">
        <f ca="1" t="shared" ref="D14:D16" si="0">IFERROR(C14/$H$17,"")</f>
        <v/>
      </c>
    </row>
    <row r="15" s="1" customFormat="1" customHeight="1" spans="1:4">
      <c r="A15" s="32"/>
      <c r="B15" s="40" t="str">
        <f ca="1" t="array" ref="B15">IFERROR(OFFSET($Y$1,SMALL(IF(($Y$1:$Y$111)&lt;&gt;"",ROW($Y$1:$Y$111),""),ROW(#REF!))-ROW($Y$1),0),"")</f>
        <v/>
      </c>
      <c r="C15" s="41" t="str">
        <f ca="1">IF(B15="","",IF(#REF!="",SUMIFS([1]收支登记表!$K:$K,[1]收支登记表!$D:$D,"&gt;="&amp;$L$2,[1]收支登记表!$D:$D,"&lt;="&amp;$N$2,[1]收支登记表!$H:$H,[1]利润表!$G104),SUMIFS([1]收支登记表!$K:$K,[1]收支登记表!$D:$D,"&gt;="&amp;$L$2,[1]收支登记表!$D:$D,"&lt;="&amp;$N$2,[1]收支登记表!$H:$H,[1]利润表!$G104,[1]收支登记表!$M:$M,[1]利润表!$L$3)))</f>
        <v/>
      </c>
      <c r="D15" s="42" t="str">
        <f ca="1" t="shared" si="0"/>
        <v/>
      </c>
    </row>
    <row r="16" s="1" customFormat="1" customHeight="1" spans="1:4">
      <c r="A16" s="36" t="s">
        <v>50</v>
      </c>
      <c r="B16" s="37"/>
      <c r="C16" s="44">
        <f ca="1">SUM(C7:C15)</f>
        <v>4283.64495207668</v>
      </c>
      <c r="D16" s="42" t="str">
        <f ca="1" t="shared" si="0"/>
        <v/>
      </c>
    </row>
    <row r="17" s="1" customFormat="1" customHeight="1" spans="1:4">
      <c r="A17" s="36" t="s">
        <v>51</v>
      </c>
      <c r="B17" s="37"/>
      <c r="C17" s="44">
        <f ca="1">SUM(C6-C16)</f>
        <v>4708.35504792332</v>
      </c>
      <c r="D17" s="45">
        <v>0</v>
      </c>
    </row>
  </sheetData>
  <mergeCells count="6">
    <mergeCell ref="A1:D1"/>
    <mergeCell ref="A6:B6"/>
    <mergeCell ref="A16:B16"/>
    <mergeCell ref="A17:B17"/>
    <mergeCell ref="A3:A5"/>
    <mergeCell ref="A7:A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J3" sqref="J3"/>
    </sheetView>
  </sheetViews>
  <sheetFormatPr defaultColWidth="12.0909090909091" defaultRowHeight="22" customHeight="1"/>
  <cols>
    <col min="1" max="1" width="16.1818181818182" style="1" customWidth="1"/>
    <col min="2" max="2" width="12.0909090909091" style="1"/>
    <col min="3" max="3" width="12.8181818181818" style="1"/>
    <col min="4" max="4" width="12.9090909090909" style="20"/>
    <col min="5" max="5" width="12.8181818181818" style="21"/>
    <col min="6" max="6" width="12.8181818181818" style="20"/>
    <col min="7" max="7" width="17.8181818181818" style="1" customWidth="1"/>
    <col min="8" max="10" width="17.1818181818182" style="1" customWidth="1"/>
    <col min="11" max="11" width="12.0909090909091" style="20" customWidth="1"/>
    <col min="12" max="16384" width="12.0909090909091" style="1" customWidth="1"/>
  </cols>
  <sheetData>
    <row r="1" s="1" customFormat="1" customHeight="1" spans="1:11">
      <c r="A1" s="1" t="s">
        <v>52</v>
      </c>
      <c r="B1" s="1">
        <f>SUBTOTAL(9,B3:B100)</f>
        <v>9649368.95</v>
      </c>
      <c r="D1" s="20"/>
      <c r="E1" s="21"/>
      <c r="F1" s="20"/>
      <c r="H1" s="1" t="s">
        <v>53</v>
      </c>
      <c r="I1" s="20">
        <f ca="1">H16+J16</f>
        <v>683251.89</v>
      </c>
      <c r="K1" s="20"/>
    </row>
    <row r="2" s="1" customFormat="1" customHeight="1" spans="1:11">
      <c r="A2" s="22" t="s">
        <v>0</v>
      </c>
      <c r="B2" s="23" t="s">
        <v>44</v>
      </c>
      <c r="C2" s="24" t="s">
        <v>54</v>
      </c>
      <c r="D2" s="23" t="s">
        <v>55</v>
      </c>
      <c r="E2" s="21"/>
      <c r="F2" s="20"/>
      <c r="G2" s="22" t="s">
        <v>56</v>
      </c>
      <c r="H2" s="22" t="s">
        <v>57</v>
      </c>
      <c r="I2" s="22" t="s">
        <v>58</v>
      </c>
      <c r="J2" s="22" t="s">
        <v>59</v>
      </c>
      <c r="K2" s="20"/>
    </row>
    <row r="3" s="1" customFormat="1" customHeight="1" spans="1:11">
      <c r="A3" s="1" t="s">
        <v>60</v>
      </c>
      <c r="B3" s="1">
        <v>1500000</v>
      </c>
      <c r="C3" s="21">
        <f>B3/B1</f>
        <v>0.155450580009173</v>
      </c>
      <c r="D3" s="20">
        <f ca="1">I1*C3</f>
        <v>106211.902592864</v>
      </c>
      <c r="E3" s="21"/>
      <c r="F3" s="20"/>
      <c r="G3" s="1" t="s">
        <v>61</v>
      </c>
      <c r="H3" s="20">
        <v>63079.24</v>
      </c>
      <c r="I3" s="1" t="s">
        <v>61</v>
      </c>
      <c r="J3" s="20">
        <v>48775.98</v>
      </c>
      <c r="K3" s="20"/>
    </row>
    <row r="4" s="1" customFormat="1" customHeight="1" spans="1:11">
      <c r="A4" s="1" t="s">
        <v>62</v>
      </c>
      <c r="B4" s="1">
        <v>4362576.49</v>
      </c>
      <c r="C4" s="21">
        <f>B4/B1</f>
        <v>0.45211003046992</v>
      </c>
      <c r="D4" s="20">
        <f ca="1">C4*I1</f>
        <v>308905.03280653</v>
      </c>
      <c r="E4" s="21"/>
      <c r="F4" s="20"/>
      <c r="G4" s="1" t="s">
        <v>63</v>
      </c>
      <c r="H4" s="20">
        <v>59850</v>
      </c>
      <c r="I4" s="1" t="s">
        <v>64</v>
      </c>
      <c r="J4" s="20">
        <v>5755.94</v>
      </c>
      <c r="K4" s="20"/>
    </row>
    <row r="5" s="1" customFormat="1" customHeight="1" spans="1:11">
      <c r="A5" s="1" t="s">
        <v>65</v>
      </c>
      <c r="B5" s="1">
        <v>1641809</v>
      </c>
      <c r="C5" s="21">
        <f>B5/B1</f>
        <v>0.17014677420952</v>
      </c>
      <c r="D5" s="20">
        <f ca="1">C5*I1</f>
        <v>116253.105056058</v>
      </c>
      <c r="E5" s="21"/>
      <c r="F5" s="20"/>
      <c r="G5" s="1" t="s">
        <v>66</v>
      </c>
      <c r="H5" s="20">
        <v>7366.32</v>
      </c>
      <c r="I5" s="1" t="s">
        <v>67</v>
      </c>
      <c r="J5" s="20">
        <v>6132.15</v>
      </c>
      <c r="K5" s="20"/>
    </row>
    <row r="6" s="1" customFormat="1" customHeight="1" spans="1:11">
      <c r="A6" s="1" t="s">
        <v>68</v>
      </c>
      <c r="B6" s="1">
        <v>325612.18</v>
      </c>
      <c r="C6" s="21">
        <f>B6/B1</f>
        <v>0.0337444014927007</v>
      </c>
      <c r="D6" s="20">
        <f ca="1">C6*I1</f>
        <v>23055.9260968066</v>
      </c>
      <c r="E6" s="21"/>
      <c r="F6" s="20"/>
      <c r="G6" s="1" t="s">
        <v>69</v>
      </c>
      <c r="H6" s="20">
        <v>144850</v>
      </c>
      <c r="I6" s="1" t="s">
        <v>70</v>
      </c>
      <c r="J6" s="20">
        <v>11442.26</v>
      </c>
      <c r="K6" s="20"/>
    </row>
    <row r="7" s="1" customFormat="1" customHeight="1" spans="1:11">
      <c r="A7" s="1" t="s">
        <v>71</v>
      </c>
      <c r="B7" s="1">
        <v>91006.56</v>
      </c>
      <c r="C7" s="21">
        <f>B7/B1</f>
        <v>0.00943134835775971</v>
      </c>
      <c r="D7" s="20">
        <f ca="1">C7*I1</f>
        <v>6443.98659068772</v>
      </c>
      <c r="E7" s="21"/>
      <c r="F7" s="20"/>
      <c r="H7" s="20"/>
      <c r="I7" s="1" t="s">
        <v>72</v>
      </c>
      <c r="J7" s="20">
        <v>120000</v>
      </c>
      <c r="K7" s="20"/>
    </row>
    <row r="8" s="1" customFormat="1" customHeight="1" spans="1:11">
      <c r="A8" s="1" t="s">
        <v>73</v>
      </c>
      <c r="B8" s="1">
        <v>695372.72</v>
      </c>
      <c r="C8" s="21">
        <f>B8/B1</f>
        <v>0.0720640617643706</v>
      </c>
      <c r="D8" s="20">
        <f ca="1">C8*I1</f>
        <v>49237.9064015829</v>
      </c>
      <c r="E8" s="21"/>
      <c r="F8" s="20"/>
      <c r="H8" s="20"/>
      <c r="I8" s="1" t="s">
        <v>74</v>
      </c>
      <c r="J8" s="20">
        <v>120000</v>
      </c>
      <c r="K8" s="20"/>
    </row>
    <row r="9" s="1" customFormat="1" customHeight="1" spans="1:11">
      <c r="A9" s="1" t="s">
        <v>75</v>
      </c>
      <c r="B9" s="1">
        <v>64000</v>
      </c>
      <c r="C9" s="21">
        <f>B9/B1</f>
        <v>0.00663255808039136</v>
      </c>
      <c r="D9" s="20">
        <f ca="1">C9*I1</f>
        <v>4531.70784396217</v>
      </c>
      <c r="E9" s="21"/>
      <c r="F9" s="20"/>
      <c r="H9" s="20"/>
      <c r="I9" s="1" t="s">
        <v>76</v>
      </c>
      <c r="J9" s="20">
        <v>96000</v>
      </c>
      <c r="K9" s="20"/>
    </row>
    <row r="10" s="1" customFormat="1" customHeight="1" spans="1:11">
      <c r="A10" s="1" t="s">
        <v>77</v>
      </c>
      <c r="B10" s="1">
        <v>960000</v>
      </c>
      <c r="C10" s="21">
        <f>B10/B1</f>
        <v>0.0994883712058704</v>
      </c>
      <c r="D10" s="20">
        <f ca="1">C10*I1</f>
        <v>67975.6176594325</v>
      </c>
      <c r="E10" s="21"/>
      <c r="F10" s="20"/>
      <c r="H10" s="20"/>
      <c r="I10" s="1" t="s">
        <v>78</v>
      </c>
      <c r="J10" s="20"/>
      <c r="K10" s="20"/>
    </row>
    <row r="11" s="1" customFormat="1" customHeight="1" spans="1:11">
      <c r="A11" s="1" t="s">
        <v>79</v>
      </c>
      <c r="B11" s="1">
        <v>8992</v>
      </c>
      <c r="C11" s="21">
        <f>B11/B1</f>
        <v>0.000931874410294986</v>
      </c>
      <c r="D11" s="20">
        <f ca="1">C11*I1</f>
        <v>636.704952076685</v>
      </c>
      <c r="E11" s="21"/>
      <c r="F11" s="20"/>
      <c r="H11" s="20"/>
      <c r="I11" s="1" t="s">
        <v>80</v>
      </c>
      <c r="J11" s="20"/>
      <c r="K11" s="20"/>
    </row>
    <row r="12" s="1" customFormat="1" customHeight="1" spans="1:11">
      <c r="D12" s="20"/>
      <c r="E12" s="21"/>
      <c r="F12" s="20"/>
      <c r="I12" s="1" t="s">
        <v>81</v>
      </c>
      <c r="K12" s="20"/>
    </row>
    <row r="16" s="1" customFormat="1" customHeight="1" spans="1:11">
      <c r="D16" s="20"/>
      <c r="E16" s="21"/>
      <c r="F16" s="20"/>
      <c r="G16" s="1" t="s">
        <v>82</v>
      </c>
      <c r="H16" s="20">
        <f ca="1">SUM(H3:OFFSET(H16,-1,0))</f>
        <v>275145.56</v>
      </c>
      <c r="I16" s="20" t="s">
        <v>83</v>
      </c>
      <c r="J16" s="20">
        <f ca="1">SUM(J3:OFFSET(J16,-1,0))</f>
        <v>408106.33</v>
      </c>
      <c r="K16" s="20"/>
    </row>
    <row r="19" s="1" customFormat="1" customHeight="1" spans="3:11">
      <c r="C19" s="25"/>
      <c r="D19" s="26"/>
      <c r="E19" s="21"/>
      <c r="F19" s="20"/>
      <c r="K19" s="2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F10" sqref="F10"/>
    </sheetView>
  </sheetViews>
  <sheetFormatPr defaultColWidth="9.02727272727273" defaultRowHeight="25" customHeight="1"/>
  <cols>
    <col min="1" max="4" width="13.4909090909091" customWidth="1"/>
  </cols>
  <sheetData>
    <row r="1" customHeight="1" spans="1:14">
      <c r="A1" s="17" t="s">
        <v>84</v>
      </c>
      <c r="B1" s="17"/>
      <c r="C1" s="17"/>
      <c r="D1" s="17"/>
      <c r="E1" s="17"/>
    </row>
    <row r="2" customHeight="1" spans="1:14">
      <c r="A2" s="17" t="s">
        <v>85</v>
      </c>
      <c r="B2" s="17" t="s">
        <v>86</v>
      </c>
      <c r="C2" s="18" t="s">
        <v>87</v>
      </c>
      <c r="D2" s="17" t="s">
        <v>88</v>
      </c>
      <c r="E2" s="17" t="s">
        <v>89</v>
      </c>
    </row>
    <row r="3" customHeight="1" spans="1:14">
      <c r="A3" s="17"/>
      <c r="B3" s="17"/>
      <c r="C3" s="18"/>
      <c r="D3" s="17"/>
      <c r="E3" s="19"/>
    </row>
    <row r="4" customHeight="1" spans="1:14">
      <c r="A4" s="17"/>
      <c r="B4" s="17"/>
      <c r="C4" s="18"/>
      <c r="D4" s="17"/>
      <c r="E4" s="19"/>
    </row>
    <row r="5" customHeight="1" spans="1:14">
      <c r="A5" s="17"/>
      <c r="B5" s="17"/>
      <c r="C5" s="18"/>
      <c r="D5" s="17"/>
      <c r="E5" s="19"/>
    </row>
    <row r="6" customHeight="1" spans="1:14">
      <c r="A6" s="17"/>
      <c r="B6" s="17"/>
      <c r="C6" s="18"/>
      <c r="D6" s="17"/>
      <c r="E6" s="19"/>
    </row>
    <row r="7" customHeight="1" spans="1:14">
      <c r="A7" s="17"/>
      <c r="B7" s="17"/>
      <c r="C7" s="18"/>
      <c r="D7" s="17"/>
      <c r="E7" s="19"/>
    </row>
    <row r="8" customHeight="1" spans="1:14">
      <c r="A8" s="17"/>
      <c r="B8" s="17"/>
      <c r="C8" s="18"/>
      <c r="D8" s="17"/>
      <c r="E8" s="19"/>
    </row>
    <row r="9" customHeight="1" spans="1:14">
      <c r="A9" s="17"/>
      <c r="B9" s="17"/>
      <c r="C9" s="18"/>
      <c r="D9" s="17"/>
      <c r="E9" s="19"/>
      <c r="N9" t="s">
        <v>90</v>
      </c>
    </row>
    <row r="10" customHeight="1" spans="1:14">
      <c r="A10" s="17"/>
      <c r="B10" s="17">
        <f>SUM(B3:B9)</f>
        <v>0</v>
      </c>
      <c r="C10" s="17">
        <f>SUM(C3:C9)</f>
        <v>0</v>
      </c>
      <c r="D10" s="17">
        <f>SUM(D3:D9)</f>
        <v>0</v>
      </c>
      <c r="E10" s="17"/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D10" sqref="D10"/>
    </sheetView>
  </sheetViews>
  <sheetFormatPr defaultColWidth="9.02727272727273" defaultRowHeight="23" customHeight="1"/>
  <cols>
    <col min="1" max="1" width="9.31818181818182" style="1" customWidth="1"/>
    <col min="2" max="2" width="13.9272727272727" style="1" customWidth="1"/>
    <col min="3" max="3" width="12.8" style="1" customWidth="1"/>
    <col min="4" max="4" width="11.7272727272727" style="1" customWidth="1"/>
    <col min="5" max="5" width="7.52727272727273" style="1" customWidth="1"/>
    <col min="6" max="6" width="11.3090909090909" style="1" customWidth="1"/>
    <col min="7" max="7" width="7.31818181818182" style="1" customWidth="1"/>
    <col min="8" max="8" width="15.1818181818182" style="1" customWidth="1"/>
    <col min="9" max="10" width="9.02727272727273" style="1"/>
    <col min="11" max="11" width="11.3090909090909" style="1" customWidth="1"/>
    <col min="12" max="12" width="11.7272727272727" style="1" customWidth="1"/>
    <col min="13" max="13" width="6.52727272727273" style="1" customWidth="1"/>
    <col min="14" max="16384" width="9.02727272727273" style="1"/>
  </cols>
  <sheetData>
    <row r="1" customHeight="1" spans="1:13">
      <c r="A1" s="2" t="s">
        <v>91</v>
      </c>
      <c r="B1" s="3"/>
      <c r="C1" s="3"/>
      <c r="D1" s="3"/>
      <c r="E1" s="3"/>
      <c r="F1" s="3"/>
      <c r="G1" s="3"/>
      <c r="H1" s="4"/>
      <c r="K1" s="5" t="s">
        <v>92</v>
      </c>
      <c r="L1" s="5"/>
      <c r="M1" s="6"/>
    </row>
    <row r="2" customHeight="1" spans="1:13">
      <c r="A2" s="7" t="s">
        <v>93</v>
      </c>
      <c r="B2" s="8" t="s">
        <v>94</v>
      </c>
      <c r="C2" s="9" t="s">
        <v>95</v>
      </c>
      <c r="D2" s="8" t="s">
        <v>21</v>
      </c>
      <c r="E2" s="10" t="s">
        <v>54</v>
      </c>
      <c r="F2" s="7" t="s">
        <v>89</v>
      </c>
      <c r="G2" s="7" t="s">
        <v>96</v>
      </c>
      <c r="H2" s="11" t="s">
        <v>97</v>
      </c>
      <c r="K2" s="5" t="s">
        <v>98</v>
      </c>
      <c r="L2" s="5" t="s">
        <v>41</v>
      </c>
      <c r="M2" s="6" t="s">
        <v>99</v>
      </c>
    </row>
    <row r="3" customHeight="1" spans="1:13">
      <c r="A3" s="7" t="s">
        <v>100</v>
      </c>
      <c r="B3" s="8">
        <v>8992</v>
      </c>
      <c r="C3" s="9">
        <f>B3/1.09</f>
        <v>8249.54128440367</v>
      </c>
      <c r="D3" s="8">
        <f>C3*0.09</f>
        <v>742.45871559633</v>
      </c>
      <c r="E3" s="10"/>
      <c r="F3" s="7"/>
      <c r="G3" s="7"/>
      <c r="H3" s="11"/>
      <c r="K3" s="5" t="s">
        <v>101</v>
      </c>
      <c r="L3" s="12">
        <f>C3*0.02</f>
        <v>164.990825688073</v>
      </c>
      <c r="M3" s="6">
        <f>L3/B3</f>
        <v>0.018348623853211</v>
      </c>
    </row>
    <row r="4" customHeight="1" spans="1:13">
      <c r="A4" s="13">
        <v>0.13</v>
      </c>
      <c r="B4" s="8">
        <f>C4+D4</f>
        <v>5019.52858151023</v>
      </c>
      <c r="C4" s="9">
        <f>D4/0.13</f>
        <v>4442.06069160198</v>
      </c>
      <c r="D4" s="8">
        <f>D3-D5-D6</f>
        <v>577.467889908257</v>
      </c>
      <c r="E4" s="10">
        <f>B4/B3</f>
        <v>0.558221594918842</v>
      </c>
      <c r="F4" s="7" t="s">
        <v>102</v>
      </c>
      <c r="G4" s="7">
        <v>546.94</v>
      </c>
      <c r="H4" s="14">
        <f>B4-G4</f>
        <v>4472.58858151023</v>
      </c>
      <c r="K4" s="5" t="s">
        <v>103</v>
      </c>
      <c r="L4" s="12">
        <f>L3*0.12</f>
        <v>19.7988990825688</v>
      </c>
      <c r="M4" s="6">
        <f>L4/B3</f>
        <v>0.00220183486238532</v>
      </c>
    </row>
    <row r="5" customHeight="1" spans="1:13">
      <c r="A5" s="13">
        <v>0.03</v>
      </c>
      <c r="B5" s="8"/>
      <c r="C5" s="9">
        <f>B5/1.03</f>
        <v>0</v>
      </c>
      <c r="D5" s="8">
        <f>C5*0.03</f>
        <v>0</v>
      </c>
      <c r="E5" s="10">
        <f>B5/B3</f>
        <v>0</v>
      </c>
      <c r="F5" s="7" t="s">
        <v>104</v>
      </c>
      <c r="G5" s="7"/>
      <c r="H5" s="11"/>
      <c r="K5" s="5" t="s">
        <v>105</v>
      </c>
      <c r="L5" s="12">
        <f>B3*0.0006</f>
        <v>5.3952</v>
      </c>
      <c r="M5" s="6">
        <f>L5/B3</f>
        <v>0.0006</v>
      </c>
    </row>
    <row r="6" customHeight="1" spans="1:13">
      <c r="A6" s="7" t="s">
        <v>106</v>
      </c>
      <c r="B6" s="8">
        <f>B3-B4-B5-B7</f>
        <v>3773.29449371913</v>
      </c>
      <c r="C6" s="9">
        <f>B6</f>
        <v>3773.29449371913</v>
      </c>
      <c r="D6" s="8">
        <f>L3</f>
        <v>164.990825688073</v>
      </c>
      <c r="E6" s="10">
        <f>B6/B3</f>
        <v>0.419627946365561</v>
      </c>
      <c r="F6" s="7" t="s">
        <v>104</v>
      </c>
      <c r="G6" s="7">
        <v>2620</v>
      </c>
      <c r="H6" s="14">
        <f>B6-G6</f>
        <v>1153.29449371913</v>
      </c>
      <c r="K6" s="5" t="s">
        <v>107</v>
      </c>
      <c r="L6" s="12">
        <f>B3*0.001</f>
        <v>8.992</v>
      </c>
      <c r="M6" s="6">
        <f>L6/B3</f>
        <v>0.001</v>
      </c>
    </row>
    <row r="7" customHeight="1" spans="1:13">
      <c r="A7" s="7" t="s">
        <v>108</v>
      </c>
      <c r="B7" s="8">
        <f>L7</f>
        <v>199.176924770642</v>
      </c>
      <c r="C7" s="9"/>
      <c r="D7" s="8"/>
      <c r="E7" s="10"/>
      <c r="F7" s="7"/>
      <c r="G7" s="7"/>
      <c r="H7" s="11"/>
      <c r="K7" s="5" t="s">
        <v>109</v>
      </c>
      <c r="L7" s="12">
        <f>SUM(L3:L6)</f>
        <v>199.176924770642</v>
      </c>
      <c r="M7" s="6"/>
    </row>
    <row r="8" customHeight="1" spans="1:13">
      <c r="A8" s="15"/>
      <c r="B8" s="15"/>
      <c r="C8" s="16"/>
      <c r="D8" s="15"/>
      <c r="E8" s="15"/>
      <c r="F8" s="15"/>
      <c r="G8" s="15"/>
      <c r="K8" s="5" t="s">
        <v>110</v>
      </c>
      <c r="L8" s="6">
        <f>L7/B3</f>
        <v>0.0221504587155963</v>
      </c>
      <c r="M8" s="6">
        <f>SUM(M3:M7)</f>
        <v>0.0221504587155963</v>
      </c>
    </row>
    <row r="9" customHeight="1" spans="1:13">
      <c r="A9" s="15"/>
      <c r="B9" s="15"/>
      <c r="C9" s="16"/>
      <c r="D9" s="15"/>
      <c r="E9" s="15"/>
      <c r="F9" s="15"/>
      <c r="G9" s="15"/>
    </row>
  </sheetData>
  <mergeCells count="2">
    <mergeCell ref="A1:H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项目汇总情况</vt:lpstr>
      <vt:lpstr>应付汇总</vt:lpstr>
      <vt:lpstr>利润表</vt:lpstr>
      <vt:lpstr>待摊费用</vt:lpstr>
      <vt:lpstr>销售发票的明细</vt:lpstr>
      <vt:lpstr>项目的税负表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清禾知晏</cp:lastModifiedBy>
  <dcterms:created xsi:type="dcterms:W3CDTF">2023-05-12T11:15:00Z</dcterms:created>
  <dcterms:modified xsi:type="dcterms:W3CDTF">2026-09-30T06:50:19Z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C03A2D4043744DDE8D313E04A7AF7D1E_13</vt:lpwstr>
  </property>
  <property fmtid="{D5CDD505-2E9C-101B-9397-08002B2CF9AE}" pid="4" name="CalculationRule">
    <vt:i4>0</vt:i4>
  </property>
</Properties>
</file>